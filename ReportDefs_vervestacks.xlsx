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C584DA7D-AA94-47B1-85D2-8621BA6DD9E3}" xr6:coauthVersionLast="47" xr6:coauthVersionMax="47" xr10:uidLastSave="{00000000-0000-0000-0000-000000000000}"/>
  <bookViews>
    <workbookView xWindow="-98" yWindow="-98" windowWidth="28996" windowHeight="17475" firstSheet="3" activeTab="12" xr2:uid="{00000000-000D-0000-FFFF-FFFF00000000}"/>
  </bookViews>
  <sheets>
    <sheet name="ScenMap" sheetId="56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56" l="1"/>
  <c r="I8" i="56"/>
  <c r="I7" i="56"/>
  <c r="I6" i="56"/>
  <c r="H9" i="56"/>
  <c r="H8" i="56"/>
  <c r="H7" i="56"/>
  <c r="H6" i="56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J7" i="56"/>
  <c r="J8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60" i="56"/>
  <c r="H29" i="56"/>
  <c r="H49" i="56"/>
  <c r="H39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<sst xmlns="http://schemas.openxmlformats.org/spreadsheetml/2006/main" count="5136" uniqueCount="1229">
  <si>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</si>
  <si>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</si>
  <si>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</si>
  <si>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</si>
  <si>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</si>
  <si>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</si>
  <si>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</si>
  <si>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</si>
  <si>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</si>
  <si>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</si>
  <si>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</si>
  <si>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</si>
  <si>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</si>
  <si>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</si>
  <si>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</si>
  <si>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</si>
  <si>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</si>
  <si>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</si>
  <si>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</si>
  <si>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</si>
  <si>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</si>
  <si>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</si>
  <si>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</si>
  <si>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</si>
  <si>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</si>
  <si>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</si>
  <si>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</si>
  <si>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</si>
  <si>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</si>
  <si>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</si>
  <si>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</si>
  <si>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</si>
  <si>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</si>
  <si>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</si>
  <si>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</si>
  <si>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</si>
  <si>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</si>
  <si>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</si>
  <si>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</si>
  <si>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</si>
  <si>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</si>
  <si>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</si>
  <si>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</si>
  <si>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</si>
  <si>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</si>
  <si>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</si>
  <si>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</si>
  <si>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</si>
  <si>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</si>
  <si>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</si>
  <si>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</si>
  <si>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</si>
  <si>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</si>
  <si>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</si>
  <si>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</si>
  <si>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</si>
  <si>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</si>
  <si>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</si>
  <si>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</si>
  <si>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</si>
  <si>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</si>
  <si>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</si>
  <si>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</si>
  <si>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</si>
  <si>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</si>
  <si>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</si>
  <si>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</si>
  <si>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</si>
  <si>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</si>
  <si>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</si>
  <si>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</si>
  <si>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</si>
  <si>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</si>
  <si>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</si>
  <si>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</si>
  <si>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</si>
  <si>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</si>
  <si>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</si>
  <si>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</si>
  <si>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</si>
  <si>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</si>
  <si>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</si>
  <si>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</si>
  <si>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</si>
  <si>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</si>
  <si>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</si>
  <si>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</si>
  <si>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</si>
  <si>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</si>
  <si>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</si>
  <si>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</si>
  <si>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</si>
  <si>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</si>
  <si>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</si>
  <si>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</si>
  <si>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</si>
  <si>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</si>
  <si>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</si>
  <si>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</si>
  <si>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</si>
  <si>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</si>
  <si>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</si>
  <si>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</si>
  <si>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</si>
  <si>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</si>
  <si>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</si>
  <si>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</si>
  <si>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</si>
  <si>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</si>
  <si>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</si>
  <si>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</si>
  <si>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</si>
  <si>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</si>
  <si>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</si>
  <si>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</si>
  <si>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</si>
  <si>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</si>
  <si>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</si>
  <si>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</si>
  <si>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</si>
  <si>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</si>
  <si>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</si>
  <si>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</si>
  <si>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</si>
  <si>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</si>
  <si>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</si>
  <si>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</si>
  <si>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</si>
  <si>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</si>
  <si>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</si>
  <si>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</si>
  <si>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</si>
  <si>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</si>
  <si>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</si>
  <si>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</si>
  <si>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</si>
  <si>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</si>
  <si>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</si>
  <si>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</si>
  <si>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</si>
  <si>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</si>
  <si>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</si>
  <si>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</si>
  <si>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</si>
  <si>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</si>
  <si>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</si>
  <si>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</si>
  <si>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</si>
  <si>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</si>
  <si>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</si>
  <si>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</si>
  <si>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</si>
  <si>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</si>
  <si>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</si>
  <si>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</si>
  <si>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</si>
  <si>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</si>
  <si>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</si>
  <si>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</si>
  <si>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</si>
  <si>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</si>
  <si>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</si>
  <si>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</si>
  <si>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</si>
  <si>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</si>
  <si>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</si>
  <si>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</si>
  <si>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</si>
  <si>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</si>
  <si>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</si>
  <si>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</si>
  <si>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</si>
  <si>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</si>
  <si>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</si>
  <si>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</si>
  <si>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</si>
  <si>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</si>
  <si>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</si>
  <si>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</si>
  <si>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</si>
  <si>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</si>
  <si>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</si>
  <si>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</si>
  <si>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</si>
  <si>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</si>
  <si>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</si>
  <si>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</si>
  <si>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</si>
  <si>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</si>
  <si>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</si>
  <si>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</si>
  <si>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</si>
  <si>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</si>
  <si>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</si>
  <si>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</si>
  <si>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</si>
  <si>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</si>
  <si>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</si>
  <si>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</si>
  <si>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</si>
  <si>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</si>
  <si>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</si>
  <si>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</si>
  <si>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</si>
  <si>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</si>
  <si>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</si>
  <si>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</si>
  <si>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</si>
  <si>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</si>
  <si>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</si>
  <si>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</si>
  <si>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</si>
  <si>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</si>
  <si>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</si>
  <si>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</si>
  <si>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</si>
  <si>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</si>
  <si>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</si>
  <si>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</si>
  <si>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</si>
  <si>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</si>
  <si>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</si>
  <si>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</si>
  <si>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</si>
  <si>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</si>
  <si>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</si>
  <si>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</si>
  <si>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</si>
  <si>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</si>
  <si>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</si>
  <si>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</si>
  <si>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</si>
  <si>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</si>
  <si>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</si>
  <si>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</si>
  <si>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</si>
  <si>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</si>
  <si>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</si>
  <si>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</si>
  <si>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</si>
  <si>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</si>
  <si>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</si>
  <si>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</si>
  <si>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</si>
  <si>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</si>
  <si>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</si>
  <si>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</si>
  <si>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</si>
  <si>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</si>
  <si>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</si>
  <si>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</si>
  <si>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</si>
  <si>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</si>
  <si>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</si>
  <si>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</si>
  <si>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</si>
  <si>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</si>
  <si>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</si>
  <si>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</si>
  <si>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</si>
  <si>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</si>
  <si>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</si>
  <si>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</si>
  <si>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</si>
  <si>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</si>
  <si>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</si>
  <si>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</si>
  <si>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</si>
  <si>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</si>
  <si>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</si>
  <si>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</si>
  <si>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</si>
  <si>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</si>
  <si>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</si>
  <si>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</si>
  <si>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</si>
  <si>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</si>
  <si>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</si>
  <si>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</si>
  <si>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</si>
  <si>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</si>
  <si>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</si>
  <si>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</si>
  <si>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</si>
  <si>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</si>
  <si>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</si>
  <si>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</si>
  <si>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</si>
  <si>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</si>
  <si>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</si>
  <si>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</si>
  <si>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</si>
  <si>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</si>
  <si>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</si>
  <si>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</si>
  <si>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</si>
  <si>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</si>
  <si>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</si>
  <si>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</si>
  <si>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</si>
  <si>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</si>
  <si>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</si>
  <si>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</si>
  <si>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</si>
  <si>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</si>
  <si>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</si>
  <si>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</si>
  <si>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</si>
  <si>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</si>
  <si>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</si>
  <si>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</si>
  <si>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</si>
  <si>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</si>
  <si>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</si>
  <si>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</si>
  <si>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</si>
  <si>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</si>
  <si>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</si>
  <si>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</si>
  <si>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</si>
  <si>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</si>
  <si>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</si>
  <si>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</si>
  <si>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</si>
  <si>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</si>
  <si>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</si>
  <si>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</si>
  <si>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</si>
  <si>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</si>
  <si>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</si>
  <si>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</si>
  <si>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</si>
  <si>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</si>
  <si>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</si>
  <si>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</si>
  <si>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</si>
  <si>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</si>
  <si>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</si>
  <si>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</si>
  <si>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</si>
  <si>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</si>
  <si>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</si>
  <si>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</si>
  <si>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</si>
  <si>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</si>
  <si>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</si>
  <si>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</si>
  <si>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</si>
  <si>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</si>
  <si>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</si>
  <si>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</si>
  <si>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</si>
  <si>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</si>
  <si>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</si>
  <si>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</si>
  <si>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</si>
  <si>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</si>
  <si>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</si>
  <si>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</si>
  <si>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</si>
  <si>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</si>
  <si>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</si>
  <si>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</si>
  <si>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</si>
  <si>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</si>
  <si>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</si>
  <si>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</si>
  <si>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</si>
  <si>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</si>
  <si>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</si>
  <si>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</si>
  <si>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</si>
  <si>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</si>
  <si>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</si>
  <si>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</si>
  <si>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</si>
  <si>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</si>
  <si>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</si>
  <si>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</si>
  <si>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</si>
  <si>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</si>
  <si>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</si>
  <si>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</si>
  <si>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</si>
  <si>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</si>
  <si>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</si>
  <si>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</si>
  <si>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</si>
  <si>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</si>
  <si>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</si>
  <si>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</si>
  <si>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</si>
  <si>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</si>
  <si>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</si>
  <si>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</si>
  <si>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</si>
  <si>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</si>
  <si>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</si>
  <si>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</si>
  <si>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</si>
  <si>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</si>
  <si>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</si>
  <si>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p_w26671244</t>
  </si>
  <si>
    <t>p_w33795353</t>
  </si>
  <si>
    <t>p_w61455399</t>
  </si>
  <si>
    <t>p_w61853727</t>
  </si>
  <si>
    <t>p_w75609279</t>
  </si>
  <si>
    <t>p_w82881422</t>
  </si>
  <si>
    <t>p_w87837416</t>
  </si>
  <si>
    <t>p_w87897292</t>
  </si>
  <si>
    <t>p_w87928925</t>
  </si>
  <si>
    <t>p_w89411122</t>
  </si>
  <si>
    <t>p_w89635947</t>
  </si>
  <si>
    <t>p_w89636266</t>
  </si>
  <si>
    <t>p_w89636510</t>
  </si>
  <si>
    <t>p_w89637173</t>
  </si>
  <si>
    <t>p_w89637174</t>
  </si>
  <si>
    <t>p_w89637277</t>
  </si>
  <si>
    <t>p_w270521928</t>
  </si>
  <si>
    <t>p_w89664063</t>
  </si>
  <si>
    <t>p_w89943957</t>
  </si>
  <si>
    <t>p_w90092620</t>
  </si>
  <si>
    <t>p_w90098853</t>
  </si>
  <si>
    <t>p_w93419960</t>
  </si>
  <si>
    <t>p_w93556808</t>
  </si>
  <si>
    <t>p_w93713118</t>
  </si>
  <si>
    <t>p_w93827784</t>
  </si>
  <si>
    <t>p_w94053861</t>
  </si>
  <si>
    <t>p_w94840399</t>
  </si>
  <si>
    <t>p_w95046918</t>
  </si>
  <si>
    <t>p_w95048289</t>
  </si>
  <si>
    <t>p_w95343089</t>
  </si>
  <si>
    <t>p_w95344674</t>
  </si>
  <si>
    <t>p_w95512216</t>
  </si>
  <si>
    <t>p_w100957314</t>
  </si>
  <si>
    <t>p_w119877500</t>
  </si>
  <si>
    <t>p_w148300699</t>
  </si>
  <si>
    <t>p_w156094589</t>
  </si>
  <si>
    <t>p_w161270797</t>
  </si>
  <si>
    <t>p_w167177413</t>
  </si>
  <si>
    <t>p_w167283894</t>
  </si>
  <si>
    <t>p_w167285260</t>
  </si>
  <si>
    <t>p_w167285336</t>
  </si>
  <si>
    <t>p_w167286837</t>
  </si>
  <si>
    <t>p_w167293888</t>
  </si>
  <si>
    <t>p_w167300914</t>
  </si>
  <si>
    <t>p_w167427251</t>
  </si>
  <si>
    <t>p_w167572576</t>
  </si>
  <si>
    <t>p_w167705537</t>
  </si>
  <si>
    <t>p_w169512273</t>
  </si>
  <si>
    <t>p_w170300247</t>
  </si>
  <si>
    <t>p_w180514007</t>
  </si>
  <si>
    <t>p_w180519027</t>
  </si>
  <si>
    <t>p_w187858674</t>
  </si>
  <si>
    <t>p_w188180344</t>
  </si>
  <si>
    <t>p_w191346761</t>
  </si>
  <si>
    <t>p_w232382576</t>
  </si>
  <si>
    <t>p_w235066414</t>
  </si>
  <si>
    <t>p_w255873374</t>
  </si>
  <si>
    <t>p_w268826084</t>
  </si>
  <si>
    <t>p_w268841395</t>
  </si>
  <si>
    <t>p_w270012796</t>
  </si>
  <si>
    <t>p_w270018358</t>
  </si>
  <si>
    <t>p_w270022030</t>
  </si>
  <si>
    <t>p_w270554679</t>
  </si>
  <si>
    <t>p_w270556206</t>
  </si>
  <si>
    <t>p_w272195826</t>
  </si>
  <si>
    <t>p_w272522517</t>
  </si>
  <si>
    <t>p_w275188676</t>
  </si>
  <si>
    <t>p_w341099346</t>
  </si>
  <si>
    <t>p_w359449581</t>
  </si>
  <si>
    <t>p_w409049317</t>
  </si>
  <si>
    <t>p_w412588974</t>
  </si>
  <si>
    <t>p_w412589726</t>
  </si>
  <si>
    <t>p_w414953388</t>
  </si>
  <si>
    <t>p_w627162826</t>
  </si>
  <si>
    <t>p_w849110529</t>
  </si>
  <si>
    <t>p_w907631032</t>
  </si>
  <si>
    <t>p_w1018655038</t>
  </si>
  <si>
    <t>p_w1026587442</t>
  </si>
  <si>
    <t>p_w1034927052</t>
  </si>
  <si>
    <t>p_w1099619174</t>
  </si>
  <si>
    <t>p_w1167708390</t>
  </si>
  <si>
    <t>p_w1363994055</t>
  </si>
  <si>
    <t>p_r17609399</t>
  </si>
  <si>
    <t>p_NZ26</t>
  </si>
  <si>
    <t>p_NZ28</t>
  </si>
  <si>
    <t>p_NZ4</t>
  </si>
  <si>
    <t>p_NZ20</t>
  </si>
  <si>
    <t>p_NZ19</t>
  </si>
  <si>
    <t>p_NZ37</t>
  </si>
  <si>
    <t>p_NZ36</t>
  </si>
  <si>
    <t>p_NZ34</t>
  </si>
  <si>
    <t>p_NZ39</t>
  </si>
  <si>
    <t>p_NZ29</t>
  </si>
  <si>
    <t>p_NZ42</t>
  </si>
  <si>
    <t>p_NZ41</t>
  </si>
  <si>
    <t>p_NZ43</t>
  </si>
  <si>
    <t>p_NZ10</t>
  </si>
  <si>
    <t>p_NZ21</t>
  </si>
  <si>
    <t>p_NZ16</t>
  </si>
  <si>
    <t>p_NZ32</t>
  </si>
  <si>
    <t>p_NZ7</t>
  </si>
  <si>
    <t>p_NZ25</t>
  </si>
  <si>
    <t>p_NZ24</t>
  </si>
  <si>
    <t>p_NZ40</t>
  </si>
  <si>
    <t>p_NZ9</t>
  </si>
  <si>
    <t>p_NZ11</t>
  </si>
  <si>
    <t>p_NZ12</t>
  </si>
  <si>
    <t>p_NZ27</t>
  </si>
  <si>
    <t>p_NZ5</t>
  </si>
  <si>
    <t>p_NZ2</t>
  </si>
  <si>
    <t>p_NZ3</t>
  </si>
  <si>
    <t>p_NZ18</t>
  </si>
  <si>
    <t>p_NZ6</t>
  </si>
  <si>
    <t>p_NZ30</t>
  </si>
  <si>
    <t>p_NZ1</t>
  </si>
  <si>
    <t>p_NZ17</t>
  </si>
  <si>
    <t>p_NZ22</t>
  </si>
  <si>
    <t>p_NZ31</t>
  </si>
  <si>
    <t>p_NZ13</t>
  </si>
  <si>
    <t>p_NZ14</t>
  </si>
  <si>
    <t>p_NZ23</t>
  </si>
  <si>
    <t>p_NZ38</t>
  </si>
  <si>
    <t>p_NZ8</t>
  </si>
  <si>
    <t>p_NZ35</t>
  </si>
  <si>
    <t>p_NZ33</t>
  </si>
  <si>
    <t>p_NZ15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</si>
  <si>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</si>
  <si>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</si>
  <si>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</si>
  <si>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</si>
  <si>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</si>
  <si>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</si>
  <si>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</si>
  <si>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</si>
  <si>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</si>
  <si>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</si>
  <si>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</si>
  <si>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</si>
  <si>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</si>
  <si>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</si>
  <si>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</si>
  <si>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</si>
  <si>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</si>
  <si>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</si>
  <si>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</si>
  <si>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</si>
  <si>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</si>
  <si>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</si>
  <si>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</si>
  <si>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</si>
  <si>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</si>
  <si>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</si>
  <si>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</si>
  <si>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</si>
  <si>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</si>
  <si>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</si>
  <si>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</si>
  <si>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</si>
  <si>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</si>
  <si>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</si>
  <si>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</si>
  <si>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</si>
  <si>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</si>
  <si>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</si>
  <si>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</si>
  <si>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</si>
  <si>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</si>
  <si>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</si>
  <si>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</si>
  <si>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</si>
  <si>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</si>
  <si>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</si>
  <si>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</si>
  <si>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</si>
  <si>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</si>
  <si>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</si>
  <si>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</si>
  <si>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</si>
  <si>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</si>
  <si>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</si>
  <si>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</si>
  <si>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</si>
  <si>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</si>
  <si>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</si>
  <si>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</si>
  <si>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</si>
  <si>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</si>
  <si>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</si>
  <si>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</si>
  <si>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</si>
  <si>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admin_1</t>
  </si>
  <si>
    <t>Auckland</t>
  </si>
  <si>
    <t>Canterbury</t>
  </si>
  <si>
    <t>Waikato</t>
  </si>
  <si>
    <t>Otago</t>
  </si>
  <si>
    <t>Northland</t>
  </si>
  <si>
    <t>Southland</t>
  </si>
  <si>
    <t>Hawke's Bay</t>
  </si>
  <si>
    <t>Wellington</t>
  </si>
  <si>
    <t>Tasman District</t>
  </si>
  <si>
    <t>Manawatu-Wanganui</t>
  </si>
  <si>
    <t>Bay of Plenty</t>
  </si>
  <si>
    <t>Nelson City</t>
  </si>
  <si>
    <t>Unknown</t>
  </si>
  <si>
    <t>Taranaki</t>
  </si>
  <si>
    <t>West Coast</t>
  </si>
  <si>
    <t>Marlborough District</t>
  </si>
  <si>
    <t>region_com</t>
  </si>
  <si>
    <t>e_w26671244-220</t>
  </si>
  <si>
    <t>e_w33795353-220</t>
  </si>
  <si>
    <t>e_w61455399-220</t>
  </si>
  <si>
    <t>e_w61853727-220</t>
  </si>
  <si>
    <t>e_w75609279-220</t>
  </si>
  <si>
    <t>e_w82881422-220</t>
  </si>
  <si>
    <t>e_w87837416-220</t>
  </si>
  <si>
    <t>e_w87897292-220</t>
  </si>
  <si>
    <t>e_w87928925-220</t>
  </si>
  <si>
    <t>e_w89411122-220</t>
  </si>
  <si>
    <t>e_w89635947-220</t>
  </si>
  <si>
    <t>e_w89636266-220</t>
  </si>
  <si>
    <t>e_w89636510-220</t>
  </si>
  <si>
    <t>e_w89637173-220</t>
  </si>
  <si>
    <t>e_w89637174-220</t>
  </si>
  <si>
    <t>e_w89637277-220</t>
  </si>
  <si>
    <t>e_w270521928-220</t>
  </si>
  <si>
    <t>e_w89664063-220</t>
  </si>
  <si>
    <t>e_w89943957-220</t>
  </si>
  <si>
    <t>e_w90092620-220</t>
  </si>
  <si>
    <t>e_w90098853-220</t>
  </si>
  <si>
    <t>e_w93419960-220</t>
  </si>
  <si>
    <t>e_w93556808-220</t>
  </si>
  <si>
    <t>e_w93713118-220</t>
  </si>
  <si>
    <t>e_w93827784-220</t>
  </si>
  <si>
    <t>e_w94053861-220</t>
  </si>
  <si>
    <t>e_w94840399-220</t>
  </si>
  <si>
    <t>e_w95046918-220</t>
  </si>
  <si>
    <t>e_w95048289-220</t>
  </si>
  <si>
    <t>e_w95343089-220</t>
  </si>
  <si>
    <t>e_w95344674-220</t>
  </si>
  <si>
    <t>e_w95512216-220</t>
  </si>
  <si>
    <t>e_w100957314-220</t>
  </si>
  <si>
    <t>e_w119877500-220</t>
  </si>
  <si>
    <t>e_w148300699-220</t>
  </si>
  <si>
    <t>e_w156094589-220</t>
  </si>
  <si>
    <t>e_w161270797-220</t>
  </si>
  <si>
    <t>e_w167177413-220</t>
  </si>
  <si>
    <t>e_w167283894-220</t>
  </si>
  <si>
    <t>e_w167285260-220</t>
  </si>
  <si>
    <t>e_w167285336-220</t>
  </si>
  <si>
    <t>e_w167286837-220</t>
  </si>
  <si>
    <t>e_w167293888-220</t>
  </si>
  <si>
    <t>e_w167300914-220</t>
  </si>
  <si>
    <t>e_w167427251-220</t>
  </si>
  <si>
    <t>e_w167572576-220</t>
  </si>
  <si>
    <t>e_w167705537-220</t>
  </si>
  <si>
    <t>e_w169512273-220</t>
  </si>
  <si>
    <t>e_w170300247-220</t>
  </si>
  <si>
    <t>e_w180514007-220</t>
  </si>
  <si>
    <t>e_w180519027-220</t>
  </si>
  <si>
    <t>e_w187858674-220</t>
  </si>
  <si>
    <t>e_w188180344-220</t>
  </si>
  <si>
    <t>e_w191346761-220</t>
  </si>
  <si>
    <t>e_w232382576-220</t>
  </si>
  <si>
    <t>e_w235066414-220</t>
  </si>
  <si>
    <t>e_w255873374-220</t>
  </si>
  <si>
    <t>e_w268826084-220</t>
  </si>
  <si>
    <t>e_w268841395-220</t>
  </si>
  <si>
    <t>e_w270012796-220</t>
  </si>
  <si>
    <t>e_w270018358-220</t>
  </si>
  <si>
    <t>e_w270022030-220</t>
  </si>
  <si>
    <t>e_w270554679-220</t>
  </si>
  <si>
    <t>e_w270556206-220</t>
  </si>
  <si>
    <t>e_w272195826-220</t>
  </si>
  <si>
    <t>e_w272522517-220</t>
  </si>
  <si>
    <t>e_w275188676-220</t>
  </si>
  <si>
    <t>e_w341099346-220</t>
  </si>
  <si>
    <t>e_w359449581-220</t>
  </si>
  <si>
    <t>e_w409049317-220</t>
  </si>
  <si>
    <t>e_w412588974-220</t>
  </si>
  <si>
    <t>e_w412589726-220</t>
  </si>
  <si>
    <t>e_w414953388-220</t>
  </si>
  <si>
    <t>e_w627162826-220</t>
  </si>
  <si>
    <t>e_w849110529-220</t>
  </si>
  <si>
    <t>e_w907631032-220</t>
  </si>
  <si>
    <t>e_w1018655038-220</t>
  </si>
  <si>
    <t>e_w1026587442-220</t>
  </si>
  <si>
    <t>e_w1034927052-220</t>
  </si>
  <si>
    <t>e_w1099619174-220</t>
  </si>
  <si>
    <t>e_w1167708390-220</t>
  </si>
  <si>
    <t>e_w1363994055-220</t>
  </si>
  <si>
    <t>e_r17609399-220</t>
  </si>
  <si>
    <t>e_NZ26-220</t>
  </si>
  <si>
    <t>e_NZ28-220</t>
  </si>
  <si>
    <t>e_NZ4-220</t>
  </si>
  <si>
    <t>e_NZ20-220</t>
  </si>
  <si>
    <t>e_NZ19-220</t>
  </si>
  <si>
    <t>e_NZ37-220</t>
  </si>
  <si>
    <t>e_NZ36-220</t>
  </si>
  <si>
    <t>e_NZ34-220</t>
  </si>
  <si>
    <t>e_NZ39-220</t>
  </si>
  <si>
    <t>e_NZ29-220</t>
  </si>
  <si>
    <t>e_NZ42-220</t>
  </si>
  <si>
    <t>e_NZ41-220</t>
  </si>
  <si>
    <t>e_NZ43-220</t>
  </si>
  <si>
    <t>e_NZ10-220</t>
  </si>
  <si>
    <t>e_NZ21-220</t>
  </si>
  <si>
    <t>e_NZ16-220</t>
  </si>
  <si>
    <t>e_NZ32-220</t>
  </si>
  <si>
    <t>e_NZ7-220</t>
  </si>
  <si>
    <t>e_NZ25-220</t>
  </si>
  <si>
    <t>e_NZ24-220</t>
  </si>
  <si>
    <t>e_NZ40-220</t>
  </si>
  <si>
    <t>e_NZ9-220</t>
  </si>
  <si>
    <t>e_NZ11-220</t>
  </si>
  <si>
    <t>e_NZ12-220</t>
  </si>
  <si>
    <t>e_NZ27-220</t>
  </si>
  <si>
    <t>e_NZ5-220</t>
  </si>
  <si>
    <t>e_NZ2-220</t>
  </si>
  <si>
    <t>e_NZ3-220</t>
  </si>
  <si>
    <t>e_NZ18-220</t>
  </si>
  <si>
    <t>e_NZ6-220</t>
  </si>
  <si>
    <t>e_NZ30-220</t>
  </si>
  <si>
    <t>e_NZ1-220</t>
  </si>
  <si>
    <t>e_NZ17-220</t>
  </si>
  <si>
    <t>e_NZ22-220</t>
  </si>
  <si>
    <t>e_NZ31-220</t>
  </si>
  <si>
    <t>e_NZ13-220</t>
  </si>
  <si>
    <t>e_NZ14-220</t>
  </si>
  <si>
    <t>e_NZ23-220</t>
  </si>
  <si>
    <t>e_NZ38-220</t>
  </si>
  <si>
    <t>e_NZ8-220</t>
  </si>
  <si>
    <t>e_NZ35-220</t>
  </si>
  <si>
    <t>e_NZ33-220</t>
  </si>
  <si>
    <t>e_NZ15-220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</si>
  <si>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</si>
  <si>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</si>
  <si>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</si>
  <si>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</si>
  <si>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</si>
  <si>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</si>
  <si>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</si>
  <si>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</si>
  <si>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</si>
  <si>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</si>
  <si>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</si>
  <si>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</si>
  <si>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</si>
  <si>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</si>
  <si>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</si>
  <si>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</si>
  <si>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</si>
  <si>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</si>
  <si>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</si>
  <si>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</si>
  <si>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</si>
  <si>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</si>
  <si>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</si>
  <si>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</si>
  <si>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</si>
  <si>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</si>
  <si>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</si>
  <si>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</si>
  <si>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</si>
  <si>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</si>
  <si>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</si>
  <si>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</si>
  <si>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</si>
  <si>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</si>
  <si>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</si>
  <si>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</si>
  <si>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</si>
  <si>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</si>
  <si>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</si>
  <si>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</si>
  <si>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</si>
  <si>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</si>
  <si>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</si>
  <si>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</si>
  <si>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</si>
  <si>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</si>
  <si>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</si>
  <si>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</si>
  <si>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</si>
  <si>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</si>
  <si>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</si>
  <si>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</si>
  <si>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</si>
  <si>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</si>
  <si>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</si>
  <si>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</si>
  <si>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</si>
  <si>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</si>
  <si>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</si>
  <si>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</si>
  <si>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</si>
  <si>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</si>
  <si>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</si>
  <si>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</si>
  <si>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~geolocation</t>
  </si>
  <si>
    <t>region</t>
  </si>
  <si>
    <t>lat</t>
  </si>
  <si>
    <t>lng</t>
  </si>
  <si>
    <t>NZL-e_w26671244-220</t>
  </si>
  <si>
    <t>NZL-e_w33795353-220</t>
  </si>
  <si>
    <t>NZL-e_w61455399-220</t>
  </si>
  <si>
    <t>NZL-e_w61853727-220</t>
  </si>
  <si>
    <t>NZL-e_w75609279-220</t>
  </si>
  <si>
    <t>NZL-e_w82881422-220</t>
  </si>
  <si>
    <t>NZL-e_w87837416-220</t>
  </si>
  <si>
    <t>NZL-e_w87897292-220</t>
  </si>
  <si>
    <t>NZL-e_w87928925-220</t>
  </si>
  <si>
    <t>NZL-e_w89411122-220</t>
  </si>
  <si>
    <t>NZL-e_w89635947-220</t>
  </si>
  <si>
    <t>NZL-e_w89636266-220</t>
  </si>
  <si>
    <t>NZL-e_w89636510-220</t>
  </si>
  <si>
    <t>NZL-e_w89637173-220</t>
  </si>
  <si>
    <t>NZL-e_w89637174-220</t>
  </si>
  <si>
    <t>NZL-e_w89637277-220</t>
  </si>
  <si>
    <t>NZL-e_w270521928-220</t>
  </si>
  <si>
    <t>NZL-e_w89664063-220</t>
  </si>
  <si>
    <t>NZL-e_w89943957-220</t>
  </si>
  <si>
    <t>NZL-e_w90092620-220</t>
  </si>
  <si>
    <t>NZL-e_w90098853-220</t>
  </si>
  <si>
    <t>NZL-e_w93419960-220</t>
  </si>
  <si>
    <t>NZL-e_w93556808-220</t>
  </si>
  <si>
    <t>NZL-e_w93713118-220</t>
  </si>
  <si>
    <t>NZL-e_w93827784-220</t>
  </si>
  <si>
    <t>NZL-e_w94053861-220</t>
  </si>
  <si>
    <t>NZL-e_w94840399-220</t>
  </si>
  <si>
    <t>NZL-e_w95046918-220</t>
  </si>
  <si>
    <t>NZL-e_w95048289-220</t>
  </si>
  <si>
    <t>NZL-e_w95343089-220</t>
  </si>
  <si>
    <t>NZL-e_w95344674-220</t>
  </si>
  <si>
    <t>NZL-e_w95512216-220</t>
  </si>
  <si>
    <t>NZL-e_w100957314-220</t>
  </si>
  <si>
    <t>NZL-e_w119877500-220</t>
  </si>
  <si>
    <t>NZL-e_w148300699-220</t>
  </si>
  <si>
    <t>NZL-e_w156094589-220</t>
  </si>
  <si>
    <t>NZL-e_w161270797-220</t>
  </si>
  <si>
    <t>NZL-e_w167177413-220</t>
  </si>
  <si>
    <t>NZL-e_w167283894-220</t>
  </si>
  <si>
    <t>NZL-e_w167285260-220</t>
  </si>
  <si>
    <t>NZL-e_w167285336-220</t>
  </si>
  <si>
    <t>NZL-e_w167286837-220</t>
  </si>
  <si>
    <t>NZL-e_w167293888-220</t>
  </si>
  <si>
    <t>NZL-e_w167300914-220</t>
  </si>
  <si>
    <t>NZL-e_w167427251-220</t>
  </si>
  <si>
    <t>NZL-e_w167572576-220</t>
  </si>
  <si>
    <t>NZL-e_w167705537-220</t>
  </si>
  <si>
    <t>NZL-e_w169512273-220</t>
  </si>
  <si>
    <t>NZL-e_w170300247-220</t>
  </si>
  <si>
    <t>NZL-e_w180514007-220</t>
  </si>
  <si>
    <t>NZL-e_w180519027-220</t>
  </si>
  <si>
    <t>NZL-e_w187858674-220</t>
  </si>
  <si>
    <t>NZL-e_w188180344-220</t>
  </si>
  <si>
    <t>NZL-e_w191346761-220</t>
  </si>
  <si>
    <t>NZL-e_w232382576-220</t>
  </si>
  <si>
    <t>NZL-e_w235066414-220</t>
  </si>
  <si>
    <t>NZL-e_w255873374-220</t>
  </si>
  <si>
    <t>NZL-e_w268826084-220</t>
  </si>
  <si>
    <t>NZL-e_w268841395-220</t>
  </si>
  <si>
    <t>NZL-e_w270012796-220</t>
  </si>
  <si>
    <t>NZL-e_w270018358-220</t>
  </si>
  <si>
    <t>NZL-e_w270022030-220</t>
  </si>
  <si>
    <t>NZL-e_w270554679-220</t>
  </si>
  <si>
    <t>NZL-e_w270556206-220</t>
  </si>
  <si>
    <t>NZL-e_w272195826-220</t>
  </si>
  <si>
    <t>NZL-e_w272522517-220</t>
  </si>
  <si>
    <t>NZL-e_w275188676-220</t>
  </si>
  <si>
    <t>NZL-e_w341099346-220</t>
  </si>
  <si>
    <t>NZL-e_w359449581-220</t>
  </si>
  <si>
    <t>NZL-e_w409049317-220</t>
  </si>
  <si>
    <t>NZL-e_w412588974-220</t>
  </si>
  <si>
    <t>NZL-e_w412589726-220</t>
  </si>
  <si>
    <t>NZL-e_w414953388-220</t>
  </si>
  <si>
    <t>NZL-e_w627162826-220</t>
  </si>
  <si>
    <t>NZL-e_w849110529-220</t>
  </si>
  <si>
    <t>NZL-e_w907631032-220</t>
  </si>
  <si>
    <t>NZL-e_w1018655038-220</t>
  </si>
  <si>
    <t>NZL-e_w1026587442-220</t>
  </si>
  <si>
    <t>NZL-e_w1034927052-220</t>
  </si>
  <si>
    <t>NZL-e_w1099619174-220</t>
  </si>
  <si>
    <t>NZL-e_w1167708390-220</t>
  </si>
  <si>
    <t>NZL-e_w1363994055-220</t>
  </si>
  <si>
    <t>NZL-e_r17609399-220</t>
  </si>
  <si>
    <t>NZL-e_NZ26-220</t>
  </si>
  <si>
    <t>NZL-e_NZ28-220</t>
  </si>
  <si>
    <t>NZL-e_NZ4-220</t>
  </si>
  <si>
    <t>NZL-e_NZ20-220</t>
  </si>
  <si>
    <t>NZL-e_NZ19-220</t>
  </si>
  <si>
    <t>NZL-e_NZ37-220</t>
  </si>
  <si>
    <t>NZL-e_NZ36-220</t>
  </si>
  <si>
    <t>NZL-e_NZ34-220</t>
  </si>
  <si>
    <t>NZL-e_NZ39-220</t>
  </si>
  <si>
    <t>NZL-e_NZ29-220</t>
  </si>
  <si>
    <t>NZL-e_NZ42-220</t>
  </si>
  <si>
    <t>NZL-e_NZ41-220</t>
  </si>
  <si>
    <t>NZL-e_NZ43-220</t>
  </si>
  <si>
    <t>NZL-e_NZ10-220</t>
  </si>
  <si>
    <t>NZL-e_NZ21-220</t>
  </si>
  <si>
    <t>NZL-e_NZ16-220</t>
  </si>
  <si>
    <t>NZL-e_NZ32-220</t>
  </si>
  <si>
    <t>NZL-e_NZ7-220</t>
  </si>
  <si>
    <t>NZL-e_NZ25-220</t>
  </si>
  <si>
    <t>NZL-e_NZ24-220</t>
  </si>
  <si>
    <t>NZL-e_NZ40-220</t>
  </si>
  <si>
    <t>NZL-e_NZ9-220</t>
  </si>
  <si>
    <t>NZL-e_NZ11-220</t>
  </si>
  <si>
    <t>NZL-e_NZ12-220</t>
  </si>
  <si>
    <t>NZL-e_NZ27-220</t>
  </si>
  <si>
    <t>NZL-e_NZ5-220</t>
  </si>
  <si>
    <t>NZL-e_NZ2-220</t>
  </si>
  <si>
    <t>NZL-e_NZ3-220</t>
  </si>
  <si>
    <t>NZL-e_NZ18-220</t>
  </si>
  <si>
    <t>NZL-e_NZ6-220</t>
  </si>
  <si>
    <t>NZL-e_NZ30-220</t>
  </si>
  <si>
    <t>NZL-e_NZ1-220</t>
  </si>
  <si>
    <t>NZL-e_NZ17-220</t>
  </si>
  <si>
    <t>NZL-e_NZ22-220</t>
  </si>
  <si>
    <t>NZL-e_NZ31-220</t>
  </si>
  <si>
    <t>NZL-e_NZ13-220</t>
  </si>
  <si>
    <t>NZL-e_NZ14-220</t>
  </si>
  <si>
    <t>NZL-e_NZ23-220</t>
  </si>
  <si>
    <t>NZL-e_NZ38-220</t>
  </si>
  <si>
    <t>NZL-e_NZ8-220</t>
  </si>
  <si>
    <t>NZL-e_NZ35-220</t>
  </si>
  <si>
    <t>NZL-e_NZ33-220</t>
  </si>
  <si>
    <t>NZL-e_NZ15-220</t>
  </si>
  <si>
    <t>NZL-elc_spv_001</t>
  </si>
  <si>
    <t>NZL-elc_spv_002</t>
  </si>
  <si>
    <t>NZL-elc_spv_003</t>
  </si>
  <si>
    <t>NZL-elc_spv_004</t>
  </si>
  <si>
    <t>NZL-elc_spv_005</t>
  </si>
  <si>
    <t>NZL-elc_spv_006</t>
  </si>
  <si>
    <t>NZL-elc_spv_007</t>
  </si>
  <si>
    <t>NZL-elc_spv_008</t>
  </si>
  <si>
    <t>NZL-elc_spv_009</t>
  </si>
  <si>
    <t>NZL-elc_spv_010</t>
  </si>
  <si>
    <t>NZL-elc_spv_011</t>
  </si>
  <si>
    <t>NZL-elc_spv_012</t>
  </si>
  <si>
    <t>NZL-elc_spv_013</t>
  </si>
  <si>
    <t>NZL-elc_spv_014</t>
  </si>
  <si>
    <t>NZL-elc_spv_015</t>
  </si>
  <si>
    <t>NZL-elc_spv_016</t>
  </si>
  <si>
    <t>NZL-elc_won_001</t>
  </si>
  <si>
    <t>NZL-elc_won_002</t>
  </si>
  <si>
    <t>NZL-elc_won_003</t>
  </si>
  <si>
    <t>NZL-elc_won_004</t>
  </si>
  <si>
    <t>NZL-elc_won_005</t>
  </si>
  <si>
    <t>NZL-elc_won_006</t>
  </si>
  <si>
    <t>NZL-elc_won_007</t>
  </si>
  <si>
    <t>NZL-elc_won_008</t>
  </si>
  <si>
    <t>NZL-elc_won_009</t>
  </si>
  <si>
    <t>NZL-elc_won_010</t>
  </si>
  <si>
    <t>NZL-elc_won_011</t>
  </si>
  <si>
    <t>NZL-elc_won_012</t>
  </si>
  <si>
    <t>NZL-elc_won_013</t>
  </si>
  <si>
    <t>NZL-elc_won_014</t>
  </si>
  <si>
    <t>NZL-elc_won_015</t>
  </si>
  <si>
    <t>NZL-elc_wof_001</t>
  </si>
  <si>
    <t>NZL-elc_wof_002</t>
  </si>
  <si>
    <t>NZL-elc_wof_003</t>
  </si>
  <si>
    <t>NZL-elc_wof_004</t>
  </si>
  <si>
    <t>NZL-elc_wof_005</t>
  </si>
  <si>
    <t>NZL-elc_wof_006</t>
  </si>
  <si>
    <t>NZL-elc_wof_007</t>
  </si>
  <si>
    <t>NZL-elc_wof_008</t>
  </si>
  <si>
    <t>NZL-elc_wof_009</t>
  </si>
  <si>
    <t>NZL-elc_wof_010</t>
  </si>
  <si>
    <t>NZL-elc_wof_011</t>
  </si>
  <si>
    <t>NZL-elc_wof_012</t>
  </si>
  <si>
    <t>NZL-elc_wof_013</t>
  </si>
  <si>
    <t>NZL-elc_wof_014</t>
  </si>
  <si>
    <t>NZL-elc_wof_015</t>
  </si>
  <si>
    <t>NZL-elc_wof_016</t>
  </si>
  <si>
    <t>NZL-elc_wof_017</t>
  </si>
  <si>
    <t>NZL-elc_wof_018</t>
  </si>
  <si>
    <t>NZL-elc_wof_019</t>
  </si>
  <si>
    <t>NZL-elc_wof_020</t>
  </si>
  <si>
    <t>NZL-elc_wof_021</t>
  </si>
  <si>
    <t>NZL-elc_wof_022</t>
  </si>
  <si>
    <t>NZL-elc_wof_023</t>
  </si>
  <si>
    <t>NZL-elc_wof_024</t>
  </si>
  <si>
    <t>NZL-elc_wof_025</t>
  </si>
  <si>
    <t>NZL-elc_wof_026</t>
  </si>
  <si>
    <t>NZL-elc_wof_027</t>
  </si>
  <si>
    <t>NZL-elc_wof_028</t>
  </si>
  <si>
    <t>NZL-elc_wof_029</t>
  </si>
  <si>
    <t>NZL-elc_wof_030</t>
  </si>
  <si>
    <t>NZL-elc_wof_031</t>
  </si>
  <si>
    <t>NZL-elc_wof_032</t>
  </si>
  <si>
    <t>NZL-elc_wof_033</t>
  </si>
  <si>
    <t>sect_*</t>
  </si>
  <si>
    <t>PJ</t>
  </si>
  <si>
    <t>Final Energy</t>
  </si>
  <si>
    <t>eu_Aviation</t>
  </si>
  <si>
    <t>Aviation</t>
  </si>
  <si>
    <t>eu_Bus</t>
  </si>
  <si>
    <t>Bus</t>
  </si>
  <si>
    <t>eu_Cars</t>
  </si>
  <si>
    <t>Cars</t>
  </si>
  <si>
    <t>eu_ClothesDry</t>
  </si>
  <si>
    <t>Clothes dry</t>
  </si>
  <si>
    <t>eu_ClothesWash</t>
  </si>
  <si>
    <t>Clothes wash</t>
  </si>
  <si>
    <t>eu_Cooking</t>
  </si>
  <si>
    <t>Cooking</t>
  </si>
  <si>
    <t>eu_DishWash</t>
  </si>
  <si>
    <t>Dish Wash</t>
  </si>
  <si>
    <t>eu_Irrigation</t>
  </si>
  <si>
    <t>Irrigation</t>
  </si>
  <si>
    <t>eu_Lighting</t>
  </si>
  <si>
    <t>Lighting</t>
  </si>
  <si>
    <t>eu_MotivePower</t>
  </si>
  <si>
    <t>Motive Power</t>
  </si>
  <si>
    <t>eu_Motorcycle</t>
  </si>
  <si>
    <t>Motorcycle</t>
  </si>
  <si>
    <t>eu_ProcessHeat</t>
  </si>
  <si>
    <t>Process Heat</t>
  </si>
  <si>
    <t>eu_Pumping</t>
  </si>
  <si>
    <t>Pumping</t>
  </si>
  <si>
    <t>eu_Rail</t>
  </si>
  <si>
    <t>Rail</t>
  </si>
  <si>
    <t>eu_Refrigeration</t>
  </si>
  <si>
    <t>Refrigeration</t>
  </si>
  <si>
    <t>eu_Ships</t>
  </si>
  <si>
    <t>Ships</t>
  </si>
  <si>
    <t>eu_SpaceCool</t>
  </si>
  <si>
    <t>Space Cool</t>
  </si>
  <si>
    <t>eu_SpaceHeat</t>
  </si>
  <si>
    <t>Space Heat</t>
  </si>
  <si>
    <t>eu_Trucks</t>
  </si>
  <si>
    <t>Trucks</t>
  </si>
  <si>
    <t>eu_WaterHeat</t>
  </si>
  <si>
    <t>Water Heat</t>
  </si>
  <si>
    <t>s_Agriculture</t>
  </si>
  <si>
    <t>Agriculture</t>
  </si>
  <si>
    <t>s_BioProc</t>
  </si>
  <si>
    <t>Bio Processing</t>
  </si>
  <si>
    <t>s_Commercial</t>
  </si>
  <si>
    <t>Commercial</t>
  </si>
  <si>
    <t>s_Hydrogen</t>
  </si>
  <si>
    <t>Hydrogen Prod</t>
  </si>
  <si>
    <t>s_Industry</t>
  </si>
  <si>
    <t>Industry</t>
  </si>
  <si>
    <t>s_Power</t>
  </si>
  <si>
    <t>s_PriExp</t>
  </si>
  <si>
    <t>Primary Exports</t>
  </si>
  <si>
    <t>s_PriImp</t>
  </si>
  <si>
    <t>Primary Imports</t>
  </si>
  <si>
    <t>s_PriProd</t>
  </si>
  <si>
    <t>Primary Production</t>
  </si>
  <si>
    <t>s_Refinery</t>
  </si>
  <si>
    <t>Refinery</t>
  </si>
  <si>
    <t>s_Residential</t>
  </si>
  <si>
    <t>Residential</t>
  </si>
  <si>
    <t>s_Storage</t>
  </si>
  <si>
    <t>Storage</t>
  </si>
  <si>
    <t>s_Transport</t>
  </si>
  <si>
    <t>Transport</t>
  </si>
  <si>
    <t>ss_Attached</t>
  </si>
  <si>
    <t>Attached</t>
  </si>
  <si>
    <t>ss_Chemicals</t>
  </si>
  <si>
    <t>Chemicals</t>
  </si>
  <si>
    <t>ss_Construction</t>
  </si>
  <si>
    <t>Construction</t>
  </si>
  <si>
    <t>ss_Dairy</t>
  </si>
  <si>
    <t>Dairy</t>
  </si>
  <si>
    <t>ss_DairyCattleFarming</t>
  </si>
  <si>
    <t>Dairy Cattle Farming</t>
  </si>
  <si>
    <t>ss_Detached</t>
  </si>
  <si>
    <t>Detached</t>
  </si>
  <si>
    <t>ss_Education</t>
  </si>
  <si>
    <t>Education</t>
  </si>
  <si>
    <t>ss_Fishing</t>
  </si>
  <si>
    <t>Fishing</t>
  </si>
  <si>
    <t>ss_Food</t>
  </si>
  <si>
    <t>Food</t>
  </si>
  <si>
    <t>ss_Forestry</t>
  </si>
  <si>
    <t>Forestry</t>
  </si>
  <si>
    <t>ss_Healthcare</t>
  </si>
  <si>
    <t>Healthcare</t>
  </si>
  <si>
    <t>ss_Horticulture</t>
  </si>
  <si>
    <t>Horticulture</t>
  </si>
  <si>
    <t>ss_Indoorcropping</t>
  </si>
  <si>
    <t>Indoor cropping</t>
  </si>
  <si>
    <t>ss_Livestock</t>
  </si>
  <si>
    <t>Livestock</t>
  </si>
  <si>
    <t>ss_Meat</t>
  </si>
  <si>
    <t>Meat</t>
  </si>
  <si>
    <t>ss_Metals</t>
  </si>
  <si>
    <t>Metals</t>
  </si>
  <si>
    <t>ss_Methanol</t>
  </si>
  <si>
    <t>Methanol</t>
  </si>
  <si>
    <t>ss_Minerals</t>
  </si>
  <si>
    <t>Minerals</t>
  </si>
  <si>
    <t>ss_Mining</t>
  </si>
  <si>
    <t>Mining</t>
  </si>
  <si>
    <t>ss_Office</t>
  </si>
  <si>
    <t>Office</t>
  </si>
  <si>
    <t>ss_OtherInd</t>
  </si>
  <si>
    <t>Other Ind</t>
  </si>
  <si>
    <t>ss_OtherAgri</t>
  </si>
  <si>
    <t>Other Agri</t>
  </si>
  <si>
    <t>ss_OtherCom</t>
  </si>
  <si>
    <t>Other Com</t>
  </si>
  <si>
    <t>ss_Paper</t>
  </si>
  <si>
    <t>Paper</t>
  </si>
  <si>
    <t>ss_Refining</t>
  </si>
  <si>
    <t>Refining</t>
  </si>
  <si>
    <t>ss_Steel</t>
  </si>
  <si>
    <t>Steel</t>
  </si>
  <si>
    <t>ss_Urea</t>
  </si>
  <si>
    <t>Urea</t>
  </si>
  <si>
    <t>ss_WoodProdMfg</t>
  </si>
  <si>
    <t>Wood Prod Mfg</t>
  </si>
  <si>
    <t>ss_WSR</t>
  </si>
  <si>
    <t>WSR</t>
  </si>
  <si>
    <t>enduse</t>
  </si>
  <si>
    <t>subsector</t>
  </si>
  <si>
    <t>*CO2,-TOT*</t>
  </si>
  <si>
    <t>nrg_COA</t>
  </si>
  <si>
    <t>Coal</t>
  </si>
  <si>
    <t>nrg_DSL</t>
  </si>
  <si>
    <t>Diesel</t>
  </si>
  <si>
    <t>nrg_ELC</t>
  </si>
  <si>
    <t xml:space="preserve">Electricity </t>
  </si>
  <si>
    <t>nrg_FOL</t>
  </si>
  <si>
    <t>Fuel Oil</t>
  </si>
  <si>
    <t>nrg_GEO</t>
  </si>
  <si>
    <t>Geothermal</t>
  </si>
  <si>
    <t>nrg_H2R</t>
  </si>
  <si>
    <t>nrg_LPG</t>
  </si>
  <si>
    <t>LPG</t>
  </si>
  <si>
    <t>nrg_NGA</t>
  </si>
  <si>
    <t>Natural Gas</t>
  </si>
  <si>
    <t>nrg_PET</t>
  </si>
  <si>
    <t>Petrol</t>
  </si>
  <si>
    <t>nrg_PLT</t>
  </si>
  <si>
    <t>Pellet</t>
  </si>
  <si>
    <t>nrg_WOD</t>
  </si>
  <si>
    <t>Wood</t>
  </si>
  <si>
    <t>nrg_WST</t>
  </si>
  <si>
    <t>Waste</t>
  </si>
  <si>
    <t>nrg_MNR</t>
  </si>
  <si>
    <t>Manure</t>
  </si>
  <si>
    <t>nrg_BIG</t>
  </si>
  <si>
    <t>Biogas</t>
  </si>
  <si>
    <t>nrg_BIL</t>
  </si>
  <si>
    <t>Bioliquid</t>
  </si>
  <si>
    <t>nrg_COL</t>
  </si>
  <si>
    <t>Lignite</t>
  </si>
  <si>
    <t>nrg_seq</t>
  </si>
  <si>
    <t>CO2 to CCS</t>
  </si>
  <si>
    <t>nrg_CO2</t>
  </si>
  <si>
    <t>CO2</t>
  </si>
  <si>
    <t>nrg_DID</t>
  </si>
  <si>
    <t>Drop-In Diesel</t>
  </si>
  <si>
    <t>nrg_DIJ</t>
  </si>
  <si>
    <t>Drop-In Jet</t>
  </si>
  <si>
    <t>nrg_LCD</t>
  </si>
  <si>
    <t>Electricity Production</t>
  </si>
  <si>
    <t>nrg_CDD</t>
  </si>
  <si>
    <t>nrg_-HV</t>
  </si>
  <si>
    <t>nrg_HYD</t>
  </si>
  <si>
    <t>Hydro</t>
  </si>
  <si>
    <t>nrg_-MV</t>
  </si>
  <si>
    <t>nrg_OIL</t>
  </si>
  <si>
    <t>Oil</t>
  </si>
  <si>
    <t>nrg_SOL</t>
  </si>
  <si>
    <t>nrg_TID</t>
  </si>
  <si>
    <t>Tidal</t>
  </si>
  <si>
    <t>nrg_URN</t>
  </si>
  <si>
    <t>Uranium</t>
  </si>
  <si>
    <t>nrg_WIN</t>
  </si>
  <si>
    <t>nrg_H2C</t>
  </si>
  <si>
    <t>nrg_H2D</t>
  </si>
  <si>
    <t>nrg_JET</t>
  </si>
  <si>
    <t>Jet Fuel</t>
  </si>
  <si>
    <t>nrg_LNG</t>
  </si>
  <si>
    <t>LNG</t>
  </si>
  <si>
    <t>nrg_ILD</t>
  </si>
  <si>
    <t>Crude Oil (domestic)</t>
  </si>
  <si>
    <t>nrg_ILI</t>
  </si>
  <si>
    <t>Crude Oil (imported)</t>
  </si>
  <si>
    <t>nrg_OTH</t>
  </si>
  <si>
    <t>Other Oil</t>
  </si>
  <si>
    <t>fuel</t>
  </si>
  <si>
    <t>Green Hydrogen Fuel</t>
  </si>
  <si>
    <t>-ev_bat*</t>
  </si>
  <si>
    <t>t*car,t*trk</t>
  </si>
  <si>
    <t>000veh</t>
  </si>
  <si>
    <t>T*</t>
  </si>
  <si>
    <t>Tra_vehicles</t>
  </si>
  <si>
    <t>DEM</t>
  </si>
  <si>
    <t>bvkm</t>
  </si>
  <si>
    <t>Tra_bvkm</t>
  </si>
  <si>
    <t>*ICE*</t>
  </si>
  <si>
    <t>*HYB*</t>
  </si>
  <si>
    <t>Hybrid</t>
  </si>
  <si>
    <t>T[_]*</t>
  </si>
  <si>
    <t>*PHEV*</t>
  </si>
  <si>
    <t>Plug-in Hyb</t>
  </si>
  <si>
    <t>*BEV*</t>
  </si>
  <si>
    <t>Batt EV</t>
  </si>
  <si>
    <t>*FCH*</t>
  </si>
  <si>
    <t>1tui.j12</t>
  </si>
  <si>
    <t>tui</t>
  </si>
  <si>
    <t>2kea.j12</t>
  </si>
  <si>
    <t>kea</t>
  </si>
  <si>
    <t>0bas.j12</t>
  </si>
  <si>
    <t>bas</t>
  </si>
  <si>
    <t>3nz.j12</t>
  </si>
  <si>
    <t>nz</t>
  </si>
  <si>
    <t>1_Ref</t>
  </si>
  <si>
    <t>Agriculture_NE</t>
  </si>
  <si>
    <t>IPPU</t>
  </si>
  <si>
    <t>3_1.5deg</t>
  </si>
  <si>
    <t>2_2.5deg</t>
  </si>
  <si>
    <t>CCC</t>
  </si>
  <si>
    <t>model</t>
  </si>
  <si>
    <t>sector</t>
  </si>
  <si>
    <t>varbl</t>
  </si>
  <si>
    <t>unit</t>
  </si>
  <si>
    <t>year</t>
  </si>
  <si>
    <t>val</t>
  </si>
  <si>
    <t>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</si>
</sst>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L26" sqref="L26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36</v>
      </c>
    </row>
    <row r="2" spans="2:24">
      <c r="I2" t="s">
        <v>281</v>
      </c>
      <c r="J2" t="s">
        <v>120</v>
      </c>
    </row>
    <row r="4" spans="2:24">
      <c r="B4" t="s">
        <v>58</v>
      </c>
      <c r="H4" t="s">
        <v>59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sg_climate</v>
      </c>
      <c r="J5" t="str">
        <f>"sg_"&amp;J2</f>
        <v>sg_timeslice</v>
      </c>
      <c r="N5" t="s">
        <v>278</v>
      </c>
      <c r="O5" t="s">
        <v>279</v>
      </c>
      <c r="P5" t="s">
        <v>280</v>
      </c>
      <c r="Q5" t="s">
        <v>120</v>
      </c>
      <c r="R5" t="s">
        <v>281</v>
      </c>
    </row>
    <row r="6" spans="2:24">
      <c r="B6" t="str">
        <f>"vs~"&amp;TEXT(P6,"0000")</f>
        <v>vs~0001</v>
      </c>
      <c r="C6" t="str">
        <f>H6</f>
        <v>1tui.j12</v>
      </c>
      <c r="H6" t="str">
        <f>O6</f>
        <v>1tui.j12</v>
      </c>
      <c r="I6" t="str">
        <f>R6</f>
        <v>tui</v>
      </c>
      <c r="J6" t="str">
        <f>VLOOKUP(Q6,$T$6:$U$20,2,FALSE)</f>
        <v>j12</v>
      </c>
      <c r="L6" t="s">
        <v>236</v>
      </c>
      <c r="N6">
        <v>5</v>
      </c>
      <c r="O6" t="s">
        <v>1208</v>
      </c>
      <c r="P6">
        <v>1</v>
      </c>
      <c r="Q6" t="s">
        <v>290</v>
      </c>
      <c r="R6" t="s">
        <v>1209</v>
      </c>
      <c r="T6" t="s">
        <v>230</v>
      </c>
      <c r="U6" t="s">
        <v>356</v>
      </c>
      <c r="W6" t="s">
        <v>267</v>
      </c>
      <c r="X6" t="s">
        <v>244</v>
      </c>
    </row>
    <row r="7" spans="2:24">
      <c r="B7" t="str">
        <f t="shared" ref="B7:B60" si="0">"vs~"&amp;TEXT(P7,"0000")</f>
        <v>vs~0002</v>
      </c>
      <c r="C7" t="str">
        <f t="shared" ref="C7:C26" si="1">H7</f>
        <v>2kea.j12</v>
      </c>
      <c r="H7" t="str">
        <f t="shared" ref="H7:H9" si="2">O7</f>
        <v>2kea.j12</v>
      </c>
      <c r="I7" t="str">
        <f t="shared" ref="I7:I9" si="3">R7</f>
        <v>kea</v>
      </c>
      <c r="J7" t="str">
        <f t="shared" ref="J7:J60" si="4">VLOOKUP(Q7,$T$6:$U$20,2,FALSE)</f>
        <v>j12</v>
      </c>
      <c r="L7" t="s">
        <v>237</v>
      </c>
      <c r="N7">
        <v>5</v>
      </c>
      <c r="O7" t="s">
        <v>1210</v>
      </c>
      <c r="P7">
        <v>2</v>
      </c>
      <c r="Q7" t="s">
        <v>290</v>
      </c>
      <c r="R7" t="s">
        <v>1211</v>
      </c>
      <c r="T7" t="s">
        <v>284</v>
      </c>
      <c r="U7" t="s">
        <v>357</v>
      </c>
      <c r="W7" t="s">
        <v>268</v>
      </c>
      <c r="X7" t="s">
        <v>243</v>
      </c>
    </row>
    <row r="8" spans="2:24">
      <c r="B8" t="str">
        <f t="shared" si="0"/>
        <v>vs~0003</v>
      </c>
      <c r="C8" t="str">
        <f t="shared" si="1"/>
        <v>0bas.j12</v>
      </c>
      <c r="H8" t="str">
        <f t="shared" si="2"/>
        <v>0bas.j12</v>
      </c>
      <c r="I8" t="str">
        <f t="shared" si="3"/>
        <v>bas</v>
      </c>
      <c r="J8" t="str">
        <f t="shared" si="4"/>
        <v>j12</v>
      </c>
      <c r="L8" t="s">
        <v>238</v>
      </c>
      <c r="N8">
        <v>5</v>
      </c>
      <c r="O8" t="s">
        <v>1212</v>
      </c>
      <c r="P8">
        <v>3</v>
      </c>
      <c r="Q8" t="s">
        <v>290</v>
      </c>
      <c r="R8" t="s">
        <v>1213</v>
      </c>
      <c r="T8" t="s">
        <v>290</v>
      </c>
      <c r="U8" t="s">
        <v>358</v>
      </c>
      <c r="W8" t="s">
        <v>269</v>
      </c>
      <c r="X8" t="s">
        <v>242</v>
      </c>
    </row>
    <row r="9" spans="2:24">
      <c r="B9" t="str">
        <f t="shared" si="0"/>
        <v>vs~0004</v>
      </c>
      <c r="C9" t="str">
        <f t="shared" si="1"/>
        <v>3nz.j12</v>
      </c>
      <c r="H9" t="str">
        <f t="shared" si="2"/>
        <v>3nz.j12</v>
      </c>
      <c r="I9" t="str">
        <f t="shared" si="3"/>
        <v>nz</v>
      </c>
      <c r="J9" t="str">
        <f t="shared" si="4"/>
        <v>j12</v>
      </c>
      <c r="L9" t="s">
        <v>239</v>
      </c>
      <c r="N9">
        <v>5</v>
      </c>
      <c r="O9" t="s">
        <v>1214</v>
      </c>
      <c r="P9">
        <v>4</v>
      </c>
      <c r="Q9" t="s">
        <v>290</v>
      </c>
      <c r="R9" t="s">
        <v>1215</v>
      </c>
      <c r="T9" t="s">
        <v>296</v>
      </c>
      <c r="U9" t="s">
        <v>359</v>
      </c>
      <c r="W9" t="s">
        <v>270</v>
      </c>
      <c r="X9" t="s">
        <v>241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ref="H10:H60" si="5">_xlfn.TEXTJOIN(".",TRUE,I10:J10)</f>
        <v>a 3 deg.kAnn</v>
      </c>
      <c r="I10" t="str">
        <f t="shared" ref="I10:I60" si="6">VLOOKUP(R10,$W$6:$X$12,2,FALSE)</f>
        <v>a 3 deg</v>
      </c>
      <c r="J10" t="str">
        <f t="shared" si="4"/>
        <v>kAnn</v>
      </c>
      <c r="L10" t="s">
        <v>240</v>
      </c>
      <c r="N10">
        <v>5</v>
      </c>
      <c r="O10" t="s">
        <v>282</v>
      </c>
      <c r="P10">
        <v>5</v>
      </c>
      <c r="Q10" t="s">
        <v>230</v>
      </c>
      <c r="R10" t="s">
        <v>271</v>
      </c>
      <c r="T10" t="s">
        <v>302</v>
      </c>
      <c r="U10" t="s">
        <v>360</v>
      </c>
      <c r="W10" t="s">
        <v>271</v>
      </c>
      <c r="X10" t="s">
        <v>245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5"/>
        <v>e 1.5 deg no OS.k12</v>
      </c>
      <c r="I11" t="str">
        <f t="shared" si="6"/>
        <v>e 1.5 deg no OS</v>
      </c>
      <c r="J11" t="str">
        <f t="shared" si="4"/>
        <v>k12</v>
      </c>
      <c r="N11">
        <v>5</v>
      </c>
      <c r="O11" t="s">
        <v>283</v>
      </c>
      <c r="P11">
        <v>6</v>
      </c>
      <c r="Q11" t="s">
        <v>284</v>
      </c>
      <c r="R11" t="s">
        <v>267</v>
      </c>
      <c r="T11" t="s">
        <v>308</v>
      </c>
      <c r="U11" t="s">
        <v>361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5"/>
        <v>d 1.5 deg OS.k12</v>
      </c>
      <c r="I12" t="str">
        <f t="shared" si="6"/>
        <v>d 1.5 deg OS</v>
      </c>
      <c r="J12" t="str">
        <f t="shared" si="4"/>
        <v>k12</v>
      </c>
      <c r="N12">
        <v>5</v>
      </c>
      <c r="O12" t="s">
        <v>285</v>
      </c>
      <c r="P12">
        <v>7</v>
      </c>
      <c r="Q12" t="s">
        <v>284</v>
      </c>
      <c r="R12" t="s">
        <v>268</v>
      </c>
      <c r="T12" t="s">
        <v>314</v>
      </c>
      <c r="U12" t="s">
        <v>364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5"/>
        <v>c 2 deg (67%).k12</v>
      </c>
      <c r="I13" t="str">
        <f t="shared" si="6"/>
        <v>c 2 deg (67%)</v>
      </c>
      <c r="J13" t="str">
        <f t="shared" si="4"/>
        <v>k12</v>
      </c>
      <c r="N13">
        <v>5</v>
      </c>
      <c r="O13" t="s">
        <v>286</v>
      </c>
      <c r="P13">
        <v>8</v>
      </c>
      <c r="Q13" t="s">
        <v>284</v>
      </c>
      <c r="R13" t="s">
        <v>269</v>
      </c>
      <c r="T13" t="s">
        <v>320</v>
      </c>
      <c r="U13" t="s">
        <v>362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5"/>
        <v>b 2 deg (50%).k12</v>
      </c>
      <c r="I14" t="str">
        <f t="shared" si="6"/>
        <v>b 2 deg (50%)</v>
      </c>
      <c r="J14" t="str">
        <f t="shared" si="4"/>
        <v>k12</v>
      </c>
      <c r="N14">
        <v>5</v>
      </c>
      <c r="O14" t="s">
        <v>287</v>
      </c>
      <c r="P14">
        <v>9</v>
      </c>
      <c r="Q14" t="s">
        <v>284</v>
      </c>
      <c r="R14" t="s">
        <v>270</v>
      </c>
      <c r="T14" t="s">
        <v>326</v>
      </c>
      <c r="U14" t="s">
        <v>363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5"/>
        <v>a 3 deg.k12</v>
      </c>
      <c r="I15" t="str">
        <f t="shared" si="6"/>
        <v>a 3 deg</v>
      </c>
      <c r="J15" t="str">
        <f t="shared" si="4"/>
        <v>k12</v>
      </c>
      <c r="N15">
        <v>5</v>
      </c>
      <c r="O15" t="s">
        <v>288</v>
      </c>
      <c r="P15">
        <v>10</v>
      </c>
      <c r="Q15" t="s">
        <v>284</v>
      </c>
      <c r="R15" t="s">
        <v>271</v>
      </c>
      <c r="T15" t="s">
        <v>225</v>
      </c>
      <c r="U15" t="s">
        <v>235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5"/>
        <v>e 1.5 deg no OS.j12</v>
      </c>
      <c r="I16" t="str">
        <f t="shared" si="6"/>
        <v>e 1.5 deg no OS</v>
      </c>
      <c r="J16" t="str">
        <f t="shared" si="4"/>
        <v>j12</v>
      </c>
      <c r="N16">
        <v>5</v>
      </c>
      <c r="O16" t="s">
        <v>289</v>
      </c>
      <c r="P16">
        <v>11</v>
      </c>
      <c r="Q16" t="s">
        <v>290</v>
      </c>
      <c r="R16" t="s">
        <v>267</v>
      </c>
      <c r="T16" t="s">
        <v>226</v>
      </c>
      <c r="U16" t="s">
        <v>232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5"/>
        <v>d 1.5 deg OS.j12</v>
      </c>
      <c r="I17" t="str">
        <f t="shared" si="6"/>
        <v>d 1.5 deg OS</v>
      </c>
      <c r="J17" t="str">
        <f t="shared" si="4"/>
        <v>j12</v>
      </c>
      <c r="N17">
        <v>5</v>
      </c>
      <c r="O17" t="s">
        <v>291</v>
      </c>
      <c r="P17">
        <v>12</v>
      </c>
      <c r="Q17" t="s">
        <v>290</v>
      </c>
      <c r="R17" t="s">
        <v>268</v>
      </c>
      <c r="T17" t="s">
        <v>229</v>
      </c>
      <c r="U17" t="s">
        <v>234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5"/>
        <v>c 2 deg (67%).j12</v>
      </c>
      <c r="I18" t="str">
        <f t="shared" si="6"/>
        <v>c 2 deg (67%)</v>
      </c>
      <c r="J18" t="str">
        <f t="shared" si="4"/>
        <v>j12</v>
      </c>
      <c r="N18">
        <v>5</v>
      </c>
      <c r="O18" t="s">
        <v>292</v>
      </c>
      <c r="P18">
        <v>13</v>
      </c>
      <c r="Q18" t="s">
        <v>290</v>
      </c>
      <c r="R18" t="s">
        <v>269</v>
      </c>
      <c r="T18" t="s">
        <v>227</v>
      </c>
      <c r="U18" t="s">
        <v>233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5"/>
        <v>b 2 deg (50%).j12</v>
      </c>
      <c r="I19" t="str">
        <f t="shared" si="6"/>
        <v>b 2 deg (50%)</v>
      </c>
      <c r="J19" t="str">
        <f t="shared" si="4"/>
        <v>j12</v>
      </c>
      <c r="N19">
        <v>5</v>
      </c>
      <c r="O19" t="s">
        <v>293</v>
      </c>
      <c r="P19">
        <v>14</v>
      </c>
      <c r="Q19" t="s">
        <v>290</v>
      </c>
      <c r="R19" t="s">
        <v>270</v>
      </c>
      <c r="T19" t="s">
        <v>228</v>
      </c>
      <c r="U19" t="s">
        <v>231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5"/>
        <v>a 3 deg.j12</v>
      </c>
      <c r="I20" t="str">
        <f t="shared" si="6"/>
        <v>a 3 deg</v>
      </c>
      <c r="J20" t="str">
        <f t="shared" si="4"/>
        <v>j12</v>
      </c>
      <c r="N20">
        <v>5</v>
      </c>
      <c r="O20" t="s">
        <v>294</v>
      </c>
      <c r="P20">
        <v>15</v>
      </c>
      <c r="Q20" t="s">
        <v>290</v>
      </c>
      <c r="R20" t="s">
        <v>271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5"/>
        <v>e 1.5 deg no OS.i24</v>
      </c>
      <c r="I21" t="str">
        <f t="shared" si="6"/>
        <v>e 1.5 deg no OS</v>
      </c>
      <c r="J21" t="str">
        <f t="shared" si="4"/>
        <v>i24</v>
      </c>
      <c r="N21">
        <v>5</v>
      </c>
      <c r="O21" t="s">
        <v>295</v>
      </c>
      <c r="P21">
        <v>16</v>
      </c>
      <c r="Q21" t="s">
        <v>296</v>
      </c>
      <c r="R21" t="s">
        <v>267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5"/>
        <v>d 1.5 deg OS.i24</v>
      </c>
      <c r="I22" t="str">
        <f t="shared" si="6"/>
        <v>d 1.5 deg OS</v>
      </c>
      <c r="J22" t="str">
        <f t="shared" si="4"/>
        <v>i24</v>
      </c>
      <c r="N22">
        <v>5</v>
      </c>
      <c r="O22" t="s">
        <v>297</v>
      </c>
      <c r="P22">
        <v>17</v>
      </c>
      <c r="Q22" t="s">
        <v>296</v>
      </c>
      <c r="R22" t="s">
        <v>268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5"/>
        <v>c 2 deg (67%).i24</v>
      </c>
      <c r="I23" t="str">
        <f t="shared" si="6"/>
        <v>c 2 deg (67%)</v>
      </c>
      <c r="J23" t="str">
        <f t="shared" si="4"/>
        <v>i24</v>
      </c>
      <c r="N23">
        <v>5</v>
      </c>
      <c r="O23" t="s">
        <v>298</v>
      </c>
      <c r="P23">
        <v>18</v>
      </c>
      <c r="Q23" t="s">
        <v>296</v>
      </c>
      <c r="R23" t="s">
        <v>269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5"/>
        <v>b 2 deg (50%).i24</v>
      </c>
      <c r="I24" t="str">
        <f t="shared" si="6"/>
        <v>b 2 deg (50%)</v>
      </c>
      <c r="J24" t="str">
        <f t="shared" si="4"/>
        <v>i24</v>
      </c>
      <c r="N24">
        <v>5</v>
      </c>
      <c r="O24" t="s">
        <v>299</v>
      </c>
      <c r="P24">
        <v>19</v>
      </c>
      <c r="Q24" t="s">
        <v>296</v>
      </c>
      <c r="R24" t="s">
        <v>270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5"/>
        <v>a 3 deg.i24</v>
      </c>
      <c r="I25" t="str">
        <f t="shared" si="6"/>
        <v>a 3 deg</v>
      </c>
      <c r="J25" t="str">
        <f t="shared" si="4"/>
        <v>i24</v>
      </c>
      <c r="N25">
        <v>5</v>
      </c>
      <c r="O25" t="s">
        <v>300</v>
      </c>
      <c r="P25">
        <v>20</v>
      </c>
      <c r="Q25" t="s">
        <v>296</v>
      </c>
      <c r="R25" t="s">
        <v>271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5"/>
        <v>e 1.5 deg no OS.h48</v>
      </c>
      <c r="I26" t="str">
        <f t="shared" si="6"/>
        <v>e 1.5 deg no OS</v>
      </c>
      <c r="J26" t="str">
        <f t="shared" si="4"/>
        <v>h48</v>
      </c>
      <c r="N26">
        <v>5</v>
      </c>
      <c r="O26" t="s">
        <v>301</v>
      </c>
      <c r="P26">
        <v>21</v>
      </c>
      <c r="Q26" t="s">
        <v>302</v>
      </c>
      <c r="R26" t="s">
        <v>267</v>
      </c>
    </row>
    <row r="27" spans="2:21">
      <c r="B27" t="str">
        <f t="shared" si="0"/>
        <v>vs~0022</v>
      </c>
      <c r="C27" t="str">
        <f t="shared" ref="C27:C40" si="7">H27</f>
        <v>d 1.5 deg OS.h48</v>
      </c>
      <c r="H27" t="str">
        <f t="shared" si="5"/>
        <v>d 1.5 deg OS.h48</v>
      </c>
      <c r="I27" t="str">
        <f t="shared" si="6"/>
        <v>d 1.5 deg OS</v>
      </c>
      <c r="J27" t="str">
        <f t="shared" si="4"/>
        <v>h48</v>
      </c>
      <c r="N27">
        <v>5</v>
      </c>
      <c r="O27" t="s">
        <v>303</v>
      </c>
      <c r="P27">
        <v>22</v>
      </c>
      <c r="Q27" t="s">
        <v>302</v>
      </c>
      <c r="R27" t="s">
        <v>268</v>
      </c>
    </row>
    <row r="28" spans="2:21">
      <c r="B28" t="str">
        <f t="shared" si="0"/>
        <v>vs~0023</v>
      </c>
      <c r="C28" t="str">
        <f t="shared" si="7"/>
        <v>c 2 deg (67%).h48</v>
      </c>
      <c r="H28" t="str">
        <f t="shared" si="5"/>
        <v>c 2 deg (67%).h48</v>
      </c>
      <c r="I28" t="str">
        <f t="shared" si="6"/>
        <v>c 2 deg (67%)</v>
      </c>
      <c r="J28" t="str">
        <f t="shared" si="4"/>
        <v>h48</v>
      </c>
      <c r="N28">
        <v>5</v>
      </c>
      <c r="O28" t="s">
        <v>304</v>
      </c>
      <c r="P28">
        <v>23</v>
      </c>
      <c r="Q28" t="s">
        <v>302</v>
      </c>
      <c r="R28" t="s">
        <v>269</v>
      </c>
    </row>
    <row r="29" spans="2:21">
      <c r="B29" t="str">
        <f t="shared" si="0"/>
        <v>vs~0024</v>
      </c>
      <c r="C29" t="str">
        <f t="shared" si="7"/>
        <v>b 2 deg (50%).h48</v>
      </c>
      <c r="H29" t="str">
        <f t="shared" si="5"/>
        <v>b 2 deg (50%).h48</v>
      </c>
      <c r="I29" t="str">
        <f t="shared" si="6"/>
        <v>b 2 deg (50%)</v>
      </c>
      <c r="J29" t="str">
        <f t="shared" si="4"/>
        <v>h48</v>
      </c>
      <c r="N29">
        <v>5</v>
      </c>
      <c r="O29" t="s">
        <v>305</v>
      </c>
      <c r="P29">
        <v>24</v>
      </c>
      <c r="Q29" t="s">
        <v>302</v>
      </c>
      <c r="R29" t="s">
        <v>270</v>
      </c>
    </row>
    <row r="30" spans="2:21">
      <c r="B30" t="str">
        <f t="shared" si="0"/>
        <v>vs~0025</v>
      </c>
      <c r="C30" t="str">
        <f t="shared" si="7"/>
        <v>a 3 deg.h48</v>
      </c>
      <c r="H30" t="str">
        <f t="shared" si="5"/>
        <v>a 3 deg.h48</v>
      </c>
      <c r="I30" t="str">
        <f t="shared" si="6"/>
        <v>a 3 deg</v>
      </c>
      <c r="J30" t="str">
        <f t="shared" si="4"/>
        <v>h48</v>
      </c>
      <c r="N30">
        <v>5</v>
      </c>
      <c r="O30" t="s">
        <v>306</v>
      </c>
      <c r="P30">
        <v>25</v>
      </c>
      <c r="Q30" t="s">
        <v>302</v>
      </c>
      <c r="R30" t="s">
        <v>271</v>
      </c>
    </row>
    <row r="31" spans="2:21">
      <c r="B31" t="str">
        <f t="shared" si="0"/>
        <v>vs~0026</v>
      </c>
      <c r="C31" t="str">
        <f t="shared" si="7"/>
        <v>e 1.5 deg no OS.g64</v>
      </c>
      <c r="H31" t="str">
        <f t="shared" si="5"/>
        <v>e 1.5 deg no OS.g64</v>
      </c>
      <c r="I31" t="str">
        <f t="shared" si="6"/>
        <v>e 1.5 deg no OS</v>
      </c>
      <c r="J31" t="str">
        <f t="shared" si="4"/>
        <v>g64</v>
      </c>
      <c r="N31">
        <v>5</v>
      </c>
      <c r="O31" t="s">
        <v>307</v>
      </c>
      <c r="P31">
        <v>26</v>
      </c>
      <c r="Q31" t="s">
        <v>308</v>
      </c>
      <c r="R31" t="s">
        <v>267</v>
      </c>
    </row>
    <row r="32" spans="2:21">
      <c r="B32" t="str">
        <f t="shared" si="0"/>
        <v>vs~0027</v>
      </c>
      <c r="C32" t="str">
        <f t="shared" si="7"/>
        <v>d 1.5 deg OS.g64</v>
      </c>
      <c r="H32" t="str">
        <f t="shared" si="5"/>
        <v>d 1.5 deg OS.g64</v>
      </c>
      <c r="I32" t="str">
        <f t="shared" si="6"/>
        <v>d 1.5 deg OS</v>
      </c>
      <c r="J32" t="str">
        <f t="shared" si="4"/>
        <v>g64</v>
      </c>
      <c r="N32">
        <v>5</v>
      </c>
      <c r="O32" t="s">
        <v>309</v>
      </c>
      <c r="P32">
        <v>27</v>
      </c>
      <c r="Q32" t="s">
        <v>308</v>
      </c>
      <c r="R32" t="s">
        <v>268</v>
      </c>
    </row>
    <row r="33" spans="2:18">
      <c r="B33" t="str">
        <f t="shared" si="0"/>
        <v>vs~0028</v>
      </c>
      <c r="C33" t="str">
        <f t="shared" si="7"/>
        <v>c 2 deg (67%).g64</v>
      </c>
      <c r="H33" t="str">
        <f t="shared" si="5"/>
        <v>c 2 deg (67%).g64</v>
      </c>
      <c r="I33" t="str">
        <f t="shared" si="6"/>
        <v>c 2 deg (67%)</v>
      </c>
      <c r="J33" t="str">
        <f t="shared" si="4"/>
        <v>g64</v>
      </c>
      <c r="N33">
        <v>5</v>
      </c>
      <c r="O33" t="s">
        <v>310</v>
      </c>
      <c r="P33">
        <v>28</v>
      </c>
      <c r="Q33" t="s">
        <v>308</v>
      </c>
      <c r="R33" t="s">
        <v>269</v>
      </c>
    </row>
    <row r="34" spans="2:18">
      <c r="B34" t="str">
        <f t="shared" si="0"/>
        <v>vs~0029</v>
      </c>
      <c r="C34" t="str">
        <f t="shared" si="7"/>
        <v>b 2 deg (50%).g64</v>
      </c>
      <c r="H34" t="str">
        <f t="shared" si="5"/>
        <v>b 2 deg (50%).g64</v>
      </c>
      <c r="I34" t="str">
        <f t="shared" si="6"/>
        <v>b 2 deg (50%)</v>
      </c>
      <c r="J34" t="str">
        <f t="shared" si="4"/>
        <v>g64</v>
      </c>
      <c r="N34">
        <v>5</v>
      </c>
      <c r="O34" t="s">
        <v>311</v>
      </c>
      <c r="P34">
        <v>29</v>
      </c>
      <c r="Q34" t="s">
        <v>308</v>
      </c>
      <c r="R34" t="s">
        <v>270</v>
      </c>
    </row>
    <row r="35" spans="2:18">
      <c r="B35" t="str">
        <f t="shared" si="0"/>
        <v>vs~0030</v>
      </c>
      <c r="C35" t="str">
        <f t="shared" si="7"/>
        <v>a 3 deg.g64</v>
      </c>
      <c r="H35" t="str">
        <f t="shared" si="5"/>
        <v>a 3 deg.g64</v>
      </c>
      <c r="I35" t="str">
        <f t="shared" si="6"/>
        <v>a 3 deg</v>
      </c>
      <c r="J35" t="str">
        <f t="shared" si="4"/>
        <v>g64</v>
      </c>
      <c r="N35">
        <v>5</v>
      </c>
      <c r="O35" t="s">
        <v>312</v>
      </c>
      <c r="P35">
        <v>30</v>
      </c>
      <c r="Q35" t="s">
        <v>308</v>
      </c>
      <c r="R35" t="s">
        <v>271</v>
      </c>
    </row>
    <row r="36" spans="2:18">
      <c r="B36" t="str">
        <f t="shared" si="0"/>
        <v>vs~0031</v>
      </c>
      <c r="C36" t="str">
        <f t="shared" si="7"/>
        <v>e 1.5 deg no OS.f96p50</v>
      </c>
      <c r="H36" t="str">
        <f t="shared" si="5"/>
        <v>e 1.5 deg no OS.f96p50</v>
      </c>
      <c r="I36" t="str">
        <f t="shared" si="6"/>
        <v>e 1.5 deg no OS</v>
      </c>
      <c r="J36" t="str">
        <f t="shared" si="4"/>
        <v>f96p50</v>
      </c>
      <c r="N36">
        <v>5</v>
      </c>
      <c r="O36" t="s">
        <v>313</v>
      </c>
      <c r="P36">
        <v>31</v>
      </c>
      <c r="Q36" t="s">
        <v>314</v>
      </c>
      <c r="R36" t="s">
        <v>267</v>
      </c>
    </row>
    <row r="37" spans="2:18">
      <c r="B37" t="str">
        <f t="shared" si="0"/>
        <v>vs~0032</v>
      </c>
      <c r="C37" t="str">
        <f t="shared" si="7"/>
        <v>d 1.5 deg OS.f96p50</v>
      </c>
      <c r="H37" t="str">
        <f t="shared" si="5"/>
        <v>d 1.5 deg OS.f96p50</v>
      </c>
      <c r="I37" t="str">
        <f t="shared" si="6"/>
        <v>d 1.5 deg OS</v>
      </c>
      <c r="J37" t="str">
        <f t="shared" si="4"/>
        <v>f96p50</v>
      </c>
      <c r="N37">
        <v>5</v>
      </c>
      <c r="O37" t="s">
        <v>315</v>
      </c>
      <c r="P37">
        <v>32</v>
      </c>
      <c r="Q37" t="s">
        <v>314</v>
      </c>
      <c r="R37" t="s">
        <v>268</v>
      </c>
    </row>
    <row r="38" spans="2:18">
      <c r="B38" t="str">
        <f t="shared" si="0"/>
        <v>vs~0033</v>
      </c>
      <c r="C38" t="str">
        <f t="shared" si="7"/>
        <v>c 2 deg (67%).f96p50</v>
      </c>
      <c r="H38" t="str">
        <f t="shared" si="5"/>
        <v>c 2 deg (67%).f96p50</v>
      </c>
      <c r="I38" t="str">
        <f t="shared" si="6"/>
        <v>c 2 deg (67%)</v>
      </c>
      <c r="J38" t="str">
        <f t="shared" si="4"/>
        <v>f96p50</v>
      </c>
      <c r="N38">
        <v>5</v>
      </c>
      <c r="O38" t="s">
        <v>316</v>
      </c>
      <c r="P38">
        <v>33</v>
      </c>
      <c r="Q38" t="s">
        <v>314</v>
      </c>
      <c r="R38" t="s">
        <v>269</v>
      </c>
    </row>
    <row r="39" spans="2:18">
      <c r="B39" t="str">
        <f t="shared" si="0"/>
        <v>vs~0034</v>
      </c>
      <c r="C39" t="str">
        <f t="shared" si="7"/>
        <v>b 2 deg (50%).f96p50</v>
      </c>
      <c r="H39" t="str">
        <f t="shared" si="5"/>
        <v>b 2 deg (50%).f96p50</v>
      </c>
      <c r="I39" t="str">
        <f t="shared" si="6"/>
        <v>b 2 deg (50%)</v>
      </c>
      <c r="J39" t="str">
        <f t="shared" si="4"/>
        <v>f96p50</v>
      </c>
      <c r="N39">
        <v>5</v>
      </c>
      <c r="O39" t="s">
        <v>317</v>
      </c>
      <c r="P39">
        <v>34</v>
      </c>
      <c r="Q39" t="s">
        <v>314</v>
      </c>
      <c r="R39" t="s">
        <v>270</v>
      </c>
    </row>
    <row r="40" spans="2:18">
      <c r="B40" t="str">
        <f t="shared" si="0"/>
        <v>vs~0035</v>
      </c>
      <c r="C40" t="str">
        <f t="shared" si="7"/>
        <v>a 3 deg.f96p50</v>
      </c>
      <c r="H40" t="str">
        <f t="shared" si="5"/>
        <v>a 3 deg.f96p50</v>
      </c>
      <c r="I40" t="str">
        <f t="shared" si="6"/>
        <v>a 3 deg</v>
      </c>
      <c r="J40" t="str">
        <f t="shared" si="4"/>
        <v>f96p50</v>
      </c>
      <c r="N40">
        <v>5</v>
      </c>
      <c r="O40" t="s">
        <v>318</v>
      </c>
      <c r="P40">
        <v>35</v>
      </c>
      <c r="Q40" t="s">
        <v>314</v>
      </c>
      <c r="R40" t="s">
        <v>271</v>
      </c>
    </row>
    <row r="41" spans="2:18">
      <c r="B41" t="str">
        <f t="shared" si="0"/>
        <v>vs~0036</v>
      </c>
      <c r="C41" t="str">
        <f t="shared" ref="C41:C55" si="8">H41</f>
        <v>e 1.5 deg no OS.f96p10</v>
      </c>
      <c r="H41" t="str">
        <f t="shared" si="5"/>
        <v>e 1.5 deg no OS.f96p10</v>
      </c>
      <c r="I41" t="str">
        <f t="shared" si="6"/>
        <v>e 1.5 deg no OS</v>
      </c>
      <c r="J41" t="str">
        <f t="shared" si="4"/>
        <v>f96p10</v>
      </c>
      <c r="N41">
        <v>5</v>
      </c>
      <c r="O41" t="s">
        <v>319</v>
      </c>
      <c r="P41">
        <v>36</v>
      </c>
      <c r="Q41" t="s">
        <v>320</v>
      </c>
      <c r="R41" t="s">
        <v>267</v>
      </c>
    </row>
    <row r="42" spans="2:18">
      <c r="B42" t="str">
        <f t="shared" si="0"/>
        <v>vs~0037</v>
      </c>
      <c r="C42" t="str">
        <f t="shared" si="8"/>
        <v>d 1.5 deg OS.f96p10</v>
      </c>
      <c r="H42" t="str">
        <f t="shared" si="5"/>
        <v>d 1.5 deg OS.f96p10</v>
      </c>
      <c r="I42" t="str">
        <f t="shared" si="6"/>
        <v>d 1.5 deg OS</v>
      </c>
      <c r="J42" t="str">
        <f t="shared" si="4"/>
        <v>f96p10</v>
      </c>
      <c r="N42">
        <v>5</v>
      </c>
      <c r="O42" t="s">
        <v>321</v>
      </c>
      <c r="P42">
        <v>37</v>
      </c>
      <c r="Q42" t="s">
        <v>320</v>
      </c>
      <c r="R42" t="s">
        <v>268</v>
      </c>
    </row>
    <row r="43" spans="2:18">
      <c r="B43" t="str">
        <f t="shared" si="0"/>
        <v>vs~0038</v>
      </c>
      <c r="C43" t="str">
        <f t="shared" si="8"/>
        <v>c 2 deg (67%).f96p10</v>
      </c>
      <c r="H43" t="str">
        <f t="shared" si="5"/>
        <v>c 2 deg (67%).f96p10</v>
      </c>
      <c r="I43" t="str">
        <f t="shared" si="6"/>
        <v>c 2 deg (67%)</v>
      </c>
      <c r="J43" t="str">
        <f t="shared" si="4"/>
        <v>f96p10</v>
      </c>
      <c r="N43">
        <v>5</v>
      </c>
      <c r="O43" t="s">
        <v>322</v>
      </c>
      <c r="P43">
        <v>38</v>
      </c>
      <c r="Q43" t="s">
        <v>320</v>
      </c>
      <c r="R43" t="s">
        <v>269</v>
      </c>
    </row>
    <row r="44" spans="2:18">
      <c r="B44" t="str">
        <f t="shared" si="0"/>
        <v>vs~0039</v>
      </c>
      <c r="C44" t="str">
        <f t="shared" si="8"/>
        <v>b 2 deg (50%).f96p10</v>
      </c>
      <c r="H44" t="str">
        <f t="shared" si="5"/>
        <v>b 2 deg (50%).f96p10</v>
      </c>
      <c r="I44" t="str">
        <f t="shared" si="6"/>
        <v>b 2 deg (50%)</v>
      </c>
      <c r="J44" t="str">
        <f t="shared" si="4"/>
        <v>f96p10</v>
      </c>
      <c r="N44">
        <v>5</v>
      </c>
      <c r="O44" t="s">
        <v>323</v>
      </c>
      <c r="P44">
        <v>39</v>
      </c>
      <c r="Q44" t="s">
        <v>320</v>
      </c>
      <c r="R44" t="s">
        <v>270</v>
      </c>
    </row>
    <row r="45" spans="2:18">
      <c r="B45" t="str">
        <f t="shared" si="0"/>
        <v>vs~0040</v>
      </c>
      <c r="C45" t="str">
        <f t="shared" si="8"/>
        <v>a 3 deg.f96p10</v>
      </c>
      <c r="H45" t="str">
        <f t="shared" si="5"/>
        <v>a 3 deg.f96p10</v>
      </c>
      <c r="I45" t="str">
        <f t="shared" si="6"/>
        <v>a 3 deg</v>
      </c>
      <c r="J45" t="str">
        <f t="shared" si="4"/>
        <v>f96p10</v>
      </c>
      <c r="N45">
        <v>5</v>
      </c>
      <c r="O45" t="s">
        <v>324</v>
      </c>
      <c r="P45">
        <v>40</v>
      </c>
      <c r="Q45" t="s">
        <v>320</v>
      </c>
      <c r="R45" t="s">
        <v>271</v>
      </c>
    </row>
    <row r="46" spans="2:18">
      <c r="B46" t="str">
        <f t="shared" si="0"/>
        <v>vs~0041</v>
      </c>
      <c r="C46" t="str">
        <f t="shared" si="8"/>
        <v>e 1.5 deg no OS.f96p90</v>
      </c>
      <c r="H46" t="str">
        <f t="shared" si="5"/>
        <v>e 1.5 deg no OS.f96p90</v>
      </c>
      <c r="I46" t="str">
        <f t="shared" si="6"/>
        <v>e 1.5 deg no OS</v>
      </c>
      <c r="J46" t="str">
        <f t="shared" si="4"/>
        <v>f96p90</v>
      </c>
      <c r="N46">
        <v>5</v>
      </c>
      <c r="O46" t="s">
        <v>325</v>
      </c>
      <c r="P46">
        <v>41</v>
      </c>
      <c r="Q46" t="s">
        <v>326</v>
      </c>
      <c r="R46" t="s">
        <v>267</v>
      </c>
    </row>
    <row r="47" spans="2:18">
      <c r="B47" t="str">
        <f t="shared" si="0"/>
        <v>vs~0042</v>
      </c>
      <c r="C47" t="str">
        <f t="shared" si="8"/>
        <v>d 1.5 deg OS.f96p90</v>
      </c>
      <c r="H47" t="str">
        <f t="shared" si="5"/>
        <v>d 1.5 deg OS.f96p90</v>
      </c>
      <c r="I47" t="str">
        <f t="shared" si="6"/>
        <v>d 1.5 deg OS</v>
      </c>
      <c r="J47" t="str">
        <f t="shared" si="4"/>
        <v>f96p90</v>
      </c>
      <c r="N47">
        <v>5</v>
      </c>
      <c r="O47" t="s">
        <v>327</v>
      </c>
      <c r="P47">
        <v>42</v>
      </c>
      <c r="Q47" t="s">
        <v>326</v>
      </c>
      <c r="R47" t="s">
        <v>268</v>
      </c>
    </row>
    <row r="48" spans="2:18">
      <c r="B48" t="str">
        <f t="shared" si="0"/>
        <v>vs~0043</v>
      </c>
      <c r="C48" t="str">
        <f t="shared" si="8"/>
        <v>c 2 deg (67%).f96p90</v>
      </c>
      <c r="H48" t="str">
        <f t="shared" si="5"/>
        <v>c 2 deg (67%).f96p90</v>
      </c>
      <c r="I48" t="str">
        <f t="shared" si="6"/>
        <v>c 2 deg (67%)</v>
      </c>
      <c r="J48" t="str">
        <f t="shared" si="4"/>
        <v>f96p90</v>
      </c>
      <c r="N48">
        <v>5</v>
      </c>
      <c r="O48" t="s">
        <v>328</v>
      </c>
      <c r="P48">
        <v>43</v>
      </c>
      <c r="Q48" t="s">
        <v>326</v>
      </c>
      <c r="R48" t="s">
        <v>269</v>
      </c>
    </row>
    <row r="49" spans="2:18">
      <c r="B49" t="str">
        <f t="shared" si="0"/>
        <v>vs~0044</v>
      </c>
      <c r="C49" t="str">
        <f t="shared" si="8"/>
        <v>b 2 deg (50%).f96p90</v>
      </c>
      <c r="H49" t="str">
        <f t="shared" si="5"/>
        <v>b 2 deg (50%).f96p90</v>
      </c>
      <c r="I49" t="str">
        <f t="shared" si="6"/>
        <v>b 2 deg (50%)</v>
      </c>
      <c r="J49" t="str">
        <f t="shared" si="4"/>
        <v>f96p90</v>
      </c>
      <c r="N49">
        <v>5</v>
      </c>
      <c r="O49" t="s">
        <v>329</v>
      </c>
      <c r="P49">
        <v>44</v>
      </c>
      <c r="Q49" t="s">
        <v>326</v>
      </c>
      <c r="R49" t="s">
        <v>270</v>
      </c>
    </row>
    <row r="50" spans="2:18">
      <c r="B50" t="str">
        <f t="shared" si="0"/>
        <v>vs~0045</v>
      </c>
      <c r="C50" t="str">
        <f t="shared" si="8"/>
        <v>a 3 deg.f96p90</v>
      </c>
      <c r="H50" t="str">
        <f t="shared" si="5"/>
        <v>a 3 deg.f96p90</v>
      </c>
      <c r="I50" t="str">
        <f t="shared" si="6"/>
        <v>a 3 deg</v>
      </c>
      <c r="J50" t="str">
        <f t="shared" si="4"/>
        <v>f96p90</v>
      </c>
      <c r="N50">
        <v>5</v>
      </c>
      <c r="O50" t="s">
        <v>330</v>
      </c>
      <c r="P50">
        <v>45</v>
      </c>
      <c r="Q50" t="s">
        <v>326</v>
      </c>
      <c r="R50" t="s">
        <v>271</v>
      </c>
    </row>
    <row r="51" spans="2:18">
      <c r="B51" t="str">
        <f t="shared" si="0"/>
        <v>vs~0046</v>
      </c>
      <c r="C51" t="str">
        <f t="shared" si="8"/>
        <v>e 1.5 deg no OS.e3d</v>
      </c>
      <c r="H51" t="str">
        <f t="shared" si="5"/>
        <v>e 1.5 deg no OS.e3d</v>
      </c>
      <c r="I51" t="str">
        <f t="shared" si="6"/>
        <v>e 1.5 deg no OS</v>
      </c>
      <c r="J51" t="str">
        <f t="shared" si="4"/>
        <v>e3d</v>
      </c>
      <c r="N51">
        <v>5</v>
      </c>
      <c r="O51" t="s">
        <v>331</v>
      </c>
      <c r="P51">
        <v>46</v>
      </c>
      <c r="Q51" t="s">
        <v>225</v>
      </c>
      <c r="R51" t="s">
        <v>267</v>
      </c>
    </row>
    <row r="52" spans="2:18">
      <c r="B52" t="str">
        <f t="shared" si="0"/>
        <v>vs~0047</v>
      </c>
      <c r="C52" t="str">
        <f t="shared" si="8"/>
        <v>d 1.5 deg OS.e3d</v>
      </c>
      <c r="H52" t="str">
        <f t="shared" si="5"/>
        <v>d 1.5 deg OS.e3d</v>
      </c>
      <c r="I52" t="str">
        <f t="shared" si="6"/>
        <v>d 1.5 deg OS</v>
      </c>
      <c r="J52" t="str">
        <f t="shared" si="4"/>
        <v>e3d</v>
      </c>
      <c r="N52">
        <v>5</v>
      </c>
      <c r="O52" t="s">
        <v>332</v>
      </c>
      <c r="P52">
        <v>47</v>
      </c>
      <c r="Q52" t="s">
        <v>225</v>
      </c>
      <c r="R52" t="s">
        <v>268</v>
      </c>
    </row>
    <row r="53" spans="2:18">
      <c r="B53" t="str">
        <f t="shared" si="0"/>
        <v>vs~0048</v>
      </c>
      <c r="C53" t="str">
        <f t="shared" si="8"/>
        <v>c 2 deg (67%).e3d</v>
      </c>
      <c r="H53" t="str">
        <f t="shared" si="5"/>
        <v>c 2 deg (67%).e3d</v>
      </c>
      <c r="I53" t="str">
        <f t="shared" si="6"/>
        <v>c 2 deg (67%)</v>
      </c>
      <c r="J53" t="str">
        <f t="shared" si="4"/>
        <v>e3d</v>
      </c>
      <c r="N53">
        <v>5</v>
      </c>
      <c r="O53" t="s">
        <v>333</v>
      </c>
      <c r="P53">
        <v>48</v>
      </c>
      <c r="Q53" t="s">
        <v>225</v>
      </c>
      <c r="R53" t="s">
        <v>269</v>
      </c>
    </row>
    <row r="54" spans="2:18">
      <c r="B54" t="str">
        <f t="shared" si="0"/>
        <v>vs~0049</v>
      </c>
      <c r="C54" t="str">
        <f t="shared" si="8"/>
        <v>b 2 deg (50%).e3d</v>
      </c>
      <c r="H54" t="str">
        <f t="shared" si="5"/>
        <v>b 2 deg (50%).e3d</v>
      </c>
      <c r="I54" t="str">
        <f t="shared" si="6"/>
        <v>b 2 deg (50%)</v>
      </c>
      <c r="J54" t="str">
        <f t="shared" si="4"/>
        <v>e3d</v>
      </c>
      <c r="N54">
        <v>5</v>
      </c>
      <c r="O54" t="s">
        <v>334</v>
      </c>
      <c r="P54">
        <v>49</v>
      </c>
      <c r="Q54" t="s">
        <v>225</v>
      </c>
      <c r="R54" t="s">
        <v>270</v>
      </c>
    </row>
    <row r="55" spans="2:18">
      <c r="B55" t="str">
        <f t="shared" si="0"/>
        <v>vs~0050</v>
      </c>
      <c r="C55" t="str">
        <f t="shared" si="8"/>
        <v>a 3 deg.e3d</v>
      </c>
      <c r="H55" t="str">
        <f t="shared" si="5"/>
        <v>a 3 deg.e3d</v>
      </c>
      <c r="I55" t="str">
        <f t="shared" si="6"/>
        <v>a 3 deg</v>
      </c>
      <c r="J55" t="str">
        <f t="shared" si="4"/>
        <v>e3d</v>
      </c>
      <c r="N55">
        <v>5</v>
      </c>
      <c r="O55" t="s">
        <v>335</v>
      </c>
      <c r="P55">
        <v>50</v>
      </c>
      <c r="Q55" t="s">
        <v>225</v>
      </c>
      <c r="R55" t="s">
        <v>271</v>
      </c>
    </row>
    <row r="56" spans="2:18">
      <c r="B56" t="str">
        <f t="shared" si="0"/>
        <v>vs~0051</v>
      </c>
      <c r="C56" t="str">
        <f t="shared" ref="C56:C60" si="9">H56</f>
        <v>e 1.5 deg no OS.d9d</v>
      </c>
      <c r="H56" t="str">
        <f t="shared" si="5"/>
        <v>e 1.5 deg no OS.d9d</v>
      </c>
      <c r="I56" t="str">
        <f t="shared" si="6"/>
        <v>e 1.5 deg no OS</v>
      </c>
      <c r="J56" t="str">
        <f t="shared" si="4"/>
        <v>d9d</v>
      </c>
      <c r="N56">
        <v>5</v>
      </c>
      <c r="O56" t="s">
        <v>336</v>
      </c>
      <c r="P56">
        <v>51</v>
      </c>
      <c r="Q56" t="s">
        <v>226</v>
      </c>
      <c r="R56" t="s">
        <v>267</v>
      </c>
    </row>
    <row r="57" spans="2:18">
      <c r="B57" t="str">
        <f t="shared" si="0"/>
        <v>vs~0052</v>
      </c>
      <c r="C57" t="str">
        <f t="shared" si="9"/>
        <v>d 1.5 deg OS.d9d</v>
      </c>
      <c r="H57" t="str">
        <f t="shared" si="5"/>
        <v>d 1.5 deg OS.d9d</v>
      </c>
      <c r="I57" t="str">
        <f t="shared" si="6"/>
        <v>d 1.5 deg OS</v>
      </c>
      <c r="J57" t="str">
        <f t="shared" si="4"/>
        <v>d9d</v>
      </c>
      <c r="N57">
        <v>5</v>
      </c>
      <c r="O57" t="s">
        <v>337</v>
      </c>
      <c r="P57">
        <v>52</v>
      </c>
      <c r="Q57" t="s">
        <v>226</v>
      </c>
      <c r="R57" t="s">
        <v>268</v>
      </c>
    </row>
    <row r="58" spans="2:18">
      <c r="B58" t="str">
        <f t="shared" si="0"/>
        <v>vs~0053</v>
      </c>
      <c r="C58" t="str">
        <f t="shared" si="9"/>
        <v>c 2 deg (67%).d9d</v>
      </c>
      <c r="H58" t="str">
        <f t="shared" si="5"/>
        <v>c 2 deg (67%).d9d</v>
      </c>
      <c r="I58" t="str">
        <f t="shared" si="6"/>
        <v>c 2 deg (67%)</v>
      </c>
      <c r="J58" t="str">
        <f t="shared" si="4"/>
        <v>d9d</v>
      </c>
      <c r="N58">
        <v>5</v>
      </c>
      <c r="O58" t="s">
        <v>338</v>
      </c>
      <c r="P58">
        <v>53</v>
      </c>
      <c r="Q58" t="s">
        <v>226</v>
      </c>
      <c r="R58" t="s">
        <v>269</v>
      </c>
    </row>
    <row r="59" spans="2:18">
      <c r="B59" t="str">
        <f t="shared" si="0"/>
        <v>vs~0054</v>
      </c>
      <c r="C59" t="str">
        <f t="shared" si="9"/>
        <v>b 2 deg (50%).d9d</v>
      </c>
      <c r="H59" t="str">
        <f t="shared" si="5"/>
        <v>b 2 deg (50%).d9d</v>
      </c>
      <c r="I59" t="str">
        <f t="shared" si="6"/>
        <v>b 2 deg (50%)</v>
      </c>
      <c r="J59" t="str">
        <f t="shared" si="4"/>
        <v>d9d</v>
      </c>
      <c r="N59">
        <v>5</v>
      </c>
      <c r="O59" t="s">
        <v>339</v>
      </c>
      <c r="P59">
        <v>54</v>
      </c>
      <c r="Q59" t="s">
        <v>226</v>
      </c>
      <c r="R59" t="s">
        <v>270</v>
      </c>
    </row>
    <row r="60" spans="2:18">
      <c r="B60" t="str">
        <f t="shared" si="0"/>
        <v>vs~0055</v>
      </c>
      <c r="C60" t="str">
        <f t="shared" si="9"/>
        <v>a 3 deg.d9d</v>
      </c>
      <c r="H60" t="str">
        <f t="shared" si="5"/>
        <v>a 3 deg.d9d</v>
      </c>
      <c r="I60" t="str">
        <f t="shared" si="6"/>
        <v>a 3 deg</v>
      </c>
      <c r="J60" t="str">
        <f t="shared" si="4"/>
        <v>d9d</v>
      </c>
      <c r="N60">
        <v>5</v>
      </c>
      <c r="O60" t="s">
        <v>340</v>
      </c>
      <c r="P60">
        <v>55</v>
      </c>
      <c r="Q60" t="s">
        <v>226</v>
      </c>
      <c r="R60" t="s">
        <v>271</v>
      </c>
    </row>
    <row r="61" spans="2:18">
      <c r="B61" t="str">
        <f t="shared" ref="B61:B75" si="10">"vs~"&amp;TEXT(P61,"0000")</f>
        <v>vs~0056</v>
      </c>
      <c r="C61" t="str">
        <f t="shared" ref="C61:C75" si="11">H61</f>
        <v>e 1.5 deg no OS.c15d</v>
      </c>
      <c r="H61" t="str">
        <f t="shared" ref="H61:H75" si="12">_xlfn.TEXTJOIN(".",TRUE,I61:J61)</f>
        <v>e 1.5 deg no OS.c15d</v>
      </c>
      <c r="I61" t="str">
        <f t="shared" ref="I61:I75" si="13">VLOOKUP(R61,$W$6:$X$12,2,FALSE)</f>
        <v>e 1.5 deg no OS</v>
      </c>
      <c r="J61" t="str">
        <f t="shared" ref="J61:J75" si="14">VLOOKUP(Q61,$T$6:$U$20,2,FALSE)</f>
        <v>c15d</v>
      </c>
      <c r="N61">
        <v>5</v>
      </c>
      <c r="O61" t="s">
        <v>341</v>
      </c>
      <c r="P61">
        <v>56</v>
      </c>
      <c r="Q61" t="s">
        <v>229</v>
      </c>
      <c r="R61" t="s">
        <v>267</v>
      </c>
    </row>
    <row r="62" spans="2:18">
      <c r="B62" t="str">
        <f t="shared" si="10"/>
        <v>vs~0057</v>
      </c>
      <c r="C62" t="str">
        <f t="shared" si="11"/>
        <v>d 1.5 deg OS.c15d</v>
      </c>
      <c r="H62" t="str">
        <f t="shared" si="12"/>
        <v>d 1.5 deg OS.c15d</v>
      </c>
      <c r="I62" t="str">
        <f t="shared" si="13"/>
        <v>d 1.5 deg OS</v>
      </c>
      <c r="J62" t="str">
        <f t="shared" si="14"/>
        <v>c15d</v>
      </c>
      <c r="N62">
        <v>5</v>
      </c>
      <c r="O62" t="s">
        <v>342</v>
      </c>
      <c r="P62">
        <v>57</v>
      </c>
      <c r="Q62" t="s">
        <v>229</v>
      </c>
      <c r="R62" t="s">
        <v>268</v>
      </c>
    </row>
    <row r="63" spans="2:18">
      <c r="B63" t="str">
        <f t="shared" si="10"/>
        <v>vs~0058</v>
      </c>
      <c r="C63" t="str">
        <f t="shared" si="11"/>
        <v>c 2 deg (67%).c15d</v>
      </c>
      <c r="H63" t="str">
        <f t="shared" si="12"/>
        <v>c 2 deg (67%).c15d</v>
      </c>
      <c r="I63" t="str">
        <f t="shared" si="13"/>
        <v>c 2 deg (67%)</v>
      </c>
      <c r="J63" t="str">
        <f t="shared" si="14"/>
        <v>c15d</v>
      </c>
      <c r="N63">
        <v>5</v>
      </c>
      <c r="O63" t="s">
        <v>343</v>
      </c>
      <c r="P63">
        <v>58</v>
      </c>
      <c r="Q63" t="s">
        <v>229</v>
      </c>
      <c r="R63" t="s">
        <v>269</v>
      </c>
    </row>
    <row r="64" spans="2:18">
      <c r="B64" t="str">
        <f t="shared" si="10"/>
        <v>vs~0059</v>
      </c>
      <c r="C64" t="str">
        <f t="shared" si="11"/>
        <v>b 2 deg (50%).c15d</v>
      </c>
      <c r="H64" t="str">
        <f t="shared" si="12"/>
        <v>b 2 deg (50%).c15d</v>
      </c>
      <c r="I64" t="str">
        <f t="shared" si="13"/>
        <v>b 2 deg (50%)</v>
      </c>
      <c r="J64" t="str">
        <f t="shared" si="14"/>
        <v>c15d</v>
      </c>
      <c r="N64">
        <v>5</v>
      </c>
      <c r="O64" t="s">
        <v>344</v>
      </c>
      <c r="P64">
        <v>59</v>
      </c>
      <c r="Q64" t="s">
        <v>229</v>
      </c>
      <c r="R64" t="s">
        <v>270</v>
      </c>
    </row>
    <row r="65" spans="2:18">
      <c r="B65" t="str">
        <f t="shared" si="10"/>
        <v>vs~0060</v>
      </c>
      <c r="C65" t="str">
        <f t="shared" si="11"/>
        <v>a 3 deg.c15d</v>
      </c>
      <c r="H65" t="str">
        <f t="shared" si="12"/>
        <v>a 3 deg.c15d</v>
      </c>
      <c r="I65" t="str">
        <f t="shared" si="13"/>
        <v>a 3 deg</v>
      </c>
      <c r="J65" t="str">
        <f t="shared" si="14"/>
        <v>c15d</v>
      </c>
      <c r="N65">
        <v>5</v>
      </c>
      <c r="O65" t="s">
        <v>345</v>
      </c>
      <c r="P65">
        <v>60</v>
      </c>
      <c r="Q65" t="s">
        <v>229</v>
      </c>
      <c r="R65" t="s">
        <v>271</v>
      </c>
    </row>
    <row r="66" spans="2:18">
      <c r="B66" t="str">
        <f t="shared" si="10"/>
        <v>vs~0061</v>
      </c>
      <c r="C66" t="str">
        <f t="shared" si="11"/>
        <v>e 1.5 deg no OS.b2w</v>
      </c>
      <c r="H66" t="str">
        <f t="shared" si="12"/>
        <v>e 1.5 deg no OS.b2w</v>
      </c>
      <c r="I66" t="str">
        <f t="shared" si="13"/>
        <v>e 1.5 deg no OS</v>
      </c>
      <c r="J66" t="str">
        <f t="shared" si="14"/>
        <v>b2w</v>
      </c>
      <c r="N66">
        <v>5</v>
      </c>
      <c r="O66" t="s">
        <v>346</v>
      </c>
      <c r="P66">
        <v>61</v>
      </c>
      <c r="Q66" t="s">
        <v>227</v>
      </c>
      <c r="R66" t="s">
        <v>267</v>
      </c>
    </row>
    <row r="67" spans="2:18">
      <c r="B67" t="str">
        <f t="shared" si="10"/>
        <v>vs~0062</v>
      </c>
      <c r="C67" t="str">
        <f t="shared" si="11"/>
        <v>d 1.5 deg OS.b2w</v>
      </c>
      <c r="H67" t="str">
        <f t="shared" si="12"/>
        <v>d 1.5 deg OS.b2w</v>
      </c>
      <c r="I67" t="str">
        <f t="shared" si="13"/>
        <v>d 1.5 deg OS</v>
      </c>
      <c r="J67" t="str">
        <f t="shared" si="14"/>
        <v>b2w</v>
      </c>
      <c r="N67">
        <v>5</v>
      </c>
      <c r="O67" t="s">
        <v>347</v>
      </c>
      <c r="P67">
        <v>62</v>
      </c>
      <c r="Q67" t="s">
        <v>227</v>
      </c>
      <c r="R67" t="s">
        <v>268</v>
      </c>
    </row>
    <row r="68" spans="2:18">
      <c r="B68" t="str">
        <f t="shared" si="10"/>
        <v>vs~0063</v>
      </c>
      <c r="C68" t="str">
        <f t="shared" si="11"/>
        <v>c 2 deg (67%).b2w</v>
      </c>
      <c r="H68" t="str">
        <f t="shared" si="12"/>
        <v>c 2 deg (67%).b2w</v>
      </c>
      <c r="I68" t="str">
        <f t="shared" si="13"/>
        <v>c 2 deg (67%)</v>
      </c>
      <c r="J68" t="str">
        <f t="shared" si="14"/>
        <v>b2w</v>
      </c>
      <c r="N68">
        <v>5</v>
      </c>
      <c r="O68" t="s">
        <v>348</v>
      </c>
      <c r="P68">
        <v>63</v>
      </c>
      <c r="Q68" t="s">
        <v>227</v>
      </c>
      <c r="R68" t="s">
        <v>269</v>
      </c>
    </row>
    <row r="69" spans="2:18">
      <c r="B69" t="str">
        <f t="shared" si="10"/>
        <v>vs~0064</v>
      </c>
      <c r="C69" t="str">
        <f t="shared" si="11"/>
        <v>b 2 deg (50%).b2w</v>
      </c>
      <c r="H69" t="str">
        <f t="shared" si="12"/>
        <v>b 2 deg (50%).b2w</v>
      </c>
      <c r="I69" t="str">
        <f t="shared" si="13"/>
        <v>b 2 deg (50%)</v>
      </c>
      <c r="J69" t="str">
        <f t="shared" si="14"/>
        <v>b2w</v>
      </c>
      <c r="N69">
        <v>5</v>
      </c>
      <c r="O69" t="s">
        <v>349</v>
      </c>
      <c r="P69">
        <v>64</v>
      </c>
      <c r="Q69" t="s">
        <v>227</v>
      </c>
      <c r="R69" t="s">
        <v>270</v>
      </c>
    </row>
    <row r="70" spans="2:18">
      <c r="B70" t="str">
        <f t="shared" si="10"/>
        <v>vs~0065</v>
      </c>
      <c r="C70" t="str">
        <f t="shared" si="11"/>
        <v>a 3 deg.b2w</v>
      </c>
      <c r="H70" t="str">
        <f t="shared" si="12"/>
        <v>a 3 deg.b2w</v>
      </c>
      <c r="I70" t="str">
        <f t="shared" si="13"/>
        <v>a 3 deg</v>
      </c>
      <c r="J70" t="str">
        <f t="shared" si="14"/>
        <v>b2w</v>
      </c>
      <c r="N70">
        <v>5</v>
      </c>
      <c r="O70" t="s">
        <v>350</v>
      </c>
      <c r="P70">
        <v>65</v>
      </c>
      <c r="Q70" t="s">
        <v>227</v>
      </c>
      <c r="R70" t="s">
        <v>271</v>
      </c>
    </row>
    <row r="71" spans="2:18">
      <c r="B71" t="str">
        <f t="shared" si="10"/>
        <v>vs~0066</v>
      </c>
      <c r="C71" t="str">
        <f t="shared" si="11"/>
        <v>e 1.5 deg no OS.a2w2d</v>
      </c>
      <c r="H71" t="str">
        <f t="shared" si="12"/>
        <v>e 1.5 deg no OS.a2w2d</v>
      </c>
      <c r="I71" t="str">
        <f t="shared" si="13"/>
        <v>e 1.5 deg no OS</v>
      </c>
      <c r="J71" t="str">
        <f t="shared" si="14"/>
        <v>a2w2d</v>
      </c>
      <c r="N71">
        <v>5</v>
      </c>
      <c r="O71" t="s">
        <v>351</v>
      </c>
      <c r="P71">
        <v>66</v>
      </c>
      <c r="Q71" t="s">
        <v>228</v>
      </c>
      <c r="R71" t="s">
        <v>267</v>
      </c>
    </row>
    <row r="72" spans="2:18">
      <c r="B72" t="str">
        <f t="shared" si="10"/>
        <v>vs~0067</v>
      </c>
      <c r="C72" t="str">
        <f t="shared" si="11"/>
        <v>d 1.5 deg OS.a2w2d</v>
      </c>
      <c r="H72" t="str">
        <f t="shared" si="12"/>
        <v>d 1.5 deg OS.a2w2d</v>
      </c>
      <c r="I72" t="str">
        <f t="shared" si="13"/>
        <v>d 1.5 deg OS</v>
      </c>
      <c r="J72" t="str">
        <f t="shared" si="14"/>
        <v>a2w2d</v>
      </c>
      <c r="N72">
        <v>5</v>
      </c>
      <c r="O72" t="s">
        <v>352</v>
      </c>
      <c r="P72">
        <v>67</v>
      </c>
      <c r="Q72" t="s">
        <v>228</v>
      </c>
      <c r="R72" t="s">
        <v>268</v>
      </c>
    </row>
    <row r="73" spans="2:18">
      <c r="B73" t="str">
        <f t="shared" si="10"/>
        <v>vs~0068</v>
      </c>
      <c r="C73" t="str">
        <f t="shared" si="11"/>
        <v>c 2 deg (67%).a2w2d</v>
      </c>
      <c r="H73" t="str">
        <f t="shared" si="12"/>
        <v>c 2 deg (67%).a2w2d</v>
      </c>
      <c r="I73" t="str">
        <f t="shared" si="13"/>
        <v>c 2 deg (67%)</v>
      </c>
      <c r="J73" t="str">
        <f t="shared" si="14"/>
        <v>a2w2d</v>
      </c>
      <c r="N73">
        <v>5</v>
      </c>
      <c r="O73" t="s">
        <v>353</v>
      </c>
      <c r="P73">
        <v>68</v>
      </c>
      <c r="Q73" t="s">
        <v>228</v>
      </c>
      <c r="R73" t="s">
        <v>269</v>
      </c>
    </row>
    <row r="74" spans="2:18">
      <c r="B74" t="str">
        <f t="shared" si="10"/>
        <v>vs~0069</v>
      </c>
      <c r="C74" t="str">
        <f t="shared" si="11"/>
        <v>b 2 deg (50%).a2w2d</v>
      </c>
      <c r="H74" t="str">
        <f t="shared" si="12"/>
        <v>b 2 deg (50%).a2w2d</v>
      </c>
      <c r="I74" t="str">
        <f t="shared" si="13"/>
        <v>b 2 deg (50%)</v>
      </c>
      <c r="J74" t="str">
        <f t="shared" si="14"/>
        <v>a2w2d</v>
      </c>
      <c r="N74">
        <v>5</v>
      </c>
      <c r="O74" t="s">
        <v>354</v>
      </c>
      <c r="P74">
        <v>69</v>
      </c>
      <c r="Q74" t="s">
        <v>228</v>
      </c>
      <c r="R74" t="s">
        <v>270</v>
      </c>
    </row>
    <row r="75" spans="2:18">
      <c r="B75" t="str">
        <f t="shared" si="10"/>
        <v>vs~0070</v>
      </c>
      <c r="C75" t="str">
        <f t="shared" si="11"/>
        <v>a 3 deg.a2w2d</v>
      </c>
      <c r="H75" t="str">
        <f t="shared" si="12"/>
        <v>a 3 deg.a2w2d</v>
      </c>
      <c r="I75" t="str">
        <f t="shared" si="13"/>
        <v>a 3 deg</v>
      </c>
      <c r="J75" t="str">
        <f t="shared" si="14"/>
        <v>a2w2d</v>
      </c>
      <c r="N75">
        <v>5</v>
      </c>
      <c r="O75" t="s">
        <v>355</v>
      </c>
      <c r="P75">
        <v>70</v>
      </c>
      <c r="Q75" t="s">
        <v>228</v>
      </c>
      <c r="R75" t="s">
        <v>271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5CB7-6B62-4E88-B855-1F1B19F4E389}">
  <dimension ref="B9:H200"/>
  <sheetViews>
    <sheetView workbookViewId="0"/>
  </sheetViews>
  <sheetFormatPr defaultRowHeight="14.25"/>
  <sheetData>
    <row r="9" spans="2:8">
      <c r="B9" t="s">
        <v>800</v>
      </c>
      <c r="F9" t="s">
        <v>800</v>
      </c>
    </row>
    <row r="10" spans="2:8">
      <c r="B10" t="s">
        <v>801</v>
      </c>
      <c r="C10" t="s">
        <v>802</v>
      </c>
      <c r="D10" t="s">
        <v>803</v>
      </c>
      <c r="F10" t="s">
        <v>801</v>
      </c>
      <c r="G10" t="s">
        <v>802</v>
      </c>
      <c r="H10" t="s">
        <v>803</v>
      </c>
    </row>
    <row r="11" spans="2:8">
      <c r="B11" t="s">
        <v>402</v>
      </c>
      <c r="C11">
        <v>-36.84113891848812</v>
      </c>
      <c r="D11">
        <v>174.61783997457155</v>
      </c>
      <c r="F11" t="s">
        <v>804</v>
      </c>
      <c r="G11">
        <v>-36.84113891848812</v>
      </c>
      <c r="H11">
        <v>174.61783997457155</v>
      </c>
    </row>
    <row r="12" spans="2:8">
      <c r="B12" t="s">
        <v>403</v>
      </c>
      <c r="C12">
        <v>-43.536634361831268</v>
      </c>
      <c r="D12">
        <v>172.5116333991561</v>
      </c>
      <c r="F12" t="s">
        <v>805</v>
      </c>
      <c r="G12">
        <v>-43.536634361831268</v>
      </c>
      <c r="H12">
        <v>172.5116333991561</v>
      </c>
    </row>
    <row r="13" spans="2:8">
      <c r="B13" t="s">
        <v>404</v>
      </c>
      <c r="C13">
        <v>-37.038882481843679</v>
      </c>
      <c r="D13">
        <v>174.93351284623864</v>
      </c>
      <c r="F13" t="s">
        <v>806</v>
      </c>
      <c r="G13">
        <v>-37.038882481843679</v>
      </c>
      <c r="H13">
        <v>174.93351284623864</v>
      </c>
    </row>
    <row r="14" spans="2:8">
      <c r="B14" t="s">
        <v>405</v>
      </c>
      <c r="C14">
        <v>-36.760482915045522</v>
      </c>
      <c r="D14">
        <v>174.54125025780127</v>
      </c>
      <c r="F14" t="s">
        <v>807</v>
      </c>
      <c r="G14">
        <v>-36.760482915045522</v>
      </c>
      <c r="H14">
        <v>174.54125025780127</v>
      </c>
    </row>
    <row r="15" spans="2:8">
      <c r="B15" t="s">
        <v>406</v>
      </c>
      <c r="C15">
        <v>-36.954795720981537</v>
      </c>
      <c r="D15">
        <v>174.86286700428343</v>
      </c>
      <c r="F15" t="s">
        <v>808</v>
      </c>
      <c r="G15">
        <v>-36.954795720981537</v>
      </c>
      <c r="H15">
        <v>174.86286700428343</v>
      </c>
    </row>
    <row r="16" spans="2:8">
      <c r="B16" t="s">
        <v>407</v>
      </c>
      <c r="C16">
        <v>-36.623566678874994</v>
      </c>
      <c r="D16">
        <v>174.68339170211829</v>
      </c>
      <c r="F16" t="s">
        <v>809</v>
      </c>
      <c r="G16">
        <v>-36.623566678874994</v>
      </c>
      <c r="H16">
        <v>174.68339170211829</v>
      </c>
    </row>
    <row r="17" spans="2:8">
      <c r="B17" t="s">
        <v>408</v>
      </c>
      <c r="C17">
        <v>-38.418988702523485</v>
      </c>
      <c r="D17">
        <v>175.80006536963734</v>
      </c>
      <c r="F17" t="s">
        <v>810</v>
      </c>
      <c r="G17">
        <v>-38.418988702523485</v>
      </c>
      <c r="H17">
        <v>175.80006536963734</v>
      </c>
    </row>
    <row r="18" spans="2:8">
      <c r="B18" t="s">
        <v>409</v>
      </c>
      <c r="C18">
        <v>-36.927103259597011</v>
      </c>
      <c r="D18">
        <v>174.82801347032176</v>
      </c>
      <c r="F18" t="s">
        <v>811</v>
      </c>
      <c r="G18">
        <v>-36.927103259597011</v>
      </c>
      <c r="H18">
        <v>174.82801347032176</v>
      </c>
    </row>
    <row r="19" spans="2:8">
      <c r="B19" t="s">
        <v>410</v>
      </c>
      <c r="C19">
        <v>-38.350302074099041</v>
      </c>
      <c r="D19">
        <v>175.74165669696811</v>
      </c>
      <c r="F19" t="s">
        <v>812</v>
      </c>
      <c r="G19">
        <v>-38.350302074099041</v>
      </c>
      <c r="H19">
        <v>175.74165669696811</v>
      </c>
    </row>
    <row r="20" spans="2:8">
      <c r="B20" t="s">
        <v>411</v>
      </c>
      <c r="C20">
        <v>-38.981821307895451</v>
      </c>
      <c r="D20">
        <v>175.77031601701441</v>
      </c>
      <c r="F20" t="s">
        <v>813</v>
      </c>
      <c r="G20">
        <v>-38.981821307895451</v>
      </c>
      <c r="H20">
        <v>175.77031601701441</v>
      </c>
    </row>
    <row r="21" spans="2:8">
      <c r="B21" t="s">
        <v>412</v>
      </c>
      <c r="C21">
        <v>-44.30165096735071</v>
      </c>
      <c r="D21">
        <v>170.11048202628251</v>
      </c>
      <c r="F21" t="s">
        <v>814</v>
      </c>
      <c r="G21">
        <v>-44.30165096735071</v>
      </c>
      <c r="H21">
        <v>170.11048202628251</v>
      </c>
    </row>
    <row r="22" spans="2:8">
      <c r="B22" t="s">
        <v>413</v>
      </c>
      <c r="C22">
        <v>-44.343463544315561</v>
      </c>
      <c r="D22">
        <v>170.1794625948657</v>
      </c>
      <c r="F22" t="s">
        <v>815</v>
      </c>
      <c r="G22">
        <v>-44.343463544315561</v>
      </c>
      <c r="H22">
        <v>170.1794625948657</v>
      </c>
    </row>
    <row r="23" spans="2:8">
      <c r="B23" t="s">
        <v>414</v>
      </c>
      <c r="C23">
        <v>-44.265975940353563</v>
      </c>
      <c r="D23">
        <v>170.02897067495863</v>
      </c>
      <c r="F23" t="s">
        <v>816</v>
      </c>
      <c r="G23">
        <v>-44.265975940353563</v>
      </c>
      <c r="H23">
        <v>170.02897067495863</v>
      </c>
    </row>
    <row r="24" spans="2:8">
      <c r="B24" t="s">
        <v>415</v>
      </c>
      <c r="C24">
        <v>-44.691946205351741</v>
      </c>
      <c r="D24">
        <v>170.42861458487826</v>
      </c>
      <c r="F24" t="s">
        <v>817</v>
      </c>
      <c r="G24">
        <v>-44.691946205351741</v>
      </c>
      <c r="H24">
        <v>170.42861458487826</v>
      </c>
    </row>
    <row r="25" spans="2:8">
      <c r="B25" t="s">
        <v>416</v>
      </c>
      <c r="C25">
        <v>-44.658498935401603</v>
      </c>
      <c r="D25">
        <v>170.35440539023236</v>
      </c>
      <c r="F25" t="s">
        <v>818</v>
      </c>
      <c r="G25">
        <v>-44.658498935401603</v>
      </c>
      <c r="H25">
        <v>170.35440539023236</v>
      </c>
    </row>
    <row r="26" spans="2:8">
      <c r="B26" t="s">
        <v>417</v>
      </c>
      <c r="C26">
        <v>-45.854812035962382</v>
      </c>
      <c r="D26">
        <v>170.47516146446301</v>
      </c>
      <c r="F26" t="s">
        <v>819</v>
      </c>
      <c r="G26">
        <v>-45.854812035962382</v>
      </c>
      <c r="H26">
        <v>170.47516146446301</v>
      </c>
    </row>
    <row r="27" spans="2:8">
      <c r="B27" t="s">
        <v>418</v>
      </c>
      <c r="C27">
        <v>-45.85641489188837</v>
      </c>
      <c r="D27">
        <v>170.4330522848403</v>
      </c>
      <c r="F27" t="s">
        <v>820</v>
      </c>
      <c r="G27">
        <v>-45.85641489188837</v>
      </c>
      <c r="H27">
        <v>170.4330522848403</v>
      </c>
    </row>
    <row r="28" spans="2:8">
      <c r="B28" t="s">
        <v>419</v>
      </c>
      <c r="C28">
        <v>-44.565458531727643</v>
      </c>
      <c r="D28">
        <v>170.19350475234972</v>
      </c>
      <c r="F28" t="s">
        <v>821</v>
      </c>
      <c r="G28">
        <v>-44.565458531727643</v>
      </c>
      <c r="H28">
        <v>170.19350475234972</v>
      </c>
    </row>
    <row r="29" spans="2:8">
      <c r="B29" t="s">
        <v>420</v>
      </c>
      <c r="C29">
        <v>-35.848952036645962</v>
      </c>
      <c r="D29">
        <v>174.47996034953604</v>
      </c>
      <c r="F29" t="s">
        <v>822</v>
      </c>
      <c r="G29">
        <v>-35.848952036645962</v>
      </c>
      <c r="H29">
        <v>174.47996034953604</v>
      </c>
    </row>
    <row r="30" spans="2:8">
      <c r="B30" t="s">
        <v>421</v>
      </c>
      <c r="C30">
        <v>-46.115208386384957</v>
      </c>
      <c r="D30">
        <v>168.91189272813648</v>
      </c>
      <c r="F30" t="s">
        <v>823</v>
      </c>
      <c r="G30">
        <v>-46.115208386384957</v>
      </c>
      <c r="H30">
        <v>168.91189272813648</v>
      </c>
    </row>
    <row r="31" spans="2:8">
      <c r="B31" t="s">
        <v>422</v>
      </c>
      <c r="C31">
        <v>-37.188597959154819</v>
      </c>
      <c r="D31">
        <v>175.00047922567956</v>
      </c>
      <c r="F31" t="s">
        <v>824</v>
      </c>
      <c r="G31">
        <v>-37.188597959154819</v>
      </c>
      <c r="H31">
        <v>175.00047922567956</v>
      </c>
    </row>
    <row r="32" spans="2:8">
      <c r="B32" t="s">
        <v>423</v>
      </c>
      <c r="C32">
        <v>-39.606830223167137</v>
      </c>
      <c r="D32">
        <v>176.88166127136128</v>
      </c>
      <c r="F32" t="s">
        <v>825</v>
      </c>
      <c r="G32">
        <v>-39.606830223167137</v>
      </c>
      <c r="H32">
        <v>176.88166127136128</v>
      </c>
    </row>
    <row r="33" spans="2:8">
      <c r="B33" t="s">
        <v>424</v>
      </c>
      <c r="C33">
        <v>-38.392995236007181</v>
      </c>
      <c r="D33">
        <v>176.0227765041046</v>
      </c>
      <c r="F33" t="s">
        <v>826</v>
      </c>
      <c r="G33">
        <v>-38.392995236007181</v>
      </c>
      <c r="H33">
        <v>176.0227765041046</v>
      </c>
    </row>
    <row r="34" spans="2:8">
      <c r="B34" t="s">
        <v>425</v>
      </c>
      <c r="C34">
        <v>-41.150501320284988</v>
      </c>
      <c r="D34">
        <v>174.98036026056022</v>
      </c>
      <c r="F34" t="s">
        <v>827</v>
      </c>
      <c r="G34">
        <v>-41.150501320284988</v>
      </c>
      <c r="H34">
        <v>174.98036026056022</v>
      </c>
    </row>
    <row r="35" spans="2:8">
      <c r="B35" t="s">
        <v>426</v>
      </c>
      <c r="C35">
        <v>-43.051699865219646</v>
      </c>
      <c r="D35">
        <v>172.75610237311309</v>
      </c>
      <c r="F35" t="s">
        <v>828</v>
      </c>
      <c r="G35">
        <v>-43.051699865219646</v>
      </c>
      <c r="H35">
        <v>172.75610237311309</v>
      </c>
    </row>
    <row r="36" spans="2:8">
      <c r="B36" t="s">
        <v>427</v>
      </c>
      <c r="C36">
        <v>-37.779876243223079</v>
      </c>
      <c r="D36">
        <v>175.30514409850699</v>
      </c>
      <c r="F36" t="s">
        <v>829</v>
      </c>
      <c r="G36">
        <v>-37.779876243223079</v>
      </c>
      <c r="H36">
        <v>175.30514409850699</v>
      </c>
    </row>
    <row r="37" spans="2:8">
      <c r="B37" t="s">
        <v>428</v>
      </c>
      <c r="C37">
        <v>-44.932965707882246</v>
      </c>
      <c r="D37">
        <v>170.63648066945944</v>
      </c>
      <c r="F37" t="s">
        <v>830</v>
      </c>
      <c r="G37">
        <v>-44.932965707882246</v>
      </c>
      <c r="H37">
        <v>170.63648066945944</v>
      </c>
    </row>
    <row r="38" spans="2:8">
      <c r="B38" t="s">
        <v>429</v>
      </c>
      <c r="C38">
        <v>-42.718788360623357</v>
      </c>
      <c r="D38">
        <v>172.8763888183361</v>
      </c>
      <c r="F38" t="s">
        <v>831</v>
      </c>
      <c r="G38">
        <v>-42.718788360623357</v>
      </c>
      <c r="H38">
        <v>172.8763888183361</v>
      </c>
    </row>
    <row r="39" spans="2:8">
      <c r="B39" t="s">
        <v>430</v>
      </c>
      <c r="C39">
        <v>-41.673381112791752</v>
      </c>
      <c r="D39">
        <v>172.87410023554489</v>
      </c>
      <c r="F39" t="s">
        <v>832</v>
      </c>
      <c r="G39">
        <v>-41.673381112791752</v>
      </c>
      <c r="H39">
        <v>172.87410023554489</v>
      </c>
    </row>
    <row r="40" spans="2:8">
      <c r="B40" t="s">
        <v>431</v>
      </c>
      <c r="C40">
        <v>-41.259325300044885</v>
      </c>
      <c r="D40">
        <v>174.7595339580991</v>
      </c>
      <c r="F40" t="s">
        <v>833</v>
      </c>
      <c r="G40">
        <v>-41.259325300044885</v>
      </c>
      <c r="H40">
        <v>174.7595339580991</v>
      </c>
    </row>
    <row r="41" spans="2:8">
      <c r="B41" t="s">
        <v>432</v>
      </c>
      <c r="C41">
        <v>-39.869695875888034</v>
      </c>
      <c r="D41">
        <v>175.05082756266484</v>
      </c>
      <c r="F41" t="s">
        <v>834</v>
      </c>
      <c r="G41">
        <v>-39.869695875888034</v>
      </c>
      <c r="H41">
        <v>175.05082756266484</v>
      </c>
    </row>
    <row r="42" spans="2:8">
      <c r="B42" t="s">
        <v>433</v>
      </c>
      <c r="C42">
        <v>-39.38226910558798</v>
      </c>
      <c r="D42">
        <v>176.88700491828044</v>
      </c>
      <c r="F42" t="s">
        <v>835</v>
      </c>
      <c r="G42">
        <v>-39.38226910558798</v>
      </c>
      <c r="H42">
        <v>176.88700491828044</v>
      </c>
    </row>
    <row r="43" spans="2:8">
      <c r="B43" t="s">
        <v>434</v>
      </c>
      <c r="C43">
        <v>-43.532561706661433</v>
      </c>
      <c r="D43">
        <v>172.69830857259237</v>
      </c>
      <c r="F43" t="s">
        <v>836</v>
      </c>
      <c r="G43">
        <v>-43.532561706661433</v>
      </c>
      <c r="H43">
        <v>172.69830857259237</v>
      </c>
    </row>
    <row r="44" spans="2:8">
      <c r="B44" t="s">
        <v>435</v>
      </c>
      <c r="C44">
        <v>-37.739589068953137</v>
      </c>
      <c r="D44">
        <v>176.16910066775642</v>
      </c>
      <c r="F44" t="s">
        <v>837</v>
      </c>
      <c r="G44">
        <v>-37.739589068953137</v>
      </c>
      <c r="H44">
        <v>176.16910066775642</v>
      </c>
    </row>
    <row r="45" spans="2:8">
      <c r="B45" t="s">
        <v>436</v>
      </c>
      <c r="C45">
        <v>-38.076366489047722</v>
      </c>
      <c r="D45">
        <v>176.72302791722325</v>
      </c>
      <c r="F45" t="s">
        <v>838</v>
      </c>
      <c r="G45">
        <v>-38.076366489047722</v>
      </c>
      <c r="H45">
        <v>176.72302791722325</v>
      </c>
    </row>
    <row r="46" spans="2:8">
      <c r="B46" t="s">
        <v>437</v>
      </c>
      <c r="C46">
        <v>-36.973555305303108</v>
      </c>
      <c r="D46">
        <v>174.95978936132926</v>
      </c>
      <c r="F46" t="s">
        <v>839</v>
      </c>
      <c r="G46">
        <v>-36.973555305303108</v>
      </c>
      <c r="H46">
        <v>174.95978936132926</v>
      </c>
    </row>
    <row r="47" spans="2:8">
      <c r="B47" t="s">
        <v>438</v>
      </c>
      <c r="C47">
        <v>-36.73920833834508</v>
      </c>
      <c r="D47">
        <v>174.69036266532734</v>
      </c>
      <c r="F47" t="s">
        <v>840</v>
      </c>
      <c r="G47">
        <v>-36.73920833834508</v>
      </c>
      <c r="H47">
        <v>174.69036266532734</v>
      </c>
    </row>
    <row r="48" spans="2:8">
      <c r="B48" t="s">
        <v>439</v>
      </c>
      <c r="C48">
        <v>-37.478107054587177</v>
      </c>
      <c r="D48">
        <v>175.29655081781135</v>
      </c>
      <c r="F48" t="s">
        <v>841</v>
      </c>
      <c r="G48">
        <v>-37.478107054587177</v>
      </c>
      <c r="H48">
        <v>175.29655081781135</v>
      </c>
    </row>
    <row r="49" spans="2:8">
      <c r="B49" t="s">
        <v>440</v>
      </c>
      <c r="C49">
        <v>-37.986806684867815</v>
      </c>
      <c r="D49">
        <v>176.82940475179154</v>
      </c>
      <c r="F49" t="s">
        <v>842</v>
      </c>
      <c r="G49">
        <v>-37.986806684867815</v>
      </c>
      <c r="H49">
        <v>176.82940475179154</v>
      </c>
    </row>
    <row r="50" spans="2:8">
      <c r="B50" t="s">
        <v>441</v>
      </c>
      <c r="C50">
        <v>-38.625842050356965</v>
      </c>
      <c r="D50">
        <v>176.10506610176088</v>
      </c>
      <c r="F50" t="s">
        <v>843</v>
      </c>
      <c r="G50">
        <v>-38.625842050356965</v>
      </c>
      <c r="H50">
        <v>176.10506610176088</v>
      </c>
    </row>
    <row r="51" spans="2:8">
      <c r="B51" t="s">
        <v>442</v>
      </c>
      <c r="C51">
        <v>-40.280782024056883</v>
      </c>
      <c r="D51">
        <v>175.63984949233836</v>
      </c>
      <c r="F51" t="s">
        <v>844</v>
      </c>
      <c r="G51">
        <v>-40.280782024056883</v>
      </c>
      <c r="H51">
        <v>175.63984949233836</v>
      </c>
    </row>
    <row r="52" spans="2:8">
      <c r="B52" t="s">
        <v>443</v>
      </c>
      <c r="C52">
        <v>-44.372736270488176</v>
      </c>
      <c r="D52">
        <v>171.23027826564871</v>
      </c>
      <c r="F52" t="s">
        <v>845</v>
      </c>
      <c r="G52">
        <v>-44.372736270488176</v>
      </c>
      <c r="H52">
        <v>171.23027826564871</v>
      </c>
    </row>
    <row r="53" spans="2:8">
      <c r="B53" t="s">
        <v>444</v>
      </c>
      <c r="C53">
        <v>-37.542003407430911</v>
      </c>
      <c r="D53">
        <v>175.15184335558848</v>
      </c>
      <c r="F53" t="s">
        <v>846</v>
      </c>
      <c r="G53">
        <v>-37.542003407430911</v>
      </c>
      <c r="H53">
        <v>175.15184335558848</v>
      </c>
    </row>
    <row r="54" spans="2:8">
      <c r="B54" t="s">
        <v>445</v>
      </c>
      <c r="C54">
        <v>-40.410449907400462</v>
      </c>
      <c r="D54">
        <v>175.6316602870283</v>
      </c>
      <c r="F54" t="s">
        <v>847</v>
      </c>
      <c r="G54">
        <v>-40.410449907400462</v>
      </c>
      <c r="H54">
        <v>175.6316602870283</v>
      </c>
    </row>
    <row r="55" spans="2:8">
      <c r="B55" t="s">
        <v>446</v>
      </c>
      <c r="C55">
        <v>-38.889769847417121</v>
      </c>
      <c r="D55">
        <v>175.32701827860123</v>
      </c>
      <c r="F55" t="s">
        <v>848</v>
      </c>
      <c r="G55">
        <v>-38.889769847417121</v>
      </c>
      <c r="H55">
        <v>175.32701827860123</v>
      </c>
    </row>
    <row r="56" spans="2:8">
      <c r="B56" t="s">
        <v>447</v>
      </c>
      <c r="C56">
        <v>-40.354080281698771</v>
      </c>
      <c r="D56">
        <v>175.7734919083359</v>
      </c>
      <c r="F56" t="s">
        <v>849</v>
      </c>
      <c r="G56">
        <v>-40.354080281698771</v>
      </c>
      <c r="H56">
        <v>175.7734919083359</v>
      </c>
    </row>
    <row r="57" spans="2:8">
      <c r="B57" t="s">
        <v>448</v>
      </c>
      <c r="C57">
        <v>-41.315001248548384</v>
      </c>
      <c r="D57">
        <v>173.2431578469386</v>
      </c>
      <c r="F57" t="s">
        <v>850</v>
      </c>
      <c r="G57">
        <v>-41.315001248548384</v>
      </c>
      <c r="H57">
        <v>173.2431578469386</v>
      </c>
    </row>
    <row r="58" spans="2:8">
      <c r="B58" t="s">
        <v>449</v>
      </c>
      <c r="C58">
        <v>-38.291563464927151</v>
      </c>
      <c r="D58">
        <v>175.6834896282503</v>
      </c>
      <c r="F58" t="s">
        <v>851</v>
      </c>
      <c r="G58">
        <v>-38.291563464927151</v>
      </c>
      <c r="H58">
        <v>175.6834896282503</v>
      </c>
    </row>
    <row r="59" spans="2:8">
      <c r="B59" t="s">
        <v>450</v>
      </c>
      <c r="C59">
        <v>-44.278535820904686</v>
      </c>
      <c r="D59">
        <v>170.10014014935803</v>
      </c>
      <c r="F59" t="s">
        <v>852</v>
      </c>
      <c r="G59">
        <v>-44.278535820904686</v>
      </c>
      <c r="H59">
        <v>170.10014014935803</v>
      </c>
    </row>
    <row r="60" spans="2:8">
      <c r="B60" t="s">
        <v>451</v>
      </c>
      <c r="C60">
        <v>-45.477056579528998</v>
      </c>
      <c r="D60">
        <v>169.31931354568206</v>
      </c>
      <c r="F60" t="s">
        <v>853</v>
      </c>
      <c r="G60">
        <v>-45.477056579528998</v>
      </c>
      <c r="H60">
        <v>169.31931354568206</v>
      </c>
    </row>
    <row r="61" spans="2:8">
      <c r="B61" t="s">
        <v>452</v>
      </c>
      <c r="C61">
        <v>-45.059586378226669</v>
      </c>
      <c r="D61">
        <v>169.19178000397167</v>
      </c>
      <c r="F61" t="s">
        <v>854</v>
      </c>
      <c r="G61">
        <v>-45.059586378226669</v>
      </c>
      <c r="H61">
        <v>169.19178000397167</v>
      </c>
    </row>
    <row r="62" spans="2:8">
      <c r="B62" t="s">
        <v>453</v>
      </c>
      <c r="C62">
        <v>-37.729722493582464</v>
      </c>
      <c r="D62">
        <v>175.12303154985176</v>
      </c>
      <c r="F62" t="s">
        <v>855</v>
      </c>
      <c r="G62">
        <v>-37.729722493582464</v>
      </c>
      <c r="H62">
        <v>175.12303154985176</v>
      </c>
    </row>
    <row r="63" spans="2:8">
      <c r="B63" t="s">
        <v>454</v>
      </c>
      <c r="C63">
        <v>-37.203279422580522</v>
      </c>
      <c r="D63">
        <v>174.73171906345405</v>
      </c>
      <c r="F63" t="s">
        <v>856</v>
      </c>
      <c r="G63">
        <v>-37.203279422580522</v>
      </c>
      <c r="H63">
        <v>174.73171906345405</v>
      </c>
    </row>
    <row r="64" spans="2:8">
      <c r="B64" t="s">
        <v>455</v>
      </c>
      <c r="C64">
        <v>-39.464735680034892</v>
      </c>
      <c r="D64">
        <v>175.57233732509204</v>
      </c>
      <c r="F64" t="s">
        <v>857</v>
      </c>
      <c r="G64">
        <v>-39.464735680034892</v>
      </c>
      <c r="H64">
        <v>175.57233732509204</v>
      </c>
    </row>
    <row r="65" spans="2:8">
      <c r="B65" t="s">
        <v>456</v>
      </c>
      <c r="C65">
        <v>-35.875710214874807</v>
      </c>
      <c r="D65">
        <v>174.46695019877174</v>
      </c>
      <c r="F65" t="s">
        <v>858</v>
      </c>
      <c r="G65">
        <v>-35.875710214874807</v>
      </c>
      <c r="H65">
        <v>174.46695019877174</v>
      </c>
    </row>
    <row r="66" spans="2:8">
      <c r="B66" t="s">
        <v>457</v>
      </c>
      <c r="C66">
        <v>-37.125022856370606</v>
      </c>
      <c r="D66">
        <v>174.9615643738949</v>
      </c>
      <c r="F66" t="s">
        <v>859</v>
      </c>
      <c r="G66">
        <v>-37.125022856370606</v>
      </c>
      <c r="H66">
        <v>174.9615643738949</v>
      </c>
    </row>
    <row r="67" spans="2:8">
      <c r="B67" t="s">
        <v>458</v>
      </c>
      <c r="C67">
        <v>-38.547262134802338</v>
      </c>
      <c r="D67">
        <v>176.1954791743097</v>
      </c>
      <c r="F67" t="s">
        <v>860</v>
      </c>
      <c r="G67">
        <v>-38.547262134802338</v>
      </c>
      <c r="H67">
        <v>176.1954791743097</v>
      </c>
    </row>
    <row r="68" spans="2:8">
      <c r="B68" t="s">
        <v>459</v>
      </c>
      <c r="C68">
        <v>-43.941809324716601</v>
      </c>
      <c r="D68">
        <v>171.80204282881883</v>
      </c>
      <c r="F68" t="s">
        <v>861</v>
      </c>
      <c r="G68">
        <v>-43.941809324716601</v>
      </c>
      <c r="H68">
        <v>171.80204282881883</v>
      </c>
    </row>
    <row r="69" spans="2:8">
      <c r="B69" t="s">
        <v>460</v>
      </c>
      <c r="C69">
        <v>-46.305644039040679</v>
      </c>
      <c r="D69">
        <v>168.35936103003462</v>
      </c>
      <c r="F69" t="s">
        <v>862</v>
      </c>
      <c r="G69">
        <v>-46.305644039040679</v>
      </c>
      <c r="H69">
        <v>168.35936103003462</v>
      </c>
    </row>
    <row r="70" spans="2:8">
      <c r="B70" t="s">
        <v>461</v>
      </c>
      <c r="C70">
        <v>-44.125136866391458</v>
      </c>
      <c r="D70">
        <v>170.21176528495087</v>
      </c>
      <c r="F70" t="s">
        <v>863</v>
      </c>
      <c r="G70">
        <v>-44.125136866391458</v>
      </c>
      <c r="H70">
        <v>170.21176528495087</v>
      </c>
    </row>
    <row r="71" spans="2:8">
      <c r="B71" t="s">
        <v>462</v>
      </c>
      <c r="C71">
        <v>-38.615896708987222</v>
      </c>
      <c r="D71">
        <v>176.14307393972643</v>
      </c>
      <c r="F71" t="s">
        <v>864</v>
      </c>
      <c r="G71">
        <v>-38.615896708987222</v>
      </c>
      <c r="H71">
        <v>176.14307393972643</v>
      </c>
    </row>
    <row r="72" spans="2:8">
      <c r="B72" t="s">
        <v>463</v>
      </c>
      <c r="C72">
        <v>-38.073946605220321</v>
      </c>
      <c r="D72">
        <v>176.15975486359699</v>
      </c>
      <c r="F72" t="s">
        <v>865</v>
      </c>
      <c r="G72">
        <v>-38.073946605220321</v>
      </c>
      <c r="H72">
        <v>176.15975486359699</v>
      </c>
    </row>
    <row r="73" spans="2:8">
      <c r="B73" t="s">
        <v>464</v>
      </c>
      <c r="C73">
        <v>-38.613349324129061</v>
      </c>
      <c r="D73">
        <v>176.18373118532531</v>
      </c>
      <c r="F73" t="s">
        <v>866</v>
      </c>
      <c r="G73">
        <v>-38.613349324129061</v>
      </c>
      <c r="H73">
        <v>176.18373118532531</v>
      </c>
    </row>
    <row r="74" spans="2:8">
      <c r="B74" t="s">
        <v>465</v>
      </c>
      <c r="C74">
        <v>-38.527739302233407</v>
      </c>
      <c r="D74">
        <v>176.29264777515959</v>
      </c>
      <c r="F74" t="s">
        <v>867</v>
      </c>
      <c r="G74">
        <v>-38.527739302233407</v>
      </c>
      <c r="H74">
        <v>176.29264777515959</v>
      </c>
    </row>
    <row r="75" spans="2:8">
      <c r="B75" t="s">
        <v>466</v>
      </c>
      <c r="C75">
        <v>-46.392817461950202</v>
      </c>
      <c r="D75">
        <v>168.39277893803362</v>
      </c>
      <c r="F75" t="s">
        <v>868</v>
      </c>
      <c r="G75">
        <v>-46.392817461950202</v>
      </c>
      <c r="H75">
        <v>168.39277893803362</v>
      </c>
    </row>
    <row r="76" spans="2:8">
      <c r="B76" t="s">
        <v>467</v>
      </c>
      <c r="C76">
        <v>-38.408027205315669</v>
      </c>
      <c r="D76">
        <v>176.0859141855579</v>
      </c>
      <c r="F76" t="s">
        <v>869</v>
      </c>
      <c r="G76">
        <v>-38.408027205315669</v>
      </c>
      <c r="H76">
        <v>176.0859141855579</v>
      </c>
    </row>
    <row r="77" spans="2:8">
      <c r="B77" t="s">
        <v>468</v>
      </c>
      <c r="C77">
        <v>-38.617668792014904</v>
      </c>
      <c r="D77">
        <v>176.0478889108781</v>
      </c>
      <c r="F77" t="s">
        <v>870</v>
      </c>
      <c r="G77">
        <v>-38.617668792014904</v>
      </c>
      <c r="H77">
        <v>176.0478889108781</v>
      </c>
    </row>
    <row r="78" spans="2:8">
      <c r="B78" t="s">
        <v>469</v>
      </c>
      <c r="C78">
        <v>-36.926804347738312</v>
      </c>
      <c r="D78">
        <v>174.90630447391248</v>
      </c>
      <c r="F78" t="s">
        <v>871</v>
      </c>
      <c r="G78">
        <v>-36.926804347738312</v>
      </c>
      <c r="H78">
        <v>174.90630447391248</v>
      </c>
    </row>
    <row r="79" spans="2:8">
      <c r="B79" t="s">
        <v>470</v>
      </c>
      <c r="C79">
        <v>-36.905317595726089</v>
      </c>
      <c r="D79">
        <v>174.81754793437622</v>
      </c>
      <c r="F79" t="s">
        <v>872</v>
      </c>
      <c r="G79">
        <v>-36.905317595726089</v>
      </c>
      <c r="H79">
        <v>174.81754793437622</v>
      </c>
    </row>
    <row r="80" spans="2:8">
      <c r="B80" t="s">
        <v>471</v>
      </c>
      <c r="C80">
        <v>-39.551657170780025</v>
      </c>
      <c r="D80">
        <v>176.82122619996295</v>
      </c>
      <c r="F80" t="s">
        <v>873</v>
      </c>
      <c r="G80">
        <v>-39.551657170780025</v>
      </c>
      <c r="H80">
        <v>176.82122619996295</v>
      </c>
    </row>
    <row r="81" spans="2:8">
      <c r="B81" t="s">
        <v>472</v>
      </c>
      <c r="C81">
        <v>-46.589650287662963</v>
      </c>
      <c r="D81">
        <v>168.39236998897556</v>
      </c>
      <c r="F81" t="s">
        <v>874</v>
      </c>
      <c r="G81">
        <v>-46.589650287662963</v>
      </c>
      <c r="H81">
        <v>168.39236998897556</v>
      </c>
    </row>
    <row r="82" spans="2:8">
      <c r="B82" t="s">
        <v>473</v>
      </c>
      <c r="C82">
        <v>-45.520994466871883</v>
      </c>
      <c r="D82">
        <v>167.27759486421965</v>
      </c>
      <c r="F82" t="s">
        <v>875</v>
      </c>
      <c r="G82">
        <v>-45.520994466871883</v>
      </c>
      <c r="H82">
        <v>167.27759486421965</v>
      </c>
    </row>
    <row r="83" spans="2:8">
      <c r="B83" t="s">
        <v>474</v>
      </c>
      <c r="C83">
        <v>-45.032958729989858</v>
      </c>
      <c r="D83">
        <v>170.09336937379479</v>
      </c>
      <c r="F83" t="s">
        <v>876</v>
      </c>
      <c r="G83">
        <v>-45.032958729989858</v>
      </c>
      <c r="H83">
        <v>170.09336937379479</v>
      </c>
    </row>
    <row r="84" spans="2:8">
      <c r="B84" t="s">
        <v>475</v>
      </c>
      <c r="C84">
        <v>-40.925238220741157</v>
      </c>
      <c r="D84">
        <v>175.01256657066372</v>
      </c>
      <c r="F84" t="s">
        <v>877</v>
      </c>
      <c r="G84">
        <v>-40.925238220741157</v>
      </c>
      <c r="H84">
        <v>175.01256657066372</v>
      </c>
    </row>
    <row r="85" spans="2:8">
      <c r="B85" t="s">
        <v>476</v>
      </c>
      <c r="C85">
        <v>-36.980082521017273</v>
      </c>
      <c r="D85">
        <v>174.91191722207927</v>
      </c>
      <c r="F85" t="s">
        <v>878</v>
      </c>
      <c r="G85">
        <v>-36.980082521017273</v>
      </c>
      <c r="H85">
        <v>174.91191722207927</v>
      </c>
    </row>
    <row r="86" spans="2:8">
      <c r="B86" t="s">
        <v>477</v>
      </c>
      <c r="C86">
        <v>-36.845347899959059</v>
      </c>
      <c r="D86">
        <v>174.76221117091691</v>
      </c>
      <c r="F86" t="s">
        <v>879</v>
      </c>
      <c r="G86">
        <v>-36.845347899959059</v>
      </c>
      <c r="H86">
        <v>174.76221117091691</v>
      </c>
    </row>
    <row r="87" spans="2:8">
      <c r="B87" t="s">
        <v>478</v>
      </c>
      <c r="C87">
        <v>-36.989025488262477</v>
      </c>
      <c r="D87">
        <v>174.93396256767241</v>
      </c>
      <c r="F87" t="s">
        <v>880</v>
      </c>
      <c r="G87">
        <v>-36.989025488262477</v>
      </c>
      <c r="H87">
        <v>174.93396256767241</v>
      </c>
    </row>
    <row r="88" spans="2:8">
      <c r="B88" t="s">
        <v>479</v>
      </c>
      <c r="C88">
        <v>-40.436401826381534</v>
      </c>
      <c r="D88">
        <v>175.70071205970572</v>
      </c>
      <c r="F88" t="s">
        <v>881</v>
      </c>
      <c r="G88">
        <v>-40.436401826381534</v>
      </c>
      <c r="H88">
        <v>175.70071205970572</v>
      </c>
    </row>
    <row r="89" spans="2:8">
      <c r="B89" t="s">
        <v>480</v>
      </c>
      <c r="C89">
        <v>-38.665301090179113</v>
      </c>
      <c r="D89">
        <v>176.16388596167894</v>
      </c>
      <c r="F89" t="s">
        <v>882</v>
      </c>
      <c r="G89">
        <v>-38.665301090179113</v>
      </c>
      <c r="H89">
        <v>176.16388596167894</v>
      </c>
    </row>
    <row r="90" spans="2:8">
      <c r="B90" t="s">
        <v>481</v>
      </c>
      <c r="C90">
        <v>-43.608222813675418</v>
      </c>
      <c r="D90">
        <v>172.21461158495595</v>
      </c>
      <c r="F90" t="s">
        <v>883</v>
      </c>
      <c r="G90">
        <v>-43.608222813675418</v>
      </c>
      <c r="H90">
        <v>172.21461158495595</v>
      </c>
    </row>
    <row r="91" spans="2:8">
      <c r="B91" t="s">
        <v>482</v>
      </c>
      <c r="C91">
        <v>-40.454342167229044</v>
      </c>
      <c r="D91">
        <v>175.63662288229503</v>
      </c>
      <c r="F91" t="s">
        <v>884</v>
      </c>
      <c r="G91">
        <v>-40.454342167229044</v>
      </c>
      <c r="H91">
        <v>175.63662288229503</v>
      </c>
    </row>
    <row r="92" spans="2:8">
      <c r="B92" t="s">
        <v>483</v>
      </c>
      <c r="C92">
        <v>-36.780344826873602</v>
      </c>
      <c r="D92">
        <v>174.74678906711625</v>
      </c>
      <c r="F92" t="s">
        <v>885</v>
      </c>
      <c r="G92">
        <v>-36.780344826873602</v>
      </c>
      <c r="H92">
        <v>174.74678906711625</v>
      </c>
    </row>
    <row r="93" spans="2:8">
      <c r="B93" t="s">
        <v>484</v>
      </c>
      <c r="C93">
        <v>-39.33410713291898</v>
      </c>
      <c r="D93">
        <v>174.32014146977764</v>
      </c>
      <c r="F93" t="s">
        <v>886</v>
      </c>
      <c r="G93">
        <v>-39.33410713291898</v>
      </c>
      <c r="H93">
        <v>174.32014146977764</v>
      </c>
    </row>
    <row r="94" spans="2:8">
      <c r="B94" t="s">
        <v>485</v>
      </c>
      <c r="C94">
        <v>-40.920975349689428</v>
      </c>
      <c r="D94">
        <v>175.01874348599642</v>
      </c>
      <c r="F94" t="s">
        <v>887</v>
      </c>
      <c r="G94">
        <v>-40.920975349689428</v>
      </c>
      <c r="H94">
        <v>175.01874348599642</v>
      </c>
    </row>
    <row r="95" spans="2:8">
      <c r="B95" t="s">
        <v>486</v>
      </c>
      <c r="C95">
        <v>-43.587672881605151</v>
      </c>
      <c r="D95">
        <v>172.52629368077328</v>
      </c>
      <c r="F95" t="s">
        <v>888</v>
      </c>
      <c r="G95">
        <v>-43.587672881605151</v>
      </c>
      <c r="H95">
        <v>172.52629368077328</v>
      </c>
    </row>
    <row r="96" spans="2:8">
      <c r="B96" t="s">
        <v>487</v>
      </c>
      <c r="C96">
        <v>-37.039303683371912</v>
      </c>
      <c r="D96">
        <v>174.93059809999994</v>
      </c>
      <c r="F96" t="s">
        <v>889</v>
      </c>
      <c r="G96">
        <v>-37.039303683371912</v>
      </c>
      <c r="H96">
        <v>174.93059809999994</v>
      </c>
    </row>
    <row r="97" spans="2:8">
      <c r="B97" t="s">
        <v>488</v>
      </c>
      <c r="C97">
        <v>-39.130024585477855</v>
      </c>
      <c r="D97">
        <v>175.79291580000009</v>
      </c>
      <c r="F97" t="s">
        <v>890</v>
      </c>
      <c r="G97">
        <v>-39.130024585477855</v>
      </c>
      <c r="H97">
        <v>175.79291580000009</v>
      </c>
    </row>
    <row r="98" spans="2:8">
      <c r="B98" t="s">
        <v>489</v>
      </c>
      <c r="C98">
        <v>-38.987450285336223</v>
      </c>
      <c r="D98">
        <v>175.76794679999918</v>
      </c>
      <c r="F98" t="s">
        <v>891</v>
      </c>
      <c r="G98">
        <v>-38.987450285336223</v>
      </c>
      <c r="H98">
        <v>175.76794679999918</v>
      </c>
    </row>
    <row r="99" spans="2:8">
      <c r="B99" t="s">
        <v>490</v>
      </c>
      <c r="C99">
        <v>-44.347762336011989</v>
      </c>
      <c r="D99">
        <v>170.17463973769003</v>
      </c>
      <c r="F99" t="s">
        <v>892</v>
      </c>
      <c r="G99">
        <v>-44.347762336011989</v>
      </c>
      <c r="H99">
        <v>170.17463973769003</v>
      </c>
    </row>
    <row r="100" spans="2:8">
      <c r="B100" t="s">
        <v>491</v>
      </c>
      <c r="C100">
        <v>-44.346439190135811</v>
      </c>
      <c r="D100">
        <v>170.17671760000044</v>
      </c>
      <c r="F100" t="s">
        <v>893</v>
      </c>
      <c r="G100">
        <v>-44.346439190135811</v>
      </c>
      <c r="H100">
        <v>170.17671760000044</v>
      </c>
    </row>
    <row r="101" spans="2:8">
      <c r="B101" t="s">
        <v>492</v>
      </c>
      <c r="C101">
        <v>-44.269640390075629</v>
      </c>
      <c r="D101">
        <v>170.18855710000082</v>
      </c>
      <c r="F101" t="s">
        <v>894</v>
      </c>
      <c r="G101">
        <v>-44.269640390075629</v>
      </c>
      <c r="H101">
        <v>170.18855710000082</v>
      </c>
    </row>
    <row r="102" spans="2:8">
      <c r="B102" t="s">
        <v>493</v>
      </c>
      <c r="C102">
        <v>-44.699630790409422</v>
      </c>
      <c r="D102">
        <v>170.4150871999995</v>
      </c>
      <c r="F102" t="s">
        <v>895</v>
      </c>
      <c r="G102">
        <v>-44.699630790409422</v>
      </c>
      <c r="H102">
        <v>170.4150871999995</v>
      </c>
    </row>
    <row r="103" spans="2:8">
      <c r="B103" t="s">
        <v>494</v>
      </c>
      <c r="C103">
        <v>-43.589330389528541</v>
      </c>
      <c r="D103">
        <v>172.52453420000003</v>
      </c>
      <c r="F103" t="s">
        <v>896</v>
      </c>
      <c r="G103">
        <v>-43.589330389528541</v>
      </c>
      <c r="H103">
        <v>172.52453420000003</v>
      </c>
    </row>
    <row r="104" spans="2:8">
      <c r="B104" t="s">
        <v>495</v>
      </c>
      <c r="C104">
        <v>-46.133454791462007</v>
      </c>
      <c r="D104">
        <v>168.91298230000149</v>
      </c>
      <c r="F104" t="s">
        <v>897</v>
      </c>
      <c r="G104">
        <v>-46.133454791462007</v>
      </c>
      <c r="H104">
        <v>168.91298230000149</v>
      </c>
    </row>
    <row r="105" spans="2:8">
      <c r="B105" t="s">
        <v>496</v>
      </c>
      <c r="C105">
        <v>-45.529062314876938</v>
      </c>
      <c r="D105">
        <v>167.27980091149493</v>
      </c>
      <c r="F105" t="s">
        <v>898</v>
      </c>
      <c r="G105">
        <v>-45.529062314876938</v>
      </c>
      <c r="H105">
        <v>167.27980091149493</v>
      </c>
    </row>
    <row r="106" spans="2:8">
      <c r="B106" t="s">
        <v>497</v>
      </c>
      <c r="C106">
        <v>-46.373483591627725</v>
      </c>
      <c r="D106">
        <v>168.40917289999985</v>
      </c>
      <c r="F106" t="s">
        <v>899</v>
      </c>
      <c r="G106">
        <v>-46.373483591627725</v>
      </c>
      <c r="H106">
        <v>168.40917289999985</v>
      </c>
    </row>
    <row r="107" spans="2:8">
      <c r="B107" t="s">
        <v>498</v>
      </c>
      <c r="C107">
        <v>-37.759604091890488</v>
      </c>
      <c r="D107">
        <v>175.3581203985151</v>
      </c>
      <c r="F107" t="s">
        <v>900</v>
      </c>
      <c r="G107">
        <v>-37.759604091890488</v>
      </c>
      <c r="H107">
        <v>175.3581203985151</v>
      </c>
    </row>
    <row r="108" spans="2:8">
      <c r="B108" t="s">
        <v>499</v>
      </c>
      <c r="C108">
        <v>-39.153275935275524</v>
      </c>
      <c r="D108">
        <v>175.83710419978451</v>
      </c>
      <c r="F108" t="s">
        <v>901</v>
      </c>
      <c r="G108">
        <v>-39.153275935275524</v>
      </c>
      <c r="H108">
        <v>175.83710419978451</v>
      </c>
    </row>
    <row r="109" spans="2:8">
      <c r="B109" t="s">
        <v>500</v>
      </c>
      <c r="C109">
        <v>-38.629706384983201</v>
      </c>
      <c r="D109">
        <v>176.04120780000076</v>
      </c>
      <c r="F109" t="s">
        <v>902</v>
      </c>
      <c r="G109">
        <v>-38.629706384983201</v>
      </c>
      <c r="H109">
        <v>176.04120780000076</v>
      </c>
    </row>
    <row r="110" spans="2:8">
      <c r="B110" t="s">
        <v>501</v>
      </c>
      <c r="C110">
        <v>-44.193824890016202</v>
      </c>
      <c r="D110">
        <v>171.0154286000016</v>
      </c>
      <c r="F110" t="s">
        <v>903</v>
      </c>
      <c r="G110">
        <v>-44.193824890016202</v>
      </c>
      <c r="H110">
        <v>171.0154286000016</v>
      </c>
    </row>
    <row r="111" spans="2:8">
      <c r="B111" t="s">
        <v>502</v>
      </c>
      <c r="C111">
        <v>-37.479406383822266</v>
      </c>
      <c r="D111">
        <v>175.29072060000018</v>
      </c>
      <c r="F111" t="s">
        <v>904</v>
      </c>
      <c r="G111">
        <v>-37.479406383822266</v>
      </c>
      <c r="H111">
        <v>175.29072060000018</v>
      </c>
    </row>
    <row r="112" spans="2:8">
      <c r="B112" t="s">
        <v>503</v>
      </c>
      <c r="C112">
        <v>-40.409103286712622</v>
      </c>
      <c r="D112">
        <v>175.6348461999998</v>
      </c>
      <c r="F112" t="s">
        <v>905</v>
      </c>
      <c r="G112">
        <v>-40.409103286712622</v>
      </c>
      <c r="H112">
        <v>175.6348461999998</v>
      </c>
    </row>
    <row r="113" spans="2:8">
      <c r="B113" t="s">
        <v>504</v>
      </c>
      <c r="C113">
        <v>-40.355988086662194</v>
      </c>
      <c r="D113">
        <v>175.70909339999969</v>
      </c>
      <c r="F113" t="s">
        <v>906</v>
      </c>
      <c r="G113">
        <v>-40.355988086662194</v>
      </c>
      <c r="H113">
        <v>175.70909339999969</v>
      </c>
    </row>
    <row r="114" spans="2:8">
      <c r="B114" t="s">
        <v>505</v>
      </c>
      <c r="C114">
        <v>-45.180792737204072</v>
      </c>
      <c r="D114">
        <v>169.30677059304614</v>
      </c>
      <c r="F114" t="s">
        <v>907</v>
      </c>
      <c r="G114">
        <v>-45.180792737204072</v>
      </c>
      <c r="H114">
        <v>169.30677059304614</v>
      </c>
    </row>
    <row r="115" spans="2:8">
      <c r="B115" t="s">
        <v>506</v>
      </c>
      <c r="C115">
        <v>-37.726688384074457</v>
      </c>
      <c r="D115">
        <v>175.10221290000072</v>
      </c>
      <c r="F115" t="s">
        <v>908</v>
      </c>
      <c r="G115">
        <v>-37.726688384074457</v>
      </c>
      <c r="H115">
        <v>175.10221290000072</v>
      </c>
    </row>
    <row r="116" spans="2:8">
      <c r="B116" t="s">
        <v>507</v>
      </c>
      <c r="C116">
        <v>-37.924099784273942</v>
      </c>
      <c r="D116">
        <v>175.60754740000024</v>
      </c>
      <c r="F116" t="s">
        <v>909</v>
      </c>
      <c r="G116">
        <v>-37.924099784273942</v>
      </c>
      <c r="H116">
        <v>175.60754740000024</v>
      </c>
    </row>
    <row r="117" spans="2:8">
      <c r="B117" t="s">
        <v>508</v>
      </c>
      <c r="C117">
        <v>-37.931141984281382</v>
      </c>
      <c r="D117">
        <v>175.61048950000054</v>
      </c>
      <c r="F117" t="s">
        <v>910</v>
      </c>
      <c r="G117">
        <v>-37.931141984281382</v>
      </c>
      <c r="H117">
        <v>175.61048950000054</v>
      </c>
    </row>
    <row r="118" spans="2:8">
      <c r="B118" t="s">
        <v>509</v>
      </c>
      <c r="C118">
        <v>-41.316930987557697</v>
      </c>
      <c r="D118">
        <v>173.24122740000092</v>
      </c>
      <c r="F118" t="s">
        <v>911</v>
      </c>
      <c r="G118">
        <v>-41.316930987557697</v>
      </c>
      <c r="H118">
        <v>173.24122740000092</v>
      </c>
    </row>
    <row r="119" spans="2:8">
      <c r="B119" t="s">
        <v>510</v>
      </c>
      <c r="C119">
        <v>-37.424434483766447</v>
      </c>
      <c r="D119">
        <v>175.29943950000035</v>
      </c>
      <c r="F119" t="s">
        <v>912</v>
      </c>
      <c r="G119">
        <v>-37.424434483766447</v>
      </c>
      <c r="H119">
        <v>175.29943950000035</v>
      </c>
    </row>
    <row r="120" spans="2:8">
      <c r="B120" t="s">
        <v>511</v>
      </c>
      <c r="C120">
        <v>-36.984835383316359</v>
      </c>
      <c r="D120">
        <v>175.00786620000017</v>
      </c>
      <c r="F120" t="s">
        <v>913</v>
      </c>
      <c r="G120">
        <v>-36.984835383316359</v>
      </c>
      <c r="H120">
        <v>175.00786620000017</v>
      </c>
    </row>
    <row r="121" spans="2:8">
      <c r="B121" t="s">
        <v>512</v>
      </c>
      <c r="C121">
        <v>-36.987811983318252</v>
      </c>
      <c r="D121">
        <v>175.01482479999933</v>
      </c>
      <c r="F121" t="s">
        <v>914</v>
      </c>
      <c r="G121">
        <v>-36.987811983318252</v>
      </c>
      <c r="H121">
        <v>175.01482479999933</v>
      </c>
    </row>
    <row r="122" spans="2:8">
      <c r="B122" t="s">
        <v>513</v>
      </c>
      <c r="C122">
        <v>-38.987042885337743</v>
      </c>
      <c r="D122">
        <v>175.76986430000076</v>
      </c>
      <c r="F122" t="s">
        <v>915</v>
      </c>
      <c r="G122">
        <v>-38.987042885337743</v>
      </c>
      <c r="H122">
        <v>175.76986430000076</v>
      </c>
    </row>
    <row r="123" spans="2:8">
      <c r="B123" t="s">
        <v>514</v>
      </c>
      <c r="C123">
        <v>-37.4296252837715</v>
      </c>
      <c r="D123">
        <v>175.30111730000019</v>
      </c>
      <c r="F123" t="s">
        <v>916</v>
      </c>
      <c r="G123">
        <v>-37.4296252837715</v>
      </c>
      <c r="H123">
        <v>175.30111730000019</v>
      </c>
    </row>
    <row r="124" spans="2:8">
      <c r="B124" t="s">
        <v>515</v>
      </c>
      <c r="C124">
        <v>-44.122694376379314</v>
      </c>
      <c r="D124">
        <v>170.21191479329693</v>
      </c>
      <c r="F124" t="s">
        <v>917</v>
      </c>
      <c r="G124">
        <v>-44.122694376379314</v>
      </c>
      <c r="H124">
        <v>170.21191479329693</v>
      </c>
    </row>
    <row r="125" spans="2:8">
      <c r="B125" t="s">
        <v>516</v>
      </c>
      <c r="C125">
        <v>-36.927835683258138</v>
      </c>
      <c r="D125">
        <v>174.82479740000036</v>
      </c>
      <c r="F125" t="s">
        <v>918</v>
      </c>
      <c r="G125">
        <v>-36.927835683258138</v>
      </c>
      <c r="H125">
        <v>174.82479740000036</v>
      </c>
    </row>
    <row r="126" spans="2:8">
      <c r="B126" t="s">
        <v>517</v>
      </c>
      <c r="C126">
        <v>-38.667707785019971</v>
      </c>
      <c r="D126">
        <v>176.15754779999986</v>
      </c>
      <c r="F126" t="s">
        <v>919</v>
      </c>
      <c r="G126">
        <v>-38.667707785019971</v>
      </c>
      <c r="H126">
        <v>176.15754779999986</v>
      </c>
    </row>
    <row r="127" spans="2:8">
      <c r="B127" t="s">
        <v>518</v>
      </c>
      <c r="C127">
        <v>-39.154365385501528</v>
      </c>
      <c r="D127">
        <v>175.83284429999981</v>
      </c>
      <c r="F127" t="s">
        <v>920</v>
      </c>
      <c r="G127">
        <v>-39.154365385501528</v>
      </c>
      <c r="H127">
        <v>175.83284429999981</v>
      </c>
    </row>
    <row r="128" spans="2:8">
      <c r="B128" t="s">
        <v>519</v>
      </c>
      <c r="C128">
        <v>-44.134340889968577</v>
      </c>
      <c r="D128">
        <v>170.23860280000079</v>
      </c>
      <c r="F128" t="s">
        <v>921</v>
      </c>
      <c r="G128">
        <v>-44.134340889968577</v>
      </c>
      <c r="H128">
        <v>170.23860280000079</v>
      </c>
    </row>
    <row r="129" spans="2:8">
      <c r="B129" t="s">
        <v>520</v>
      </c>
      <c r="C129">
        <v>-38.111281684462099</v>
      </c>
      <c r="D129">
        <v>176.80584909999965</v>
      </c>
      <c r="F129" t="s">
        <v>922</v>
      </c>
      <c r="G129">
        <v>-38.111281684462099</v>
      </c>
      <c r="H129">
        <v>176.80584909999965</v>
      </c>
    </row>
    <row r="130" spans="2:8">
      <c r="B130" t="s">
        <v>521</v>
      </c>
      <c r="C130">
        <v>-38.419456007337523</v>
      </c>
      <c r="D130">
        <v>175.80736592175532</v>
      </c>
      <c r="F130" t="s">
        <v>923</v>
      </c>
      <c r="G130">
        <v>-38.419456007337523</v>
      </c>
      <c r="H130">
        <v>175.80736592175532</v>
      </c>
    </row>
    <row r="131" spans="2:8">
      <c r="B131" t="s">
        <v>522</v>
      </c>
      <c r="C131">
        <v>-39.491946385831362</v>
      </c>
      <c r="D131">
        <v>175.65719809999928</v>
      </c>
      <c r="F131" t="s">
        <v>924</v>
      </c>
      <c r="G131">
        <v>-39.491946385831362</v>
      </c>
      <c r="H131">
        <v>175.65719809999928</v>
      </c>
    </row>
    <row r="132" spans="2:8">
      <c r="B132" t="s">
        <v>523</v>
      </c>
      <c r="C132">
        <v>-44.574074090313502</v>
      </c>
      <c r="D132">
        <v>170.19879370000126</v>
      </c>
      <c r="F132" t="s">
        <v>925</v>
      </c>
      <c r="G132">
        <v>-44.574074090313502</v>
      </c>
      <c r="H132">
        <v>170.19879370000126</v>
      </c>
    </row>
    <row r="133" spans="2:8">
      <c r="B133" t="s">
        <v>524</v>
      </c>
      <c r="C133">
        <v>-37.484187283826877</v>
      </c>
      <c r="D133">
        <v>175.29775509999999</v>
      </c>
      <c r="F133" t="s">
        <v>926</v>
      </c>
      <c r="G133">
        <v>-37.484187283826877</v>
      </c>
      <c r="H133">
        <v>175.29775509999999</v>
      </c>
    </row>
    <row r="134" spans="2:8">
      <c r="B134" t="s">
        <v>525</v>
      </c>
      <c r="C134">
        <v>-44.299608112527537</v>
      </c>
      <c r="D134">
        <v>170.11255244641663</v>
      </c>
      <c r="F134" t="s">
        <v>927</v>
      </c>
      <c r="G134">
        <v>-44.299608112527537</v>
      </c>
      <c r="H134">
        <v>170.11255244641663</v>
      </c>
    </row>
    <row r="135" spans="2:8">
      <c r="B135" t="s">
        <v>526</v>
      </c>
      <c r="C135">
        <v>-44.264479836199534</v>
      </c>
      <c r="D135">
        <v>170.03196004568724</v>
      </c>
      <c r="F135" t="s">
        <v>928</v>
      </c>
      <c r="G135">
        <v>-44.264479836199534</v>
      </c>
      <c r="H135">
        <v>170.03196004568724</v>
      </c>
    </row>
    <row r="136" spans="2:8">
      <c r="B136" t="s">
        <v>527</v>
      </c>
      <c r="C136">
        <v>-38.615510084968292</v>
      </c>
      <c r="D136">
        <v>176.04933040000014</v>
      </c>
      <c r="F136" t="s">
        <v>929</v>
      </c>
      <c r="G136">
        <v>-38.615510084968292</v>
      </c>
      <c r="H136">
        <v>176.04933040000014</v>
      </c>
    </row>
    <row r="137" spans="2:8">
      <c r="B137" t="s">
        <v>528</v>
      </c>
      <c r="C137">
        <v>-38.671188933004608</v>
      </c>
      <c r="D137">
        <v>177.21177271290995</v>
      </c>
      <c r="F137" t="s">
        <v>930</v>
      </c>
      <c r="G137">
        <v>-38.671188933004608</v>
      </c>
      <c r="H137">
        <v>177.21177271290995</v>
      </c>
    </row>
    <row r="138" spans="2:8">
      <c r="B138" t="s">
        <v>529</v>
      </c>
      <c r="C138">
        <v>-35.298737569037584</v>
      </c>
      <c r="D138">
        <v>173.75772498083893</v>
      </c>
      <c r="F138" t="s">
        <v>931</v>
      </c>
      <c r="G138">
        <v>-35.298737569037584</v>
      </c>
      <c r="H138">
        <v>173.75772498083893</v>
      </c>
    </row>
    <row r="139" spans="2:8">
      <c r="B139" t="s">
        <v>530</v>
      </c>
      <c r="C139">
        <v>-37.052412278300451</v>
      </c>
      <c r="D139">
        <v>175.30737882820054</v>
      </c>
      <c r="F139" t="s">
        <v>932</v>
      </c>
      <c r="G139">
        <v>-37.052412278300451</v>
      </c>
      <c r="H139">
        <v>175.30737882820054</v>
      </c>
    </row>
    <row r="140" spans="2:8">
      <c r="B140" t="s">
        <v>531</v>
      </c>
      <c r="C140">
        <v>-41.266954528300417</v>
      </c>
      <c r="D140">
        <v>174.68276479114786</v>
      </c>
      <c r="F140" t="s">
        <v>933</v>
      </c>
      <c r="G140">
        <v>-41.266954528300417</v>
      </c>
      <c r="H140">
        <v>174.68276479114786</v>
      </c>
    </row>
    <row r="141" spans="2:8">
      <c r="B141" t="s">
        <v>532</v>
      </c>
      <c r="C141">
        <v>-38.536290878445918</v>
      </c>
      <c r="D141">
        <v>175.45674305445226</v>
      </c>
      <c r="F141" t="s">
        <v>934</v>
      </c>
      <c r="G141">
        <v>-38.536290878445918</v>
      </c>
      <c r="H141">
        <v>175.45674305445226</v>
      </c>
    </row>
    <row r="142" spans="2:8">
      <c r="B142" t="s">
        <v>533</v>
      </c>
      <c r="C142">
        <v>-39.545528175514569</v>
      </c>
      <c r="D142">
        <v>174.99205435055802</v>
      </c>
      <c r="F142" t="s">
        <v>935</v>
      </c>
      <c r="G142">
        <v>-39.545528175514569</v>
      </c>
      <c r="H142">
        <v>174.99205435055802</v>
      </c>
    </row>
    <row r="143" spans="2:8">
      <c r="B143" t="s">
        <v>534</v>
      </c>
      <c r="C143">
        <v>-44.831533424517687</v>
      </c>
      <c r="D143">
        <v>169.63153823063519</v>
      </c>
      <c r="F143" t="s">
        <v>936</v>
      </c>
      <c r="G143">
        <v>-44.831533424517687</v>
      </c>
      <c r="H143">
        <v>169.63153823063519</v>
      </c>
    </row>
    <row r="144" spans="2:8">
      <c r="B144" t="s">
        <v>535</v>
      </c>
      <c r="C144">
        <v>-45.910717860987134</v>
      </c>
      <c r="D144">
        <v>169.33280977813175</v>
      </c>
      <c r="F144" t="s">
        <v>937</v>
      </c>
      <c r="G144">
        <v>-45.910717860987134</v>
      </c>
      <c r="H144">
        <v>169.33280977813175</v>
      </c>
    </row>
    <row r="145" spans="2:8">
      <c r="B145" t="s">
        <v>536</v>
      </c>
      <c r="C145">
        <v>-44.741601388145234</v>
      </c>
      <c r="D145">
        <v>168.06321385499214</v>
      </c>
      <c r="F145" t="s">
        <v>938</v>
      </c>
      <c r="G145">
        <v>-44.741601388145234</v>
      </c>
      <c r="H145">
        <v>168.06321385499214</v>
      </c>
    </row>
    <row r="146" spans="2:8">
      <c r="B146" t="s">
        <v>537</v>
      </c>
      <c r="C146">
        <v>-45.865751842800911</v>
      </c>
      <c r="D146">
        <v>166.94298215810426</v>
      </c>
      <c r="F146" t="s">
        <v>939</v>
      </c>
      <c r="G146">
        <v>-45.865751842800911</v>
      </c>
      <c r="H146">
        <v>166.94298215810426</v>
      </c>
    </row>
    <row r="147" spans="2:8">
      <c r="B147" t="s">
        <v>538</v>
      </c>
      <c r="C147">
        <v>-46.090581933732039</v>
      </c>
      <c r="D147">
        <v>168.22324695454759</v>
      </c>
      <c r="F147" t="s">
        <v>940</v>
      </c>
      <c r="G147">
        <v>-46.090581933732039</v>
      </c>
      <c r="H147">
        <v>168.22324695454759</v>
      </c>
    </row>
    <row r="148" spans="2:8">
      <c r="B148" t="s">
        <v>539</v>
      </c>
      <c r="C148">
        <v>-43.242734115270999</v>
      </c>
      <c r="D148">
        <v>172.54414064254374</v>
      </c>
      <c r="F148" t="s">
        <v>941</v>
      </c>
      <c r="G148">
        <v>-43.242734115270999</v>
      </c>
      <c r="H148">
        <v>172.54414064254374</v>
      </c>
    </row>
    <row r="149" spans="2:8">
      <c r="B149" t="s">
        <v>540</v>
      </c>
      <c r="C149">
        <v>-44.404356251748531</v>
      </c>
      <c r="D149">
        <v>170.9571457386192</v>
      </c>
      <c r="F149" t="s">
        <v>942</v>
      </c>
      <c r="G149">
        <v>-44.404356251748531</v>
      </c>
      <c r="H149">
        <v>170.9571457386192</v>
      </c>
    </row>
    <row r="150" spans="2:8">
      <c r="B150" t="s">
        <v>541</v>
      </c>
      <c r="C150">
        <v>-41.494055630251061</v>
      </c>
      <c r="D150">
        <v>172.50265057969602</v>
      </c>
      <c r="F150" t="s">
        <v>943</v>
      </c>
      <c r="G150">
        <v>-41.494055630251061</v>
      </c>
      <c r="H150">
        <v>172.50265057969602</v>
      </c>
    </row>
    <row r="151" spans="2:8">
      <c r="B151" t="s">
        <v>542</v>
      </c>
      <c r="C151">
        <v>-43.842281024420686</v>
      </c>
      <c r="D151">
        <v>169.55685611750937</v>
      </c>
      <c r="F151" t="s">
        <v>944</v>
      </c>
      <c r="G151">
        <v>-43.842281024420686</v>
      </c>
      <c r="H151">
        <v>169.55685611750937</v>
      </c>
    </row>
    <row r="152" spans="2:8">
      <c r="B152" t="s">
        <v>543</v>
      </c>
      <c r="C152">
        <v>-42.763096587951253</v>
      </c>
      <c r="D152">
        <v>171.12518049315241</v>
      </c>
      <c r="F152" t="s">
        <v>945</v>
      </c>
      <c r="G152">
        <v>-42.763096587951253</v>
      </c>
      <c r="H152">
        <v>171.12518049315241</v>
      </c>
    </row>
    <row r="153" spans="2:8">
      <c r="B153" t="s">
        <v>544</v>
      </c>
      <c r="C153">
        <v>-41.294206660534492</v>
      </c>
      <c r="D153">
        <v>174.66013384777639</v>
      </c>
      <c r="F153" t="s">
        <v>946</v>
      </c>
      <c r="G153">
        <v>-41.294206660534492</v>
      </c>
      <c r="H153">
        <v>174.66013384777639</v>
      </c>
    </row>
    <row r="154" spans="2:8">
      <c r="B154" t="s">
        <v>545</v>
      </c>
      <c r="C154">
        <v>-39.923813725335201</v>
      </c>
      <c r="D154">
        <v>174.73125966980106</v>
      </c>
      <c r="F154" t="s">
        <v>947</v>
      </c>
      <c r="G154">
        <v>-39.923813725335201</v>
      </c>
      <c r="H154">
        <v>174.73125966980106</v>
      </c>
    </row>
    <row r="155" spans="2:8">
      <c r="B155" t="s">
        <v>546</v>
      </c>
      <c r="C155">
        <v>-36.171607333829051</v>
      </c>
      <c r="D155">
        <v>174.54298543502998</v>
      </c>
      <c r="F155" t="s">
        <v>948</v>
      </c>
      <c r="G155">
        <v>-36.171607333829051</v>
      </c>
      <c r="H155">
        <v>174.54298543502998</v>
      </c>
    </row>
    <row r="156" spans="2:8">
      <c r="B156" t="s">
        <v>547</v>
      </c>
      <c r="C156">
        <v>-38.446358842073465</v>
      </c>
      <c r="D156">
        <v>175.53142516757811</v>
      </c>
      <c r="F156" t="s">
        <v>949</v>
      </c>
      <c r="G156">
        <v>-38.446358842073465</v>
      </c>
      <c r="H156">
        <v>175.53142516757811</v>
      </c>
    </row>
    <row r="157" spans="2:8">
      <c r="B157" t="s">
        <v>548</v>
      </c>
      <c r="C157">
        <v>-38.671188933004608</v>
      </c>
      <c r="D157">
        <v>177.21177271290995</v>
      </c>
      <c r="F157" t="s">
        <v>950</v>
      </c>
      <c r="G157">
        <v>-38.671188933004608</v>
      </c>
      <c r="H157">
        <v>177.21177271290995</v>
      </c>
    </row>
    <row r="158" spans="2:8">
      <c r="B158" t="s">
        <v>549</v>
      </c>
      <c r="C158">
        <v>-44.96643147907637</v>
      </c>
      <c r="D158">
        <v>170.30367724876794</v>
      </c>
      <c r="F158" t="s">
        <v>951</v>
      </c>
      <c r="G158">
        <v>-44.96643147907637</v>
      </c>
      <c r="H158">
        <v>170.30367724876794</v>
      </c>
    </row>
    <row r="159" spans="2:8">
      <c r="B159" t="s">
        <v>550</v>
      </c>
      <c r="C159">
        <v>-45.715865115513481</v>
      </c>
      <c r="D159">
        <v>169.93026668313868</v>
      </c>
      <c r="F159" t="s">
        <v>952</v>
      </c>
      <c r="G159">
        <v>-45.715865115513481</v>
      </c>
      <c r="H159">
        <v>169.93026668313868</v>
      </c>
    </row>
    <row r="160" spans="2:8">
      <c r="B160" t="s">
        <v>551</v>
      </c>
      <c r="C160">
        <v>-45.416091660938648</v>
      </c>
      <c r="D160">
        <v>168.06321385499214</v>
      </c>
      <c r="F160" t="s">
        <v>953</v>
      </c>
      <c r="G160">
        <v>-45.416091660938648</v>
      </c>
      <c r="H160">
        <v>168.06321385499214</v>
      </c>
    </row>
    <row r="161" spans="2:8">
      <c r="B161" t="s">
        <v>552</v>
      </c>
      <c r="C161">
        <v>-46.390355388306887</v>
      </c>
      <c r="D161">
        <v>168.06321385499214</v>
      </c>
      <c r="F161" t="s">
        <v>954</v>
      </c>
      <c r="G161">
        <v>-46.390355388306887</v>
      </c>
      <c r="H161">
        <v>168.06321385499214</v>
      </c>
    </row>
    <row r="162" spans="2:8">
      <c r="B162" t="s">
        <v>553</v>
      </c>
      <c r="C162">
        <v>-44.741601388145234</v>
      </c>
      <c r="D162">
        <v>167.83916751561458</v>
      </c>
      <c r="F162" t="s">
        <v>955</v>
      </c>
      <c r="G162">
        <v>-44.741601388145234</v>
      </c>
      <c r="H162">
        <v>167.83916751561458</v>
      </c>
    </row>
    <row r="163" spans="2:8">
      <c r="B163" t="s">
        <v>554</v>
      </c>
      <c r="C163">
        <v>-43.692394297133262</v>
      </c>
      <c r="D163">
        <v>172.17073007691442</v>
      </c>
      <c r="F163" t="s">
        <v>956</v>
      </c>
      <c r="G163">
        <v>-43.692394297133262</v>
      </c>
      <c r="H163">
        <v>172.17073007691442</v>
      </c>
    </row>
    <row r="164" spans="2:8">
      <c r="B164" t="s">
        <v>555</v>
      </c>
      <c r="C164">
        <v>-42.193527024259048</v>
      </c>
      <c r="D164">
        <v>173.41543196234542</v>
      </c>
      <c r="F164" t="s">
        <v>957</v>
      </c>
      <c r="G164">
        <v>-42.193527024259048</v>
      </c>
      <c r="H164">
        <v>173.41543196234542</v>
      </c>
    </row>
    <row r="165" spans="2:8">
      <c r="B165" t="s">
        <v>556</v>
      </c>
      <c r="C165">
        <v>-42.942960660696151</v>
      </c>
      <c r="D165">
        <v>171.79731951128511</v>
      </c>
      <c r="F165" t="s">
        <v>958</v>
      </c>
      <c r="G165">
        <v>-42.942960660696151</v>
      </c>
      <c r="H165">
        <v>171.79731951128511</v>
      </c>
    </row>
    <row r="166" spans="2:8">
      <c r="B166" t="s">
        <v>557</v>
      </c>
      <c r="C166">
        <v>-42.942960660696151</v>
      </c>
      <c r="D166">
        <v>170.67708781439725</v>
      </c>
      <c r="F166" t="s">
        <v>959</v>
      </c>
      <c r="G166">
        <v>-42.942960660696151</v>
      </c>
      <c r="H166">
        <v>170.67708781439725</v>
      </c>
    </row>
    <row r="167" spans="2:8">
      <c r="B167" t="s">
        <v>558</v>
      </c>
      <c r="C167">
        <v>-41.504048078736901</v>
      </c>
      <c r="D167">
        <v>172.32009430316614</v>
      </c>
      <c r="F167" t="s">
        <v>960</v>
      </c>
      <c r="G167">
        <v>-41.504048078736901</v>
      </c>
      <c r="H167">
        <v>172.32009430316614</v>
      </c>
    </row>
    <row r="168" spans="2:8">
      <c r="B168" t="s">
        <v>559</v>
      </c>
      <c r="C168">
        <v>-30.560198172453568</v>
      </c>
      <c r="D168">
        <v>179.40047867468382</v>
      </c>
      <c r="F168" t="s">
        <v>961</v>
      </c>
      <c r="G168">
        <v>-30.560198172453568</v>
      </c>
      <c r="H168">
        <v>179.40047867468382</v>
      </c>
    </row>
    <row r="169" spans="2:8">
      <c r="B169" t="s">
        <v>560</v>
      </c>
      <c r="C169">
        <v>-34.586700710038428</v>
      </c>
      <c r="D169">
        <v>174.648120312581</v>
      </c>
      <c r="F169" t="s">
        <v>962</v>
      </c>
      <c r="G169">
        <v>-34.586700710038428</v>
      </c>
      <c r="H169">
        <v>174.648120312581</v>
      </c>
    </row>
    <row r="170" spans="2:8">
      <c r="B170" t="s">
        <v>561</v>
      </c>
      <c r="C170">
        <v>-34.263978091476993</v>
      </c>
      <c r="D170">
        <v>171.97179218234413</v>
      </c>
      <c r="F170" t="s">
        <v>963</v>
      </c>
      <c r="G170">
        <v>-34.263978091476993</v>
      </c>
      <c r="H170">
        <v>171.97179218234413</v>
      </c>
    </row>
    <row r="171" spans="2:8">
      <c r="B171" t="s">
        <v>562</v>
      </c>
      <c r="C171">
        <v>-38.054534536824718</v>
      </c>
      <c r="D171">
        <v>178.90261256055877</v>
      </c>
      <c r="F171" t="s">
        <v>964</v>
      </c>
      <c r="G171">
        <v>-38.054534536824718</v>
      </c>
      <c r="H171">
        <v>178.90261256055877</v>
      </c>
    </row>
    <row r="172" spans="2:8">
      <c r="B172" t="s">
        <v>563</v>
      </c>
      <c r="C172">
        <v>-38.878911536905541</v>
      </c>
      <c r="D172">
        <v>177.6579472752461</v>
      </c>
      <c r="F172" t="s">
        <v>965</v>
      </c>
      <c r="G172">
        <v>-38.878911536905541</v>
      </c>
      <c r="H172">
        <v>177.6579472752461</v>
      </c>
    </row>
    <row r="173" spans="2:8">
      <c r="B173" t="s">
        <v>564</v>
      </c>
      <c r="C173">
        <v>-39.778231900630082</v>
      </c>
      <c r="D173">
        <v>177.90688033230867</v>
      </c>
      <c r="F173" t="s">
        <v>966</v>
      </c>
      <c r="G173">
        <v>-39.778231900630082</v>
      </c>
      <c r="H173">
        <v>177.90688033230867</v>
      </c>
    </row>
    <row r="174" spans="2:8">
      <c r="B174" t="s">
        <v>565</v>
      </c>
      <c r="C174">
        <v>-37.230157536743889</v>
      </c>
      <c r="D174">
        <v>176.91114810405853</v>
      </c>
      <c r="F174" t="s">
        <v>967</v>
      </c>
      <c r="G174">
        <v>-37.230157536743889</v>
      </c>
      <c r="H174">
        <v>176.91114810405853</v>
      </c>
    </row>
    <row r="175" spans="2:8">
      <c r="B175" t="s">
        <v>566</v>
      </c>
      <c r="C175">
        <v>-36.135984427545694</v>
      </c>
      <c r="D175">
        <v>176.56264182417098</v>
      </c>
      <c r="F175" t="s">
        <v>968</v>
      </c>
      <c r="G175">
        <v>-36.135984427545694</v>
      </c>
      <c r="H175">
        <v>176.56264182417098</v>
      </c>
    </row>
    <row r="176" spans="2:8">
      <c r="B176" t="s">
        <v>567</v>
      </c>
      <c r="C176">
        <v>-37.709795064063641</v>
      </c>
      <c r="D176">
        <v>175.21840331603332</v>
      </c>
      <c r="F176" t="s">
        <v>969</v>
      </c>
      <c r="G176">
        <v>-37.709795064063641</v>
      </c>
      <c r="H176">
        <v>175.21840331603332</v>
      </c>
    </row>
    <row r="177" spans="2:8">
      <c r="B177" t="s">
        <v>568</v>
      </c>
      <c r="C177">
        <v>-37.3051009003876</v>
      </c>
      <c r="D177">
        <v>173.79948489077691</v>
      </c>
      <c r="F177" t="s">
        <v>970</v>
      </c>
      <c r="G177">
        <v>-37.3051009003876</v>
      </c>
      <c r="H177">
        <v>173.79948489077691</v>
      </c>
    </row>
    <row r="178" spans="2:8">
      <c r="B178" t="s">
        <v>569</v>
      </c>
      <c r="C178">
        <v>-36.068535400266363</v>
      </c>
      <c r="D178">
        <v>173.79948489077691</v>
      </c>
      <c r="F178" t="s">
        <v>971</v>
      </c>
      <c r="G178">
        <v>-36.068535400266363</v>
      </c>
      <c r="H178">
        <v>173.79948489077691</v>
      </c>
    </row>
    <row r="179" spans="2:8">
      <c r="B179" t="s">
        <v>570</v>
      </c>
      <c r="C179">
        <v>-46.673021355851539</v>
      </c>
      <c r="D179">
        <v>168.57189069246377</v>
      </c>
      <c r="F179" t="s">
        <v>972</v>
      </c>
      <c r="G179">
        <v>-46.673021355851539</v>
      </c>
      <c r="H179">
        <v>168.57189069246377</v>
      </c>
    </row>
    <row r="180" spans="2:8">
      <c r="B180" t="s">
        <v>571</v>
      </c>
      <c r="C180">
        <v>-47.62684598404423</v>
      </c>
      <c r="D180">
        <v>169.69208944924509</v>
      </c>
      <c r="F180" t="s">
        <v>973</v>
      </c>
      <c r="G180">
        <v>-47.62684598404423</v>
      </c>
      <c r="H180">
        <v>169.69208944924509</v>
      </c>
    </row>
    <row r="181" spans="2:8">
      <c r="B181" t="s">
        <v>572</v>
      </c>
      <c r="C181">
        <v>-46.673021355851539</v>
      </c>
      <c r="D181">
        <v>166.20702665036976</v>
      </c>
      <c r="F181" t="s">
        <v>974</v>
      </c>
      <c r="G181">
        <v>-46.673021355851539</v>
      </c>
      <c r="H181">
        <v>166.20702665036976</v>
      </c>
    </row>
    <row r="182" spans="2:8">
      <c r="B182" t="s">
        <v>573</v>
      </c>
      <c r="C182">
        <v>-48.471662083300622</v>
      </c>
      <c r="D182">
        <v>167.1094089822214</v>
      </c>
      <c r="F182" t="s">
        <v>975</v>
      </c>
      <c r="G182">
        <v>-48.471662083300622</v>
      </c>
      <c r="H182">
        <v>167.1094089822214</v>
      </c>
    </row>
    <row r="183" spans="2:8">
      <c r="B183" t="s">
        <v>574</v>
      </c>
      <c r="C183">
        <v>-48.490397924211543</v>
      </c>
      <c r="D183">
        <v>178.09358012510552</v>
      </c>
      <c r="F183" t="s">
        <v>976</v>
      </c>
      <c r="G183">
        <v>-48.490397924211543</v>
      </c>
      <c r="H183">
        <v>178.09358012510552</v>
      </c>
    </row>
    <row r="184" spans="2:8">
      <c r="B184" t="s">
        <v>575</v>
      </c>
      <c r="C184">
        <v>-50.12041608346226</v>
      </c>
      <c r="D184">
        <v>167.79397488914336</v>
      </c>
      <c r="F184" t="s">
        <v>977</v>
      </c>
      <c r="G184">
        <v>-50.12041608346226</v>
      </c>
      <c r="H184">
        <v>167.79397488914336</v>
      </c>
    </row>
    <row r="185" spans="2:8">
      <c r="B185" t="s">
        <v>576</v>
      </c>
      <c r="C185">
        <v>-51.755544017506878</v>
      </c>
      <c r="D185">
        <v>169.99759820109463</v>
      </c>
      <c r="F185" t="s">
        <v>978</v>
      </c>
      <c r="G185">
        <v>-51.755544017506878</v>
      </c>
      <c r="H185">
        <v>169.99759820109463</v>
      </c>
    </row>
    <row r="186" spans="2:8">
      <c r="B186" t="s">
        <v>577</v>
      </c>
      <c r="C186">
        <v>-51.374731327604401</v>
      </c>
      <c r="D186">
        <v>165.6436518370177</v>
      </c>
      <c r="F186" t="s">
        <v>979</v>
      </c>
      <c r="G186">
        <v>-51.374731327604401</v>
      </c>
      <c r="H186">
        <v>165.6436518370177</v>
      </c>
    </row>
    <row r="187" spans="2:8">
      <c r="B187" t="s">
        <v>578</v>
      </c>
      <c r="C187">
        <v>-38.75043719923061</v>
      </c>
      <c r="D187">
        <v>173.53277090106704</v>
      </c>
      <c r="F187" t="s">
        <v>980</v>
      </c>
      <c r="G187">
        <v>-38.75043719923061</v>
      </c>
      <c r="H187">
        <v>173.53277090106704</v>
      </c>
    </row>
    <row r="188" spans="2:8">
      <c r="B188" t="s">
        <v>579</v>
      </c>
      <c r="C188">
        <v>-39.681876147373877</v>
      </c>
      <c r="D188">
        <v>172.14585815457579</v>
      </c>
      <c r="F188" t="s">
        <v>981</v>
      </c>
      <c r="G188">
        <v>-39.681876147373877</v>
      </c>
      <c r="H188">
        <v>172.14585815457579</v>
      </c>
    </row>
    <row r="189" spans="2:8">
      <c r="B189" t="s">
        <v>580</v>
      </c>
      <c r="C189">
        <v>-40.554917669301283</v>
      </c>
      <c r="D189">
        <v>169.82787111673375</v>
      </c>
      <c r="F189" t="s">
        <v>982</v>
      </c>
      <c r="G189">
        <v>-40.554917669301283</v>
      </c>
      <c r="H189">
        <v>169.82787111673375</v>
      </c>
    </row>
    <row r="190" spans="2:8">
      <c r="B190" t="s">
        <v>581</v>
      </c>
      <c r="C190">
        <v>-43.195649282783322</v>
      </c>
      <c r="D190">
        <v>168.64657060958251</v>
      </c>
      <c r="F190" t="s">
        <v>983</v>
      </c>
      <c r="G190">
        <v>-43.195649282783322</v>
      </c>
      <c r="H190">
        <v>168.64657060958251</v>
      </c>
    </row>
    <row r="191" spans="2:8">
      <c r="B191" t="s">
        <v>582</v>
      </c>
      <c r="C191">
        <v>-41.680640362355071</v>
      </c>
      <c r="D191">
        <v>170.72611907088944</v>
      </c>
      <c r="F191" t="s">
        <v>984</v>
      </c>
      <c r="G191">
        <v>-41.680640362355071</v>
      </c>
      <c r="H191">
        <v>170.72611907088944</v>
      </c>
    </row>
    <row r="192" spans="2:8">
      <c r="B192" t="s">
        <v>583</v>
      </c>
      <c r="C192">
        <v>-43.503987693203165</v>
      </c>
      <c r="D192">
        <v>173.85282768871886</v>
      </c>
      <c r="F192" t="s">
        <v>985</v>
      </c>
      <c r="G192">
        <v>-43.503987693203165</v>
      </c>
      <c r="H192">
        <v>173.85282768871886</v>
      </c>
    </row>
    <row r="193" spans="2:8">
      <c r="B193" t="s">
        <v>584</v>
      </c>
      <c r="C193">
        <v>-44.403308056927706</v>
      </c>
      <c r="D193">
        <v>172.67928613399548</v>
      </c>
      <c r="F193" t="s">
        <v>986</v>
      </c>
      <c r="G193">
        <v>-44.403308056927706</v>
      </c>
      <c r="H193">
        <v>172.67928613399548</v>
      </c>
    </row>
    <row r="194" spans="2:8">
      <c r="B194" t="s">
        <v>585</v>
      </c>
      <c r="C194">
        <v>-44.904357973859945</v>
      </c>
      <c r="D194">
        <v>167.00361243296982</v>
      </c>
      <c r="F194" t="s">
        <v>987</v>
      </c>
      <c r="G194">
        <v>-44.904357973859945</v>
      </c>
      <c r="H194">
        <v>167.00361243296982</v>
      </c>
    </row>
    <row r="195" spans="2:8">
      <c r="B195" t="s">
        <v>586</v>
      </c>
      <c r="C195">
        <v>-45.848644355770723</v>
      </c>
      <c r="D195">
        <v>171.1856877916203</v>
      </c>
      <c r="F195" t="s">
        <v>988</v>
      </c>
      <c r="G195">
        <v>-45.848644355770723</v>
      </c>
      <c r="H195">
        <v>171.1856877916203</v>
      </c>
    </row>
    <row r="196" spans="2:8">
      <c r="B196" t="s">
        <v>587</v>
      </c>
      <c r="C196">
        <v>-44.612078855649472</v>
      </c>
      <c r="D196">
        <v>175.01303354395674</v>
      </c>
      <c r="F196" t="s">
        <v>989</v>
      </c>
      <c r="G196">
        <v>-44.612078855649472</v>
      </c>
      <c r="H196">
        <v>175.01303354395674</v>
      </c>
    </row>
    <row r="197" spans="2:8">
      <c r="B197" t="s">
        <v>588</v>
      </c>
      <c r="C197">
        <v>-43.007609570368189</v>
      </c>
      <c r="D197">
        <v>175.93804615372318</v>
      </c>
      <c r="F197" t="s">
        <v>990</v>
      </c>
      <c r="G197">
        <v>-43.007609570368189</v>
      </c>
      <c r="H197">
        <v>175.93804615372318</v>
      </c>
    </row>
    <row r="198" spans="2:8">
      <c r="B198" t="s">
        <v>589</v>
      </c>
      <c r="C198">
        <v>-41.01479740075132</v>
      </c>
      <c r="D198">
        <v>176.41328198993347</v>
      </c>
      <c r="F198" t="s">
        <v>991</v>
      </c>
      <c r="G198">
        <v>-41.01479740075132</v>
      </c>
      <c r="H198">
        <v>176.41328198993347</v>
      </c>
    </row>
    <row r="199" spans="2:8">
      <c r="B199" t="s">
        <v>590</v>
      </c>
      <c r="C199">
        <v>-40.356366420167276</v>
      </c>
      <c r="D199">
        <v>174.17288447637068</v>
      </c>
      <c r="F199" t="s">
        <v>992</v>
      </c>
      <c r="G199">
        <v>-40.356366420167276</v>
      </c>
      <c r="H199">
        <v>174.17288447637068</v>
      </c>
    </row>
    <row r="200" spans="2:8">
      <c r="B200" t="s">
        <v>591</v>
      </c>
      <c r="C200">
        <v>-41.705346965754096</v>
      </c>
      <c r="D200">
        <v>174.49294126402251</v>
      </c>
      <c r="F200" t="s">
        <v>993</v>
      </c>
      <c r="G200">
        <v>-41.705346965754096</v>
      </c>
      <c r="H200">
        <v>174.49294126402251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BE09-E147-4AC5-9404-44F9F75B136F}">
  <dimension ref="B9:L200"/>
  <sheetViews>
    <sheetView workbookViewId="0"/>
  </sheetViews>
  <sheetFormatPr defaultRowHeight="14.25"/>
  <sheetData>
    <row r="9" spans="2:12">
      <c r="B9" t="s">
        <v>60</v>
      </c>
      <c r="F9" t="s">
        <v>60</v>
      </c>
      <c r="J9" t="s">
        <v>69</v>
      </c>
    </row>
    <row r="10" spans="2:12">
      <c r="B10" t="s">
        <v>49</v>
      </c>
      <c r="C10" t="s">
        <v>51</v>
      </c>
      <c r="D10" t="s">
        <v>61</v>
      </c>
      <c r="F10" t="s">
        <v>61</v>
      </c>
      <c r="G10" t="s">
        <v>49</v>
      </c>
      <c r="H10" t="s">
        <v>51</v>
      </c>
      <c r="J10" t="s">
        <v>49</v>
      </c>
      <c r="K10" t="s">
        <v>50</v>
      </c>
      <c r="L10" t="s">
        <v>51</v>
      </c>
    </row>
    <row r="11" spans="2:12">
      <c r="B11" t="s">
        <v>401</v>
      </c>
      <c r="C11" t="s">
        <v>402</v>
      </c>
      <c r="D11" t="s">
        <v>402</v>
      </c>
      <c r="F11" t="s">
        <v>402</v>
      </c>
      <c r="G11" t="s">
        <v>592</v>
      </c>
      <c r="H11" t="s">
        <v>593</v>
      </c>
      <c r="J11" t="s">
        <v>609</v>
      </c>
      <c r="K11" t="s">
        <v>610</v>
      </c>
      <c r="L11" t="s">
        <v>610</v>
      </c>
    </row>
    <row r="12" spans="2:12">
      <c r="B12" t="s">
        <v>401</v>
      </c>
      <c r="C12" t="s">
        <v>403</v>
      </c>
      <c r="D12" t="s">
        <v>403</v>
      </c>
      <c r="F12" t="s">
        <v>403</v>
      </c>
      <c r="G12" t="s">
        <v>592</v>
      </c>
      <c r="H12" t="s">
        <v>594</v>
      </c>
      <c r="J12" t="s">
        <v>609</v>
      </c>
      <c r="K12" t="s">
        <v>611</v>
      </c>
      <c r="L12" t="s">
        <v>611</v>
      </c>
    </row>
    <row r="13" spans="2:12">
      <c r="B13" t="s">
        <v>401</v>
      </c>
      <c r="C13" t="s">
        <v>404</v>
      </c>
      <c r="D13" t="s">
        <v>404</v>
      </c>
      <c r="F13" t="s">
        <v>404</v>
      </c>
      <c r="G13" t="s">
        <v>592</v>
      </c>
      <c r="H13" t="s">
        <v>593</v>
      </c>
      <c r="J13" t="s">
        <v>609</v>
      </c>
      <c r="K13" t="s">
        <v>612</v>
      </c>
      <c r="L13" t="s">
        <v>612</v>
      </c>
    </row>
    <row r="14" spans="2:12">
      <c r="B14" t="s">
        <v>401</v>
      </c>
      <c r="C14" t="s">
        <v>405</v>
      </c>
      <c r="D14" t="s">
        <v>405</v>
      </c>
      <c r="F14" t="s">
        <v>405</v>
      </c>
      <c r="G14" t="s">
        <v>592</v>
      </c>
      <c r="H14" t="s">
        <v>593</v>
      </c>
      <c r="J14" t="s">
        <v>609</v>
      </c>
      <c r="K14" t="s">
        <v>613</v>
      </c>
      <c r="L14" t="s">
        <v>613</v>
      </c>
    </row>
    <row r="15" spans="2:12">
      <c r="B15" t="s">
        <v>401</v>
      </c>
      <c r="C15" t="s">
        <v>406</v>
      </c>
      <c r="D15" t="s">
        <v>406</v>
      </c>
      <c r="F15" t="s">
        <v>406</v>
      </c>
      <c r="G15" t="s">
        <v>592</v>
      </c>
      <c r="H15" t="s">
        <v>593</v>
      </c>
      <c r="J15" t="s">
        <v>609</v>
      </c>
      <c r="K15" t="s">
        <v>614</v>
      </c>
      <c r="L15" t="s">
        <v>614</v>
      </c>
    </row>
    <row r="16" spans="2:12">
      <c r="B16" t="s">
        <v>401</v>
      </c>
      <c r="C16" t="s">
        <v>407</v>
      </c>
      <c r="D16" t="s">
        <v>407</v>
      </c>
      <c r="F16" t="s">
        <v>407</v>
      </c>
      <c r="G16" t="s">
        <v>592</v>
      </c>
      <c r="H16" t="s">
        <v>593</v>
      </c>
      <c r="J16" t="s">
        <v>609</v>
      </c>
      <c r="K16" t="s">
        <v>615</v>
      </c>
      <c r="L16" t="s">
        <v>615</v>
      </c>
    </row>
    <row r="17" spans="2:12">
      <c r="B17" t="s">
        <v>401</v>
      </c>
      <c r="C17" t="s">
        <v>408</v>
      </c>
      <c r="D17" t="s">
        <v>408</v>
      </c>
      <c r="F17" t="s">
        <v>408</v>
      </c>
      <c r="G17" t="s">
        <v>592</v>
      </c>
      <c r="H17" t="s">
        <v>595</v>
      </c>
      <c r="J17" t="s">
        <v>609</v>
      </c>
      <c r="K17" t="s">
        <v>616</v>
      </c>
      <c r="L17" t="s">
        <v>616</v>
      </c>
    </row>
    <row r="18" spans="2:12">
      <c r="B18" t="s">
        <v>401</v>
      </c>
      <c r="C18" t="s">
        <v>409</v>
      </c>
      <c r="D18" t="s">
        <v>409</v>
      </c>
      <c r="F18" t="s">
        <v>409</v>
      </c>
      <c r="G18" t="s">
        <v>592</v>
      </c>
      <c r="H18" t="s">
        <v>593</v>
      </c>
      <c r="J18" t="s">
        <v>609</v>
      </c>
      <c r="K18" t="s">
        <v>617</v>
      </c>
      <c r="L18" t="s">
        <v>617</v>
      </c>
    </row>
    <row r="19" spans="2:12">
      <c r="B19" t="s">
        <v>401</v>
      </c>
      <c r="C19" t="s">
        <v>410</v>
      </c>
      <c r="D19" t="s">
        <v>410</v>
      </c>
      <c r="F19" t="s">
        <v>410</v>
      </c>
      <c r="G19" t="s">
        <v>592</v>
      </c>
      <c r="H19" t="s">
        <v>595</v>
      </c>
      <c r="J19" t="s">
        <v>609</v>
      </c>
      <c r="K19" t="s">
        <v>618</v>
      </c>
      <c r="L19" t="s">
        <v>618</v>
      </c>
    </row>
    <row r="20" spans="2:12">
      <c r="B20" t="s">
        <v>401</v>
      </c>
      <c r="C20" t="s">
        <v>411</v>
      </c>
      <c r="D20" t="s">
        <v>411</v>
      </c>
      <c r="F20" t="s">
        <v>411</v>
      </c>
      <c r="G20" t="s">
        <v>592</v>
      </c>
      <c r="H20" t="s">
        <v>595</v>
      </c>
      <c r="J20" t="s">
        <v>609</v>
      </c>
      <c r="K20" t="s">
        <v>619</v>
      </c>
      <c r="L20" t="s">
        <v>619</v>
      </c>
    </row>
    <row r="21" spans="2:12">
      <c r="B21" t="s">
        <v>401</v>
      </c>
      <c r="C21" t="s">
        <v>412</v>
      </c>
      <c r="D21" t="s">
        <v>412</v>
      </c>
      <c r="F21" t="s">
        <v>412</v>
      </c>
      <c r="G21" t="s">
        <v>592</v>
      </c>
      <c r="H21" t="s">
        <v>594</v>
      </c>
      <c r="J21" t="s">
        <v>609</v>
      </c>
      <c r="K21" t="s">
        <v>620</v>
      </c>
      <c r="L21" t="s">
        <v>620</v>
      </c>
    </row>
    <row r="22" spans="2:12">
      <c r="B22" t="s">
        <v>401</v>
      </c>
      <c r="C22" t="s">
        <v>413</v>
      </c>
      <c r="D22" t="s">
        <v>413</v>
      </c>
      <c r="F22" t="s">
        <v>413</v>
      </c>
      <c r="G22" t="s">
        <v>592</v>
      </c>
      <c r="H22" t="s">
        <v>594</v>
      </c>
      <c r="J22" t="s">
        <v>609</v>
      </c>
      <c r="K22" t="s">
        <v>621</v>
      </c>
      <c r="L22" t="s">
        <v>621</v>
      </c>
    </row>
    <row r="23" spans="2:12">
      <c r="B23" t="s">
        <v>401</v>
      </c>
      <c r="C23" t="s">
        <v>414</v>
      </c>
      <c r="D23" t="s">
        <v>414</v>
      </c>
      <c r="F23" t="s">
        <v>414</v>
      </c>
      <c r="G23" t="s">
        <v>592</v>
      </c>
      <c r="H23" t="s">
        <v>594</v>
      </c>
      <c r="J23" t="s">
        <v>609</v>
      </c>
      <c r="K23" t="s">
        <v>622</v>
      </c>
      <c r="L23" t="s">
        <v>622</v>
      </c>
    </row>
    <row r="24" spans="2:12">
      <c r="B24" t="s">
        <v>401</v>
      </c>
      <c r="C24" t="s">
        <v>415</v>
      </c>
      <c r="D24" t="s">
        <v>415</v>
      </c>
      <c r="F24" t="s">
        <v>415</v>
      </c>
      <c r="G24" t="s">
        <v>592</v>
      </c>
      <c r="H24" t="s">
        <v>594</v>
      </c>
      <c r="J24" t="s">
        <v>609</v>
      </c>
      <c r="K24" t="s">
        <v>623</v>
      </c>
      <c r="L24" t="s">
        <v>623</v>
      </c>
    </row>
    <row r="25" spans="2:12">
      <c r="B25" t="s">
        <v>401</v>
      </c>
      <c r="C25" t="s">
        <v>416</v>
      </c>
      <c r="D25" t="s">
        <v>416</v>
      </c>
      <c r="F25" t="s">
        <v>416</v>
      </c>
      <c r="G25" t="s">
        <v>592</v>
      </c>
      <c r="H25" t="s">
        <v>594</v>
      </c>
      <c r="J25" t="s">
        <v>609</v>
      </c>
      <c r="K25" t="s">
        <v>624</v>
      </c>
      <c r="L25" t="s">
        <v>624</v>
      </c>
    </row>
    <row r="26" spans="2:12">
      <c r="B26" t="s">
        <v>401</v>
      </c>
      <c r="C26" t="s">
        <v>417</v>
      </c>
      <c r="D26" t="s">
        <v>417</v>
      </c>
      <c r="F26" t="s">
        <v>417</v>
      </c>
      <c r="G26" t="s">
        <v>592</v>
      </c>
      <c r="H26" t="s">
        <v>596</v>
      </c>
      <c r="J26" t="s">
        <v>609</v>
      </c>
      <c r="K26" t="s">
        <v>625</v>
      </c>
      <c r="L26" t="s">
        <v>625</v>
      </c>
    </row>
    <row r="27" spans="2:12">
      <c r="B27" t="s">
        <v>401</v>
      </c>
      <c r="C27" t="s">
        <v>418</v>
      </c>
      <c r="D27" t="s">
        <v>418</v>
      </c>
      <c r="F27" t="s">
        <v>418</v>
      </c>
      <c r="G27" t="s">
        <v>592</v>
      </c>
      <c r="H27" t="s">
        <v>596</v>
      </c>
      <c r="J27" t="s">
        <v>609</v>
      </c>
      <c r="K27" t="s">
        <v>626</v>
      </c>
      <c r="L27" t="s">
        <v>626</v>
      </c>
    </row>
    <row r="28" spans="2:12">
      <c r="B28" t="s">
        <v>401</v>
      </c>
      <c r="C28" t="s">
        <v>419</v>
      </c>
      <c r="D28" t="s">
        <v>419</v>
      </c>
      <c r="F28" t="s">
        <v>419</v>
      </c>
      <c r="G28" t="s">
        <v>592</v>
      </c>
      <c r="H28" t="s">
        <v>594</v>
      </c>
      <c r="J28" t="s">
        <v>609</v>
      </c>
      <c r="K28" t="s">
        <v>627</v>
      </c>
      <c r="L28" t="s">
        <v>627</v>
      </c>
    </row>
    <row r="29" spans="2:12">
      <c r="B29" t="s">
        <v>401</v>
      </c>
      <c r="C29" t="s">
        <v>420</v>
      </c>
      <c r="D29" t="s">
        <v>420</v>
      </c>
      <c r="F29" t="s">
        <v>420</v>
      </c>
      <c r="G29" t="s">
        <v>592</v>
      </c>
      <c r="H29" t="s">
        <v>597</v>
      </c>
      <c r="J29" t="s">
        <v>609</v>
      </c>
      <c r="K29" t="s">
        <v>628</v>
      </c>
      <c r="L29" t="s">
        <v>628</v>
      </c>
    </row>
    <row r="30" spans="2:12">
      <c r="B30" t="s">
        <v>401</v>
      </c>
      <c r="C30" t="s">
        <v>421</v>
      </c>
      <c r="D30" t="s">
        <v>421</v>
      </c>
      <c r="F30" t="s">
        <v>421</v>
      </c>
      <c r="G30" t="s">
        <v>592</v>
      </c>
      <c r="H30" t="s">
        <v>598</v>
      </c>
      <c r="J30" t="s">
        <v>609</v>
      </c>
      <c r="K30" t="s">
        <v>629</v>
      </c>
      <c r="L30" t="s">
        <v>629</v>
      </c>
    </row>
    <row r="31" spans="2:12">
      <c r="B31" t="s">
        <v>401</v>
      </c>
      <c r="C31" t="s">
        <v>422</v>
      </c>
      <c r="D31" t="s">
        <v>422</v>
      </c>
      <c r="F31" t="s">
        <v>422</v>
      </c>
      <c r="G31" t="s">
        <v>592</v>
      </c>
      <c r="H31" t="s">
        <v>593</v>
      </c>
      <c r="J31" t="s">
        <v>609</v>
      </c>
      <c r="K31" t="s">
        <v>630</v>
      </c>
      <c r="L31" t="s">
        <v>630</v>
      </c>
    </row>
    <row r="32" spans="2:12">
      <c r="B32" t="s">
        <v>401</v>
      </c>
      <c r="C32" t="s">
        <v>423</v>
      </c>
      <c r="D32" t="s">
        <v>423</v>
      </c>
      <c r="F32" t="s">
        <v>423</v>
      </c>
      <c r="G32" t="s">
        <v>592</v>
      </c>
      <c r="H32" t="s">
        <v>599</v>
      </c>
      <c r="J32" t="s">
        <v>609</v>
      </c>
      <c r="K32" t="s">
        <v>631</v>
      </c>
      <c r="L32" t="s">
        <v>631</v>
      </c>
    </row>
    <row r="33" spans="2:12">
      <c r="B33" t="s">
        <v>401</v>
      </c>
      <c r="C33" t="s">
        <v>424</v>
      </c>
      <c r="D33" t="s">
        <v>424</v>
      </c>
      <c r="F33" t="s">
        <v>424</v>
      </c>
      <c r="G33" t="s">
        <v>592</v>
      </c>
      <c r="H33" t="s">
        <v>595</v>
      </c>
      <c r="J33" t="s">
        <v>609</v>
      </c>
      <c r="K33" t="s">
        <v>632</v>
      </c>
      <c r="L33" t="s">
        <v>632</v>
      </c>
    </row>
    <row r="34" spans="2:12">
      <c r="B34" t="s">
        <v>401</v>
      </c>
      <c r="C34" t="s">
        <v>425</v>
      </c>
      <c r="D34" t="s">
        <v>425</v>
      </c>
      <c r="F34" t="s">
        <v>425</v>
      </c>
      <c r="G34" t="s">
        <v>592</v>
      </c>
      <c r="H34" t="s">
        <v>600</v>
      </c>
      <c r="J34" t="s">
        <v>609</v>
      </c>
      <c r="K34" t="s">
        <v>633</v>
      </c>
      <c r="L34" t="s">
        <v>633</v>
      </c>
    </row>
    <row r="35" spans="2:12">
      <c r="B35" t="s">
        <v>401</v>
      </c>
      <c r="C35" t="s">
        <v>426</v>
      </c>
      <c r="D35" t="s">
        <v>426</v>
      </c>
      <c r="F35" t="s">
        <v>426</v>
      </c>
      <c r="G35" t="s">
        <v>592</v>
      </c>
      <c r="H35" t="s">
        <v>594</v>
      </c>
      <c r="J35" t="s">
        <v>609</v>
      </c>
      <c r="K35" t="s">
        <v>634</v>
      </c>
      <c r="L35" t="s">
        <v>634</v>
      </c>
    </row>
    <row r="36" spans="2:12">
      <c r="B36" t="s">
        <v>401</v>
      </c>
      <c r="C36" t="s">
        <v>427</v>
      </c>
      <c r="D36" t="s">
        <v>427</v>
      </c>
      <c r="F36" t="s">
        <v>427</v>
      </c>
      <c r="G36" t="s">
        <v>592</v>
      </c>
      <c r="H36" t="s">
        <v>595</v>
      </c>
      <c r="J36" t="s">
        <v>609</v>
      </c>
      <c r="K36" t="s">
        <v>635</v>
      </c>
      <c r="L36" t="s">
        <v>635</v>
      </c>
    </row>
    <row r="37" spans="2:12">
      <c r="B37" t="s">
        <v>401</v>
      </c>
      <c r="C37" t="s">
        <v>428</v>
      </c>
      <c r="D37" t="s">
        <v>428</v>
      </c>
      <c r="F37" t="s">
        <v>428</v>
      </c>
      <c r="G37" t="s">
        <v>592</v>
      </c>
      <c r="H37" t="s">
        <v>596</v>
      </c>
      <c r="J37" t="s">
        <v>609</v>
      </c>
      <c r="K37" t="s">
        <v>636</v>
      </c>
      <c r="L37" t="s">
        <v>636</v>
      </c>
    </row>
    <row r="38" spans="2:12">
      <c r="B38" t="s">
        <v>401</v>
      </c>
      <c r="C38" t="s">
        <v>429</v>
      </c>
      <c r="D38" t="s">
        <v>429</v>
      </c>
      <c r="F38" t="s">
        <v>429</v>
      </c>
      <c r="G38" t="s">
        <v>592</v>
      </c>
      <c r="H38" t="s">
        <v>594</v>
      </c>
      <c r="J38" t="s">
        <v>609</v>
      </c>
      <c r="K38" t="s">
        <v>637</v>
      </c>
      <c r="L38" t="s">
        <v>637</v>
      </c>
    </row>
    <row r="39" spans="2:12">
      <c r="B39" t="s">
        <v>401</v>
      </c>
      <c r="C39" t="s">
        <v>430</v>
      </c>
      <c r="D39" t="s">
        <v>430</v>
      </c>
      <c r="F39" t="s">
        <v>430</v>
      </c>
      <c r="G39" t="s">
        <v>592</v>
      </c>
      <c r="H39" t="s">
        <v>601</v>
      </c>
      <c r="J39" t="s">
        <v>609</v>
      </c>
      <c r="K39" t="s">
        <v>638</v>
      </c>
      <c r="L39" t="s">
        <v>638</v>
      </c>
    </row>
    <row r="40" spans="2:12">
      <c r="B40" t="s">
        <v>401</v>
      </c>
      <c r="C40" t="s">
        <v>431</v>
      </c>
      <c r="D40" t="s">
        <v>431</v>
      </c>
      <c r="F40" t="s">
        <v>431</v>
      </c>
      <c r="G40" t="s">
        <v>592</v>
      </c>
      <c r="H40" t="s">
        <v>600</v>
      </c>
      <c r="J40" t="s">
        <v>609</v>
      </c>
      <c r="K40" t="s">
        <v>639</v>
      </c>
      <c r="L40" t="s">
        <v>639</v>
      </c>
    </row>
    <row r="41" spans="2:12">
      <c r="B41" t="s">
        <v>401</v>
      </c>
      <c r="C41" t="s">
        <v>432</v>
      </c>
      <c r="D41" t="s">
        <v>432</v>
      </c>
      <c r="F41" t="s">
        <v>432</v>
      </c>
      <c r="G41" t="s">
        <v>592</v>
      </c>
      <c r="H41" t="s">
        <v>602</v>
      </c>
      <c r="J41" t="s">
        <v>609</v>
      </c>
      <c r="K41" t="s">
        <v>640</v>
      </c>
      <c r="L41" t="s">
        <v>640</v>
      </c>
    </row>
    <row r="42" spans="2:12">
      <c r="B42" t="s">
        <v>401</v>
      </c>
      <c r="C42" t="s">
        <v>433</v>
      </c>
      <c r="D42" t="s">
        <v>433</v>
      </c>
      <c r="F42" t="s">
        <v>433</v>
      </c>
      <c r="G42" t="s">
        <v>592</v>
      </c>
      <c r="H42" t="s">
        <v>599</v>
      </c>
      <c r="J42" t="s">
        <v>609</v>
      </c>
      <c r="K42" t="s">
        <v>641</v>
      </c>
      <c r="L42" t="s">
        <v>641</v>
      </c>
    </row>
    <row r="43" spans="2:12">
      <c r="B43" t="s">
        <v>401</v>
      </c>
      <c r="C43" t="s">
        <v>434</v>
      </c>
      <c r="D43" t="s">
        <v>434</v>
      </c>
      <c r="F43" t="s">
        <v>434</v>
      </c>
      <c r="G43" t="s">
        <v>592</v>
      </c>
      <c r="H43" t="s">
        <v>594</v>
      </c>
      <c r="J43" t="s">
        <v>609</v>
      </c>
      <c r="K43" t="s">
        <v>642</v>
      </c>
      <c r="L43" t="s">
        <v>642</v>
      </c>
    </row>
    <row r="44" spans="2:12">
      <c r="B44" t="s">
        <v>401</v>
      </c>
      <c r="C44" t="s">
        <v>435</v>
      </c>
      <c r="D44" t="s">
        <v>435</v>
      </c>
      <c r="F44" t="s">
        <v>435</v>
      </c>
      <c r="G44" t="s">
        <v>592</v>
      </c>
      <c r="H44" t="s">
        <v>603</v>
      </c>
      <c r="J44" t="s">
        <v>609</v>
      </c>
      <c r="K44" t="s">
        <v>643</v>
      </c>
      <c r="L44" t="s">
        <v>643</v>
      </c>
    </row>
    <row r="45" spans="2:12">
      <c r="B45" t="s">
        <v>401</v>
      </c>
      <c r="C45" t="s">
        <v>436</v>
      </c>
      <c r="D45" t="s">
        <v>436</v>
      </c>
      <c r="F45" t="s">
        <v>436</v>
      </c>
      <c r="G45" t="s">
        <v>592</v>
      </c>
      <c r="H45" t="s">
        <v>603</v>
      </c>
      <c r="J45" t="s">
        <v>609</v>
      </c>
      <c r="K45" t="s">
        <v>644</v>
      </c>
      <c r="L45" t="s">
        <v>644</v>
      </c>
    </row>
    <row r="46" spans="2:12">
      <c r="B46" t="s">
        <v>401</v>
      </c>
      <c r="C46" t="s">
        <v>437</v>
      </c>
      <c r="D46" t="s">
        <v>437</v>
      </c>
      <c r="F46" t="s">
        <v>437</v>
      </c>
      <c r="G46" t="s">
        <v>592</v>
      </c>
      <c r="H46" t="s">
        <v>593</v>
      </c>
      <c r="J46" t="s">
        <v>609</v>
      </c>
      <c r="K46" t="s">
        <v>645</v>
      </c>
      <c r="L46" t="s">
        <v>645</v>
      </c>
    </row>
    <row r="47" spans="2:12">
      <c r="B47" t="s">
        <v>401</v>
      </c>
      <c r="C47" t="s">
        <v>438</v>
      </c>
      <c r="D47" t="s">
        <v>438</v>
      </c>
      <c r="F47" t="s">
        <v>438</v>
      </c>
      <c r="G47" t="s">
        <v>592</v>
      </c>
      <c r="H47" t="s">
        <v>593</v>
      </c>
      <c r="J47" t="s">
        <v>609</v>
      </c>
      <c r="K47" t="s">
        <v>646</v>
      </c>
      <c r="L47" t="s">
        <v>646</v>
      </c>
    </row>
    <row r="48" spans="2:12">
      <c r="B48" t="s">
        <v>401</v>
      </c>
      <c r="C48" t="s">
        <v>439</v>
      </c>
      <c r="D48" t="s">
        <v>439</v>
      </c>
      <c r="F48" t="s">
        <v>439</v>
      </c>
      <c r="G48" t="s">
        <v>592</v>
      </c>
      <c r="H48" t="s">
        <v>595</v>
      </c>
      <c r="J48" t="s">
        <v>609</v>
      </c>
      <c r="K48" t="s">
        <v>647</v>
      </c>
      <c r="L48" t="s">
        <v>647</v>
      </c>
    </row>
    <row r="49" spans="2:12">
      <c r="B49" t="s">
        <v>401</v>
      </c>
      <c r="C49" t="s">
        <v>440</v>
      </c>
      <c r="D49" t="s">
        <v>440</v>
      </c>
      <c r="F49" t="s">
        <v>440</v>
      </c>
      <c r="G49" t="s">
        <v>592</v>
      </c>
      <c r="H49" t="s">
        <v>603</v>
      </c>
      <c r="J49" t="s">
        <v>609</v>
      </c>
      <c r="K49" t="s">
        <v>648</v>
      </c>
      <c r="L49" t="s">
        <v>648</v>
      </c>
    </row>
    <row r="50" spans="2:12">
      <c r="B50" t="s">
        <v>401</v>
      </c>
      <c r="C50" t="s">
        <v>441</v>
      </c>
      <c r="D50" t="s">
        <v>441</v>
      </c>
      <c r="F50" t="s">
        <v>441</v>
      </c>
      <c r="G50" t="s">
        <v>592</v>
      </c>
      <c r="H50" t="s">
        <v>595</v>
      </c>
      <c r="J50" t="s">
        <v>609</v>
      </c>
      <c r="K50" t="s">
        <v>649</v>
      </c>
      <c r="L50" t="s">
        <v>649</v>
      </c>
    </row>
    <row r="51" spans="2:12">
      <c r="B51" t="s">
        <v>401</v>
      </c>
      <c r="C51" t="s">
        <v>442</v>
      </c>
      <c r="D51" t="s">
        <v>442</v>
      </c>
      <c r="F51" t="s">
        <v>442</v>
      </c>
      <c r="G51" t="s">
        <v>592</v>
      </c>
      <c r="H51" t="s">
        <v>602</v>
      </c>
      <c r="J51" t="s">
        <v>609</v>
      </c>
      <c r="K51" t="s">
        <v>650</v>
      </c>
      <c r="L51" t="s">
        <v>650</v>
      </c>
    </row>
    <row r="52" spans="2:12">
      <c r="B52" t="s">
        <v>401</v>
      </c>
      <c r="C52" t="s">
        <v>443</v>
      </c>
      <c r="D52" t="s">
        <v>443</v>
      </c>
      <c r="F52" t="s">
        <v>443</v>
      </c>
      <c r="G52" t="s">
        <v>592</v>
      </c>
      <c r="H52" t="s">
        <v>594</v>
      </c>
      <c r="J52" t="s">
        <v>609</v>
      </c>
      <c r="K52" t="s">
        <v>651</v>
      </c>
      <c r="L52" t="s">
        <v>651</v>
      </c>
    </row>
    <row r="53" spans="2:12">
      <c r="B53" t="s">
        <v>401</v>
      </c>
      <c r="C53" t="s">
        <v>444</v>
      </c>
      <c r="D53" t="s">
        <v>444</v>
      </c>
      <c r="F53" t="s">
        <v>444</v>
      </c>
      <c r="G53" t="s">
        <v>592</v>
      </c>
      <c r="H53" t="s">
        <v>595</v>
      </c>
      <c r="J53" t="s">
        <v>609</v>
      </c>
      <c r="K53" t="s">
        <v>652</v>
      </c>
      <c r="L53" t="s">
        <v>652</v>
      </c>
    </row>
    <row r="54" spans="2:12">
      <c r="B54" t="s">
        <v>401</v>
      </c>
      <c r="C54" t="s">
        <v>445</v>
      </c>
      <c r="D54" t="s">
        <v>445</v>
      </c>
      <c r="F54" t="s">
        <v>445</v>
      </c>
      <c r="G54" t="s">
        <v>592</v>
      </c>
      <c r="H54" t="s">
        <v>602</v>
      </c>
      <c r="J54" t="s">
        <v>609</v>
      </c>
      <c r="K54" t="s">
        <v>653</v>
      </c>
      <c r="L54" t="s">
        <v>653</v>
      </c>
    </row>
    <row r="55" spans="2:12">
      <c r="B55" t="s">
        <v>401</v>
      </c>
      <c r="C55" t="s">
        <v>446</v>
      </c>
      <c r="D55" t="s">
        <v>446</v>
      </c>
      <c r="F55" t="s">
        <v>446</v>
      </c>
      <c r="G55" t="s">
        <v>592</v>
      </c>
      <c r="H55" t="s">
        <v>602</v>
      </c>
      <c r="J55" t="s">
        <v>609</v>
      </c>
      <c r="K55" t="s">
        <v>654</v>
      </c>
      <c r="L55" t="s">
        <v>654</v>
      </c>
    </row>
    <row r="56" spans="2:12">
      <c r="B56" t="s">
        <v>401</v>
      </c>
      <c r="C56" t="s">
        <v>447</v>
      </c>
      <c r="D56" t="s">
        <v>447</v>
      </c>
      <c r="F56" t="s">
        <v>447</v>
      </c>
      <c r="G56" t="s">
        <v>592</v>
      </c>
      <c r="H56" t="s">
        <v>602</v>
      </c>
      <c r="J56" t="s">
        <v>609</v>
      </c>
      <c r="K56" t="s">
        <v>655</v>
      </c>
      <c r="L56" t="s">
        <v>655</v>
      </c>
    </row>
    <row r="57" spans="2:12">
      <c r="B57" t="s">
        <v>401</v>
      </c>
      <c r="C57" t="s">
        <v>448</v>
      </c>
      <c r="D57" t="s">
        <v>448</v>
      </c>
      <c r="F57" t="s">
        <v>448</v>
      </c>
      <c r="G57" t="s">
        <v>592</v>
      </c>
      <c r="H57" t="s">
        <v>604</v>
      </c>
      <c r="J57" t="s">
        <v>609</v>
      </c>
      <c r="K57" t="s">
        <v>656</v>
      </c>
      <c r="L57" t="s">
        <v>656</v>
      </c>
    </row>
    <row r="58" spans="2:12">
      <c r="B58" t="s">
        <v>401</v>
      </c>
      <c r="C58" t="s">
        <v>449</v>
      </c>
      <c r="D58" t="s">
        <v>449</v>
      </c>
      <c r="F58" t="s">
        <v>449</v>
      </c>
      <c r="G58" t="s">
        <v>592</v>
      </c>
      <c r="H58" t="s">
        <v>595</v>
      </c>
      <c r="J58" t="s">
        <v>609</v>
      </c>
      <c r="K58" t="s">
        <v>657</v>
      </c>
      <c r="L58" t="s">
        <v>657</v>
      </c>
    </row>
    <row r="59" spans="2:12">
      <c r="B59" t="s">
        <v>401</v>
      </c>
      <c r="C59" t="s">
        <v>450</v>
      </c>
      <c r="D59" t="s">
        <v>450</v>
      </c>
      <c r="F59" t="s">
        <v>450</v>
      </c>
      <c r="G59" t="s">
        <v>592</v>
      </c>
      <c r="H59" t="s">
        <v>594</v>
      </c>
      <c r="J59" t="s">
        <v>609</v>
      </c>
      <c r="K59" t="s">
        <v>658</v>
      </c>
      <c r="L59" t="s">
        <v>658</v>
      </c>
    </row>
    <row r="60" spans="2:12">
      <c r="B60" t="s">
        <v>401</v>
      </c>
      <c r="C60" t="s">
        <v>451</v>
      </c>
      <c r="D60" t="s">
        <v>451</v>
      </c>
      <c r="F60" t="s">
        <v>451</v>
      </c>
      <c r="G60" t="s">
        <v>592</v>
      </c>
      <c r="H60" t="s">
        <v>596</v>
      </c>
      <c r="J60" t="s">
        <v>609</v>
      </c>
      <c r="K60" t="s">
        <v>659</v>
      </c>
      <c r="L60" t="s">
        <v>659</v>
      </c>
    </row>
    <row r="61" spans="2:12">
      <c r="B61" t="s">
        <v>401</v>
      </c>
      <c r="C61" t="s">
        <v>452</v>
      </c>
      <c r="D61" t="s">
        <v>452</v>
      </c>
      <c r="F61" t="s">
        <v>452</v>
      </c>
      <c r="G61" t="s">
        <v>592</v>
      </c>
      <c r="H61" t="s">
        <v>596</v>
      </c>
      <c r="J61" t="s">
        <v>609</v>
      </c>
      <c r="K61" t="s">
        <v>660</v>
      </c>
      <c r="L61" t="s">
        <v>660</v>
      </c>
    </row>
    <row r="62" spans="2:12">
      <c r="B62" t="s">
        <v>401</v>
      </c>
      <c r="C62" t="s">
        <v>453</v>
      </c>
      <c r="D62" t="s">
        <v>453</v>
      </c>
      <c r="F62" t="s">
        <v>453</v>
      </c>
      <c r="G62" t="s">
        <v>592</v>
      </c>
      <c r="H62" t="s">
        <v>595</v>
      </c>
      <c r="J62" t="s">
        <v>609</v>
      </c>
      <c r="K62" t="s">
        <v>661</v>
      </c>
      <c r="L62" t="s">
        <v>661</v>
      </c>
    </row>
    <row r="63" spans="2:12">
      <c r="B63" t="s">
        <v>401</v>
      </c>
      <c r="C63" t="s">
        <v>454</v>
      </c>
      <c r="D63" t="s">
        <v>454</v>
      </c>
      <c r="F63" t="s">
        <v>454</v>
      </c>
      <c r="G63" t="s">
        <v>592</v>
      </c>
      <c r="H63" t="s">
        <v>605</v>
      </c>
      <c r="J63" t="s">
        <v>609</v>
      </c>
      <c r="K63" t="s">
        <v>662</v>
      </c>
      <c r="L63" t="s">
        <v>662</v>
      </c>
    </row>
    <row r="64" spans="2:12">
      <c r="B64" t="s">
        <v>401</v>
      </c>
      <c r="C64" t="s">
        <v>455</v>
      </c>
      <c r="D64" t="s">
        <v>455</v>
      </c>
      <c r="F64" t="s">
        <v>455</v>
      </c>
      <c r="G64" t="s">
        <v>592</v>
      </c>
      <c r="H64" t="s">
        <v>602</v>
      </c>
      <c r="J64" t="s">
        <v>609</v>
      </c>
      <c r="K64" t="s">
        <v>663</v>
      </c>
      <c r="L64" t="s">
        <v>663</v>
      </c>
    </row>
    <row r="65" spans="2:12">
      <c r="B65" t="s">
        <v>401</v>
      </c>
      <c r="C65" t="s">
        <v>456</v>
      </c>
      <c r="D65" t="s">
        <v>456</v>
      </c>
      <c r="F65" t="s">
        <v>456</v>
      </c>
      <c r="G65" t="s">
        <v>592</v>
      </c>
      <c r="H65" t="s">
        <v>597</v>
      </c>
      <c r="J65" t="s">
        <v>609</v>
      </c>
      <c r="K65" t="s">
        <v>664</v>
      </c>
      <c r="L65" t="s">
        <v>664</v>
      </c>
    </row>
    <row r="66" spans="2:12">
      <c r="B66" t="s">
        <v>401</v>
      </c>
      <c r="C66" t="s">
        <v>457</v>
      </c>
      <c r="D66" t="s">
        <v>457</v>
      </c>
      <c r="F66" t="s">
        <v>457</v>
      </c>
      <c r="G66" t="s">
        <v>592</v>
      </c>
      <c r="H66" t="s">
        <v>593</v>
      </c>
      <c r="J66" t="s">
        <v>609</v>
      </c>
      <c r="K66" t="s">
        <v>665</v>
      </c>
      <c r="L66" t="s">
        <v>665</v>
      </c>
    </row>
    <row r="67" spans="2:12">
      <c r="B67" t="s">
        <v>401</v>
      </c>
      <c r="C67" t="s">
        <v>458</v>
      </c>
      <c r="D67" t="s">
        <v>458</v>
      </c>
      <c r="F67" t="s">
        <v>458</v>
      </c>
      <c r="G67" t="s">
        <v>592</v>
      </c>
      <c r="H67" t="s">
        <v>595</v>
      </c>
      <c r="J67" t="s">
        <v>609</v>
      </c>
      <c r="K67" t="s">
        <v>666</v>
      </c>
      <c r="L67" t="s">
        <v>666</v>
      </c>
    </row>
    <row r="68" spans="2:12">
      <c r="B68" t="s">
        <v>401</v>
      </c>
      <c r="C68" t="s">
        <v>459</v>
      </c>
      <c r="D68" t="s">
        <v>459</v>
      </c>
      <c r="F68" t="s">
        <v>459</v>
      </c>
      <c r="G68" t="s">
        <v>592</v>
      </c>
      <c r="H68" t="s">
        <v>594</v>
      </c>
      <c r="J68" t="s">
        <v>609</v>
      </c>
      <c r="K68" t="s">
        <v>667</v>
      </c>
      <c r="L68" t="s">
        <v>667</v>
      </c>
    </row>
    <row r="69" spans="2:12">
      <c r="B69" t="s">
        <v>401</v>
      </c>
      <c r="C69" t="s">
        <v>460</v>
      </c>
      <c r="D69" t="s">
        <v>460</v>
      </c>
      <c r="F69" t="s">
        <v>460</v>
      </c>
      <c r="G69" t="s">
        <v>592</v>
      </c>
      <c r="H69" t="s">
        <v>598</v>
      </c>
      <c r="J69" t="s">
        <v>609</v>
      </c>
      <c r="K69" t="s">
        <v>668</v>
      </c>
      <c r="L69" t="s">
        <v>668</v>
      </c>
    </row>
    <row r="70" spans="2:12">
      <c r="B70" t="s">
        <v>401</v>
      </c>
      <c r="C70" t="s">
        <v>461</v>
      </c>
      <c r="D70" t="s">
        <v>461</v>
      </c>
      <c r="F70" t="s">
        <v>461</v>
      </c>
      <c r="G70" t="s">
        <v>592</v>
      </c>
      <c r="H70" t="s">
        <v>594</v>
      </c>
      <c r="J70" t="s">
        <v>609</v>
      </c>
      <c r="K70" t="s">
        <v>669</v>
      </c>
      <c r="L70" t="s">
        <v>669</v>
      </c>
    </row>
    <row r="71" spans="2:12">
      <c r="B71" t="s">
        <v>401</v>
      </c>
      <c r="C71" t="s">
        <v>462</v>
      </c>
      <c r="D71" t="s">
        <v>462</v>
      </c>
      <c r="F71" t="s">
        <v>462</v>
      </c>
      <c r="G71" t="s">
        <v>592</v>
      </c>
      <c r="H71" t="s">
        <v>595</v>
      </c>
      <c r="J71" t="s">
        <v>609</v>
      </c>
      <c r="K71" t="s">
        <v>670</v>
      </c>
      <c r="L71" t="s">
        <v>670</v>
      </c>
    </row>
    <row r="72" spans="2:12">
      <c r="B72" t="s">
        <v>401</v>
      </c>
      <c r="C72" t="s">
        <v>463</v>
      </c>
      <c r="D72" t="s">
        <v>463</v>
      </c>
      <c r="F72" t="s">
        <v>463</v>
      </c>
      <c r="G72" t="s">
        <v>592</v>
      </c>
      <c r="H72" t="s">
        <v>603</v>
      </c>
      <c r="J72" t="s">
        <v>609</v>
      </c>
      <c r="K72" t="s">
        <v>671</v>
      </c>
      <c r="L72" t="s">
        <v>671</v>
      </c>
    </row>
    <row r="73" spans="2:12">
      <c r="B73" t="s">
        <v>401</v>
      </c>
      <c r="C73" t="s">
        <v>464</v>
      </c>
      <c r="D73" t="s">
        <v>464</v>
      </c>
      <c r="F73" t="s">
        <v>464</v>
      </c>
      <c r="G73" t="s">
        <v>592</v>
      </c>
      <c r="H73" t="s">
        <v>595</v>
      </c>
      <c r="J73" t="s">
        <v>609</v>
      </c>
      <c r="K73" t="s">
        <v>672</v>
      </c>
      <c r="L73" t="s">
        <v>672</v>
      </c>
    </row>
    <row r="74" spans="2:12">
      <c r="B74" t="s">
        <v>401</v>
      </c>
      <c r="C74" t="s">
        <v>465</v>
      </c>
      <c r="D74" t="s">
        <v>465</v>
      </c>
      <c r="F74" t="s">
        <v>465</v>
      </c>
      <c r="G74" t="s">
        <v>592</v>
      </c>
      <c r="H74" t="s">
        <v>595</v>
      </c>
      <c r="J74" t="s">
        <v>609</v>
      </c>
      <c r="K74" t="s">
        <v>673</v>
      </c>
      <c r="L74" t="s">
        <v>673</v>
      </c>
    </row>
    <row r="75" spans="2:12">
      <c r="B75" t="s">
        <v>401</v>
      </c>
      <c r="C75" t="s">
        <v>466</v>
      </c>
      <c r="D75" t="s">
        <v>466</v>
      </c>
      <c r="F75" t="s">
        <v>466</v>
      </c>
      <c r="G75" t="s">
        <v>592</v>
      </c>
      <c r="H75" t="s">
        <v>598</v>
      </c>
      <c r="J75" t="s">
        <v>609</v>
      </c>
      <c r="K75" t="s">
        <v>674</v>
      </c>
      <c r="L75" t="s">
        <v>674</v>
      </c>
    </row>
    <row r="76" spans="2:12">
      <c r="B76" t="s">
        <v>401</v>
      </c>
      <c r="C76" t="s">
        <v>467</v>
      </c>
      <c r="D76" t="s">
        <v>467</v>
      </c>
      <c r="F76" t="s">
        <v>467</v>
      </c>
      <c r="G76" t="s">
        <v>592</v>
      </c>
      <c r="H76" t="s">
        <v>595</v>
      </c>
      <c r="J76" t="s">
        <v>609</v>
      </c>
      <c r="K76" t="s">
        <v>675</v>
      </c>
      <c r="L76" t="s">
        <v>675</v>
      </c>
    </row>
    <row r="77" spans="2:12">
      <c r="B77" t="s">
        <v>401</v>
      </c>
      <c r="C77" t="s">
        <v>468</v>
      </c>
      <c r="D77" t="s">
        <v>468</v>
      </c>
      <c r="F77" t="s">
        <v>468</v>
      </c>
      <c r="G77" t="s">
        <v>592</v>
      </c>
      <c r="H77" t="s">
        <v>595</v>
      </c>
      <c r="J77" t="s">
        <v>609</v>
      </c>
      <c r="K77" t="s">
        <v>676</v>
      </c>
      <c r="L77" t="s">
        <v>676</v>
      </c>
    </row>
    <row r="78" spans="2:12">
      <c r="B78" t="s">
        <v>401</v>
      </c>
      <c r="C78" t="s">
        <v>469</v>
      </c>
      <c r="D78" t="s">
        <v>469</v>
      </c>
      <c r="F78" t="s">
        <v>469</v>
      </c>
      <c r="G78" t="s">
        <v>592</v>
      </c>
      <c r="H78" t="s">
        <v>593</v>
      </c>
      <c r="J78" t="s">
        <v>609</v>
      </c>
      <c r="K78" t="s">
        <v>677</v>
      </c>
      <c r="L78" t="s">
        <v>677</v>
      </c>
    </row>
    <row r="79" spans="2:12">
      <c r="B79" t="s">
        <v>401</v>
      </c>
      <c r="C79" t="s">
        <v>470</v>
      </c>
      <c r="D79" t="s">
        <v>470</v>
      </c>
      <c r="F79" t="s">
        <v>470</v>
      </c>
      <c r="G79" t="s">
        <v>592</v>
      </c>
      <c r="H79" t="s">
        <v>593</v>
      </c>
      <c r="J79" t="s">
        <v>609</v>
      </c>
      <c r="K79" t="s">
        <v>678</v>
      </c>
      <c r="L79" t="s">
        <v>678</v>
      </c>
    </row>
    <row r="80" spans="2:12">
      <c r="B80" t="s">
        <v>401</v>
      </c>
      <c r="C80" t="s">
        <v>471</v>
      </c>
      <c r="D80" t="s">
        <v>471</v>
      </c>
      <c r="F80" t="s">
        <v>471</v>
      </c>
      <c r="G80" t="s">
        <v>592</v>
      </c>
      <c r="H80" t="s">
        <v>599</v>
      </c>
      <c r="J80" t="s">
        <v>609</v>
      </c>
      <c r="K80" t="s">
        <v>679</v>
      </c>
      <c r="L80" t="s">
        <v>679</v>
      </c>
    </row>
    <row r="81" spans="2:12">
      <c r="B81" t="s">
        <v>401</v>
      </c>
      <c r="C81" t="s">
        <v>472</v>
      </c>
      <c r="D81" t="s">
        <v>472</v>
      </c>
      <c r="F81" t="s">
        <v>472</v>
      </c>
      <c r="G81" t="s">
        <v>592</v>
      </c>
      <c r="H81" t="s">
        <v>605</v>
      </c>
      <c r="J81" t="s">
        <v>609</v>
      </c>
      <c r="K81" t="s">
        <v>680</v>
      </c>
      <c r="L81" t="s">
        <v>680</v>
      </c>
    </row>
    <row r="82" spans="2:12">
      <c r="B82" t="s">
        <v>401</v>
      </c>
      <c r="C82" t="s">
        <v>473</v>
      </c>
      <c r="D82" t="s">
        <v>473</v>
      </c>
      <c r="F82" t="s">
        <v>473</v>
      </c>
      <c r="G82" t="s">
        <v>592</v>
      </c>
      <c r="H82" t="s">
        <v>598</v>
      </c>
      <c r="J82" t="s">
        <v>609</v>
      </c>
      <c r="K82" t="s">
        <v>681</v>
      </c>
      <c r="L82" t="s">
        <v>681</v>
      </c>
    </row>
    <row r="83" spans="2:12">
      <c r="B83" t="s">
        <v>401</v>
      </c>
      <c r="C83" t="s">
        <v>474</v>
      </c>
      <c r="D83" t="s">
        <v>474</v>
      </c>
      <c r="F83" t="s">
        <v>474</v>
      </c>
      <c r="G83" t="s">
        <v>592</v>
      </c>
      <c r="H83" t="s">
        <v>596</v>
      </c>
      <c r="J83" t="s">
        <v>609</v>
      </c>
      <c r="K83" t="s">
        <v>682</v>
      </c>
      <c r="L83" t="s">
        <v>682</v>
      </c>
    </row>
    <row r="84" spans="2:12">
      <c r="B84" t="s">
        <v>401</v>
      </c>
      <c r="C84" t="s">
        <v>475</v>
      </c>
      <c r="D84" t="s">
        <v>475</v>
      </c>
      <c r="F84" t="s">
        <v>475</v>
      </c>
      <c r="G84" t="s">
        <v>592</v>
      </c>
      <c r="H84" t="s">
        <v>600</v>
      </c>
      <c r="J84" t="s">
        <v>609</v>
      </c>
      <c r="K84" t="s">
        <v>683</v>
      </c>
      <c r="L84" t="s">
        <v>683</v>
      </c>
    </row>
    <row r="85" spans="2:12">
      <c r="B85" t="s">
        <v>401</v>
      </c>
      <c r="C85" t="s">
        <v>476</v>
      </c>
      <c r="D85" t="s">
        <v>476</v>
      </c>
      <c r="F85" t="s">
        <v>476</v>
      </c>
      <c r="G85" t="s">
        <v>592</v>
      </c>
      <c r="H85" t="s">
        <v>593</v>
      </c>
      <c r="J85" t="s">
        <v>609</v>
      </c>
      <c r="K85" t="s">
        <v>684</v>
      </c>
      <c r="L85" t="s">
        <v>684</v>
      </c>
    </row>
    <row r="86" spans="2:12">
      <c r="B86" t="s">
        <v>401</v>
      </c>
      <c r="C86" t="s">
        <v>477</v>
      </c>
      <c r="D86" t="s">
        <v>477</v>
      </c>
      <c r="F86" t="s">
        <v>477</v>
      </c>
      <c r="G86" t="s">
        <v>592</v>
      </c>
      <c r="H86" t="s">
        <v>593</v>
      </c>
      <c r="J86" t="s">
        <v>609</v>
      </c>
      <c r="K86" t="s">
        <v>685</v>
      </c>
      <c r="L86" t="s">
        <v>685</v>
      </c>
    </row>
    <row r="87" spans="2:12">
      <c r="B87" t="s">
        <v>401</v>
      </c>
      <c r="C87" t="s">
        <v>478</v>
      </c>
      <c r="D87" t="s">
        <v>478</v>
      </c>
      <c r="F87" t="s">
        <v>478</v>
      </c>
      <c r="G87" t="s">
        <v>592</v>
      </c>
      <c r="H87" t="s">
        <v>593</v>
      </c>
      <c r="J87" t="s">
        <v>609</v>
      </c>
      <c r="K87" t="s">
        <v>686</v>
      </c>
      <c r="L87" t="s">
        <v>686</v>
      </c>
    </row>
    <row r="88" spans="2:12">
      <c r="B88" t="s">
        <v>401</v>
      </c>
      <c r="C88" t="s">
        <v>479</v>
      </c>
      <c r="D88" t="s">
        <v>479</v>
      </c>
      <c r="F88" t="s">
        <v>479</v>
      </c>
      <c r="G88" t="s">
        <v>592</v>
      </c>
      <c r="H88" t="s">
        <v>602</v>
      </c>
      <c r="J88" t="s">
        <v>609</v>
      </c>
      <c r="K88" t="s">
        <v>687</v>
      </c>
      <c r="L88" t="s">
        <v>687</v>
      </c>
    </row>
    <row r="89" spans="2:12">
      <c r="B89" t="s">
        <v>401</v>
      </c>
      <c r="C89" t="s">
        <v>480</v>
      </c>
      <c r="D89" t="s">
        <v>480</v>
      </c>
      <c r="F89" t="s">
        <v>480</v>
      </c>
      <c r="G89" t="s">
        <v>592</v>
      </c>
      <c r="H89" t="s">
        <v>595</v>
      </c>
      <c r="J89" t="s">
        <v>609</v>
      </c>
      <c r="K89" t="s">
        <v>688</v>
      </c>
      <c r="L89" t="s">
        <v>688</v>
      </c>
    </row>
    <row r="90" spans="2:12">
      <c r="B90" t="s">
        <v>401</v>
      </c>
      <c r="C90" t="s">
        <v>481</v>
      </c>
      <c r="D90" t="s">
        <v>481</v>
      </c>
      <c r="F90" t="s">
        <v>481</v>
      </c>
      <c r="G90" t="s">
        <v>592</v>
      </c>
      <c r="H90" t="s">
        <v>594</v>
      </c>
      <c r="J90" t="s">
        <v>609</v>
      </c>
      <c r="K90" t="s">
        <v>689</v>
      </c>
      <c r="L90" t="s">
        <v>689</v>
      </c>
    </row>
    <row r="91" spans="2:12">
      <c r="B91" t="s">
        <v>401</v>
      </c>
      <c r="C91" t="s">
        <v>482</v>
      </c>
      <c r="D91" t="s">
        <v>482</v>
      </c>
      <c r="F91" t="s">
        <v>482</v>
      </c>
      <c r="G91" t="s">
        <v>592</v>
      </c>
      <c r="H91" t="s">
        <v>602</v>
      </c>
      <c r="J91" t="s">
        <v>609</v>
      </c>
      <c r="K91" t="s">
        <v>690</v>
      </c>
      <c r="L91" t="s">
        <v>690</v>
      </c>
    </row>
    <row r="92" spans="2:12">
      <c r="B92" t="s">
        <v>401</v>
      </c>
      <c r="C92" t="s">
        <v>483</v>
      </c>
      <c r="D92" t="s">
        <v>483</v>
      </c>
      <c r="F92" t="s">
        <v>483</v>
      </c>
      <c r="G92" t="s">
        <v>592</v>
      </c>
      <c r="H92" t="s">
        <v>593</v>
      </c>
      <c r="J92" t="s">
        <v>609</v>
      </c>
      <c r="K92" t="s">
        <v>691</v>
      </c>
      <c r="L92" t="s">
        <v>691</v>
      </c>
    </row>
    <row r="93" spans="2:12">
      <c r="B93" t="s">
        <v>401</v>
      </c>
      <c r="C93" t="s">
        <v>484</v>
      </c>
      <c r="D93" t="s">
        <v>484</v>
      </c>
      <c r="F93" t="s">
        <v>484</v>
      </c>
      <c r="G93" t="s">
        <v>592</v>
      </c>
      <c r="H93" t="s">
        <v>606</v>
      </c>
      <c r="J93" t="s">
        <v>609</v>
      </c>
      <c r="K93" t="s">
        <v>692</v>
      </c>
      <c r="L93" t="s">
        <v>692</v>
      </c>
    </row>
    <row r="94" spans="2:12">
      <c r="B94" t="s">
        <v>401</v>
      </c>
      <c r="C94" t="s">
        <v>485</v>
      </c>
      <c r="D94" t="s">
        <v>485</v>
      </c>
      <c r="F94" t="s">
        <v>485</v>
      </c>
      <c r="G94" t="s">
        <v>592</v>
      </c>
      <c r="H94" t="s">
        <v>600</v>
      </c>
      <c r="J94" t="s">
        <v>609</v>
      </c>
      <c r="K94" t="s">
        <v>693</v>
      </c>
      <c r="L94" t="s">
        <v>693</v>
      </c>
    </row>
    <row r="95" spans="2:12">
      <c r="B95" t="s">
        <v>401</v>
      </c>
      <c r="C95" t="s">
        <v>486</v>
      </c>
      <c r="D95" t="s">
        <v>486</v>
      </c>
      <c r="F95" t="s">
        <v>486</v>
      </c>
      <c r="G95" t="s">
        <v>592</v>
      </c>
      <c r="H95" t="s">
        <v>594</v>
      </c>
      <c r="J95" t="s">
        <v>609</v>
      </c>
      <c r="K95" t="s">
        <v>694</v>
      </c>
      <c r="L95" t="s">
        <v>694</v>
      </c>
    </row>
    <row r="96" spans="2:12">
      <c r="B96" t="s">
        <v>401</v>
      </c>
      <c r="C96" t="s">
        <v>487</v>
      </c>
      <c r="D96" t="s">
        <v>487</v>
      </c>
      <c r="F96" t="s">
        <v>487</v>
      </c>
      <c r="G96" t="s">
        <v>592</v>
      </c>
      <c r="H96" t="s">
        <v>593</v>
      </c>
      <c r="J96" t="s">
        <v>609</v>
      </c>
      <c r="K96" t="s">
        <v>695</v>
      </c>
      <c r="L96" t="s">
        <v>695</v>
      </c>
    </row>
    <row r="97" spans="2:12">
      <c r="B97" t="s">
        <v>401</v>
      </c>
      <c r="C97" t="s">
        <v>488</v>
      </c>
      <c r="D97" t="s">
        <v>488</v>
      </c>
      <c r="F97" t="s">
        <v>488</v>
      </c>
      <c r="G97" t="s">
        <v>592</v>
      </c>
      <c r="H97" t="s">
        <v>595</v>
      </c>
      <c r="J97" t="s">
        <v>609</v>
      </c>
      <c r="K97" t="s">
        <v>696</v>
      </c>
      <c r="L97" t="s">
        <v>696</v>
      </c>
    </row>
    <row r="98" spans="2:12">
      <c r="B98" t="s">
        <v>401</v>
      </c>
      <c r="C98" t="s">
        <v>489</v>
      </c>
      <c r="D98" t="s">
        <v>489</v>
      </c>
      <c r="F98" t="s">
        <v>489</v>
      </c>
      <c r="G98" t="s">
        <v>592</v>
      </c>
      <c r="H98" t="s">
        <v>595</v>
      </c>
      <c r="J98" t="s">
        <v>609</v>
      </c>
      <c r="K98" t="s">
        <v>697</v>
      </c>
      <c r="L98" t="s">
        <v>697</v>
      </c>
    </row>
    <row r="99" spans="2:12">
      <c r="B99" t="s">
        <v>401</v>
      </c>
      <c r="C99" t="s">
        <v>490</v>
      </c>
      <c r="D99" t="s">
        <v>490</v>
      </c>
      <c r="F99" t="s">
        <v>490</v>
      </c>
      <c r="G99" t="s">
        <v>592</v>
      </c>
      <c r="H99" t="s">
        <v>594</v>
      </c>
      <c r="J99" t="s">
        <v>609</v>
      </c>
      <c r="K99" t="s">
        <v>698</v>
      </c>
      <c r="L99" t="s">
        <v>698</v>
      </c>
    </row>
    <row r="100" spans="2:12">
      <c r="B100" t="s">
        <v>401</v>
      </c>
      <c r="C100" t="s">
        <v>491</v>
      </c>
      <c r="D100" t="s">
        <v>491</v>
      </c>
      <c r="F100" t="s">
        <v>491</v>
      </c>
      <c r="G100" t="s">
        <v>592</v>
      </c>
      <c r="H100" t="s">
        <v>594</v>
      </c>
      <c r="J100" t="s">
        <v>609</v>
      </c>
      <c r="K100" t="s">
        <v>699</v>
      </c>
      <c r="L100" t="s">
        <v>699</v>
      </c>
    </row>
    <row r="101" spans="2:12">
      <c r="B101" t="s">
        <v>401</v>
      </c>
      <c r="C101" t="s">
        <v>492</v>
      </c>
      <c r="D101" t="s">
        <v>492</v>
      </c>
      <c r="F101" t="s">
        <v>492</v>
      </c>
      <c r="G101" t="s">
        <v>592</v>
      </c>
      <c r="H101" t="s">
        <v>594</v>
      </c>
      <c r="J101" t="s">
        <v>609</v>
      </c>
      <c r="K101" t="s">
        <v>700</v>
      </c>
      <c r="L101" t="s">
        <v>700</v>
      </c>
    </row>
    <row r="102" spans="2:12">
      <c r="B102" t="s">
        <v>401</v>
      </c>
      <c r="C102" t="s">
        <v>493</v>
      </c>
      <c r="D102" t="s">
        <v>493</v>
      </c>
      <c r="F102" t="s">
        <v>493</v>
      </c>
      <c r="G102" t="s">
        <v>592</v>
      </c>
      <c r="H102" t="s">
        <v>594</v>
      </c>
      <c r="J102" t="s">
        <v>609</v>
      </c>
      <c r="K102" t="s">
        <v>701</v>
      </c>
      <c r="L102" t="s">
        <v>701</v>
      </c>
    </row>
    <row r="103" spans="2:12">
      <c r="B103" t="s">
        <v>401</v>
      </c>
      <c r="C103" t="s">
        <v>494</v>
      </c>
      <c r="D103" t="s">
        <v>494</v>
      </c>
      <c r="F103" t="s">
        <v>494</v>
      </c>
      <c r="G103" t="s">
        <v>592</v>
      </c>
      <c r="H103" t="s">
        <v>594</v>
      </c>
      <c r="J103" t="s">
        <v>609</v>
      </c>
      <c r="K103" t="s">
        <v>702</v>
      </c>
      <c r="L103" t="s">
        <v>702</v>
      </c>
    </row>
    <row r="104" spans="2:12">
      <c r="B104" t="s">
        <v>401</v>
      </c>
      <c r="C104" t="s">
        <v>495</v>
      </c>
      <c r="D104" t="s">
        <v>495</v>
      </c>
      <c r="F104" t="s">
        <v>495</v>
      </c>
      <c r="G104" t="s">
        <v>592</v>
      </c>
      <c r="H104" t="s">
        <v>598</v>
      </c>
      <c r="J104" t="s">
        <v>609</v>
      </c>
      <c r="K104" t="s">
        <v>703</v>
      </c>
      <c r="L104" t="s">
        <v>703</v>
      </c>
    </row>
    <row r="105" spans="2:12">
      <c r="B105" t="s">
        <v>401</v>
      </c>
      <c r="C105" t="s">
        <v>496</v>
      </c>
      <c r="D105" t="s">
        <v>496</v>
      </c>
      <c r="F105" t="s">
        <v>496</v>
      </c>
      <c r="G105" t="s">
        <v>592</v>
      </c>
      <c r="H105" t="s">
        <v>598</v>
      </c>
      <c r="J105" t="s">
        <v>609</v>
      </c>
      <c r="K105" t="s">
        <v>704</v>
      </c>
      <c r="L105" t="s">
        <v>704</v>
      </c>
    </row>
    <row r="106" spans="2:12">
      <c r="B106" t="s">
        <v>401</v>
      </c>
      <c r="C106" t="s">
        <v>497</v>
      </c>
      <c r="D106" t="s">
        <v>497</v>
      </c>
      <c r="F106" t="s">
        <v>497</v>
      </c>
      <c r="G106" t="s">
        <v>592</v>
      </c>
      <c r="H106" t="s">
        <v>598</v>
      </c>
      <c r="J106" t="s">
        <v>609</v>
      </c>
      <c r="K106" t="s">
        <v>705</v>
      </c>
      <c r="L106" t="s">
        <v>705</v>
      </c>
    </row>
    <row r="107" spans="2:12">
      <c r="B107" t="s">
        <v>401</v>
      </c>
      <c r="C107" t="s">
        <v>498</v>
      </c>
      <c r="D107" t="s">
        <v>498</v>
      </c>
      <c r="F107" t="s">
        <v>498</v>
      </c>
      <c r="G107" t="s">
        <v>592</v>
      </c>
      <c r="H107" t="s">
        <v>595</v>
      </c>
      <c r="J107" t="s">
        <v>609</v>
      </c>
      <c r="K107" t="s">
        <v>706</v>
      </c>
      <c r="L107" t="s">
        <v>706</v>
      </c>
    </row>
    <row r="108" spans="2:12">
      <c r="B108" t="s">
        <v>401</v>
      </c>
      <c r="C108" t="s">
        <v>499</v>
      </c>
      <c r="D108" t="s">
        <v>499</v>
      </c>
      <c r="F108" t="s">
        <v>499</v>
      </c>
      <c r="G108" t="s">
        <v>592</v>
      </c>
      <c r="H108" t="s">
        <v>595</v>
      </c>
      <c r="J108" t="s">
        <v>609</v>
      </c>
      <c r="K108" t="s">
        <v>707</v>
      </c>
      <c r="L108" t="s">
        <v>707</v>
      </c>
    </row>
    <row r="109" spans="2:12">
      <c r="B109" t="s">
        <v>401</v>
      </c>
      <c r="C109" t="s">
        <v>500</v>
      </c>
      <c r="D109" t="s">
        <v>500</v>
      </c>
      <c r="F109" t="s">
        <v>500</v>
      </c>
      <c r="G109" t="s">
        <v>592</v>
      </c>
      <c r="H109" t="s">
        <v>595</v>
      </c>
      <c r="J109" t="s">
        <v>609</v>
      </c>
      <c r="K109" t="s">
        <v>708</v>
      </c>
      <c r="L109" t="s">
        <v>708</v>
      </c>
    </row>
    <row r="110" spans="2:12">
      <c r="B110" t="s">
        <v>401</v>
      </c>
      <c r="C110" t="s">
        <v>501</v>
      </c>
      <c r="D110" t="s">
        <v>501</v>
      </c>
      <c r="F110" t="s">
        <v>501</v>
      </c>
      <c r="G110" t="s">
        <v>592</v>
      </c>
      <c r="H110" t="s">
        <v>594</v>
      </c>
      <c r="J110" t="s">
        <v>609</v>
      </c>
      <c r="K110" t="s">
        <v>709</v>
      </c>
      <c r="L110" t="s">
        <v>709</v>
      </c>
    </row>
    <row r="111" spans="2:12">
      <c r="B111" t="s">
        <v>401</v>
      </c>
      <c r="C111" t="s">
        <v>502</v>
      </c>
      <c r="D111" t="s">
        <v>502</v>
      </c>
      <c r="F111" t="s">
        <v>502</v>
      </c>
      <c r="G111" t="s">
        <v>592</v>
      </c>
      <c r="H111" t="s">
        <v>595</v>
      </c>
      <c r="J111" t="s">
        <v>609</v>
      </c>
      <c r="K111" t="s">
        <v>710</v>
      </c>
      <c r="L111" t="s">
        <v>710</v>
      </c>
    </row>
    <row r="112" spans="2:12">
      <c r="B112" t="s">
        <v>401</v>
      </c>
      <c r="C112" t="s">
        <v>503</v>
      </c>
      <c r="D112" t="s">
        <v>503</v>
      </c>
      <c r="F112" t="s">
        <v>503</v>
      </c>
      <c r="G112" t="s">
        <v>592</v>
      </c>
      <c r="H112" t="s">
        <v>602</v>
      </c>
      <c r="J112" t="s">
        <v>609</v>
      </c>
      <c r="K112" t="s">
        <v>711</v>
      </c>
      <c r="L112" t="s">
        <v>711</v>
      </c>
    </row>
    <row r="113" spans="2:12">
      <c r="B113" t="s">
        <v>401</v>
      </c>
      <c r="C113" t="s">
        <v>504</v>
      </c>
      <c r="D113" t="s">
        <v>504</v>
      </c>
      <c r="F113" t="s">
        <v>504</v>
      </c>
      <c r="G113" t="s">
        <v>592</v>
      </c>
      <c r="H113" t="s">
        <v>602</v>
      </c>
      <c r="J113" t="s">
        <v>609</v>
      </c>
      <c r="K113" t="s">
        <v>712</v>
      </c>
      <c r="L113" t="s">
        <v>712</v>
      </c>
    </row>
    <row r="114" spans="2:12">
      <c r="B114" t="s">
        <v>401</v>
      </c>
      <c r="C114" t="s">
        <v>505</v>
      </c>
      <c r="D114" t="s">
        <v>505</v>
      </c>
      <c r="F114" t="s">
        <v>505</v>
      </c>
      <c r="G114" t="s">
        <v>592</v>
      </c>
      <c r="H114" t="s">
        <v>596</v>
      </c>
      <c r="J114" t="s">
        <v>609</v>
      </c>
      <c r="K114" t="s">
        <v>713</v>
      </c>
      <c r="L114" t="s">
        <v>713</v>
      </c>
    </row>
    <row r="115" spans="2:12">
      <c r="B115" t="s">
        <v>401</v>
      </c>
      <c r="C115" t="s">
        <v>506</v>
      </c>
      <c r="D115" t="s">
        <v>506</v>
      </c>
      <c r="F115" t="s">
        <v>506</v>
      </c>
      <c r="G115" t="s">
        <v>592</v>
      </c>
      <c r="H115" t="s">
        <v>595</v>
      </c>
      <c r="J115" t="s">
        <v>609</v>
      </c>
      <c r="K115" t="s">
        <v>714</v>
      </c>
      <c r="L115" t="s">
        <v>714</v>
      </c>
    </row>
    <row r="116" spans="2:12">
      <c r="B116" t="s">
        <v>401</v>
      </c>
      <c r="C116" t="s">
        <v>507</v>
      </c>
      <c r="D116" t="s">
        <v>507</v>
      </c>
      <c r="F116" t="s">
        <v>507</v>
      </c>
      <c r="G116" t="s">
        <v>592</v>
      </c>
      <c r="H116" t="s">
        <v>595</v>
      </c>
      <c r="J116" t="s">
        <v>609</v>
      </c>
      <c r="K116" t="s">
        <v>715</v>
      </c>
      <c r="L116" t="s">
        <v>715</v>
      </c>
    </row>
    <row r="117" spans="2:12">
      <c r="B117" t="s">
        <v>401</v>
      </c>
      <c r="C117" t="s">
        <v>508</v>
      </c>
      <c r="D117" t="s">
        <v>508</v>
      </c>
      <c r="F117" t="s">
        <v>508</v>
      </c>
      <c r="G117" t="s">
        <v>592</v>
      </c>
      <c r="H117" t="s">
        <v>595</v>
      </c>
      <c r="J117" t="s">
        <v>609</v>
      </c>
      <c r="K117" t="s">
        <v>716</v>
      </c>
      <c r="L117" t="s">
        <v>716</v>
      </c>
    </row>
    <row r="118" spans="2:12">
      <c r="B118" t="s">
        <v>401</v>
      </c>
      <c r="C118" t="s">
        <v>509</v>
      </c>
      <c r="D118" t="s">
        <v>509</v>
      </c>
      <c r="F118" t="s">
        <v>509</v>
      </c>
      <c r="G118" t="s">
        <v>592</v>
      </c>
      <c r="H118" t="s">
        <v>604</v>
      </c>
      <c r="J118" t="s">
        <v>609</v>
      </c>
      <c r="K118" t="s">
        <v>717</v>
      </c>
      <c r="L118" t="s">
        <v>717</v>
      </c>
    </row>
    <row r="119" spans="2:12">
      <c r="B119" t="s">
        <v>401</v>
      </c>
      <c r="C119" t="s">
        <v>510</v>
      </c>
      <c r="D119" t="s">
        <v>510</v>
      </c>
      <c r="F119" t="s">
        <v>510</v>
      </c>
      <c r="G119" t="s">
        <v>592</v>
      </c>
      <c r="H119" t="s">
        <v>595</v>
      </c>
      <c r="J119" t="s">
        <v>609</v>
      </c>
      <c r="K119" t="s">
        <v>718</v>
      </c>
      <c r="L119" t="s">
        <v>718</v>
      </c>
    </row>
    <row r="120" spans="2:12">
      <c r="B120" t="s">
        <v>401</v>
      </c>
      <c r="C120" t="s">
        <v>511</v>
      </c>
      <c r="D120" t="s">
        <v>511</v>
      </c>
      <c r="F120" t="s">
        <v>511</v>
      </c>
      <c r="G120" t="s">
        <v>592</v>
      </c>
      <c r="H120" t="s">
        <v>593</v>
      </c>
      <c r="J120" t="s">
        <v>609</v>
      </c>
      <c r="K120" t="s">
        <v>719</v>
      </c>
      <c r="L120" t="s">
        <v>719</v>
      </c>
    </row>
    <row r="121" spans="2:12">
      <c r="B121" t="s">
        <v>401</v>
      </c>
      <c r="C121" t="s">
        <v>512</v>
      </c>
      <c r="D121" t="s">
        <v>512</v>
      </c>
      <c r="F121" t="s">
        <v>512</v>
      </c>
      <c r="G121" t="s">
        <v>592</v>
      </c>
      <c r="H121" t="s">
        <v>593</v>
      </c>
      <c r="J121" t="s">
        <v>609</v>
      </c>
      <c r="K121" t="s">
        <v>720</v>
      </c>
      <c r="L121" t="s">
        <v>720</v>
      </c>
    </row>
    <row r="122" spans="2:12">
      <c r="B122" t="s">
        <v>401</v>
      </c>
      <c r="C122" t="s">
        <v>513</v>
      </c>
      <c r="D122" t="s">
        <v>513</v>
      </c>
      <c r="F122" t="s">
        <v>513</v>
      </c>
      <c r="G122" t="s">
        <v>592</v>
      </c>
      <c r="H122" t="s">
        <v>595</v>
      </c>
      <c r="J122" t="s">
        <v>609</v>
      </c>
      <c r="K122" t="s">
        <v>721</v>
      </c>
      <c r="L122" t="s">
        <v>721</v>
      </c>
    </row>
    <row r="123" spans="2:12">
      <c r="B123" t="s">
        <v>401</v>
      </c>
      <c r="C123" t="s">
        <v>514</v>
      </c>
      <c r="D123" t="s">
        <v>514</v>
      </c>
      <c r="F123" t="s">
        <v>514</v>
      </c>
      <c r="G123" t="s">
        <v>592</v>
      </c>
      <c r="H123" t="s">
        <v>595</v>
      </c>
      <c r="J123" t="s">
        <v>609</v>
      </c>
      <c r="K123" t="s">
        <v>722</v>
      </c>
      <c r="L123" t="s">
        <v>722</v>
      </c>
    </row>
    <row r="124" spans="2:12">
      <c r="B124" t="s">
        <v>401</v>
      </c>
      <c r="C124" t="s">
        <v>515</v>
      </c>
      <c r="D124" t="s">
        <v>515</v>
      </c>
      <c r="F124" t="s">
        <v>515</v>
      </c>
      <c r="G124" t="s">
        <v>592</v>
      </c>
      <c r="H124" t="s">
        <v>594</v>
      </c>
      <c r="J124" t="s">
        <v>609</v>
      </c>
      <c r="K124" t="s">
        <v>723</v>
      </c>
      <c r="L124" t="s">
        <v>723</v>
      </c>
    </row>
    <row r="125" spans="2:12">
      <c r="B125" t="s">
        <v>401</v>
      </c>
      <c r="C125" t="s">
        <v>516</v>
      </c>
      <c r="D125" t="s">
        <v>516</v>
      </c>
      <c r="F125" t="s">
        <v>516</v>
      </c>
      <c r="G125" t="s">
        <v>592</v>
      </c>
      <c r="H125" t="s">
        <v>593</v>
      </c>
      <c r="J125" t="s">
        <v>609</v>
      </c>
      <c r="K125" t="s">
        <v>724</v>
      </c>
      <c r="L125" t="s">
        <v>724</v>
      </c>
    </row>
    <row r="126" spans="2:12">
      <c r="B126" t="s">
        <v>401</v>
      </c>
      <c r="C126" t="s">
        <v>517</v>
      </c>
      <c r="D126" t="s">
        <v>517</v>
      </c>
      <c r="F126" t="s">
        <v>517</v>
      </c>
      <c r="G126" t="s">
        <v>592</v>
      </c>
      <c r="H126" t="s">
        <v>595</v>
      </c>
      <c r="J126" t="s">
        <v>609</v>
      </c>
      <c r="K126" t="s">
        <v>725</v>
      </c>
      <c r="L126" t="s">
        <v>725</v>
      </c>
    </row>
    <row r="127" spans="2:12">
      <c r="B127" t="s">
        <v>401</v>
      </c>
      <c r="C127" t="s">
        <v>518</v>
      </c>
      <c r="D127" t="s">
        <v>518</v>
      </c>
      <c r="F127" t="s">
        <v>518</v>
      </c>
      <c r="G127" t="s">
        <v>592</v>
      </c>
      <c r="H127" t="s">
        <v>595</v>
      </c>
      <c r="J127" t="s">
        <v>609</v>
      </c>
      <c r="K127" t="s">
        <v>726</v>
      </c>
      <c r="L127" t="s">
        <v>726</v>
      </c>
    </row>
    <row r="128" spans="2:12">
      <c r="B128" t="s">
        <v>401</v>
      </c>
      <c r="C128" t="s">
        <v>519</v>
      </c>
      <c r="D128" t="s">
        <v>519</v>
      </c>
      <c r="F128" t="s">
        <v>519</v>
      </c>
      <c r="G128" t="s">
        <v>592</v>
      </c>
      <c r="H128" t="s">
        <v>594</v>
      </c>
      <c r="J128" t="s">
        <v>609</v>
      </c>
      <c r="K128" t="s">
        <v>727</v>
      </c>
      <c r="L128" t="s">
        <v>727</v>
      </c>
    </row>
    <row r="129" spans="2:12">
      <c r="B129" t="s">
        <v>401</v>
      </c>
      <c r="C129" t="s">
        <v>520</v>
      </c>
      <c r="D129" t="s">
        <v>520</v>
      </c>
      <c r="F129" t="s">
        <v>520</v>
      </c>
      <c r="G129" t="s">
        <v>592</v>
      </c>
      <c r="H129" t="s">
        <v>603</v>
      </c>
      <c r="J129" t="s">
        <v>609</v>
      </c>
      <c r="K129" t="s">
        <v>728</v>
      </c>
      <c r="L129" t="s">
        <v>728</v>
      </c>
    </row>
    <row r="130" spans="2:12">
      <c r="B130" t="s">
        <v>401</v>
      </c>
      <c r="C130" t="s">
        <v>521</v>
      </c>
      <c r="D130" t="s">
        <v>521</v>
      </c>
      <c r="F130" t="s">
        <v>521</v>
      </c>
      <c r="G130" t="s">
        <v>592</v>
      </c>
      <c r="H130" t="s">
        <v>595</v>
      </c>
      <c r="J130" t="s">
        <v>609</v>
      </c>
      <c r="K130" t="s">
        <v>729</v>
      </c>
      <c r="L130" t="s">
        <v>729</v>
      </c>
    </row>
    <row r="131" spans="2:12">
      <c r="B131" t="s">
        <v>401</v>
      </c>
      <c r="C131" t="s">
        <v>522</v>
      </c>
      <c r="D131" t="s">
        <v>522</v>
      </c>
      <c r="F131" t="s">
        <v>522</v>
      </c>
      <c r="G131" t="s">
        <v>592</v>
      </c>
      <c r="H131" t="s">
        <v>602</v>
      </c>
      <c r="J131" t="s">
        <v>609</v>
      </c>
      <c r="K131" t="s">
        <v>730</v>
      </c>
      <c r="L131" t="s">
        <v>730</v>
      </c>
    </row>
    <row r="132" spans="2:12">
      <c r="B132" t="s">
        <v>401</v>
      </c>
      <c r="C132" t="s">
        <v>523</v>
      </c>
      <c r="D132" t="s">
        <v>523</v>
      </c>
      <c r="F132" t="s">
        <v>523</v>
      </c>
      <c r="G132" t="s">
        <v>592</v>
      </c>
      <c r="H132" t="s">
        <v>594</v>
      </c>
      <c r="J132" t="s">
        <v>609</v>
      </c>
      <c r="K132" t="s">
        <v>731</v>
      </c>
      <c r="L132" t="s">
        <v>731</v>
      </c>
    </row>
    <row r="133" spans="2:12">
      <c r="B133" t="s">
        <v>401</v>
      </c>
      <c r="C133" t="s">
        <v>524</v>
      </c>
      <c r="D133" t="s">
        <v>524</v>
      </c>
      <c r="F133" t="s">
        <v>524</v>
      </c>
      <c r="G133" t="s">
        <v>592</v>
      </c>
      <c r="H133" t="s">
        <v>595</v>
      </c>
      <c r="J133" t="s">
        <v>609</v>
      </c>
      <c r="K133" t="s">
        <v>732</v>
      </c>
      <c r="L133" t="s">
        <v>732</v>
      </c>
    </row>
    <row r="134" spans="2:12">
      <c r="B134" t="s">
        <v>401</v>
      </c>
      <c r="C134" t="s">
        <v>525</v>
      </c>
      <c r="D134" t="s">
        <v>525</v>
      </c>
      <c r="F134" t="s">
        <v>525</v>
      </c>
      <c r="G134" t="s">
        <v>592</v>
      </c>
      <c r="H134" t="s">
        <v>594</v>
      </c>
      <c r="J134" t="s">
        <v>609</v>
      </c>
      <c r="K134" t="s">
        <v>733</v>
      </c>
      <c r="L134" t="s">
        <v>733</v>
      </c>
    </row>
    <row r="135" spans="2:12">
      <c r="B135" t="s">
        <v>401</v>
      </c>
      <c r="C135" t="s">
        <v>526</v>
      </c>
      <c r="D135" t="s">
        <v>526</v>
      </c>
      <c r="F135" t="s">
        <v>526</v>
      </c>
      <c r="G135" t="s">
        <v>592</v>
      </c>
      <c r="H135" t="s">
        <v>594</v>
      </c>
      <c r="J135" t="s">
        <v>609</v>
      </c>
      <c r="K135" t="s">
        <v>734</v>
      </c>
      <c r="L135" t="s">
        <v>734</v>
      </c>
    </row>
    <row r="136" spans="2:12">
      <c r="B136" t="s">
        <v>401</v>
      </c>
      <c r="C136" t="s">
        <v>527</v>
      </c>
      <c r="D136" t="s">
        <v>527</v>
      </c>
      <c r="F136" t="s">
        <v>527</v>
      </c>
      <c r="G136" t="s">
        <v>592</v>
      </c>
      <c r="H136" t="s">
        <v>595</v>
      </c>
      <c r="J136" t="s">
        <v>609</v>
      </c>
      <c r="K136" t="s">
        <v>735</v>
      </c>
      <c r="L136" t="s">
        <v>735</v>
      </c>
    </row>
    <row r="137" spans="2:12">
      <c r="B137" t="s">
        <v>401</v>
      </c>
      <c r="C137" t="s">
        <v>528</v>
      </c>
      <c r="D137" t="s">
        <v>528</v>
      </c>
      <c r="F137" t="s">
        <v>528</v>
      </c>
      <c r="G137" t="s">
        <v>592</v>
      </c>
      <c r="H137" t="s">
        <v>599</v>
      </c>
      <c r="J137" t="s">
        <v>609</v>
      </c>
      <c r="K137" t="s">
        <v>736</v>
      </c>
      <c r="L137" t="s">
        <v>736</v>
      </c>
    </row>
    <row r="138" spans="2:12">
      <c r="B138" t="s">
        <v>401</v>
      </c>
      <c r="C138" t="s">
        <v>529</v>
      </c>
      <c r="D138" t="s">
        <v>529</v>
      </c>
      <c r="F138" t="s">
        <v>529</v>
      </c>
      <c r="G138" t="s">
        <v>592</v>
      </c>
      <c r="H138" t="s">
        <v>597</v>
      </c>
      <c r="J138" t="s">
        <v>609</v>
      </c>
      <c r="K138" t="s">
        <v>737</v>
      </c>
      <c r="L138" t="s">
        <v>737</v>
      </c>
    </row>
    <row r="139" spans="2:12">
      <c r="B139" t="s">
        <v>401</v>
      </c>
      <c r="C139" t="s">
        <v>530</v>
      </c>
      <c r="D139" t="s">
        <v>530</v>
      </c>
      <c r="F139" t="s">
        <v>530</v>
      </c>
      <c r="G139" t="s">
        <v>592</v>
      </c>
      <c r="H139" t="s">
        <v>595</v>
      </c>
      <c r="J139" t="s">
        <v>609</v>
      </c>
      <c r="K139" t="s">
        <v>738</v>
      </c>
      <c r="L139" t="s">
        <v>738</v>
      </c>
    </row>
    <row r="140" spans="2:12">
      <c r="B140" t="s">
        <v>401</v>
      </c>
      <c r="C140" t="s">
        <v>531</v>
      </c>
      <c r="D140" t="s">
        <v>531</v>
      </c>
      <c r="F140" t="s">
        <v>531</v>
      </c>
      <c r="G140" t="s">
        <v>592</v>
      </c>
      <c r="H140" t="s">
        <v>600</v>
      </c>
      <c r="J140" t="s">
        <v>609</v>
      </c>
      <c r="K140" t="s">
        <v>739</v>
      </c>
      <c r="L140" t="s">
        <v>739</v>
      </c>
    </row>
    <row r="141" spans="2:12">
      <c r="B141" t="s">
        <v>401</v>
      </c>
      <c r="C141" t="s">
        <v>532</v>
      </c>
      <c r="D141" t="s">
        <v>532</v>
      </c>
      <c r="F141" t="s">
        <v>532</v>
      </c>
      <c r="G141" t="s">
        <v>592</v>
      </c>
      <c r="H141" t="s">
        <v>602</v>
      </c>
      <c r="J141" t="s">
        <v>609</v>
      </c>
      <c r="K141" t="s">
        <v>740</v>
      </c>
      <c r="L141" t="s">
        <v>740</v>
      </c>
    </row>
    <row r="142" spans="2:12">
      <c r="B142" t="s">
        <v>401</v>
      </c>
      <c r="C142" t="s">
        <v>533</v>
      </c>
      <c r="D142" t="s">
        <v>533</v>
      </c>
      <c r="F142" t="s">
        <v>533</v>
      </c>
      <c r="G142" t="s">
        <v>592</v>
      </c>
      <c r="H142" t="s">
        <v>602</v>
      </c>
      <c r="J142" t="s">
        <v>609</v>
      </c>
      <c r="K142" t="s">
        <v>741</v>
      </c>
      <c r="L142" t="s">
        <v>741</v>
      </c>
    </row>
    <row r="143" spans="2:12">
      <c r="B143" t="s">
        <v>401</v>
      </c>
      <c r="C143" t="s">
        <v>534</v>
      </c>
      <c r="D143" t="s">
        <v>534</v>
      </c>
      <c r="F143" t="s">
        <v>534</v>
      </c>
      <c r="G143" t="s">
        <v>592</v>
      </c>
      <c r="H143" t="s">
        <v>596</v>
      </c>
      <c r="J143" t="s">
        <v>609</v>
      </c>
      <c r="K143" t="s">
        <v>742</v>
      </c>
      <c r="L143" t="s">
        <v>742</v>
      </c>
    </row>
    <row r="144" spans="2:12">
      <c r="B144" t="s">
        <v>401</v>
      </c>
      <c r="C144" t="s">
        <v>535</v>
      </c>
      <c r="D144" t="s">
        <v>535</v>
      </c>
      <c r="F144" t="s">
        <v>535</v>
      </c>
      <c r="G144" t="s">
        <v>592</v>
      </c>
      <c r="H144" t="s">
        <v>596</v>
      </c>
      <c r="J144" t="s">
        <v>609</v>
      </c>
      <c r="K144" t="s">
        <v>743</v>
      </c>
      <c r="L144" t="s">
        <v>743</v>
      </c>
    </row>
    <row r="145" spans="2:12">
      <c r="B145" t="s">
        <v>401</v>
      </c>
      <c r="C145" t="s">
        <v>536</v>
      </c>
      <c r="D145" t="s">
        <v>536</v>
      </c>
      <c r="F145" t="s">
        <v>536</v>
      </c>
      <c r="G145" t="s">
        <v>592</v>
      </c>
      <c r="H145" t="s">
        <v>598</v>
      </c>
      <c r="J145" t="s">
        <v>609</v>
      </c>
      <c r="K145" t="s">
        <v>744</v>
      </c>
      <c r="L145" t="s">
        <v>744</v>
      </c>
    </row>
    <row r="146" spans="2:12">
      <c r="B146" t="s">
        <v>401</v>
      </c>
      <c r="C146" t="s">
        <v>537</v>
      </c>
      <c r="D146" t="s">
        <v>537</v>
      </c>
      <c r="F146" t="s">
        <v>537</v>
      </c>
      <c r="G146" t="s">
        <v>592</v>
      </c>
      <c r="H146" t="s">
        <v>598</v>
      </c>
      <c r="J146" t="s">
        <v>609</v>
      </c>
      <c r="K146" t="s">
        <v>745</v>
      </c>
      <c r="L146" t="s">
        <v>745</v>
      </c>
    </row>
    <row r="147" spans="2:12">
      <c r="B147" t="s">
        <v>401</v>
      </c>
      <c r="C147" t="s">
        <v>538</v>
      </c>
      <c r="D147" t="s">
        <v>538</v>
      </c>
      <c r="F147" t="s">
        <v>538</v>
      </c>
      <c r="G147" t="s">
        <v>592</v>
      </c>
      <c r="H147" t="s">
        <v>598</v>
      </c>
      <c r="J147" t="s">
        <v>609</v>
      </c>
      <c r="K147" t="s">
        <v>746</v>
      </c>
      <c r="L147" t="s">
        <v>746</v>
      </c>
    </row>
    <row r="148" spans="2:12">
      <c r="B148" t="s">
        <v>401</v>
      </c>
      <c r="C148" t="s">
        <v>539</v>
      </c>
      <c r="D148" t="s">
        <v>539</v>
      </c>
      <c r="F148" t="s">
        <v>539</v>
      </c>
      <c r="G148" t="s">
        <v>592</v>
      </c>
      <c r="H148" t="s">
        <v>594</v>
      </c>
      <c r="J148" t="s">
        <v>609</v>
      </c>
      <c r="K148" t="s">
        <v>747</v>
      </c>
      <c r="L148" t="s">
        <v>747</v>
      </c>
    </row>
    <row r="149" spans="2:12">
      <c r="B149" t="s">
        <v>401</v>
      </c>
      <c r="C149" t="s">
        <v>540</v>
      </c>
      <c r="D149" t="s">
        <v>540</v>
      </c>
      <c r="F149" t="s">
        <v>540</v>
      </c>
      <c r="G149" t="s">
        <v>592</v>
      </c>
      <c r="H149" t="s">
        <v>594</v>
      </c>
      <c r="J149" t="s">
        <v>609</v>
      </c>
      <c r="K149" t="s">
        <v>748</v>
      </c>
      <c r="L149" t="s">
        <v>748</v>
      </c>
    </row>
    <row r="150" spans="2:12">
      <c r="B150" t="s">
        <v>401</v>
      </c>
      <c r="C150" t="s">
        <v>541</v>
      </c>
      <c r="D150" t="s">
        <v>541</v>
      </c>
      <c r="F150" t="s">
        <v>541</v>
      </c>
      <c r="G150" t="s">
        <v>592</v>
      </c>
      <c r="H150" t="s">
        <v>601</v>
      </c>
      <c r="J150" t="s">
        <v>609</v>
      </c>
      <c r="K150" t="s">
        <v>749</v>
      </c>
      <c r="L150" t="s">
        <v>749</v>
      </c>
    </row>
    <row r="151" spans="2:12">
      <c r="B151" t="s">
        <v>401</v>
      </c>
      <c r="C151" t="s">
        <v>542</v>
      </c>
      <c r="D151" t="s">
        <v>542</v>
      </c>
      <c r="F151" t="s">
        <v>542</v>
      </c>
      <c r="G151" t="s">
        <v>592</v>
      </c>
      <c r="H151" t="s">
        <v>607</v>
      </c>
      <c r="J151" t="s">
        <v>609</v>
      </c>
      <c r="K151" t="s">
        <v>750</v>
      </c>
      <c r="L151" t="s">
        <v>750</v>
      </c>
    </row>
    <row r="152" spans="2:12">
      <c r="B152" t="s">
        <v>401</v>
      </c>
      <c r="C152" t="s">
        <v>543</v>
      </c>
      <c r="D152" t="s">
        <v>543</v>
      </c>
      <c r="F152" t="s">
        <v>543</v>
      </c>
      <c r="G152" t="s">
        <v>592</v>
      </c>
      <c r="H152" t="s">
        <v>607</v>
      </c>
      <c r="J152" t="s">
        <v>609</v>
      </c>
      <c r="K152" t="s">
        <v>751</v>
      </c>
      <c r="L152" t="s">
        <v>751</v>
      </c>
    </row>
    <row r="153" spans="2:12">
      <c r="B153" t="s">
        <v>401</v>
      </c>
      <c r="C153" t="s">
        <v>544</v>
      </c>
      <c r="D153" t="s">
        <v>544</v>
      </c>
      <c r="F153" t="s">
        <v>544</v>
      </c>
      <c r="G153" t="s">
        <v>592</v>
      </c>
      <c r="H153" t="s">
        <v>600</v>
      </c>
      <c r="J153" t="s">
        <v>609</v>
      </c>
      <c r="K153" t="s">
        <v>752</v>
      </c>
      <c r="L153" t="s">
        <v>752</v>
      </c>
    </row>
    <row r="154" spans="2:12">
      <c r="B154" t="s">
        <v>401</v>
      </c>
      <c r="C154" t="s">
        <v>545</v>
      </c>
      <c r="D154" t="s">
        <v>545</v>
      </c>
      <c r="F154" t="s">
        <v>545</v>
      </c>
      <c r="G154" t="s">
        <v>592</v>
      </c>
      <c r="H154" t="s">
        <v>605</v>
      </c>
      <c r="J154" t="s">
        <v>609</v>
      </c>
      <c r="K154" t="s">
        <v>753</v>
      </c>
      <c r="L154" t="s">
        <v>753</v>
      </c>
    </row>
    <row r="155" spans="2:12">
      <c r="B155" t="s">
        <v>401</v>
      </c>
      <c r="C155" t="s">
        <v>546</v>
      </c>
      <c r="D155" t="s">
        <v>546</v>
      </c>
      <c r="F155" t="s">
        <v>546</v>
      </c>
      <c r="G155" t="s">
        <v>592</v>
      </c>
      <c r="H155" t="s">
        <v>597</v>
      </c>
      <c r="J155" t="s">
        <v>609</v>
      </c>
      <c r="K155" t="s">
        <v>754</v>
      </c>
      <c r="L155" t="s">
        <v>754</v>
      </c>
    </row>
    <row r="156" spans="2:12">
      <c r="B156" t="s">
        <v>401</v>
      </c>
      <c r="C156" t="s">
        <v>547</v>
      </c>
      <c r="D156" t="s">
        <v>547</v>
      </c>
      <c r="F156" t="s">
        <v>547</v>
      </c>
      <c r="G156" t="s">
        <v>592</v>
      </c>
      <c r="H156" t="s">
        <v>595</v>
      </c>
      <c r="J156" t="s">
        <v>609</v>
      </c>
      <c r="K156" t="s">
        <v>755</v>
      </c>
      <c r="L156" t="s">
        <v>755</v>
      </c>
    </row>
    <row r="157" spans="2:12">
      <c r="B157" t="s">
        <v>401</v>
      </c>
      <c r="C157" t="s">
        <v>548</v>
      </c>
      <c r="D157" t="s">
        <v>548</v>
      </c>
      <c r="F157" t="s">
        <v>548</v>
      </c>
      <c r="G157" t="s">
        <v>592</v>
      </c>
      <c r="H157" t="s">
        <v>599</v>
      </c>
      <c r="J157" t="s">
        <v>609</v>
      </c>
      <c r="K157" t="s">
        <v>756</v>
      </c>
      <c r="L157" t="s">
        <v>756</v>
      </c>
    </row>
    <row r="158" spans="2:12">
      <c r="B158" t="s">
        <v>401</v>
      </c>
      <c r="C158" t="s">
        <v>549</v>
      </c>
      <c r="D158" t="s">
        <v>549</v>
      </c>
      <c r="F158" t="s">
        <v>549</v>
      </c>
      <c r="G158" t="s">
        <v>592</v>
      </c>
      <c r="H158" t="s">
        <v>596</v>
      </c>
      <c r="J158" t="s">
        <v>609</v>
      </c>
      <c r="K158" t="s">
        <v>757</v>
      </c>
      <c r="L158" t="s">
        <v>757</v>
      </c>
    </row>
    <row r="159" spans="2:12">
      <c r="B159" t="s">
        <v>401</v>
      </c>
      <c r="C159" t="s">
        <v>550</v>
      </c>
      <c r="D159" t="s">
        <v>550</v>
      </c>
      <c r="F159" t="s">
        <v>550</v>
      </c>
      <c r="G159" t="s">
        <v>592</v>
      </c>
      <c r="H159" t="s">
        <v>596</v>
      </c>
      <c r="J159" t="s">
        <v>609</v>
      </c>
      <c r="K159" t="s">
        <v>758</v>
      </c>
      <c r="L159" t="s">
        <v>758</v>
      </c>
    </row>
    <row r="160" spans="2:12">
      <c r="B160" t="s">
        <v>401</v>
      </c>
      <c r="C160" t="s">
        <v>551</v>
      </c>
      <c r="D160" t="s">
        <v>551</v>
      </c>
      <c r="F160" t="s">
        <v>551</v>
      </c>
      <c r="G160" t="s">
        <v>592</v>
      </c>
      <c r="H160" t="s">
        <v>598</v>
      </c>
      <c r="J160" t="s">
        <v>609</v>
      </c>
      <c r="K160" t="s">
        <v>759</v>
      </c>
      <c r="L160" t="s">
        <v>759</v>
      </c>
    </row>
    <row r="161" spans="2:12">
      <c r="B161" t="s">
        <v>401</v>
      </c>
      <c r="C161" t="s">
        <v>552</v>
      </c>
      <c r="D161" t="s">
        <v>552</v>
      </c>
      <c r="F161" t="s">
        <v>552</v>
      </c>
      <c r="G161" t="s">
        <v>592</v>
      </c>
      <c r="H161" t="s">
        <v>605</v>
      </c>
      <c r="J161" t="s">
        <v>609</v>
      </c>
      <c r="K161" t="s">
        <v>760</v>
      </c>
      <c r="L161" t="s">
        <v>760</v>
      </c>
    </row>
    <row r="162" spans="2:12">
      <c r="B162" t="s">
        <v>401</v>
      </c>
      <c r="C162" t="s">
        <v>553</v>
      </c>
      <c r="D162" t="s">
        <v>553</v>
      </c>
      <c r="F162" t="s">
        <v>553</v>
      </c>
      <c r="G162" t="s">
        <v>592</v>
      </c>
      <c r="H162" t="s">
        <v>598</v>
      </c>
      <c r="J162" t="s">
        <v>609</v>
      </c>
      <c r="K162" t="s">
        <v>761</v>
      </c>
      <c r="L162" t="s">
        <v>761</v>
      </c>
    </row>
    <row r="163" spans="2:12">
      <c r="B163" t="s">
        <v>401</v>
      </c>
      <c r="C163" t="s">
        <v>554</v>
      </c>
      <c r="D163" t="s">
        <v>554</v>
      </c>
      <c r="F163" t="s">
        <v>554</v>
      </c>
      <c r="G163" t="s">
        <v>592</v>
      </c>
      <c r="H163" t="s">
        <v>594</v>
      </c>
      <c r="J163" t="s">
        <v>609</v>
      </c>
      <c r="K163" t="s">
        <v>762</v>
      </c>
      <c r="L163" t="s">
        <v>762</v>
      </c>
    </row>
    <row r="164" spans="2:12">
      <c r="B164" t="s">
        <v>401</v>
      </c>
      <c r="C164" t="s">
        <v>555</v>
      </c>
      <c r="D164" t="s">
        <v>555</v>
      </c>
      <c r="F164" t="s">
        <v>555</v>
      </c>
      <c r="G164" t="s">
        <v>592</v>
      </c>
      <c r="H164" t="s">
        <v>608</v>
      </c>
      <c r="J164" t="s">
        <v>609</v>
      </c>
      <c r="K164" t="s">
        <v>763</v>
      </c>
      <c r="L164" t="s">
        <v>763</v>
      </c>
    </row>
    <row r="165" spans="2:12">
      <c r="B165" t="s">
        <v>401</v>
      </c>
      <c r="C165" t="s">
        <v>556</v>
      </c>
      <c r="D165" t="s">
        <v>556</v>
      </c>
      <c r="F165" t="s">
        <v>556</v>
      </c>
      <c r="G165" t="s">
        <v>592</v>
      </c>
      <c r="H165" t="s">
        <v>594</v>
      </c>
      <c r="J165" t="s">
        <v>609</v>
      </c>
      <c r="K165" t="s">
        <v>764</v>
      </c>
      <c r="L165" t="s">
        <v>764</v>
      </c>
    </row>
    <row r="166" spans="2:12">
      <c r="B166" t="s">
        <v>401</v>
      </c>
      <c r="C166" t="s">
        <v>557</v>
      </c>
      <c r="D166" t="s">
        <v>557</v>
      </c>
      <c r="F166" t="s">
        <v>557</v>
      </c>
      <c r="G166" t="s">
        <v>592</v>
      </c>
      <c r="H166" t="s">
        <v>605</v>
      </c>
      <c r="J166" t="s">
        <v>609</v>
      </c>
      <c r="K166" t="s">
        <v>765</v>
      </c>
      <c r="L166" t="s">
        <v>765</v>
      </c>
    </row>
    <row r="167" spans="2:12">
      <c r="B167" t="s">
        <v>401</v>
      </c>
      <c r="C167" t="s">
        <v>558</v>
      </c>
      <c r="D167" t="s">
        <v>558</v>
      </c>
      <c r="F167" t="s">
        <v>558</v>
      </c>
      <c r="G167" t="s">
        <v>592</v>
      </c>
      <c r="H167" t="s">
        <v>607</v>
      </c>
      <c r="J167" t="s">
        <v>609</v>
      </c>
      <c r="K167" t="s">
        <v>766</v>
      </c>
      <c r="L167" t="s">
        <v>766</v>
      </c>
    </row>
    <row r="168" spans="2:12">
      <c r="B168" t="s">
        <v>401</v>
      </c>
      <c r="C168" t="s">
        <v>559</v>
      </c>
      <c r="D168" t="s">
        <v>559</v>
      </c>
      <c r="F168" t="s">
        <v>559</v>
      </c>
      <c r="G168" t="s">
        <v>592</v>
      </c>
      <c r="H168" t="s">
        <v>605</v>
      </c>
      <c r="J168" t="s">
        <v>609</v>
      </c>
      <c r="K168" t="s">
        <v>767</v>
      </c>
      <c r="L168" t="s">
        <v>767</v>
      </c>
    </row>
    <row r="169" spans="2:12">
      <c r="B169" t="s">
        <v>401</v>
      </c>
      <c r="C169" t="s">
        <v>560</v>
      </c>
      <c r="D169" t="s">
        <v>560</v>
      </c>
      <c r="F169" t="s">
        <v>560</v>
      </c>
      <c r="G169" t="s">
        <v>592</v>
      </c>
      <c r="H169" t="s">
        <v>605</v>
      </c>
      <c r="J169" t="s">
        <v>609</v>
      </c>
      <c r="K169" t="s">
        <v>768</v>
      </c>
      <c r="L169" t="s">
        <v>768</v>
      </c>
    </row>
    <row r="170" spans="2:12">
      <c r="B170" t="s">
        <v>401</v>
      </c>
      <c r="C170" t="s">
        <v>561</v>
      </c>
      <c r="D170" t="s">
        <v>561</v>
      </c>
      <c r="F170" t="s">
        <v>561</v>
      </c>
      <c r="G170" t="s">
        <v>592</v>
      </c>
      <c r="H170" t="s">
        <v>605</v>
      </c>
      <c r="J170" t="s">
        <v>609</v>
      </c>
      <c r="K170" t="s">
        <v>769</v>
      </c>
      <c r="L170" t="s">
        <v>769</v>
      </c>
    </row>
    <row r="171" spans="2:12">
      <c r="B171" t="s">
        <v>401</v>
      </c>
      <c r="C171" t="s">
        <v>562</v>
      </c>
      <c r="D171" t="s">
        <v>562</v>
      </c>
      <c r="F171" t="s">
        <v>562</v>
      </c>
      <c r="G171" t="s">
        <v>592</v>
      </c>
      <c r="H171" t="s">
        <v>605</v>
      </c>
      <c r="J171" t="s">
        <v>609</v>
      </c>
      <c r="K171" t="s">
        <v>770</v>
      </c>
      <c r="L171" t="s">
        <v>770</v>
      </c>
    </row>
    <row r="172" spans="2:12">
      <c r="B172" t="s">
        <v>401</v>
      </c>
      <c r="C172" t="s">
        <v>563</v>
      </c>
      <c r="D172" t="s">
        <v>563</v>
      </c>
      <c r="F172" t="s">
        <v>563</v>
      </c>
      <c r="G172" t="s">
        <v>592</v>
      </c>
      <c r="H172" t="s">
        <v>599</v>
      </c>
      <c r="J172" t="s">
        <v>609</v>
      </c>
      <c r="K172" t="s">
        <v>771</v>
      </c>
      <c r="L172" t="s">
        <v>771</v>
      </c>
    </row>
    <row r="173" spans="2:12">
      <c r="B173" t="s">
        <v>401</v>
      </c>
      <c r="C173" t="s">
        <v>564</v>
      </c>
      <c r="D173" t="s">
        <v>564</v>
      </c>
      <c r="F173" t="s">
        <v>564</v>
      </c>
      <c r="G173" t="s">
        <v>592</v>
      </c>
      <c r="H173" t="s">
        <v>605</v>
      </c>
      <c r="J173" t="s">
        <v>609</v>
      </c>
      <c r="K173" t="s">
        <v>772</v>
      </c>
      <c r="L173" t="s">
        <v>772</v>
      </c>
    </row>
    <row r="174" spans="2:12">
      <c r="B174" t="s">
        <v>401</v>
      </c>
      <c r="C174" t="s">
        <v>565</v>
      </c>
      <c r="D174" t="s">
        <v>565</v>
      </c>
      <c r="F174" t="s">
        <v>565</v>
      </c>
      <c r="G174" t="s">
        <v>592</v>
      </c>
      <c r="H174" t="s">
        <v>605</v>
      </c>
      <c r="J174" t="s">
        <v>609</v>
      </c>
      <c r="K174" t="s">
        <v>773</v>
      </c>
      <c r="L174" t="s">
        <v>773</v>
      </c>
    </row>
    <row r="175" spans="2:12">
      <c r="B175" t="s">
        <v>401</v>
      </c>
      <c r="C175" t="s">
        <v>566</v>
      </c>
      <c r="D175" t="s">
        <v>566</v>
      </c>
      <c r="F175" t="s">
        <v>566</v>
      </c>
      <c r="G175" t="s">
        <v>592</v>
      </c>
      <c r="H175" t="s">
        <v>605</v>
      </c>
      <c r="J175" t="s">
        <v>609</v>
      </c>
      <c r="K175" t="s">
        <v>774</v>
      </c>
      <c r="L175" t="s">
        <v>774</v>
      </c>
    </row>
    <row r="176" spans="2:12">
      <c r="B176" t="s">
        <v>401</v>
      </c>
      <c r="C176" t="s">
        <v>567</v>
      </c>
      <c r="D176" t="s">
        <v>567</v>
      </c>
      <c r="F176" t="s">
        <v>567</v>
      </c>
      <c r="G176" t="s">
        <v>592</v>
      </c>
      <c r="H176" t="s">
        <v>595</v>
      </c>
      <c r="J176" t="s">
        <v>609</v>
      </c>
      <c r="K176" t="s">
        <v>775</v>
      </c>
      <c r="L176" t="s">
        <v>775</v>
      </c>
    </row>
    <row r="177" spans="2:12">
      <c r="B177" t="s">
        <v>401</v>
      </c>
      <c r="C177" t="s">
        <v>568</v>
      </c>
      <c r="D177" t="s">
        <v>568</v>
      </c>
      <c r="F177" t="s">
        <v>568</v>
      </c>
      <c r="G177" t="s">
        <v>592</v>
      </c>
      <c r="H177" t="s">
        <v>605</v>
      </c>
      <c r="J177" t="s">
        <v>609</v>
      </c>
      <c r="K177" t="s">
        <v>776</v>
      </c>
      <c r="L177" t="s">
        <v>776</v>
      </c>
    </row>
    <row r="178" spans="2:12">
      <c r="B178" t="s">
        <v>401</v>
      </c>
      <c r="C178" t="s">
        <v>569</v>
      </c>
      <c r="D178" t="s">
        <v>569</v>
      </c>
      <c r="F178" t="s">
        <v>569</v>
      </c>
      <c r="G178" t="s">
        <v>592</v>
      </c>
      <c r="H178" t="s">
        <v>605</v>
      </c>
      <c r="J178" t="s">
        <v>609</v>
      </c>
      <c r="K178" t="s">
        <v>777</v>
      </c>
      <c r="L178" t="s">
        <v>777</v>
      </c>
    </row>
    <row r="179" spans="2:12">
      <c r="B179" t="s">
        <v>401</v>
      </c>
      <c r="C179" t="s">
        <v>570</v>
      </c>
      <c r="D179" t="s">
        <v>570</v>
      </c>
      <c r="F179" t="s">
        <v>570</v>
      </c>
      <c r="G179" t="s">
        <v>592</v>
      </c>
      <c r="H179" t="s">
        <v>605</v>
      </c>
      <c r="J179" t="s">
        <v>609</v>
      </c>
      <c r="K179" t="s">
        <v>778</v>
      </c>
      <c r="L179" t="s">
        <v>778</v>
      </c>
    </row>
    <row r="180" spans="2:12">
      <c r="B180" t="s">
        <v>401</v>
      </c>
      <c r="C180" t="s">
        <v>571</v>
      </c>
      <c r="D180" t="s">
        <v>571</v>
      </c>
      <c r="F180" t="s">
        <v>571</v>
      </c>
      <c r="G180" t="s">
        <v>592</v>
      </c>
      <c r="H180" t="s">
        <v>605</v>
      </c>
      <c r="J180" t="s">
        <v>609</v>
      </c>
      <c r="K180" t="s">
        <v>779</v>
      </c>
      <c r="L180" t="s">
        <v>779</v>
      </c>
    </row>
    <row r="181" spans="2:12">
      <c r="B181" t="s">
        <v>401</v>
      </c>
      <c r="C181" t="s">
        <v>572</v>
      </c>
      <c r="D181" t="s">
        <v>572</v>
      </c>
      <c r="F181" t="s">
        <v>572</v>
      </c>
      <c r="G181" t="s">
        <v>592</v>
      </c>
      <c r="H181" t="s">
        <v>605</v>
      </c>
      <c r="J181" t="s">
        <v>609</v>
      </c>
      <c r="K181" t="s">
        <v>780</v>
      </c>
      <c r="L181" t="s">
        <v>780</v>
      </c>
    </row>
    <row r="182" spans="2:12">
      <c r="B182" t="s">
        <v>401</v>
      </c>
      <c r="C182" t="s">
        <v>573</v>
      </c>
      <c r="D182" t="s">
        <v>573</v>
      </c>
      <c r="F182" t="s">
        <v>573</v>
      </c>
      <c r="G182" t="s">
        <v>592</v>
      </c>
      <c r="H182" t="s">
        <v>605</v>
      </c>
      <c r="J182" t="s">
        <v>609</v>
      </c>
      <c r="K182" t="s">
        <v>781</v>
      </c>
      <c r="L182" t="s">
        <v>781</v>
      </c>
    </row>
    <row r="183" spans="2:12">
      <c r="B183" t="s">
        <v>401</v>
      </c>
      <c r="C183" t="s">
        <v>574</v>
      </c>
      <c r="D183" t="s">
        <v>574</v>
      </c>
      <c r="F183" t="s">
        <v>574</v>
      </c>
      <c r="G183" t="s">
        <v>592</v>
      </c>
      <c r="H183" t="s">
        <v>605</v>
      </c>
      <c r="J183" t="s">
        <v>609</v>
      </c>
      <c r="K183" t="s">
        <v>782</v>
      </c>
      <c r="L183" t="s">
        <v>782</v>
      </c>
    </row>
    <row r="184" spans="2:12">
      <c r="B184" t="s">
        <v>401</v>
      </c>
      <c r="C184" t="s">
        <v>575</v>
      </c>
      <c r="D184" t="s">
        <v>575</v>
      </c>
      <c r="F184" t="s">
        <v>575</v>
      </c>
      <c r="G184" t="s">
        <v>592</v>
      </c>
      <c r="H184" t="s">
        <v>605</v>
      </c>
      <c r="J184" t="s">
        <v>609</v>
      </c>
      <c r="K184" t="s">
        <v>783</v>
      </c>
      <c r="L184" t="s">
        <v>783</v>
      </c>
    </row>
    <row r="185" spans="2:12">
      <c r="B185" t="s">
        <v>401</v>
      </c>
      <c r="C185" t="s">
        <v>576</v>
      </c>
      <c r="D185" t="s">
        <v>576</v>
      </c>
      <c r="F185" t="s">
        <v>576</v>
      </c>
      <c r="G185" t="s">
        <v>592</v>
      </c>
      <c r="H185" t="s">
        <v>605</v>
      </c>
      <c r="J185" t="s">
        <v>609</v>
      </c>
      <c r="K185" t="s">
        <v>784</v>
      </c>
      <c r="L185" t="s">
        <v>784</v>
      </c>
    </row>
    <row r="186" spans="2:12">
      <c r="B186" t="s">
        <v>401</v>
      </c>
      <c r="C186" t="s">
        <v>577</v>
      </c>
      <c r="D186" t="s">
        <v>577</v>
      </c>
      <c r="F186" t="s">
        <v>577</v>
      </c>
      <c r="G186" t="s">
        <v>592</v>
      </c>
      <c r="H186" t="s">
        <v>605</v>
      </c>
      <c r="J186" t="s">
        <v>609</v>
      </c>
      <c r="K186" t="s">
        <v>785</v>
      </c>
      <c r="L186" t="s">
        <v>785</v>
      </c>
    </row>
    <row r="187" spans="2:12">
      <c r="B187" t="s">
        <v>401</v>
      </c>
      <c r="C187" t="s">
        <v>578</v>
      </c>
      <c r="D187" t="s">
        <v>578</v>
      </c>
      <c r="F187" t="s">
        <v>578</v>
      </c>
      <c r="G187" t="s">
        <v>592</v>
      </c>
      <c r="H187" t="s">
        <v>605</v>
      </c>
      <c r="J187" t="s">
        <v>609</v>
      </c>
      <c r="K187" t="s">
        <v>786</v>
      </c>
      <c r="L187" t="s">
        <v>786</v>
      </c>
    </row>
    <row r="188" spans="2:12">
      <c r="B188" t="s">
        <v>401</v>
      </c>
      <c r="C188" t="s">
        <v>579</v>
      </c>
      <c r="D188" t="s">
        <v>579</v>
      </c>
      <c r="F188" t="s">
        <v>579</v>
      </c>
      <c r="G188" t="s">
        <v>592</v>
      </c>
      <c r="H188" t="s">
        <v>605</v>
      </c>
      <c r="J188" t="s">
        <v>609</v>
      </c>
      <c r="K188" t="s">
        <v>787</v>
      </c>
      <c r="L188" t="s">
        <v>787</v>
      </c>
    </row>
    <row r="189" spans="2:12">
      <c r="B189" t="s">
        <v>401</v>
      </c>
      <c r="C189" t="s">
        <v>580</v>
      </c>
      <c r="D189" t="s">
        <v>580</v>
      </c>
      <c r="F189" t="s">
        <v>580</v>
      </c>
      <c r="G189" t="s">
        <v>592</v>
      </c>
      <c r="H189" t="s">
        <v>605</v>
      </c>
      <c r="J189" t="s">
        <v>609</v>
      </c>
      <c r="K189" t="s">
        <v>788</v>
      </c>
      <c r="L189" t="s">
        <v>788</v>
      </c>
    </row>
    <row r="190" spans="2:12">
      <c r="B190" t="s">
        <v>401</v>
      </c>
      <c r="C190" t="s">
        <v>581</v>
      </c>
      <c r="D190" t="s">
        <v>581</v>
      </c>
      <c r="F190" t="s">
        <v>581</v>
      </c>
      <c r="G190" t="s">
        <v>592</v>
      </c>
      <c r="H190" t="s">
        <v>605</v>
      </c>
      <c r="J190" t="s">
        <v>609</v>
      </c>
      <c r="K190" t="s">
        <v>789</v>
      </c>
      <c r="L190" t="s">
        <v>789</v>
      </c>
    </row>
    <row r="191" spans="2:12">
      <c r="B191" t="s">
        <v>401</v>
      </c>
      <c r="C191" t="s">
        <v>582</v>
      </c>
      <c r="D191" t="s">
        <v>582</v>
      </c>
      <c r="F191" t="s">
        <v>582</v>
      </c>
      <c r="G191" t="s">
        <v>592</v>
      </c>
      <c r="H191" t="s">
        <v>605</v>
      </c>
      <c r="J191" t="s">
        <v>609</v>
      </c>
      <c r="K191" t="s">
        <v>790</v>
      </c>
      <c r="L191" t="s">
        <v>790</v>
      </c>
    </row>
    <row r="192" spans="2:12">
      <c r="B192" t="s">
        <v>401</v>
      </c>
      <c r="C192" t="s">
        <v>583</v>
      </c>
      <c r="D192" t="s">
        <v>583</v>
      </c>
      <c r="F192" t="s">
        <v>583</v>
      </c>
      <c r="G192" t="s">
        <v>592</v>
      </c>
      <c r="H192" t="s">
        <v>605</v>
      </c>
      <c r="J192" t="s">
        <v>609</v>
      </c>
      <c r="K192" t="s">
        <v>791</v>
      </c>
      <c r="L192" t="s">
        <v>791</v>
      </c>
    </row>
    <row r="193" spans="2:12">
      <c r="B193" t="s">
        <v>401</v>
      </c>
      <c r="C193" t="s">
        <v>584</v>
      </c>
      <c r="D193" t="s">
        <v>584</v>
      </c>
      <c r="F193" t="s">
        <v>584</v>
      </c>
      <c r="G193" t="s">
        <v>592</v>
      </c>
      <c r="H193" t="s">
        <v>605</v>
      </c>
      <c r="J193" t="s">
        <v>609</v>
      </c>
      <c r="K193" t="s">
        <v>792</v>
      </c>
      <c r="L193" t="s">
        <v>792</v>
      </c>
    </row>
    <row r="194" spans="2:12">
      <c r="B194" t="s">
        <v>401</v>
      </c>
      <c r="C194" t="s">
        <v>585</v>
      </c>
      <c r="D194" t="s">
        <v>585</v>
      </c>
      <c r="F194" t="s">
        <v>585</v>
      </c>
      <c r="G194" t="s">
        <v>592</v>
      </c>
      <c r="H194" t="s">
        <v>605</v>
      </c>
      <c r="J194" t="s">
        <v>609</v>
      </c>
      <c r="K194" t="s">
        <v>793</v>
      </c>
      <c r="L194" t="s">
        <v>793</v>
      </c>
    </row>
    <row r="195" spans="2:12">
      <c r="B195" t="s">
        <v>401</v>
      </c>
      <c r="C195" t="s">
        <v>586</v>
      </c>
      <c r="D195" t="s">
        <v>586</v>
      </c>
      <c r="F195" t="s">
        <v>586</v>
      </c>
      <c r="G195" t="s">
        <v>592</v>
      </c>
      <c r="H195" t="s">
        <v>605</v>
      </c>
      <c r="J195" t="s">
        <v>609</v>
      </c>
      <c r="K195" t="s">
        <v>794</v>
      </c>
      <c r="L195" t="s">
        <v>794</v>
      </c>
    </row>
    <row r="196" spans="2:12">
      <c r="B196" t="s">
        <v>401</v>
      </c>
      <c r="C196" t="s">
        <v>587</v>
      </c>
      <c r="D196" t="s">
        <v>587</v>
      </c>
      <c r="F196" t="s">
        <v>587</v>
      </c>
      <c r="G196" t="s">
        <v>592</v>
      </c>
      <c r="H196" t="s">
        <v>605</v>
      </c>
      <c r="J196" t="s">
        <v>609</v>
      </c>
      <c r="K196" t="s">
        <v>795</v>
      </c>
      <c r="L196" t="s">
        <v>795</v>
      </c>
    </row>
    <row r="197" spans="2:12">
      <c r="B197" t="s">
        <v>401</v>
      </c>
      <c r="C197" t="s">
        <v>588</v>
      </c>
      <c r="D197" t="s">
        <v>588</v>
      </c>
      <c r="F197" t="s">
        <v>588</v>
      </c>
      <c r="G197" t="s">
        <v>592</v>
      </c>
      <c r="H197" t="s">
        <v>605</v>
      </c>
      <c r="J197" t="s">
        <v>609</v>
      </c>
      <c r="K197" t="s">
        <v>796</v>
      </c>
      <c r="L197" t="s">
        <v>796</v>
      </c>
    </row>
    <row r="198" spans="2:12">
      <c r="B198" t="s">
        <v>401</v>
      </c>
      <c r="C198" t="s">
        <v>589</v>
      </c>
      <c r="D198" t="s">
        <v>589</v>
      </c>
      <c r="F198" t="s">
        <v>589</v>
      </c>
      <c r="G198" t="s">
        <v>592</v>
      </c>
      <c r="H198" t="s">
        <v>605</v>
      </c>
      <c r="J198" t="s">
        <v>609</v>
      </c>
      <c r="K198" t="s">
        <v>797</v>
      </c>
      <c r="L198" t="s">
        <v>797</v>
      </c>
    </row>
    <row r="199" spans="2:12">
      <c r="B199" t="s">
        <v>401</v>
      </c>
      <c r="C199" t="s">
        <v>590</v>
      </c>
      <c r="D199" t="s">
        <v>590</v>
      </c>
      <c r="F199" t="s">
        <v>590</v>
      </c>
      <c r="G199" t="s">
        <v>592</v>
      </c>
      <c r="H199" t="s">
        <v>605</v>
      </c>
      <c r="J199" t="s">
        <v>609</v>
      </c>
      <c r="K199" t="s">
        <v>798</v>
      </c>
      <c r="L199" t="s">
        <v>798</v>
      </c>
    </row>
    <row r="200" spans="2:12">
      <c r="B200" t="s">
        <v>401</v>
      </c>
      <c r="C200" t="s">
        <v>591</v>
      </c>
      <c r="D200" t="s">
        <v>591</v>
      </c>
      <c r="F200" t="s">
        <v>591</v>
      </c>
      <c r="G200" t="s">
        <v>592</v>
      </c>
      <c r="H200" t="s">
        <v>605</v>
      </c>
      <c r="J200" t="s">
        <v>609</v>
      </c>
      <c r="K200" t="s">
        <v>799</v>
      </c>
      <c r="L200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5"/>
  <sheetViews>
    <sheetView zoomScaleNormal="100" workbookViewId="0">
      <pane ySplit="2" topLeftCell="A3" activePane="bottomLeft" state="frozen"/>
      <selection pane="bottomLeft" activeCell="N7" sqref="N7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54</v>
      </c>
      <c r="R2" s="6" t="s">
        <v>55</v>
      </c>
    </row>
    <row r="3" spans="1:21">
      <c r="A3" t="s">
        <v>6</v>
      </c>
      <c r="C3" t="s">
        <v>111</v>
      </c>
      <c r="D3" s="2" t="s">
        <v>152</v>
      </c>
      <c r="K3" t="s">
        <v>7</v>
      </c>
      <c r="N3" t="s">
        <v>66</v>
      </c>
    </row>
    <row r="4" spans="1:21">
      <c r="A4" t="s">
        <v>35</v>
      </c>
      <c r="C4" t="s">
        <v>111</v>
      </c>
      <c r="D4" s="2" t="s">
        <v>152</v>
      </c>
      <c r="K4" t="s">
        <v>7</v>
      </c>
      <c r="N4" t="s">
        <v>75</v>
      </c>
      <c r="T4" s="8" t="s">
        <v>39</v>
      </c>
      <c r="U4" s="8"/>
    </row>
    <row r="5" spans="1:21">
      <c r="A5" t="s">
        <v>4</v>
      </c>
      <c r="C5" t="s">
        <v>112</v>
      </c>
      <c r="D5" s="2" t="s">
        <v>152</v>
      </c>
      <c r="I5" t="s">
        <v>365</v>
      </c>
      <c r="K5" t="s">
        <v>76</v>
      </c>
      <c r="N5" t="s">
        <v>77</v>
      </c>
      <c r="T5" s="3" t="s">
        <v>40</v>
      </c>
      <c r="U5" s="3" t="s">
        <v>48</v>
      </c>
    </row>
    <row r="6" spans="1:21">
      <c r="A6" t="s">
        <v>56</v>
      </c>
      <c r="C6" t="s">
        <v>138</v>
      </c>
      <c r="D6" s="2"/>
      <c r="H6" t="s">
        <v>25</v>
      </c>
      <c r="I6" s="2" t="s">
        <v>95</v>
      </c>
      <c r="K6" t="s">
        <v>82</v>
      </c>
      <c r="N6" t="s">
        <v>38</v>
      </c>
      <c r="Q6" t="s">
        <v>114</v>
      </c>
      <c r="T6" s="3"/>
      <c r="U6" s="3"/>
    </row>
    <row r="7" spans="1:21">
      <c r="A7" t="s">
        <v>4</v>
      </c>
      <c r="I7" s="2" t="s">
        <v>1122</v>
      </c>
      <c r="K7" t="s">
        <v>122</v>
      </c>
      <c r="N7" t="s">
        <v>124</v>
      </c>
      <c r="T7" s="3"/>
      <c r="U7" s="3"/>
    </row>
    <row r="8" spans="1:21">
      <c r="A8" t="s">
        <v>4</v>
      </c>
      <c r="I8" s="2" t="s">
        <v>121</v>
      </c>
      <c r="K8" t="s">
        <v>123</v>
      </c>
      <c r="N8" t="s">
        <v>125</v>
      </c>
      <c r="T8" s="3"/>
      <c r="U8" s="3"/>
    </row>
    <row r="9" spans="1:21">
      <c r="A9" t="s">
        <v>29</v>
      </c>
      <c r="C9" t="s">
        <v>111</v>
      </c>
      <c r="D9" s="2" t="s">
        <v>113</v>
      </c>
      <c r="K9" t="s">
        <v>274</v>
      </c>
      <c r="N9" t="s">
        <v>78</v>
      </c>
    </row>
    <row r="10" spans="1:21">
      <c r="A10" s="4" t="s">
        <v>28</v>
      </c>
      <c r="B10" s="4" t="s">
        <v>52</v>
      </c>
      <c r="H10" t="s">
        <v>25</v>
      </c>
      <c r="K10" t="s">
        <v>79</v>
      </c>
      <c r="N10" t="s">
        <v>41</v>
      </c>
      <c r="P10" t="s">
        <v>42</v>
      </c>
      <c r="Q10" t="s">
        <v>43</v>
      </c>
    </row>
    <row r="11" spans="1:21">
      <c r="A11" s="4" t="s">
        <v>28</v>
      </c>
      <c r="B11" s="4" t="s">
        <v>52</v>
      </c>
      <c r="I11" t="s">
        <v>134</v>
      </c>
      <c r="K11" t="s">
        <v>135</v>
      </c>
      <c r="N11" t="s">
        <v>136</v>
      </c>
    </row>
    <row r="12" spans="1:21">
      <c r="A12" t="s">
        <v>44</v>
      </c>
      <c r="K12" t="s">
        <v>80</v>
      </c>
      <c r="N12" t="s">
        <v>45</v>
      </c>
      <c r="P12" t="s">
        <v>47</v>
      </c>
      <c r="Q12" t="s">
        <v>46</v>
      </c>
    </row>
    <row r="13" spans="1:21">
      <c r="A13" s="4" t="s">
        <v>53</v>
      </c>
      <c r="B13" s="4" t="s">
        <v>35</v>
      </c>
      <c r="K13" t="s">
        <v>79</v>
      </c>
      <c r="N13" t="s">
        <v>57</v>
      </c>
      <c r="Q13" t="s">
        <v>40</v>
      </c>
    </row>
    <row r="14" spans="1:21">
      <c r="A14" s="4" t="s">
        <v>272</v>
      </c>
      <c r="K14" t="s">
        <v>274</v>
      </c>
      <c r="N14" t="s">
        <v>275</v>
      </c>
      <c r="Q14" t="s">
        <v>46</v>
      </c>
    </row>
    <row r="15" spans="1:21">
      <c r="A15" s="4" t="s">
        <v>273</v>
      </c>
      <c r="K15" t="s">
        <v>274</v>
      </c>
      <c r="N15" t="s">
        <v>276</v>
      </c>
      <c r="Q15" t="s">
        <v>46</v>
      </c>
    </row>
    <row r="16" spans="1:21">
      <c r="A16" t="s">
        <v>6</v>
      </c>
      <c r="C16" t="s">
        <v>366</v>
      </c>
      <c r="D16" t="s">
        <v>367</v>
      </c>
      <c r="K16" t="s">
        <v>7</v>
      </c>
      <c r="N16" t="s">
        <v>368</v>
      </c>
    </row>
    <row r="17" spans="1:17">
      <c r="A17" t="s">
        <v>35</v>
      </c>
      <c r="C17" t="s">
        <v>366</v>
      </c>
      <c r="D17" t="s">
        <v>367</v>
      </c>
      <c r="K17" t="s">
        <v>7</v>
      </c>
      <c r="N17" t="s">
        <v>369</v>
      </c>
    </row>
    <row r="18" spans="1:17">
      <c r="A18" s="4" t="s">
        <v>156</v>
      </c>
      <c r="D18" t="s">
        <v>375</v>
      </c>
      <c r="I18" t="s">
        <v>376</v>
      </c>
      <c r="K18" t="s">
        <v>76</v>
      </c>
      <c r="N18" t="s">
        <v>157</v>
      </c>
    </row>
    <row r="19" spans="1:17">
      <c r="A19" t="s">
        <v>156</v>
      </c>
      <c r="I19" t="s">
        <v>378</v>
      </c>
      <c r="K19" t="s">
        <v>76</v>
      </c>
      <c r="N19" t="s">
        <v>396</v>
      </c>
      <c r="P19" t="s">
        <v>393</v>
      </c>
      <c r="Q19" t="s">
        <v>377</v>
      </c>
    </row>
    <row r="20" spans="1:17">
      <c r="A20" t="s">
        <v>4</v>
      </c>
      <c r="I20" t="s">
        <v>378</v>
      </c>
      <c r="K20" t="s">
        <v>76</v>
      </c>
      <c r="N20" t="s">
        <v>397</v>
      </c>
      <c r="P20" t="s">
        <v>393</v>
      </c>
      <c r="Q20" t="s">
        <v>377</v>
      </c>
    </row>
    <row r="21" spans="1:17">
      <c r="A21" t="s">
        <v>6</v>
      </c>
      <c r="F21" t="s">
        <v>400</v>
      </c>
      <c r="G21" t="s">
        <v>400</v>
      </c>
      <c r="K21" t="s">
        <v>7</v>
      </c>
      <c r="N21" t="s">
        <v>398</v>
      </c>
      <c r="P21" t="s">
        <v>394</v>
      </c>
      <c r="Q21" t="s">
        <v>40</v>
      </c>
    </row>
    <row r="22" spans="1:17">
      <c r="A22" t="s">
        <v>35</v>
      </c>
      <c r="F22" t="s">
        <v>400</v>
      </c>
      <c r="G22" t="s">
        <v>400</v>
      </c>
      <c r="K22" t="s">
        <v>7</v>
      </c>
      <c r="N22" t="s">
        <v>399</v>
      </c>
      <c r="P22" t="s">
        <v>395</v>
      </c>
      <c r="Q22" t="s">
        <v>40</v>
      </c>
    </row>
    <row r="23" spans="1:17">
      <c r="A23" t="s">
        <v>156</v>
      </c>
      <c r="D23" s="2" t="s">
        <v>1191</v>
      </c>
      <c r="H23" t="s">
        <v>994</v>
      </c>
      <c r="K23" t="s">
        <v>995</v>
      </c>
      <c r="N23" t="s">
        <v>996</v>
      </c>
      <c r="Q23" t="s">
        <v>377</v>
      </c>
    </row>
    <row r="24" spans="1:17">
      <c r="A24" t="s">
        <v>6</v>
      </c>
      <c r="D24" t="s">
        <v>1194</v>
      </c>
      <c r="G24" t="s">
        <v>1192</v>
      </c>
      <c r="K24" t="s">
        <v>1193</v>
      </c>
      <c r="N24" t="s">
        <v>1195</v>
      </c>
      <c r="Q24" t="s">
        <v>40</v>
      </c>
    </row>
    <row r="25" spans="1:17">
      <c r="A25" t="s">
        <v>4</v>
      </c>
      <c r="D25" t="s">
        <v>1194</v>
      </c>
      <c r="G25" t="s">
        <v>1192</v>
      </c>
      <c r="H25" t="s">
        <v>1196</v>
      </c>
      <c r="K25" t="s">
        <v>1197</v>
      </c>
      <c r="N25" t="s">
        <v>1198</v>
      </c>
      <c r="Q25" t="s">
        <v>40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99</v>
      </c>
    </row>
    <row r="2" spans="3:11">
      <c r="C2" t="s">
        <v>100</v>
      </c>
      <c r="D2" t="s">
        <v>101</v>
      </c>
      <c r="E2" s="1" t="s">
        <v>2</v>
      </c>
      <c r="F2" t="s">
        <v>0</v>
      </c>
      <c r="G2" t="s">
        <v>54</v>
      </c>
      <c r="H2" t="s">
        <v>102</v>
      </c>
      <c r="I2" t="s">
        <v>103</v>
      </c>
      <c r="J2" t="s">
        <v>104</v>
      </c>
      <c r="K2" t="s">
        <v>9</v>
      </c>
    </row>
    <row r="3" spans="3:11">
      <c r="C3" t="s">
        <v>77</v>
      </c>
      <c r="D3" t="s">
        <v>66</v>
      </c>
      <c r="E3" s="7" t="s">
        <v>105</v>
      </c>
      <c r="F3" t="s">
        <v>106</v>
      </c>
      <c r="G3" t="s">
        <v>40</v>
      </c>
      <c r="I3" t="s">
        <v>107</v>
      </c>
      <c r="J3" t="s">
        <v>40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277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54</v>
      </c>
      <c r="Q4" s="6" t="s">
        <v>102</v>
      </c>
      <c r="R4" s="6" t="s">
        <v>153</v>
      </c>
      <c r="S4" s="6" t="s">
        <v>154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155</v>
      </c>
      <c r="M5" t="s">
        <v>187</v>
      </c>
      <c r="S5">
        <v>-1</v>
      </c>
    </row>
    <row r="6" spans="1:19">
      <c r="A6" t="s">
        <v>156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155</v>
      </c>
      <c r="M6" t="s">
        <v>188</v>
      </c>
      <c r="S6">
        <v>-1</v>
      </c>
    </row>
    <row r="10" spans="1:19" ht="17.25" thickBot="1">
      <c r="A10" s="5" t="s">
        <v>247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54</v>
      </c>
      <c r="Q11" s="6" t="s">
        <v>102</v>
      </c>
      <c r="R11" s="6" t="s">
        <v>153</v>
      </c>
      <c r="S11" s="6" t="s">
        <v>154</v>
      </c>
    </row>
    <row r="12" spans="1:19">
      <c r="A12" t="s">
        <v>116</v>
      </c>
      <c r="B12" s="4" t="s">
        <v>261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155</v>
      </c>
      <c r="M13" t="s">
        <v>256</v>
      </c>
      <c r="S13">
        <v>-1</v>
      </c>
    </row>
    <row r="14" spans="1:19">
      <c r="A14" t="s">
        <v>156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155</v>
      </c>
      <c r="M14" t="s">
        <v>257</v>
      </c>
      <c r="S14">
        <v>-1</v>
      </c>
    </row>
    <row r="15" spans="1:19">
      <c r="A15" t="s">
        <v>116</v>
      </c>
      <c r="B15" s="4" t="s">
        <v>258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155</v>
      </c>
      <c r="M16" t="s">
        <v>264</v>
      </c>
      <c r="S16">
        <v>-1</v>
      </c>
    </row>
    <row r="17" spans="1:19">
      <c r="A17" t="s">
        <v>156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155</v>
      </c>
      <c r="M17" t="s">
        <v>265</v>
      </c>
      <c r="S17">
        <v>-1</v>
      </c>
    </row>
    <row r="18" spans="1:19">
      <c r="A18" t="s">
        <v>116</v>
      </c>
      <c r="B18" s="4" t="s">
        <v>259</v>
      </c>
    </row>
    <row r="19" spans="1:19">
      <c r="A19" t="s">
        <v>4</v>
      </c>
      <c r="F19" t="str">
        <f>H19</f>
        <v>hydrogen</v>
      </c>
      <c r="H19" t="s">
        <v>180</v>
      </c>
      <c r="J19" t="s">
        <v>155</v>
      </c>
      <c r="M19" t="s">
        <v>256</v>
      </c>
      <c r="S19">
        <v>-1</v>
      </c>
    </row>
    <row r="20" spans="1:19">
      <c r="A20" t="s">
        <v>156</v>
      </c>
      <c r="F20" t="s">
        <v>180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155</v>
      </c>
      <c r="M20" t="s">
        <v>266</v>
      </c>
      <c r="S20">
        <v>-1</v>
      </c>
    </row>
    <row r="23" spans="1:19">
      <c r="A23" t="s">
        <v>156</v>
      </c>
      <c r="E23" t="s">
        <v>180</v>
      </c>
      <c r="H23" t="s">
        <v>180</v>
      </c>
      <c r="J23" t="s">
        <v>155</v>
      </c>
      <c r="M23" t="s">
        <v>260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83</v>
      </c>
      <c r="B3" t="str">
        <f>A3</f>
        <v>CCGT</v>
      </c>
    </row>
    <row r="4" spans="1:3">
      <c r="A4" t="s">
        <v>84</v>
      </c>
      <c r="B4" t="str">
        <f t="shared" ref="B4:B47" si="0">A4</f>
        <v>Int Comb</v>
      </c>
    </row>
    <row r="5" spans="1:3">
      <c r="A5" t="s">
        <v>85</v>
      </c>
      <c r="B5" t="str">
        <f t="shared" si="0"/>
        <v>Gas_Oil Steam</v>
      </c>
    </row>
    <row r="6" spans="1:3">
      <c r="A6" t="s">
        <v>86</v>
      </c>
      <c r="B6" t="str">
        <f t="shared" si="0"/>
        <v>OCGT (Peaker)</v>
      </c>
    </row>
    <row r="7" spans="1:3">
      <c r="A7" t="s">
        <v>87</v>
      </c>
      <c r="B7" t="str">
        <f t="shared" si="0"/>
        <v>Subcritical Coal</v>
      </c>
    </row>
    <row r="8" spans="1:3">
      <c r="A8" t="s">
        <v>88</v>
      </c>
      <c r="B8" t="str">
        <f t="shared" si="0"/>
        <v>Supercritical Coal</v>
      </c>
    </row>
    <row r="9" spans="1:3">
      <c r="A9" t="s">
        <v>89</v>
      </c>
      <c r="B9" t="str">
        <f t="shared" si="0"/>
        <v>IGCC</v>
      </c>
    </row>
    <row r="10" spans="1:3">
      <c r="A10" t="s">
        <v>190</v>
      </c>
      <c r="B10" t="str">
        <f t="shared" si="0"/>
        <v>Bio Power</v>
      </c>
    </row>
    <row r="11" spans="1:3">
      <c r="A11" t="s">
        <v>191</v>
      </c>
      <c r="B11" t="str">
        <f t="shared" si="0"/>
        <v>Solar Util</v>
      </c>
    </row>
    <row r="12" spans="1:3">
      <c r="A12" t="s">
        <v>90</v>
      </c>
      <c r="B12" t="s">
        <v>262</v>
      </c>
    </row>
    <row r="13" spans="1:3">
      <c r="A13" t="s">
        <v>91</v>
      </c>
      <c r="B13" t="s">
        <v>263</v>
      </c>
    </row>
    <row r="14" spans="1:3">
      <c r="A14" t="s">
        <v>192</v>
      </c>
      <c r="B14" t="str">
        <f t="shared" si="0"/>
        <v>Geothermal P</v>
      </c>
    </row>
    <row r="15" spans="1:3">
      <c r="A15" t="s">
        <v>196</v>
      </c>
      <c r="B15" t="str">
        <f t="shared" si="0"/>
        <v>Hydro Dam</v>
      </c>
    </row>
    <row r="16" spans="1:3">
      <c r="A16" t="s">
        <v>193</v>
      </c>
      <c r="B16" t="str">
        <f t="shared" si="0"/>
        <v>Hydro RoR</v>
      </c>
    </row>
    <row r="17" spans="1:2">
      <c r="A17" t="s">
        <v>194</v>
      </c>
      <c r="B17" t="str">
        <f t="shared" si="0"/>
        <v>Nuclear P</v>
      </c>
    </row>
    <row r="18" spans="1:2">
      <c r="A18" t="s">
        <v>195</v>
      </c>
      <c r="B18" t="str">
        <f t="shared" si="0"/>
        <v>Nuclear SMR</v>
      </c>
    </row>
    <row r="19" spans="1:2">
      <c r="A19" t="s">
        <v>92</v>
      </c>
      <c r="B19" t="str">
        <f t="shared" si="0"/>
        <v>Hydro pumped stg</v>
      </c>
    </row>
    <row r="20" spans="1:2">
      <c r="A20" t="s">
        <v>93</v>
      </c>
      <c r="B20" t="str">
        <f t="shared" si="0"/>
        <v>Util Batt Stg</v>
      </c>
    </row>
    <row r="21" spans="1:2">
      <c r="A21" t="s">
        <v>94</v>
      </c>
      <c r="B21" t="str">
        <f t="shared" si="0"/>
        <v>EV Batt</v>
      </c>
    </row>
    <row r="22" spans="1:2">
      <c r="A22" t="s">
        <v>157</v>
      </c>
      <c r="B22" t="str">
        <f t="shared" si="0"/>
        <v>Demand</v>
      </c>
    </row>
    <row r="23" spans="1:2">
      <c r="A23" t="s">
        <v>223</v>
      </c>
      <c r="B23" t="str">
        <f t="shared" si="0"/>
        <v>Transformers Dn</v>
      </c>
    </row>
    <row r="24" spans="1:2">
      <c r="A24" t="s">
        <v>224</v>
      </c>
      <c r="B24" t="str">
        <f t="shared" si="0"/>
        <v>Transformers Up</v>
      </c>
    </row>
    <row r="25" spans="1:2">
      <c r="A25" t="s">
        <v>200</v>
      </c>
      <c r="B25" t="str">
        <f t="shared" si="0"/>
        <v>Grid-220V</v>
      </c>
    </row>
    <row r="26" spans="1:2">
      <c r="A26" t="s">
        <v>201</v>
      </c>
      <c r="B26" t="str">
        <f t="shared" si="0"/>
        <v>Grid-400V</v>
      </c>
    </row>
    <row r="27" spans="1:2">
      <c r="A27" t="s">
        <v>202</v>
      </c>
      <c r="B27" t="str">
        <f t="shared" si="0"/>
        <v>Grid-380V</v>
      </c>
    </row>
    <row r="28" spans="1:2">
      <c r="A28" t="s">
        <v>203</v>
      </c>
      <c r="B28" t="str">
        <f t="shared" si="0"/>
        <v>Grid-225V</v>
      </c>
    </row>
    <row r="29" spans="1:2">
      <c r="A29" t="s">
        <v>204</v>
      </c>
      <c r="B29" t="str">
        <f t="shared" si="0"/>
        <v>Grid-330V</v>
      </c>
    </row>
    <row r="30" spans="1:2">
      <c r="A30" t="s">
        <v>205</v>
      </c>
      <c r="B30" t="str">
        <f t="shared" si="0"/>
        <v>Grid-275V</v>
      </c>
    </row>
    <row r="31" spans="1:2">
      <c r="A31" t="s">
        <v>206</v>
      </c>
      <c r="B31" t="str">
        <f t="shared" si="0"/>
        <v>Grid-420V</v>
      </c>
    </row>
    <row r="32" spans="1:2">
      <c r="A32" t="s">
        <v>207</v>
      </c>
      <c r="B32" t="str">
        <f t="shared" si="0"/>
        <v>Grid-300V</v>
      </c>
    </row>
    <row r="33" spans="1:2">
      <c r="A33" t="s">
        <v>208</v>
      </c>
      <c r="B33" t="str">
        <f t="shared" si="0"/>
        <v>Grid-500V</v>
      </c>
    </row>
    <row r="34" spans="1:2">
      <c r="A34" t="s">
        <v>209</v>
      </c>
      <c r="B34" t="str">
        <f t="shared" si="0"/>
        <v>Grid-750V</v>
      </c>
    </row>
    <row r="35" spans="1:2">
      <c r="A35" t="s">
        <v>210</v>
      </c>
      <c r="B35" t="str">
        <f t="shared" si="0"/>
        <v>Grid-450V</v>
      </c>
    </row>
    <row r="36" spans="1:2">
      <c r="A36" t="s">
        <v>211</v>
      </c>
      <c r="B36" t="str">
        <f t="shared" si="0"/>
        <v>Grid-515V</v>
      </c>
    </row>
    <row r="37" spans="1:2">
      <c r="A37" t="s">
        <v>212</v>
      </c>
      <c r="B37" t="str">
        <f t="shared" si="0"/>
        <v>Grid-525V</v>
      </c>
    </row>
    <row r="38" spans="1:2">
      <c r="A38" t="s">
        <v>213</v>
      </c>
      <c r="B38" t="str">
        <f t="shared" si="0"/>
        <v>Grid-320V</v>
      </c>
    </row>
    <row r="39" spans="1:2">
      <c r="A39" t="s">
        <v>214</v>
      </c>
      <c r="B39" t="str">
        <f t="shared" si="0"/>
        <v>Grid-150V</v>
      </c>
    </row>
    <row r="40" spans="1:2">
      <c r="A40" t="s">
        <v>215</v>
      </c>
      <c r="B40" t="str">
        <f t="shared" si="0"/>
        <v>Grid-270V</v>
      </c>
    </row>
    <row r="41" spans="1:2">
      <c r="A41" t="s">
        <v>216</v>
      </c>
      <c r="B41" t="str">
        <f t="shared" si="0"/>
        <v>Grid-350V</v>
      </c>
    </row>
    <row r="42" spans="1:2">
      <c r="A42" t="s">
        <v>217</v>
      </c>
      <c r="B42" t="str">
        <f t="shared" si="0"/>
        <v>Grid-250V</v>
      </c>
    </row>
    <row r="43" spans="1:2">
      <c r="A43" t="s">
        <v>218</v>
      </c>
      <c r="B43" t="str">
        <f t="shared" si="0"/>
        <v>Grid-200V</v>
      </c>
    </row>
    <row r="44" spans="1:2">
      <c r="A44" t="s">
        <v>219</v>
      </c>
      <c r="B44" t="str">
        <f t="shared" si="0"/>
        <v>Grid-236V</v>
      </c>
    </row>
    <row r="45" spans="1:2">
      <c r="A45" t="s">
        <v>220</v>
      </c>
      <c r="B45" t="str">
        <f t="shared" si="0"/>
        <v>Grid-600V</v>
      </c>
    </row>
    <row r="46" spans="1:2">
      <c r="A46" t="s">
        <v>221</v>
      </c>
      <c r="B46" t="str">
        <f t="shared" si="0"/>
        <v>Aggregators</v>
      </c>
    </row>
    <row r="47" spans="1:2">
      <c r="A47" t="s">
        <v>222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67</v>
      </c>
    </row>
    <row r="2" spans="1:3">
      <c r="A2" t="s">
        <v>68</v>
      </c>
      <c r="B2" t="s">
        <v>1</v>
      </c>
      <c r="C2" t="s">
        <v>9</v>
      </c>
    </row>
    <row r="3" spans="1:3">
      <c r="A3" t="s">
        <v>158</v>
      </c>
      <c r="B3" t="str">
        <f>A3</f>
        <v>Elec-220V</v>
      </c>
    </row>
    <row r="4" spans="1:3">
      <c r="A4" t="s">
        <v>159</v>
      </c>
      <c r="B4" t="str">
        <f t="shared" ref="B4:B23" si="0">A4</f>
        <v>Elec-400V</v>
      </c>
    </row>
    <row r="5" spans="1:3">
      <c r="A5" t="s">
        <v>160</v>
      </c>
      <c r="B5" t="str">
        <f t="shared" si="0"/>
        <v>Elec-380V</v>
      </c>
    </row>
    <row r="6" spans="1:3">
      <c r="A6" t="s">
        <v>161</v>
      </c>
      <c r="B6" t="str">
        <f t="shared" si="0"/>
        <v>Elec-225V</v>
      </c>
    </row>
    <row r="7" spans="1:3">
      <c r="A7" t="s">
        <v>162</v>
      </c>
      <c r="B7" t="str">
        <f t="shared" si="0"/>
        <v>Elec-330V</v>
      </c>
    </row>
    <row r="8" spans="1:3">
      <c r="A8" t="s">
        <v>163</v>
      </c>
      <c r="B8" t="str">
        <f t="shared" si="0"/>
        <v>Elec-275V</v>
      </c>
    </row>
    <row r="9" spans="1:3">
      <c r="A9" t="s">
        <v>164</v>
      </c>
      <c r="B9" t="str">
        <f t="shared" si="0"/>
        <v>Elec-420V</v>
      </c>
    </row>
    <row r="10" spans="1:3">
      <c r="A10" t="s">
        <v>165</v>
      </c>
      <c r="B10" t="str">
        <f t="shared" si="0"/>
        <v>Elec-300V</v>
      </c>
    </row>
    <row r="11" spans="1:3">
      <c r="A11" t="s">
        <v>166</v>
      </c>
      <c r="B11" t="str">
        <f t="shared" si="0"/>
        <v>Elec-500V</v>
      </c>
    </row>
    <row r="12" spans="1:3">
      <c r="A12" t="s">
        <v>167</v>
      </c>
      <c r="B12" t="str">
        <f t="shared" si="0"/>
        <v>Elec-750V</v>
      </c>
    </row>
    <row r="13" spans="1:3">
      <c r="A13" t="s">
        <v>168</v>
      </c>
      <c r="B13" t="str">
        <f t="shared" si="0"/>
        <v>Elec-450V</v>
      </c>
    </row>
    <row r="14" spans="1:3">
      <c r="A14" t="s">
        <v>169</v>
      </c>
      <c r="B14" t="str">
        <f t="shared" si="0"/>
        <v>Elec-515V</v>
      </c>
    </row>
    <row r="15" spans="1:3">
      <c r="A15" t="s">
        <v>170</v>
      </c>
      <c r="B15" t="str">
        <f t="shared" si="0"/>
        <v>Elec-525V</v>
      </c>
    </row>
    <row r="16" spans="1:3">
      <c r="A16" t="s">
        <v>171</v>
      </c>
      <c r="B16" t="str">
        <f t="shared" si="0"/>
        <v>Elec-320V</v>
      </c>
    </row>
    <row r="17" spans="1:2">
      <c r="A17" t="s">
        <v>172</v>
      </c>
      <c r="B17" t="str">
        <f t="shared" si="0"/>
        <v>Elec-150V</v>
      </c>
    </row>
    <row r="18" spans="1:2">
      <c r="A18" t="s">
        <v>173</v>
      </c>
      <c r="B18" t="str">
        <f t="shared" si="0"/>
        <v>Elec-270V</v>
      </c>
    </row>
    <row r="19" spans="1:2">
      <c r="A19" t="s">
        <v>174</v>
      </c>
      <c r="B19" t="str">
        <f t="shared" si="0"/>
        <v>Elec-350V</v>
      </c>
    </row>
    <row r="20" spans="1:2">
      <c r="A20" t="s">
        <v>175</v>
      </c>
      <c r="B20" t="str">
        <f t="shared" si="0"/>
        <v>Elec-250V</v>
      </c>
    </row>
    <row r="21" spans="1:2">
      <c r="A21" t="s">
        <v>176</v>
      </c>
      <c r="B21" t="str">
        <f t="shared" si="0"/>
        <v>Elec-200V</v>
      </c>
    </row>
    <row r="22" spans="1:2">
      <c r="A22" t="s">
        <v>177</v>
      </c>
      <c r="B22" t="str">
        <f t="shared" si="0"/>
        <v>Elec-236V</v>
      </c>
    </row>
    <row r="23" spans="1:2">
      <c r="A23" t="s">
        <v>178</v>
      </c>
      <c r="B23" t="str">
        <f t="shared" si="0"/>
        <v>Elec-600V</v>
      </c>
    </row>
    <row r="24" spans="1:2">
      <c r="A24" t="s">
        <v>197</v>
      </c>
      <c r="B24" t="s">
        <v>258</v>
      </c>
    </row>
    <row r="25" spans="1:2">
      <c r="A25" t="s">
        <v>198</v>
      </c>
      <c r="B25" t="s">
        <v>258</v>
      </c>
    </row>
    <row r="26" spans="1:2">
      <c r="A26" t="s">
        <v>180</v>
      </c>
      <c r="B26" t="str">
        <f t="shared" ref="B26" si="1">A26</f>
        <v>hydrogen</v>
      </c>
    </row>
    <row r="27" spans="1:2">
      <c r="A27" t="s">
        <v>182</v>
      </c>
      <c r="B27" t="s">
        <v>258</v>
      </c>
    </row>
    <row r="28" spans="1:2">
      <c r="A28" t="s">
        <v>183</v>
      </c>
      <c r="B28" t="str">
        <f t="shared" ref="B28:B35" si="2">A28</f>
        <v>buildings</v>
      </c>
    </row>
    <row r="29" spans="1:2">
      <c r="A29" t="s">
        <v>184</v>
      </c>
      <c r="B29" t="str">
        <f t="shared" si="2"/>
        <v>industry</v>
      </c>
    </row>
    <row r="30" spans="1:2">
      <c r="A30" t="s">
        <v>185</v>
      </c>
      <c r="B30" t="str">
        <f t="shared" si="2"/>
        <v>transport</v>
      </c>
    </row>
    <row r="31" spans="1:2">
      <c r="A31" t="s">
        <v>186</v>
      </c>
      <c r="B31" t="str">
        <f t="shared" si="2"/>
        <v>EVs</v>
      </c>
    </row>
    <row r="32" spans="1:2">
      <c r="A32" s="7" t="s">
        <v>189</v>
      </c>
      <c r="B32" s="7" t="str">
        <f t="shared" si="2"/>
        <v>fossil</v>
      </c>
    </row>
    <row r="33" spans="1:2">
      <c r="A33" s="7" t="s">
        <v>199</v>
      </c>
      <c r="B33" s="7" t="str">
        <f t="shared" si="2"/>
        <v>renewable</v>
      </c>
    </row>
    <row r="34" spans="1:2">
      <c r="A34" s="7" t="s">
        <v>179</v>
      </c>
      <c r="B34" s="7" t="str">
        <f t="shared" si="2"/>
        <v>bioenergy</v>
      </c>
    </row>
    <row r="35" spans="1:2">
      <c r="A35" s="7" t="s">
        <v>181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179</v>
      </c>
      <c r="B3" t="str">
        <f>A3</f>
        <v>bioenergy</v>
      </c>
    </row>
    <row r="4" spans="1:3">
      <c r="A4" t="s">
        <v>131</v>
      </c>
      <c r="B4" t="str">
        <f t="shared" ref="B4:B11" si="0">A4</f>
        <v>coal</v>
      </c>
    </row>
    <row r="5" spans="1:3">
      <c r="A5" t="s">
        <v>132</v>
      </c>
      <c r="B5" t="str">
        <f t="shared" si="0"/>
        <v>gas</v>
      </c>
    </row>
    <row r="6" spans="1:3">
      <c r="A6" t="s">
        <v>248</v>
      </c>
      <c r="B6" t="str">
        <f t="shared" si="0"/>
        <v>geothermal</v>
      </c>
    </row>
    <row r="7" spans="1:3">
      <c r="A7" t="s">
        <v>249</v>
      </c>
      <c r="B7" t="str">
        <f t="shared" si="0"/>
        <v>hydro</v>
      </c>
    </row>
    <row r="8" spans="1:3">
      <c r="A8" t="s">
        <v>180</v>
      </c>
      <c r="B8" t="str">
        <f t="shared" si="0"/>
        <v>hydrogen</v>
      </c>
    </row>
    <row r="9" spans="1:3">
      <c r="A9" t="s">
        <v>181</v>
      </c>
      <c r="B9" t="str">
        <f t="shared" si="0"/>
        <v>nuclear</v>
      </c>
    </row>
    <row r="10" spans="1:3">
      <c r="A10" t="s">
        <v>250</v>
      </c>
      <c r="B10" t="str">
        <f t="shared" si="0"/>
        <v>oil</v>
      </c>
    </row>
    <row r="11" spans="1:3">
      <c r="A11" t="s">
        <v>251</v>
      </c>
      <c r="B11" t="str">
        <f t="shared" si="0"/>
        <v>solar</v>
      </c>
    </row>
    <row r="12" spans="1:3">
      <c r="A12" t="s">
        <v>252</v>
      </c>
      <c r="B12" t="s">
        <v>254</v>
      </c>
    </row>
    <row r="13" spans="1:3">
      <c r="A13" t="s">
        <v>253</v>
      </c>
      <c r="B13" t="s">
        <v>255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151</v>
      </c>
    </row>
    <row r="2" spans="1:3">
      <c r="A2" t="s">
        <v>49</v>
      </c>
      <c r="B2" t="s">
        <v>50</v>
      </c>
      <c r="C2" t="s">
        <v>51</v>
      </c>
    </row>
    <row r="3" spans="1:3">
      <c r="A3" t="s">
        <v>143</v>
      </c>
      <c r="B3" t="s">
        <v>140</v>
      </c>
      <c r="C3" t="s">
        <v>141</v>
      </c>
    </row>
    <row r="4" spans="1:3">
      <c r="A4" t="s">
        <v>143</v>
      </c>
      <c r="B4" t="s">
        <v>139</v>
      </c>
      <c r="C4" t="s">
        <v>142</v>
      </c>
    </row>
    <row r="5" spans="1:3">
      <c r="A5" t="s">
        <v>144</v>
      </c>
      <c r="B5" t="s">
        <v>145</v>
      </c>
      <c r="C5" t="str">
        <f>LEFT(B5,2)</f>
        <v>S1</v>
      </c>
    </row>
    <row r="6" spans="1:3">
      <c r="A6" t="s">
        <v>144</v>
      </c>
      <c r="B6" t="s">
        <v>146</v>
      </c>
      <c r="C6" t="str">
        <f t="shared" ref="C6:C10" si="0">LEFT(B6,2)</f>
        <v>S2</v>
      </c>
    </row>
    <row r="7" spans="1:3">
      <c r="A7" t="s">
        <v>144</v>
      </c>
      <c r="B7" t="s">
        <v>147</v>
      </c>
      <c r="C7" t="str">
        <f t="shared" si="0"/>
        <v>S3</v>
      </c>
    </row>
    <row r="8" spans="1:3">
      <c r="A8" t="s">
        <v>144</v>
      </c>
      <c r="B8" t="s">
        <v>148</v>
      </c>
      <c r="C8" t="str">
        <f t="shared" si="0"/>
        <v>S4</v>
      </c>
    </row>
    <row r="9" spans="1:3">
      <c r="A9" t="s">
        <v>144</v>
      </c>
      <c r="B9" t="s">
        <v>149</v>
      </c>
      <c r="C9" t="str">
        <f t="shared" si="0"/>
        <v>S5</v>
      </c>
    </row>
    <row r="10" spans="1:3">
      <c r="A10" t="s">
        <v>144</v>
      </c>
      <c r="B10" t="s">
        <v>150</v>
      </c>
      <c r="C10" t="str">
        <f t="shared" si="0"/>
        <v>S6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133"/>
  <sheetViews>
    <sheetView workbookViewId="0">
      <pane ySplit="2" topLeftCell="A33" activePane="bottomLeft" state="frozen"/>
      <selection pane="bottomLeft" activeCell="C56" sqref="C5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60</v>
      </c>
    </row>
    <row r="2" spans="1:7" ht="15" thickTop="1" thickBot="1">
      <c r="A2" s="6" t="s">
        <v>49</v>
      </c>
      <c r="B2" s="6" t="s">
        <v>50</v>
      </c>
      <c r="C2" s="6" t="s">
        <v>51</v>
      </c>
      <c r="D2" s="6" t="s">
        <v>61</v>
      </c>
      <c r="E2" s="6" t="s">
        <v>62</v>
      </c>
      <c r="F2" s="6" t="s">
        <v>63</v>
      </c>
      <c r="G2" s="6" t="s">
        <v>64</v>
      </c>
    </row>
    <row r="3" spans="1:7">
      <c r="A3" t="s">
        <v>115</v>
      </c>
      <c r="B3" t="s">
        <v>116</v>
      </c>
      <c r="C3" t="s">
        <v>117</v>
      </c>
    </row>
    <row r="4" spans="1:7">
      <c r="A4" t="s">
        <v>115</v>
      </c>
      <c r="B4" t="s">
        <v>118</v>
      </c>
      <c r="C4" t="s">
        <v>119</v>
      </c>
    </row>
    <row r="5" spans="1:7">
      <c r="A5" t="s">
        <v>65</v>
      </c>
      <c r="C5" t="str">
        <f>D5</f>
        <v>CCGT</v>
      </c>
      <c r="D5" t="s">
        <v>83</v>
      </c>
    </row>
    <row r="6" spans="1:7">
      <c r="A6" t="s">
        <v>65</v>
      </c>
      <c r="C6" t="str">
        <f t="shared" ref="C6:C49" si="0">D6</f>
        <v>Int Comb</v>
      </c>
      <c r="D6" t="s">
        <v>84</v>
      </c>
    </row>
    <row r="7" spans="1:7">
      <c r="A7" t="s">
        <v>65</v>
      </c>
      <c r="C7" t="str">
        <f t="shared" si="0"/>
        <v>Gas_Oil Steam</v>
      </c>
      <c r="D7" t="s">
        <v>85</v>
      </c>
    </row>
    <row r="8" spans="1:7">
      <c r="A8" t="s">
        <v>65</v>
      </c>
      <c r="C8" t="str">
        <f t="shared" si="0"/>
        <v>OCGT (Peaker)</v>
      </c>
      <c r="D8" t="s">
        <v>86</v>
      </c>
    </row>
    <row r="9" spans="1:7">
      <c r="A9" t="s">
        <v>65</v>
      </c>
      <c r="C9" t="str">
        <f t="shared" si="0"/>
        <v>Subcritical Coal</v>
      </c>
      <c r="D9" t="s">
        <v>87</v>
      </c>
    </row>
    <row r="10" spans="1:7">
      <c r="A10" t="s">
        <v>65</v>
      </c>
      <c r="C10" t="str">
        <f t="shared" si="0"/>
        <v>Supercritical Coal</v>
      </c>
      <c r="D10" t="s">
        <v>88</v>
      </c>
    </row>
    <row r="11" spans="1:7">
      <c r="A11" t="s">
        <v>65</v>
      </c>
      <c r="C11" t="str">
        <f t="shared" si="0"/>
        <v>IGCC</v>
      </c>
      <c r="D11" t="s">
        <v>89</v>
      </c>
    </row>
    <row r="12" spans="1:7">
      <c r="A12" t="s">
        <v>65</v>
      </c>
      <c r="C12" t="str">
        <f t="shared" si="0"/>
        <v>Bio Power</v>
      </c>
      <c r="D12" t="s">
        <v>190</v>
      </c>
    </row>
    <row r="13" spans="1:7">
      <c r="A13" t="s">
        <v>65</v>
      </c>
      <c r="C13" t="str">
        <f t="shared" si="0"/>
        <v>Solar Util</v>
      </c>
      <c r="D13" t="s">
        <v>191</v>
      </c>
    </row>
    <row r="14" spans="1:7">
      <c r="A14" t="s">
        <v>65</v>
      </c>
      <c r="C14" t="str">
        <f t="shared" si="0"/>
        <v>Wind onshore</v>
      </c>
      <c r="D14" t="s">
        <v>90</v>
      </c>
    </row>
    <row r="15" spans="1:7">
      <c r="A15" t="s">
        <v>65</v>
      </c>
      <c r="C15" t="str">
        <f t="shared" si="0"/>
        <v>Wind offshore</v>
      </c>
      <c r="D15" t="s">
        <v>91</v>
      </c>
    </row>
    <row r="16" spans="1:7">
      <c r="A16" t="s">
        <v>65</v>
      </c>
      <c r="C16" t="str">
        <f t="shared" si="0"/>
        <v>Geothermal P</v>
      </c>
      <c r="D16" t="s">
        <v>192</v>
      </c>
    </row>
    <row r="17" spans="1:4">
      <c r="A17" t="s">
        <v>65</v>
      </c>
      <c r="C17" t="str">
        <f t="shared" si="0"/>
        <v>Hydro Dam</v>
      </c>
      <c r="D17" t="s">
        <v>196</v>
      </c>
    </row>
    <row r="18" spans="1:4">
      <c r="A18" t="s">
        <v>65</v>
      </c>
      <c r="C18" t="str">
        <f t="shared" si="0"/>
        <v>Hydro RoR</v>
      </c>
      <c r="D18" t="s">
        <v>193</v>
      </c>
    </row>
    <row r="19" spans="1:4">
      <c r="A19" t="s">
        <v>65</v>
      </c>
      <c r="C19" t="str">
        <f t="shared" si="0"/>
        <v>Nuclear P</v>
      </c>
      <c r="D19" t="s">
        <v>194</v>
      </c>
    </row>
    <row r="20" spans="1:4">
      <c r="A20" t="s">
        <v>65</v>
      </c>
      <c r="C20" t="str">
        <f t="shared" si="0"/>
        <v>Nuclear SMR</v>
      </c>
      <c r="D20" t="s">
        <v>195</v>
      </c>
    </row>
    <row r="21" spans="1:4">
      <c r="A21" t="s">
        <v>65</v>
      </c>
      <c r="C21" t="str">
        <f t="shared" si="0"/>
        <v>Hydro pumped stg</v>
      </c>
      <c r="D21" t="s">
        <v>92</v>
      </c>
    </row>
    <row r="22" spans="1:4">
      <c r="A22" t="s">
        <v>65</v>
      </c>
      <c r="C22" t="str">
        <f t="shared" si="0"/>
        <v>Util Batt Stg</v>
      </c>
      <c r="D22" t="s">
        <v>93</v>
      </c>
    </row>
    <row r="23" spans="1:4">
      <c r="A23" t="s">
        <v>65</v>
      </c>
      <c r="C23" t="str">
        <f t="shared" si="0"/>
        <v>EV Batt</v>
      </c>
      <c r="D23" t="s">
        <v>94</v>
      </c>
    </row>
    <row r="24" spans="1:4">
      <c r="A24" t="s">
        <v>65</v>
      </c>
      <c r="C24" t="str">
        <f t="shared" si="0"/>
        <v>Demand</v>
      </c>
      <c r="D24" t="s">
        <v>157</v>
      </c>
    </row>
    <row r="25" spans="1:4">
      <c r="A25" t="s">
        <v>65</v>
      </c>
      <c r="C25" t="str">
        <f t="shared" si="0"/>
        <v>Transformers Dn</v>
      </c>
      <c r="D25" t="s">
        <v>223</v>
      </c>
    </row>
    <row r="26" spans="1:4">
      <c r="A26" t="s">
        <v>65</v>
      </c>
      <c r="C26" t="str">
        <f t="shared" si="0"/>
        <v>Transformers Up</v>
      </c>
      <c r="D26" t="s">
        <v>224</v>
      </c>
    </row>
    <row r="27" spans="1:4">
      <c r="A27" t="s">
        <v>65</v>
      </c>
      <c r="C27" t="str">
        <f t="shared" si="0"/>
        <v>Grid-220V</v>
      </c>
      <c r="D27" t="s">
        <v>200</v>
      </c>
    </row>
    <row r="28" spans="1:4">
      <c r="A28" t="s">
        <v>65</v>
      </c>
      <c r="C28" t="str">
        <f t="shared" si="0"/>
        <v>Grid-400V</v>
      </c>
      <c r="D28" t="s">
        <v>201</v>
      </c>
    </row>
    <row r="29" spans="1:4">
      <c r="A29" t="s">
        <v>65</v>
      </c>
      <c r="C29" t="str">
        <f t="shared" si="0"/>
        <v>Grid-380V</v>
      </c>
      <c r="D29" t="s">
        <v>202</v>
      </c>
    </row>
    <row r="30" spans="1:4">
      <c r="A30" t="s">
        <v>65</v>
      </c>
      <c r="C30" t="str">
        <f t="shared" si="0"/>
        <v>Grid-225V</v>
      </c>
      <c r="D30" t="s">
        <v>203</v>
      </c>
    </row>
    <row r="31" spans="1:4">
      <c r="A31" t="s">
        <v>65</v>
      </c>
      <c r="C31" t="str">
        <f t="shared" si="0"/>
        <v>Grid-330V</v>
      </c>
      <c r="D31" t="s">
        <v>204</v>
      </c>
    </row>
    <row r="32" spans="1:4">
      <c r="A32" t="s">
        <v>65</v>
      </c>
      <c r="C32" t="str">
        <f t="shared" si="0"/>
        <v>Grid-275V</v>
      </c>
      <c r="D32" t="s">
        <v>205</v>
      </c>
    </row>
    <row r="33" spans="1:4">
      <c r="A33" t="s">
        <v>65</v>
      </c>
      <c r="C33" t="str">
        <f t="shared" si="0"/>
        <v>Grid-420V</v>
      </c>
      <c r="D33" t="s">
        <v>206</v>
      </c>
    </row>
    <row r="34" spans="1:4">
      <c r="A34" t="s">
        <v>65</v>
      </c>
      <c r="C34" t="str">
        <f t="shared" si="0"/>
        <v>Grid-300V</v>
      </c>
      <c r="D34" t="s">
        <v>207</v>
      </c>
    </row>
    <row r="35" spans="1:4">
      <c r="A35" t="s">
        <v>65</v>
      </c>
      <c r="C35" t="str">
        <f t="shared" si="0"/>
        <v>Grid-500V</v>
      </c>
      <c r="D35" t="s">
        <v>208</v>
      </c>
    </row>
    <row r="36" spans="1:4">
      <c r="A36" t="s">
        <v>65</v>
      </c>
      <c r="C36" t="str">
        <f t="shared" si="0"/>
        <v>Grid-750V</v>
      </c>
      <c r="D36" t="s">
        <v>209</v>
      </c>
    </row>
    <row r="37" spans="1:4">
      <c r="A37" t="s">
        <v>65</v>
      </c>
      <c r="C37" t="str">
        <f t="shared" si="0"/>
        <v>Grid-450V</v>
      </c>
      <c r="D37" t="s">
        <v>210</v>
      </c>
    </row>
    <row r="38" spans="1:4">
      <c r="A38" t="s">
        <v>65</v>
      </c>
      <c r="C38" t="str">
        <f t="shared" si="0"/>
        <v>Grid-515V</v>
      </c>
      <c r="D38" t="s">
        <v>211</v>
      </c>
    </row>
    <row r="39" spans="1:4">
      <c r="A39" t="s">
        <v>65</v>
      </c>
      <c r="C39" t="str">
        <f t="shared" si="0"/>
        <v>Grid-525V</v>
      </c>
      <c r="D39" t="s">
        <v>212</v>
      </c>
    </row>
    <row r="40" spans="1:4">
      <c r="A40" t="s">
        <v>65</v>
      </c>
      <c r="C40" t="str">
        <f t="shared" si="0"/>
        <v>Grid-320V</v>
      </c>
      <c r="D40" t="s">
        <v>213</v>
      </c>
    </row>
    <row r="41" spans="1:4">
      <c r="A41" t="s">
        <v>65</v>
      </c>
      <c r="C41" t="str">
        <f t="shared" si="0"/>
        <v>Grid-150V</v>
      </c>
      <c r="D41" t="s">
        <v>214</v>
      </c>
    </row>
    <row r="42" spans="1:4">
      <c r="A42" t="s">
        <v>65</v>
      </c>
      <c r="C42" t="str">
        <f t="shared" si="0"/>
        <v>Grid-270V</v>
      </c>
      <c r="D42" t="s">
        <v>215</v>
      </c>
    </row>
    <row r="43" spans="1:4">
      <c r="A43" t="s">
        <v>65</v>
      </c>
      <c r="C43" t="str">
        <f t="shared" si="0"/>
        <v>Grid-350V</v>
      </c>
      <c r="D43" t="s">
        <v>216</v>
      </c>
    </row>
    <row r="44" spans="1:4">
      <c r="A44" t="s">
        <v>65</v>
      </c>
      <c r="C44" t="str">
        <f t="shared" si="0"/>
        <v>Grid-250V</v>
      </c>
      <c r="D44" t="s">
        <v>217</v>
      </c>
    </row>
    <row r="45" spans="1:4">
      <c r="A45" t="s">
        <v>65</v>
      </c>
      <c r="C45" t="str">
        <f t="shared" si="0"/>
        <v>Grid-200V</v>
      </c>
      <c r="D45" t="s">
        <v>218</v>
      </c>
    </row>
    <row r="46" spans="1:4">
      <c r="A46" t="s">
        <v>65</v>
      </c>
      <c r="C46" t="str">
        <f t="shared" si="0"/>
        <v>Grid-236V</v>
      </c>
      <c r="D46" t="s">
        <v>219</v>
      </c>
    </row>
    <row r="47" spans="1:4">
      <c r="A47" t="s">
        <v>65</v>
      </c>
      <c r="C47" t="str">
        <f t="shared" si="0"/>
        <v>Grid-600V</v>
      </c>
      <c r="D47" t="s">
        <v>220</v>
      </c>
    </row>
    <row r="48" spans="1:4">
      <c r="A48" t="s">
        <v>65</v>
      </c>
      <c r="C48" t="str">
        <f t="shared" si="0"/>
        <v>Aggregators</v>
      </c>
      <c r="D48" t="s">
        <v>221</v>
      </c>
    </row>
    <row r="49" spans="1:6">
      <c r="A49" t="s">
        <v>65</v>
      </c>
      <c r="C49" t="str">
        <f t="shared" si="0"/>
        <v>DUMMY_IMP</v>
      </c>
      <c r="D49" t="s">
        <v>222</v>
      </c>
    </row>
    <row r="50" spans="1:6">
      <c r="A50" t="s">
        <v>65</v>
      </c>
      <c r="B50" t="s">
        <v>246</v>
      </c>
      <c r="C50" t="s">
        <v>127</v>
      </c>
      <c r="E50" t="s">
        <v>131</v>
      </c>
    </row>
    <row r="51" spans="1:6">
      <c r="A51" t="s">
        <v>65</v>
      </c>
      <c r="B51" t="s">
        <v>246</v>
      </c>
      <c r="C51" t="s">
        <v>128</v>
      </c>
      <c r="E51" t="s">
        <v>132</v>
      </c>
    </row>
    <row r="52" spans="1:6">
      <c r="A52" t="s">
        <v>65</v>
      </c>
      <c r="B52" t="s">
        <v>133</v>
      </c>
      <c r="C52" t="s">
        <v>129</v>
      </c>
      <c r="E52" t="s">
        <v>131</v>
      </c>
    </row>
    <row r="53" spans="1:6">
      <c r="A53" t="s">
        <v>65</v>
      </c>
      <c r="B53" t="s">
        <v>133</v>
      </c>
      <c r="C53" t="s">
        <v>130</v>
      </c>
      <c r="E53" t="s">
        <v>132</v>
      </c>
    </row>
    <row r="54" spans="1:6">
      <c r="A54" t="s">
        <v>65</v>
      </c>
      <c r="B54" t="s">
        <v>96</v>
      </c>
      <c r="C54" t="s">
        <v>3</v>
      </c>
    </row>
    <row r="55" spans="1:6">
      <c r="A55" t="s">
        <v>65</v>
      </c>
      <c r="B55" t="s">
        <v>97</v>
      </c>
      <c r="C55" t="s">
        <v>98</v>
      </c>
    </row>
    <row r="56" spans="1:6">
      <c r="A56" t="s">
        <v>65</v>
      </c>
      <c r="B56" t="s">
        <v>109</v>
      </c>
      <c r="C56" t="s">
        <v>110</v>
      </c>
    </row>
    <row r="57" spans="1:6">
      <c r="A57" t="s">
        <v>65</v>
      </c>
      <c r="B57" t="s">
        <v>1199</v>
      </c>
      <c r="C57" t="s">
        <v>84</v>
      </c>
      <c r="F57" t="s">
        <v>1202</v>
      </c>
    </row>
    <row r="58" spans="1:6">
      <c r="A58" t="s">
        <v>65</v>
      </c>
      <c r="B58" t="s">
        <v>1200</v>
      </c>
      <c r="C58" t="s">
        <v>1201</v>
      </c>
      <c r="F58" t="s">
        <v>1202</v>
      </c>
    </row>
    <row r="59" spans="1:6">
      <c r="A59" t="s">
        <v>65</v>
      </c>
      <c r="B59" t="s">
        <v>1203</v>
      </c>
      <c r="C59" t="s">
        <v>1204</v>
      </c>
      <c r="F59" t="s">
        <v>1202</v>
      </c>
    </row>
    <row r="60" spans="1:6">
      <c r="A60" t="s">
        <v>65</v>
      </c>
      <c r="B60" t="s">
        <v>1205</v>
      </c>
      <c r="C60" t="s">
        <v>1206</v>
      </c>
      <c r="F60" t="s">
        <v>1202</v>
      </c>
    </row>
    <row r="61" spans="1:6">
      <c r="A61" t="s">
        <v>65</v>
      </c>
      <c r="B61" t="s">
        <v>1207</v>
      </c>
      <c r="C61" t="s">
        <v>259</v>
      </c>
      <c r="F61" t="s">
        <v>1202</v>
      </c>
    </row>
    <row r="62" spans="1:6">
      <c r="A62" t="s">
        <v>370</v>
      </c>
      <c r="B62" t="s">
        <v>371</v>
      </c>
      <c r="C62" t="s">
        <v>372</v>
      </c>
    </row>
    <row r="63" spans="1:6">
      <c r="A63" t="s">
        <v>370</v>
      </c>
      <c r="B63" t="s">
        <v>373</v>
      </c>
      <c r="C63" t="s">
        <v>94</v>
      </c>
    </row>
    <row r="64" spans="1:6">
      <c r="A64" t="s">
        <v>370</v>
      </c>
      <c r="B64" t="s">
        <v>374</v>
      </c>
      <c r="C64" t="s">
        <v>259</v>
      </c>
    </row>
    <row r="65" spans="1:4">
      <c r="A65" t="s">
        <v>380</v>
      </c>
      <c r="B65" t="s">
        <v>116</v>
      </c>
      <c r="C65" t="s">
        <v>379</v>
      </c>
    </row>
    <row r="66" spans="1:4">
      <c r="A66" t="s">
        <v>380</v>
      </c>
      <c r="B66" t="s">
        <v>381</v>
      </c>
      <c r="C66" t="s">
        <v>382</v>
      </c>
    </row>
    <row r="67" spans="1:4">
      <c r="A67" t="s">
        <v>380</v>
      </c>
      <c r="B67" t="s">
        <v>383</v>
      </c>
      <c r="C67" t="s">
        <v>384</v>
      </c>
    </row>
    <row r="68" spans="1:4">
      <c r="A68" t="s">
        <v>380</v>
      </c>
      <c r="B68" t="s">
        <v>385</v>
      </c>
      <c r="C68" t="s">
        <v>386</v>
      </c>
    </row>
    <row r="69" spans="1:4">
      <c r="A69" t="s">
        <v>380</v>
      </c>
      <c r="B69" t="s">
        <v>387</v>
      </c>
      <c r="C69" t="s">
        <v>388</v>
      </c>
    </row>
    <row r="70" spans="1:4">
      <c r="A70" t="s">
        <v>380</v>
      </c>
      <c r="B70" t="s">
        <v>389</v>
      </c>
      <c r="C70" t="s">
        <v>390</v>
      </c>
    </row>
    <row r="71" spans="1:4">
      <c r="A71" t="s">
        <v>380</v>
      </c>
      <c r="B71" t="s">
        <v>391</v>
      </c>
      <c r="C71" t="s">
        <v>392</v>
      </c>
    </row>
    <row r="72" spans="1:4">
      <c r="A72" t="s">
        <v>1120</v>
      </c>
      <c r="C72" t="s">
        <v>998</v>
      </c>
      <c r="D72" t="s">
        <v>997</v>
      </c>
    </row>
    <row r="73" spans="1:4">
      <c r="A73" t="s">
        <v>1120</v>
      </c>
      <c r="C73" t="s">
        <v>1000</v>
      </c>
      <c r="D73" t="s">
        <v>999</v>
      </c>
    </row>
    <row r="74" spans="1:4">
      <c r="A74" t="s">
        <v>1120</v>
      </c>
      <c r="C74" t="s">
        <v>1002</v>
      </c>
      <c r="D74" t="s">
        <v>1001</v>
      </c>
    </row>
    <row r="75" spans="1:4">
      <c r="A75" t="s">
        <v>1120</v>
      </c>
      <c r="C75" t="s">
        <v>1004</v>
      </c>
      <c r="D75" t="s">
        <v>1003</v>
      </c>
    </row>
    <row r="76" spans="1:4">
      <c r="A76" t="s">
        <v>1120</v>
      </c>
      <c r="C76" t="s">
        <v>1006</v>
      </c>
      <c r="D76" t="s">
        <v>1005</v>
      </c>
    </row>
    <row r="77" spans="1:4">
      <c r="A77" t="s">
        <v>1120</v>
      </c>
      <c r="C77" t="s">
        <v>1008</v>
      </c>
      <c r="D77" t="s">
        <v>1007</v>
      </c>
    </row>
    <row r="78" spans="1:4">
      <c r="A78" t="s">
        <v>1120</v>
      </c>
      <c r="C78" t="s">
        <v>1010</v>
      </c>
      <c r="D78" t="s">
        <v>1009</v>
      </c>
    </row>
    <row r="79" spans="1:4">
      <c r="A79" t="s">
        <v>1120</v>
      </c>
      <c r="C79" t="s">
        <v>1012</v>
      </c>
      <c r="D79" t="s">
        <v>1011</v>
      </c>
    </row>
    <row r="80" spans="1:4">
      <c r="A80" t="s">
        <v>1120</v>
      </c>
      <c r="C80" t="s">
        <v>1014</v>
      </c>
      <c r="D80" t="s">
        <v>1013</v>
      </c>
    </row>
    <row r="81" spans="1:4">
      <c r="A81" t="s">
        <v>1120</v>
      </c>
      <c r="C81" t="s">
        <v>1016</v>
      </c>
      <c r="D81" t="s">
        <v>1015</v>
      </c>
    </row>
    <row r="82" spans="1:4">
      <c r="A82" t="s">
        <v>1120</v>
      </c>
      <c r="C82" t="s">
        <v>1018</v>
      </c>
      <c r="D82" t="s">
        <v>1017</v>
      </c>
    </row>
    <row r="83" spans="1:4">
      <c r="A83" t="s">
        <v>1120</v>
      </c>
      <c r="C83" t="s">
        <v>1020</v>
      </c>
      <c r="D83" t="s">
        <v>1019</v>
      </c>
    </row>
    <row r="84" spans="1:4">
      <c r="A84" t="s">
        <v>1120</v>
      </c>
      <c r="C84" t="s">
        <v>1022</v>
      </c>
      <c r="D84" t="s">
        <v>1021</v>
      </c>
    </row>
    <row r="85" spans="1:4">
      <c r="A85" t="s">
        <v>1120</v>
      </c>
      <c r="C85" t="s">
        <v>1024</v>
      </c>
      <c r="D85" t="s">
        <v>1023</v>
      </c>
    </row>
    <row r="86" spans="1:4">
      <c r="A86" t="s">
        <v>1120</v>
      </c>
      <c r="C86" t="s">
        <v>1026</v>
      </c>
      <c r="D86" t="s">
        <v>1025</v>
      </c>
    </row>
    <row r="87" spans="1:4">
      <c r="A87" t="s">
        <v>1120</v>
      </c>
      <c r="C87" t="s">
        <v>1028</v>
      </c>
      <c r="D87" t="s">
        <v>1027</v>
      </c>
    </row>
    <row r="88" spans="1:4">
      <c r="A88" t="s">
        <v>1120</v>
      </c>
      <c r="C88" t="s">
        <v>1030</v>
      </c>
      <c r="D88" t="s">
        <v>1029</v>
      </c>
    </row>
    <row r="89" spans="1:4">
      <c r="A89" t="s">
        <v>1120</v>
      </c>
      <c r="C89" t="s">
        <v>1032</v>
      </c>
      <c r="D89" t="s">
        <v>1031</v>
      </c>
    </row>
    <row r="90" spans="1:4">
      <c r="A90" t="s">
        <v>1120</v>
      </c>
      <c r="C90" t="s">
        <v>1034</v>
      </c>
      <c r="D90" t="s">
        <v>1033</v>
      </c>
    </row>
    <row r="91" spans="1:4">
      <c r="A91" t="s">
        <v>1120</v>
      </c>
      <c r="C91" t="s">
        <v>1036</v>
      </c>
      <c r="D91" t="s">
        <v>1035</v>
      </c>
    </row>
    <row r="92" spans="1:4">
      <c r="A92" t="s">
        <v>370</v>
      </c>
      <c r="C92" t="s">
        <v>1038</v>
      </c>
      <c r="D92" t="s">
        <v>1037</v>
      </c>
    </row>
    <row r="93" spans="1:4">
      <c r="A93" t="s">
        <v>370</v>
      </c>
      <c r="C93" t="s">
        <v>1040</v>
      </c>
      <c r="D93" t="s">
        <v>1039</v>
      </c>
    </row>
    <row r="94" spans="1:4">
      <c r="A94" t="s">
        <v>370</v>
      </c>
      <c r="C94" t="s">
        <v>1042</v>
      </c>
      <c r="D94" t="s">
        <v>1041</v>
      </c>
    </row>
    <row r="95" spans="1:4">
      <c r="A95" t="s">
        <v>370</v>
      </c>
      <c r="C95" t="s">
        <v>1044</v>
      </c>
      <c r="D95" t="s">
        <v>1043</v>
      </c>
    </row>
    <row r="96" spans="1:4">
      <c r="A96" t="s">
        <v>370</v>
      </c>
      <c r="C96" t="s">
        <v>1046</v>
      </c>
      <c r="D96" t="s">
        <v>1045</v>
      </c>
    </row>
    <row r="97" spans="1:4">
      <c r="A97" t="s">
        <v>370</v>
      </c>
      <c r="C97" t="s">
        <v>38</v>
      </c>
      <c r="D97" t="s">
        <v>1047</v>
      </c>
    </row>
    <row r="98" spans="1:4">
      <c r="A98" t="s">
        <v>370</v>
      </c>
      <c r="C98" t="s">
        <v>1049</v>
      </c>
      <c r="D98" t="s">
        <v>1048</v>
      </c>
    </row>
    <row r="99" spans="1:4">
      <c r="A99" t="s">
        <v>370</v>
      </c>
      <c r="C99" t="s">
        <v>1051</v>
      </c>
      <c r="D99" t="s">
        <v>1050</v>
      </c>
    </row>
    <row r="100" spans="1:4">
      <c r="A100" t="s">
        <v>370</v>
      </c>
      <c r="C100" t="s">
        <v>1053</v>
      </c>
      <c r="D100" t="s">
        <v>1052</v>
      </c>
    </row>
    <row r="101" spans="1:4">
      <c r="A101" t="s">
        <v>370</v>
      </c>
      <c r="C101" t="s">
        <v>1055</v>
      </c>
      <c r="D101" t="s">
        <v>1054</v>
      </c>
    </row>
    <row r="102" spans="1:4">
      <c r="A102" t="s">
        <v>370</v>
      </c>
      <c r="C102" t="s">
        <v>1057</v>
      </c>
      <c r="D102" t="s">
        <v>1056</v>
      </c>
    </row>
    <row r="103" spans="1:4">
      <c r="A103" t="s">
        <v>370</v>
      </c>
      <c r="C103" t="s">
        <v>1059</v>
      </c>
      <c r="D103" t="s">
        <v>1058</v>
      </c>
    </row>
    <row r="104" spans="1:4">
      <c r="A104" t="s">
        <v>370</v>
      </c>
      <c r="C104" t="s">
        <v>1061</v>
      </c>
      <c r="D104" t="s">
        <v>1060</v>
      </c>
    </row>
    <row r="105" spans="1:4">
      <c r="A105" t="s">
        <v>1121</v>
      </c>
      <c r="C105" t="s">
        <v>1063</v>
      </c>
      <c r="D105" t="s">
        <v>1062</v>
      </c>
    </row>
    <row r="106" spans="1:4">
      <c r="A106" t="s">
        <v>1121</v>
      </c>
      <c r="C106" t="s">
        <v>1065</v>
      </c>
      <c r="D106" t="s">
        <v>1064</v>
      </c>
    </row>
    <row r="107" spans="1:4">
      <c r="A107" t="s">
        <v>1121</v>
      </c>
      <c r="C107" t="s">
        <v>1067</v>
      </c>
      <c r="D107" t="s">
        <v>1066</v>
      </c>
    </row>
    <row r="108" spans="1:4">
      <c r="A108" t="s">
        <v>1121</v>
      </c>
      <c r="C108" t="s">
        <v>1069</v>
      </c>
      <c r="D108" t="s">
        <v>1068</v>
      </c>
    </row>
    <row r="109" spans="1:4">
      <c r="A109" t="s">
        <v>1121</v>
      </c>
      <c r="C109" t="s">
        <v>1071</v>
      </c>
      <c r="D109" t="s">
        <v>1070</v>
      </c>
    </row>
    <row r="110" spans="1:4">
      <c r="A110" t="s">
        <v>1121</v>
      </c>
      <c r="C110" t="s">
        <v>1073</v>
      </c>
      <c r="D110" t="s">
        <v>1072</v>
      </c>
    </row>
    <row r="111" spans="1:4">
      <c r="A111" t="s">
        <v>1121</v>
      </c>
      <c r="C111" t="s">
        <v>1075</v>
      </c>
      <c r="D111" t="s">
        <v>1074</v>
      </c>
    </row>
    <row r="112" spans="1:4">
      <c r="A112" t="s">
        <v>1121</v>
      </c>
      <c r="C112" t="s">
        <v>1077</v>
      </c>
      <c r="D112" t="s">
        <v>1076</v>
      </c>
    </row>
    <row r="113" spans="1:4">
      <c r="A113" t="s">
        <v>1121</v>
      </c>
      <c r="C113" t="s">
        <v>1079</v>
      </c>
      <c r="D113" t="s">
        <v>1078</v>
      </c>
    </row>
    <row r="114" spans="1:4">
      <c r="A114" t="s">
        <v>1121</v>
      </c>
      <c r="C114" t="s">
        <v>1081</v>
      </c>
      <c r="D114" t="s">
        <v>1080</v>
      </c>
    </row>
    <row r="115" spans="1:4">
      <c r="A115" t="s">
        <v>1121</v>
      </c>
      <c r="C115" t="s">
        <v>1083</v>
      </c>
      <c r="D115" t="s">
        <v>1082</v>
      </c>
    </row>
    <row r="116" spans="1:4">
      <c r="A116" t="s">
        <v>1121</v>
      </c>
      <c r="C116" t="s">
        <v>1085</v>
      </c>
      <c r="D116" t="s">
        <v>1084</v>
      </c>
    </row>
    <row r="117" spans="1:4">
      <c r="A117" t="s">
        <v>1121</v>
      </c>
      <c r="C117" t="s">
        <v>1087</v>
      </c>
      <c r="D117" t="s">
        <v>1086</v>
      </c>
    </row>
    <row r="118" spans="1:4">
      <c r="A118" t="s">
        <v>1121</v>
      </c>
      <c r="C118" t="s">
        <v>1089</v>
      </c>
      <c r="D118" t="s">
        <v>1088</v>
      </c>
    </row>
    <row r="119" spans="1:4">
      <c r="A119" t="s">
        <v>1121</v>
      </c>
      <c r="C119" t="s">
        <v>1091</v>
      </c>
      <c r="D119" t="s">
        <v>1090</v>
      </c>
    </row>
    <row r="120" spans="1:4">
      <c r="A120" t="s">
        <v>1121</v>
      </c>
      <c r="C120" t="s">
        <v>1093</v>
      </c>
      <c r="D120" t="s">
        <v>1092</v>
      </c>
    </row>
    <row r="121" spans="1:4">
      <c r="A121" t="s">
        <v>1121</v>
      </c>
      <c r="C121" t="s">
        <v>1095</v>
      </c>
      <c r="D121" t="s">
        <v>1094</v>
      </c>
    </row>
    <row r="122" spans="1:4">
      <c r="A122" t="s">
        <v>1121</v>
      </c>
      <c r="C122" t="s">
        <v>1097</v>
      </c>
      <c r="D122" t="s">
        <v>1096</v>
      </c>
    </row>
    <row r="123" spans="1:4">
      <c r="A123" t="s">
        <v>1121</v>
      </c>
      <c r="C123" t="s">
        <v>1099</v>
      </c>
      <c r="D123" t="s">
        <v>1098</v>
      </c>
    </row>
    <row r="124" spans="1:4">
      <c r="A124" t="s">
        <v>1121</v>
      </c>
      <c r="C124" t="s">
        <v>1101</v>
      </c>
      <c r="D124" t="s">
        <v>1100</v>
      </c>
    </row>
    <row r="125" spans="1:4">
      <c r="A125" t="s">
        <v>1121</v>
      </c>
      <c r="C125" t="s">
        <v>1105</v>
      </c>
      <c r="D125" t="s">
        <v>1104</v>
      </c>
    </row>
    <row r="126" spans="1:4">
      <c r="A126" t="s">
        <v>1121</v>
      </c>
      <c r="C126" t="s">
        <v>1107</v>
      </c>
      <c r="D126" t="s">
        <v>1106</v>
      </c>
    </row>
    <row r="127" spans="1:4">
      <c r="A127" t="s">
        <v>1121</v>
      </c>
      <c r="C127" t="s">
        <v>1103</v>
      </c>
      <c r="D127" t="s">
        <v>1102</v>
      </c>
    </row>
    <row r="128" spans="1:4">
      <c r="A128" t="s">
        <v>1121</v>
      </c>
      <c r="C128" t="s">
        <v>1109</v>
      </c>
      <c r="D128" t="s">
        <v>1108</v>
      </c>
    </row>
    <row r="129" spans="1:4">
      <c r="A129" t="s">
        <v>1121</v>
      </c>
      <c r="C129" t="s">
        <v>1111</v>
      </c>
      <c r="D129" t="s">
        <v>1110</v>
      </c>
    </row>
    <row r="130" spans="1:4">
      <c r="A130" t="s">
        <v>1121</v>
      </c>
      <c r="C130" t="s">
        <v>1113</v>
      </c>
      <c r="D130" t="s">
        <v>1112</v>
      </c>
    </row>
    <row r="131" spans="1:4">
      <c r="A131" t="s">
        <v>1121</v>
      </c>
      <c r="C131" t="s">
        <v>1115</v>
      </c>
      <c r="D131" t="s">
        <v>1114</v>
      </c>
    </row>
    <row r="132" spans="1:4">
      <c r="A132" t="s">
        <v>1121</v>
      </c>
      <c r="C132" t="s">
        <v>1117</v>
      </c>
      <c r="D132" t="s">
        <v>1116</v>
      </c>
    </row>
    <row r="133" spans="1:4">
      <c r="A133" t="s">
        <v>1121</v>
      </c>
      <c r="C133" t="s">
        <v>1119</v>
      </c>
      <c r="D133" t="s">
        <v>1118</v>
      </c>
    </row>
  </sheetData>
  <sortState xmlns:xlrd2="http://schemas.microsoft.com/office/spreadsheetml/2017/richdata2" ref="A72:D133">
    <sortCondition ref="D72:D13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39"/>
  <sheetViews>
    <sheetView workbookViewId="0">
      <selection activeCell="C35" sqref="C35"/>
    </sheetView>
  </sheetViews>
  <sheetFormatPr defaultColWidth="9.1328125" defaultRowHeight="14.25"/>
  <cols>
    <col min="1" max="1" width="15" bestFit="1" customWidth="1"/>
    <col min="2" max="2" width="5.1328125" bestFit="1" customWidth="1"/>
    <col min="3" max="3" width="30.86328125" bestFit="1" customWidth="1"/>
    <col min="4" max="4" width="8.46484375" bestFit="1" customWidth="1"/>
    <col min="5" max="5" width="6.59765625" bestFit="1" customWidth="1"/>
    <col min="6" max="6" width="10.33203125" bestFit="1" customWidth="1"/>
    <col min="7" max="7" width="10.73046875" bestFit="1" customWidth="1"/>
    <col min="8" max="8" width="10.86328125" bestFit="1" customWidth="1"/>
  </cols>
  <sheetData>
    <row r="1" spans="1:8">
      <c r="A1" t="s">
        <v>69</v>
      </c>
    </row>
    <row r="2" spans="1:8">
      <c r="A2" t="s">
        <v>49</v>
      </c>
      <c r="B2" t="s">
        <v>50</v>
      </c>
      <c r="C2" t="s">
        <v>51</v>
      </c>
      <c r="D2" t="s">
        <v>70</v>
      </c>
      <c r="E2" t="s">
        <v>71</v>
      </c>
      <c r="F2" t="s">
        <v>73</v>
      </c>
      <c r="G2" t="s">
        <v>72</v>
      </c>
      <c r="H2" t="s">
        <v>74</v>
      </c>
    </row>
    <row r="3" spans="1:8">
      <c r="A3" t="s">
        <v>1189</v>
      </c>
      <c r="C3" t="s">
        <v>1124</v>
      </c>
      <c r="D3" t="s">
        <v>1123</v>
      </c>
    </row>
    <row r="4" spans="1:8">
      <c r="A4" t="s">
        <v>1189</v>
      </c>
      <c r="C4" t="s">
        <v>1126</v>
      </c>
      <c r="D4" t="s">
        <v>1125</v>
      </c>
    </row>
    <row r="5" spans="1:8">
      <c r="A5" t="s">
        <v>1189</v>
      </c>
      <c r="C5" t="s">
        <v>1128</v>
      </c>
      <c r="D5" t="s">
        <v>1127</v>
      </c>
    </row>
    <row r="6" spans="1:8">
      <c r="A6" t="s">
        <v>1189</v>
      </c>
      <c r="C6" t="s">
        <v>1130</v>
      </c>
      <c r="D6" t="s">
        <v>1129</v>
      </c>
    </row>
    <row r="7" spans="1:8">
      <c r="A7" t="s">
        <v>1189</v>
      </c>
      <c r="C7" t="s">
        <v>1132</v>
      </c>
      <c r="D7" t="s">
        <v>1131</v>
      </c>
    </row>
    <row r="8" spans="1:8">
      <c r="A8" t="s">
        <v>1189</v>
      </c>
      <c r="C8" t="s">
        <v>259</v>
      </c>
      <c r="D8" t="s">
        <v>1133</v>
      </c>
    </row>
    <row r="9" spans="1:8">
      <c r="A9" t="s">
        <v>1189</v>
      </c>
      <c r="C9" t="s">
        <v>1135</v>
      </c>
      <c r="D9" t="s">
        <v>1134</v>
      </c>
    </row>
    <row r="10" spans="1:8">
      <c r="A10" t="s">
        <v>1189</v>
      </c>
      <c r="C10" t="s">
        <v>1137</v>
      </c>
      <c r="D10" t="s">
        <v>1136</v>
      </c>
    </row>
    <row r="11" spans="1:8">
      <c r="A11" t="s">
        <v>1189</v>
      </c>
      <c r="C11" t="s">
        <v>1139</v>
      </c>
      <c r="D11" t="s">
        <v>1138</v>
      </c>
    </row>
    <row r="12" spans="1:8">
      <c r="A12" t="s">
        <v>1189</v>
      </c>
      <c r="C12" t="s">
        <v>1141</v>
      </c>
      <c r="D12" t="s">
        <v>1140</v>
      </c>
    </row>
    <row r="13" spans="1:8">
      <c r="A13" t="s">
        <v>1189</v>
      </c>
      <c r="C13" t="s">
        <v>1143</v>
      </c>
      <c r="D13" t="s">
        <v>1142</v>
      </c>
    </row>
    <row r="14" spans="1:8">
      <c r="A14" t="s">
        <v>1189</v>
      </c>
      <c r="C14" t="s">
        <v>1145</v>
      </c>
      <c r="D14" t="s">
        <v>1144</v>
      </c>
    </row>
    <row r="15" spans="1:8">
      <c r="A15" t="s">
        <v>1189</v>
      </c>
      <c r="C15" t="s">
        <v>1147</v>
      </c>
      <c r="D15" t="s">
        <v>1146</v>
      </c>
    </row>
    <row r="16" spans="1:8">
      <c r="A16" t="s">
        <v>1189</v>
      </c>
      <c r="C16" t="s">
        <v>1149</v>
      </c>
      <c r="D16" t="s">
        <v>1148</v>
      </c>
    </row>
    <row r="17" spans="1:4">
      <c r="A17" t="s">
        <v>1189</v>
      </c>
      <c r="C17" t="s">
        <v>1151</v>
      </c>
      <c r="D17" t="s">
        <v>1150</v>
      </c>
    </row>
    <row r="18" spans="1:4">
      <c r="A18" t="s">
        <v>1189</v>
      </c>
      <c r="C18" t="s">
        <v>1153</v>
      </c>
      <c r="D18" t="s">
        <v>1152</v>
      </c>
    </row>
    <row r="19" spans="1:4">
      <c r="A19" t="s">
        <v>1189</v>
      </c>
      <c r="C19" t="s">
        <v>1155</v>
      </c>
      <c r="D19" t="s">
        <v>1154</v>
      </c>
    </row>
    <row r="20" spans="1:4">
      <c r="A20" t="s">
        <v>1189</v>
      </c>
      <c r="C20" t="s">
        <v>1157</v>
      </c>
      <c r="D20" t="s">
        <v>1156</v>
      </c>
    </row>
    <row r="21" spans="1:4">
      <c r="A21" t="s">
        <v>1189</v>
      </c>
      <c r="C21" t="s">
        <v>1159</v>
      </c>
      <c r="D21" t="s">
        <v>1158</v>
      </c>
    </row>
    <row r="22" spans="1:4">
      <c r="A22" t="s">
        <v>1189</v>
      </c>
      <c r="C22" t="s">
        <v>1161</v>
      </c>
      <c r="D22" t="s">
        <v>1160</v>
      </c>
    </row>
    <row r="23" spans="1:4">
      <c r="A23" t="s">
        <v>1189</v>
      </c>
      <c r="C23" t="s">
        <v>1163</v>
      </c>
      <c r="D23" t="s">
        <v>1162</v>
      </c>
    </row>
    <row r="24" spans="1:4">
      <c r="A24" t="s">
        <v>1189</v>
      </c>
      <c r="C24" t="s">
        <v>1163</v>
      </c>
      <c r="D24" t="s">
        <v>1164</v>
      </c>
    </row>
    <row r="25" spans="1:4">
      <c r="A25" t="s">
        <v>1189</v>
      </c>
      <c r="C25" t="s">
        <v>1163</v>
      </c>
      <c r="D25" t="s">
        <v>1165</v>
      </c>
    </row>
    <row r="26" spans="1:4">
      <c r="A26" t="s">
        <v>1189</v>
      </c>
      <c r="C26" t="s">
        <v>1167</v>
      </c>
      <c r="D26" t="s">
        <v>1166</v>
      </c>
    </row>
    <row r="27" spans="1:4">
      <c r="A27" t="s">
        <v>1189</v>
      </c>
      <c r="C27" t="s">
        <v>1163</v>
      </c>
      <c r="D27" t="s">
        <v>1168</v>
      </c>
    </row>
    <row r="28" spans="1:4">
      <c r="A28" t="s">
        <v>1189</v>
      </c>
      <c r="C28" t="s">
        <v>1170</v>
      </c>
      <c r="D28" t="s">
        <v>1169</v>
      </c>
    </row>
    <row r="29" spans="1:4">
      <c r="A29" t="s">
        <v>1189</v>
      </c>
      <c r="C29" t="s">
        <v>3</v>
      </c>
      <c r="D29" t="s">
        <v>1171</v>
      </c>
    </row>
    <row r="30" spans="1:4">
      <c r="A30" t="s">
        <v>1189</v>
      </c>
      <c r="C30" t="s">
        <v>1173</v>
      </c>
      <c r="D30" t="s">
        <v>1172</v>
      </c>
    </row>
    <row r="31" spans="1:4">
      <c r="A31" t="s">
        <v>1189</v>
      </c>
      <c r="C31" t="s">
        <v>1175</v>
      </c>
      <c r="D31" t="s">
        <v>1174</v>
      </c>
    </row>
    <row r="32" spans="1:4">
      <c r="A32" t="s">
        <v>1189</v>
      </c>
      <c r="C32" t="s">
        <v>98</v>
      </c>
      <c r="D32" t="s">
        <v>1176</v>
      </c>
    </row>
    <row r="33" spans="1:4">
      <c r="A33" t="s">
        <v>1189</v>
      </c>
      <c r="C33" t="s">
        <v>1190</v>
      </c>
      <c r="D33" t="s">
        <v>1177</v>
      </c>
    </row>
    <row r="34" spans="1:4">
      <c r="A34" t="s">
        <v>1189</v>
      </c>
      <c r="C34" t="s">
        <v>1190</v>
      </c>
      <c r="D34" t="s">
        <v>1178</v>
      </c>
    </row>
    <row r="35" spans="1:4">
      <c r="A35" t="s">
        <v>1189</v>
      </c>
      <c r="C35" t="s">
        <v>1180</v>
      </c>
      <c r="D35" t="s">
        <v>1179</v>
      </c>
    </row>
    <row r="36" spans="1:4">
      <c r="A36" t="s">
        <v>1189</v>
      </c>
      <c r="C36" t="s">
        <v>1182</v>
      </c>
      <c r="D36" t="s">
        <v>1181</v>
      </c>
    </row>
    <row r="37" spans="1:4">
      <c r="A37" t="s">
        <v>1189</v>
      </c>
      <c r="C37" t="s">
        <v>1184</v>
      </c>
      <c r="D37" t="s">
        <v>1183</v>
      </c>
    </row>
    <row r="38" spans="1:4">
      <c r="A38" t="s">
        <v>1189</v>
      </c>
      <c r="C38" t="s">
        <v>1186</v>
      </c>
      <c r="D38" t="s">
        <v>1185</v>
      </c>
    </row>
    <row r="39" spans="1:4">
      <c r="A39" t="s">
        <v>1189</v>
      </c>
      <c r="C39" t="s">
        <v>1188</v>
      </c>
      <c r="D39" t="s">
        <v>1187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314"/>
  <sheetViews>
    <sheetView tabSelected="1" workbookViewId="0">
      <selection activeCell="D3" sqref="D3"/>
    </sheetView>
  </sheetViews>
  <sheetFormatPr defaultRowHeight="14.25"/>
  <cols>
    <col min="1" max="1" width="5.796875" bestFit="1" customWidth="1"/>
    <col min="2" max="2" width="8" bestFit="1" customWidth="1"/>
    <col min="3" max="3" width="8" customWidth="1"/>
    <col min="4" max="4" width="12.59765625" bestFit="1" customWidth="1"/>
    <col min="5" max="5" width="11.796875" bestFit="1" customWidth="1"/>
    <col min="6" max="6" width="4.1328125" bestFit="1" customWidth="1"/>
    <col min="7" max="7" width="4.73046875" bestFit="1" customWidth="1"/>
    <col min="8" max="8" width="8.73046875" bestFit="1" customWidth="1"/>
  </cols>
  <sheetData>
    <row r="1" spans="1:8">
      <c r="A1" t="s">
        <v>37</v>
      </c>
    </row>
    <row r="2" spans="1:8">
      <c r="A2" t="s">
        <v>1222</v>
      </c>
      <c r="B2" t="s">
        <v>279</v>
      </c>
      <c r="C2" t="s">
        <v>801</v>
      </c>
      <c r="D2" t="s">
        <v>1223</v>
      </c>
      <c r="E2" t="s">
        <v>1224</v>
      </c>
      <c r="F2" t="s">
        <v>1225</v>
      </c>
      <c r="G2" t="s">
        <v>1226</v>
      </c>
      <c r="H2" t="s">
        <v>1227</v>
      </c>
    </row>
    <row r="3" spans="1:8">
      <c r="A3" t="s">
        <v>1221</v>
      </c>
      <c r="B3" t="s">
        <v>1216</v>
      </c>
      <c r="C3" t="s">
        <v>1228</v>
      </c>
      <c r="D3" t="s">
        <v>1217</v>
      </c>
      <c r="E3" t="s">
        <v>124</v>
      </c>
      <c r="F3" t="s">
        <v>126</v>
      </c>
      <c r="G3">
        <v>2025</v>
      </c>
      <c r="H3">
        <v>8.5616200000000013</v>
      </c>
    </row>
    <row r="4" spans="1:8">
      <c r="A4" t="s">
        <v>1221</v>
      </c>
      <c r="B4" t="s">
        <v>1216</v>
      </c>
      <c r="C4" t="s">
        <v>1228</v>
      </c>
      <c r="D4" t="s">
        <v>1081</v>
      </c>
      <c r="E4" t="s">
        <v>124</v>
      </c>
      <c r="F4" t="s">
        <v>126</v>
      </c>
      <c r="G4">
        <v>2025</v>
      </c>
      <c r="H4">
        <v>-6.5475099999999999</v>
      </c>
    </row>
    <row r="5" spans="1:8">
      <c r="A5" t="s">
        <v>1221</v>
      </c>
      <c r="B5" t="s">
        <v>1216</v>
      </c>
      <c r="C5" t="s">
        <v>1228</v>
      </c>
      <c r="D5" t="s">
        <v>1218</v>
      </c>
      <c r="E5" t="s">
        <v>124</v>
      </c>
      <c r="F5" t="s">
        <v>126</v>
      </c>
      <c r="G5">
        <v>2025</v>
      </c>
      <c r="H5">
        <v>4.54474</v>
      </c>
    </row>
    <row r="6" spans="1:8">
      <c r="A6" t="s">
        <v>1221</v>
      </c>
      <c r="B6" t="s">
        <v>1216</v>
      </c>
      <c r="C6" t="s">
        <v>1228</v>
      </c>
      <c r="D6" t="s">
        <v>1145</v>
      </c>
      <c r="E6" t="s">
        <v>124</v>
      </c>
      <c r="F6" t="s">
        <v>126</v>
      </c>
      <c r="G6">
        <v>2025</v>
      </c>
      <c r="H6">
        <v>0.27144699999999999</v>
      </c>
    </row>
    <row r="7" spans="1:8">
      <c r="A7" t="s">
        <v>1221</v>
      </c>
      <c r="B7" t="s">
        <v>1216</v>
      </c>
      <c r="C7" t="s">
        <v>1228</v>
      </c>
      <c r="D7" t="s">
        <v>1217</v>
      </c>
      <c r="E7" t="s">
        <v>124</v>
      </c>
      <c r="F7" t="s">
        <v>126</v>
      </c>
      <c r="G7">
        <v>2026</v>
      </c>
      <c r="H7">
        <v>8.5400900000000011</v>
      </c>
    </row>
    <row r="8" spans="1:8">
      <c r="A8" t="s">
        <v>1221</v>
      </c>
      <c r="B8" t="s">
        <v>1216</v>
      </c>
      <c r="C8" t="s">
        <v>1228</v>
      </c>
      <c r="D8" t="s">
        <v>1081</v>
      </c>
      <c r="E8" t="s">
        <v>124</v>
      </c>
      <c r="F8" t="s">
        <v>126</v>
      </c>
      <c r="G8">
        <v>2026</v>
      </c>
      <c r="H8">
        <v>-7.3752800000000001</v>
      </c>
    </row>
    <row r="9" spans="1:8">
      <c r="A9" t="s">
        <v>1221</v>
      </c>
      <c r="B9" t="s">
        <v>1216</v>
      </c>
      <c r="C9" t="s">
        <v>1228</v>
      </c>
      <c r="D9" t="s">
        <v>1218</v>
      </c>
      <c r="E9" t="s">
        <v>124</v>
      </c>
      <c r="F9" t="s">
        <v>126</v>
      </c>
      <c r="G9">
        <v>2026</v>
      </c>
      <c r="H9">
        <v>4.5340699999999998</v>
      </c>
    </row>
    <row r="10" spans="1:8">
      <c r="A10" t="s">
        <v>1221</v>
      </c>
      <c r="B10" t="s">
        <v>1216</v>
      </c>
      <c r="C10" t="s">
        <v>1228</v>
      </c>
      <c r="D10" t="s">
        <v>1145</v>
      </c>
      <c r="E10" t="s">
        <v>124</v>
      </c>
      <c r="F10" t="s">
        <v>126</v>
      </c>
      <c r="G10">
        <v>2026</v>
      </c>
      <c r="H10">
        <v>0.27243400000000001</v>
      </c>
    </row>
    <row r="11" spans="1:8">
      <c r="A11" t="s">
        <v>1221</v>
      </c>
      <c r="B11" t="s">
        <v>1216</v>
      </c>
      <c r="C11" t="s">
        <v>1228</v>
      </c>
      <c r="D11" t="s">
        <v>1217</v>
      </c>
      <c r="E11" t="s">
        <v>124</v>
      </c>
      <c r="F11" t="s">
        <v>126</v>
      </c>
      <c r="G11">
        <v>2027</v>
      </c>
      <c r="H11">
        <v>8.51417</v>
      </c>
    </row>
    <row r="12" spans="1:8">
      <c r="A12" t="s">
        <v>1221</v>
      </c>
      <c r="B12" t="s">
        <v>1216</v>
      </c>
      <c r="C12" t="s">
        <v>1228</v>
      </c>
      <c r="D12" t="s">
        <v>1081</v>
      </c>
      <c r="E12" t="s">
        <v>124</v>
      </c>
      <c r="F12" t="s">
        <v>126</v>
      </c>
      <c r="G12">
        <v>2027</v>
      </c>
      <c r="H12">
        <v>-8.1883100000000013</v>
      </c>
    </row>
    <row r="13" spans="1:8">
      <c r="A13" t="s">
        <v>1221</v>
      </c>
      <c r="B13" t="s">
        <v>1216</v>
      </c>
      <c r="C13" t="s">
        <v>1228</v>
      </c>
      <c r="D13" t="s">
        <v>1218</v>
      </c>
      <c r="E13" t="s">
        <v>124</v>
      </c>
      <c r="F13" t="s">
        <v>126</v>
      </c>
      <c r="G13">
        <v>2027</v>
      </c>
      <c r="H13">
        <v>4.4840299999999997</v>
      </c>
    </row>
    <row r="14" spans="1:8">
      <c r="A14" t="s">
        <v>1221</v>
      </c>
      <c r="B14" t="s">
        <v>1216</v>
      </c>
      <c r="C14" t="s">
        <v>1228</v>
      </c>
      <c r="D14" t="s">
        <v>1145</v>
      </c>
      <c r="E14" t="s">
        <v>124</v>
      </c>
      <c r="F14" t="s">
        <v>126</v>
      </c>
      <c r="G14">
        <v>2027</v>
      </c>
      <c r="H14">
        <v>0.27338200000000001</v>
      </c>
    </row>
    <row r="15" spans="1:8">
      <c r="A15" t="s">
        <v>1221</v>
      </c>
      <c r="B15" t="s">
        <v>1216</v>
      </c>
      <c r="C15" t="s">
        <v>1228</v>
      </c>
      <c r="D15" t="s">
        <v>1217</v>
      </c>
      <c r="E15" t="s">
        <v>124</v>
      </c>
      <c r="F15" t="s">
        <v>126</v>
      </c>
      <c r="G15">
        <v>2028</v>
      </c>
      <c r="H15">
        <v>8.4918399999999998</v>
      </c>
    </row>
    <row r="16" spans="1:8">
      <c r="A16" t="s">
        <v>1221</v>
      </c>
      <c r="B16" t="s">
        <v>1216</v>
      </c>
      <c r="C16" t="s">
        <v>1228</v>
      </c>
      <c r="D16" t="s">
        <v>1081</v>
      </c>
      <c r="E16" t="s">
        <v>124</v>
      </c>
      <c r="F16" t="s">
        <v>126</v>
      </c>
      <c r="G16">
        <v>2028</v>
      </c>
      <c r="H16">
        <v>-9.0267199999999992</v>
      </c>
    </row>
    <row r="17" spans="1:8">
      <c r="A17" t="s">
        <v>1221</v>
      </c>
      <c r="B17" t="s">
        <v>1216</v>
      </c>
      <c r="C17" t="s">
        <v>1228</v>
      </c>
      <c r="D17" t="s">
        <v>1218</v>
      </c>
      <c r="E17" t="s">
        <v>124</v>
      </c>
      <c r="F17" t="s">
        <v>126</v>
      </c>
      <c r="G17">
        <v>2028</v>
      </c>
      <c r="H17">
        <v>4.4403199999999998</v>
      </c>
    </row>
    <row r="18" spans="1:8">
      <c r="A18" t="s">
        <v>1221</v>
      </c>
      <c r="B18" t="s">
        <v>1216</v>
      </c>
      <c r="C18" t="s">
        <v>1228</v>
      </c>
      <c r="D18" t="s">
        <v>1145</v>
      </c>
      <c r="E18" t="s">
        <v>124</v>
      </c>
      <c r="F18" t="s">
        <v>126</v>
      </c>
      <c r="G18">
        <v>2028</v>
      </c>
      <c r="H18">
        <v>0.27428399999999997</v>
      </c>
    </row>
    <row r="19" spans="1:8">
      <c r="A19" t="s">
        <v>1221</v>
      </c>
      <c r="B19" t="s">
        <v>1216</v>
      </c>
      <c r="C19" t="s">
        <v>1228</v>
      </c>
      <c r="D19" t="s">
        <v>1217</v>
      </c>
      <c r="E19" t="s">
        <v>124</v>
      </c>
      <c r="F19" t="s">
        <v>126</v>
      </c>
      <c r="G19">
        <v>2029</v>
      </c>
      <c r="H19">
        <v>8.4701800000000009</v>
      </c>
    </row>
    <row r="20" spans="1:8">
      <c r="A20" t="s">
        <v>1221</v>
      </c>
      <c r="B20" t="s">
        <v>1216</v>
      </c>
      <c r="C20" t="s">
        <v>1228</v>
      </c>
      <c r="D20" t="s">
        <v>1081</v>
      </c>
      <c r="E20" t="s">
        <v>124</v>
      </c>
      <c r="F20" t="s">
        <v>126</v>
      </c>
      <c r="G20">
        <v>2029</v>
      </c>
      <c r="H20">
        <v>-9.7177000000000007</v>
      </c>
    </row>
    <row r="21" spans="1:8">
      <c r="A21" t="s">
        <v>1221</v>
      </c>
      <c r="B21" t="s">
        <v>1216</v>
      </c>
      <c r="C21" t="s">
        <v>1228</v>
      </c>
      <c r="D21" t="s">
        <v>1218</v>
      </c>
      <c r="E21" t="s">
        <v>124</v>
      </c>
      <c r="F21" t="s">
        <v>126</v>
      </c>
      <c r="G21">
        <v>2029</v>
      </c>
      <c r="H21">
        <v>4.4197500000000005</v>
      </c>
    </row>
    <row r="22" spans="1:8">
      <c r="A22" t="s">
        <v>1221</v>
      </c>
      <c r="B22" t="s">
        <v>1216</v>
      </c>
      <c r="C22" t="s">
        <v>1228</v>
      </c>
      <c r="D22" t="s">
        <v>1145</v>
      </c>
      <c r="E22" t="s">
        <v>124</v>
      </c>
      <c r="F22" t="s">
        <v>126</v>
      </c>
      <c r="G22">
        <v>2029</v>
      </c>
      <c r="H22">
        <v>0.27513400000000005</v>
      </c>
    </row>
    <row r="23" spans="1:8">
      <c r="A23" t="s">
        <v>1221</v>
      </c>
      <c r="B23" t="s">
        <v>1216</v>
      </c>
      <c r="C23" t="s">
        <v>1228</v>
      </c>
      <c r="D23" t="s">
        <v>1217</v>
      </c>
      <c r="E23" t="s">
        <v>124</v>
      </c>
      <c r="F23" t="s">
        <v>126</v>
      </c>
      <c r="G23">
        <v>2030</v>
      </c>
      <c r="H23">
        <v>8.4431600000000007</v>
      </c>
    </row>
    <row r="24" spans="1:8">
      <c r="A24" t="s">
        <v>1221</v>
      </c>
      <c r="B24" t="s">
        <v>1216</v>
      </c>
      <c r="C24" t="s">
        <v>1228</v>
      </c>
      <c r="D24" t="s">
        <v>1081</v>
      </c>
      <c r="E24" t="s">
        <v>124</v>
      </c>
      <c r="F24" t="s">
        <v>126</v>
      </c>
      <c r="G24">
        <v>2030</v>
      </c>
      <c r="H24">
        <v>-10.2935</v>
      </c>
    </row>
    <row r="25" spans="1:8">
      <c r="A25" t="s">
        <v>1221</v>
      </c>
      <c r="B25" t="s">
        <v>1216</v>
      </c>
      <c r="C25" t="s">
        <v>1228</v>
      </c>
      <c r="D25" t="s">
        <v>1218</v>
      </c>
      <c r="E25" t="s">
        <v>124</v>
      </c>
      <c r="F25" t="s">
        <v>126</v>
      </c>
      <c r="G25">
        <v>2030</v>
      </c>
      <c r="H25">
        <v>4.3586499999999999</v>
      </c>
    </row>
    <row r="26" spans="1:8">
      <c r="A26" t="s">
        <v>1221</v>
      </c>
      <c r="B26" t="s">
        <v>1216</v>
      </c>
      <c r="C26" t="s">
        <v>1228</v>
      </c>
      <c r="D26" t="s">
        <v>1145</v>
      </c>
      <c r="E26" t="s">
        <v>124</v>
      </c>
      <c r="F26" t="s">
        <v>126</v>
      </c>
      <c r="G26">
        <v>2030</v>
      </c>
      <c r="H26">
        <v>0.27593599999999996</v>
      </c>
    </row>
    <row r="27" spans="1:8">
      <c r="A27" t="s">
        <v>1221</v>
      </c>
      <c r="B27" t="s">
        <v>1216</v>
      </c>
      <c r="C27" t="s">
        <v>1228</v>
      </c>
      <c r="D27" t="s">
        <v>1217</v>
      </c>
      <c r="E27" t="s">
        <v>124</v>
      </c>
      <c r="F27" t="s">
        <v>126</v>
      </c>
      <c r="G27">
        <v>2031</v>
      </c>
      <c r="H27">
        <v>8.4329999999999998</v>
      </c>
    </row>
    <row r="28" spans="1:8">
      <c r="A28" t="s">
        <v>1221</v>
      </c>
      <c r="B28" t="s">
        <v>1216</v>
      </c>
      <c r="C28" t="s">
        <v>1228</v>
      </c>
      <c r="D28" t="s">
        <v>1081</v>
      </c>
      <c r="E28" t="s">
        <v>124</v>
      </c>
      <c r="F28" t="s">
        <v>126</v>
      </c>
      <c r="G28">
        <v>2031</v>
      </c>
      <c r="H28">
        <v>-10.887200000000002</v>
      </c>
    </row>
    <row r="29" spans="1:8">
      <c r="A29" t="s">
        <v>1221</v>
      </c>
      <c r="B29" t="s">
        <v>1216</v>
      </c>
      <c r="C29" t="s">
        <v>1228</v>
      </c>
      <c r="D29" t="s">
        <v>1218</v>
      </c>
      <c r="E29" t="s">
        <v>124</v>
      </c>
      <c r="F29" t="s">
        <v>126</v>
      </c>
      <c r="G29">
        <v>2031</v>
      </c>
      <c r="H29">
        <v>4.3135900000000005</v>
      </c>
    </row>
    <row r="30" spans="1:8">
      <c r="A30" t="s">
        <v>1221</v>
      </c>
      <c r="B30" t="s">
        <v>1216</v>
      </c>
      <c r="C30" t="s">
        <v>1228</v>
      </c>
      <c r="D30" t="s">
        <v>1145</v>
      </c>
      <c r="E30" t="s">
        <v>124</v>
      </c>
      <c r="F30" t="s">
        <v>126</v>
      </c>
      <c r="G30">
        <v>2031</v>
      </c>
      <c r="H30">
        <v>0.27666000000000002</v>
      </c>
    </row>
    <row r="31" spans="1:8">
      <c r="A31" t="s">
        <v>1221</v>
      </c>
      <c r="B31" t="s">
        <v>1216</v>
      </c>
      <c r="C31" t="s">
        <v>1228</v>
      </c>
      <c r="D31" t="s">
        <v>1217</v>
      </c>
      <c r="E31" t="s">
        <v>124</v>
      </c>
      <c r="F31" t="s">
        <v>126</v>
      </c>
      <c r="G31">
        <v>2032</v>
      </c>
      <c r="H31">
        <v>8.4133600000000008</v>
      </c>
    </row>
    <row r="32" spans="1:8">
      <c r="A32" t="s">
        <v>1221</v>
      </c>
      <c r="B32" t="s">
        <v>1216</v>
      </c>
      <c r="C32" t="s">
        <v>1228</v>
      </c>
      <c r="D32" t="s">
        <v>1081</v>
      </c>
      <c r="E32" t="s">
        <v>124</v>
      </c>
      <c r="F32" t="s">
        <v>126</v>
      </c>
      <c r="G32">
        <v>2032</v>
      </c>
      <c r="H32">
        <v>-11.4756</v>
      </c>
    </row>
    <row r="33" spans="1:8">
      <c r="A33" t="s">
        <v>1221</v>
      </c>
      <c r="B33" t="s">
        <v>1216</v>
      </c>
      <c r="C33" t="s">
        <v>1228</v>
      </c>
      <c r="D33" t="s">
        <v>1218</v>
      </c>
      <c r="E33" t="s">
        <v>124</v>
      </c>
      <c r="F33" t="s">
        <v>126</v>
      </c>
      <c r="G33">
        <v>2032</v>
      </c>
      <c r="H33">
        <v>4.2706600000000003</v>
      </c>
    </row>
    <row r="34" spans="1:8">
      <c r="A34" t="s">
        <v>1221</v>
      </c>
      <c r="B34" t="s">
        <v>1216</v>
      </c>
      <c r="C34" t="s">
        <v>1228</v>
      </c>
      <c r="D34" t="s">
        <v>1145</v>
      </c>
      <c r="E34" t="s">
        <v>124</v>
      </c>
      <c r="F34" t="s">
        <v>126</v>
      </c>
      <c r="G34">
        <v>2032</v>
      </c>
      <c r="H34">
        <v>0.27734399999999998</v>
      </c>
    </row>
    <row r="35" spans="1:8">
      <c r="A35" t="s">
        <v>1221</v>
      </c>
      <c r="B35" t="s">
        <v>1216</v>
      </c>
      <c r="C35" t="s">
        <v>1228</v>
      </c>
      <c r="D35" t="s">
        <v>1217</v>
      </c>
      <c r="E35" t="s">
        <v>124</v>
      </c>
      <c r="F35" t="s">
        <v>126</v>
      </c>
      <c r="G35">
        <v>2033</v>
      </c>
      <c r="H35">
        <v>8.3980599999999992</v>
      </c>
    </row>
    <row r="36" spans="1:8">
      <c r="A36" t="s">
        <v>1221</v>
      </c>
      <c r="B36" t="s">
        <v>1216</v>
      </c>
      <c r="C36" t="s">
        <v>1228</v>
      </c>
      <c r="D36" t="s">
        <v>1081</v>
      </c>
      <c r="E36" t="s">
        <v>124</v>
      </c>
      <c r="F36" t="s">
        <v>126</v>
      </c>
      <c r="G36">
        <v>2033</v>
      </c>
      <c r="H36">
        <v>-11.997400000000001</v>
      </c>
    </row>
    <row r="37" spans="1:8">
      <c r="A37" t="s">
        <v>1221</v>
      </c>
      <c r="B37" t="s">
        <v>1216</v>
      </c>
      <c r="C37" t="s">
        <v>1228</v>
      </c>
      <c r="D37" t="s">
        <v>1218</v>
      </c>
      <c r="E37" t="s">
        <v>124</v>
      </c>
      <c r="F37" t="s">
        <v>126</v>
      </c>
      <c r="G37">
        <v>2033</v>
      </c>
      <c r="H37">
        <v>4.2149300000000007</v>
      </c>
    </row>
    <row r="38" spans="1:8">
      <c r="A38" t="s">
        <v>1221</v>
      </c>
      <c r="B38" t="s">
        <v>1216</v>
      </c>
      <c r="C38" t="s">
        <v>1228</v>
      </c>
      <c r="D38" t="s">
        <v>1145</v>
      </c>
      <c r="E38" t="s">
        <v>124</v>
      </c>
      <c r="F38" t="s">
        <v>126</v>
      </c>
      <c r="G38">
        <v>2033</v>
      </c>
      <c r="H38">
        <v>0.27797300000000003</v>
      </c>
    </row>
    <row r="39" spans="1:8">
      <c r="A39" t="s">
        <v>1221</v>
      </c>
      <c r="B39" t="s">
        <v>1216</v>
      </c>
      <c r="C39" t="s">
        <v>1228</v>
      </c>
      <c r="D39" t="s">
        <v>1217</v>
      </c>
      <c r="E39" t="s">
        <v>124</v>
      </c>
      <c r="F39" t="s">
        <v>126</v>
      </c>
      <c r="G39">
        <v>2034</v>
      </c>
      <c r="H39">
        <v>8.3813300000000002</v>
      </c>
    </row>
    <row r="40" spans="1:8">
      <c r="A40" t="s">
        <v>1221</v>
      </c>
      <c r="B40" t="s">
        <v>1216</v>
      </c>
      <c r="C40" t="s">
        <v>1228</v>
      </c>
      <c r="D40" t="s">
        <v>1081</v>
      </c>
      <c r="E40" t="s">
        <v>124</v>
      </c>
      <c r="F40" t="s">
        <v>126</v>
      </c>
      <c r="G40">
        <v>2034</v>
      </c>
      <c r="H40">
        <v>-12.44</v>
      </c>
    </row>
    <row r="41" spans="1:8">
      <c r="A41" t="s">
        <v>1221</v>
      </c>
      <c r="B41" t="s">
        <v>1216</v>
      </c>
      <c r="C41" t="s">
        <v>1228</v>
      </c>
      <c r="D41" t="s">
        <v>1218</v>
      </c>
      <c r="E41" t="s">
        <v>124</v>
      </c>
      <c r="F41" t="s">
        <v>126</v>
      </c>
      <c r="G41">
        <v>2034</v>
      </c>
      <c r="H41">
        <v>4.1684000000000001</v>
      </c>
    </row>
    <row r="42" spans="1:8">
      <c r="A42" t="s">
        <v>1221</v>
      </c>
      <c r="B42" t="s">
        <v>1216</v>
      </c>
      <c r="C42" t="s">
        <v>1228</v>
      </c>
      <c r="D42" t="s">
        <v>1145</v>
      </c>
      <c r="E42" t="s">
        <v>124</v>
      </c>
      <c r="F42" t="s">
        <v>126</v>
      </c>
      <c r="G42">
        <v>2034</v>
      </c>
      <c r="H42">
        <v>0.27854600000000002</v>
      </c>
    </row>
    <row r="43" spans="1:8">
      <c r="A43" t="s">
        <v>1221</v>
      </c>
      <c r="B43" t="s">
        <v>1216</v>
      </c>
      <c r="C43" t="s">
        <v>1228</v>
      </c>
      <c r="D43" t="s">
        <v>1217</v>
      </c>
      <c r="E43" t="s">
        <v>124</v>
      </c>
      <c r="F43" t="s">
        <v>126</v>
      </c>
      <c r="G43">
        <v>2035</v>
      </c>
      <c r="H43">
        <v>8.3615700000000004</v>
      </c>
    </row>
    <row r="44" spans="1:8">
      <c r="A44" t="s">
        <v>1221</v>
      </c>
      <c r="B44" t="s">
        <v>1216</v>
      </c>
      <c r="C44" t="s">
        <v>1228</v>
      </c>
      <c r="D44" t="s">
        <v>1081</v>
      </c>
      <c r="E44" t="s">
        <v>124</v>
      </c>
      <c r="F44" t="s">
        <v>126</v>
      </c>
      <c r="G44">
        <v>2035</v>
      </c>
      <c r="H44">
        <v>-13.0678</v>
      </c>
    </row>
    <row r="45" spans="1:8">
      <c r="A45" t="s">
        <v>1221</v>
      </c>
      <c r="B45" t="s">
        <v>1216</v>
      </c>
      <c r="C45" t="s">
        <v>1228</v>
      </c>
      <c r="D45" t="s">
        <v>1218</v>
      </c>
      <c r="E45" t="s">
        <v>124</v>
      </c>
      <c r="F45" t="s">
        <v>126</v>
      </c>
      <c r="G45">
        <v>2035</v>
      </c>
      <c r="H45">
        <v>4.1401499999999993</v>
      </c>
    </row>
    <row r="46" spans="1:8">
      <c r="A46" t="s">
        <v>1221</v>
      </c>
      <c r="B46" t="s">
        <v>1216</v>
      </c>
      <c r="C46" t="s">
        <v>1228</v>
      </c>
      <c r="D46" t="s">
        <v>1145</v>
      </c>
      <c r="E46" t="s">
        <v>124</v>
      </c>
      <c r="F46" t="s">
        <v>126</v>
      </c>
      <c r="G46">
        <v>2035</v>
      </c>
      <c r="H46">
        <v>0.27906799999999998</v>
      </c>
    </row>
    <row r="47" spans="1:8">
      <c r="A47" t="s">
        <v>1221</v>
      </c>
      <c r="B47" t="s">
        <v>1216</v>
      </c>
      <c r="C47" t="s">
        <v>1228</v>
      </c>
      <c r="D47" t="s">
        <v>1217</v>
      </c>
      <c r="E47" t="s">
        <v>124</v>
      </c>
      <c r="F47" t="s">
        <v>126</v>
      </c>
      <c r="G47">
        <v>2036</v>
      </c>
      <c r="H47">
        <v>8.3457500000000007</v>
      </c>
    </row>
    <row r="48" spans="1:8">
      <c r="A48" t="s">
        <v>1221</v>
      </c>
      <c r="B48" t="s">
        <v>1216</v>
      </c>
      <c r="C48" t="s">
        <v>1228</v>
      </c>
      <c r="D48" t="s">
        <v>1081</v>
      </c>
      <c r="E48" t="s">
        <v>124</v>
      </c>
      <c r="F48" t="s">
        <v>126</v>
      </c>
      <c r="G48">
        <v>2036</v>
      </c>
      <c r="H48">
        <v>-13.980500000000001</v>
      </c>
    </row>
    <row r="49" spans="1:8">
      <c r="A49" t="s">
        <v>1221</v>
      </c>
      <c r="B49" t="s">
        <v>1216</v>
      </c>
      <c r="C49" t="s">
        <v>1228</v>
      </c>
      <c r="D49" t="s">
        <v>1218</v>
      </c>
      <c r="E49" t="s">
        <v>124</v>
      </c>
      <c r="F49" t="s">
        <v>126</v>
      </c>
      <c r="G49">
        <v>2036</v>
      </c>
      <c r="H49">
        <v>4.1014600000000003</v>
      </c>
    </row>
    <row r="50" spans="1:8">
      <c r="A50" t="s">
        <v>1221</v>
      </c>
      <c r="B50" t="s">
        <v>1216</v>
      </c>
      <c r="C50" t="s">
        <v>1228</v>
      </c>
      <c r="D50" t="s">
        <v>1145</v>
      </c>
      <c r="E50" t="s">
        <v>124</v>
      </c>
      <c r="F50" t="s">
        <v>126</v>
      </c>
      <c r="G50">
        <v>2036</v>
      </c>
      <c r="H50">
        <v>0.27957400000000004</v>
      </c>
    </row>
    <row r="51" spans="1:8">
      <c r="A51" t="s">
        <v>1221</v>
      </c>
      <c r="B51" t="s">
        <v>1216</v>
      </c>
      <c r="C51" t="s">
        <v>1228</v>
      </c>
      <c r="D51" t="s">
        <v>1217</v>
      </c>
      <c r="E51" t="s">
        <v>124</v>
      </c>
      <c r="F51" t="s">
        <v>126</v>
      </c>
      <c r="G51">
        <v>2037</v>
      </c>
      <c r="H51">
        <v>8.3269199999999994</v>
      </c>
    </row>
    <row r="52" spans="1:8">
      <c r="A52" t="s">
        <v>1221</v>
      </c>
      <c r="B52" t="s">
        <v>1216</v>
      </c>
      <c r="C52" t="s">
        <v>1228</v>
      </c>
      <c r="D52" t="s">
        <v>1081</v>
      </c>
      <c r="E52" t="s">
        <v>124</v>
      </c>
      <c r="F52" t="s">
        <v>126</v>
      </c>
      <c r="G52">
        <v>2037</v>
      </c>
      <c r="H52">
        <v>-15.542100000000001</v>
      </c>
    </row>
    <row r="53" spans="1:8">
      <c r="A53" t="s">
        <v>1221</v>
      </c>
      <c r="B53" t="s">
        <v>1216</v>
      </c>
      <c r="C53" t="s">
        <v>1228</v>
      </c>
      <c r="D53" t="s">
        <v>1218</v>
      </c>
      <c r="E53" t="s">
        <v>124</v>
      </c>
      <c r="F53" t="s">
        <v>126</v>
      </c>
      <c r="G53">
        <v>2037</v>
      </c>
      <c r="H53">
        <v>4.0758600000000005</v>
      </c>
    </row>
    <row r="54" spans="1:8">
      <c r="A54" t="s">
        <v>1221</v>
      </c>
      <c r="B54" t="s">
        <v>1216</v>
      </c>
      <c r="C54" t="s">
        <v>1228</v>
      </c>
      <c r="D54" t="s">
        <v>1145</v>
      </c>
      <c r="E54" t="s">
        <v>124</v>
      </c>
      <c r="F54" t="s">
        <v>126</v>
      </c>
      <c r="G54">
        <v>2037</v>
      </c>
      <c r="H54">
        <v>0.28006799999999998</v>
      </c>
    </row>
    <row r="55" spans="1:8">
      <c r="A55" t="s">
        <v>1221</v>
      </c>
      <c r="B55" t="s">
        <v>1216</v>
      </c>
      <c r="C55" t="s">
        <v>1228</v>
      </c>
      <c r="D55" t="s">
        <v>1217</v>
      </c>
      <c r="E55" t="s">
        <v>124</v>
      </c>
      <c r="F55" t="s">
        <v>126</v>
      </c>
      <c r="G55">
        <v>2038</v>
      </c>
      <c r="H55">
        <v>8.3130199999999999</v>
      </c>
    </row>
    <row r="56" spans="1:8">
      <c r="A56" t="s">
        <v>1221</v>
      </c>
      <c r="B56" t="s">
        <v>1216</v>
      </c>
      <c r="C56" t="s">
        <v>1228</v>
      </c>
      <c r="D56" t="s">
        <v>1081</v>
      </c>
      <c r="E56" t="s">
        <v>124</v>
      </c>
      <c r="F56" t="s">
        <v>126</v>
      </c>
      <c r="G56">
        <v>2038</v>
      </c>
      <c r="H56">
        <v>-16.530099999999997</v>
      </c>
    </row>
    <row r="57" spans="1:8">
      <c r="A57" t="s">
        <v>1221</v>
      </c>
      <c r="B57" t="s">
        <v>1216</v>
      </c>
      <c r="C57" t="s">
        <v>1228</v>
      </c>
      <c r="D57" t="s">
        <v>1218</v>
      </c>
      <c r="E57" t="s">
        <v>124</v>
      </c>
      <c r="F57" t="s">
        <v>126</v>
      </c>
      <c r="G57">
        <v>2038</v>
      </c>
      <c r="H57">
        <v>4.0526300000000006</v>
      </c>
    </row>
    <row r="58" spans="1:8">
      <c r="A58" t="s">
        <v>1221</v>
      </c>
      <c r="B58" t="s">
        <v>1216</v>
      </c>
      <c r="C58" t="s">
        <v>1228</v>
      </c>
      <c r="D58" t="s">
        <v>1145</v>
      </c>
      <c r="E58" t="s">
        <v>124</v>
      </c>
      <c r="F58" t="s">
        <v>126</v>
      </c>
      <c r="G58">
        <v>2038</v>
      </c>
      <c r="H58">
        <v>0.28055399999999997</v>
      </c>
    </row>
    <row r="59" spans="1:8">
      <c r="A59" t="s">
        <v>1221</v>
      </c>
      <c r="B59" t="s">
        <v>1216</v>
      </c>
      <c r="C59" t="s">
        <v>1228</v>
      </c>
      <c r="D59" t="s">
        <v>1217</v>
      </c>
      <c r="E59" t="s">
        <v>124</v>
      </c>
      <c r="F59" t="s">
        <v>126</v>
      </c>
      <c r="G59">
        <v>2039</v>
      </c>
      <c r="H59">
        <v>8.2907999999999991</v>
      </c>
    </row>
    <row r="60" spans="1:8">
      <c r="A60" t="s">
        <v>1221</v>
      </c>
      <c r="B60" t="s">
        <v>1216</v>
      </c>
      <c r="C60" t="s">
        <v>1228</v>
      </c>
      <c r="D60" t="s">
        <v>1081</v>
      </c>
      <c r="E60" t="s">
        <v>124</v>
      </c>
      <c r="F60" t="s">
        <v>126</v>
      </c>
      <c r="G60">
        <v>2039</v>
      </c>
      <c r="H60">
        <v>-17.557500000000001</v>
      </c>
    </row>
    <row r="61" spans="1:8">
      <c r="A61" t="s">
        <v>1221</v>
      </c>
      <c r="B61" t="s">
        <v>1216</v>
      </c>
      <c r="C61" t="s">
        <v>1228</v>
      </c>
      <c r="D61" t="s">
        <v>1218</v>
      </c>
      <c r="E61" t="s">
        <v>124</v>
      </c>
      <c r="F61" t="s">
        <v>126</v>
      </c>
      <c r="G61">
        <v>2039</v>
      </c>
      <c r="H61">
        <v>4.0318800000000001</v>
      </c>
    </row>
    <row r="62" spans="1:8">
      <c r="A62" t="s">
        <v>1221</v>
      </c>
      <c r="B62" t="s">
        <v>1216</v>
      </c>
      <c r="C62" t="s">
        <v>1228</v>
      </c>
      <c r="D62" t="s">
        <v>1145</v>
      </c>
      <c r="E62" t="s">
        <v>124</v>
      </c>
      <c r="F62" t="s">
        <v>126</v>
      </c>
      <c r="G62">
        <v>2039</v>
      </c>
      <c r="H62">
        <v>0.281032</v>
      </c>
    </row>
    <row r="63" spans="1:8">
      <c r="A63" t="s">
        <v>1221</v>
      </c>
      <c r="B63" t="s">
        <v>1216</v>
      </c>
      <c r="C63" t="s">
        <v>1228</v>
      </c>
      <c r="D63" t="s">
        <v>1217</v>
      </c>
      <c r="E63" t="s">
        <v>124</v>
      </c>
      <c r="F63" t="s">
        <v>126</v>
      </c>
      <c r="G63">
        <v>2040</v>
      </c>
      <c r="H63">
        <v>8.274799999999999</v>
      </c>
    </row>
    <row r="64" spans="1:8">
      <c r="A64" t="s">
        <v>1221</v>
      </c>
      <c r="B64" t="s">
        <v>1216</v>
      </c>
      <c r="C64" t="s">
        <v>1228</v>
      </c>
      <c r="D64" t="s">
        <v>1081</v>
      </c>
      <c r="E64" t="s">
        <v>124</v>
      </c>
      <c r="F64" t="s">
        <v>126</v>
      </c>
      <c r="G64">
        <v>2040</v>
      </c>
      <c r="H64">
        <v>-18.595500000000001</v>
      </c>
    </row>
    <row r="65" spans="1:8">
      <c r="A65" t="s">
        <v>1221</v>
      </c>
      <c r="B65" t="s">
        <v>1216</v>
      </c>
      <c r="C65" t="s">
        <v>1228</v>
      </c>
      <c r="D65" t="s">
        <v>1218</v>
      </c>
      <c r="E65" t="s">
        <v>124</v>
      </c>
      <c r="F65" t="s">
        <v>126</v>
      </c>
      <c r="G65">
        <v>2040</v>
      </c>
      <c r="H65">
        <v>3.9845300000000003</v>
      </c>
    </row>
    <row r="66" spans="1:8">
      <c r="A66" t="s">
        <v>1221</v>
      </c>
      <c r="B66" t="s">
        <v>1216</v>
      </c>
      <c r="C66" t="s">
        <v>1228</v>
      </c>
      <c r="D66" t="s">
        <v>1145</v>
      </c>
      <c r="E66" t="s">
        <v>124</v>
      </c>
      <c r="F66" t="s">
        <v>126</v>
      </c>
      <c r="G66">
        <v>2040</v>
      </c>
      <c r="H66">
        <v>0.28150200000000003</v>
      </c>
    </row>
    <row r="67" spans="1:8">
      <c r="A67" t="s">
        <v>1221</v>
      </c>
      <c r="B67" t="s">
        <v>1216</v>
      </c>
      <c r="C67" t="s">
        <v>1228</v>
      </c>
      <c r="D67" t="s">
        <v>1217</v>
      </c>
      <c r="E67" t="s">
        <v>124</v>
      </c>
      <c r="F67" t="s">
        <v>126</v>
      </c>
      <c r="G67">
        <v>2041</v>
      </c>
      <c r="H67">
        <v>8.2569400000000002</v>
      </c>
    </row>
    <row r="68" spans="1:8">
      <c r="A68" t="s">
        <v>1221</v>
      </c>
      <c r="B68" t="s">
        <v>1216</v>
      </c>
      <c r="C68" t="s">
        <v>1228</v>
      </c>
      <c r="D68" t="s">
        <v>1081</v>
      </c>
      <c r="E68" t="s">
        <v>124</v>
      </c>
      <c r="F68" t="s">
        <v>126</v>
      </c>
      <c r="G68">
        <v>2041</v>
      </c>
      <c r="H68">
        <v>-19.434999999999999</v>
      </c>
    </row>
    <row r="69" spans="1:8">
      <c r="A69" t="s">
        <v>1221</v>
      </c>
      <c r="B69" t="s">
        <v>1216</v>
      </c>
      <c r="C69" t="s">
        <v>1228</v>
      </c>
      <c r="D69" t="s">
        <v>1218</v>
      </c>
      <c r="E69" t="s">
        <v>124</v>
      </c>
      <c r="F69" t="s">
        <v>126</v>
      </c>
      <c r="G69">
        <v>2041</v>
      </c>
      <c r="H69">
        <v>3.9709300000000001</v>
      </c>
    </row>
    <row r="70" spans="1:8">
      <c r="A70" t="s">
        <v>1221</v>
      </c>
      <c r="B70" t="s">
        <v>1216</v>
      </c>
      <c r="C70" t="s">
        <v>1228</v>
      </c>
      <c r="D70" t="s">
        <v>1145</v>
      </c>
      <c r="E70" t="s">
        <v>124</v>
      </c>
      <c r="F70" t="s">
        <v>126</v>
      </c>
      <c r="G70">
        <v>2041</v>
      </c>
      <c r="H70">
        <v>0.28196699999999997</v>
      </c>
    </row>
    <row r="71" spans="1:8">
      <c r="A71" t="s">
        <v>1221</v>
      </c>
      <c r="B71" t="s">
        <v>1216</v>
      </c>
      <c r="C71" t="s">
        <v>1228</v>
      </c>
      <c r="D71" t="s">
        <v>1217</v>
      </c>
      <c r="E71" t="s">
        <v>124</v>
      </c>
      <c r="F71" t="s">
        <v>126</v>
      </c>
      <c r="G71">
        <v>2042</v>
      </c>
      <c r="H71">
        <v>8.23508</v>
      </c>
    </row>
    <row r="72" spans="1:8">
      <c r="A72" t="s">
        <v>1221</v>
      </c>
      <c r="B72" t="s">
        <v>1216</v>
      </c>
      <c r="C72" t="s">
        <v>1228</v>
      </c>
      <c r="D72" t="s">
        <v>1081</v>
      </c>
      <c r="E72" t="s">
        <v>124</v>
      </c>
      <c r="F72" t="s">
        <v>126</v>
      </c>
      <c r="G72">
        <v>2042</v>
      </c>
      <c r="H72">
        <v>-19.8565</v>
      </c>
    </row>
    <row r="73" spans="1:8">
      <c r="A73" t="s">
        <v>1221</v>
      </c>
      <c r="B73" t="s">
        <v>1216</v>
      </c>
      <c r="C73" t="s">
        <v>1228</v>
      </c>
      <c r="D73" t="s">
        <v>1218</v>
      </c>
      <c r="E73" t="s">
        <v>124</v>
      </c>
      <c r="F73" t="s">
        <v>126</v>
      </c>
      <c r="G73">
        <v>2042</v>
      </c>
      <c r="H73">
        <v>3.9606400000000002</v>
      </c>
    </row>
    <row r="74" spans="1:8">
      <c r="A74" t="s">
        <v>1221</v>
      </c>
      <c r="B74" t="s">
        <v>1216</v>
      </c>
      <c r="C74" t="s">
        <v>1228</v>
      </c>
      <c r="D74" t="s">
        <v>1145</v>
      </c>
      <c r="E74" t="s">
        <v>124</v>
      </c>
      <c r="F74" t="s">
        <v>126</v>
      </c>
      <c r="G74">
        <v>2042</v>
      </c>
      <c r="H74">
        <v>0.28242600000000001</v>
      </c>
    </row>
    <row r="75" spans="1:8">
      <c r="A75" t="s">
        <v>1221</v>
      </c>
      <c r="B75" t="s">
        <v>1216</v>
      </c>
      <c r="C75" t="s">
        <v>1228</v>
      </c>
      <c r="D75" t="s">
        <v>1217</v>
      </c>
      <c r="E75" t="s">
        <v>124</v>
      </c>
      <c r="F75" t="s">
        <v>126</v>
      </c>
      <c r="G75">
        <v>2043</v>
      </c>
      <c r="H75">
        <v>8.2192699999999999</v>
      </c>
    </row>
    <row r="76" spans="1:8">
      <c r="A76" t="s">
        <v>1221</v>
      </c>
      <c r="B76" t="s">
        <v>1216</v>
      </c>
      <c r="C76" t="s">
        <v>1228</v>
      </c>
      <c r="D76" t="s">
        <v>1081</v>
      </c>
      <c r="E76" t="s">
        <v>124</v>
      </c>
      <c r="F76" t="s">
        <v>126</v>
      </c>
      <c r="G76">
        <v>2043</v>
      </c>
      <c r="H76">
        <v>-20.173999999999999</v>
      </c>
    </row>
    <row r="77" spans="1:8">
      <c r="A77" t="s">
        <v>1221</v>
      </c>
      <c r="B77" t="s">
        <v>1216</v>
      </c>
      <c r="C77" t="s">
        <v>1228</v>
      </c>
      <c r="D77" t="s">
        <v>1218</v>
      </c>
      <c r="E77" t="s">
        <v>124</v>
      </c>
      <c r="F77" t="s">
        <v>126</v>
      </c>
      <c r="G77">
        <v>2043</v>
      </c>
      <c r="H77">
        <v>3.9566400000000002</v>
      </c>
    </row>
    <row r="78" spans="1:8">
      <c r="A78" t="s">
        <v>1221</v>
      </c>
      <c r="B78" t="s">
        <v>1216</v>
      </c>
      <c r="C78" t="s">
        <v>1228</v>
      </c>
      <c r="D78" t="s">
        <v>1145</v>
      </c>
      <c r="E78" t="s">
        <v>124</v>
      </c>
      <c r="F78" t="s">
        <v>126</v>
      </c>
      <c r="G78">
        <v>2043</v>
      </c>
      <c r="H78">
        <v>0.28288099999999999</v>
      </c>
    </row>
    <row r="79" spans="1:8">
      <c r="A79" t="s">
        <v>1221</v>
      </c>
      <c r="B79" t="s">
        <v>1216</v>
      </c>
      <c r="C79" t="s">
        <v>1228</v>
      </c>
      <c r="D79" t="s">
        <v>1217</v>
      </c>
      <c r="E79" t="s">
        <v>124</v>
      </c>
      <c r="F79" t="s">
        <v>126</v>
      </c>
      <c r="G79">
        <v>2044</v>
      </c>
      <c r="H79">
        <v>8.2000200000000003</v>
      </c>
    </row>
    <row r="80" spans="1:8">
      <c r="A80" t="s">
        <v>1221</v>
      </c>
      <c r="B80" t="s">
        <v>1216</v>
      </c>
      <c r="C80" t="s">
        <v>1228</v>
      </c>
      <c r="D80" t="s">
        <v>1081</v>
      </c>
      <c r="E80" t="s">
        <v>124</v>
      </c>
      <c r="F80" t="s">
        <v>126</v>
      </c>
      <c r="G80">
        <v>2044</v>
      </c>
      <c r="H80">
        <v>-20.473099999999999</v>
      </c>
    </row>
    <row r="81" spans="1:8">
      <c r="A81" t="s">
        <v>1221</v>
      </c>
      <c r="B81" t="s">
        <v>1216</v>
      </c>
      <c r="C81" t="s">
        <v>1228</v>
      </c>
      <c r="D81" t="s">
        <v>1218</v>
      </c>
      <c r="E81" t="s">
        <v>124</v>
      </c>
      <c r="F81" t="s">
        <v>126</v>
      </c>
      <c r="G81">
        <v>2044</v>
      </c>
      <c r="H81">
        <v>3.9561900000000003</v>
      </c>
    </row>
    <row r="82" spans="1:8">
      <c r="A82" t="s">
        <v>1221</v>
      </c>
      <c r="B82" t="s">
        <v>1216</v>
      </c>
      <c r="C82" t="s">
        <v>1228</v>
      </c>
      <c r="D82" t="s">
        <v>1145</v>
      </c>
      <c r="E82" t="s">
        <v>124</v>
      </c>
      <c r="F82" t="s">
        <v>126</v>
      </c>
      <c r="G82">
        <v>2044</v>
      </c>
      <c r="H82">
        <v>0.283329</v>
      </c>
    </row>
    <row r="83" spans="1:8">
      <c r="A83" t="s">
        <v>1221</v>
      </c>
      <c r="B83" t="s">
        <v>1216</v>
      </c>
      <c r="C83" t="s">
        <v>1228</v>
      </c>
      <c r="D83" t="s">
        <v>1217</v>
      </c>
      <c r="E83" t="s">
        <v>124</v>
      </c>
      <c r="F83" t="s">
        <v>126</v>
      </c>
      <c r="G83">
        <v>2045</v>
      </c>
      <c r="H83">
        <v>8.18</v>
      </c>
    </row>
    <row r="84" spans="1:8">
      <c r="A84" t="s">
        <v>1221</v>
      </c>
      <c r="B84" t="s">
        <v>1216</v>
      </c>
      <c r="C84" t="s">
        <v>1228</v>
      </c>
      <c r="D84" t="s">
        <v>1081</v>
      </c>
      <c r="E84" t="s">
        <v>124</v>
      </c>
      <c r="F84" t="s">
        <v>126</v>
      </c>
      <c r="G84">
        <v>2045</v>
      </c>
      <c r="H84">
        <v>-20.832799999999999</v>
      </c>
    </row>
    <row r="85" spans="1:8">
      <c r="A85" t="s">
        <v>1221</v>
      </c>
      <c r="B85" t="s">
        <v>1216</v>
      </c>
      <c r="C85" t="s">
        <v>1228</v>
      </c>
      <c r="D85" t="s">
        <v>1218</v>
      </c>
      <c r="E85" t="s">
        <v>124</v>
      </c>
      <c r="F85" t="s">
        <v>126</v>
      </c>
      <c r="G85">
        <v>2045</v>
      </c>
      <c r="H85">
        <v>3.9589099999999999</v>
      </c>
    </row>
    <row r="86" spans="1:8">
      <c r="A86" t="s">
        <v>1221</v>
      </c>
      <c r="B86" t="s">
        <v>1216</v>
      </c>
      <c r="C86" t="s">
        <v>1228</v>
      </c>
      <c r="D86" t="s">
        <v>1145</v>
      </c>
      <c r="E86" t="s">
        <v>124</v>
      </c>
      <c r="F86" t="s">
        <v>126</v>
      </c>
      <c r="G86">
        <v>2045</v>
      </c>
      <c r="H86">
        <v>0.28377300000000005</v>
      </c>
    </row>
    <row r="87" spans="1:8">
      <c r="A87" t="s">
        <v>1221</v>
      </c>
      <c r="B87" t="s">
        <v>1216</v>
      </c>
      <c r="C87" t="s">
        <v>1228</v>
      </c>
      <c r="D87" t="s">
        <v>1217</v>
      </c>
      <c r="E87" t="s">
        <v>124</v>
      </c>
      <c r="F87" t="s">
        <v>126</v>
      </c>
      <c r="G87">
        <v>2046</v>
      </c>
      <c r="H87">
        <v>8.1584599999999998</v>
      </c>
    </row>
    <row r="88" spans="1:8">
      <c r="A88" t="s">
        <v>1221</v>
      </c>
      <c r="B88" t="s">
        <v>1216</v>
      </c>
      <c r="C88" t="s">
        <v>1228</v>
      </c>
      <c r="D88" t="s">
        <v>1081</v>
      </c>
      <c r="E88" t="s">
        <v>124</v>
      </c>
      <c r="F88" t="s">
        <v>126</v>
      </c>
      <c r="G88">
        <v>2046</v>
      </c>
      <c r="H88">
        <v>-21.310500000000001</v>
      </c>
    </row>
    <row r="89" spans="1:8">
      <c r="A89" t="s">
        <v>1221</v>
      </c>
      <c r="B89" t="s">
        <v>1216</v>
      </c>
      <c r="C89" t="s">
        <v>1228</v>
      </c>
      <c r="D89" t="s">
        <v>1218</v>
      </c>
      <c r="E89" t="s">
        <v>124</v>
      </c>
      <c r="F89" t="s">
        <v>126</v>
      </c>
      <c r="G89">
        <v>2046</v>
      </c>
      <c r="H89">
        <v>3.9657</v>
      </c>
    </row>
    <row r="90" spans="1:8">
      <c r="A90" t="s">
        <v>1221</v>
      </c>
      <c r="B90" t="s">
        <v>1216</v>
      </c>
      <c r="C90" t="s">
        <v>1228</v>
      </c>
      <c r="D90" t="s">
        <v>1145</v>
      </c>
      <c r="E90" t="s">
        <v>124</v>
      </c>
      <c r="F90" t="s">
        <v>126</v>
      </c>
      <c r="G90">
        <v>2046</v>
      </c>
      <c r="H90">
        <v>0.28421099999999999</v>
      </c>
    </row>
    <row r="91" spans="1:8">
      <c r="A91" t="s">
        <v>1221</v>
      </c>
      <c r="B91" t="s">
        <v>1216</v>
      </c>
      <c r="C91" t="s">
        <v>1228</v>
      </c>
      <c r="D91" t="s">
        <v>1217</v>
      </c>
      <c r="E91" t="s">
        <v>124</v>
      </c>
      <c r="F91" t="s">
        <v>126</v>
      </c>
      <c r="G91">
        <v>2047</v>
      </c>
      <c r="H91">
        <v>8.1407600000000002</v>
      </c>
    </row>
    <row r="92" spans="1:8">
      <c r="A92" t="s">
        <v>1221</v>
      </c>
      <c r="B92" t="s">
        <v>1216</v>
      </c>
      <c r="C92" t="s">
        <v>1228</v>
      </c>
      <c r="D92" t="s">
        <v>1081</v>
      </c>
      <c r="E92" t="s">
        <v>124</v>
      </c>
      <c r="F92" t="s">
        <v>126</v>
      </c>
      <c r="G92">
        <v>2047</v>
      </c>
      <c r="H92">
        <v>-21.823400000000003</v>
      </c>
    </row>
    <row r="93" spans="1:8">
      <c r="A93" t="s">
        <v>1221</v>
      </c>
      <c r="B93" t="s">
        <v>1216</v>
      </c>
      <c r="C93" t="s">
        <v>1228</v>
      </c>
      <c r="D93" t="s">
        <v>1218</v>
      </c>
      <c r="E93" t="s">
        <v>124</v>
      </c>
      <c r="F93" t="s">
        <v>126</v>
      </c>
      <c r="G93">
        <v>2047</v>
      </c>
      <c r="H93">
        <v>3.9767100000000002</v>
      </c>
    </row>
    <row r="94" spans="1:8">
      <c r="A94" t="s">
        <v>1221</v>
      </c>
      <c r="B94" t="s">
        <v>1216</v>
      </c>
      <c r="C94" t="s">
        <v>1228</v>
      </c>
      <c r="D94" t="s">
        <v>1145</v>
      </c>
      <c r="E94" t="s">
        <v>124</v>
      </c>
      <c r="F94" t="s">
        <v>126</v>
      </c>
      <c r="G94">
        <v>2047</v>
      </c>
      <c r="H94">
        <v>0.28463900000000003</v>
      </c>
    </row>
    <row r="95" spans="1:8">
      <c r="A95" t="s">
        <v>1221</v>
      </c>
      <c r="B95" t="s">
        <v>1216</v>
      </c>
      <c r="C95" t="s">
        <v>1228</v>
      </c>
      <c r="D95" t="s">
        <v>1217</v>
      </c>
      <c r="E95" t="s">
        <v>124</v>
      </c>
      <c r="F95" t="s">
        <v>126</v>
      </c>
      <c r="G95">
        <v>2048</v>
      </c>
      <c r="H95">
        <v>8.1196800000000007</v>
      </c>
    </row>
    <row r="96" spans="1:8">
      <c r="A96" t="s">
        <v>1221</v>
      </c>
      <c r="B96" t="s">
        <v>1216</v>
      </c>
      <c r="C96" t="s">
        <v>1228</v>
      </c>
      <c r="D96" t="s">
        <v>1081</v>
      </c>
      <c r="E96" t="s">
        <v>124</v>
      </c>
      <c r="F96" t="s">
        <v>126</v>
      </c>
      <c r="G96">
        <v>2048</v>
      </c>
      <c r="H96">
        <v>-22.350099999999998</v>
      </c>
    </row>
    <row r="97" spans="1:8">
      <c r="A97" t="s">
        <v>1221</v>
      </c>
      <c r="B97" t="s">
        <v>1216</v>
      </c>
      <c r="C97" t="s">
        <v>1228</v>
      </c>
      <c r="D97" t="s">
        <v>1218</v>
      </c>
      <c r="E97" t="s">
        <v>124</v>
      </c>
      <c r="F97" t="s">
        <v>126</v>
      </c>
      <c r="G97">
        <v>2048</v>
      </c>
      <c r="H97">
        <v>3.9902899999999999</v>
      </c>
    </row>
    <row r="98" spans="1:8">
      <c r="A98" t="s">
        <v>1221</v>
      </c>
      <c r="B98" t="s">
        <v>1216</v>
      </c>
      <c r="C98" t="s">
        <v>1228</v>
      </c>
      <c r="D98" t="s">
        <v>1145</v>
      </c>
      <c r="E98" t="s">
        <v>124</v>
      </c>
      <c r="F98" t="s">
        <v>126</v>
      </c>
      <c r="G98">
        <v>2048</v>
      </c>
      <c r="H98">
        <v>0.28506900000000002</v>
      </c>
    </row>
    <row r="99" spans="1:8">
      <c r="A99" t="s">
        <v>1221</v>
      </c>
      <c r="B99" t="s">
        <v>1216</v>
      </c>
      <c r="C99" t="s">
        <v>1228</v>
      </c>
      <c r="D99" t="s">
        <v>1217</v>
      </c>
      <c r="E99" t="s">
        <v>124</v>
      </c>
      <c r="F99" t="s">
        <v>126</v>
      </c>
      <c r="G99">
        <v>2049</v>
      </c>
      <c r="H99">
        <v>8.0939800000000002</v>
      </c>
    </row>
    <row r="100" spans="1:8">
      <c r="A100" t="s">
        <v>1221</v>
      </c>
      <c r="B100" t="s">
        <v>1216</v>
      </c>
      <c r="C100" t="s">
        <v>1228</v>
      </c>
      <c r="D100" t="s">
        <v>1081</v>
      </c>
      <c r="E100" t="s">
        <v>124</v>
      </c>
      <c r="F100" t="s">
        <v>126</v>
      </c>
      <c r="G100">
        <v>2049</v>
      </c>
      <c r="H100">
        <v>-22.8779</v>
      </c>
    </row>
    <row r="101" spans="1:8">
      <c r="A101" t="s">
        <v>1221</v>
      </c>
      <c r="B101" t="s">
        <v>1216</v>
      </c>
      <c r="C101" t="s">
        <v>1228</v>
      </c>
      <c r="D101" t="s">
        <v>1218</v>
      </c>
      <c r="E101" t="s">
        <v>124</v>
      </c>
      <c r="F101" t="s">
        <v>126</v>
      </c>
      <c r="G101">
        <v>2049</v>
      </c>
      <c r="H101">
        <v>4.0053700000000001</v>
      </c>
    </row>
    <row r="102" spans="1:8">
      <c r="A102" t="s">
        <v>1221</v>
      </c>
      <c r="B102" t="s">
        <v>1216</v>
      </c>
      <c r="C102" t="s">
        <v>1228</v>
      </c>
      <c r="D102" t="s">
        <v>1145</v>
      </c>
      <c r="E102" t="s">
        <v>124</v>
      </c>
      <c r="F102" t="s">
        <v>126</v>
      </c>
      <c r="G102">
        <v>2049</v>
      </c>
      <c r="H102">
        <v>0.28549200000000002</v>
      </c>
    </row>
    <row r="103" spans="1:8">
      <c r="A103" t="s">
        <v>1221</v>
      </c>
      <c r="B103" t="s">
        <v>1216</v>
      </c>
      <c r="C103" t="s">
        <v>1228</v>
      </c>
      <c r="D103" t="s">
        <v>1217</v>
      </c>
      <c r="E103" t="s">
        <v>124</v>
      </c>
      <c r="F103" t="s">
        <v>126</v>
      </c>
      <c r="G103">
        <v>2050</v>
      </c>
      <c r="H103">
        <v>8.0535200000000007</v>
      </c>
    </row>
    <row r="104" spans="1:8">
      <c r="A104" t="s">
        <v>1221</v>
      </c>
      <c r="B104" t="s">
        <v>1216</v>
      </c>
      <c r="C104" t="s">
        <v>1228</v>
      </c>
      <c r="D104" t="s">
        <v>1081</v>
      </c>
      <c r="E104" t="s">
        <v>124</v>
      </c>
      <c r="F104" t="s">
        <v>126</v>
      </c>
      <c r="G104">
        <v>2050</v>
      </c>
      <c r="H104">
        <v>-23.410900000000002</v>
      </c>
    </row>
    <row r="105" spans="1:8">
      <c r="A105" t="s">
        <v>1221</v>
      </c>
      <c r="B105" t="s">
        <v>1216</v>
      </c>
      <c r="C105" t="s">
        <v>1228</v>
      </c>
      <c r="D105" t="s">
        <v>1218</v>
      </c>
      <c r="E105" t="s">
        <v>124</v>
      </c>
      <c r="F105" t="s">
        <v>126</v>
      </c>
      <c r="G105">
        <v>2050</v>
      </c>
      <c r="H105">
        <v>4.0241800000000003</v>
      </c>
    </row>
    <row r="106" spans="1:8">
      <c r="A106" t="s">
        <v>1221</v>
      </c>
      <c r="B106" t="s">
        <v>1216</v>
      </c>
      <c r="C106" t="s">
        <v>1228</v>
      </c>
      <c r="D106" t="s">
        <v>1145</v>
      </c>
      <c r="E106" t="s">
        <v>124</v>
      </c>
      <c r="F106" t="s">
        <v>126</v>
      </c>
      <c r="G106">
        <v>2050</v>
      </c>
      <c r="H106">
        <v>0.28591699999999998</v>
      </c>
    </row>
    <row r="107" spans="1:8">
      <c r="A107" t="s">
        <v>1221</v>
      </c>
      <c r="B107" t="s">
        <v>1219</v>
      </c>
      <c r="C107" t="s">
        <v>1228</v>
      </c>
      <c r="D107" t="s">
        <v>1217</v>
      </c>
      <c r="E107" t="s">
        <v>124</v>
      </c>
      <c r="F107" t="s">
        <v>126</v>
      </c>
      <c r="G107">
        <v>2025</v>
      </c>
      <c r="H107">
        <v>8.43886</v>
      </c>
    </row>
    <row r="108" spans="1:8">
      <c r="A108" t="s">
        <v>1221</v>
      </c>
      <c r="B108" t="s">
        <v>1219</v>
      </c>
      <c r="C108" t="s">
        <v>1228</v>
      </c>
      <c r="D108" t="s">
        <v>1081</v>
      </c>
      <c r="E108" t="s">
        <v>124</v>
      </c>
      <c r="F108" t="s">
        <v>126</v>
      </c>
      <c r="G108">
        <v>2025</v>
      </c>
      <c r="H108">
        <v>-6.7526599999999997</v>
      </c>
    </row>
    <row r="109" spans="1:8">
      <c r="A109" t="s">
        <v>1221</v>
      </c>
      <c r="B109" t="s">
        <v>1219</v>
      </c>
      <c r="C109" t="s">
        <v>1228</v>
      </c>
      <c r="D109" t="s">
        <v>1218</v>
      </c>
      <c r="E109" t="s">
        <v>124</v>
      </c>
      <c r="F109" t="s">
        <v>126</v>
      </c>
      <c r="G109">
        <v>2025</v>
      </c>
      <c r="H109">
        <v>4.4315500000000005</v>
      </c>
    </row>
    <row r="110" spans="1:8">
      <c r="A110" t="s">
        <v>1221</v>
      </c>
      <c r="B110" t="s">
        <v>1219</v>
      </c>
      <c r="C110" t="s">
        <v>1228</v>
      </c>
      <c r="D110" t="s">
        <v>1145</v>
      </c>
      <c r="E110" t="s">
        <v>124</v>
      </c>
      <c r="F110" t="s">
        <v>126</v>
      </c>
      <c r="G110">
        <v>2025</v>
      </c>
      <c r="H110">
        <v>0.26900000000000002</v>
      </c>
    </row>
    <row r="111" spans="1:8">
      <c r="A111" t="s">
        <v>1221</v>
      </c>
      <c r="B111" t="s">
        <v>1219</v>
      </c>
      <c r="C111" t="s">
        <v>1228</v>
      </c>
      <c r="D111" t="s">
        <v>1217</v>
      </c>
      <c r="E111" t="s">
        <v>124</v>
      </c>
      <c r="F111" t="s">
        <v>126</v>
      </c>
      <c r="G111">
        <v>2026</v>
      </c>
      <c r="H111">
        <v>8.350340000000001</v>
      </c>
    </row>
    <row r="112" spans="1:8">
      <c r="A112" t="s">
        <v>1221</v>
      </c>
      <c r="B112" t="s">
        <v>1219</v>
      </c>
      <c r="C112" t="s">
        <v>1228</v>
      </c>
      <c r="D112" t="s">
        <v>1081</v>
      </c>
      <c r="E112" t="s">
        <v>124</v>
      </c>
      <c r="F112" t="s">
        <v>126</v>
      </c>
      <c r="G112">
        <v>2026</v>
      </c>
      <c r="H112">
        <v>-8.3100199999999997</v>
      </c>
    </row>
    <row r="113" spans="1:8">
      <c r="A113" t="s">
        <v>1221</v>
      </c>
      <c r="B113" t="s">
        <v>1219</v>
      </c>
      <c r="C113" t="s">
        <v>1228</v>
      </c>
      <c r="D113" t="s">
        <v>1218</v>
      </c>
      <c r="E113" t="s">
        <v>124</v>
      </c>
      <c r="F113" t="s">
        <v>126</v>
      </c>
      <c r="G113">
        <v>2026</v>
      </c>
      <c r="H113">
        <v>4.4220800000000002</v>
      </c>
    </row>
    <row r="114" spans="1:8">
      <c r="A114" t="s">
        <v>1221</v>
      </c>
      <c r="B114" t="s">
        <v>1219</v>
      </c>
      <c r="C114" t="s">
        <v>1228</v>
      </c>
      <c r="D114" t="s">
        <v>1145</v>
      </c>
      <c r="E114" t="s">
        <v>124</v>
      </c>
      <c r="F114" t="s">
        <v>126</v>
      </c>
      <c r="G114">
        <v>2026</v>
      </c>
      <c r="H114">
        <v>0.26950799999999997</v>
      </c>
    </row>
    <row r="115" spans="1:8">
      <c r="A115" t="s">
        <v>1221</v>
      </c>
      <c r="B115" t="s">
        <v>1219</v>
      </c>
      <c r="C115" t="s">
        <v>1228</v>
      </c>
      <c r="D115" t="s">
        <v>1217</v>
      </c>
      <c r="E115" t="s">
        <v>124</v>
      </c>
      <c r="F115" t="s">
        <v>126</v>
      </c>
      <c r="G115">
        <v>2027</v>
      </c>
      <c r="H115">
        <v>8.2592099999999995</v>
      </c>
    </row>
    <row r="116" spans="1:8">
      <c r="A116" t="s">
        <v>1221</v>
      </c>
      <c r="B116" t="s">
        <v>1219</v>
      </c>
      <c r="C116" t="s">
        <v>1228</v>
      </c>
      <c r="D116" t="s">
        <v>1081</v>
      </c>
      <c r="E116" t="s">
        <v>124</v>
      </c>
      <c r="F116" t="s">
        <v>126</v>
      </c>
      <c r="G116">
        <v>2027</v>
      </c>
      <c r="H116">
        <v>-9.1980500000000003</v>
      </c>
    </row>
    <row r="117" spans="1:8">
      <c r="A117" t="s">
        <v>1221</v>
      </c>
      <c r="B117" t="s">
        <v>1219</v>
      </c>
      <c r="C117" t="s">
        <v>1228</v>
      </c>
      <c r="D117" t="s">
        <v>1218</v>
      </c>
      <c r="E117" t="s">
        <v>124</v>
      </c>
      <c r="F117" t="s">
        <v>126</v>
      </c>
      <c r="G117">
        <v>2027</v>
      </c>
      <c r="H117">
        <v>4.3742099999999997</v>
      </c>
    </row>
    <row r="118" spans="1:8">
      <c r="A118" t="s">
        <v>1221</v>
      </c>
      <c r="B118" t="s">
        <v>1219</v>
      </c>
      <c r="C118" t="s">
        <v>1228</v>
      </c>
      <c r="D118" t="s">
        <v>1145</v>
      </c>
      <c r="E118" t="s">
        <v>124</v>
      </c>
      <c r="F118" t="s">
        <v>126</v>
      </c>
      <c r="G118">
        <v>2027</v>
      </c>
      <c r="H118">
        <v>0.27001999999999998</v>
      </c>
    </row>
    <row r="119" spans="1:8">
      <c r="A119" t="s">
        <v>1221</v>
      </c>
      <c r="B119" t="s">
        <v>1219</v>
      </c>
      <c r="C119" t="s">
        <v>1228</v>
      </c>
      <c r="D119" t="s">
        <v>1217</v>
      </c>
      <c r="E119" t="s">
        <v>124</v>
      </c>
      <c r="F119" t="s">
        <v>126</v>
      </c>
      <c r="G119">
        <v>2028</v>
      </c>
      <c r="H119">
        <v>8.1695700000000002</v>
      </c>
    </row>
    <row r="120" spans="1:8">
      <c r="A120" t="s">
        <v>1221</v>
      </c>
      <c r="B120" t="s">
        <v>1219</v>
      </c>
      <c r="C120" t="s">
        <v>1228</v>
      </c>
      <c r="D120" t="s">
        <v>1081</v>
      </c>
      <c r="E120" t="s">
        <v>124</v>
      </c>
      <c r="F120" t="s">
        <v>126</v>
      </c>
      <c r="G120">
        <v>2028</v>
      </c>
      <c r="H120">
        <v>-10.1273</v>
      </c>
    </row>
    <row r="121" spans="1:8">
      <c r="A121" t="s">
        <v>1221</v>
      </c>
      <c r="B121" t="s">
        <v>1219</v>
      </c>
      <c r="C121" t="s">
        <v>1228</v>
      </c>
      <c r="D121" t="s">
        <v>1218</v>
      </c>
      <c r="E121" t="s">
        <v>124</v>
      </c>
      <c r="F121" t="s">
        <v>126</v>
      </c>
      <c r="G121">
        <v>2028</v>
      </c>
      <c r="H121">
        <v>4.3328800000000003</v>
      </c>
    </row>
    <row r="122" spans="1:8">
      <c r="A122" t="s">
        <v>1221</v>
      </c>
      <c r="B122" t="s">
        <v>1219</v>
      </c>
      <c r="C122" t="s">
        <v>1228</v>
      </c>
      <c r="D122" t="s">
        <v>1145</v>
      </c>
      <c r="E122" t="s">
        <v>124</v>
      </c>
      <c r="F122" t="s">
        <v>126</v>
      </c>
      <c r="G122">
        <v>2028</v>
      </c>
      <c r="H122">
        <v>0.27052100000000001</v>
      </c>
    </row>
    <row r="123" spans="1:8">
      <c r="A123" t="s">
        <v>1221</v>
      </c>
      <c r="B123" t="s">
        <v>1219</v>
      </c>
      <c r="C123" t="s">
        <v>1228</v>
      </c>
      <c r="D123" t="s">
        <v>1217</v>
      </c>
      <c r="E123" t="s">
        <v>124</v>
      </c>
      <c r="F123" t="s">
        <v>126</v>
      </c>
      <c r="G123">
        <v>2029</v>
      </c>
      <c r="H123">
        <v>8.0800300000000007</v>
      </c>
    </row>
    <row r="124" spans="1:8">
      <c r="A124" t="s">
        <v>1221</v>
      </c>
      <c r="B124" t="s">
        <v>1219</v>
      </c>
      <c r="C124" t="s">
        <v>1228</v>
      </c>
      <c r="D124" t="s">
        <v>1081</v>
      </c>
      <c r="E124" t="s">
        <v>124</v>
      </c>
      <c r="F124" t="s">
        <v>126</v>
      </c>
      <c r="G124">
        <v>2029</v>
      </c>
      <c r="H124">
        <v>-10.9254</v>
      </c>
    </row>
    <row r="125" spans="1:8">
      <c r="A125" t="s">
        <v>1221</v>
      </c>
      <c r="B125" t="s">
        <v>1219</v>
      </c>
      <c r="C125" t="s">
        <v>1228</v>
      </c>
      <c r="D125" t="s">
        <v>1218</v>
      </c>
      <c r="E125" t="s">
        <v>124</v>
      </c>
      <c r="F125" t="s">
        <v>126</v>
      </c>
      <c r="G125">
        <v>2029</v>
      </c>
      <c r="H125">
        <v>4.3144200000000001</v>
      </c>
    </row>
    <row r="126" spans="1:8">
      <c r="A126" t="s">
        <v>1221</v>
      </c>
      <c r="B126" t="s">
        <v>1219</v>
      </c>
      <c r="C126" t="s">
        <v>1228</v>
      </c>
      <c r="D126" t="s">
        <v>1145</v>
      </c>
      <c r="E126" t="s">
        <v>124</v>
      </c>
      <c r="F126" t="s">
        <v>126</v>
      </c>
      <c r="G126">
        <v>2029</v>
      </c>
      <c r="H126">
        <v>0.27099200000000001</v>
      </c>
    </row>
    <row r="127" spans="1:8">
      <c r="A127" t="s">
        <v>1221</v>
      </c>
      <c r="B127" t="s">
        <v>1219</v>
      </c>
      <c r="C127" t="s">
        <v>1228</v>
      </c>
      <c r="D127" t="s">
        <v>1217</v>
      </c>
      <c r="E127" t="s">
        <v>124</v>
      </c>
      <c r="F127" t="s">
        <v>126</v>
      </c>
      <c r="G127">
        <v>2030</v>
      </c>
      <c r="H127">
        <v>7.9853100000000001</v>
      </c>
    </row>
    <row r="128" spans="1:8">
      <c r="A128" t="s">
        <v>1221</v>
      </c>
      <c r="B128" t="s">
        <v>1219</v>
      </c>
      <c r="C128" t="s">
        <v>1228</v>
      </c>
      <c r="D128" t="s">
        <v>1081</v>
      </c>
      <c r="E128" t="s">
        <v>124</v>
      </c>
      <c r="F128" t="s">
        <v>126</v>
      </c>
      <c r="G128">
        <v>2030</v>
      </c>
      <c r="H128">
        <v>-11.624700000000001</v>
      </c>
    </row>
    <row r="129" spans="1:8">
      <c r="A129" t="s">
        <v>1221</v>
      </c>
      <c r="B129" t="s">
        <v>1219</v>
      </c>
      <c r="C129" t="s">
        <v>1228</v>
      </c>
      <c r="D129" t="s">
        <v>1218</v>
      </c>
      <c r="E129" t="s">
        <v>124</v>
      </c>
      <c r="F129" t="s">
        <v>126</v>
      </c>
      <c r="G129">
        <v>2030</v>
      </c>
      <c r="H129">
        <v>4.07334</v>
      </c>
    </row>
    <row r="130" spans="1:8">
      <c r="A130" t="s">
        <v>1221</v>
      </c>
      <c r="B130" t="s">
        <v>1219</v>
      </c>
      <c r="C130" t="s">
        <v>1228</v>
      </c>
      <c r="D130" t="s">
        <v>1145</v>
      </c>
      <c r="E130" t="s">
        <v>124</v>
      </c>
      <c r="F130" t="s">
        <v>126</v>
      </c>
      <c r="G130">
        <v>2030</v>
      </c>
      <c r="H130">
        <v>0.27143099999999998</v>
      </c>
    </row>
    <row r="131" spans="1:8">
      <c r="A131" t="s">
        <v>1221</v>
      </c>
      <c r="B131" t="s">
        <v>1219</v>
      </c>
      <c r="C131" t="s">
        <v>1228</v>
      </c>
      <c r="D131" t="s">
        <v>1217</v>
      </c>
      <c r="E131" t="s">
        <v>124</v>
      </c>
      <c r="F131" t="s">
        <v>126</v>
      </c>
      <c r="G131">
        <v>2031</v>
      </c>
      <c r="H131">
        <v>7.8956099999999996</v>
      </c>
    </row>
    <row r="132" spans="1:8">
      <c r="A132" t="s">
        <v>1221</v>
      </c>
      <c r="B132" t="s">
        <v>1219</v>
      </c>
      <c r="C132" t="s">
        <v>1228</v>
      </c>
      <c r="D132" t="s">
        <v>1081</v>
      </c>
      <c r="E132" t="s">
        <v>124</v>
      </c>
      <c r="F132" t="s">
        <v>126</v>
      </c>
      <c r="G132">
        <v>2031</v>
      </c>
      <c r="H132">
        <v>-12.3651</v>
      </c>
    </row>
    <row r="133" spans="1:8">
      <c r="A133" t="s">
        <v>1221</v>
      </c>
      <c r="B133" t="s">
        <v>1219</v>
      </c>
      <c r="C133" t="s">
        <v>1228</v>
      </c>
      <c r="D133" t="s">
        <v>1218</v>
      </c>
      <c r="E133" t="s">
        <v>124</v>
      </c>
      <c r="F133" t="s">
        <v>126</v>
      </c>
      <c r="G133">
        <v>2031</v>
      </c>
      <c r="H133">
        <v>4.0339400000000003</v>
      </c>
    </row>
    <row r="134" spans="1:8">
      <c r="A134" t="s">
        <v>1221</v>
      </c>
      <c r="B134" t="s">
        <v>1219</v>
      </c>
      <c r="C134" t="s">
        <v>1228</v>
      </c>
      <c r="D134" t="s">
        <v>1145</v>
      </c>
      <c r="E134" t="s">
        <v>124</v>
      </c>
      <c r="F134" t="s">
        <v>126</v>
      </c>
      <c r="G134">
        <v>2031</v>
      </c>
      <c r="H134">
        <v>0.27129700000000001</v>
      </c>
    </row>
    <row r="135" spans="1:8">
      <c r="A135" t="s">
        <v>1221</v>
      </c>
      <c r="B135" t="s">
        <v>1219</v>
      </c>
      <c r="C135" t="s">
        <v>1228</v>
      </c>
      <c r="D135" t="s">
        <v>1217</v>
      </c>
      <c r="E135" t="s">
        <v>124</v>
      </c>
      <c r="F135" t="s">
        <v>126</v>
      </c>
      <c r="G135">
        <v>2032</v>
      </c>
      <c r="H135">
        <v>7.7988400000000002</v>
      </c>
    </row>
    <row r="136" spans="1:8">
      <c r="A136" t="s">
        <v>1221</v>
      </c>
      <c r="B136" t="s">
        <v>1219</v>
      </c>
      <c r="C136" t="s">
        <v>1228</v>
      </c>
      <c r="D136" t="s">
        <v>1081</v>
      </c>
      <c r="E136" t="s">
        <v>124</v>
      </c>
      <c r="F136" t="s">
        <v>126</v>
      </c>
      <c r="G136">
        <v>2032</v>
      </c>
      <c r="H136">
        <v>-13.111499999999999</v>
      </c>
    </row>
    <row r="137" spans="1:8">
      <c r="A137" t="s">
        <v>1221</v>
      </c>
      <c r="B137" t="s">
        <v>1219</v>
      </c>
      <c r="C137" t="s">
        <v>1228</v>
      </c>
      <c r="D137" t="s">
        <v>1218</v>
      </c>
      <c r="E137" t="s">
        <v>124</v>
      </c>
      <c r="F137" t="s">
        <v>126</v>
      </c>
      <c r="G137">
        <v>2032</v>
      </c>
      <c r="H137">
        <v>3.9976500000000001</v>
      </c>
    </row>
    <row r="138" spans="1:8">
      <c r="A138" t="s">
        <v>1221</v>
      </c>
      <c r="B138" t="s">
        <v>1219</v>
      </c>
      <c r="C138" t="s">
        <v>1228</v>
      </c>
      <c r="D138" t="s">
        <v>1145</v>
      </c>
      <c r="E138" t="s">
        <v>124</v>
      </c>
      <c r="F138" t="s">
        <v>126</v>
      </c>
      <c r="G138">
        <v>2032</v>
      </c>
      <c r="H138">
        <v>0.27112900000000001</v>
      </c>
    </row>
    <row r="139" spans="1:8">
      <c r="A139" t="s">
        <v>1221</v>
      </c>
      <c r="B139" t="s">
        <v>1219</v>
      </c>
      <c r="C139" t="s">
        <v>1228</v>
      </c>
      <c r="D139" t="s">
        <v>1217</v>
      </c>
      <c r="E139" t="s">
        <v>124</v>
      </c>
      <c r="F139" t="s">
        <v>126</v>
      </c>
      <c r="G139">
        <v>2033</v>
      </c>
      <c r="H139">
        <v>7.7045500000000002</v>
      </c>
    </row>
    <row r="140" spans="1:8">
      <c r="A140" t="s">
        <v>1221</v>
      </c>
      <c r="B140" t="s">
        <v>1219</v>
      </c>
      <c r="C140" t="s">
        <v>1228</v>
      </c>
      <c r="D140" t="s">
        <v>1081</v>
      </c>
      <c r="E140" t="s">
        <v>124</v>
      </c>
      <c r="F140" t="s">
        <v>126</v>
      </c>
      <c r="G140">
        <v>2033</v>
      </c>
      <c r="H140">
        <v>-13.8026</v>
      </c>
    </row>
    <row r="141" spans="1:8">
      <c r="A141" t="s">
        <v>1221</v>
      </c>
      <c r="B141" t="s">
        <v>1219</v>
      </c>
      <c r="C141" t="s">
        <v>1228</v>
      </c>
      <c r="D141" t="s">
        <v>1218</v>
      </c>
      <c r="E141" t="s">
        <v>124</v>
      </c>
      <c r="F141" t="s">
        <v>126</v>
      </c>
      <c r="G141">
        <v>2033</v>
      </c>
      <c r="H141">
        <v>3.95065</v>
      </c>
    </row>
    <row r="142" spans="1:8">
      <c r="A142" t="s">
        <v>1221</v>
      </c>
      <c r="B142" t="s">
        <v>1219</v>
      </c>
      <c r="C142" t="s">
        <v>1228</v>
      </c>
      <c r="D142" t="s">
        <v>1145</v>
      </c>
      <c r="E142" t="s">
        <v>124</v>
      </c>
      <c r="F142" t="s">
        <v>126</v>
      </c>
      <c r="G142">
        <v>2033</v>
      </c>
      <c r="H142">
        <v>0.27091399999999999</v>
      </c>
    </row>
    <row r="143" spans="1:8">
      <c r="A143" t="s">
        <v>1221</v>
      </c>
      <c r="B143" t="s">
        <v>1219</v>
      </c>
      <c r="C143" t="s">
        <v>1228</v>
      </c>
      <c r="D143" t="s">
        <v>1217</v>
      </c>
      <c r="E143" t="s">
        <v>124</v>
      </c>
      <c r="F143" t="s">
        <v>126</v>
      </c>
      <c r="G143">
        <v>2034</v>
      </c>
      <c r="H143">
        <v>7.6125699999999998</v>
      </c>
    </row>
    <row r="144" spans="1:8">
      <c r="A144" t="s">
        <v>1221</v>
      </c>
      <c r="B144" t="s">
        <v>1219</v>
      </c>
      <c r="C144" t="s">
        <v>1228</v>
      </c>
      <c r="D144" t="s">
        <v>1081</v>
      </c>
      <c r="E144" t="s">
        <v>124</v>
      </c>
      <c r="F144" t="s">
        <v>126</v>
      </c>
      <c r="G144">
        <v>2034</v>
      </c>
      <c r="H144">
        <v>-14.423399999999999</v>
      </c>
    </row>
    <row r="145" spans="1:8">
      <c r="A145" t="s">
        <v>1221</v>
      </c>
      <c r="B145" t="s">
        <v>1219</v>
      </c>
      <c r="C145" t="s">
        <v>1228</v>
      </c>
      <c r="D145" t="s">
        <v>1218</v>
      </c>
      <c r="E145" t="s">
        <v>124</v>
      </c>
      <c r="F145" t="s">
        <v>126</v>
      </c>
      <c r="G145">
        <v>2034</v>
      </c>
      <c r="H145">
        <v>3.9116999999999997</v>
      </c>
    </row>
    <row r="146" spans="1:8">
      <c r="A146" t="s">
        <v>1221</v>
      </c>
      <c r="B146" t="s">
        <v>1219</v>
      </c>
      <c r="C146" t="s">
        <v>1228</v>
      </c>
      <c r="D146" t="s">
        <v>1145</v>
      </c>
      <c r="E146" t="s">
        <v>124</v>
      </c>
      <c r="F146" t="s">
        <v>126</v>
      </c>
      <c r="G146">
        <v>2034</v>
      </c>
      <c r="H146">
        <v>0.27064699999999997</v>
      </c>
    </row>
    <row r="147" spans="1:8">
      <c r="A147" t="s">
        <v>1221</v>
      </c>
      <c r="B147" t="s">
        <v>1219</v>
      </c>
      <c r="C147" t="s">
        <v>1228</v>
      </c>
      <c r="D147" t="s">
        <v>1217</v>
      </c>
      <c r="E147" t="s">
        <v>124</v>
      </c>
      <c r="F147" t="s">
        <v>126</v>
      </c>
      <c r="G147">
        <v>2035</v>
      </c>
      <c r="H147">
        <v>7.5175400000000003</v>
      </c>
    </row>
    <row r="148" spans="1:8">
      <c r="A148" t="s">
        <v>1221</v>
      </c>
      <c r="B148" t="s">
        <v>1219</v>
      </c>
      <c r="C148" t="s">
        <v>1228</v>
      </c>
      <c r="D148" t="s">
        <v>1081</v>
      </c>
      <c r="E148" t="s">
        <v>124</v>
      </c>
      <c r="F148" t="s">
        <v>126</v>
      </c>
      <c r="G148">
        <v>2035</v>
      </c>
      <c r="H148">
        <v>-15.2293</v>
      </c>
    </row>
    <row r="149" spans="1:8">
      <c r="A149" t="s">
        <v>1221</v>
      </c>
      <c r="B149" t="s">
        <v>1219</v>
      </c>
      <c r="C149" t="s">
        <v>1228</v>
      </c>
      <c r="D149" t="s">
        <v>1218</v>
      </c>
      <c r="E149" t="s">
        <v>124</v>
      </c>
      <c r="F149" t="s">
        <v>126</v>
      </c>
      <c r="G149">
        <v>2035</v>
      </c>
      <c r="H149">
        <v>3.9103499999999998</v>
      </c>
    </row>
    <row r="150" spans="1:8">
      <c r="A150" t="s">
        <v>1221</v>
      </c>
      <c r="B150" t="s">
        <v>1219</v>
      </c>
      <c r="C150" t="s">
        <v>1228</v>
      </c>
      <c r="D150" t="s">
        <v>1145</v>
      </c>
      <c r="E150" t="s">
        <v>124</v>
      </c>
      <c r="F150" t="s">
        <v>126</v>
      </c>
      <c r="G150">
        <v>2035</v>
      </c>
      <c r="H150">
        <v>0.27033699999999999</v>
      </c>
    </row>
    <row r="151" spans="1:8">
      <c r="A151" t="s">
        <v>1221</v>
      </c>
      <c r="B151" t="s">
        <v>1219</v>
      </c>
      <c r="C151" t="s">
        <v>1228</v>
      </c>
      <c r="D151" t="s">
        <v>1217</v>
      </c>
      <c r="E151" t="s">
        <v>124</v>
      </c>
      <c r="F151" t="s">
        <v>126</v>
      </c>
      <c r="G151">
        <v>2036</v>
      </c>
      <c r="H151">
        <v>7.4261600000000003</v>
      </c>
    </row>
    <row r="152" spans="1:8">
      <c r="A152" t="s">
        <v>1221</v>
      </c>
      <c r="B152" t="s">
        <v>1219</v>
      </c>
      <c r="C152" t="s">
        <v>1228</v>
      </c>
      <c r="D152" t="s">
        <v>1081</v>
      </c>
      <c r="E152" t="s">
        <v>124</v>
      </c>
      <c r="F152" t="s">
        <v>126</v>
      </c>
      <c r="G152">
        <v>2036</v>
      </c>
      <c r="H152">
        <v>-16.302299999999999</v>
      </c>
    </row>
    <row r="153" spans="1:8">
      <c r="A153" t="s">
        <v>1221</v>
      </c>
      <c r="B153" t="s">
        <v>1219</v>
      </c>
      <c r="C153" t="s">
        <v>1228</v>
      </c>
      <c r="D153" t="s">
        <v>1218</v>
      </c>
      <c r="E153" t="s">
        <v>124</v>
      </c>
      <c r="F153" t="s">
        <v>126</v>
      </c>
      <c r="G153">
        <v>2036</v>
      </c>
      <c r="H153">
        <v>3.8725900000000002</v>
      </c>
    </row>
    <row r="154" spans="1:8">
      <c r="A154" t="s">
        <v>1221</v>
      </c>
      <c r="B154" t="s">
        <v>1219</v>
      </c>
      <c r="C154" t="s">
        <v>1228</v>
      </c>
      <c r="D154" t="s">
        <v>1145</v>
      </c>
      <c r="E154" t="s">
        <v>124</v>
      </c>
      <c r="F154" t="s">
        <v>126</v>
      </c>
      <c r="G154">
        <v>2036</v>
      </c>
      <c r="H154">
        <v>0.27001600000000003</v>
      </c>
    </row>
    <row r="155" spans="1:8">
      <c r="A155" t="s">
        <v>1221</v>
      </c>
      <c r="B155" t="s">
        <v>1219</v>
      </c>
      <c r="C155" t="s">
        <v>1228</v>
      </c>
      <c r="D155" t="s">
        <v>1217</v>
      </c>
      <c r="E155" t="s">
        <v>124</v>
      </c>
      <c r="F155" t="s">
        <v>126</v>
      </c>
      <c r="G155">
        <v>2037</v>
      </c>
      <c r="H155">
        <v>7.3335100000000004</v>
      </c>
    </row>
    <row r="156" spans="1:8">
      <c r="A156" t="s">
        <v>1221</v>
      </c>
      <c r="B156" t="s">
        <v>1219</v>
      </c>
      <c r="C156" t="s">
        <v>1228</v>
      </c>
      <c r="D156" t="s">
        <v>1081</v>
      </c>
      <c r="E156" t="s">
        <v>124</v>
      </c>
      <c r="F156" t="s">
        <v>126</v>
      </c>
      <c r="G156">
        <v>2037</v>
      </c>
      <c r="H156">
        <v>-17.662500000000001</v>
      </c>
    </row>
    <row r="157" spans="1:8">
      <c r="A157" t="s">
        <v>1221</v>
      </c>
      <c r="B157" t="s">
        <v>1219</v>
      </c>
      <c r="C157" t="s">
        <v>1228</v>
      </c>
      <c r="D157" t="s">
        <v>1218</v>
      </c>
      <c r="E157" t="s">
        <v>124</v>
      </c>
      <c r="F157" t="s">
        <v>126</v>
      </c>
      <c r="G157">
        <v>2037</v>
      </c>
      <c r="H157">
        <v>3.8531200000000001</v>
      </c>
    </row>
    <row r="158" spans="1:8">
      <c r="A158" t="s">
        <v>1221</v>
      </c>
      <c r="B158" t="s">
        <v>1219</v>
      </c>
      <c r="C158" t="s">
        <v>1228</v>
      </c>
      <c r="D158" t="s">
        <v>1145</v>
      </c>
      <c r="E158" t="s">
        <v>124</v>
      </c>
      <c r="F158" t="s">
        <v>126</v>
      </c>
      <c r="G158">
        <v>2037</v>
      </c>
      <c r="H158">
        <v>0.26969199999999999</v>
      </c>
    </row>
    <row r="159" spans="1:8">
      <c r="A159" t="s">
        <v>1221</v>
      </c>
      <c r="B159" t="s">
        <v>1219</v>
      </c>
      <c r="C159" t="s">
        <v>1228</v>
      </c>
      <c r="D159" t="s">
        <v>1217</v>
      </c>
      <c r="E159" t="s">
        <v>124</v>
      </c>
      <c r="F159" t="s">
        <v>126</v>
      </c>
      <c r="G159">
        <v>2038</v>
      </c>
      <c r="H159">
        <v>7.2464200000000005</v>
      </c>
    </row>
    <row r="160" spans="1:8">
      <c r="A160" t="s">
        <v>1221</v>
      </c>
      <c r="B160" t="s">
        <v>1219</v>
      </c>
      <c r="C160" t="s">
        <v>1228</v>
      </c>
      <c r="D160" t="s">
        <v>1081</v>
      </c>
      <c r="E160" t="s">
        <v>124</v>
      </c>
      <c r="F160" t="s">
        <v>126</v>
      </c>
      <c r="G160">
        <v>2038</v>
      </c>
      <c r="H160">
        <v>-18.663</v>
      </c>
    </row>
    <row r="161" spans="1:8">
      <c r="A161" t="s">
        <v>1221</v>
      </c>
      <c r="B161" t="s">
        <v>1219</v>
      </c>
      <c r="C161" t="s">
        <v>1228</v>
      </c>
      <c r="D161" t="s">
        <v>1218</v>
      </c>
      <c r="E161" t="s">
        <v>124</v>
      </c>
      <c r="F161" t="s">
        <v>126</v>
      </c>
      <c r="G161">
        <v>2038</v>
      </c>
      <c r="H161">
        <v>3.8360000000000003</v>
      </c>
    </row>
    <row r="162" spans="1:8">
      <c r="A162" t="s">
        <v>1221</v>
      </c>
      <c r="B162" t="s">
        <v>1219</v>
      </c>
      <c r="C162" t="s">
        <v>1228</v>
      </c>
      <c r="D162" t="s">
        <v>1145</v>
      </c>
      <c r="E162" t="s">
        <v>124</v>
      </c>
      <c r="F162" t="s">
        <v>126</v>
      </c>
      <c r="G162">
        <v>2038</v>
      </c>
      <c r="H162">
        <v>0.26936700000000002</v>
      </c>
    </row>
    <row r="163" spans="1:8">
      <c r="A163" t="s">
        <v>1221</v>
      </c>
      <c r="B163" t="s">
        <v>1219</v>
      </c>
      <c r="C163" t="s">
        <v>1228</v>
      </c>
      <c r="D163" t="s">
        <v>1217</v>
      </c>
      <c r="E163" t="s">
        <v>124</v>
      </c>
      <c r="F163" t="s">
        <v>126</v>
      </c>
      <c r="G163">
        <v>2039</v>
      </c>
      <c r="H163">
        <v>7.1543900000000002</v>
      </c>
    </row>
    <row r="164" spans="1:8">
      <c r="A164" t="s">
        <v>1221</v>
      </c>
      <c r="B164" t="s">
        <v>1219</v>
      </c>
      <c r="C164" t="s">
        <v>1228</v>
      </c>
      <c r="D164" t="s">
        <v>1081</v>
      </c>
      <c r="E164" t="s">
        <v>124</v>
      </c>
      <c r="F164" t="s">
        <v>126</v>
      </c>
      <c r="G164">
        <v>2039</v>
      </c>
      <c r="H164">
        <v>-19.644300000000001</v>
      </c>
    </row>
    <row r="165" spans="1:8">
      <c r="A165" t="s">
        <v>1221</v>
      </c>
      <c r="B165" t="s">
        <v>1219</v>
      </c>
      <c r="C165" t="s">
        <v>1228</v>
      </c>
      <c r="D165" t="s">
        <v>1218</v>
      </c>
      <c r="E165" t="s">
        <v>124</v>
      </c>
      <c r="F165" t="s">
        <v>126</v>
      </c>
      <c r="G165">
        <v>2039</v>
      </c>
      <c r="H165">
        <v>3.8175100000000004</v>
      </c>
    </row>
    <row r="166" spans="1:8">
      <c r="A166" t="s">
        <v>1221</v>
      </c>
      <c r="B166" t="s">
        <v>1219</v>
      </c>
      <c r="C166" t="s">
        <v>1228</v>
      </c>
      <c r="D166" t="s">
        <v>1145</v>
      </c>
      <c r="E166" t="s">
        <v>124</v>
      </c>
      <c r="F166" t="s">
        <v>126</v>
      </c>
      <c r="G166">
        <v>2039</v>
      </c>
      <c r="H166">
        <v>0.26903899999999997</v>
      </c>
    </row>
    <row r="167" spans="1:8">
      <c r="A167" t="s">
        <v>1221</v>
      </c>
      <c r="B167" t="s">
        <v>1219</v>
      </c>
      <c r="C167" t="s">
        <v>1228</v>
      </c>
      <c r="D167" t="s">
        <v>1217</v>
      </c>
      <c r="E167" t="s">
        <v>124</v>
      </c>
      <c r="F167" t="s">
        <v>126</v>
      </c>
      <c r="G167">
        <v>2040</v>
      </c>
      <c r="H167">
        <v>7.0687800000000003</v>
      </c>
    </row>
    <row r="168" spans="1:8">
      <c r="A168" t="s">
        <v>1221</v>
      </c>
      <c r="B168" t="s">
        <v>1219</v>
      </c>
      <c r="C168" t="s">
        <v>1228</v>
      </c>
      <c r="D168" t="s">
        <v>1081</v>
      </c>
      <c r="E168" t="s">
        <v>124</v>
      </c>
      <c r="F168" t="s">
        <v>126</v>
      </c>
      <c r="G168">
        <v>2040</v>
      </c>
      <c r="H168">
        <v>-20.580500000000001</v>
      </c>
    </row>
    <row r="169" spans="1:8">
      <c r="A169" t="s">
        <v>1221</v>
      </c>
      <c r="B169" t="s">
        <v>1219</v>
      </c>
      <c r="C169" t="s">
        <v>1228</v>
      </c>
      <c r="D169" t="s">
        <v>1218</v>
      </c>
      <c r="E169" t="s">
        <v>124</v>
      </c>
      <c r="F169" t="s">
        <v>126</v>
      </c>
      <c r="G169">
        <v>2040</v>
      </c>
      <c r="H169">
        <v>3.75312</v>
      </c>
    </row>
    <row r="170" spans="1:8">
      <c r="A170" t="s">
        <v>1221</v>
      </c>
      <c r="B170" t="s">
        <v>1219</v>
      </c>
      <c r="C170" t="s">
        <v>1228</v>
      </c>
      <c r="D170" t="s">
        <v>1145</v>
      </c>
      <c r="E170" t="s">
        <v>124</v>
      </c>
      <c r="F170" t="s">
        <v>126</v>
      </c>
      <c r="G170">
        <v>2040</v>
      </c>
      <c r="H170">
        <v>0.26871100000000003</v>
      </c>
    </row>
    <row r="171" spans="1:8">
      <c r="A171" t="s">
        <v>1221</v>
      </c>
      <c r="B171" t="s">
        <v>1219</v>
      </c>
      <c r="C171" t="s">
        <v>1228</v>
      </c>
      <c r="D171" t="s">
        <v>1217</v>
      </c>
      <c r="E171" t="s">
        <v>124</v>
      </c>
      <c r="F171" t="s">
        <v>126</v>
      </c>
      <c r="G171">
        <v>2041</v>
      </c>
      <c r="H171">
        <v>7.0114799999999997</v>
      </c>
    </row>
    <row r="172" spans="1:8">
      <c r="A172" t="s">
        <v>1221</v>
      </c>
      <c r="B172" t="s">
        <v>1219</v>
      </c>
      <c r="C172" t="s">
        <v>1228</v>
      </c>
      <c r="D172" t="s">
        <v>1081</v>
      </c>
      <c r="E172" t="s">
        <v>124</v>
      </c>
      <c r="F172" t="s">
        <v>126</v>
      </c>
      <c r="G172">
        <v>2041</v>
      </c>
      <c r="H172">
        <v>-21.267400000000002</v>
      </c>
    </row>
    <row r="173" spans="1:8">
      <c r="A173" t="s">
        <v>1221</v>
      </c>
      <c r="B173" t="s">
        <v>1219</v>
      </c>
      <c r="C173" t="s">
        <v>1228</v>
      </c>
      <c r="D173" t="s">
        <v>1218</v>
      </c>
      <c r="E173" t="s">
        <v>124</v>
      </c>
      <c r="F173" t="s">
        <v>126</v>
      </c>
      <c r="G173">
        <v>2041</v>
      </c>
      <c r="H173">
        <v>3.7378200000000001</v>
      </c>
    </row>
    <row r="174" spans="1:8">
      <c r="A174" t="s">
        <v>1221</v>
      </c>
      <c r="B174" t="s">
        <v>1219</v>
      </c>
      <c r="C174" t="s">
        <v>1228</v>
      </c>
      <c r="D174" t="s">
        <v>1145</v>
      </c>
      <c r="E174" t="s">
        <v>124</v>
      </c>
      <c r="F174" t="s">
        <v>126</v>
      </c>
      <c r="G174">
        <v>2041</v>
      </c>
      <c r="H174">
        <v>0.26838699999999999</v>
      </c>
    </row>
    <row r="175" spans="1:8">
      <c r="A175" t="s">
        <v>1221</v>
      </c>
      <c r="B175" t="s">
        <v>1219</v>
      </c>
      <c r="C175" t="s">
        <v>1228</v>
      </c>
      <c r="D175" t="s">
        <v>1217</v>
      </c>
      <c r="E175" t="s">
        <v>124</v>
      </c>
      <c r="F175" t="s">
        <v>126</v>
      </c>
      <c r="G175">
        <v>2042</v>
      </c>
      <c r="H175">
        <v>6.9517600000000002</v>
      </c>
    </row>
    <row r="176" spans="1:8">
      <c r="A176" t="s">
        <v>1221</v>
      </c>
      <c r="B176" t="s">
        <v>1219</v>
      </c>
      <c r="C176" t="s">
        <v>1228</v>
      </c>
      <c r="D176" t="s">
        <v>1081</v>
      </c>
      <c r="E176" t="s">
        <v>124</v>
      </c>
      <c r="F176" t="s">
        <v>126</v>
      </c>
      <c r="G176">
        <v>2042</v>
      </c>
      <c r="H176">
        <v>-21.487099999999998</v>
      </c>
    </row>
    <row r="177" spans="1:8">
      <c r="A177" t="s">
        <v>1221</v>
      </c>
      <c r="B177" t="s">
        <v>1219</v>
      </c>
      <c r="C177" t="s">
        <v>1228</v>
      </c>
      <c r="D177" t="s">
        <v>1218</v>
      </c>
      <c r="E177" t="s">
        <v>124</v>
      </c>
      <c r="F177" t="s">
        <v>126</v>
      </c>
      <c r="G177">
        <v>2042</v>
      </c>
      <c r="H177">
        <v>3.7251400000000001</v>
      </c>
    </row>
    <row r="178" spans="1:8">
      <c r="A178" t="s">
        <v>1221</v>
      </c>
      <c r="B178" t="s">
        <v>1219</v>
      </c>
      <c r="C178" t="s">
        <v>1228</v>
      </c>
      <c r="D178" t="s">
        <v>1145</v>
      </c>
      <c r="E178" t="s">
        <v>124</v>
      </c>
      <c r="F178" t="s">
        <v>126</v>
      </c>
      <c r="G178">
        <v>2042</v>
      </c>
      <c r="H178">
        <v>0.268063</v>
      </c>
    </row>
    <row r="179" spans="1:8">
      <c r="A179" t="s">
        <v>1221</v>
      </c>
      <c r="B179" t="s">
        <v>1219</v>
      </c>
      <c r="C179" t="s">
        <v>1228</v>
      </c>
      <c r="D179" t="s">
        <v>1217</v>
      </c>
      <c r="E179" t="s">
        <v>124</v>
      </c>
      <c r="F179" t="s">
        <v>126</v>
      </c>
      <c r="G179">
        <v>2043</v>
      </c>
      <c r="H179">
        <v>6.8979100000000004</v>
      </c>
    </row>
    <row r="180" spans="1:8">
      <c r="A180" t="s">
        <v>1221</v>
      </c>
      <c r="B180" t="s">
        <v>1219</v>
      </c>
      <c r="C180" t="s">
        <v>1228</v>
      </c>
      <c r="D180" t="s">
        <v>1081</v>
      </c>
      <c r="E180" t="s">
        <v>124</v>
      </c>
      <c r="F180" t="s">
        <v>126</v>
      </c>
      <c r="G180">
        <v>2043</v>
      </c>
      <c r="H180">
        <v>-21.5657</v>
      </c>
    </row>
    <row r="181" spans="1:8">
      <c r="A181" t="s">
        <v>1221</v>
      </c>
      <c r="B181" t="s">
        <v>1219</v>
      </c>
      <c r="C181" t="s">
        <v>1228</v>
      </c>
      <c r="D181" t="s">
        <v>1218</v>
      </c>
      <c r="E181" t="s">
        <v>124</v>
      </c>
      <c r="F181" t="s">
        <v>126</v>
      </c>
      <c r="G181">
        <v>2043</v>
      </c>
      <c r="H181">
        <v>3.7186900000000001</v>
      </c>
    </row>
    <row r="182" spans="1:8">
      <c r="A182" t="s">
        <v>1221</v>
      </c>
      <c r="B182" t="s">
        <v>1219</v>
      </c>
      <c r="C182" t="s">
        <v>1228</v>
      </c>
      <c r="D182" t="s">
        <v>1145</v>
      </c>
      <c r="E182" t="s">
        <v>124</v>
      </c>
      <c r="F182" t="s">
        <v>126</v>
      </c>
      <c r="G182">
        <v>2043</v>
      </c>
      <c r="H182">
        <v>0.26774000000000003</v>
      </c>
    </row>
    <row r="183" spans="1:8">
      <c r="A183" t="s">
        <v>1221</v>
      </c>
      <c r="B183" t="s">
        <v>1219</v>
      </c>
      <c r="C183" t="s">
        <v>1228</v>
      </c>
      <c r="D183" t="s">
        <v>1217</v>
      </c>
      <c r="E183" t="s">
        <v>124</v>
      </c>
      <c r="F183" t="s">
        <v>126</v>
      </c>
      <c r="G183">
        <v>2044</v>
      </c>
      <c r="H183">
        <v>6.8408500000000005</v>
      </c>
    </row>
    <row r="184" spans="1:8">
      <c r="A184" t="s">
        <v>1221</v>
      </c>
      <c r="B184" t="s">
        <v>1219</v>
      </c>
      <c r="C184" t="s">
        <v>1228</v>
      </c>
      <c r="D184" t="s">
        <v>1081</v>
      </c>
      <c r="E184" t="s">
        <v>124</v>
      </c>
      <c r="F184" t="s">
        <v>126</v>
      </c>
      <c r="G184">
        <v>2044</v>
      </c>
      <c r="H184">
        <v>-21.575299999999999</v>
      </c>
    </row>
    <row r="185" spans="1:8">
      <c r="A185" t="s">
        <v>1221</v>
      </c>
      <c r="B185" t="s">
        <v>1219</v>
      </c>
      <c r="C185" t="s">
        <v>1228</v>
      </c>
      <c r="D185" t="s">
        <v>1218</v>
      </c>
      <c r="E185" t="s">
        <v>124</v>
      </c>
      <c r="F185" t="s">
        <v>126</v>
      </c>
      <c r="G185">
        <v>2044</v>
      </c>
      <c r="H185">
        <v>3.7156700000000003</v>
      </c>
    </row>
    <row r="186" spans="1:8">
      <c r="A186" t="s">
        <v>1221</v>
      </c>
      <c r="B186" t="s">
        <v>1219</v>
      </c>
      <c r="C186" t="s">
        <v>1228</v>
      </c>
      <c r="D186" t="s">
        <v>1145</v>
      </c>
      <c r="E186" t="s">
        <v>124</v>
      </c>
      <c r="F186" t="s">
        <v>126</v>
      </c>
      <c r="G186">
        <v>2044</v>
      </c>
      <c r="H186">
        <v>0.26741599999999999</v>
      </c>
    </row>
    <row r="187" spans="1:8">
      <c r="A187" t="s">
        <v>1221</v>
      </c>
      <c r="B187" t="s">
        <v>1219</v>
      </c>
      <c r="C187" t="s">
        <v>1228</v>
      </c>
      <c r="D187" t="s">
        <v>1217</v>
      </c>
      <c r="E187" t="s">
        <v>124</v>
      </c>
      <c r="F187" t="s">
        <v>126</v>
      </c>
      <c r="G187">
        <v>2045</v>
      </c>
      <c r="H187">
        <v>6.7845300000000002</v>
      </c>
    </row>
    <row r="188" spans="1:8">
      <c r="A188" t="s">
        <v>1221</v>
      </c>
      <c r="B188" t="s">
        <v>1219</v>
      </c>
      <c r="C188" t="s">
        <v>1228</v>
      </c>
      <c r="D188" t="s">
        <v>1081</v>
      </c>
      <c r="E188" t="s">
        <v>124</v>
      </c>
      <c r="F188" t="s">
        <v>126</v>
      </c>
      <c r="G188">
        <v>2045</v>
      </c>
      <c r="H188">
        <v>-21.587200000000003</v>
      </c>
    </row>
    <row r="189" spans="1:8">
      <c r="A189" t="s">
        <v>1221</v>
      </c>
      <c r="B189" t="s">
        <v>1219</v>
      </c>
      <c r="C189" t="s">
        <v>1228</v>
      </c>
      <c r="D189" t="s">
        <v>1218</v>
      </c>
      <c r="E189" t="s">
        <v>124</v>
      </c>
      <c r="F189" t="s">
        <v>126</v>
      </c>
      <c r="G189">
        <v>2045</v>
      </c>
      <c r="H189">
        <v>3.7158000000000002</v>
      </c>
    </row>
    <row r="190" spans="1:8">
      <c r="A190" t="s">
        <v>1221</v>
      </c>
      <c r="B190" t="s">
        <v>1219</v>
      </c>
      <c r="C190" t="s">
        <v>1228</v>
      </c>
      <c r="D190" t="s">
        <v>1145</v>
      </c>
      <c r="E190" t="s">
        <v>124</v>
      </c>
      <c r="F190" t="s">
        <v>126</v>
      </c>
      <c r="G190">
        <v>2045</v>
      </c>
      <c r="H190">
        <v>0.26709100000000002</v>
      </c>
    </row>
    <row r="191" spans="1:8">
      <c r="A191" t="s">
        <v>1221</v>
      </c>
      <c r="B191" t="s">
        <v>1219</v>
      </c>
      <c r="C191" t="s">
        <v>1228</v>
      </c>
      <c r="D191" t="s">
        <v>1217</v>
      </c>
      <c r="E191" t="s">
        <v>124</v>
      </c>
      <c r="F191" t="s">
        <v>126</v>
      </c>
      <c r="G191">
        <v>2046</v>
      </c>
      <c r="H191">
        <v>6.7282099999999998</v>
      </c>
    </row>
    <row r="192" spans="1:8">
      <c r="A192" t="s">
        <v>1221</v>
      </c>
      <c r="B192" t="s">
        <v>1219</v>
      </c>
      <c r="C192" t="s">
        <v>1228</v>
      </c>
      <c r="D192" t="s">
        <v>1081</v>
      </c>
      <c r="E192" t="s">
        <v>124</v>
      </c>
      <c r="F192" t="s">
        <v>126</v>
      </c>
      <c r="G192">
        <v>2046</v>
      </c>
      <c r="H192">
        <v>-21.655999999999999</v>
      </c>
    </row>
    <row r="193" spans="1:8">
      <c r="A193" t="s">
        <v>1221</v>
      </c>
      <c r="B193" t="s">
        <v>1219</v>
      </c>
      <c r="C193" t="s">
        <v>1228</v>
      </c>
      <c r="D193" t="s">
        <v>1218</v>
      </c>
      <c r="E193" t="s">
        <v>124</v>
      </c>
      <c r="F193" t="s">
        <v>126</v>
      </c>
      <c r="G193">
        <v>2046</v>
      </c>
      <c r="H193">
        <v>3.7196599999999997</v>
      </c>
    </row>
    <row r="194" spans="1:8">
      <c r="A194" t="s">
        <v>1221</v>
      </c>
      <c r="B194" t="s">
        <v>1219</v>
      </c>
      <c r="C194" t="s">
        <v>1228</v>
      </c>
      <c r="D194" t="s">
        <v>1145</v>
      </c>
      <c r="E194" t="s">
        <v>124</v>
      </c>
      <c r="F194" t="s">
        <v>126</v>
      </c>
      <c r="G194">
        <v>2046</v>
      </c>
      <c r="H194">
        <v>0.26676299999999997</v>
      </c>
    </row>
    <row r="195" spans="1:8">
      <c r="A195" t="s">
        <v>1221</v>
      </c>
      <c r="B195" t="s">
        <v>1219</v>
      </c>
      <c r="C195" t="s">
        <v>1228</v>
      </c>
      <c r="D195" t="s">
        <v>1217</v>
      </c>
      <c r="E195" t="s">
        <v>124</v>
      </c>
      <c r="F195" t="s">
        <v>126</v>
      </c>
      <c r="G195">
        <v>2047</v>
      </c>
      <c r="H195">
        <v>6.6743000000000006</v>
      </c>
    </row>
    <row r="196" spans="1:8">
      <c r="A196" t="s">
        <v>1221</v>
      </c>
      <c r="B196" t="s">
        <v>1219</v>
      </c>
      <c r="C196" t="s">
        <v>1228</v>
      </c>
      <c r="D196" t="s">
        <v>1081</v>
      </c>
      <c r="E196" t="s">
        <v>124</v>
      </c>
      <c r="F196" t="s">
        <v>126</v>
      </c>
      <c r="G196">
        <v>2047</v>
      </c>
      <c r="H196">
        <v>-21.693900000000003</v>
      </c>
    </row>
    <row r="197" spans="1:8">
      <c r="A197" t="s">
        <v>1221</v>
      </c>
      <c r="B197" t="s">
        <v>1219</v>
      </c>
      <c r="C197" t="s">
        <v>1228</v>
      </c>
      <c r="D197" t="s">
        <v>1218</v>
      </c>
      <c r="E197" t="s">
        <v>124</v>
      </c>
      <c r="F197" t="s">
        <v>126</v>
      </c>
      <c r="G197">
        <v>2047</v>
      </c>
      <c r="H197">
        <v>3.7267899999999998</v>
      </c>
    </row>
    <row r="198" spans="1:8">
      <c r="A198" t="s">
        <v>1221</v>
      </c>
      <c r="B198" t="s">
        <v>1219</v>
      </c>
      <c r="C198" t="s">
        <v>1228</v>
      </c>
      <c r="D198" t="s">
        <v>1145</v>
      </c>
      <c r="E198" t="s">
        <v>124</v>
      </c>
      <c r="F198" t="s">
        <v>126</v>
      </c>
      <c r="G198">
        <v>2047</v>
      </c>
      <c r="H198">
        <v>0.266428</v>
      </c>
    </row>
    <row r="199" spans="1:8">
      <c r="A199" t="s">
        <v>1221</v>
      </c>
      <c r="B199" t="s">
        <v>1219</v>
      </c>
      <c r="C199" t="s">
        <v>1228</v>
      </c>
      <c r="D199" t="s">
        <v>1217</v>
      </c>
      <c r="E199" t="s">
        <v>124</v>
      </c>
      <c r="F199" t="s">
        <v>126</v>
      </c>
      <c r="G199">
        <v>2048</v>
      </c>
      <c r="H199">
        <v>6.6194199999999999</v>
      </c>
    </row>
    <row r="200" spans="1:8">
      <c r="A200" t="s">
        <v>1221</v>
      </c>
      <c r="B200" t="s">
        <v>1219</v>
      </c>
      <c r="C200" t="s">
        <v>1228</v>
      </c>
      <c r="D200" t="s">
        <v>1081</v>
      </c>
      <c r="E200" t="s">
        <v>124</v>
      </c>
      <c r="F200" t="s">
        <v>126</v>
      </c>
      <c r="G200">
        <v>2048</v>
      </c>
      <c r="H200">
        <v>-21.6767</v>
      </c>
    </row>
    <row r="201" spans="1:8">
      <c r="A201" t="s">
        <v>1221</v>
      </c>
      <c r="B201" t="s">
        <v>1219</v>
      </c>
      <c r="C201" t="s">
        <v>1228</v>
      </c>
      <c r="D201" t="s">
        <v>1218</v>
      </c>
      <c r="E201" t="s">
        <v>124</v>
      </c>
      <c r="F201" t="s">
        <v>126</v>
      </c>
      <c r="G201">
        <v>2048</v>
      </c>
      <c r="H201">
        <v>3.7353299999999998</v>
      </c>
    </row>
    <row r="202" spans="1:8">
      <c r="A202" t="s">
        <v>1221</v>
      </c>
      <c r="B202" t="s">
        <v>1219</v>
      </c>
      <c r="C202" t="s">
        <v>1228</v>
      </c>
      <c r="D202" t="s">
        <v>1145</v>
      </c>
      <c r="E202" t="s">
        <v>124</v>
      </c>
      <c r="F202" t="s">
        <v>126</v>
      </c>
      <c r="G202">
        <v>2048</v>
      </c>
      <c r="H202">
        <v>0.26609699999999997</v>
      </c>
    </row>
    <row r="203" spans="1:8">
      <c r="A203" t="s">
        <v>1221</v>
      </c>
      <c r="B203" t="s">
        <v>1219</v>
      </c>
      <c r="C203" t="s">
        <v>1228</v>
      </c>
      <c r="D203" t="s">
        <v>1217</v>
      </c>
      <c r="E203" t="s">
        <v>124</v>
      </c>
      <c r="F203" t="s">
        <v>126</v>
      </c>
      <c r="G203">
        <v>2049</v>
      </c>
      <c r="H203">
        <v>6.5563000000000002</v>
      </c>
    </row>
    <row r="204" spans="1:8">
      <c r="A204" t="s">
        <v>1221</v>
      </c>
      <c r="B204" t="s">
        <v>1219</v>
      </c>
      <c r="C204" t="s">
        <v>1228</v>
      </c>
      <c r="D204" t="s">
        <v>1081</v>
      </c>
      <c r="E204" t="s">
        <v>124</v>
      </c>
      <c r="F204" t="s">
        <v>126</v>
      </c>
      <c r="G204">
        <v>2049</v>
      </c>
      <c r="H204">
        <v>-21.590200000000003</v>
      </c>
    </row>
    <row r="205" spans="1:8">
      <c r="A205" t="s">
        <v>1221</v>
      </c>
      <c r="B205" t="s">
        <v>1219</v>
      </c>
      <c r="C205" t="s">
        <v>1228</v>
      </c>
      <c r="D205" t="s">
        <v>1218</v>
      </c>
      <c r="E205" t="s">
        <v>124</v>
      </c>
      <c r="F205" t="s">
        <v>126</v>
      </c>
      <c r="G205">
        <v>2049</v>
      </c>
      <c r="H205">
        <v>3.7455000000000003</v>
      </c>
    </row>
    <row r="206" spans="1:8">
      <c r="A206" t="s">
        <v>1221</v>
      </c>
      <c r="B206" t="s">
        <v>1219</v>
      </c>
      <c r="C206" t="s">
        <v>1228</v>
      </c>
      <c r="D206" t="s">
        <v>1145</v>
      </c>
      <c r="E206" t="s">
        <v>124</v>
      </c>
      <c r="F206" t="s">
        <v>126</v>
      </c>
      <c r="G206">
        <v>2049</v>
      </c>
      <c r="H206">
        <v>0.26576</v>
      </c>
    </row>
    <row r="207" spans="1:8">
      <c r="A207" t="s">
        <v>1221</v>
      </c>
      <c r="B207" t="s">
        <v>1219</v>
      </c>
      <c r="C207" t="s">
        <v>1228</v>
      </c>
      <c r="D207" t="s">
        <v>1217</v>
      </c>
      <c r="E207" t="s">
        <v>124</v>
      </c>
      <c r="F207" t="s">
        <v>126</v>
      </c>
      <c r="G207">
        <v>2050</v>
      </c>
      <c r="H207">
        <v>6.4776199999999999</v>
      </c>
    </row>
    <row r="208" spans="1:8">
      <c r="A208" t="s">
        <v>1221</v>
      </c>
      <c r="B208" t="s">
        <v>1219</v>
      </c>
      <c r="C208" t="s">
        <v>1228</v>
      </c>
      <c r="D208" t="s">
        <v>1081</v>
      </c>
      <c r="E208" t="s">
        <v>124</v>
      </c>
      <c r="F208" t="s">
        <v>126</v>
      </c>
      <c r="G208">
        <v>2050</v>
      </c>
      <c r="H208">
        <v>-21.4345</v>
      </c>
    </row>
    <row r="209" spans="1:8">
      <c r="A209" t="s">
        <v>1221</v>
      </c>
      <c r="B209" t="s">
        <v>1219</v>
      </c>
      <c r="C209" t="s">
        <v>1228</v>
      </c>
      <c r="D209" t="s">
        <v>1218</v>
      </c>
      <c r="E209" t="s">
        <v>124</v>
      </c>
      <c r="F209" t="s">
        <v>126</v>
      </c>
      <c r="G209">
        <v>2050</v>
      </c>
      <c r="H209">
        <v>3.7588699999999999</v>
      </c>
    </row>
    <row r="210" spans="1:8">
      <c r="A210" t="s">
        <v>1221</v>
      </c>
      <c r="B210" t="s">
        <v>1219</v>
      </c>
      <c r="C210" t="s">
        <v>1228</v>
      </c>
      <c r="D210" t="s">
        <v>1145</v>
      </c>
      <c r="E210" t="s">
        <v>124</v>
      </c>
      <c r="F210" t="s">
        <v>126</v>
      </c>
      <c r="G210">
        <v>2050</v>
      </c>
      <c r="H210">
        <v>0.265426</v>
      </c>
    </row>
    <row r="211" spans="1:8">
      <c r="A211" t="s">
        <v>1221</v>
      </c>
      <c r="B211" t="s">
        <v>1220</v>
      </c>
      <c r="C211" t="s">
        <v>1228</v>
      </c>
      <c r="D211" t="s">
        <v>1217</v>
      </c>
      <c r="E211" t="s">
        <v>124</v>
      </c>
      <c r="F211" t="s">
        <v>126</v>
      </c>
      <c r="G211">
        <v>2025</v>
      </c>
      <c r="H211">
        <v>8.5616200000000013</v>
      </c>
    </row>
    <row r="212" spans="1:8">
      <c r="A212" t="s">
        <v>1221</v>
      </c>
      <c r="B212" t="s">
        <v>1220</v>
      </c>
      <c r="C212" t="s">
        <v>1228</v>
      </c>
      <c r="D212" t="s">
        <v>1081</v>
      </c>
      <c r="E212" t="s">
        <v>124</v>
      </c>
      <c r="F212" t="s">
        <v>126</v>
      </c>
      <c r="G212">
        <v>2025</v>
      </c>
      <c r="H212">
        <v>-6.5475099999999999</v>
      </c>
    </row>
    <row r="213" spans="1:8">
      <c r="A213" t="s">
        <v>1221</v>
      </c>
      <c r="B213" t="s">
        <v>1220</v>
      </c>
      <c r="C213" t="s">
        <v>1228</v>
      </c>
      <c r="D213" t="s">
        <v>1218</v>
      </c>
      <c r="E213" t="s">
        <v>124</v>
      </c>
      <c r="F213" t="s">
        <v>126</v>
      </c>
      <c r="G213">
        <v>2025</v>
      </c>
      <c r="H213">
        <v>4.54474</v>
      </c>
    </row>
    <row r="214" spans="1:8">
      <c r="A214" t="s">
        <v>1221</v>
      </c>
      <c r="B214" t="s">
        <v>1220</v>
      </c>
      <c r="C214" t="s">
        <v>1228</v>
      </c>
      <c r="D214" t="s">
        <v>1145</v>
      </c>
      <c r="E214" t="s">
        <v>124</v>
      </c>
      <c r="F214" t="s">
        <v>126</v>
      </c>
      <c r="G214">
        <v>2025</v>
      </c>
      <c r="H214">
        <v>0.27144699999999999</v>
      </c>
    </row>
    <row r="215" spans="1:8">
      <c r="A215" t="s">
        <v>1221</v>
      </c>
      <c r="B215" t="s">
        <v>1220</v>
      </c>
      <c r="C215" t="s">
        <v>1228</v>
      </c>
      <c r="D215" t="s">
        <v>1217</v>
      </c>
      <c r="E215" t="s">
        <v>124</v>
      </c>
      <c r="F215" t="s">
        <v>126</v>
      </c>
      <c r="G215">
        <v>2026</v>
      </c>
      <c r="H215">
        <v>8.5400900000000011</v>
      </c>
    </row>
    <row r="216" spans="1:8">
      <c r="A216" t="s">
        <v>1221</v>
      </c>
      <c r="B216" t="s">
        <v>1220</v>
      </c>
      <c r="C216" t="s">
        <v>1228</v>
      </c>
      <c r="D216" t="s">
        <v>1081</v>
      </c>
      <c r="E216" t="s">
        <v>124</v>
      </c>
      <c r="F216" t="s">
        <v>126</v>
      </c>
      <c r="G216">
        <v>2026</v>
      </c>
      <c r="H216">
        <v>-7.3752800000000001</v>
      </c>
    </row>
    <row r="217" spans="1:8">
      <c r="A217" t="s">
        <v>1221</v>
      </c>
      <c r="B217" t="s">
        <v>1220</v>
      </c>
      <c r="C217" t="s">
        <v>1228</v>
      </c>
      <c r="D217" t="s">
        <v>1218</v>
      </c>
      <c r="E217" t="s">
        <v>124</v>
      </c>
      <c r="F217" t="s">
        <v>126</v>
      </c>
      <c r="G217">
        <v>2026</v>
      </c>
      <c r="H217">
        <v>4.5340699999999998</v>
      </c>
    </row>
    <row r="218" spans="1:8">
      <c r="A218" t="s">
        <v>1221</v>
      </c>
      <c r="B218" t="s">
        <v>1220</v>
      </c>
      <c r="C218" t="s">
        <v>1228</v>
      </c>
      <c r="D218" t="s">
        <v>1145</v>
      </c>
      <c r="E218" t="s">
        <v>124</v>
      </c>
      <c r="F218" t="s">
        <v>126</v>
      </c>
      <c r="G218">
        <v>2026</v>
      </c>
      <c r="H218">
        <v>0.27243400000000001</v>
      </c>
    </row>
    <row r="219" spans="1:8">
      <c r="A219" t="s">
        <v>1221</v>
      </c>
      <c r="B219" t="s">
        <v>1220</v>
      </c>
      <c r="C219" t="s">
        <v>1228</v>
      </c>
      <c r="D219" t="s">
        <v>1217</v>
      </c>
      <c r="E219" t="s">
        <v>124</v>
      </c>
      <c r="F219" t="s">
        <v>126</v>
      </c>
      <c r="G219">
        <v>2027</v>
      </c>
      <c r="H219">
        <v>8.51417</v>
      </c>
    </row>
    <row r="220" spans="1:8">
      <c r="A220" t="s">
        <v>1221</v>
      </c>
      <c r="B220" t="s">
        <v>1220</v>
      </c>
      <c r="C220" t="s">
        <v>1228</v>
      </c>
      <c r="D220" t="s">
        <v>1081</v>
      </c>
      <c r="E220" t="s">
        <v>124</v>
      </c>
      <c r="F220" t="s">
        <v>126</v>
      </c>
      <c r="G220">
        <v>2027</v>
      </c>
      <c r="H220">
        <v>-8.1883100000000013</v>
      </c>
    </row>
    <row r="221" spans="1:8">
      <c r="A221" t="s">
        <v>1221</v>
      </c>
      <c r="B221" t="s">
        <v>1220</v>
      </c>
      <c r="C221" t="s">
        <v>1228</v>
      </c>
      <c r="D221" t="s">
        <v>1218</v>
      </c>
      <c r="E221" t="s">
        <v>124</v>
      </c>
      <c r="F221" t="s">
        <v>126</v>
      </c>
      <c r="G221">
        <v>2027</v>
      </c>
      <c r="H221">
        <v>4.4840299999999997</v>
      </c>
    </row>
    <row r="222" spans="1:8">
      <c r="A222" t="s">
        <v>1221</v>
      </c>
      <c r="B222" t="s">
        <v>1220</v>
      </c>
      <c r="C222" t="s">
        <v>1228</v>
      </c>
      <c r="D222" t="s">
        <v>1145</v>
      </c>
      <c r="E222" t="s">
        <v>124</v>
      </c>
      <c r="F222" t="s">
        <v>126</v>
      </c>
      <c r="G222">
        <v>2027</v>
      </c>
      <c r="H222">
        <v>0.27338200000000001</v>
      </c>
    </row>
    <row r="223" spans="1:8">
      <c r="A223" t="s">
        <v>1221</v>
      </c>
      <c r="B223" t="s">
        <v>1220</v>
      </c>
      <c r="C223" t="s">
        <v>1228</v>
      </c>
      <c r="D223" t="s">
        <v>1217</v>
      </c>
      <c r="E223" t="s">
        <v>124</v>
      </c>
      <c r="F223" t="s">
        <v>126</v>
      </c>
      <c r="G223">
        <v>2028</v>
      </c>
      <c r="H223">
        <v>8.4918399999999998</v>
      </c>
    </row>
    <row r="224" spans="1:8">
      <c r="A224" t="s">
        <v>1221</v>
      </c>
      <c r="B224" t="s">
        <v>1220</v>
      </c>
      <c r="C224" t="s">
        <v>1228</v>
      </c>
      <c r="D224" t="s">
        <v>1081</v>
      </c>
      <c r="E224" t="s">
        <v>124</v>
      </c>
      <c r="F224" t="s">
        <v>126</v>
      </c>
      <c r="G224">
        <v>2028</v>
      </c>
      <c r="H224">
        <v>-9.0267199999999992</v>
      </c>
    </row>
    <row r="225" spans="1:8">
      <c r="A225" t="s">
        <v>1221</v>
      </c>
      <c r="B225" t="s">
        <v>1220</v>
      </c>
      <c r="C225" t="s">
        <v>1228</v>
      </c>
      <c r="D225" t="s">
        <v>1218</v>
      </c>
      <c r="E225" t="s">
        <v>124</v>
      </c>
      <c r="F225" t="s">
        <v>126</v>
      </c>
      <c r="G225">
        <v>2028</v>
      </c>
      <c r="H225">
        <v>4.4403199999999998</v>
      </c>
    </row>
    <row r="226" spans="1:8">
      <c r="A226" t="s">
        <v>1221</v>
      </c>
      <c r="B226" t="s">
        <v>1220</v>
      </c>
      <c r="C226" t="s">
        <v>1228</v>
      </c>
      <c r="D226" t="s">
        <v>1145</v>
      </c>
      <c r="E226" t="s">
        <v>124</v>
      </c>
      <c r="F226" t="s">
        <v>126</v>
      </c>
      <c r="G226">
        <v>2028</v>
      </c>
      <c r="H226">
        <v>0.27428399999999997</v>
      </c>
    </row>
    <row r="227" spans="1:8">
      <c r="A227" t="s">
        <v>1221</v>
      </c>
      <c r="B227" t="s">
        <v>1220</v>
      </c>
      <c r="C227" t="s">
        <v>1228</v>
      </c>
      <c r="D227" t="s">
        <v>1217</v>
      </c>
      <c r="E227" t="s">
        <v>124</v>
      </c>
      <c r="F227" t="s">
        <v>126</v>
      </c>
      <c r="G227">
        <v>2029</v>
      </c>
      <c r="H227">
        <v>8.4701800000000009</v>
      </c>
    </row>
    <row r="228" spans="1:8">
      <c r="A228" t="s">
        <v>1221</v>
      </c>
      <c r="B228" t="s">
        <v>1220</v>
      </c>
      <c r="C228" t="s">
        <v>1228</v>
      </c>
      <c r="D228" t="s">
        <v>1081</v>
      </c>
      <c r="E228" t="s">
        <v>124</v>
      </c>
      <c r="F228" t="s">
        <v>126</v>
      </c>
      <c r="G228">
        <v>2029</v>
      </c>
      <c r="H228">
        <v>-9.7177000000000007</v>
      </c>
    </row>
    <row r="229" spans="1:8">
      <c r="A229" t="s">
        <v>1221</v>
      </c>
      <c r="B229" t="s">
        <v>1220</v>
      </c>
      <c r="C229" t="s">
        <v>1228</v>
      </c>
      <c r="D229" t="s">
        <v>1218</v>
      </c>
      <c r="E229" t="s">
        <v>124</v>
      </c>
      <c r="F229" t="s">
        <v>126</v>
      </c>
      <c r="G229">
        <v>2029</v>
      </c>
      <c r="H229">
        <v>4.4197500000000005</v>
      </c>
    </row>
    <row r="230" spans="1:8">
      <c r="A230" t="s">
        <v>1221</v>
      </c>
      <c r="B230" t="s">
        <v>1220</v>
      </c>
      <c r="C230" t="s">
        <v>1228</v>
      </c>
      <c r="D230" t="s">
        <v>1145</v>
      </c>
      <c r="E230" t="s">
        <v>124</v>
      </c>
      <c r="F230" t="s">
        <v>126</v>
      </c>
      <c r="G230">
        <v>2029</v>
      </c>
      <c r="H230">
        <v>0.27513400000000005</v>
      </c>
    </row>
    <row r="231" spans="1:8">
      <c r="A231" t="s">
        <v>1221</v>
      </c>
      <c r="B231" t="s">
        <v>1220</v>
      </c>
      <c r="C231" t="s">
        <v>1228</v>
      </c>
      <c r="D231" t="s">
        <v>1217</v>
      </c>
      <c r="E231" t="s">
        <v>124</v>
      </c>
      <c r="F231" t="s">
        <v>126</v>
      </c>
      <c r="G231">
        <v>2030</v>
      </c>
      <c r="H231">
        <v>8.4431600000000007</v>
      </c>
    </row>
    <row r="232" spans="1:8">
      <c r="A232" t="s">
        <v>1221</v>
      </c>
      <c r="B232" t="s">
        <v>1220</v>
      </c>
      <c r="C232" t="s">
        <v>1228</v>
      </c>
      <c r="D232" t="s">
        <v>1081</v>
      </c>
      <c r="E232" t="s">
        <v>124</v>
      </c>
      <c r="F232" t="s">
        <v>126</v>
      </c>
      <c r="G232">
        <v>2030</v>
      </c>
      <c r="H232">
        <v>-10.2935</v>
      </c>
    </row>
    <row r="233" spans="1:8">
      <c r="A233" t="s">
        <v>1221</v>
      </c>
      <c r="B233" t="s">
        <v>1220</v>
      </c>
      <c r="C233" t="s">
        <v>1228</v>
      </c>
      <c r="D233" t="s">
        <v>1218</v>
      </c>
      <c r="E233" t="s">
        <v>124</v>
      </c>
      <c r="F233" t="s">
        <v>126</v>
      </c>
      <c r="G233">
        <v>2030</v>
      </c>
      <c r="H233">
        <v>4.3586499999999999</v>
      </c>
    </row>
    <row r="234" spans="1:8">
      <c r="A234" t="s">
        <v>1221</v>
      </c>
      <c r="B234" t="s">
        <v>1220</v>
      </c>
      <c r="C234" t="s">
        <v>1228</v>
      </c>
      <c r="D234" t="s">
        <v>1145</v>
      </c>
      <c r="E234" t="s">
        <v>124</v>
      </c>
      <c r="F234" t="s">
        <v>126</v>
      </c>
      <c r="G234">
        <v>2030</v>
      </c>
      <c r="H234">
        <v>0.27593599999999996</v>
      </c>
    </row>
    <row r="235" spans="1:8">
      <c r="A235" t="s">
        <v>1221</v>
      </c>
      <c r="B235" t="s">
        <v>1220</v>
      </c>
      <c r="C235" t="s">
        <v>1228</v>
      </c>
      <c r="D235" t="s">
        <v>1217</v>
      </c>
      <c r="E235" t="s">
        <v>124</v>
      </c>
      <c r="F235" t="s">
        <v>126</v>
      </c>
      <c r="G235">
        <v>2031</v>
      </c>
      <c r="H235">
        <v>8.4329999999999998</v>
      </c>
    </row>
    <row r="236" spans="1:8">
      <c r="A236" t="s">
        <v>1221</v>
      </c>
      <c r="B236" t="s">
        <v>1220</v>
      </c>
      <c r="C236" t="s">
        <v>1228</v>
      </c>
      <c r="D236" t="s">
        <v>1081</v>
      </c>
      <c r="E236" t="s">
        <v>124</v>
      </c>
      <c r="F236" t="s">
        <v>126</v>
      </c>
      <c r="G236">
        <v>2031</v>
      </c>
      <c r="H236">
        <v>-10.887200000000002</v>
      </c>
    </row>
    <row r="237" spans="1:8">
      <c r="A237" t="s">
        <v>1221</v>
      </c>
      <c r="B237" t="s">
        <v>1220</v>
      </c>
      <c r="C237" t="s">
        <v>1228</v>
      </c>
      <c r="D237" t="s">
        <v>1218</v>
      </c>
      <c r="E237" t="s">
        <v>124</v>
      </c>
      <c r="F237" t="s">
        <v>126</v>
      </c>
      <c r="G237">
        <v>2031</v>
      </c>
      <c r="H237">
        <v>4.3135900000000005</v>
      </c>
    </row>
    <row r="238" spans="1:8">
      <c r="A238" t="s">
        <v>1221</v>
      </c>
      <c r="B238" t="s">
        <v>1220</v>
      </c>
      <c r="C238" t="s">
        <v>1228</v>
      </c>
      <c r="D238" t="s">
        <v>1145</v>
      </c>
      <c r="E238" t="s">
        <v>124</v>
      </c>
      <c r="F238" t="s">
        <v>126</v>
      </c>
      <c r="G238">
        <v>2031</v>
      </c>
      <c r="H238">
        <v>0.27666000000000002</v>
      </c>
    </row>
    <row r="239" spans="1:8">
      <c r="A239" t="s">
        <v>1221</v>
      </c>
      <c r="B239" t="s">
        <v>1220</v>
      </c>
      <c r="C239" t="s">
        <v>1228</v>
      </c>
      <c r="D239" t="s">
        <v>1217</v>
      </c>
      <c r="E239" t="s">
        <v>124</v>
      </c>
      <c r="F239" t="s">
        <v>126</v>
      </c>
      <c r="G239">
        <v>2032</v>
      </c>
      <c r="H239">
        <v>8.4133600000000008</v>
      </c>
    </row>
    <row r="240" spans="1:8">
      <c r="A240" t="s">
        <v>1221</v>
      </c>
      <c r="B240" t="s">
        <v>1220</v>
      </c>
      <c r="C240" t="s">
        <v>1228</v>
      </c>
      <c r="D240" t="s">
        <v>1081</v>
      </c>
      <c r="E240" t="s">
        <v>124</v>
      </c>
      <c r="F240" t="s">
        <v>126</v>
      </c>
      <c r="G240">
        <v>2032</v>
      </c>
      <c r="H240">
        <v>-11.4756</v>
      </c>
    </row>
    <row r="241" spans="1:8">
      <c r="A241" t="s">
        <v>1221</v>
      </c>
      <c r="B241" t="s">
        <v>1220</v>
      </c>
      <c r="C241" t="s">
        <v>1228</v>
      </c>
      <c r="D241" t="s">
        <v>1218</v>
      </c>
      <c r="E241" t="s">
        <v>124</v>
      </c>
      <c r="F241" t="s">
        <v>126</v>
      </c>
      <c r="G241">
        <v>2032</v>
      </c>
      <c r="H241">
        <v>4.2706600000000003</v>
      </c>
    </row>
    <row r="242" spans="1:8">
      <c r="A242" t="s">
        <v>1221</v>
      </c>
      <c r="B242" t="s">
        <v>1220</v>
      </c>
      <c r="C242" t="s">
        <v>1228</v>
      </c>
      <c r="D242" t="s">
        <v>1145</v>
      </c>
      <c r="E242" t="s">
        <v>124</v>
      </c>
      <c r="F242" t="s">
        <v>126</v>
      </c>
      <c r="G242">
        <v>2032</v>
      </c>
      <c r="H242">
        <v>0.27734399999999998</v>
      </c>
    </row>
    <row r="243" spans="1:8">
      <c r="A243" t="s">
        <v>1221</v>
      </c>
      <c r="B243" t="s">
        <v>1220</v>
      </c>
      <c r="C243" t="s">
        <v>1228</v>
      </c>
      <c r="D243" t="s">
        <v>1217</v>
      </c>
      <c r="E243" t="s">
        <v>124</v>
      </c>
      <c r="F243" t="s">
        <v>126</v>
      </c>
      <c r="G243">
        <v>2033</v>
      </c>
      <c r="H243">
        <v>8.3980599999999992</v>
      </c>
    </row>
    <row r="244" spans="1:8">
      <c r="A244" t="s">
        <v>1221</v>
      </c>
      <c r="B244" t="s">
        <v>1220</v>
      </c>
      <c r="C244" t="s">
        <v>1228</v>
      </c>
      <c r="D244" t="s">
        <v>1081</v>
      </c>
      <c r="E244" t="s">
        <v>124</v>
      </c>
      <c r="F244" t="s">
        <v>126</v>
      </c>
      <c r="G244">
        <v>2033</v>
      </c>
      <c r="H244">
        <v>-11.997400000000001</v>
      </c>
    </row>
    <row r="245" spans="1:8">
      <c r="A245" t="s">
        <v>1221</v>
      </c>
      <c r="B245" t="s">
        <v>1220</v>
      </c>
      <c r="C245" t="s">
        <v>1228</v>
      </c>
      <c r="D245" t="s">
        <v>1218</v>
      </c>
      <c r="E245" t="s">
        <v>124</v>
      </c>
      <c r="F245" t="s">
        <v>126</v>
      </c>
      <c r="G245">
        <v>2033</v>
      </c>
      <c r="H245">
        <v>4.2149300000000007</v>
      </c>
    </row>
    <row r="246" spans="1:8">
      <c r="A246" t="s">
        <v>1221</v>
      </c>
      <c r="B246" t="s">
        <v>1220</v>
      </c>
      <c r="C246" t="s">
        <v>1228</v>
      </c>
      <c r="D246" t="s">
        <v>1145</v>
      </c>
      <c r="E246" t="s">
        <v>124</v>
      </c>
      <c r="F246" t="s">
        <v>126</v>
      </c>
      <c r="G246">
        <v>2033</v>
      </c>
      <c r="H246">
        <v>0.27797300000000003</v>
      </c>
    </row>
    <row r="247" spans="1:8">
      <c r="A247" t="s">
        <v>1221</v>
      </c>
      <c r="B247" t="s">
        <v>1220</v>
      </c>
      <c r="C247" t="s">
        <v>1228</v>
      </c>
      <c r="D247" t="s">
        <v>1217</v>
      </c>
      <c r="E247" t="s">
        <v>124</v>
      </c>
      <c r="F247" t="s">
        <v>126</v>
      </c>
      <c r="G247">
        <v>2034</v>
      </c>
      <c r="H247">
        <v>8.3813300000000002</v>
      </c>
    </row>
    <row r="248" spans="1:8">
      <c r="A248" t="s">
        <v>1221</v>
      </c>
      <c r="B248" t="s">
        <v>1220</v>
      </c>
      <c r="C248" t="s">
        <v>1228</v>
      </c>
      <c r="D248" t="s">
        <v>1081</v>
      </c>
      <c r="E248" t="s">
        <v>124</v>
      </c>
      <c r="F248" t="s">
        <v>126</v>
      </c>
      <c r="G248">
        <v>2034</v>
      </c>
      <c r="H248">
        <v>-12.44</v>
      </c>
    </row>
    <row r="249" spans="1:8">
      <c r="A249" t="s">
        <v>1221</v>
      </c>
      <c r="B249" t="s">
        <v>1220</v>
      </c>
      <c r="C249" t="s">
        <v>1228</v>
      </c>
      <c r="D249" t="s">
        <v>1218</v>
      </c>
      <c r="E249" t="s">
        <v>124</v>
      </c>
      <c r="F249" t="s">
        <v>126</v>
      </c>
      <c r="G249">
        <v>2034</v>
      </c>
      <c r="H249">
        <v>4.1684000000000001</v>
      </c>
    </row>
    <row r="250" spans="1:8">
      <c r="A250" t="s">
        <v>1221</v>
      </c>
      <c r="B250" t="s">
        <v>1220</v>
      </c>
      <c r="C250" t="s">
        <v>1228</v>
      </c>
      <c r="D250" t="s">
        <v>1145</v>
      </c>
      <c r="E250" t="s">
        <v>124</v>
      </c>
      <c r="F250" t="s">
        <v>126</v>
      </c>
      <c r="G250">
        <v>2034</v>
      </c>
      <c r="H250">
        <v>0.27854600000000002</v>
      </c>
    </row>
    <row r="251" spans="1:8">
      <c r="A251" t="s">
        <v>1221</v>
      </c>
      <c r="B251" t="s">
        <v>1220</v>
      </c>
      <c r="C251" t="s">
        <v>1228</v>
      </c>
      <c r="D251" t="s">
        <v>1217</v>
      </c>
      <c r="E251" t="s">
        <v>124</v>
      </c>
      <c r="F251" t="s">
        <v>126</v>
      </c>
      <c r="G251">
        <v>2035</v>
      </c>
      <c r="H251">
        <v>8.3615700000000004</v>
      </c>
    </row>
    <row r="252" spans="1:8">
      <c r="A252" t="s">
        <v>1221</v>
      </c>
      <c r="B252" t="s">
        <v>1220</v>
      </c>
      <c r="C252" t="s">
        <v>1228</v>
      </c>
      <c r="D252" t="s">
        <v>1081</v>
      </c>
      <c r="E252" t="s">
        <v>124</v>
      </c>
      <c r="F252" t="s">
        <v>126</v>
      </c>
      <c r="G252">
        <v>2035</v>
      </c>
      <c r="H252">
        <v>-13.0678</v>
      </c>
    </row>
    <row r="253" spans="1:8">
      <c r="A253" t="s">
        <v>1221</v>
      </c>
      <c r="B253" t="s">
        <v>1220</v>
      </c>
      <c r="C253" t="s">
        <v>1228</v>
      </c>
      <c r="D253" t="s">
        <v>1218</v>
      </c>
      <c r="E253" t="s">
        <v>124</v>
      </c>
      <c r="F253" t="s">
        <v>126</v>
      </c>
      <c r="G253">
        <v>2035</v>
      </c>
      <c r="H253">
        <v>4.1401499999999993</v>
      </c>
    </row>
    <row r="254" spans="1:8">
      <c r="A254" t="s">
        <v>1221</v>
      </c>
      <c r="B254" t="s">
        <v>1220</v>
      </c>
      <c r="C254" t="s">
        <v>1228</v>
      </c>
      <c r="D254" t="s">
        <v>1145</v>
      </c>
      <c r="E254" t="s">
        <v>124</v>
      </c>
      <c r="F254" t="s">
        <v>126</v>
      </c>
      <c r="G254">
        <v>2035</v>
      </c>
      <c r="H254">
        <v>0.27906799999999998</v>
      </c>
    </row>
    <row r="255" spans="1:8">
      <c r="A255" t="s">
        <v>1221</v>
      </c>
      <c r="B255" t="s">
        <v>1220</v>
      </c>
      <c r="C255" t="s">
        <v>1228</v>
      </c>
      <c r="D255" t="s">
        <v>1217</v>
      </c>
      <c r="E255" t="s">
        <v>124</v>
      </c>
      <c r="F255" t="s">
        <v>126</v>
      </c>
      <c r="G255">
        <v>2036</v>
      </c>
      <c r="H255">
        <v>8.3457500000000007</v>
      </c>
    </row>
    <row r="256" spans="1:8">
      <c r="A256" t="s">
        <v>1221</v>
      </c>
      <c r="B256" t="s">
        <v>1220</v>
      </c>
      <c r="C256" t="s">
        <v>1228</v>
      </c>
      <c r="D256" t="s">
        <v>1081</v>
      </c>
      <c r="E256" t="s">
        <v>124</v>
      </c>
      <c r="F256" t="s">
        <v>126</v>
      </c>
      <c r="G256">
        <v>2036</v>
      </c>
      <c r="H256">
        <v>-13.980500000000001</v>
      </c>
    </row>
    <row r="257" spans="1:8">
      <c r="A257" t="s">
        <v>1221</v>
      </c>
      <c r="B257" t="s">
        <v>1220</v>
      </c>
      <c r="C257" t="s">
        <v>1228</v>
      </c>
      <c r="D257" t="s">
        <v>1218</v>
      </c>
      <c r="E257" t="s">
        <v>124</v>
      </c>
      <c r="F257" t="s">
        <v>126</v>
      </c>
      <c r="G257">
        <v>2036</v>
      </c>
      <c r="H257">
        <v>4.1014600000000003</v>
      </c>
    </row>
    <row r="258" spans="1:8">
      <c r="A258" t="s">
        <v>1221</v>
      </c>
      <c r="B258" t="s">
        <v>1220</v>
      </c>
      <c r="C258" t="s">
        <v>1228</v>
      </c>
      <c r="D258" t="s">
        <v>1145</v>
      </c>
      <c r="E258" t="s">
        <v>124</v>
      </c>
      <c r="F258" t="s">
        <v>126</v>
      </c>
      <c r="G258">
        <v>2036</v>
      </c>
      <c r="H258">
        <v>0.27957400000000004</v>
      </c>
    </row>
    <row r="259" spans="1:8">
      <c r="A259" t="s">
        <v>1221</v>
      </c>
      <c r="B259" t="s">
        <v>1220</v>
      </c>
      <c r="C259" t="s">
        <v>1228</v>
      </c>
      <c r="D259" t="s">
        <v>1217</v>
      </c>
      <c r="E259" t="s">
        <v>124</v>
      </c>
      <c r="F259" t="s">
        <v>126</v>
      </c>
      <c r="G259">
        <v>2037</v>
      </c>
      <c r="H259">
        <v>8.3269199999999994</v>
      </c>
    </row>
    <row r="260" spans="1:8">
      <c r="A260" t="s">
        <v>1221</v>
      </c>
      <c r="B260" t="s">
        <v>1220</v>
      </c>
      <c r="C260" t="s">
        <v>1228</v>
      </c>
      <c r="D260" t="s">
        <v>1081</v>
      </c>
      <c r="E260" t="s">
        <v>124</v>
      </c>
      <c r="F260" t="s">
        <v>126</v>
      </c>
      <c r="G260">
        <v>2037</v>
      </c>
      <c r="H260">
        <v>-15.542100000000001</v>
      </c>
    </row>
    <row r="261" spans="1:8">
      <c r="A261" t="s">
        <v>1221</v>
      </c>
      <c r="B261" t="s">
        <v>1220</v>
      </c>
      <c r="C261" t="s">
        <v>1228</v>
      </c>
      <c r="D261" t="s">
        <v>1218</v>
      </c>
      <c r="E261" t="s">
        <v>124</v>
      </c>
      <c r="F261" t="s">
        <v>126</v>
      </c>
      <c r="G261">
        <v>2037</v>
      </c>
      <c r="H261">
        <v>4.0758600000000005</v>
      </c>
    </row>
    <row r="262" spans="1:8">
      <c r="A262" t="s">
        <v>1221</v>
      </c>
      <c r="B262" t="s">
        <v>1220</v>
      </c>
      <c r="C262" t="s">
        <v>1228</v>
      </c>
      <c r="D262" t="s">
        <v>1145</v>
      </c>
      <c r="E262" t="s">
        <v>124</v>
      </c>
      <c r="F262" t="s">
        <v>126</v>
      </c>
      <c r="G262">
        <v>2037</v>
      </c>
      <c r="H262">
        <v>0.28006799999999998</v>
      </c>
    </row>
    <row r="263" spans="1:8">
      <c r="A263" t="s">
        <v>1221</v>
      </c>
      <c r="B263" t="s">
        <v>1220</v>
      </c>
      <c r="C263" t="s">
        <v>1228</v>
      </c>
      <c r="D263" t="s">
        <v>1217</v>
      </c>
      <c r="E263" t="s">
        <v>124</v>
      </c>
      <c r="F263" t="s">
        <v>126</v>
      </c>
      <c r="G263">
        <v>2038</v>
      </c>
      <c r="H263">
        <v>8.3130199999999999</v>
      </c>
    </row>
    <row r="264" spans="1:8">
      <c r="A264" t="s">
        <v>1221</v>
      </c>
      <c r="B264" t="s">
        <v>1220</v>
      </c>
      <c r="C264" t="s">
        <v>1228</v>
      </c>
      <c r="D264" t="s">
        <v>1081</v>
      </c>
      <c r="E264" t="s">
        <v>124</v>
      </c>
      <c r="F264" t="s">
        <v>126</v>
      </c>
      <c r="G264">
        <v>2038</v>
      </c>
      <c r="H264">
        <v>-16.530099999999997</v>
      </c>
    </row>
    <row r="265" spans="1:8">
      <c r="A265" t="s">
        <v>1221</v>
      </c>
      <c r="B265" t="s">
        <v>1220</v>
      </c>
      <c r="C265" t="s">
        <v>1228</v>
      </c>
      <c r="D265" t="s">
        <v>1218</v>
      </c>
      <c r="E265" t="s">
        <v>124</v>
      </c>
      <c r="F265" t="s">
        <v>126</v>
      </c>
      <c r="G265">
        <v>2038</v>
      </c>
      <c r="H265">
        <v>4.0526300000000006</v>
      </c>
    </row>
    <row r="266" spans="1:8">
      <c r="A266" t="s">
        <v>1221</v>
      </c>
      <c r="B266" t="s">
        <v>1220</v>
      </c>
      <c r="C266" t="s">
        <v>1228</v>
      </c>
      <c r="D266" t="s">
        <v>1145</v>
      </c>
      <c r="E266" t="s">
        <v>124</v>
      </c>
      <c r="F266" t="s">
        <v>126</v>
      </c>
      <c r="G266">
        <v>2038</v>
      </c>
      <c r="H266">
        <v>0.28055399999999997</v>
      </c>
    </row>
    <row r="267" spans="1:8">
      <c r="A267" t="s">
        <v>1221</v>
      </c>
      <c r="B267" t="s">
        <v>1220</v>
      </c>
      <c r="C267" t="s">
        <v>1228</v>
      </c>
      <c r="D267" t="s">
        <v>1217</v>
      </c>
      <c r="E267" t="s">
        <v>124</v>
      </c>
      <c r="F267" t="s">
        <v>126</v>
      </c>
      <c r="G267">
        <v>2039</v>
      </c>
      <c r="H267">
        <v>8.2907999999999991</v>
      </c>
    </row>
    <row r="268" spans="1:8">
      <c r="A268" t="s">
        <v>1221</v>
      </c>
      <c r="B268" t="s">
        <v>1220</v>
      </c>
      <c r="C268" t="s">
        <v>1228</v>
      </c>
      <c r="D268" t="s">
        <v>1081</v>
      </c>
      <c r="E268" t="s">
        <v>124</v>
      </c>
      <c r="F268" t="s">
        <v>126</v>
      </c>
      <c r="G268">
        <v>2039</v>
      </c>
      <c r="H268">
        <v>-17.557500000000001</v>
      </c>
    </row>
    <row r="269" spans="1:8">
      <c r="A269" t="s">
        <v>1221</v>
      </c>
      <c r="B269" t="s">
        <v>1220</v>
      </c>
      <c r="C269" t="s">
        <v>1228</v>
      </c>
      <c r="D269" t="s">
        <v>1218</v>
      </c>
      <c r="E269" t="s">
        <v>124</v>
      </c>
      <c r="F269" t="s">
        <v>126</v>
      </c>
      <c r="G269">
        <v>2039</v>
      </c>
      <c r="H269">
        <v>4.0318800000000001</v>
      </c>
    </row>
    <row r="270" spans="1:8">
      <c r="A270" t="s">
        <v>1221</v>
      </c>
      <c r="B270" t="s">
        <v>1220</v>
      </c>
      <c r="C270" t="s">
        <v>1228</v>
      </c>
      <c r="D270" t="s">
        <v>1145</v>
      </c>
      <c r="E270" t="s">
        <v>124</v>
      </c>
      <c r="F270" t="s">
        <v>126</v>
      </c>
      <c r="G270">
        <v>2039</v>
      </c>
      <c r="H270">
        <v>0.281032</v>
      </c>
    </row>
    <row r="271" spans="1:8">
      <c r="A271" t="s">
        <v>1221</v>
      </c>
      <c r="B271" t="s">
        <v>1220</v>
      </c>
      <c r="C271" t="s">
        <v>1228</v>
      </c>
      <c r="D271" t="s">
        <v>1217</v>
      </c>
      <c r="E271" t="s">
        <v>124</v>
      </c>
      <c r="F271" t="s">
        <v>126</v>
      </c>
      <c r="G271">
        <v>2040</v>
      </c>
      <c r="H271">
        <v>8.274799999999999</v>
      </c>
    </row>
    <row r="272" spans="1:8">
      <c r="A272" t="s">
        <v>1221</v>
      </c>
      <c r="B272" t="s">
        <v>1220</v>
      </c>
      <c r="C272" t="s">
        <v>1228</v>
      </c>
      <c r="D272" t="s">
        <v>1081</v>
      </c>
      <c r="E272" t="s">
        <v>124</v>
      </c>
      <c r="F272" t="s">
        <v>126</v>
      </c>
      <c r="G272">
        <v>2040</v>
      </c>
      <c r="H272">
        <v>-18.595500000000001</v>
      </c>
    </row>
    <row r="273" spans="1:8">
      <c r="A273" t="s">
        <v>1221</v>
      </c>
      <c r="B273" t="s">
        <v>1220</v>
      </c>
      <c r="C273" t="s">
        <v>1228</v>
      </c>
      <c r="D273" t="s">
        <v>1218</v>
      </c>
      <c r="E273" t="s">
        <v>124</v>
      </c>
      <c r="F273" t="s">
        <v>126</v>
      </c>
      <c r="G273">
        <v>2040</v>
      </c>
      <c r="H273">
        <v>3.9845300000000003</v>
      </c>
    </row>
    <row r="274" spans="1:8">
      <c r="A274" t="s">
        <v>1221</v>
      </c>
      <c r="B274" t="s">
        <v>1220</v>
      </c>
      <c r="C274" t="s">
        <v>1228</v>
      </c>
      <c r="D274" t="s">
        <v>1145</v>
      </c>
      <c r="E274" t="s">
        <v>124</v>
      </c>
      <c r="F274" t="s">
        <v>126</v>
      </c>
      <c r="G274">
        <v>2040</v>
      </c>
      <c r="H274">
        <v>0.28150200000000003</v>
      </c>
    </row>
    <row r="275" spans="1:8">
      <c r="A275" t="s">
        <v>1221</v>
      </c>
      <c r="B275" t="s">
        <v>1220</v>
      </c>
      <c r="C275" t="s">
        <v>1228</v>
      </c>
      <c r="D275" t="s">
        <v>1217</v>
      </c>
      <c r="E275" t="s">
        <v>124</v>
      </c>
      <c r="F275" t="s">
        <v>126</v>
      </c>
      <c r="G275">
        <v>2041</v>
      </c>
      <c r="H275">
        <v>8.2569400000000002</v>
      </c>
    </row>
    <row r="276" spans="1:8">
      <c r="A276" t="s">
        <v>1221</v>
      </c>
      <c r="B276" t="s">
        <v>1220</v>
      </c>
      <c r="C276" t="s">
        <v>1228</v>
      </c>
      <c r="D276" t="s">
        <v>1081</v>
      </c>
      <c r="E276" t="s">
        <v>124</v>
      </c>
      <c r="F276" t="s">
        <v>126</v>
      </c>
      <c r="G276">
        <v>2041</v>
      </c>
      <c r="H276">
        <v>-19.434999999999999</v>
      </c>
    </row>
    <row r="277" spans="1:8">
      <c r="A277" t="s">
        <v>1221</v>
      </c>
      <c r="B277" t="s">
        <v>1220</v>
      </c>
      <c r="C277" t="s">
        <v>1228</v>
      </c>
      <c r="D277" t="s">
        <v>1218</v>
      </c>
      <c r="E277" t="s">
        <v>124</v>
      </c>
      <c r="F277" t="s">
        <v>126</v>
      </c>
      <c r="G277">
        <v>2041</v>
      </c>
      <c r="H277">
        <v>3.9709300000000001</v>
      </c>
    </row>
    <row r="278" spans="1:8">
      <c r="A278" t="s">
        <v>1221</v>
      </c>
      <c r="B278" t="s">
        <v>1220</v>
      </c>
      <c r="C278" t="s">
        <v>1228</v>
      </c>
      <c r="D278" t="s">
        <v>1145</v>
      </c>
      <c r="E278" t="s">
        <v>124</v>
      </c>
      <c r="F278" t="s">
        <v>126</v>
      </c>
      <c r="G278">
        <v>2041</v>
      </c>
      <c r="H278">
        <v>0.28196699999999997</v>
      </c>
    </row>
    <row r="279" spans="1:8">
      <c r="A279" t="s">
        <v>1221</v>
      </c>
      <c r="B279" t="s">
        <v>1220</v>
      </c>
      <c r="C279" t="s">
        <v>1228</v>
      </c>
      <c r="D279" t="s">
        <v>1217</v>
      </c>
      <c r="E279" t="s">
        <v>124</v>
      </c>
      <c r="F279" t="s">
        <v>126</v>
      </c>
      <c r="G279">
        <v>2042</v>
      </c>
      <c r="H279">
        <v>8.23508</v>
      </c>
    </row>
    <row r="280" spans="1:8">
      <c r="A280" t="s">
        <v>1221</v>
      </c>
      <c r="B280" t="s">
        <v>1220</v>
      </c>
      <c r="C280" t="s">
        <v>1228</v>
      </c>
      <c r="D280" t="s">
        <v>1081</v>
      </c>
      <c r="E280" t="s">
        <v>124</v>
      </c>
      <c r="F280" t="s">
        <v>126</v>
      </c>
      <c r="G280">
        <v>2042</v>
      </c>
      <c r="H280">
        <v>-19.8565</v>
      </c>
    </row>
    <row r="281" spans="1:8">
      <c r="A281" t="s">
        <v>1221</v>
      </c>
      <c r="B281" t="s">
        <v>1220</v>
      </c>
      <c r="C281" t="s">
        <v>1228</v>
      </c>
      <c r="D281" t="s">
        <v>1218</v>
      </c>
      <c r="E281" t="s">
        <v>124</v>
      </c>
      <c r="F281" t="s">
        <v>126</v>
      </c>
      <c r="G281">
        <v>2042</v>
      </c>
      <c r="H281">
        <v>3.9606400000000002</v>
      </c>
    </row>
    <row r="282" spans="1:8">
      <c r="A282" t="s">
        <v>1221</v>
      </c>
      <c r="B282" t="s">
        <v>1220</v>
      </c>
      <c r="C282" t="s">
        <v>1228</v>
      </c>
      <c r="D282" t="s">
        <v>1145</v>
      </c>
      <c r="E282" t="s">
        <v>124</v>
      </c>
      <c r="F282" t="s">
        <v>126</v>
      </c>
      <c r="G282">
        <v>2042</v>
      </c>
      <c r="H282">
        <v>0.28242600000000001</v>
      </c>
    </row>
    <row r="283" spans="1:8">
      <c r="A283" t="s">
        <v>1221</v>
      </c>
      <c r="B283" t="s">
        <v>1220</v>
      </c>
      <c r="C283" t="s">
        <v>1228</v>
      </c>
      <c r="D283" t="s">
        <v>1217</v>
      </c>
      <c r="E283" t="s">
        <v>124</v>
      </c>
      <c r="F283" t="s">
        <v>126</v>
      </c>
      <c r="G283">
        <v>2043</v>
      </c>
      <c r="H283">
        <v>8.2192699999999999</v>
      </c>
    </row>
    <row r="284" spans="1:8">
      <c r="A284" t="s">
        <v>1221</v>
      </c>
      <c r="B284" t="s">
        <v>1220</v>
      </c>
      <c r="C284" t="s">
        <v>1228</v>
      </c>
      <c r="D284" t="s">
        <v>1081</v>
      </c>
      <c r="E284" t="s">
        <v>124</v>
      </c>
      <c r="F284" t="s">
        <v>126</v>
      </c>
      <c r="G284">
        <v>2043</v>
      </c>
      <c r="H284">
        <v>-20.173999999999999</v>
      </c>
    </row>
    <row r="285" spans="1:8">
      <c r="A285" t="s">
        <v>1221</v>
      </c>
      <c r="B285" t="s">
        <v>1220</v>
      </c>
      <c r="C285" t="s">
        <v>1228</v>
      </c>
      <c r="D285" t="s">
        <v>1218</v>
      </c>
      <c r="E285" t="s">
        <v>124</v>
      </c>
      <c r="F285" t="s">
        <v>126</v>
      </c>
      <c r="G285">
        <v>2043</v>
      </c>
      <c r="H285">
        <v>3.9566400000000002</v>
      </c>
    </row>
    <row r="286" spans="1:8">
      <c r="A286" t="s">
        <v>1221</v>
      </c>
      <c r="B286" t="s">
        <v>1220</v>
      </c>
      <c r="C286" t="s">
        <v>1228</v>
      </c>
      <c r="D286" t="s">
        <v>1145</v>
      </c>
      <c r="E286" t="s">
        <v>124</v>
      </c>
      <c r="F286" t="s">
        <v>126</v>
      </c>
      <c r="G286">
        <v>2043</v>
      </c>
      <c r="H286">
        <v>0.28288099999999999</v>
      </c>
    </row>
    <row r="287" spans="1:8">
      <c r="A287" t="s">
        <v>1221</v>
      </c>
      <c r="B287" t="s">
        <v>1220</v>
      </c>
      <c r="C287" t="s">
        <v>1228</v>
      </c>
      <c r="D287" t="s">
        <v>1217</v>
      </c>
      <c r="E287" t="s">
        <v>124</v>
      </c>
      <c r="F287" t="s">
        <v>126</v>
      </c>
      <c r="G287">
        <v>2044</v>
      </c>
      <c r="H287">
        <v>8.2000200000000003</v>
      </c>
    </row>
    <row r="288" spans="1:8">
      <c r="A288" t="s">
        <v>1221</v>
      </c>
      <c r="B288" t="s">
        <v>1220</v>
      </c>
      <c r="C288" t="s">
        <v>1228</v>
      </c>
      <c r="D288" t="s">
        <v>1081</v>
      </c>
      <c r="E288" t="s">
        <v>124</v>
      </c>
      <c r="F288" t="s">
        <v>126</v>
      </c>
      <c r="G288">
        <v>2044</v>
      </c>
      <c r="H288">
        <v>-20.473099999999999</v>
      </c>
    </row>
    <row r="289" spans="1:8">
      <c r="A289" t="s">
        <v>1221</v>
      </c>
      <c r="B289" t="s">
        <v>1220</v>
      </c>
      <c r="C289" t="s">
        <v>1228</v>
      </c>
      <c r="D289" t="s">
        <v>1218</v>
      </c>
      <c r="E289" t="s">
        <v>124</v>
      </c>
      <c r="F289" t="s">
        <v>126</v>
      </c>
      <c r="G289">
        <v>2044</v>
      </c>
      <c r="H289">
        <v>3.9561900000000003</v>
      </c>
    </row>
    <row r="290" spans="1:8">
      <c r="A290" t="s">
        <v>1221</v>
      </c>
      <c r="B290" t="s">
        <v>1220</v>
      </c>
      <c r="C290" t="s">
        <v>1228</v>
      </c>
      <c r="D290" t="s">
        <v>1145</v>
      </c>
      <c r="E290" t="s">
        <v>124</v>
      </c>
      <c r="F290" t="s">
        <v>126</v>
      </c>
      <c r="G290">
        <v>2044</v>
      </c>
      <c r="H290">
        <v>0.283329</v>
      </c>
    </row>
    <row r="291" spans="1:8">
      <c r="A291" t="s">
        <v>1221</v>
      </c>
      <c r="B291" t="s">
        <v>1220</v>
      </c>
      <c r="C291" t="s">
        <v>1228</v>
      </c>
      <c r="D291" t="s">
        <v>1217</v>
      </c>
      <c r="E291" t="s">
        <v>124</v>
      </c>
      <c r="F291" t="s">
        <v>126</v>
      </c>
      <c r="G291">
        <v>2045</v>
      </c>
      <c r="H291">
        <v>8.18</v>
      </c>
    </row>
    <row r="292" spans="1:8">
      <c r="A292" t="s">
        <v>1221</v>
      </c>
      <c r="B292" t="s">
        <v>1220</v>
      </c>
      <c r="C292" t="s">
        <v>1228</v>
      </c>
      <c r="D292" t="s">
        <v>1081</v>
      </c>
      <c r="E292" t="s">
        <v>124</v>
      </c>
      <c r="F292" t="s">
        <v>126</v>
      </c>
      <c r="G292">
        <v>2045</v>
      </c>
      <c r="H292">
        <v>-20.832799999999999</v>
      </c>
    </row>
    <row r="293" spans="1:8">
      <c r="A293" t="s">
        <v>1221</v>
      </c>
      <c r="B293" t="s">
        <v>1220</v>
      </c>
      <c r="C293" t="s">
        <v>1228</v>
      </c>
      <c r="D293" t="s">
        <v>1218</v>
      </c>
      <c r="E293" t="s">
        <v>124</v>
      </c>
      <c r="F293" t="s">
        <v>126</v>
      </c>
      <c r="G293">
        <v>2045</v>
      </c>
      <c r="H293">
        <v>3.9589099999999999</v>
      </c>
    </row>
    <row r="294" spans="1:8">
      <c r="A294" t="s">
        <v>1221</v>
      </c>
      <c r="B294" t="s">
        <v>1220</v>
      </c>
      <c r="C294" t="s">
        <v>1228</v>
      </c>
      <c r="D294" t="s">
        <v>1145</v>
      </c>
      <c r="E294" t="s">
        <v>124</v>
      </c>
      <c r="F294" t="s">
        <v>126</v>
      </c>
      <c r="G294">
        <v>2045</v>
      </c>
      <c r="H294">
        <v>0.28377300000000005</v>
      </c>
    </row>
    <row r="295" spans="1:8">
      <c r="A295" t="s">
        <v>1221</v>
      </c>
      <c r="B295" t="s">
        <v>1220</v>
      </c>
      <c r="C295" t="s">
        <v>1228</v>
      </c>
      <c r="D295" t="s">
        <v>1217</v>
      </c>
      <c r="E295" t="s">
        <v>124</v>
      </c>
      <c r="F295" t="s">
        <v>126</v>
      </c>
      <c r="G295">
        <v>2046</v>
      </c>
      <c r="H295">
        <v>8.1584599999999998</v>
      </c>
    </row>
    <row r="296" spans="1:8">
      <c r="A296" t="s">
        <v>1221</v>
      </c>
      <c r="B296" t="s">
        <v>1220</v>
      </c>
      <c r="C296" t="s">
        <v>1228</v>
      </c>
      <c r="D296" t="s">
        <v>1081</v>
      </c>
      <c r="E296" t="s">
        <v>124</v>
      </c>
      <c r="F296" t="s">
        <v>126</v>
      </c>
      <c r="G296">
        <v>2046</v>
      </c>
      <c r="H296">
        <v>-21.310500000000001</v>
      </c>
    </row>
    <row r="297" spans="1:8">
      <c r="A297" t="s">
        <v>1221</v>
      </c>
      <c r="B297" t="s">
        <v>1220</v>
      </c>
      <c r="C297" t="s">
        <v>1228</v>
      </c>
      <c r="D297" t="s">
        <v>1218</v>
      </c>
      <c r="E297" t="s">
        <v>124</v>
      </c>
      <c r="F297" t="s">
        <v>126</v>
      </c>
      <c r="G297">
        <v>2046</v>
      </c>
      <c r="H297">
        <v>3.9657</v>
      </c>
    </row>
    <row r="298" spans="1:8">
      <c r="A298" t="s">
        <v>1221</v>
      </c>
      <c r="B298" t="s">
        <v>1220</v>
      </c>
      <c r="C298" t="s">
        <v>1228</v>
      </c>
      <c r="D298" t="s">
        <v>1145</v>
      </c>
      <c r="E298" t="s">
        <v>124</v>
      </c>
      <c r="F298" t="s">
        <v>126</v>
      </c>
      <c r="G298">
        <v>2046</v>
      </c>
      <c r="H298">
        <v>0.28421099999999999</v>
      </c>
    </row>
    <row r="299" spans="1:8">
      <c r="A299" t="s">
        <v>1221</v>
      </c>
      <c r="B299" t="s">
        <v>1220</v>
      </c>
      <c r="C299" t="s">
        <v>1228</v>
      </c>
      <c r="D299" t="s">
        <v>1217</v>
      </c>
      <c r="E299" t="s">
        <v>124</v>
      </c>
      <c r="F299" t="s">
        <v>126</v>
      </c>
      <c r="G299">
        <v>2047</v>
      </c>
      <c r="H299">
        <v>8.1407600000000002</v>
      </c>
    </row>
    <row r="300" spans="1:8">
      <c r="A300" t="s">
        <v>1221</v>
      </c>
      <c r="B300" t="s">
        <v>1220</v>
      </c>
      <c r="C300" t="s">
        <v>1228</v>
      </c>
      <c r="D300" t="s">
        <v>1081</v>
      </c>
      <c r="E300" t="s">
        <v>124</v>
      </c>
      <c r="F300" t="s">
        <v>126</v>
      </c>
      <c r="G300">
        <v>2047</v>
      </c>
      <c r="H300">
        <v>-21.823400000000003</v>
      </c>
    </row>
    <row r="301" spans="1:8">
      <c r="A301" t="s">
        <v>1221</v>
      </c>
      <c r="B301" t="s">
        <v>1220</v>
      </c>
      <c r="C301" t="s">
        <v>1228</v>
      </c>
      <c r="D301" t="s">
        <v>1218</v>
      </c>
      <c r="E301" t="s">
        <v>124</v>
      </c>
      <c r="F301" t="s">
        <v>126</v>
      </c>
      <c r="G301">
        <v>2047</v>
      </c>
      <c r="H301">
        <v>3.9767100000000002</v>
      </c>
    </row>
    <row r="302" spans="1:8">
      <c r="A302" t="s">
        <v>1221</v>
      </c>
      <c r="B302" t="s">
        <v>1220</v>
      </c>
      <c r="C302" t="s">
        <v>1228</v>
      </c>
      <c r="D302" t="s">
        <v>1145</v>
      </c>
      <c r="E302" t="s">
        <v>124</v>
      </c>
      <c r="F302" t="s">
        <v>126</v>
      </c>
      <c r="G302">
        <v>2047</v>
      </c>
      <c r="H302">
        <v>0.28463900000000003</v>
      </c>
    </row>
    <row r="303" spans="1:8">
      <c r="A303" t="s">
        <v>1221</v>
      </c>
      <c r="B303" t="s">
        <v>1220</v>
      </c>
      <c r="C303" t="s">
        <v>1228</v>
      </c>
      <c r="D303" t="s">
        <v>1217</v>
      </c>
      <c r="E303" t="s">
        <v>124</v>
      </c>
      <c r="F303" t="s">
        <v>126</v>
      </c>
      <c r="G303">
        <v>2048</v>
      </c>
      <c r="H303">
        <v>8.1196800000000007</v>
      </c>
    </row>
    <row r="304" spans="1:8">
      <c r="A304" t="s">
        <v>1221</v>
      </c>
      <c r="B304" t="s">
        <v>1220</v>
      </c>
      <c r="C304" t="s">
        <v>1228</v>
      </c>
      <c r="D304" t="s">
        <v>1081</v>
      </c>
      <c r="E304" t="s">
        <v>124</v>
      </c>
      <c r="F304" t="s">
        <v>126</v>
      </c>
      <c r="G304">
        <v>2048</v>
      </c>
      <c r="H304">
        <v>-22.350099999999998</v>
      </c>
    </row>
    <row r="305" spans="1:8">
      <c r="A305" t="s">
        <v>1221</v>
      </c>
      <c r="B305" t="s">
        <v>1220</v>
      </c>
      <c r="C305" t="s">
        <v>1228</v>
      </c>
      <c r="D305" t="s">
        <v>1218</v>
      </c>
      <c r="E305" t="s">
        <v>124</v>
      </c>
      <c r="F305" t="s">
        <v>126</v>
      </c>
      <c r="G305">
        <v>2048</v>
      </c>
      <c r="H305">
        <v>3.9902899999999999</v>
      </c>
    </row>
    <row r="306" spans="1:8">
      <c r="A306" t="s">
        <v>1221</v>
      </c>
      <c r="B306" t="s">
        <v>1220</v>
      </c>
      <c r="C306" t="s">
        <v>1228</v>
      </c>
      <c r="D306" t="s">
        <v>1145</v>
      </c>
      <c r="E306" t="s">
        <v>124</v>
      </c>
      <c r="F306" t="s">
        <v>126</v>
      </c>
      <c r="G306">
        <v>2048</v>
      </c>
      <c r="H306">
        <v>0.28506900000000002</v>
      </c>
    </row>
    <row r="307" spans="1:8">
      <c r="A307" t="s">
        <v>1221</v>
      </c>
      <c r="B307" t="s">
        <v>1220</v>
      </c>
      <c r="C307" t="s">
        <v>1228</v>
      </c>
      <c r="D307" t="s">
        <v>1217</v>
      </c>
      <c r="E307" t="s">
        <v>124</v>
      </c>
      <c r="F307" t="s">
        <v>126</v>
      </c>
      <c r="G307">
        <v>2049</v>
      </c>
      <c r="H307">
        <v>8.0939800000000002</v>
      </c>
    </row>
    <row r="308" spans="1:8">
      <c r="A308" t="s">
        <v>1221</v>
      </c>
      <c r="B308" t="s">
        <v>1220</v>
      </c>
      <c r="C308" t="s">
        <v>1228</v>
      </c>
      <c r="D308" t="s">
        <v>1081</v>
      </c>
      <c r="E308" t="s">
        <v>124</v>
      </c>
      <c r="F308" t="s">
        <v>126</v>
      </c>
      <c r="G308">
        <v>2049</v>
      </c>
      <c r="H308">
        <v>-22.8779</v>
      </c>
    </row>
    <row r="309" spans="1:8">
      <c r="A309" t="s">
        <v>1221</v>
      </c>
      <c r="B309" t="s">
        <v>1220</v>
      </c>
      <c r="C309" t="s">
        <v>1228</v>
      </c>
      <c r="D309" t="s">
        <v>1218</v>
      </c>
      <c r="E309" t="s">
        <v>124</v>
      </c>
      <c r="F309" t="s">
        <v>126</v>
      </c>
      <c r="G309">
        <v>2049</v>
      </c>
      <c r="H309">
        <v>4.0053700000000001</v>
      </c>
    </row>
    <row r="310" spans="1:8">
      <c r="A310" t="s">
        <v>1221</v>
      </c>
      <c r="B310" t="s">
        <v>1220</v>
      </c>
      <c r="C310" t="s">
        <v>1228</v>
      </c>
      <c r="D310" t="s">
        <v>1145</v>
      </c>
      <c r="E310" t="s">
        <v>124</v>
      </c>
      <c r="F310" t="s">
        <v>126</v>
      </c>
      <c r="G310">
        <v>2049</v>
      </c>
      <c r="H310">
        <v>0.28549200000000002</v>
      </c>
    </row>
    <row r="311" spans="1:8">
      <c r="A311" t="s">
        <v>1221</v>
      </c>
      <c r="B311" t="s">
        <v>1220</v>
      </c>
      <c r="C311" t="s">
        <v>1228</v>
      </c>
      <c r="D311" t="s">
        <v>1217</v>
      </c>
      <c r="E311" t="s">
        <v>124</v>
      </c>
      <c r="F311" t="s">
        <v>126</v>
      </c>
      <c r="G311">
        <v>2050</v>
      </c>
      <c r="H311">
        <v>8.0535200000000007</v>
      </c>
    </row>
    <row r="312" spans="1:8">
      <c r="A312" t="s">
        <v>1221</v>
      </c>
      <c r="B312" t="s">
        <v>1220</v>
      </c>
      <c r="C312" t="s">
        <v>1228</v>
      </c>
      <c r="D312" t="s">
        <v>1081</v>
      </c>
      <c r="E312" t="s">
        <v>124</v>
      </c>
      <c r="F312" t="s">
        <v>126</v>
      </c>
      <c r="G312">
        <v>2050</v>
      </c>
      <c r="H312">
        <v>-23.410900000000002</v>
      </c>
    </row>
    <row r="313" spans="1:8">
      <c r="A313" t="s">
        <v>1221</v>
      </c>
      <c r="B313" t="s">
        <v>1220</v>
      </c>
      <c r="C313" t="s">
        <v>1228</v>
      </c>
      <c r="D313" t="s">
        <v>1218</v>
      </c>
      <c r="E313" t="s">
        <v>124</v>
      </c>
      <c r="F313" t="s">
        <v>126</v>
      </c>
      <c r="G313">
        <v>2050</v>
      </c>
      <c r="H313">
        <v>4.0241800000000003</v>
      </c>
    </row>
    <row r="314" spans="1:8">
      <c r="A314" t="s">
        <v>1221</v>
      </c>
      <c r="B314" t="s">
        <v>1220</v>
      </c>
      <c r="C314" t="s">
        <v>1228</v>
      </c>
      <c r="D314" t="s">
        <v>1145</v>
      </c>
      <c r="E314" t="s">
        <v>124</v>
      </c>
      <c r="F314" t="s">
        <v>126</v>
      </c>
      <c r="G314">
        <v>2050</v>
      </c>
      <c r="H314">
        <v>0.28591699999999998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A5" sqref="A5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30</v>
      </c>
    </row>
    <row r="2" spans="1:4">
      <c r="A2" t="s">
        <v>31</v>
      </c>
      <c r="B2" s="1" t="s">
        <v>32</v>
      </c>
      <c r="C2" s="1" t="s">
        <v>33</v>
      </c>
      <c r="D2" s="1" t="s">
        <v>34</v>
      </c>
    </row>
    <row r="3" spans="1:4">
      <c r="A3" t="s">
        <v>81</v>
      </c>
      <c r="B3" t="s">
        <v>82</v>
      </c>
      <c r="C3" t="s">
        <v>7</v>
      </c>
      <c r="D3">
        <f>1/8.76</f>
        <v>0.11415525114155252</v>
      </c>
    </row>
    <row r="4" spans="1:4">
      <c r="A4" t="s">
        <v>81</v>
      </c>
      <c r="B4" t="s">
        <v>106</v>
      </c>
      <c r="C4" t="s">
        <v>108</v>
      </c>
      <c r="D4">
        <f>1/8.76*100</f>
        <v>11.415525114155251</v>
      </c>
    </row>
    <row r="5" spans="1:4">
      <c r="A5" t="s">
        <v>81</v>
      </c>
      <c r="B5" t="s">
        <v>122</v>
      </c>
      <c r="C5" t="s">
        <v>126</v>
      </c>
      <c r="D5">
        <v>1E-3</v>
      </c>
    </row>
    <row r="6" spans="1:4">
      <c r="A6" t="s">
        <v>81</v>
      </c>
      <c r="B6" t="s">
        <v>123</v>
      </c>
      <c r="C6" t="s">
        <v>126</v>
      </c>
      <c r="D6">
        <v>-1E-3</v>
      </c>
    </row>
    <row r="7" spans="1:4">
      <c r="A7" t="s">
        <v>81</v>
      </c>
      <c r="B7" t="s">
        <v>135</v>
      </c>
      <c r="C7" t="s">
        <v>137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2025-10-27T07:36:11Z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