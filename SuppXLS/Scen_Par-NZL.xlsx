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C31D6CFB-F186-459B-9FB3-6F3329BADEF5}" xr6:coauthVersionLast="47" xr6:coauthVersionMax="47" xr10:uidLastSave="{00000000-0000-0000-0000-000000000000}"/>
  <bookViews>
    <workbookView xWindow="28702" yWindow="-98" windowWidth="28995" windowHeight="15675" activeTab="3" xr2:uid="{00000000-000D-0000-FFFF-FFFF00000000}"/>
  </bookViews>
  <sheets>
    <sheet name="Veda" sheetId="1" r:id="rId1"/>
    <sheet name="kea-tui" sheetId="11" r:id="rId2"/>
    <sheet name="transport" sheetId="13" r:id="rId3"/>
    <sheet name="co2 budget" sheetId="12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1" hidden="1">'kea-tui'!$X$7:$Z$7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2" i="12" l="1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K30" i="13"/>
  <c r="J30" i="13"/>
  <c r="I30" i="13"/>
  <c r="I31" i="13" s="1"/>
  <c r="H37" i="13"/>
  <c r="J36" i="13"/>
  <c r="K36" i="13" s="1"/>
  <c r="I36" i="13"/>
  <c r="I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K31" i="13" l="1"/>
  <c r="J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J37" i="13" l="1"/>
  <c r="K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A11" i="8" l="1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A1" i="13" l="1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N29" i="12" l="1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E53" i="1" l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<sst xmlns="http://schemas.openxmlformats.org/spreadsheetml/2006/main" count="25391" uniqueCount="1163">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</sst>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</font>
    <font>
      <sz val="8.25"/>
      <color rgb="FF2B2C3C"/>
      <name val="Microsoft Sans Serif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B12" sqref="B1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1</v>
      </c>
    </row>
    <row r="5" spans="1:20" x14ac:dyDescent="0.45">
      <c r="D5" s="1" t="str">
        <f>VLOOKUP(D3,$C$9:$E$999,2,FALSE)</f>
        <v>ts_012</v>
      </c>
      <c r="E5" s="1" t="str">
        <f>VLOOKUP(D3,$C$9:$E$999,3,FALSE)</f>
        <v>tui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topLeftCell="AL30" workbookViewId="0">
      <selection activeCell="BE193" sqref="BE193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v>0.13640989206096199</v>
      </c>
      <c r="AH77" s="18"/>
      <c r="AI77" s="18"/>
      <c r="AJ77" s="19">
        <v>0.17231484714244999</v>
      </c>
      <c r="AK77" s="18"/>
      <c r="AL77" s="18"/>
      <c r="AM77" s="19">
        <v>0.14000000000000001</v>
      </c>
      <c r="AN77" s="18"/>
      <c r="AO77" s="18"/>
      <c r="AP77" s="19">
        <v>0.17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v>0.13640989206096199</v>
      </c>
      <c r="AH299" s="18"/>
      <c r="AI299" s="18"/>
      <c r="AJ299" s="19">
        <v>0.17231484714244999</v>
      </c>
      <c r="AK299" s="18"/>
      <c r="AL299" s="18"/>
      <c r="AM299" s="19">
        <v>0.14000000000000001</v>
      </c>
      <c r="AN299" s="18"/>
      <c r="AO299" s="18"/>
      <c r="AP299" s="19">
        <v>0.17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K34" sqref="K34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tui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2025</v>
      </c>
      <c r="H5">
        <f>G5+5</f>
        <v>2030</v>
      </c>
      <c r="I5">
        <f>H5+5</f>
        <v>2035</v>
      </c>
      <c r="J5">
        <f>I5+5</f>
        <v>2040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2025</v>
      </c>
      <c r="H11">
        <f>G11+5</f>
        <v>2030</v>
      </c>
      <c r="I11">
        <f>H11+5</f>
        <v>2035</v>
      </c>
      <c r="J11">
        <f>I11+20</f>
        <v>2055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2025</v>
      </c>
      <c r="H17">
        <f t="shared" ref="H17:J17" si="4">G17+5</f>
        <v>2030</v>
      </c>
      <c r="I17">
        <f t="shared" si="4"/>
        <v>2035</v>
      </c>
      <c r="J17">
        <f t="shared" si="4"/>
        <v>2040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2025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2025</v>
      </c>
      <c r="H23">
        <f t="shared" ref="H23:I23" si="5">G23+5</f>
        <v>2030</v>
      </c>
      <c r="I23">
        <f t="shared" si="5"/>
        <v>2035</v>
      </c>
      <c r="J23">
        <f>I23+20</f>
        <v>2055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2025</v>
      </c>
      <c r="H29">
        <f t="shared" ref="H29:K29" si="6">G29+5</f>
        <v>2030</v>
      </c>
      <c r="I29">
        <f t="shared" si="6"/>
        <v>2035</v>
      </c>
      <c r="J29">
        <f t="shared" si="6"/>
        <v>2040</v>
      </c>
      <c r="K29">
        <f t="shared" si="6"/>
        <v>2045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-0.97</v>
      </c>
      <c r="H30">
        <v>-0.89</v>
      </c>
      <c r="I30">
        <f>H30+0.2</f>
        <v>-0.69</v>
      </c>
      <c r="J30">
        <f>I30+0.2</f>
        <v>-0.48999999999999994</v>
      </c>
      <c r="K30">
        <f>J30+0.2</f>
        <v>-0.28999999999999992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0.03</v>
      </c>
      <c r="H31">
        <v>0.11</v>
      </c>
      <c r="I31">
        <f>1+I30</f>
        <v>0.31000000000000005</v>
      </c>
      <c r="J31">
        <f>1+J30</f>
        <v>0.51</v>
      </c>
      <c r="K31">
        <f>1+K30</f>
        <v>0.71000000000000008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2025</v>
      </c>
      <c r="H35">
        <f t="shared" ref="H35:K35" si="7">G35+5</f>
        <v>2030</v>
      </c>
      <c r="I35">
        <f t="shared" si="7"/>
        <v>2035</v>
      </c>
      <c r="J35">
        <f t="shared" si="7"/>
        <v>2040</v>
      </c>
      <c r="K35">
        <f t="shared" si="7"/>
        <v>2045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-1</v>
      </c>
      <c r="H36">
        <v>-0.75</v>
      </c>
      <c r="I36">
        <f>H36+0.2</f>
        <v>-0.55000000000000004</v>
      </c>
      <c r="J36">
        <f>I36+0.2</f>
        <v>-0.35000000000000003</v>
      </c>
      <c r="K36">
        <f>J36+0.2</f>
        <v>-0.15000000000000002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</v>
      </c>
      <c r="H37">
        <f t="shared" ref="H37:K37" si="8">1+H36</f>
        <v>0.25</v>
      </c>
      <c r="I37">
        <f t="shared" si="8"/>
        <v>0.44999999999999996</v>
      </c>
      <c r="J37">
        <f t="shared" si="8"/>
        <v>0.64999999999999991</v>
      </c>
      <c r="K37">
        <f t="shared" si="8"/>
        <v>0.85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abSelected="1"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tui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A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I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3.7920950000000002E-2</v>
      </c>
      <c r="F29" s="7">
        <f t="shared" si="3"/>
        <v>4.3341899999999996E-2</v>
      </c>
      <c r="G29" s="7">
        <f t="shared" si="3"/>
        <v>4.8762850000000003E-2</v>
      </c>
      <c r="H29" s="7">
        <f t="shared" si="3"/>
        <v>5.4183799999999997E-2</v>
      </c>
      <c r="I29" s="7">
        <f t="shared" si="3"/>
        <v>2.6666666666666668E-2</v>
      </c>
      <c r="J29" s="7">
        <f t="shared" si="3"/>
        <v>3.3133333333333514E-2</v>
      </c>
      <c r="K29" s="7">
        <f t="shared" si="3"/>
        <v>3.9600000000000364E-2</v>
      </c>
      <c r="L29" s="7">
        <f t="shared" si="3"/>
        <v>4.6066666666665694E-2</v>
      </c>
      <c r="M29" s="7">
        <f t="shared" si="3"/>
        <v>5.2533333333332551E-2</v>
      </c>
      <c r="N29" s="7">
        <f t="shared" si="3"/>
        <v>5.8999999999999393E-2</v>
      </c>
      <c r="O29" s="7">
        <f t="shared" si="3"/>
        <v>6.5466666666666243E-2</v>
      </c>
      <c r="P29" s="7">
        <f t="shared" si="3"/>
        <v>7.1933333333333099E-2</v>
      </c>
      <c r="Q29" s="7">
        <f t="shared" si="3"/>
        <v>7.8399999999999942E-2</v>
      </c>
      <c r="R29" s="7">
        <f t="shared" si="3"/>
        <v>8.4866666666666785E-2</v>
      </c>
      <c r="S29" s="7">
        <f t="shared" si="3"/>
        <v>9.1333333333333641E-2</v>
      </c>
      <c r="T29" s="7">
        <f t="shared" si="3"/>
        <v>9.7799999999998971E-2</v>
      </c>
      <c r="U29" s="7">
        <f t="shared" si="3"/>
        <v>0.10426666666666583</v>
      </c>
      <c r="V29" s="7">
        <f t="shared" si="3"/>
        <v>0.11073333333333267</v>
      </c>
      <c r="W29" s="7">
        <f t="shared" si="3"/>
        <v>0.11719999999999951</v>
      </c>
      <c r="X29" s="7">
        <f t="shared" si="3"/>
        <v>0.12366666666666637</v>
      </c>
      <c r="Y29" s="7">
        <f t="shared" si="3"/>
        <v>0.13013333333333321</v>
      </c>
      <c r="Z29" s="7">
        <f t="shared" si="3"/>
        <v>0.13660000000000008</v>
      </c>
      <c r="AA29" s="7">
        <f t="shared" si="3"/>
        <v>0.14306666666666693</v>
      </c>
      <c r="AB29" s="7">
        <f t="shared" si="3"/>
        <v>0.14953333333333224</v>
      </c>
      <c r="AC29" s="7">
        <f t="shared" si="3"/>
        <v>0.15599999999999908</v>
      </c>
      <c r="AD29" s="7">
        <f t="shared" si="3"/>
        <v>0.16246666666666595</v>
      </c>
      <c r="AE29" s="7">
        <f t="shared" si="3"/>
        <v>0.1689333333333328</v>
      </c>
      <c r="AF29" s="7">
        <f t="shared" si="3"/>
        <v>0.17539999999999964</v>
      </c>
      <c r="AG29" s="7">
        <f t="shared" si="3"/>
        <v>0.18186666666666651</v>
      </c>
      <c r="AH29" s="7">
        <f t="shared" si="3"/>
        <v>0.18833333333333335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kea-tui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2025-10-27T07:04:50Z</dcterms:modified>
</cp:coreProperties>
</file>