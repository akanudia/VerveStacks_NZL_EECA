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5FB6B0F3-C594-4799-B28D-6CA5EC17E886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'kea-tui'!$AR$7:$AV$1490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3" l="1"/>
  <c r="G6" i="13"/>
  <c r="G12" i="13"/>
  <c r="G5" i="13"/>
  <c r="AM298" i="1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J30" i="13"/>
  <c r="J31" i="13" s="1"/>
  <c r="I37" i="13"/>
  <c r="K36" i="13"/>
  <c r="L36" i="13" s="1"/>
  <c r="J36" i="13"/>
  <c r="J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T13" i="13"/>
  <c r="R13" i="13"/>
  <c r="T12" i="13"/>
  <c r="R12" i="13"/>
  <c r="T11" i="13"/>
  <c r="R11" i="13"/>
  <c r="T10" i="13"/>
  <c r="R10" i="13"/>
  <c r="T9" i="13"/>
  <c r="R9" i="13"/>
  <c r="T8" i="13"/>
  <c r="R8" i="13"/>
  <c r="T7" i="13"/>
  <c r="R7" i="13"/>
  <c r="T6" i="13"/>
  <c r="R6" i="13"/>
  <c r="I12" i="13"/>
  <c r="H12" i="13"/>
  <c r="K12" i="13"/>
  <c r="J12" i="13"/>
  <c r="K6" i="13"/>
  <c r="J6" i="13"/>
  <c r="I6" i="13"/>
  <c r="H6" i="13"/>
  <c r="K30" i="13" l="1"/>
  <c r="L30" i="13" s="1"/>
  <c r="C42" i="14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L31" i="13"/>
  <c r="K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K37" i="13"/>
  <c r="L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H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H35" i="13"/>
  <c r="I35" i="13" s="1"/>
  <c r="J35" i="13" s="1"/>
  <c r="K35" i="13" s="1"/>
  <c r="L35" i="13" s="1"/>
  <c r="H29" i="13"/>
  <c r="I29" i="13" s="1"/>
  <c r="J29" i="13" s="1"/>
  <c r="K29" i="13" s="1"/>
  <c r="L29" i="13" s="1"/>
  <c r="H23" i="13"/>
  <c r="I23" i="13" s="1"/>
  <c r="J23" i="13" s="1"/>
  <c r="K23" i="13" s="1"/>
  <c r="H17" i="13"/>
  <c r="I17" i="13" s="1"/>
  <c r="J17" i="13" s="1"/>
  <c r="K17" i="13" s="1"/>
  <c r="H11" i="13"/>
  <c r="I11" i="13" s="1"/>
  <c r="J11" i="13" s="1"/>
  <c r="K11" i="13" s="1"/>
  <c r="I5" i="13"/>
  <c r="J5" i="13" s="1"/>
  <c r="K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<sst xmlns="http://schemas.openxmlformats.org/spreadsheetml/2006/main" count="25511" uniqueCount="1172">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</sst>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abSelected="1" topLeftCell="AL687" workbookViewId="0">
      <selection activeCell="BL731" sqref="BL73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>
        <v>7.0000000000000007E-2</v>
      </c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>
        <v>7.0000000000000007E-2</v>
      </c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>
        <v>7.0000000000000007E-2</v>
      </c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>
        <v>7.0000000000000007E-2</v>
      </c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>
        <v>7.0000000000000007E-2</v>
      </c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>
        <v>7.0000000000000007E-2</v>
      </c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>
        <v>7.0000000000000007E-2</v>
      </c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>
        <v>7.0000000000000007E-2</v>
      </c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>
        <v>7.0000000000000007E-2</v>
      </c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>
        <v>7.0000000000000007E-2</v>
      </c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>
        <v>7.0000000000000007E-2</v>
      </c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>
        <v>7.0000000000000007E-2</v>
      </c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>
        <v>7.0000000000000007E-2</v>
      </c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>
        <v>7.0000000000000007E-2</v>
      </c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>
        <v>7.0000000000000007E-2</v>
      </c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>
        <v>7.0000000000000007E-2</v>
      </c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>
        <v>7.0000000000000007E-2</v>
      </c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>
        <v>7.0000000000000007E-2</v>
      </c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>
        <v>7.0000000000000007E-2</v>
      </c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>
        <v>7.0000000000000007E-2</v>
      </c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>
        <v>7.0000000000000007E-2</v>
      </c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>
        <v>7.0000000000000007E-2</v>
      </c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>
        <v>7.0000000000000007E-2</v>
      </c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>
        <v>7.0000000000000007E-2</v>
      </c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>
        <v>7.0000000000000007E-2</v>
      </c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>
        <v>7.0000000000000007E-2</v>
      </c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>
        <v>7.0000000000000007E-2</v>
      </c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>
        <v>7.0000000000000007E-2</v>
      </c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workbookViewId="0">
      <selection activeCell="G12" sqref="G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7" width="7.796875" customWidth="1"/>
    <col min="8" max="10" width="5.33203125" bestFit="1" customWidth="1"/>
    <col min="11" max="11" width="7.73046875" bestFit="1" customWidth="1"/>
    <col min="12" max="12" width="8.1328125" bestFit="1" customWidth="1"/>
    <col min="13" max="13" width="10.1328125" bestFit="1" customWidth="1"/>
    <col min="14" max="14" width="14" customWidth="1"/>
    <col min="15" max="15" width="25.9296875" bestFit="1" customWidth="1"/>
    <col min="17" max="17" width="11.19921875" customWidth="1"/>
    <col min="18" max="18" width="4.6640625" bestFit="1" customWidth="1"/>
    <col min="19" max="19" width="13.73046875" bestFit="1" customWidth="1"/>
    <col min="20" max="20" width="5.86328125" bestFit="1" customWidth="1"/>
    <col min="21" max="21" width="13.73046875" bestFit="1" customWidth="1"/>
    <col min="23" max="23" width="7.6640625" bestFit="1" customWidth="1"/>
  </cols>
  <sheetData>
    <row r="1" spans="1:23" ht="14.65" thickBot="1" x14ac:dyDescent="0.5">
      <c r="A1" s="3" t="str">
        <f>Veda!$E$5</f>
        <v>bas</v>
      </c>
      <c r="E1" s="21" t="s">
        <v>1109</v>
      </c>
    </row>
    <row r="2" spans="1:23" ht="14.65" thickTop="1" x14ac:dyDescent="0.45">
      <c r="Q2" t="s">
        <v>1144</v>
      </c>
    </row>
    <row r="3" spans="1:23" x14ac:dyDescent="0.45">
      <c r="Q3" t="s">
        <v>1145</v>
      </c>
      <c r="W3" t="s">
        <v>1146</v>
      </c>
    </row>
    <row r="4" spans="1:23" x14ac:dyDescent="0.45">
      <c r="F4" t="s">
        <v>1151</v>
      </c>
      <c r="R4" t="s">
        <v>1147</v>
      </c>
      <c r="T4" t="s">
        <v>1148</v>
      </c>
      <c r="W4">
        <v>240000</v>
      </c>
    </row>
    <row r="5" spans="1:23" x14ac:dyDescent="0.45">
      <c r="D5" t="s">
        <v>17</v>
      </c>
      <c r="E5" t="s">
        <v>1119</v>
      </c>
      <c r="F5" t="s">
        <v>1111</v>
      </c>
      <c r="G5">
        <f>H5-5</f>
        <v>2025</v>
      </c>
      <c r="H5" s="23">
        <f>VLOOKUP($A$1,$R$18:$S$22,2,FALSE)</f>
        <v>2030</v>
      </c>
      <c r="I5">
        <f>H5+5</f>
        <v>2035</v>
      </c>
      <c r="J5">
        <f>I5+5</f>
        <v>2040</v>
      </c>
      <c r="K5">
        <f>J5+5</f>
        <v>2045</v>
      </c>
      <c r="L5" t="s">
        <v>1120</v>
      </c>
      <c r="M5" t="s">
        <v>1121</v>
      </c>
      <c r="N5" t="s">
        <v>1115</v>
      </c>
      <c r="R5" t="s">
        <v>1149</v>
      </c>
      <c r="S5" t="s">
        <v>1150</v>
      </c>
      <c r="T5" t="s">
        <v>1149</v>
      </c>
      <c r="U5" t="s">
        <v>1150</v>
      </c>
    </row>
    <row r="6" spans="1:23" x14ac:dyDescent="0.45">
      <c r="D6" t="s">
        <v>1122</v>
      </c>
      <c r="E6" t="s">
        <v>1123</v>
      </c>
      <c r="F6" t="s">
        <v>563</v>
      </c>
      <c r="G6">
        <f>+G7-1</f>
        <v>-0.94199999999999995</v>
      </c>
      <c r="H6">
        <f>+H7-1</f>
        <v>-0.81200000000000006</v>
      </c>
      <c r="I6">
        <f t="shared" ref="I6:K6" si="0">+I7-1</f>
        <v>-0.44999999999999996</v>
      </c>
      <c r="J6">
        <f t="shared" si="0"/>
        <v>-0.13</v>
      </c>
      <c r="K6">
        <f t="shared" si="0"/>
        <v>0</v>
      </c>
      <c r="L6">
        <v>0</v>
      </c>
      <c r="M6">
        <v>5</v>
      </c>
      <c r="N6" t="s">
        <v>1124</v>
      </c>
      <c r="Q6">
        <v>2020</v>
      </c>
      <c r="R6" s="7">
        <f t="shared" ref="R6:R13" si="1">+$V$6*S6</f>
        <v>0</v>
      </c>
      <c r="S6" s="7">
        <v>0.03</v>
      </c>
      <c r="T6" s="7">
        <f t="shared" ref="T6:T13" si="2">+$V$6*U6</f>
        <v>0</v>
      </c>
      <c r="U6" s="7">
        <v>0.01</v>
      </c>
    </row>
    <row r="7" spans="1:23" x14ac:dyDescent="0.45">
      <c r="E7" t="s">
        <v>1130</v>
      </c>
      <c r="G7">
        <v>5.8000000000000003E-2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 t="shared" si="1"/>
        <v>0</v>
      </c>
      <c r="S7" s="7">
        <v>0.03</v>
      </c>
      <c r="T7" s="7">
        <f t="shared" si="2"/>
        <v>0</v>
      </c>
      <c r="U7" s="7">
        <v>0.01</v>
      </c>
    </row>
    <row r="8" spans="1:23" x14ac:dyDescent="0.45">
      <c r="Q8">
        <v>2030</v>
      </c>
      <c r="R8" s="7">
        <f t="shared" si="1"/>
        <v>0</v>
      </c>
      <c r="S8" s="7">
        <v>0.11</v>
      </c>
      <c r="T8" s="7">
        <f t="shared" si="2"/>
        <v>0</v>
      </c>
      <c r="U8" s="7">
        <v>0.02</v>
      </c>
    </row>
    <row r="9" spans="1:23" x14ac:dyDescent="0.45">
      <c r="Q9">
        <v>2035</v>
      </c>
      <c r="R9" s="7">
        <f t="shared" si="1"/>
        <v>0</v>
      </c>
      <c r="S9" s="7">
        <v>0.42</v>
      </c>
      <c r="T9" s="7">
        <f t="shared" si="2"/>
        <v>0</v>
      </c>
      <c r="U9" s="7">
        <v>0.04</v>
      </c>
    </row>
    <row r="10" spans="1:23" x14ac:dyDescent="0.45">
      <c r="F10" t="s">
        <v>1151</v>
      </c>
      <c r="Q10">
        <v>2040</v>
      </c>
      <c r="R10" s="7">
        <f t="shared" si="1"/>
        <v>0</v>
      </c>
      <c r="S10" s="7">
        <v>0.65</v>
      </c>
      <c r="T10" s="7">
        <f t="shared" si="2"/>
        <v>0</v>
      </c>
      <c r="U10" s="7">
        <v>7.0000000000000007E-2</v>
      </c>
      <c r="W10" s="7">
        <v>0.99999000000000005</v>
      </c>
    </row>
    <row r="11" spans="1:23" x14ac:dyDescent="0.45">
      <c r="D11" t="s">
        <v>17</v>
      </c>
      <c r="E11" t="s">
        <v>1119</v>
      </c>
      <c r="F11" t="s">
        <v>1111</v>
      </c>
      <c r="G11">
        <f>H11-5</f>
        <v>2025</v>
      </c>
      <c r="H11">
        <f>$H$5</f>
        <v>2030</v>
      </c>
      <c r="I11">
        <f>H11+5</f>
        <v>2035</v>
      </c>
      <c r="J11">
        <f>I11+5</f>
        <v>2040</v>
      </c>
      <c r="K11">
        <f>J11+20</f>
        <v>2060</v>
      </c>
      <c r="L11" t="s">
        <v>1120</v>
      </c>
      <c r="M11" t="s">
        <v>1121</v>
      </c>
      <c r="N11" t="s">
        <v>1115</v>
      </c>
      <c r="Q11">
        <v>2045</v>
      </c>
      <c r="R11" s="7">
        <f t="shared" si="1"/>
        <v>0</v>
      </c>
      <c r="S11" s="7">
        <v>0.9</v>
      </c>
      <c r="T11" s="7">
        <f t="shared" si="2"/>
        <v>0</v>
      </c>
      <c r="U11" s="7">
        <v>0.11</v>
      </c>
      <c r="W11" s="7">
        <v>1</v>
      </c>
    </row>
    <row r="12" spans="1:23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>+H13-1</f>
        <v>-0.90900000000000003</v>
      </c>
      <c r="I12">
        <f t="shared" ref="I12:K12" si="3">+I13-1</f>
        <v>-0.74</v>
      </c>
      <c r="J12">
        <f t="shared" si="3"/>
        <v>-0.30000000000000004</v>
      </c>
      <c r="K12">
        <f t="shared" si="3"/>
        <v>0</v>
      </c>
      <c r="L12">
        <v>0</v>
      </c>
      <c r="M12">
        <v>5</v>
      </c>
      <c r="N12" t="s">
        <v>1135</v>
      </c>
      <c r="Q12">
        <v>2050</v>
      </c>
      <c r="R12" s="7">
        <f t="shared" si="1"/>
        <v>0</v>
      </c>
      <c r="S12" s="7">
        <v>1</v>
      </c>
      <c r="T12" s="7">
        <f t="shared" si="2"/>
        <v>0</v>
      </c>
      <c r="U12" s="7">
        <v>0.15</v>
      </c>
      <c r="W12" s="7">
        <v>1</v>
      </c>
    </row>
    <row r="13" spans="1:23" x14ac:dyDescent="0.45">
      <c r="E13" t="s">
        <v>1141</v>
      </c>
      <c r="G13">
        <v>0.01</v>
      </c>
      <c r="H13">
        <v>9.0999999999999998E-2</v>
      </c>
      <c r="I13">
        <v>0.26</v>
      </c>
      <c r="J13">
        <v>0.7</v>
      </c>
      <c r="K13">
        <v>1</v>
      </c>
      <c r="Q13">
        <v>2055</v>
      </c>
      <c r="R13" s="7">
        <f t="shared" si="1"/>
        <v>0</v>
      </c>
      <c r="S13" s="7">
        <v>1</v>
      </c>
      <c r="T13" s="7">
        <f t="shared" si="2"/>
        <v>0</v>
      </c>
      <c r="U13" s="7">
        <v>0.17</v>
      </c>
      <c r="W13" s="7">
        <v>1</v>
      </c>
    </row>
    <row r="16" spans="1:23" x14ac:dyDescent="0.45">
      <c r="F16" t="s">
        <v>1151</v>
      </c>
    </row>
    <row r="17" spans="4:19" x14ac:dyDescent="0.45">
      <c r="D17" t="s">
        <v>17</v>
      </c>
      <c r="E17" t="s">
        <v>1119</v>
      </c>
      <c r="F17" t="s">
        <v>1111</v>
      </c>
      <c r="G17" t="s">
        <v>1170</v>
      </c>
      <c r="H17">
        <f>$H$5</f>
        <v>2030</v>
      </c>
      <c r="I17">
        <f t="shared" ref="I17:K17" si="4">H17+5</f>
        <v>2035</v>
      </c>
      <c r="J17">
        <f t="shared" si="4"/>
        <v>2040</v>
      </c>
      <c r="K17">
        <f t="shared" si="4"/>
        <v>2045</v>
      </c>
      <c r="L17" t="s">
        <v>1120</v>
      </c>
      <c r="M17" t="s">
        <v>1121</v>
      </c>
      <c r="N17" t="s">
        <v>1115</v>
      </c>
    </row>
    <row r="18" spans="4:19" x14ac:dyDescent="0.45">
      <c r="D18" t="s">
        <v>1125</v>
      </c>
      <c r="E18" t="s">
        <v>1126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-9.9999999999544897E-6</v>
      </c>
      <c r="L18">
        <v>0</v>
      </c>
      <c r="M18">
        <v>5</v>
      </c>
      <c r="N18" t="s">
        <v>1127</v>
      </c>
      <c r="R18" s="6" t="s">
        <v>1155</v>
      </c>
      <c r="S18" s="6">
        <v>2030</v>
      </c>
    </row>
    <row r="19" spans="4:19" x14ac:dyDescent="0.45">
      <c r="E19" t="s">
        <v>1131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2025</v>
      </c>
    </row>
    <row r="20" spans="4:19" x14ac:dyDescent="0.45">
      <c r="R20" s="6" t="s">
        <v>242</v>
      </c>
      <c r="S20" s="6">
        <v>2020</v>
      </c>
    </row>
    <row r="21" spans="4:19" x14ac:dyDescent="0.45">
      <c r="R21" s="6" t="s">
        <v>1157</v>
      </c>
      <c r="S21" s="6">
        <v>2015</v>
      </c>
    </row>
    <row r="22" spans="4:19" x14ac:dyDescent="0.45">
      <c r="F22" t="s">
        <v>1151</v>
      </c>
    </row>
    <row r="23" spans="4:19" x14ac:dyDescent="0.45">
      <c r="D23" t="s">
        <v>17</v>
      </c>
      <c r="E23" t="s">
        <v>1119</v>
      </c>
      <c r="F23" t="s">
        <v>1111</v>
      </c>
      <c r="G23" t="s">
        <v>1170</v>
      </c>
      <c r="H23">
        <f>$H$5</f>
        <v>2030</v>
      </c>
      <c r="I23">
        <f t="shared" ref="I23:J23" si="5">H23+5</f>
        <v>2035</v>
      </c>
      <c r="J23">
        <f t="shared" si="5"/>
        <v>2040</v>
      </c>
      <c r="K23">
        <f>J23+20</f>
        <v>2060</v>
      </c>
      <c r="L23" t="s">
        <v>1120</v>
      </c>
      <c r="M23" t="s">
        <v>1121</v>
      </c>
      <c r="N23" t="s">
        <v>1115</v>
      </c>
    </row>
    <row r="24" spans="4:19" x14ac:dyDescent="0.45">
      <c r="D24" t="s">
        <v>1136</v>
      </c>
      <c r="E24" t="s">
        <v>1137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1138</v>
      </c>
    </row>
    <row r="25" spans="4:19" x14ac:dyDescent="0.45">
      <c r="E25" t="s">
        <v>1142</v>
      </c>
      <c r="H25">
        <v>0.01</v>
      </c>
      <c r="I25">
        <v>0.02</v>
      </c>
      <c r="J25">
        <v>0.04</v>
      </c>
      <c r="K25">
        <v>0.17</v>
      </c>
    </row>
    <row r="28" spans="4:19" x14ac:dyDescent="0.45">
      <c r="F28" t="s">
        <v>1151</v>
      </c>
    </row>
    <row r="29" spans="4:19" x14ac:dyDescent="0.45">
      <c r="D29" t="s">
        <v>17</v>
      </c>
      <c r="E29" t="s">
        <v>1119</v>
      </c>
      <c r="F29" t="s">
        <v>1111</v>
      </c>
      <c r="G29" t="s">
        <v>1170</v>
      </c>
      <c r="H29">
        <f>$H$5</f>
        <v>2030</v>
      </c>
      <c r="I29">
        <f t="shared" ref="I29:L29" si="6">H29+5</f>
        <v>2035</v>
      </c>
      <c r="J29">
        <f t="shared" si="6"/>
        <v>2040</v>
      </c>
      <c r="K29">
        <f t="shared" si="6"/>
        <v>2045</v>
      </c>
      <c r="L29">
        <f t="shared" si="6"/>
        <v>2050</v>
      </c>
      <c r="M29" t="s">
        <v>1120</v>
      </c>
      <c r="N29" t="s">
        <v>1121</v>
      </c>
      <c r="O29" t="s">
        <v>1115</v>
      </c>
    </row>
    <row r="30" spans="4:19" x14ac:dyDescent="0.45">
      <c r="D30" t="s">
        <v>1128</v>
      </c>
      <c r="E30" t="s">
        <v>1129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1152</v>
      </c>
    </row>
    <row r="31" spans="4:19" x14ac:dyDescent="0.45">
      <c r="E31" t="s">
        <v>1132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4:15" x14ac:dyDescent="0.45">
      <c r="F34" t="s">
        <v>1151</v>
      </c>
    </row>
    <row r="35" spans="4:15" x14ac:dyDescent="0.45">
      <c r="D35" t="s">
        <v>17</v>
      </c>
      <c r="E35" t="s">
        <v>1119</v>
      </c>
      <c r="F35" t="s">
        <v>1111</v>
      </c>
      <c r="G35" t="s">
        <v>1170</v>
      </c>
      <c r="H35">
        <f>$H$5</f>
        <v>2030</v>
      </c>
      <c r="I35">
        <f t="shared" ref="I35:L35" si="7">H35+5</f>
        <v>2035</v>
      </c>
      <c r="J35">
        <f t="shared" si="7"/>
        <v>2040</v>
      </c>
      <c r="K35">
        <f t="shared" si="7"/>
        <v>2045</v>
      </c>
      <c r="L35">
        <f t="shared" si="7"/>
        <v>2050</v>
      </c>
      <c r="M35" t="s">
        <v>1120</v>
      </c>
      <c r="N35" t="s">
        <v>1121</v>
      </c>
      <c r="O35" t="s">
        <v>1115</v>
      </c>
    </row>
    <row r="36" spans="4:15" x14ac:dyDescent="0.45">
      <c r="D36" t="s">
        <v>1139</v>
      </c>
      <c r="E36" t="s">
        <v>1140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-0.35000000000000003</v>
      </c>
      <c r="L36">
        <f>K36+0.2</f>
        <v>-0.15000000000000002</v>
      </c>
      <c r="M36">
        <v>0</v>
      </c>
      <c r="N36">
        <v>5</v>
      </c>
      <c r="O36" t="s">
        <v>1153</v>
      </c>
    </row>
    <row r="37" spans="4:15" x14ac:dyDescent="0.45">
      <c r="E37" t="s">
        <v>1143</v>
      </c>
      <c r="H37">
        <v>0</v>
      </c>
      <c r="I37">
        <f t="shared" ref="I37:L37" si="8">1+I36</f>
        <v>0.25</v>
      </c>
      <c r="J37">
        <f t="shared" si="8"/>
        <v>0.44999999999999996</v>
      </c>
      <c r="K37">
        <f t="shared" si="8"/>
        <v>0.64999999999999991</v>
      </c>
      <c r="L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2025-12-03T07:03:01Z</dcterms:modified>
</cp:coreProperties>
</file>