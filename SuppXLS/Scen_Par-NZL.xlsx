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98EEA478-CC30-41AF-9ABB-CD99F83502D1}" xr6:coauthVersionLast="47" xr6:coauthVersionMax="47" xr10:uidLastSave="{00000000-0000-0000-0000-000000000000}"/>
  <bookViews>
    <workbookView xWindow="-28898" yWindow="-98" windowWidth="28996" windowHeight="15675" activeTab="2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4" l="1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F45" i="14"/>
  <c r="E45" i="14"/>
  <c r="D45" i="14"/>
  <c r="C45" i="14"/>
  <c r="F44" i="14"/>
  <c r="E44" i="14"/>
  <c r="D44" i="14"/>
  <c r="C44" i="14"/>
  <c r="D43" i="14"/>
  <c r="C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F42" i="14"/>
  <c r="E42" i="14"/>
  <c r="H41" i="14"/>
  <c r="G41" i="14"/>
  <c r="F41" i="14"/>
  <c r="E41" i="14"/>
  <c r="D42" i="14"/>
  <c r="C42" i="14"/>
  <c r="D41" i="14"/>
  <c r="C41" i="14"/>
  <c r="D40" i="14"/>
  <c r="C40" i="14"/>
  <c r="M23" i="14"/>
  <c r="L23" i="14"/>
  <c r="K23" i="14"/>
  <c r="J23" i="14"/>
  <c r="I23" i="14"/>
  <c r="H23" i="14"/>
  <c r="G23" i="14"/>
  <c r="F23" i="14"/>
  <c r="E23" i="14"/>
  <c r="G1" i="14"/>
  <c r="H1" i="14" s="1"/>
  <c r="H45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G44" i="14" l="1"/>
  <c r="H42" i="14"/>
  <c r="H44" i="14"/>
  <c r="G45" i="14"/>
  <c r="G42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<sst xmlns="http://schemas.openxmlformats.org/spreadsheetml/2006/main" count="25507" uniqueCount="1172">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</sst>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B12" sqref="B1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1</v>
      </c>
    </row>
    <row r="5" spans="1:20" x14ac:dyDescent="0.45">
      <c r="D5" s="1" t="str">
        <f>VLOOKUP(D3,$C$9:$E$999,2,FALSE)</f>
        <v>ts_012</v>
      </c>
      <c r="E5" s="1" t="str">
        <f>VLOOKUP(D3,$C$9:$E$999,3,FALSE)</f>
        <v>tui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>
      <selection activeCell="G1" sqref="G1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abSelected="1" workbookViewId="0">
      <selection activeCell="F1" sqref="F1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1163</v>
      </c>
      <c r="D1" t="s">
        <v>1164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1166</v>
      </c>
      <c r="D3">
        <v>6.36</v>
      </c>
    </row>
    <row r="4" spans="1:28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1166</v>
      </c>
      <c r="D6">
        <v>26.71</v>
      </c>
      <c r="P6" t="s">
        <v>244</v>
      </c>
      <c r="Q6" t="s">
        <v>6</v>
      </c>
      <c r="R6" t="s">
        <v>1165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1166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1167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1166</v>
      </c>
      <c r="D9">
        <v>2.65</v>
      </c>
      <c r="P9" t="s">
        <v>249</v>
      </c>
      <c r="Q9" t="s">
        <v>542</v>
      </c>
      <c r="R9" t="s">
        <v>1168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1166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1167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1166</v>
      </c>
      <c r="D12">
        <v>9.32</v>
      </c>
      <c r="P12" t="s">
        <v>328</v>
      </c>
      <c r="Q12" t="s">
        <v>542</v>
      </c>
      <c r="R12" t="s">
        <v>1168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1166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1167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1168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1166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1167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1168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1170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1169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1166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>E7*E$1</f>
        <v>21.368000000000002</v>
      </c>
      <c r="F31" s="7">
        <f>F7*F$1</f>
        <v>25.533000000000001</v>
      </c>
      <c r="G31" s="7">
        <f>G7*G$1</f>
        <v>27.864000000000001</v>
      </c>
      <c r="H31" s="7">
        <f>H7*H$1</f>
        <v>31.094999999999999</v>
      </c>
      <c r="I31" s="7">
        <f>I7*I$1</f>
        <v>34.046999999999997</v>
      </c>
      <c r="J31" s="7">
        <f>J7*J$1</f>
        <v>36.072000000000003</v>
      </c>
      <c r="K31" s="7">
        <f>K7*K$1</f>
        <v>38.384999999999998</v>
      </c>
      <c r="L31" s="7">
        <f>L7*L$1</f>
        <v>40.869</v>
      </c>
      <c r="M31" s="7">
        <f>M7*M$1</f>
        <v>43.038000000000004</v>
      </c>
      <c r="P31" t="str">
        <f t="shared" ref="P31:P42" si="5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>E8*E$1</f>
        <v>21.136000000000003</v>
      </c>
      <c r="F32" s="7">
        <f>F8*F$1</f>
        <v>23.976000000000003</v>
      </c>
      <c r="G32" s="7">
        <f>G8*G$1</f>
        <v>24.623999999999999</v>
      </c>
      <c r="H32" s="7">
        <f>H8*H$1</f>
        <v>25.263000000000002</v>
      </c>
      <c r="I32" s="7">
        <f>I8*I$1</f>
        <v>26.135999999999999</v>
      </c>
      <c r="J32" s="7">
        <f>J8*J$1</f>
        <v>26.981999999999999</v>
      </c>
      <c r="K32" s="7">
        <f>K8*K$1</f>
        <v>28.016999999999999</v>
      </c>
      <c r="L32" s="7">
        <f>L8*L$1</f>
        <v>29.798999999999999</v>
      </c>
      <c r="M32" s="7">
        <f>M8*M$1</f>
        <v>31.571999999999999</v>
      </c>
      <c r="P32" t="str">
        <f t="shared" si="5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5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6">G10</f>
        <v>3.31</v>
      </c>
      <c r="H34" s="7">
        <f t="shared" si="6"/>
        <v>3.83</v>
      </c>
      <c r="I34" s="7">
        <f t="shared" si="6"/>
        <v>4.3600000000000003</v>
      </c>
      <c r="J34" s="7">
        <f t="shared" si="6"/>
        <v>4.82</v>
      </c>
      <c r="K34" s="7">
        <f t="shared" si="6"/>
        <v>5.36</v>
      </c>
      <c r="L34" s="7">
        <f t="shared" si="6"/>
        <v>5.94</v>
      </c>
      <c r="M34" s="7">
        <f t="shared" si="6"/>
        <v>6.49</v>
      </c>
      <c r="P34" t="str">
        <f t="shared" si="5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7">F11</f>
        <v>2.93</v>
      </c>
      <c r="G35" s="7">
        <f t="shared" si="7"/>
        <v>3.11</v>
      </c>
      <c r="H35" s="7">
        <f t="shared" si="7"/>
        <v>3.29</v>
      </c>
      <c r="I35" s="7">
        <f t="shared" si="7"/>
        <v>3.52</v>
      </c>
      <c r="J35" s="7">
        <f t="shared" si="7"/>
        <v>3.75</v>
      </c>
      <c r="K35" s="7">
        <f t="shared" si="7"/>
        <v>4.03</v>
      </c>
      <c r="L35" s="7">
        <f t="shared" si="7"/>
        <v>4.41</v>
      </c>
      <c r="M35" s="7">
        <f t="shared" si="7"/>
        <v>4.8</v>
      </c>
      <c r="P35" t="str">
        <f t="shared" si="5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5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>E13*E$1</f>
        <v>7.4560000000000004</v>
      </c>
      <c r="F37" s="7">
        <f>F13*F$1</f>
        <v>8.91</v>
      </c>
      <c r="G37" s="7">
        <f>G13*G$1</f>
        <v>9.7200000000000006</v>
      </c>
      <c r="H37" s="7">
        <f>H13*H$1</f>
        <v>10.845000000000001</v>
      </c>
      <c r="I37" s="7">
        <f>I13*I$1</f>
        <v>11.879999999999999</v>
      </c>
      <c r="J37" s="7">
        <f>J13*J$1</f>
        <v>12.582000000000001</v>
      </c>
      <c r="K37" s="7">
        <f>K13*K$1</f>
        <v>13.392000000000001</v>
      </c>
      <c r="L37" s="7">
        <f>L13*L$1</f>
        <v>14.256</v>
      </c>
      <c r="M37" s="7">
        <f>M13*M$1</f>
        <v>15.012</v>
      </c>
      <c r="P37" t="str">
        <f t="shared" si="5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>E14*E$1</f>
        <v>7.3760000000000012</v>
      </c>
      <c r="F38" s="7">
        <f>F14*F$1</f>
        <v>8.3609999999999989</v>
      </c>
      <c r="G38" s="7">
        <f>G14*G$1</f>
        <v>8.5950000000000006</v>
      </c>
      <c r="H38" s="7">
        <f>H14*H$1</f>
        <v>8.8109999999999999</v>
      </c>
      <c r="I38" s="7">
        <f>I14*I$1</f>
        <v>9.1170000000000009</v>
      </c>
      <c r="J38" s="7">
        <f>J14*J$1</f>
        <v>9.4140000000000015</v>
      </c>
      <c r="K38" s="7">
        <f>K14*K$1</f>
        <v>9.7739999999999991</v>
      </c>
      <c r="L38" s="7">
        <f>L14*L$1</f>
        <v>10.395000000000001</v>
      </c>
      <c r="M38" s="7">
        <f>M14*M$1</f>
        <v>11.016</v>
      </c>
      <c r="P38" t="str">
        <f t="shared" si="5"/>
        <v>kea</v>
      </c>
    </row>
    <row r="39" spans="1:16" x14ac:dyDescent="0.45">
      <c r="C39" t="s">
        <v>1171</v>
      </c>
    </row>
    <row r="40" spans="1:16" x14ac:dyDescent="0.45">
      <c r="A40" t="str">
        <f>A16</f>
        <v>NI</v>
      </c>
      <c r="B40" t="str">
        <f t="shared" ref="B40:B46" si="8">B16</f>
        <v>T_O_JET_Int</v>
      </c>
      <c r="C40" t="str">
        <f t="shared" ref="C40:C42" si="9">IF(P40=$P$25,"demand","\I:")</f>
        <v>\I:</v>
      </c>
      <c r="D40" t="str">
        <f t="shared" ref="D40:D42" si="10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1166</v>
      </c>
    </row>
    <row r="41" spans="1:16" x14ac:dyDescent="0.45">
      <c r="A41" t="str">
        <f t="shared" ref="A41:B41" si="11">A17</f>
        <v>NI</v>
      </c>
      <c r="B41" t="str">
        <f t="shared" si="8"/>
        <v>T_O_JET_Int</v>
      </c>
      <c r="C41" t="str">
        <f t="shared" si="9"/>
        <v>demand</v>
      </c>
      <c r="D41" t="str">
        <f t="shared" si="10"/>
        <v/>
      </c>
      <c r="E41" s="7">
        <f>E17*E$1^2</f>
        <v>29.258306045040392</v>
      </c>
      <c r="F41" s="7">
        <f t="shared" ref="F41:M41" si="12">F17*F$1^2</f>
        <v>39.973096925549015</v>
      </c>
      <c r="G41" s="7">
        <f t="shared" si="12"/>
        <v>45.003974633114176</v>
      </c>
      <c r="H41" s="7">
        <f t="shared" si="12"/>
        <v>52.205403897003137</v>
      </c>
      <c r="I41" s="7">
        <f t="shared" si="12"/>
        <v>59.933016049252402</v>
      </c>
      <c r="J41" s="7">
        <f t="shared" si="12"/>
        <v>68.763187787106631</v>
      </c>
      <c r="K41" s="7">
        <f t="shared" si="12"/>
        <v>77.063853979753759</v>
      </c>
      <c r="L41" s="7">
        <f t="shared" si="12"/>
        <v>83.200363299255969</v>
      </c>
      <c r="M41" s="7">
        <f t="shared" si="12"/>
        <v>89.82551605771971</v>
      </c>
      <c r="P41" t="s">
        <v>241</v>
      </c>
    </row>
    <row r="42" spans="1:16" x14ac:dyDescent="0.45">
      <c r="A42" t="str">
        <f t="shared" ref="A42:B42" si="13">A18</f>
        <v>NI</v>
      </c>
      <c r="B42" t="str">
        <f t="shared" si="8"/>
        <v>T_O_JET_Int</v>
      </c>
      <c r="C42" t="str">
        <f t="shared" si="9"/>
        <v>\I:</v>
      </c>
      <c r="D42" t="str">
        <f t="shared" si="10"/>
        <v/>
      </c>
      <c r="E42" s="7">
        <f t="shared" ref="E42:M42" si="14">E18*E$1^2</f>
        <v>31.196451398976134</v>
      </c>
      <c r="F42" s="7">
        <f t="shared" si="14"/>
        <v>43.350127268400328</v>
      </c>
      <c r="G42" s="7">
        <f t="shared" si="14"/>
        <v>48.119828632925255</v>
      </c>
      <c r="H42" s="7">
        <f t="shared" si="14"/>
        <v>52.688296851716316</v>
      </c>
      <c r="I42" s="7">
        <f t="shared" si="14"/>
        <v>56.538395650549248</v>
      </c>
      <c r="J42" s="7">
        <f t="shared" si="14"/>
        <v>57.417895674016805</v>
      </c>
      <c r="K42" s="7">
        <f t="shared" si="14"/>
        <v>54.801748376012554</v>
      </c>
      <c r="L42" s="7">
        <f t="shared" si="14"/>
        <v>51.877912534340886</v>
      </c>
      <c r="M42" s="7">
        <f t="shared" si="14"/>
        <v>49.110072008190627</v>
      </c>
      <c r="P42" t="s">
        <v>242</v>
      </c>
    </row>
    <row r="43" spans="1:16" x14ac:dyDescent="0.45">
      <c r="A43" t="str">
        <f t="shared" ref="A43:B43" si="15">A19</f>
        <v>SI</v>
      </c>
      <c r="B43" t="str">
        <f t="shared" si="8"/>
        <v>T_O_JET_Int</v>
      </c>
      <c r="C43" t="str">
        <f t="shared" ref="C43:C45" si="16">IF(P43=$P$25,"demand","\I:")</f>
        <v>\I:</v>
      </c>
      <c r="D43" t="str">
        <f t="shared" ref="D43:D45" si="17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:B44" si="18">A20</f>
        <v>SI</v>
      </c>
      <c r="B44" t="str">
        <f t="shared" si="8"/>
        <v>T_O_JET_Int</v>
      </c>
      <c r="C44" t="str">
        <f t="shared" si="16"/>
        <v>demand</v>
      </c>
      <c r="D44" t="str">
        <f t="shared" si="17"/>
        <v/>
      </c>
      <c r="E44" s="7">
        <f t="shared" ref="E44:M44" si="19">E20*E$1^2</f>
        <v>7.314576511260098</v>
      </c>
      <c r="F44" s="7">
        <f t="shared" si="19"/>
        <v>9.9603235253815559</v>
      </c>
      <c r="G44" s="7">
        <f t="shared" si="19"/>
        <v>11.158415200017416</v>
      </c>
      <c r="H44" s="7">
        <f t="shared" si="19"/>
        <v>12.866433090736214</v>
      </c>
      <c r="I44" s="7">
        <f t="shared" si="19"/>
        <v>14.713991327376064</v>
      </c>
      <c r="J44" s="7">
        <f t="shared" si="19"/>
        <v>16.842484783563712</v>
      </c>
      <c r="K44" s="7">
        <f t="shared" si="19"/>
        <v>18.844968943644176</v>
      </c>
      <c r="L44" s="7">
        <f t="shared" si="19"/>
        <v>20.319948241363676</v>
      </c>
      <c r="M44" s="7">
        <f t="shared" si="19"/>
        <v>21.910372883419175</v>
      </c>
      <c r="P44" t="str">
        <f t="shared" ref="P44:P45" si="20">P41</f>
        <v>tui</v>
      </c>
    </row>
    <row r="45" spans="1:16" x14ac:dyDescent="0.45">
      <c r="A45" t="str">
        <f t="shared" ref="A45:B45" si="21">A21</f>
        <v>SI</v>
      </c>
      <c r="B45" t="str">
        <f t="shared" si="8"/>
        <v>T_O_JET_Int</v>
      </c>
      <c r="C45" t="str">
        <f t="shared" si="16"/>
        <v>\I:</v>
      </c>
      <c r="D45" t="str">
        <f t="shared" si="17"/>
        <v/>
      </c>
      <c r="E45" s="7">
        <f t="shared" ref="E45:M45" si="22">E21*E$1^2</f>
        <v>7.7822895059776647</v>
      </c>
      <c r="F45" s="7">
        <f t="shared" si="22"/>
        <v>10.76973674717294</v>
      </c>
      <c r="G45" s="7">
        <f t="shared" si="22"/>
        <v>11.88154476008604</v>
      </c>
      <c r="H45" s="7">
        <f t="shared" si="22"/>
        <v>12.951404283198286</v>
      </c>
      <c r="I45" s="7">
        <f t="shared" si="22"/>
        <v>13.856626166104233</v>
      </c>
      <c r="J45" s="7">
        <f t="shared" si="22"/>
        <v>14.04326301622668</v>
      </c>
      <c r="K45" s="7">
        <f t="shared" si="22"/>
        <v>13.386005267006997</v>
      </c>
      <c r="L45" s="7">
        <f t="shared" si="22"/>
        <v>12.655371229555122</v>
      </c>
      <c r="M45" s="7">
        <f t="shared" si="22"/>
        <v>11.964616609900816</v>
      </c>
      <c r="P45" t="str">
        <f t="shared" si="20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K34" sqref="K34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tui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tui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3.7920950000000002E-2</v>
      </c>
      <c r="F29" s="7">
        <f t="shared" si="3"/>
        <v>4.3341899999999996E-2</v>
      </c>
      <c r="G29" s="7">
        <f t="shared" si="3"/>
        <v>4.8762850000000003E-2</v>
      </c>
      <c r="H29" s="7">
        <f t="shared" si="3"/>
        <v>5.4183799999999997E-2</v>
      </c>
      <c r="I29" s="7">
        <f t="shared" si="3"/>
        <v>2.6666666666666668E-2</v>
      </c>
      <c r="J29" s="7">
        <f t="shared" si="3"/>
        <v>3.3133333333333514E-2</v>
      </c>
      <c r="K29" s="7">
        <f t="shared" si="3"/>
        <v>3.9600000000000364E-2</v>
      </c>
      <c r="L29" s="7">
        <f t="shared" si="3"/>
        <v>4.6066666666665694E-2</v>
      </c>
      <c r="M29" s="7">
        <f t="shared" si="3"/>
        <v>5.2533333333332551E-2</v>
      </c>
      <c r="N29" s="7">
        <f t="shared" si="3"/>
        <v>5.8999999999999393E-2</v>
      </c>
      <c r="O29" s="7">
        <f t="shared" si="3"/>
        <v>6.5466666666666243E-2</v>
      </c>
      <c r="P29" s="7">
        <f t="shared" si="3"/>
        <v>7.1933333333333099E-2</v>
      </c>
      <c r="Q29" s="7">
        <f t="shared" si="3"/>
        <v>7.8399999999999942E-2</v>
      </c>
      <c r="R29" s="7">
        <f t="shared" si="3"/>
        <v>8.4866666666666785E-2</v>
      </c>
      <c r="S29" s="7">
        <f t="shared" si="3"/>
        <v>9.1333333333333641E-2</v>
      </c>
      <c r="T29" s="7">
        <f t="shared" si="3"/>
        <v>9.7799999999998971E-2</v>
      </c>
      <c r="U29" s="7">
        <f t="shared" si="3"/>
        <v>0.10426666666666583</v>
      </c>
      <c r="V29" s="7">
        <f t="shared" si="3"/>
        <v>0.11073333333333267</v>
      </c>
      <c r="W29" s="7">
        <f t="shared" si="3"/>
        <v>0.11719999999999951</v>
      </c>
      <c r="X29" s="7">
        <f t="shared" si="3"/>
        <v>0.12366666666666637</v>
      </c>
      <c r="Y29" s="7">
        <f t="shared" si="3"/>
        <v>0.13013333333333321</v>
      </c>
      <c r="Z29" s="7">
        <f t="shared" si="3"/>
        <v>0.13660000000000008</v>
      </c>
      <c r="AA29" s="7">
        <f t="shared" si="3"/>
        <v>0.14306666666666693</v>
      </c>
      <c r="AB29" s="7">
        <f t="shared" si="3"/>
        <v>0.14953333333333224</v>
      </c>
      <c r="AC29" s="7">
        <f t="shared" si="3"/>
        <v>0.15599999999999908</v>
      </c>
      <c r="AD29" s="7">
        <f t="shared" si="3"/>
        <v>0.16246666666666595</v>
      </c>
      <c r="AE29" s="7">
        <f t="shared" si="3"/>
        <v>0.1689333333333328</v>
      </c>
      <c r="AF29" s="7">
        <f t="shared" si="3"/>
        <v>0.17539999999999964</v>
      </c>
      <c r="AG29" s="7">
        <f t="shared" si="3"/>
        <v>0.18186666666666651</v>
      </c>
      <c r="AH29" s="7">
        <f t="shared" si="3"/>
        <v>0.18833333333333335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2025-11-17T11:08:05Z</dcterms:modified>
</cp:coreProperties>
</file>