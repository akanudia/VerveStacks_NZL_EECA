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EC5838AD-786B-448D-AA08-DAC6B33FC2A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4" i="12" l="1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/>
  <c r="H24" i="12"/>
  <c r="G24" i="12"/>
  <c r="F24" i="12"/>
  <c r="E24" i="12"/>
  <c r="D24" i="12"/>
  <c r="C24" i="12"/>
  <c r="B24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B10" i="1" l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D72" i="1" l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N29" i="12" l="1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<sst xmlns="http://schemas.openxmlformats.org/spreadsheetml/2006/main" count="25390" uniqueCount="1163">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</sst>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4</v>
      </c>
    </row>
    <row r="5" spans="1:20" x14ac:dyDescent="0.45">
      <c r="D5" s="1" t="str">
        <f>VLOOKUP(D3,$C$9:$E$999,2,FALSE)</f>
        <v>ts_012</v>
      </c>
      <c r="E5" s="1" t="str">
        <f>VLOOKUP(D3,$C$9:$E$999,3,FALSE)</f>
        <v>nz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/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kea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2015</v>
      </c>
      <c r="K7" s="17">
        <f t="shared" ref="K7:V7" si="1">IF($A$1=K1,K2,"*"&amp;COLUMN())</f>
        <v>0</v>
      </c>
      <c r="L7" s="17">
        <f t="shared" si="1"/>
        <v>2018</v>
      </c>
      <c r="M7" s="17">
        <f t="shared" si="1"/>
        <v>2020</v>
      </c>
      <c r="N7" s="17">
        <f t="shared" si="1"/>
        <v>2030</v>
      </c>
      <c r="O7" s="17">
        <f t="shared" si="1"/>
        <v>2040</v>
      </c>
      <c r="P7" s="15">
        <f t="shared" si="1"/>
        <v>2050</v>
      </c>
      <c r="Q7" s="17" t="str">
        <f t="shared" si="1"/>
        <v>*17</v>
      </c>
      <c r="R7" s="17" t="str">
        <f t="shared" si="1"/>
        <v>*18</v>
      </c>
      <c r="S7" s="17" t="str">
        <f t="shared" si="1"/>
        <v>*19</v>
      </c>
      <c r="T7" s="17" t="str">
        <f t="shared" si="1"/>
        <v>*20</v>
      </c>
      <c r="U7" s="17" t="str">
        <f t="shared" si="1"/>
        <v>*21</v>
      </c>
      <c r="V7" s="17" t="str">
        <f t="shared" si="1"/>
        <v>*22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2015</v>
      </c>
      <c r="AF7" s="17">
        <f t="shared" si="2"/>
        <v>0</v>
      </c>
      <c r="AG7" s="17">
        <f t="shared" si="2"/>
        <v>2018</v>
      </c>
      <c r="AH7" s="17">
        <f t="shared" si="2"/>
        <v>2030</v>
      </c>
      <c r="AI7" s="17">
        <f t="shared" si="2"/>
        <v>2040</v>
      </c>
      <c r="AJ7" s="17">
        <f t="shared" si="2"/>
        <v>2050</v>
      </c>
      <c r="AK7" s="17" t="str">
        <f t="shared" si="2"/>
        <v>*37</v>
      </c>
      <c r="AL7" s="17" t="str">
        <f t="shared" si="2"/>
        <v>*38</v>
      </c>
      <c r="AM7" s="17" t="str">
        <f t="shared" si="2"/>
        <v>*39</v>
      </c>
      <c r="AN7" s="17" t="str">
        <f t="shared" si="2"/>
        <v>*40</v>
      </c>
      <c r="AO7" s="17" t="str">
        <f t="shared" si="2"/>
        <v>*41</v>
      </c>
      <c r="AP7" s="17" t="str">
        <f t="shared" si="2"/>
        <v>*42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>
        <f t="shared" ref="AZ7:BU7" si="3">IF($A$1=AZ1,AZ2,"*"&amp;COLUMN())</f>
        <v>0</v>
      </c>
      <c r="BA7" s="17">
        <f t="shared" si="3"/>
        <v>2018</v>
      </c>
      <c r="BB7" s="17">
        <f t="shared" si="3"/>
        <v>2020</v>
      </c>
      <c r="BC7" s="17">
        <f t="shared" si="3"/>
        <v>2025</v>
      </c>
      <c r="BD7" s="17">
        <f t="shared" si="3"/>
        <v>2030</v>
      </c>
      <c r="BE7" s="17">
        <f t="shared" si="3"/>
        <v>2035</v>
      </c>
      <c r="BF7" s="17">
        <f t="shared" si="3"/>
        <v>2040</v>
      </c>
      <c r="BG7" s="17">
        <f t="shared" si="3"/>
        <v>2045</v>
      </c>
      <c r="BH7" s="17">
        <f t="shared" si="3"/>
        <v>2050</v>
      </c>
      <c r="BI7" s="17">
        <f t="shared" si="3"/>
        <v>2055</v>
      </c>
      <c r="BJ7" s="17">
        <f t="shared" si="3"/>
        <v>2060</v>
      </c>
      <c r="BK7" s="17" t="str">
        <f t="shared" si="3"/>
        <v>*63</v>
      </c>
      <c r="BL7" s="17" t="str">
        <f t="shared" si="3"/>
        <v>*64</v>
      </c>
      <c r="BM7" s="17" t="str">
        <f t="shared" si="3"/>
        <v>*65</v>
      </c>
      <c r="BN7" s="17" t="str">
        <f t="shared" si="3"/>
        <v>*66</v>
      </c>
      <c r="BO7" s="17" t="str">
        <f t="shared" si="3"/>
        <v>*67</v>
      </c>
      <c r="BP7" s="17" t="str">
        <f t="shared" si="3"/>
        <v>*68</v>
      </c>
      <c r="BQ7" s="17" t="str">
        <f t="shared" si="3"/>
        <v>*69</v>
      </c>
      <c r="BR7" s="17" t="str">
        <f t="shared" si="3"/>
        <v>*70</v>
      </c>
      <c r="BS7" s="17" t="str">
        <f t="shared" si="3"/>
        <v>*71</v>
      </c>
      <c r="BT7" s="17" t="str">
        <f t="shared" si="3"/>
        <v>*72</v>
      </c>
      <c r="BU7" s="17" t="str">
        <f t="shared" si="3"/>
        <v>*73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C1" sqref="C1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nz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2015</v>
      </c>
      <c r="H5">
        <f>G5+5</f>
        <v>2020</v>
      </c>
      <c r="I5">
        <f>H5+5</f>
        <v>2025</v>
      </c>
      <c r="J5">
        <f>I5+5</f>
        <v>2030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2015</v>
      </c>
      <c r="H11">
        <f>G11+5</f>
        <v>2020</v>
      </c>
      <c r="I11">
        <f>H11+5</f>
        <v>2025</v>
      </c>
      <c r="J11">
        <f>I11+20</f>
        <v>2045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2015</v>
      </c>
      <c r="H17">
        <f t="shared" ref="H17:J17" si="4">G17+5</f>
        <v>2020</v>
      </c>
      <c r="I17">
        <f t="shared" si="4"/>
        <v>2025</v>
      </c>
      <c r="J17">
        <f t="shared" si="4"/>
        <v>2030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2015</v>
      </c>
      <c r="H23">
        <f t="shared" ref="H23:I23" si="5">G23+5</f>
        <v>2020</v>
      </c>
      <c r="I23">
        <f t="shared" si="5"/>
        <v>2025</v>
      </c>
      <c r="J23">
        <f>I23+20</f>
        <v>2045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2015</v>
      </c>
      <c r="H29">
        <f t="shared" ref="H29:K29" si="6">G29+5</f>
        <v>2020</v>
      </c>
      <c r="I29">
        <f t="shared" si="6"/>
        <v>2025</v>
      </c>
      <c r="J29">
        <f t="shared" si="6"/>
        <v>2030</v>
      </c>
      <c r="K29">
        <f t="shared" si="6"/>
        <v>2035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2015</v>
      </c>
      <c r="H35">
        <f t="shared" ref="H35:K35" si="7">G35+5</f>
        <v>2020</v>
      </c>
      <c r="I35">
        <f t="shared" si="7"/>
        <v>2025</v>
      </c>
      <c r="J35">
        <f t="shared" si="7"/>
        <v>2030</v>
      </c>
      <c r="K35">
        <f t="shared" si="7"/>
        <v>2035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29"/>
  <sheetViews>
    <sheetView tabSelected="1" workbookViewId="0">
      <selection activeCell="G6" sqref="G6"/>
    </sheetView>
  </sheetViews>
  <sheetFormatPr defaultRowHeight="14.25" x14ac:dyDescent="0.45"/>
  <cols>
    <col min="2" max="2" width="21.33203125" bestFit="1" customWidth="1"/>
    <col min="3" max="3" width="9.1328125" bestFit="1" customWidth="1"/>
    <col min="4" max="4" width="13.73046875" bestFit="1" customWidth="1"/>
    <col min="5" max="5" width="9.6640625" bestFit="1" customWidth="1"/>
    <col min="6" max="7" width="8.265625" bestFit="1" customWidth="1"/>
    <col min="8" max="8" width="11" bestFit="1" customWidth="1"/>
    <col min="9" max="9" width="9.19921875" bestFit="1" customWidth="1"/>
    <col min="10" max="10" width="11.19921875" bestFit="1" customWidth="1"/>
    <col min="11" max="11" width="6.19921875" customWidth="1"/>
    <col min="12" max="34" width="4.73046875" bestFit="1" customWidth="1"/>
  </cols>
  <sheetData>
    <row r="1" spans="1:11" ht="14.65" thickBot="1" x14ac:dyDescent="0.5">
      <c r="A1" s="3" t="str">
        <f>Veda!$E$5</f>
        <v>nz</v>
      </c>
      <c r="B1" t="s">
        <v>242</v>
      </c>
      <c r="C1" t="str">
        <f>'kea-tui'!A1</f>
        <v>kea</v>
      </c>
    </row>
    <row r="2" spans="1:11" ht="14.65" thickTop="1" x14ac:dyDescent="0.45"/>
    <row r="3" spans="1:11" x14ac:dyDescent="0.45">
      <c r="B3" t="s">
        <v>1109</v>
      </c>
    </row>
    <row r="4" spans="1:11" x14ac:dyDescent="0.45">
      <c r="B4" t="s">
        <v>1110</v>
      </c>
    </row>
    <row r="6" spans="1:11" x14ac:dyDescent="0.45">
      <c r="G6" t="str">
        <f>IF(C1=B1,"~UC_T","No CO2 budget")</f>
        <v>~UC_T</v>
      </c>
    </row>
    <row r="7" spans="1:11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11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11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11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11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11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11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11" x14ac:dyDescent="0.45">
      <c r="I14" s="20"/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A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0">
        <f t="shared" si="0"/>
        <v>59.604750000000003</v>
      </c>
      <c r="J22" s="20">
        <f t="shared" si="0"/>
        <v>65.025700000000001</v>
      </c>
      <c r="K22" s="20">
        <f t="shared" si="0"/>
        <v>70.4465</v>
      </c>
      <c r="L22" s="20">
        <f t="shared" si="0"/>
        <v>75.867500000000007</v>
      </c>
      <c r="M22" s="20">
        <f t="shared" si="0"/>
        <v>81.288499999999999</v>
      </c>
      <c r="N22" s="20">
        <f t="shared" si="0"/>
        <v>86.709500000000006</v>
      </c>
      <c r="O22" s="20">
        <f t="shared" si="0"/>
        <v>88.786000000000001</v>
      </c>
      <c r="P22" s="20">
        <f t="shared" si="0"/>
        <v>90.924499999999995</v>
      </c>
      <c r="Q22" s="20">
        <f t="shared" si="0"/>
        <v>93.126999999999995</v>
      </c>
      <c r="R22" s="20">
        <f t="shared" si="0"/>
        <v>95.396000000000001</v>
      </c>
      <c r="S22" s="20">
        <f t="shared" si="0"/>
        <v>97.732500000000002</v>
      </c>
      <c r="T22" s="20">
        <f t="shared" si="0"/>
        <v>100.1395</v>
      </c>
      <c r="U22" s="20">
        <f t="shared" si="0"/>
        <v>102.619</v>
      </c>
      <c r="V22" s="20">
        <f t="shared" si="0"/>
        <v>105.1725</v>
      </c>
      <c r="W22" s="20">
        <f t="shared" si="0"/>
        <v>107.80249999999999</v>
      </c>
      <c r="X22" s="20">
        <f t="shared" si="0"/>
        <v>110.5115</v>
      </c>
      <c r="Y22" s="20">
        <f t="shared" si="0"/>
        <v>113.30200000000001</v>
      </c>
      <c r="Z22" s="20">
        <f t="shared" si="0"/>
        <v>116.176</v>
      </c>
      <c r="AA22" s="20">
        <f t="shared" si="0"/>
        <v>119.1365</v>
      </c>
      <c r="AB22" s="20">
        <f t="shared" si="0"/>
        <v>122.1855</v>
      </c>
      <c r="AC22" s="20">
        <f t="shared" si="0"/>
        <v>125.32599999999999</v>
      </c>
      <c r="AD22" s="20">
        <f t="shared" si="0"/>
        <v>128.56100000000001</v>
      </c>
      <c r="AE22" s="20">
        <f t="shared" si="0"/>
        <v>131.89249999999998</v>
      </c>
      <c r="AF22" s="20">
        <f t="shared" si="0"/>
        <v>135.3245</v>
      </c>
      <c r="AG22" s="20">
        <f t="shared" si="0"/>
        <v>138.85899999999998</v>
      </c>
      <c r="AH22" s="20">
        <f t="shared" si="0"/>
        <v>142.5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I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0">
        <f t="shared" si="1"/>
        <v>84.209500000000006</v>
      </c>
      <c r="J24" s="20" cm="1">
        <f t="array" ref="J24">J21*TREND($AJ$21:$AK$21,$AJ$20:$AK$20,J20)</f>
        <v>106.45756800000044</v>
      </c>
      <c r="K24" s="20" cm="1">
        <f t="array" ref="K24">K21*TREND($AJ$21:$AK$21,$AJ$20:$AK$20,K20)</f>
        <v>131.30731999999796</v>
      </c>
      <c r="L24" s="20" cm="1">
        <f t="array" ref="L24">L21*TREND($AJ$21:$AK$21,$AJ$20:$AK$20,L20)</f>
        <v>158.75959999999827</v>
      </c>
      <c r="M24" s="20" cm="1">
        <f t="array" ref="M24">M21*TREND($AJ$21:$AK$21,$AJ$20:$AK$20,M20)</f>
        <v>188.8139599999987</v>
      </c>
      <c r="N24" s="20" cm="1">
        <f t="array" ref="N24">N21*TREND($AJ$21:$AK$21,$AJ$20:$AK$20,N20)</f>
        <v>221.47039999999924</v>
      </c>
      <c r="O24" s="20" cm="1">
        <f t="array" ref="O24">O21*TREND($AJ$21:$AK$21,$AJ$20:$AK$20,O20)</f>
        <v>245.22383999999985</v>
      </c>
      <c r="P24" s="20" cm="1">
        <f t="array" ref="P24">P21*TREND($AJ$21:$AK$21,$AJ$20:$AK$20,P20)</f>
        <v>270.2021600000005</v>
      </c>
      <c r="Q24" s="20" cm="1">
        <f t="array" ref="Q24">Q21*TREND($AJ$21:$AK$21,$AJ$20:$AK$20,Q20)</f>
        <v>296.45783999999691</v>
      </c>
      <c r="R24" s="20" cm="1">
        <f t="array" ref="R24">R21*TREND($AJ$21:$AK$21,$AJ$20:$AK$20,R20)</f>
        <v>324.04735999999752</v>
      </c>
      <c r="S24" s="20" cm="1">
        <f t="array" ref="S24">S21*TREND($AJ$21:$AK$21,$AJ$20:$AK$20,S20)</f>
        <v>353.02299999999821</v>
      </c>
      <c r="T24" s="20" cm="1">
        <f t="array" ref="T24">T21*TREND($AJ$21:$AK$21,$AJ$20:$AK$20,T20)</f>
        <v>383.44727999999884</v>
      </c>
      <c r="U24" s="20" cm="1">
        <f t="array" ref="U24">U21*TREND($AJ$21:$AK$21,$AJ$20:$AK$20,U20)</f>
        <v>415.3807199999996</v>
      </c>
      <c r="V24" s="20" cm="1">
        <f t="array" ref="V24">V21*TREND($AJ$21:$AK$21,$AJ$20:$AK$20,V20)</f>
        <v>448.88320000000039</v>
      </c>
      <c r="W24" s="20" cm="1">
        <f t="array" ref="W24">W21*TREND($AJ$21:$AK$21,$AJ$20:$AK$20,W20)</f>
        <v>484.02139999999605</v>
      </c>
      <c r="X24" s="20" cm="1">
        <f t="array" ref="X24">X21*TREND($AJ$21:$AK$21,$AJ$20:$AK$20,X20)</f>
        <v>520.86439999999686</v>
      </c>
      <c r="Y24" s="20" cm="1">
        <f t="array" ref="Y24">Y21*TREND($AJ$21:$AK$21,$AJ$20:$AK$20,Y20)</f>
        <v>559.48367999999766</v>
      </c>
      <c r="Z24" s="20" cm="1">
        <f t="array" ref="Z24">Z21*TREND($AJ$21:$AK$21,$AJ$20:$AK$20,Z20)</f>
        <v>599.95007999999848</v>
      </c>
      <c r="AA24" s="20" cm="1">
        <f t="array" ref="AA24">AA21*TREND($AJ$21:$AK$21,$AJ$20:$AK$20,AA20)</f>
        <v>642.34267999999929</v>
      </c>
      <c r="AB24" s="20" cm="1">
        <f t="array" ref="AB24">AB21*TREND($AJ$21:$AK$21,$AJ$20:$AK$20,AB20)</f>
        <v>686.73688000000027</v>
      </c>
      <c r="AC24" s="20" cm="1">
        <f t="array" ref="AC24">AC21*TREND($AJ$21:$AK$21,$AJ$20:$AK$20,AC20)</f>
        <v>733.21679999999503</v>
      </c>
      <c r="AD24" s="20" cm="1">
        <f t="array" ref="AD24">AD21*TREND($AJ$21:$AK$21,$AJ$20:$AK$20,AD20)</f>
        <v>781.86943999999596</v>
      </c>
      <c r="AE24" s="20" cm="1">
        <f t="array" ref="AE24">AE21*TREND($AJ$21:$AK$21,$AJ$20:$AK$20,AE20)</f>
        <v>832.77739999999687</v>
      </c>
      <c r="AF24" s="20" cm="1">
        <f t="array" ref="AF24">AF21*TREND($AJ$21:$AK$21,$AJ$20:$AK$20,AF20)</f>
        <v>886.04023999999788</v>
      </c>
      <c r="AG24" s="20" cm="1">
        <f t="array" ref="AG24">AG21*TREND($AJ$21:$AK$21,$AJ$20:$AK$20,AG20)</f>
        <v>941.74583999999891</v>
      </c>
      <c r="AH24" s="20" cm="1">
        <f t="array" ref="AH24">AH21*TREND($AJ$21:$AK$21,$AJ$20:$AK$20,AH20)</f>
        <v>1000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4.08419E-2</v>
      </c>
      <c r="F29" s="7">
        <f t="shared" si="3"/>
        <v>5.1683799999999995E-2</v>
      </c>
      <c r="G29" s="7">
        <f t="shared" si="3"/>
        <v>6.2525700000000003E-2</v>
      </c>
      <c r="H29" s="7">
        <f t="shared" si="3"/>
        <v>7.3367599999999991E-2</v>
      </c>
      <c r="I29" s="7">
        <f t="shared" si="3"/>
        <v>8.4209500000000007E-2</v>
      </c>
      <c r="J29" s="7">
        <f t="shared" si="3"/>
        <v>0.10645756800000043</v>
      </c>
      <c r="K29" s="7">
        <f t="shared" si="3"/>
        <v>0.13130731999999795</v>
      </c>
      <c r="L29" s="7">
        <f t="shared" si="3"/>
        <v>0.15875959999999828</v>
      </c>
      <c r="M29" s="7">
        <f t="shared" si="3"/>
        <v>0.1888139599999987</v>
      </c>
      <c r="N29" s="7">
        <f t="shared" si="3"/>
        <v>0.22147039999999923</v>
      </c>
      <c r="O29" s="7">
        <f t="shared" si="3"/>
        <v>0.24522383999999986</v>
      </c>
      <c r="P29" s="7">
        <f t="shared" si="3"/>
        <v>0.27020216000000052</v>
      </c>
      <c r="Q29" s="7">
        <f t="shared" si="3"/>
        <v>0.29645783999999692</v>
      </c>
      <c r="R29" s="7">
        <f t="shared" si="3"/>
        <v>0.32404735999999751</v>
      </c>
      <c r="S29" s="7">
        <f t="shared" si="3"/>
        <v>0.3530229999999982</v>
      </c>
      <c r="T29" s="7">
        <f t="shared" si="3"/>
        <v>0.38344727999999884</v>
      </c>
      <c r="U29" s="7">
        <f t="shared" si="3"/>
        <v>0.41538071999999959</v>
      </c>
      <c r="V29" s="7">
        <f t="shared" si="3"/>
        <v>0.44888320000000037</v>
      </c>
      <c r="W29" s="7">
        <f t="shared" si="3"/>
        <v>0.48402139999999605</v>
      </c>
      <c r="X29" s="7">
        <f t="shared" si="3"/>
        <v>0.5208643999999969</v>
      </c>
      <c r="Y29" s="7">
        <f t="shared" si="3"/>
        <v>0.55948367999999771</v>
      </c>
      <c r="Z29" s="7">
        <f t="shared" si="3"/>
        <v>0.5999500799999985</v>
      </c>
      <c r="AA29" s="7">
        <f t="shared" si="3"/>
        <v>0.64234267999999928</v>
      </c>
      <c r="AB29" s="7">
        <f t="shared" si="3"/>
        <v>0.68673688000000022</v>
      </c>
      <c r="AC29" s="7">
        <f t="shared" si="3"/>
        <v>0.73321679999999501</v>
      </c>
      <c r="AD29" s="7">
        <f t="shared" si="3"/>
        <v>0.78186943999999592</v>
      </c>
      <c r="AE29" s="7">
        <f t="shared" si="3"/>
        <v>0.83277739999999689</v>
      </c>
      <c r="AF29" s="7">
        <f t="shared" si="3"/>
        <v>0.88604023999999793</v>
      </c>
      <c r="AG29" s="7">
        <f t="shared" si="3"/>
        <v>0.94174583999999895</v>
      </c>
      <c r="AH29" s="7">
        <f t="shared" si="3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2025-10-16T07:55:39Z</dcterms:modified>
</cp:coreProperties>
</file>