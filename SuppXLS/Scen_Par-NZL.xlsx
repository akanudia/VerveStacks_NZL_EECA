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02E23955-1309-408C-9238-F89272B5B4B5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'kea-tui'!$AR$7:$AX$1490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3" l="1"/>
  <c r="BS1482" i="11"/>
  <c r="BS1481" i="11"/>
  <c r="BS1480" i="11"/>
  <c r="BS1479" i="11"/>
  <c r="BS746" i="11"/>
  <c r="BS745" i="11"/>
  <c r="BS744" i="11"/>
  <c r="BS743" i="11"/>
  <c r="BH1482" i="11"/>
  <c r="BH1481" i="11"/>
  <c r="BH1480" i="11"/>
  <c r="BH1479" i="11"/>
  <c r="BH746" i="11"/>
  <c r="BH745" i="11"/>
  <c r="BH744" i="11"/>
  <c r="BH743" i="11"/>
  <c r="G6" i="13"/>
  <c r="G12" i="13"/>
  <c r="AM298" i="1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J30" i="13"/>
  <c r="J31" i="13" s="1"/>
  <c r="I37" i="13"/>
  <c r="K36" i="13"/>
  <c r="L36" i="13" s="1"/>
  <c r="J36" i="13"/>
  <c r="J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T13" i="13"/>
  <c r="R13" i="13"/>
  <c r="T12" i="13"/>
  <c r="R12" i="13"/>
  <c r="T11" i="13"/>
  <c r="R11" i="13"/>
  <c r="T10" i="13"/>
  <c r="R10" i="13"/>
  <c r="T9" i="13"/>
  <c r="R9" i="13"/>
  <c r="T8" i="13"/>
  <c r="R8" i="13"/>
  <c r="T7" i="13"/>
  <c r="R7" i="13"/>
  <c r="T6" i="13"/>
  <c r="R6" i="13"/>
  <c r="I12" i="13"/>
  <c r="H12" i="13"/>
  <c r="K12" i="13"/>
  <c r="J12" i="13"/>
  <c r="K6" i="13"/>
  <c r="J6" i="13"/>
  <c r="I6" i="13"/>
  <c r="H6" i="13"/>
  <c r="P25" i="14" l="1"/>
  <c r="C28" i="14" s="1"/>
  <c r="K30" i="13"/>
  <c r="L30" i="13" s="1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L31" i="13"/>
  <c r="K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C44" i="14" l="1"/>
  <c r="C43" i="14"/>
  <c r="C40" i="14"/>
  <c r="C45" i="14"/>
  <c r="C41" i="14"/>
  <c r="C42" i="14"/>
  <c r="I42" i="14"/>
  <c r="I41" i="14"/>
  <c r="I44" i="14"/>
  <c r="I45" i="14"/>
  <c r="C33" i="14"/>
  <c r="P36" i="14"/>
  <c r="C36" i="14" s="1"/>
  <c r="J1" i="14"/>
  <c r="I32" i="14"/>
  <c r="I38" i="14"/>
  <c r="I31" i="14"/>
  <c r="I37" i="14"/>
  <c r="K37" i="13"/>
  <c r="L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H5" i="13" s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H35" i="13"/>
  <c r="I35" i="13" s="1"/>
  <c r="J35" i="13" s="1"/>
  <c r="K35" i="13" s="1"/>
  <c r="L35" i="13" s="1"/>
  <c r="H29" i="13"/>
  <c r="I29" i="13" s="1"/>
  <c r="J29" i="13" s="1"/>
  <c r="K29" i="13" s="1"/>
  <c r="L29" i="13" s="1"/>
  <c r="H23" i="13"/>
  <c r="I23" i="13" s="1"/>
  <c r="J23" i="13" s="1"/>
  <c r="K23" i="13" s="1"/>
  <c r="H17" i="13"/>
  <c r="I17" i="13" s="1"/>
  <c r="J17" i="13" s="1"/>
  <c r="K17" i="13" s="1"/>
  <c r="H11" i="13"/>
  <c r="I5" i="13"/>
  <c r="J5" i="13" s="1"/>
  <c r="H21" i="6"/>
  <c r="R39" i="1"/>
  <c r="D34" i="1"/>
  <c r="B34" i="1" s="1"/>
  <c r="D30" i="1"/>
  <c r="B30" i="1" s="1"/>
  <c r="R35" i="1"/>
  <c r="E48" i="1"/>
  <c r="B43" i="1"/>
  <c r="I11" i="13" l="1"/>
  <c r="J11" i="13" s="1"/>
  <c r="K11" i="13" s="1"/>
  <c r="G11" i="13"/>
  <c r="M41" i="14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<sst xmlns="http://schemas.openxmlformats.org/spreadsheetml/2006/main" count="25523" uniqueCount="1172">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</sst>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 style="thin">
        <color rgb="FF696969"/>
      </right>
      <top/>
      <bottom/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7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  <xf numFmtId="0" fontId="0" fillId="0" borderId="0" xfId="0" applyAlignment="1">
      <alignment vertical="center" wrapText="1"/>
    </xf>
    <xf numFmtId="49" fontId="9" fillId="8" borderId="6" xfId="0" applyNumberFormat="1" applyFont="1" applyFill="1" applyBorder="1" applyAlignment="1">
      <alignment horizontal="left" vertical="center"/>
    </xf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4</v>
      </c>
    </row>
    <row r="5" spans="1:20" x14ac:dyDescent="0.45">
      <c r="D5" s="1" t="str">
        <f>VLOOKUP(D3,$C$9:$E$999,2,FALSE)</f>
        <v>ts_012</v>
      </c>
      <c r="E5" s="1" t="str">
        <f>VLOOKUP(D3,$C$9:$E$999,3,FALSE)</f>
        <v>nz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4"/>
  <sheetViews>
    <sheetView topLeftCell="AL1451" workbookViewId="0">
      <selection activeCell="BA1491" sqref="BA1491:BA1494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2" width="3.796875" bestFit="1" customWidth="1"/>
    <col min="53" max="53" width="4.26562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kea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2015</v>
      </c>
      <c r="K7" s="17">
        <f t="shared" ref="K7:V7" si="1">IF($A$1=K1,K2,"*"&amp;COLUMN())</f>
        <v>0</v>
      </c>
      <c r="L7" s="17">
        <f t="shared" si="1"/>
        <v>2018</v>
      </c>
      <c r="M7" s="17">
        <f t="shared" si="1"/>
        <v>2020</v>
      </c>
      <c r="N7" s="17">
        <f t="shared" si="1"/>
        <v>2030</v>
      </c>
      <c r="O7" s="17">
        <f t="shared" si="1"/>
        <v>2040</v>
      </c>
      <c r="P7" s="15">
        <f t="shared" si="1"/>
        <v>2050</v>
      </c>
      <c r="Q7" s="17" t="str">
        <f t="shared" si="1"/>
        <v>*17</v>
      </c>
      <c r="R7" s="17" t="str">
        <f t="shared" si="1"/>
        <v>*18</v>
      </c>
      <c r="S7" s="17" t="str">
        <f t="shared" si="1"/>
        <v>*19</v>
      </c>
      <c r="T7" s="17" t="str">
        <f t="shared" si="1"/>
        <v>*20</v>
      </c>
      <c r="U7" s="17" t="str">
        <f t="shared" si="1"/>
        <v>*21</v>
      </c>
      <c r="V7" s="17" t="str">
        <f t="shared" si="1"/>
        <v>*22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2015</v>
      </c>
      <c r="AF7" s="17">
        <f t="shared" si="2"/>
        <v>0</v>
      </c>
      <c r="AG7" s="17">
        <f t="shared" si="2"/>
        <v>2018</v>
      </c>
      <c r="AH7" s="17">
        <f t="shared" si="2"/>
        <v>2030</v>
      </c>
      <c r="AI7" s="17">
        <f t="shared" si="2"/>
        <v>2040</v>
      </c>
      <c r="AJ7" s="17">
        <f t="shared" si="2"/>
        <v>2050</v>
      </c>
      <c r="AK7" s="17" t="str">
        <f t="shared" si="2"/>
        <v>*37</v>
      </c>
      <c r="AL7" s="17" t="str">
        <f t="shared" si="2"/>
        <v>*38</v>
      </c>
      <c r="AM7" s="17" t="str">
        <f t="shared" si="2"/>
        <v>*39</v>
      </c>
      <c r="AN7" s="17" t="str">
        <f t="shared" si="2"/>
        <v>*40</v>
      </c>
      <c r="AO7" s="17" t="str">
        <f t="shared" si="2"/>
        <v>*41</v>
      </c>
      <c r="AP7" s="17" t="str">
        <f t="shared" si="2"/>
        <v>*42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>
        <f t="shared" ref="AZ7:BU7" si="3">IF($A$1=AZ1,AZ2,"*"&amp;COLUMN())</f>
        <v>0</v>
      </c>
      <c r="BA7" s="17">
        <f t="shared" si="3"/>
        <v>2018</v>
      </c>
      <c r="BB7" s="17">
        <f t="shared" si="3"/>
        <v>2020</v>
      </c>
      <c r="BC7" s="17">
        <f t="shared" si="3"/>
        <v>2025</v>
      </c>
      <c r="BD7" s="17">
        <f t="shared" si="3"/>
        <v>2030</v>
      </c>
      <c r="BE7" s="17">
        <f t="shared" si="3"/>
        <v>2035</v>
      </c>
      <c r="BF7" s="17">
        <f t="shared" si="3"/>
        <v>2040</v>
      </c>
      <c r="BG7" s="17">
        <f t="shared" si="3"/>
        <v>2045</v>
      </c>
      <c r="BH7" s="17">
        <f t="shared" si="3"/>
        <v>2050</v>
      </c>
      <c r="BI7" s="17">
        <f t="shared" si="3"/>
        <v>2055</v>
      </c>
      <c r="BJ7" s="17">
        <f t="shared" si="3"/>
        <v>2060</v>
      </c>
      <c r="BK7" s="17" t="str">
        <f t="shared" si="3"/>
        <v>*63</v>
      </c>
      <c r="BL7" s="17" t="str">
        <f t="shared" si="3"/>
        <v>*64</v>
      </c>
      <c r="BM7" s="17" t="str">
        <f t="shared" si="3"/>
        <v>*65</v>
      </c>
      <c r="BN7" s="17" t="str">
        <f t="shared" si="3"/>
        <v>*66</v>
      </c>
      <c r="BO7" s="17" t="str">
        <f t="shared" si="3"/>
        <v>*67</v>
      </c>
      <c r="BP7" s="17" t="str">
        <f t="shared" si="3"/>
        <v>*68</v>
      </c>
      <c r="BQ7" s="17" t="str">
        <f t="shared" si="3"/>
        <v>*69</v>
      </c>
      <c r="BR7" s="17" t="str">
        <f t="shared" si="3"/>
        <v>*70</v>
      </c>
      <c r="BS7" s="17" t="str">
        <f t="shared" si="3"/>
        <v>*71</v>
      </c>
      <c r="BT7" s="17" t="str">
        <f t="shared" si="3"/>
        <v>*72</v>
      </c>
      <c r="BU7" s="17" t="str">
        <f t="shared" si="3"/>
        <v>*73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>
        <v>7.0000000000000007E-2</v>
      </c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>
        <v>7.0000000000000007E-2</v>
      </c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>
        <v>7.0000000000000007E-2</v>
      </c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>
        <v>7.0000000000000007E-2</v>
      </c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>
        <v>7.0000000000000007E-2</v>
      </c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>
        <v>7.0000000000000007E-2</v>
      </c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>
        <f>BA743*2</f>
        <v>0.04</v>
      </c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>
        <f>BL743*2</f>
        <v>0.04</v>
      </c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>
        <f t="shared" ref="BH744:BH746" si="12">BA744*2</f>
        <v>0.04</v>
      </c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>
        <f t="shared" ref="BS744:BS746" si="13">BL744*2</f>
        <v>0.04</v>
      </c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>
        <f t="shared" si="12"/>
        <v>0.04</v>
      </c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>
        <f t="shared" si="13"/>
        <v>0.04</v>
      </c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>
        <f t="shared" si="12"/>
        <v>0.04</v>
      </c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>
        <f t="shared" si="13"/>
        <v>0.04</v>
      </c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>
        <v>7.0000000000000007E-2</v>
      </c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>
        <v>7.0000000000000007E-2</v>
      </c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>
        <v>7.0000000000000007E-2</v>
      </c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>
        <v>7.0000000000000007E-2</v>
      </c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>
        <v>7.0000000000000007E-2</v>
      </c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>
        <v>7.0000000000000007E-2</v>
      </c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>
        <f t="shared" ref="BH1479:BH1482" si="14">BA1479*2</f>
        <v>0.04</v>
      </c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>
        <f t="shared" ref="BS1479:BS1482" si="15">BL1479*2</f>
        <v>0.04</v>
      </c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>
        <f t="shared" si="14"/>
        <v>0.04</v>
      </c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>
        <f t="shared" si="15"/>
        <v>0.04</v>
      </c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>
        <f t="shared" si="14"/>
        <v>0.04</v>
      </c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>
        <f t="shared" si="15"/>
        <v>0.04</v>
      </c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>
        <f t="shared" si="14"/>
        <v>0.04</v>
      </c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>
        <f t="shared" si="15"/>
        <v>0.04</v>
      </c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  <row r="1491" spans="44:73" x14ac:dyDescent="0.45">
      <c r="AR1491" s="26" t="s">
        <v>249</v>
      </c>
      <c r="AS1491" s="15" t="s">
        <v>567</v>
      </c>
      <c r="AT1491" s="25" t="s">
        <v>356</v>
      </c>
      <c r="BA1491" s="7">
        <v>3.5000000000000003E-2</v>
      </c>
    </row>
    <row r="1492" spans="44:73" x14ac:dyDescent="0.45">
      <c r="AR1492" s="26" t="s">
        <v>249</v>
      </c>
      <c r="AS1492" s="15" t="s">
        <v>567</v>
      </c>
      <c r="AT1492" s="25" t="s">
        <v>355</v>
      </c>
      <c r="BA1492" s="7">
        <v>3.5000000000000003E-2</v>
      </c>
    </row>
    <row r="1493" spans="44:73" x14ac:dyDescent="0.45">
      <c r="AR1493" s="26" t="s">
        <v>328</v>
      </c>
      <c r="AS1493" s="15" t="s">
        <v>567</v>
      </c>
      <c r="AT1493" s="25" t="s">
        <v>356</v>
      </c>
      <c r="BA1493" s="7">
        <v>3.5000000000000003E-2</v>
      </c>
    </row>
    <row r="1494" spans="44:73" x14ac:dyDescent="0.45">
      <c r="AR1494" s="26" t="s">
        <v>328</v>
      </c>
      <c r="AS1494" s="15" t="s">
        <v>567</v>
      </c>
      <c r="AT1494" s="25" t="s">
        <v>355</v>
      </c>
      <c r="BA1494" s="7">
        <v>3.5000000000000003E-2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kea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\I: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demand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\I: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demand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\I: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demand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\I: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demand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\I: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demand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\I: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demand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W37"/>
  <sheetViews>
    <sheetView tabSelected="1" workbookViewId="0">
      <selection activeCell="K6" sqref="K6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7" width="7.796875" customWidth="1"/>
    <col min="8" max="10" width="5.33203125" bestFit="1" customWidth="1"/>
    <col min="11" max="11" width="7.73046875" bestFit="1" customWidth="1"/>
    <col min="12" max="12" width="8.1328125" bestFit="1" customWidth="1"/>
    <col min="13" max="13" width="10.1328125" bestFit="1" customWidth="1"/>
    <col min="14" max="14" width="14" customWidth="1"/>
    <col min="15" max="15" width="25.9296875" bestFit="1" customWidth="1"/>
    <col min="17" max="17" width="11.19921875" customWidth="1"/>
    <col min="18" max="18" width="4.6640625" bestFit="1" customWidth="1"/>
    <col min="19" max="19" width="13.73046875" bestFit="1" customWidth="1"/>
    <col min="20" max="20" width="5.86328125" bestFit="1" customWidth="1"/>
    <col min="21" max="21" width="13.73046875" bestFit="1" customWidth="1"/>
    <col min="23" max="23" width="7.6640625" bestFit="1" customWidth="1"/>
  </cols>
  <sheetData>
    <row r="1" spans="1:23" ht="14.65" thickBot="1" x14ac:dyDescent="0.5">
      <c r="A1" s="3" t="str">
        <f>Veda!$E$5</f>
        <v>nz</v>
      </c>
      <c r="E1" s="21" t="s">
        <v>1109</v>
      </c>
    </row>
    <row r="2" spans="1:23" ht="14.65" thickTop="1" x14ac:dyDescent="0.45">
      <c r="Q2" t="s">
        <v>1144</v>
      </c>
    </row>
    <row r="3" spans="1:23" x14ac:dyDescent="0.45">
      <c r="Q3" t="s">
        <v>1145</v>
      </c>
      <c r="W3" t="s">
        <v>1146</v>
      </c>
    </row>
    <row r="4" spans="1:23" x14ac:dyDescent="0.45">
      <c r="F4" t="s">
        <v>1151</v>
      </c>
      <c r="R4" t="s">
        <v>1147</v>
      </c>
      <c r="T4" t="s">
        <v>1148</v>
      </c>
      <c r="W4">
        <v>240000</v>
      </c>
    </row>
    <row r="5" spans="1:23" x14ac:dyDescent="0.45">
      <c r="D5" t="s">
        <v>17</v>
      </c>
      <c r="E5" t="s">
        <v>1119</v>
      </c>
      <c r="F5" t="s">
        <v>1111</v>
      </c>
      <c r="G5">
        <f>H5-5</f>
        <v>2017</v>
      </c>
      <c r="H5" s="23">
        <f>VLOOKUP($A$1,$R$18:$S$22,2,FALSE)</f>
        <v>2022</v>
      </c>
      <c r="I5">
        <f>H5+5</f>
        <v>2027</v>
      </c>
      <c r="J5">
        <f>I5+5</f>
        <v>2032</v>
      </c>
      <c r="K5">
        <f>J5+3</f>
        <v>2035</v>
      </c>
      <c r="L5" t="s">
        <v>1120</v>
      </c>
      <c r="M5" t="s">
        <v>1121</v>
      </c>
      <c r="N5" t="s">
        <v>1115</v>
      </c>
      <c r="R5" t="s">
        <v>1149</v>
      </c>
      <c r="S5" t="s">
        <v>1150</v>
      </c>
      <c r="T5" t="s">
        <v>1149</v>
      </c>
      <c r="U5" t="s">
        <v>1150</v>
      </c>
    </row>
    <row r="6" spans="1:23" x14ac:dyDescent="0.45">
      <c r="D6" t="s">
        <v>1122</v>
      </c>
      <c r="E6" t="s">
        <v>1123</v>
      </c>
      <c r="F6" t="s">
        <v>563</v>
      </c>
      <c r="G6">
        <f>+G7-1</f>
        <v>-0.94199999999999995</v>
      </c>
      <c r="H6">
        <f>+H7-1</f>
        <v>-0.81200000000000006</v>
      </c>
      <c r="I6">
        <f t="shared" ref="I6:K6" si="0">+I7-1</f>
        <v>-0.44999999999999996</v>
      </c>
      <c r="J6">
        <f t="shared" si="0"/>
        <v>-0.13</v>
      </c>
      <c r="K6">
        <f t="shared" si="0"/>
        <v>0</v>
      </c>
      <c r="L6">
        <v>0</v>
      </c>
      <c r="M6">
        <v>5</v>
      </c>
      <c r="N6" t="s">
        <v>1124</v>
      </c>
      <c r="Q6">
        <v>2020</v>
      </c>
      <c r="R6" s="7">
        <f t="shared" ref="R6:R13" si="1">+$V$6*S6</f>
        <v>0</v>
      </c>
      <c r="S6" s="7">
        <v>0.03</v>
      </c>
      <c r="T6" s="7">
        <f t="shared" ref="T6:T13" si="2">+$V$6*U6</f>
        <v>0</v>
      </c>
      <c r="U6" s="7">
        <v>0.01</v>
      </c>
    </row>
    <row r="7" spans="1:23" x14ac:dyDescent="0.45">
      <c r="E7" t="s">
        <v>1130</v>
      </c>
      <c r="G7">
        <v>5.8000000000000003E-2</v>
      </c>
      <c r="H7">
        <v>0.188</v>
      </c>
      <c r="I7">
        <v>0.55000000000000004</v>
      </c>
      <c r="J7">
        <v>0.87</v>
      </c>
      <c r="K7">
        <v>1</v>
      </c>
      <c r="Q7">
        <v>2025</v>
      </c>
      <c r="R7" s="7">
        <f t="shared" si="1"/>
        <v>0</v>
      </c>
      <c r="S7" s="7">
        <v>0.03</v>
      </c>
      <c r="T7" s="7">
        <f t="shared" si="2"/>
        <v>0</v>
      </c>
      <c r="U7" s="7">
        <v>0.01</v>
      </c>
    </row>
    <row r="8" spans="1:23" x14ac:dyDescent="0.45">
      <c r="Q8">
        <v>2030</v>
      </c>
      <c r="R8" s="7">
        <f t="shared" si="1"/>
        <v>0</v>
      </c>
      <c r="S8" s="7">
        <v>0.11</v>
      </c>
      <c r="T8" s="7">
        <f t="shared" si="2"/>
        <v>0</v>
      </c>
      <c r="U8" s="7">
        <v>0.02</v>
      </c>
    </row>
    <row r="9" spans="1:23" x14ac:dyDescent="0.45">
      <c r="Q9">
        <v>2035</v>
      </c>
      <c r="R9" s="7">
        <f t="shared" si="1"/>
        <v>0</v>
      </c>
      <c r="S9" s="7">
        <v>0.42</v>
      </c>
      <c r="T9" s="7">
        <f t="shared" si="2"/>
        <v>0</v>
      </c>
      <c r="U9" s="7">
        <v>0.04</v>
      </c>
    </row>
    <row r="10" spans="1:23" x14ac:dyDescent="0.45">
      <c r="F10" t="s">
        <v>1151</v>
      </c>
      <c r="Q10">
        <v>2040</v>
      </c>
      <c r="R10" s="7">
        <f t="shared" si="1"/>
        <v>0</v>
      </c>
      <c r="S10" s="7">
        <v>0.65</v>
      </c>
      <c r="T10" s="7">
        <f t="shared" si="2"/>
        <v>0</v>
      </c>
      <c r="U10" s="7">
        <v>7.0000000000000007E-2</v>
      </c>
      <c r="W10" s="7">
        <v>0.99999000000000005</v>
      </c>
    </row>
    <row r="11" spans="1:23" x14ac:dyDescent="0.45">
      <c r="D11" t="s">
        <v>17</v>
      </c>
      <c r="E11" t="s">
        <v>1119</v>
      </c>
      <c r="F11" t="s">
        <v>1111</v>
      </c>
      <c r="G11">
        <f>H11-5</f>
        <v>2017</v>
      </c>
      <c r="H11">
        <f>$H$5</f>
        <v>2022</v>
      </c>
      <c r="I11">
        <f>H11+5</f>
        <v>2027</v>
      </c>
      <c r="J11">
        <f>I11+5</f>
        <v>2032</v>
      </c>
      <c r="K11">
        <f>J11+20</f>
        <v>2052</v>
      </c>
      <c r="L11" t="s">
        <v>1120</v>
      </c>
      <c r="M11" t="s">
        <v>1121</v>
      </c>
      <c r="N11" t="s">
        <v>1115</v>
      </c>
      <c r="Q11">
        <v>2045</v>
      </c>
      <c r="R11" s="7">
        <f t="shared" si="1"/>
        <v>0</v>
      </c>
      <c r="S11" s="7">
        <v>0.9</v>
      </c>
      <c r="T11" s="7">
        <f t="shared" si="2"/>
        <v>0</v>
      </c>
      <c r="U11" s="7">
        <v>0.11</v>
      </c>
      <c r="W11" s="7">
        <v>1</v>
      </c>
    </row>
    <row r="12" spans="1:23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>+H13-1</f>
        <v>-0.90900000000000003</v>
      </c>
      <c r="I12">
        <f t="shared" ref="I12:K12" si="3">+I13-1</f>
        <v>-0.74</v>
      </c>
      <c r="J12">
        <f t="shared" si="3"/>
        <v>-0.30000000000000004</v>
      </c>
      <c r="K12">
        <f t="shared" si="3"/>
        <v>0</v>
      </c>
      <c r="L12">
        <v>0</v>
      </c>
      <c r="M12">
        <v>5</v>
      </c>
      <c r="N12" t="s">
        <v>1135</v>
      </c>
      <c r="Q12">
        <v>2050</v>
      </c>
      <c r="R12" s="7">
        <f t="shared" si="1"/>
        <v>0</v>
      </c>
      <c r="S12" s="7">
        <v>1</v>
      </c>
      <c r="T12" s="7">
        <f t="shared" si="2"/>
        <v>0</v>
      </c>
      <c r="U12" s="7">
        <v>0.15</v>
      </c>
      <c r="W12" s="7">
        <v>1</v>
      </c>
    </row>
    <row r="13" spans="1:23" x14ac:dyDescent="0.45">
      <c r="E13" t="s">
        <v>1141</v>
      </c>
      <c r="G13">
        <v>0.01</v>
      </c>
      <c r="H13">
        <v>9.0999999999999998E-2</v>
      </c>
      <c r="I13">
        <v>0.26</v>
      </c>
      <c r="J13">
        <v>0.7</v>
      </c>
      <c r="K13">
        <v>1</v>
      </c>
      <c r="Q13">
        <v>2055</v>
      </c>
      <c r="R13" s="7">
        <f t="shared" si="1"/>
        <v>0</v>
      </c>
      <c r="S13" s="7">
        <v>1</v>
      </c>
      <c r="T13" s="7">
        <f t="shared" si="2"/>
        <v>0</v>
      </c>
      <c r="U13" s="7">
        <v>0.17</v>
      </c>
      <c r="W13" s="7">
        <v>1</v>
      </c>
    </row>
    <row r="16" spans="1:23" x14ac:dyDescent="0.45">
      <c r="F16" t="s">
        <v>1151</v>
      </c>
    </row>
    <row r="17" spans="4:19" x14ac:dyDescent="0.45">
      <c r="D17" t="s">
        <v>17</v>
      </c>
      <c r="E17" t="s">
        <v>1119</v>
      </c>
      <c r="F17" t="s">
        <v>1111</v>
      </c>
      <c r="G17" t="s">
        <v>1170</v>
      </c>
      <c r="H17">
        <f>$H$5</f>
        <v>2022</v>
      </c>
      <c r="I17">
        <f t="shared" ref="I17:K17" si="4">H17+5</f>
        <v>2027</v>
      </c>
      <c r="J17">
        <f t="shared" si="4"/>
        <v>2032</v>
      </c>
      <c r="K17">
        <f t="shared" si="4"/>
        <v>2037</v>
      </c>
      <c r="L17" t="s">
        <v>1120</v>
      </c>
      <c r="M17" t="s">
        <v>1121</v>
      </c>
      <c r="N17" t="s">
        <v>1115</v>
      </c>
    </row>
    <row r="18" spans="4:19" x14ac:dyDescent="0.45">
      <c r="D18" t="s">
        <v>1125</v>
      </c>
      <c r="E18" t="s">
        <v>1126</v>
      </c>
      <c r="F18" t="s">
        <v>563</v>
      </c>
      <c r="H18">
        <v>-0.97</v>
      </c>
      <c r="I18">
        <v>-0.89</v>
      </c>
      <c r="J18">
        <v>-0.58000000000000007</v>
      </c>
      <c r="K18">
        <v>-9.9999999999544897E-6</v>
      </c>
      <c r="L18">
        <v>0</v>
      </c>
      <c r="M18">
        <v>5</v>
      </c>
      <c r="N18" t="s">
        <v>1127</v>
      </c>
      <c r="R18" s="6" t="s">
        <v>1155</v>
      </c>
      <c r="S18" s="6">
        <v>2030</v>
      </c>
    </row>
    <row r="19" spans="4:19" x14ac:dyDescent="0.45">
      <c r="E19" t="s">
        <v>1131</v>
      </c>
      <c r="H19">
        <v>0.03</v>
      </c>
      <c r="I19">
        <v>0.11</v>
      </c>
      <c r="J19">
        <v>0.42</v>
      </c>
      <c r="K19">
        <v>0.99999000000000005</v>
      </c>
      <c r="R19" s="6" t="s">
        <v>241</v>
      </c>
      <c r="S19" s="6">
        <v>2029</v>
      </c>
    </row>
    <row r="20" spans="4:19" x14ac:dyDescent="0.45">
      <c r="R20" s="6" t="s">
        <v>242</v>
      </c>
      <c r="S20" s="6">
        <v>2028</v>
      </c>
    </row>
    <row r="21" spans="4:19" x14ac:dyDescent="0.45">
      <c r="R21" s="6" t="s">
        <v>1157</v>
      </c>
      <c r="S21" s="6">
        <v>2022</v>
      </c>
    </row>
    <row r="22" spans="4:19" x14ac:dyDescent="0.45">
      <c r="F22" t="s">
        <v>1151</v>
      </c>
    </row>
    <row r="23" spans="4:19" x14ac:dyDescent="0.45">
      <c r="D23" t="s">
        <v>17</v>
      </c>
      <c r="E23" t="s">
        <v>1119</v>
      </c>
      <c r="F23" t="s">
        <v>1111</v>
      </c>
      <c r="G23" t="s">
        <v>1170</v>
      </c>
      <c r="H23">
        <f>$H$5</f>
        <v>2022</v>
      </c>
      <c r="I23">
        <f t="shared" ref="I23:J23" si="5">H23+5</f>
        <v>2027</v>
      </c>
      <c r="J23">
        <f t="shared" si="5"/>
        <v>2032</v>
      </c>
      <c r="K23">
        <f>J23+20</f>
        <v>2052</v>
      </c>
      <c r="L23" t="s">
        <v>1120</v>
      </c>
      <c r="M23" t="s">
        <v>1121</v>
      </c>
      <c r="N23" t="s">
        <v>1115</v>
      </c>
    </row>
    <row r="24" spans="4:19" x14ac:dyDescent="0.45">
      <c r="D24" t="s">
        <v>1136</v>
      </c>
      <c r="E24" t="s">
        <v>1137</v>
      </c>
      <c r="F24" t="s">
        <v>563</v>
      </c>
      <c r="H24">
        <v>-0.99</v>
      </c>
      <c r="I24">
        <v>-0.98</v>
      </c>
      <c r="J24">
        <v>-0.96</v>
      </c>
      <c r="K24">
        <v>-0.83</v>
      </c>
      <c r="L24">
        <v>0</v>
      </c>
      <c r="M24">
        <v>5</v>
      </c>
      <c r="N24" t="s">
        <v>1138</v>
      </c>
    </row>
    <row r="25" spans="4:19" x14ac:dyDescent="0.45">
      <c r="E25" t="s">
        <v>1142</v>
      </c>
      <c r="H25">
        <v>0.01</v>
      </c>
      <c r="I25">
        <v>0.02</v>
      </c>
      <c r="J25">
        <v>0.04</v>
      </c>
      <c r="K25">
        <v>0.17</v>
      </c>
    </row>
    <row r="28" spans="4:19" x14ac:dyDescent="0.45">
      <c r="F28" t="s">
        <v>1151</v>
      </c>
    </row>
    <row r="29" spans="4:19" x14ac:dyDescent="0.45">
      <c r="D29" t="s">
        <v>17</v>
      </c>
      <c r="E29" t="s">
        <v>1119</v>
      </c>
      <c r="F29" t="s">
        <v>1111</v>
      </c>
      <c r="G29" t="s">
        <v>1170</v>
      </c>
      <c r="H29">
        <f>$H$5</f>
        <v>2022</v>
      </c>
      <c r="I29">
        <f t="shared" ref="I29:L29" si="6">H29+5</f>
        <v>2027</v>
      </c>
      <c r="J29">
        <f t="shared" si="6"/>
        <v>2032</v>
      </c>
      <c r="K29">
        <f t="shared" si="6"/>
        <v>2037</v>
      </c>
      <c r="L29">
        <f t="shared" si="6"/>
        <v>2042</v>
      </c>
      <c r="M29" t="s">
        <v>1120</v>
      </c>
      <c r="N29" t="s">
        <v>1121</v>
      </c>
      <c r="O29" t="s">
        <v>1115</v>
      </c>
    </row>
    <row r="30" spans="4:19" x14ac:dyDescent="0.45">
      <c r="D30" t="s">
        <v>1128</v>
      </c>
      <c r="E30" t="s">
        <v>1129</v>
      </c>
      <c r="F30" t="s">
        <v>563</v>
      </c>
      <c r="H30">
        <v>-0.97</v>
      </c>
      <c r="I30">
        <v>-0.89</v>
      </c>
      <c r="J30">
        <f>I30+0.2</f>
        <v>-0.69</v>
      </c>
      <c r="K30">
        <f>J30+0.2</f>
        <v>-0.48999999999999994</v>
      </c>
      <c r="L30">
        <f>K30+0.2</f>
        <v>-0.28999999999999992</v>
      </c>
      <c r="M30">
        <v>0</v>
      </c>
      <c r="N30">
        <v>5</v>
      </c>
      <c r="O30" t="s">
        <v>1152</v>
      </c>
    </row>
    <row r="31" spans="4:19" x14ac:dyDescent="0.45">
      <c r="E31" t="s">
        <v>1132</v>
      </c>
      <c r="H31">
        <v>0.03</v>
      </c>
      <c r="I31">
        <v>0.11</v>
      </c>
      <c r="J31">
        <f>1+J30</f>
        <v>0.31000000000000005</v>
      </c>
      <c r="K31">
        <f>1+K30</f>
        <v>0.51</v>
      </c>
      <c r="L31">
        <f>1+L30</f>
        <v>0.71000000000000008</v>
      </c>
    </row>
    <row r="34" spans="4:15" x14ac:dyDescent="0.45">
      <c r="F34" t="s">
        <v>1151</v>
      </c>
    </row>
    <row r="35" spans="4:15" x14ac:dyDescent="0.45">
      <c r="D35" t="s">
        <v>17</v>
      </c>
      <c r="E35" t="s">
        <v>1119</v>
      </c>
      <c r="F35" t="s">
        <v>1111</v>
      </c>
      <c r="G35" t="s">
        <v>1170</v>
      </c>
      <c r="H35">
        <f>$H$5</f>
        <v>2022</v>
      </c>
      <c r="I35">
        <f t="shared" ref="I35:L35" si="7">H35+5</f>
        <v>2027</v>
      </c>
      <c r="J35">
        <f t="shared" si="7"/>
        <v>2032</v>
      </c>
      <c r="K35">
        <f t="shared" si="7"/>
        <v>2037</v>
      </c>
      <c r="L35">
        <f t="shared" si="7"/>
        <v>2042</v>
      </c>
      <c r="M35" t="s">
        <v>1120</v>
      </c>
      <c r="N35" t="s">
        <v>1121</v>
      </c>
      <c r="O35" t="s">
        <v>1115</v>
      </c>
    </row>
    <row r="36" spans="4:15" x14ac:dyDescent="0.45">
      <c r="D36" t="s">
        <v>1139</v>
      </c>
      <c r="E36" t="s">
        <v>1140</v>
      </c>
      <c r="F36" t="s">
        <v>563</v>
      </c>
      <c r="H36">
        <v>-1</v>
      </c>
      <c r="I36">
        <v>-0.75</v>
      </c>
      <c r="J36">
        <f>I36+0.2</f>
        <v>-0.55000000000000004</v>
      </c>
      <c r="K36">
        <f>J36+0.2</f>
        <v>-0.35000000000000003</v>
      </c>
      <c r="L36">
        <f>K36+0.2</f>
        <v>-0.15000000000000002</v>
      </c>
      <c r="M36">
        <v>0</v>
      </c>
      <c r="N36">
        <v>5</v>
      </c>
      <c r="O36" t="s">
        <v>1153</v>
      </c>
    </row>
    <row r="37" spans="4:15" x14ac:dyDescent="0.45">
      <c r="E37" t="s">
        <v>1143</v>
      </c>
      <c r="H37">
        <v>0</v>
      </c>
      <c r="I37">
        <f t="shared" ref="I37:L37" si="8">1+I36</f>
        <v>0.25</v>
      </c>
      <c r="J37">
        <f t="shared" si="8"/>
        <v>0.44999999999999996</v>
      </c>
      <c r="K37">
        <f t="shared" si="8"/>
        <v>0.64999999999999991</v>
      </c>
      <c r="L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nz</v>
      </c>
      <c r="B1" t="s">
        <v>242</v>
      </c>
      <c r="C1" t="str">
        <f>'kea-tui'!A1</f>
        <v>kea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~UC_T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4.08419E-2</v>
      </c>
      <c r="F29" s="7">
        <f t="shared" si="3"/>
        <v>5.1683799999999995E-2</v>
      </c>
      <c r="G29" s="7">
        <f t="shared" si="3"/>
        <v>6.2525700000000003E-2</v>
      </c>
      <c r="H29" s="7">
        <f t="shared" si="3"/>
        <v>7.3367599999999991E-2</v>
      </c>
      <c r="I29" s="7">
        <f t="shared" si="3"/>
        <v>0.27420634920634862</v>
      </c>
      <c r="J29" s="7">
        <f t="shared" si="3"/>
        <v>0.30209206349205486</v>
      </c>
      <c r="K29" s="7">
        <f t="shared" si="3"/>
        <v>0.32997777777777326</v>
      </c>
      <c r="L29" s="7">
        <f t="shared" si="3"/>
        <v>0.35786349206349166</v>
      </c>
      <c r="M29" s="7">
        <f t="shared" si="3"/>
        <v>0.3857492063491979</v>
      </c>
      <c r="N29" s="7">
        <f t="shared" si="3"/>
        <v>0.4136349206349163</v>
      </c>
      <c r="O29" s="7">
        <f t="shared" si="3"/>
        <v>0.44152063492063465</v>
      </c>
      <c r="P29" s="7">
        <f t="shared" si="3"/>
        <v>0.46940634920634089</v>
      </c>
      <c r="Q29" s="7">
        <f t="shared" si="3"/>
        <v>0.49729206349205923</v>
      </c>
      <c r="R29" s="7">
        <f t="shared" si="3"/>
        <v>0.52517777777777774</v>
      </c>
      <c r="S29" s="7">
        <f t="shared" si="3"/>
        <v>0.55306349206348382</v>
      </c>
      <c r="T29" s="7">
        <f t="shared" si="3"/>
        <v>0.58094920634920233</v>
      </c>
      <c r="U29" s="7">
        <f t="shared" si="3"/>
        <v>0.60883492063492062</v>
      </c>
      <c r="V29" s="7">
        <f t="shared" si="3"/>
        <v>0.63672063492062692</v>
      </c>
      <c r="W29" s="7">
        <f t="shared" si="3"/>
        <v>0.66460634920634531</v>
      </c>
      <c r="X29" s="7">
        <f t="shared" si="3"/>
        <v>0.6924920634920636</v>
      </c>
      <c r="Y29" s="7">
        <f t="shared" si="3"/>
        <v>0.7203777777777699</v>
      </c>
      <c r="Z29" s="7">
        <f t="shared" si="3"/>
        <v>0.74826349206348819</v>
      </c>
      <c r="AA29" s="7">
        <f t="shared" si="3"/>
        <v>0.7761492063492067</v>
      </c>
      <c r="AB29" s="7">
        <f t="shared" si="3"/>
        <v>0.80403492063491289</v>
      </c>
      <c r="AC29" s="7">
        <f t="shared" si="3"/>
        <v>0.83192063492063129</v>
      </c>
      <c r="AD29" s="7">
        <f t="shared" si="3"/>
        <v>0.85980634920634968</v>
      </c>
      <c r="AE29" s="7">
        <f t="shared" si="3"/>
        <v>0.88769206349205587</v>
      </c>
      <c r="AF29" s="7">
        <f t="shared" si="3"/>
        <v>0.91557777777777427</v>
      </c>
      <c r="AG29" s="7">
        <f t="shared" si="3"/>
        <v>0.94346349206349256</v>
      </c>
      <c r="AH29" s="7">
        <f t="shared" si="3"/>
        <v>0.97134920634919886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2025-12-03T08:37:32Z</dcterms:modified>
</cp:coreProperties>
</file>