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9777CBBA-75A7-4B0A-97BD-81075090BC7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kea-tui" sheetId="11" r:id="rId2"/>
    <sheet name="car demand" sheetId="14" r:id="rId3"/>
    <sheet name="transport" sheetId="13" r:id="rId4"/>
    <sheet name="co2 budget" sheetId="12" r:id="rId5"/>
    <sheet name="ev_charging_uc" sheetId="6" r:id="rId6"/>
    <sheet name="ts_012" sheetId="7" r:id="rId7"/>
    <sheet name="ts_048" sheetId="8" r:id="rId8"/>
    <sheet name="ts_annual" sheetId="9" r:id="rId9"/>
    <sheet name="ts_12t" sheetId="10" r:id="rId10"/>
  </sheets>
  <definedNames>
    <definedName name="_xlnm._FilterDatabase" localSheetId="1" hidden="1">'kea-tui'!$X$7:$Z$7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" i="14" l="1"/>
  <c r="H42" i="14"/>
  <c r="G45" i="14"/>
  <c r="F45" i="14"/>
  <c r="E45" i="14"/>
  <c r="G42" i="14"/>
  <c r="F42" i="14"/>
  <c r="E42" i="14"/>
  <c r="D42" i="14" s="1"/>
  <c r="M35" i="14"/>
  <c r="L35" i="14"/>
  <c r="K35" i="14"/>
  <c r="J35" i="14"/>
  <c r="I35" i="14"/>
  <c r="H35" i="14"/>
  <c r="G35" i="14"/>
  <c r="F35" i="14"/>
  <c r="M34" i="14"/>
  <c r="L34" i="14"/>
  <c r="K34" i="14"/>
  <c r="J34" i="14"/>
  <c r="I34" i="14"/>
  <c r="H34" i="14"/>
  <c r="G34" i="14"/>
  <c r="F34" i="14"/>
  <c r="M29" i="14"/>
  <c r="L29" i="14"/>
  <c r="K29" i="14"/>
  <c r="J29" i="14"/>
  <c r="I29" i="14"/>
  <c r="H29" i="14"/>
  <c r="G29" i="14"/>
  <c r="F29" i="14"/>
  <c r="M28" i="14"/>
  <c r="L28" i="14"/>
  <c r="K28" i="14"/>
  <c r="J28" i="14"/>
  <c r="I28" i="14"/>
  <c r="H28" i="14"/>
  <c r="G28" i="14"/>
  <c r="F28" i="14"/>
  <c r="D45" i="14"/>
  <c r="F44" i="14"/>
  <c r="E44" i="14"/>
  <c r="D44" i="14"/>
  <c r="D43" i="14"/>
  <c r="P45" i="14"/>
  <c r="P44" i="14"/>
  <c r="P43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H41" i="14"/>
  <c r="G41" i="14"/>
  <c r="F41" i="14"/>
  <c r="E41" i="14"/>
  <c r="D41" i="14"/>
  <c r="D40" i="14"/>
  <c r="M23" i="14"/>
  <c r="L23" i="14"/>
  <c r="K23" i="14"/>
  <c r="J23" i="14"/>
  <c r="I23" i="14"/>
  <c r="H23" i="14"/>
  <c r="G23" i="14"/>
  <c r="F23" i="14"/>
  <c r="E23" i="14"/>
  <c r="G1" i="14"/>
  <c r="H1" i="14" s="1"/>
  <c r="F38" i="14"/>
  <c r="E38" i="14"/>
  <c r="D38" i="14" s="1"/>
  <c r="F37" i="14"/>
  <c r="E37" i="14"/>
  <c r="D37" i="14" s="1"/>
  <c r="E35" i="14"/>
  <c r="D35" i="14" s="1"/>
  <c r="E34" i="14"/>
  <c r="D34" i="14" s="1"/>
  <c r="F32" i="14"/>
  <c r="E32" i="14"/>
  <c r="D32" i="14" s="1"/>
  <c r="F31" i="14"/>
  <c r="E31" i="14"/>
  <c r="D31" i="14" s="1"/>
  <c r="E29" i="14"/>
  <c r="D29" i="14" s="1"/>
  <c r="E28" i="14"/>
  <c r="D28" i="14" s="1"/>
  <c r="P31" i="14"/>
  <c r="P34" i="14" s="1"/>
  <c r="P37" i="14" s="1"/>
  <c r="P32" i="14"/>
  <c r="P35" i="14" s="1"/>
  <c r="P38" i="14" s="1"/>
  <c r="P30" i="14"/>
  <c r="P25" i="14"/>
  <c r="C28" i="14" s="1"/>
  <c r="D36" i="14"/>
  <c r="D33" i="14"/>
  <c r="D30" i="14"/>
  <c r="D27" i="14"/>
  <c r="AH22" i="12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K30" i="13"/>
  <c r="J30" i="13"/>
  <c r="I30" i="13"/>
  <c r="I31" i="13" s="1"/>
  <c r="H37" i="13"/>
  <c r="J36" i="13"/>
  <c r="K36" i="13" s="1"/>
  <c r="I36" i="13"/>
  <c r="I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J13" i="13"/>
  <c r="I13" i="13"/>
  <c r="H13" i="13"/>
  <c r="H12" i="13" s="1"/>
  <c r="G13" i="13"/>
  <c r="G12" i="13" s="1"/>
  <c r="J12" i="13"/>
  <c r="I12" i="13"/>
  <c r="J7" i="13"/>
  <c r="J6" i="13" s="1"/>
  <c r="I7" i="13"/>
  <c r="H7" i="13"/>
  <c r="G7" i="13"/>
  <c r="I6" i="13"/>
  <c r="H6" i="13"/>
  <c r="G6" i="13"/>
  <c r="C42" i="14" l="1"/>
  <c r="C41" i="14"/>
  <c r="C45" i="14"/>
  <c r="C40" i="14"/>
  <c r="C43" i="14"/>
  <c r="C44" i="14"/>
  <c r="G44" i="14"/>
  <c r="H44" i="14"/>
  <c r="G32" i="14"/>
  <c r="G37" i="14"/>
  <c r="C34" i="14"/>
  <c r="C38" i="14"/>
  <c r="C30" i="14"/>
  <c r="C37" i="14"/>
  <c r="C31" i="14"/>
  <c r="P33" i="14"/>
  <c r="C32" i="14"/>
  <c r="C35" i="14"/>
  <c r="C29" i="14"/>
  <c r="C27" i="14"/>
  <c r="H38" i="14"/>
  <c r="H37" i="14"/>
  <c r="H31" i="14"/>
  <c r="G38" i="14"/>
  <c r="G31" i="14"/>
  <c r="H32" i="14"/>
  <c r="I1" i="14"/>
  <c r="K31" i="13"/>
  <c r="J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I42" i="14" l="1"/>
  <c r="I41" i="14"/>
  <c r="I44" i="14"/>
  <c r="I45" i="14"/>
  <c r="C33" i="14"/>
  <c r="P36" i="14"/>
  <c r="C36" i="14" s="1"/>
  <c r="J1" i="14"/>
  <c r="I32" i="14"/>
  <c r="I38" i="14"/>
  <c r="I31" i="14"/>
  <c r="I37" i="14"/>
  <c r="J37" i="13"/>
  <c r="K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J44" i="14" l="1"/>
  <c r="J45" i="14"/>
  <c r="J42" i="14"/>
  <c r="J41" i="14"/>
  <c r="K1" i="14"/>
  <c r="J32" i="14"/>
  <c r="J38" i="14"/>
  <c r="J31" i="14"/>
  <c r="J37" i="14"/>
  <c r="A11" i="8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K44" i="14" l="1"/>
  <c r="K45" i="14"/>
  <c r="K42" i="14"/>
  <c r="K41" i="14"/>
  <c r="L1" i="14"/>
  <c r="K32" i="14"/>
  <c r="K38" i="14"/>
  <c r="K31" i="14"/>
  <c r="K37" i="14"/>
  <c r="A1" i="13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L44" i="14" l="1"/>
  <c r="L45" i="14"/>
  <c r="L41" i="14"/>
  <c r="L42" i="14"/>
  <c r="M1" i="14"/>
  <c r="L32" i="14"/>
  <c r="L38" i="14"/>
  <c r="L31" i="14"/>
  <c r="L37" i="14"/>
  <c r="N29" i="12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M41" i="14" l="1"/>
  <c r="M44" i="14"/>
  <c r="M42" i="14"/>
  <c r="M45" i="14"/>
  <c r="M38" i="14"/>
  <c r="M31" i="14"/>
  <c r="M37" i="14"/>
  <c r="M32" i="14"/>
  <c r="E53" i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<sst xmlns="http://schemas.openxmlformats.org/spreadsheetml/2006/main" count="25507" uniqueCount="1172">
  <si>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</si>
  <si>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</si>
  <si>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</si>
  <si>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</si>
  <si>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</si>
  <si>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</si>
  <si>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</si>
  <si>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</si>
  <si>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</si>
  <si>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</si>
  <si>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</si>
  <si>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</si>
  <si>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</si>
  <si>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</si>
  <si>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</si>
  <si>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</si>
  <si>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</si>
  <si>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</si>
  <si>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</si>
  <si>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</si>
  <si>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</si>
  <si>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</si>
  <si>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</si>
  <si>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</si>
  <si>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</si>
  <si>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</si>
  <si>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</si>
  <si>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</si>
  <si>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</si>
  <si>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</si>
  <si>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</si>
  <si>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</si>
  <si>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</si>
  <si>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</si>
  <si>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</si>
  <si>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</si>
  <si>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</si>
  <si>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</si>
  <si>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</si>
  <si>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</si>
  <si>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</si>
  <si>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</si>
  <si>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</si>
  <si>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</si>
  <si>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</si>
  <si>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</si>
  <si>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</si>
  <si>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</si>
  <si>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</si>
  <si>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</si>
  <si>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</si>
  <si>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</si>
  <si>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</si>
  <si>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</si>
  <si>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</si>
  <si>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</si>
  <si>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</si>
  <si>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</si>
  <si>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</si>
  <si>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</si>
  <si>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</si>
  <si>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</si>
  <si>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</si>
  <si>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</si>
  <si>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</si>
  <si>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</si>
  <si>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</si>
  <si>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</si>
  <si>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</si>
  <si>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</si>
  <si>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</si>
  <si>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</si>
  <si>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</si>
  <si>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</si>
  <si>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</si>
  <si>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</si>
  <si>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</si>
  <si>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</si>
  <si>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</si>
  <si>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</si>
  <si>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</si>
  <si>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</si>
  <si>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</si>
  <si>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</si>
  <si>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</si>
  <si>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</si>
  <si>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</si>
  <si>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</si>
  <si>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</si>
  <si>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</si>
  <si>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</si>
  <si>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</si>
  <si>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</si>
  <si>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</si>
  <si>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</si>
  <si>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</si>
  <si>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</si>
  <si>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</si>
  <si>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</si>
  <si>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</si>
  <si>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</si>
  <si>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</si>
  <si>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</si>
  <si>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</si>
  <si>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</si>
  <si>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</si>
  <si>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</si>
  <si>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</si>
  <si>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</si>
  <si>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</si>
  <si>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</si>
  <si>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</si>
  <si>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</si>
  <si>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</si>
  <si>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</si>
  <si>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</si>
  <si>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</si>
  <si>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</si>
  <si>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</si>
  <si>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</si>
  <si>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</si>
  <si>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</si>
  <si>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</si>
  <si>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</si>
  <si>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</si>
  <si>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</si>
  <si>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</si>
  <si>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</si>
  <si>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</si>
  <si>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</si>
  <si>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</si>
  <si>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</si>
  <si>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</si>
  <si>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</si>
  <si>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</si>
  <si>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</si>
  <si>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</si>
  <si>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</si>
  <si>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</si>
  <si>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</si>
  <si>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</si>
  <si>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</si>
  <si>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</si>
  <si>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</si>
  <si>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</si>
  <si>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</si>
  <si>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</si>
  <si>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</si>
  <si>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</si>
  <si>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</si>
  <si>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</si>
  <si>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</si>
  <si>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</si>
  <si>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</si>
  <si>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</si>
  <si>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</si>
  <si>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</si>
  <si>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</si>
  <si>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</si>
  <si>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</si>
  <si>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</si>
  <si>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</si>
  <si>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</si>
  <si>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</si>
  <si>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</si>
  <si>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</si>
  <si>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</si>
  <si>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</si>
  <si>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</si>
  <si>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</si>
  <si>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</si>
  <si>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</si>
  <si>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</si>
  <si>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</si>
  <si>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</si>
  <si>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</si>
  <si>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</si>
  <si>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</si>
  <si>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</si>
  <si>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</si>
  <si>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</si>
  <si>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</si>
  <si>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</si>
  <si>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</si>
  <si>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</si>
  <si>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</si>
  <si>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</si>
  <si>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</si>
  <si>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</si>
  <si>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</si>
  <si>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</si>
  <si>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</si>
  <si>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</si>
  <si>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</si>
  <si>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</si>
  <si>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</si>
  <si>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</si>
  <si>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</si>
  <si>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</si>
  <si>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</si>
  <si>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</si>
  <si>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</si>
  <si>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</si>
  <si>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</si>
  <si>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</si>
  <si>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</si>
  <si>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</si>
  <si>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</si>
  <si>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</si>
  <si>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</si>
  <si>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</si>
  <si>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</si>
  <si>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</si>
  <si>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</si>
  <si>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</si>
  <si>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</si>
  <si>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</si>
  <si>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</si>
  <si>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</si>
  <si>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</si>
  <si>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</si>
  <si>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</si>
  <si>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</si>
  <si>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</si>
  <si>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</si>
  <si>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</si>
  <si>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</si>
  <si>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</si>
  <si>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</si>
  <si>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</si>
  <si>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</si>
  <si>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</si>
  <si>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</si>
  <si>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</si>
  <si>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</si>
  <si>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</si>
  <si>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</si>
  <si>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</si>
  <si>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</si>
  <si>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</si>
  <si>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</si>
  <si>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</si>
  <si>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</si>
  <si>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</si>
  <si>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</si>
  <si>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</si>
  <si>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</si>
  <si>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</si>
  <si>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</si>
  <si>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</si>
  <si>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</si>
  <si>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</si>
  <si>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</si>
  <si>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</si>
  <si>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</si>
  <si>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</si>
  <si>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</si>
  <si>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</si>
  <si>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</si>
  <si>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</si>
  <si>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</si>
  <si>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</si>
  <si>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</si>
  <si>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</si>
  <si>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</si>
  <si>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</si>
  <si>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</si>
  <si>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</si>
  <si>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</si>
  <si>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</si>
  <si>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</si>
  <si>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</si>
  <si>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</si>
  <si>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</si>
  <si>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</si>
  <si>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</si>
  <si>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</si>
  <si>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</si>
  <si>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</si>
  <si>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</si>
  <si>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</si>
  <si>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</si>
  <si>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</si>
  <si>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</si>
  <si>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</si>
  <si>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</si>
  <si>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</si>
  <si>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</si>
  <si>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</si>
  <si>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</si>
  <si>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</si>
  <si>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</si>
  <si>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</si>
  <si>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</si>
  <si>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</si>
  <si>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</si>
  <si>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</si>
  <si>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</si>
  <si>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</si>
  <si>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</si>
  <si>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</si>
  <si>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</si>
  <si>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</si>
  <si>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</si>
  <si>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</si>
  <si>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</si>
  <si>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</si>
  <si>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</si>
  <si>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</si>
  <si>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</si>
  <si>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</si>
  <si>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</si>
  <si>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</si>
  <si>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</si>
  <si>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</si>
  <si>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</si>
  <si>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</si>
  <si>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</si>
  <si>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</si>
  <si>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</si>
  <si>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</si>
  <si>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</si>
  <si>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</si>
  <si>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</si>
  <si>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</si>
  <si>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</si>
  <si>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</si>
  <si>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</si>
  <si>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</si>
  <si>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</si>
  <si>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</si>
  <si>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</si>
  <si>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</si>
  <si>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</si>
  <si>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</si>
  <si>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</si>
  <si>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</si>
  <si>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</si>
  <si>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</si>
  <si>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</si>
  <si>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</si>
  <si>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</si>
  <si>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</si>
  <si>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</si>
  <si>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</si>
  <si>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</si>
  <si>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</si>
  <si>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</si>
  <si>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</si>
  <si>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</si>
  <si>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</si>
  <si>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</si>
  <si>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</si>
  <si>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</si>
  <si>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</si>
  <si>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</si>
  <si>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</si>
  <si>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</si>
  <si>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</si>
  <si>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</si>
  <si>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</si>
  <si>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</si>
  <si>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</si>
  <si>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</si>
  <si>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</si>
  <si>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</si>
  <si>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</si>
  <si>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</si>
  <si>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</si>
  <si>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</si>
  <si>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</si>
  <si>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</si>
  <si>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</si>
  <si>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</si>
  <si>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</si>
  <si>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</si>
  <si>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</si>
  <si>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</si>
  <si>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</si>
  <si>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</si>
  <si>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</si>
  <si>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</si>
  <si>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</si>
  <si>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</si>
  <si>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</si>
  <si>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</si>
  <si>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</si>
  <si>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</si>
  <si>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</si>
  <si>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</si>
  <si>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</si>
  <si>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</si>
  <si>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</si>
  <si>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</si>
  <si>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</si>
  <si>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</si>
  <si>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</si>
  <si>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</si>
  <si>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</si>
  <si>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</si>
  <si>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</si>
  <si>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</si>
  <si>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</si>
  <si>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</si>
  <si>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</si>
  <si>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</si>
  <si>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</si>
  <si>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</si>
  <si>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</si>
  <si>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</si>
  <si>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</si>
  <si>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</si>
  <si>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</si>
  <si>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</si>
  <si>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</si>
  <si>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</si>
  <si>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</si>
  <si>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</si>
  <si>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</si>
  <si>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</si>
  <si>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</si>
  <si>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</si>
  <si>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</si>
  <si>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</si>
  <si>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</si>
  <si>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</si>
  <si>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</si>
  <si>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</si>
  <si>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</si>
  <si>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</si>
  <si>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</si>
  <si>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</si>
  <si>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</si>
  <si>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</si>
  <si>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</si>
  <si>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</si>
  <si>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</si>
  <si>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</si>
  <si>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</si>
  <si>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</si>
  <si>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</si>
  <si>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</si>
  <si>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</si>
  <si>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</si>
  <si>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</si>
  <si>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</si>
  <si>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</si>
  <si>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</si>
  <si>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</si>
  <si>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</si>
  <si>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</si>
  <si>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</si>
  <si>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</si>
  <si>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</si>
  <si>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</si>
  <si>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</si>
  <si>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</si>
  <si>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</si>
  <si>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</si>
  <si>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</si>
  <si>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</si>
  <si>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</si>
  <si>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</si>
  <si>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</si>
  <si>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</si>
  <si>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</si>
  <si>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</si>
  <si>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</si>
  <si>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</si>
  <si>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</si>
  <si>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</si>
  <si>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</si>
  <si>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</si>
  <si>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</si>
  <si>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</si>
  <si>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</si>
  <si>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</si>
  <si>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</si>
  <si>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</si>
  <si>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</si>
  <si>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</si>
  <si>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</si>
  <si>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</si>
  <si>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</si>
  <si>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</si>
  <si>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</si>
  <si>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</si>
  <si>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</si>
  <si>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</si>
  <si>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</si>
  <si>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</si>
  <si>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</si>
  <si>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</si>
  <si>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</si>
  <si>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</si>
  <si>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</si>
  <si>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</si>
  <si>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</si>
  <si>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</si>
  <si>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</si>
  <si>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</si>
  <si>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</si>
  <si>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</si>
  <si>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</si>
  <si>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</si>
  <si>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</si>
  <si>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</si>
  <si>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</si>
  <si>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</si>
  <si>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</si>
  <si>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</si>
  <si>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</si>
  <si>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</si>
  <si>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</si>
  <si>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</si>
  <si>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</si>
  <si>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</si>
  <si>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</si>
  <si>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</si>
  <si>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</si>
  <si>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</si>
  <si>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</si>
  <si>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</si>
  <si>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</si>
  <si>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</si>
  <si>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</si>
  <si>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</si>
  <si>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</si>
  <si>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</si>
  <si>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</si>
  <si>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</si>
  <si>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</si>
  <si>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</si>
  <si>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</si>
  <si>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</si>
  <si>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</si>
  <si>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</si>
  <si>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</si>
  <si>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</si>
  <si>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</si>
  <si>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</si>
  <si>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</si>
  <si>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</si>
  <si>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</si>
  <si>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</si>
  <si>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</si>
  <si>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</si>
  <si>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</si>
  <si>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</si>
  <si>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</si>
  <si>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</si>
  <si>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</si>
  <si>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</si>
  <si>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</si>
  <si>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</si>
  <si>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</si>
  <si>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</si>
  <si>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</si>
  <si>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</si>
  <si>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</si>
  <si>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</si>
  <si>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</si>
  <si>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</si>
  <si>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</si>
  <si>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</si>
  <si>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</si>
  <si>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</si>
  <si>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</si>
  <si>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</si>
  <si>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</si>
  <si>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</si>
  <si>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</si>
  <si>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</si>
  <si>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</si>
  <si>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</si>
  <si>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</si>
  <si>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</si>
  <si>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</si>
  <si>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</si>
  <si>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</si>
  <si>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</si>
  <si>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</si>
  <si>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</si>
  <si>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</si>
  <si>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</si>
  <si>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</si>
  <si>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</si>
  <si>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</si>
  <si>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</si>
  <si>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</si>
  <si>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</si>
  <si>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</si>
  <si>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</si>
  <si>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</si>
  <si>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</si>
  <si>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</si>
  <si>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</si>
  <si>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</si>
  <si>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</si>
  <si>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</si>
  <si>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</si>
  <si>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</si>
  <si>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</si>
  <si>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</si>
  <si>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</si>
  <si>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</si>
  <si>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</si>
  <si>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</si>
  <si>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</si>
  <si>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</si>
  <si>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</si>
  <si>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</si>
  <si>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</si>
  <si>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</si>
  <si>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</si>
  <si>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</si>
  <si>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</si>
  <si>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</si>
  <si>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</si>
  <si>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</si>
  <si>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</si>
  <si>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</si>
  <si>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</si>
  <si>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</si>
  <si>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</si>
  <si>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</si>
  <si>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</si>
  <si>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</si>
  <si>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</si>
  <si>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</si>
  <si>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</si>
  <si>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</si>
  <si>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</si>
  <si>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</si>
  <si>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</si>
  <si>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</si>
  <si>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</si>
  <si>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</si>
  <si>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</si>
  <si>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</si>
  <si>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</si>
  <si>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</si>
  <si>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</si>
  <si>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</si>
  <si>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</si>
  <si>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</si>
  <si>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</si>
  <si>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</si>
  <si>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</si>
  <si>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</si>
  <si>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</si>
  <si>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</si>
  <si>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</si>
  <si>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</si>
  <si>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</si>
  <si>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</si>
  <si>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</si>
  <si>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</si>
  <si>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</si>
  <si>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</si>
  <si>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</si>
  <si>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</si>
  <si>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</si>
  <si>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</si>
  <si>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</si>
  <si>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</si>
  <si>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</si>
  <si>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</si>
  <si>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</si>
  <si>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</si>
  <si>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</si>
  <si>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</si>
  <si>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</si>
  <si>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</si>
  <si>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</si>
  <si>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</si>
  <si>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</si>
  <si>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</si>
  <si>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</si>
  <si>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</si>
  <si>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</si>
  <si>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</si>
  <si>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</si>
  <si>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</si>
  <si>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</si>
  <si>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</si>
  <si>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</si>
  <si>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</si>
  <si>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</si>
  <si>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</si>
  <si>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</si>
  <si>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</si>
  <si>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</si>
  <si>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</si>
  <si>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</si>
  <si>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</si>
  <si>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</si>
  <si>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</si>
  <si>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</si>
  <si>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</si>
  <si>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</si>
  <si>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</si>
  <si>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</si>
  <si>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</si>
  <si>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</si>
  <si>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</si>
  <si>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</si>
  <si>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</si>
  <si>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</si>
  <si>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</si>
  <si>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</si>
  <si>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</si>
  <si>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</si>
  <si>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</si>
  <si>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</si>
  <si>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</si>
  <si>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</si>
  <si>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</si>
  <si>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</si>
  <si>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</si>
  <si>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</si>
  <si>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</si>
  <si>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</si>
  <si>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</si>
  <si>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</si>
  <si>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</si>
  <si>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</si>
  <si>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</si>
  <si>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</si>
  <si>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</si>
  <si>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</si>
  <si>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</si>
  <si>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</si>
  <si>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</si>
  <si>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</si>
  <si>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</si>
  <si>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</si>
  <si>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</si>
  <si>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</si>
  <si>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</si>
  <si>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</si>
  <si>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</si>
  <si>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</si>
  <si>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</si>
  <si>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</si>
  <si>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</si>
  <si>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</si>
  <si>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</si>
  <si>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</si>
  <si>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</si>
  <si>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</si>
  <si>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</si>
  <si>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</si>
  <si>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</si>
  <si>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</si>
  <si>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</si>
  <si>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</si>
  <si>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</si>
  <si>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</si>
  <si>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</si>
  <si>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</si>
  <si>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</si>
  <si>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</si>
  <si>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</si>
  <si>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</si>
  <si>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</si>
  <si>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</si>
  <si>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</si>
  <si>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</si>
  <si>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</si>
  <si>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</si>
  <si>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</si>
  <si>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</si>
  <si>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</si>
  <si>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</si>
  <si>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</si>
  <si>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</si>
  <si>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</si>
  <si>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</si>
  <si>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</si>
  <si>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</si>
  <si>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</si>
  <si>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</si>
  <si>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</si>
  <si>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</si>
  <si>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</si>
  <si>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</si>
  <si>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</si>
  <si>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</si>
  <si>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</si>
  <si>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</si>
  <si>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</si>
  <si>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</si>
  <si>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</si>
  <si>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</si>
  <si>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</si>
  <si>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</si>
  <si>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</si>
  <si>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</si>
  <si>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</si>
  <si>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</si>
  <si>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</si>
  <si>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</si>
  <si>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</si>
  <si>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</si>
  <si>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</si>
  <si>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</si>
  <si>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</si>
  <si>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</si>
  <si>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</si>
  <si>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</si>
  <si>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</si>
  <si>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</si>
  <si>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</si>
  <si>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</si>
  <si>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</si>
  <si>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</si>
  <si>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</si>
  <si>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</si>
  <si>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</si>
  <si>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</si>
  <si>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</si>
  <si>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</si>
  <si>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</si>
  <si>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</si>
  <si>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</si>
  <si>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</si>
  <si>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</si>
  <si>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</si>
  <si>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</si>
  <si>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</si>
  <si>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</si>
  <si>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</si>
  <si>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</si>
  <si>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</si>
  <si>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</si>
  <si>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</si>
  <si>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</si>
  <si>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</si>
  <si>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</si>
  <si>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</si>
  <si>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</si>
  <si>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</si>
  <si>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</si>
  <si>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</si>
  <si>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</si>
  <si>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</si>
  <si>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</si>
  <si>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</si>
  <si>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</si>
  <si>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</si>
  <si>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</si>
  <si>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</si>
  <si>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</si>
  <si>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</si>
  <si>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</si>
  <si>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</si>
  <si>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</si>
  <si>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</si>
  <si>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</si>
  <si>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</si>
  <si>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</si>
  <si>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</si>
  <si>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</si>
  <si>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</si>
  <si>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</si>
  <si>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</si>
  <si>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</si>
  <si>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</si>
  <si>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</si>
  <si>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</si>
  <si>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</si>
  <si>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</si>
  <si>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</si>
  <si>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</si>
  <si>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</si>
  <si>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</si>
  <si>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</si>
  <si>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</si>
  <si>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</si>
  <si>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</si>
  <si>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</si>
  <si>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</si>
  <si>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</si>
  <si>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</si>
  <si>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</si>
  <si>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</si>
  <si>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</si>
  <si>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</si>
  <si>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</si>
  <si>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</si>
  <si>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</si>
  <si>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</si>
  <si>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</si>
  <si>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</si>
  <si>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</si>
  <si>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</si>
  <si>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</si>
  <si>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</si>
  <si>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</si>
  <si>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</si>
  <si>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</si>
  <si>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</si>
  <si>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</si>
  <si>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</si>
  <si>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</si>
  <si>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</si>
  <si>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</si>
  <si>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</si>
  <si>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</si>
  <si>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</si>
  <si>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</si>
  <si>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</si>
  <si>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</si>
  <si>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</si>
  <si>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</si>
  <si>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</si>
  <si>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</si>
  <si>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</si>
  <si>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</si>
  <si>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</si>
  <si>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</si>
  <si>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</si>
  <si>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</si>
  <si>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</si>
  <si>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</si>
  <si>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</si>
  <si>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</si>
  <si>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</si>
  <si>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</si>
  <si>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</si>
  <si>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</si>
  <si>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</si>
  <si>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</si>
  <si>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</si>
  <si>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</si>
  <si>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</si>
  <si>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</si>
  <si>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</si>
  <si>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</si>
  <si>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</si>
  <si>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</si>
  <si>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</si>
  <si>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</si>
  <si>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</si>
  <si>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</si>
  <si>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</si>
  <si>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</si>
  <si>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</si>
  <si>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</si>
  <si>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</si>
  <si>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</si>
  <si>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</si>
  <si>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</si>
  <si>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</si>
  <si>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</si>
  <si>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</si>
  <si>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</si>
  <si>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</si>
  <si>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</si>
  <si>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</si>
  <si>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</si>
  <si>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</si>
  <si>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</si>
  <si>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</si>
  <si>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</si>
  <si>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</si>
  <si>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</si>
  <si>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</si>
  <si>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</si>
  <si>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</si>
  <si>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</si>
  <si>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</si>
  <si>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</si>
  <si>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</si>
  <si>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</si>
  <si>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</si>
  <si>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</si>
  <si>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</si>
  <si>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</si>
  <si>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</si>
  <si>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</si>
  <si>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</si>
  <si>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</si>
  <si>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</si>
  <si>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</si>
  <si>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</si>
  <si>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</si>
  <si>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</si>
  <si>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</si>
  <si>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</si>
  <si>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</si>
  <si>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</si>
  <si>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</si>
  <si>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</si>
  <si>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</si>
  <si>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</si>
  <si>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</si>
  <si>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</si>
  <si>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</si>
  <si>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</si>
  <si>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</si>
  <si>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</si>
  <si>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</si>
  <si>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</si>
  <si>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</si>
  <si>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</si>
  <si>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</si>
  <si>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</si>
  <si>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</si>
  <si>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</si>
  <si>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</si>
  <si>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</si>
  <si>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</si>
  <si>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</si>
  <si>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</si>
  <si>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</si>
  <si>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</si>
  <si>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</si>
  <si>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</si>
  <si>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</si>
  <si>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</si>
  <si>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</si>
  <si>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</si>
  <si>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</si>
  <si>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</si>
  <si>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</si>
  <si>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</si>
  <si>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</si>
  <si>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</si>
  <si>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</si>
  <si>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</si>
  <si>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</si>
  <si>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</si>
  <si>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</si>
  <si>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</si>
  <si>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</si>
  <si>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</si>
  <si>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</si>
  <si>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</si>
  <si>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</si>
  <si>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</si>
  <si>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</si>
  <si>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</si>
  <si>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</si>
  <si>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</si>
  <si>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</si>
  <si>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</si>
  <si>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</si>
  <si>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</si>
  <si>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</si>
  <si>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</si>
  <si>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</si>
  <si>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</si>
  <si>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</si>
  <si>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</si>
  <si>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</si>
  <si>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</si>
  <si>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</si>
  <si>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</si>
  <si>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</si>
  <si>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</si>
  <si>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</si>
  <si>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</si>
  <si>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</si>
  <si>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</si>
  <si>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</si>
  <si>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</si>
  <si>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</si>
  <si>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</si>
  <si>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</si>
  <si>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</si>
  <si>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</si>
  <si>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</si>
  <si>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</si>
  <si>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</si>
  <si>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</si>
  <si>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</si>
  <si>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</si>
  <si>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</si>
  <si>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</si>
  <si>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</si>
  <si>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</si>
  <si>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</si>
  <si>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</si>
  <si>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</si>
  <si>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</si>
  <si>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</si>
  <si>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</si>
  <si>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</si>
  <si>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</si>
  <si>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</si>
  <si>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</si>
  <si>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</si>
  <si>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</si>
  <si>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</si>
  <si>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</si>
  <si>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</si>
  <si>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</si>
  <si>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</si>
  <si>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</si>
  <si>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</si>
  <si>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</si>
  <si>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</si>
  <si>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</si>
  <si>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</si>
  <si>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</si>
  <si>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</si>
  <si>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</si>
  <si>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</si>
  <si>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</si>
  <si>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</si>
  <si>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</si>
  <si>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</si>
  <si>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</si>
  <si>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</si>
  <si>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</si>
  <si>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</si>
  <si>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</si>
  <si>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</si>
  <si>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</si>
  <si>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</si>
  <si>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</si>
  <si>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</si>
  <si>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</si>
  <si>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</si>
  <si>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</si>
  <si>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</si>
  <si>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</si>
  <si>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</si>
  <si>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</si>
  <si>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</si>
  <si>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</si>
  <si>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</si>
  <si>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</si>
  <si>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</si>
  <si>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</si>
  <si>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</si>
  <si>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</si>
  <si>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</si>
  <si>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</si>
  <si>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</si>
  <si>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</si>
  <si>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</si>
  <si>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</si>
  <si>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</si>
  <si>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</si>
  <si>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</si>
  <si>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</si>
  <si>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</si>
  <si>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</si>
  <si>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</si>
  <si>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</si>
  <si>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</si>
  <si>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</si>
  <si>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</si>
  <si>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</si>
  <si>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</si>
  <si>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</si>
  <si>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</si>
  <si>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</si>
  <si>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</si>
  <si>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1,2,3,4</t>
  </si>
  <si>
    <t>Sum of val_field</t>
  </si>
  <si>
    <t>year</t>
  </si>
  <si>
    <t>scenario</t>
  </si>
  <si>
    <t>BASE</t>
  </si>
  <si>
    <t>NZL_0001</t>
  </si>
  <si>
    <t>NZL_0002</t>
  </si>
  <si>
    <t>limtype</t>
  </si>
  <si>
    <t>~TFM_INS-TS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</si>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</sst>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tabSelected="1" workbookViewId="0">
      <selection activeCell="D4" sqref="D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1162</v>
      </c>
    </row>
    <row r="2" spans="1:20" x14ac:dyDescent="0.45">
      <c r="D2" s="1" t="str">
        <f>"~Inputcell: "&amp;_xlfn.TEXTJOIN(",",TRUE,G1:DM1)</f>
        <v>~Inputcell: 1,2,3,4</v>
      </c>
      <c r="G2" s="14"/>
    </row>
    <row r="3" spans="1:20" x14ac:dyDescent="0.45">
      <c r="D3" s="5">
        <v>3</v>
      </c>
    </row>
    <row r="5" spans="1:20" x14ac:dyDescent="0.45">
      <c r="D5" s="1" t="str">
        <f>VLOOKUP(D3,$C$9:$E$999,2,FALSE)</f>
        <v>ts_012</v>
      </c>
      <c r="E5" s="1" t="str">
        <f>VLOOKUP(D3,$C$9:$E$999,3,FALSE)</f>
        <v>bas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workbookViewId="0">
      <selection activeCell="G1" sqref="G1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v>0.13640989206096199</v>
      </c>
      <c r="AH77" s="18"/>
      <c r="AI77" s="18"/>
      <c r="AJ77" s="19">
        <v>0.17231484714244999</v>
      </c>
      <c r="AK77" s="18"/>
      <c r="AL77" s="18"/>
      <c r="AM77" s="19">
        <v>0.14000000000000001</v>
      </c>
      <c r="AN77" s="18"/>
      <c r="AO77" s="18"/>
      <c r="AP77" s="19">
        <v>0.17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v>0.13640989206096199</v>
      </c>
      <c r="AH299" s="18"/>
      <c r="AI299" s="18"/>
      <c r="AJ299" s="19">
        <v>0.17231484714244999</v>
      </c>
      <c r="AK299" s="18"/>
      <c r="AL299" s="18"/>
      <c r="AM299" s="19">
        <v>0.14000000000000001</v>
      </c>
      <c r="AN299" s="18"/>
      <c r="AO299" s="18"/>
      <c r="AP299" s="19">
        <v>0.17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2.5000000000000001E-2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0.05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2.5000000000000001E-2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0.05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AB45"/>
  <sheetViews>
    <sheetView topLeftCell="A2" workbookViewId="0">
      <selection activeCell="H46" sqref="H46"/>
    </sheetView>
  </sheetViews>
  <sheetFormatPr defaultRowHeight="14.25" x14ac:dyDescent="0.45"/>
  <cols>
    <col min="2" max="2" width="9.796875" bestFit="1" customWidth="1"/>
  </cols>
  <sheetData>
    <row r="1" spans="1:28" x14ac:dyDescent="0.45">
      <c r="A1" t="s">
        <v>1163</v>
      </c>
      <c r="D1" t="s">
        <v>1164</v>
      </c>
      <c r="E1">
        <v>0.8</v>
      </c>
      <c r="F1">
        <v>0.9</v>
      </c>
      <c r="G1">
        <f>F1</f>
        <v>0.9</v>
      </c>
      <c r="H1">
        <f t="shared" ref="H1:M1" si="0">G1</f>
        <v>0.9</v>
      </c>
      <c r="I1">
        <f t="shared" si="0"/>
        <v>0.9</v>
      </c>
      <c r="J1">
        <f t="shared" si="0"/>
        <v>0.9</v>
      </c>
      <c r="K1">
        <f t="shared" si="0"/>
        <v>0.9</v>
      </c>
      <c r="L1">
        <f t="shared" si="0"/>
        <v>0.9</v>
      </c>
      <c r="M1">
        <f t="shared" si="0"/>
        <v>0.9</v>
      </c>
    </row>
    <row r="2" spans="1:28" x14ac:dyDescent="0.45">
      <c r="A2" t="s">
        <v>244</v>
      </c>
      <c r="B2" t="s">
        <v>6</v>
      </c>
      <c r="C2" t="s">
        <v>1165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28" x14ac:dyDescent="0.45">
      <c r="A3" t="s">
        <v>249</v>
      </c>
      <c r="B3" t="s">
        <v>534</v>
      </c>
      <c r="C3" t="s">
        <v>1166</v>
      </c>
      <c r="D3">
        <v>6.36</v>
      </c>
    </row>
    <row r="4" spans="1:28" x14ac:dyDescent="0.45">
      <c r="A4" t="s">
        <v>249</v>
      </c>
      <c r="B4" t="s">
        <v>534</v>
      </c>
      <c r="C4" t="s">
        <v>1167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28" x14ac:dyDescent="0.45">
      <c r="A5" t="s">
        <v>249</v>
      </c>
      <c r="B5" t="s">
        <v>534</v>
      </c>
      <c r="C5" t="s">
        <v>1168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28" x14ac:dyDescent="0.45">
      <c r="A6" t="s">
        <v>249</v>
      </c>
      <c r="B6" t="s">
        <v>544</v>
      </c>
      <c r="C6" t="s">
        <v>1166</v>
      </c>
      <c r="D6">
        <v>26.71</v>
      </c>
      <c r="P6" t="s">
        <v>244</v>
      </c>
      <c r="Q6" t="s">
        <v>6</v>
      </c>
      <c r="R6" t="s">
        <v>1165</v>
      </c>
      <c r="S6">
        <v>2018</v>
      </c>
      <c r="T6">
        <v>2020</v>
      </c>
      <c r="U6">
        <v>2025</v>
      </c>
      <c r="V6">
        <v>2030</v>
      </c>
      <c r="W6">
        <v>2035</v>
      </c>
      <c r="X6">
        <v>2040</v>
      </c>
      <c r="Y6">
        <v>2045</v>
      </c>
      <c r="Z6">
        <v>2050</v>
      </c>
      <c r="AA6">
        <v>2055</v>
      </c>
      <c r="AB6">
        <v>2060</v>
      </c>
    </row>
    <row r="7" spans="1:28" x14ac:dyDescent="0.45">
      <c r="A7" t="s">
        <v>249</v>
      </c>
      <c r="B7" t="s">
        <v>544</v>
      </c>
      <c r="C7" t="s">
        <v>1167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  <c r="P7" t="s">
        <v>249</v>
      </c>
      <c r="Q7" t="s">
        <v>542</v>
      </c>
      <c r="R7" t="s">
        <v>1166</v>
      </c>
      <c r="S7">
        <v>45.716103195375602</v>
      </c>
    </row>
    <row r="8" spans="1:28" x14ac:dyDescent="0.45">
      <c r="A8" t="s">
        <v>249</v>
      </c>
      <c r="B8" t="s">
        <v>544</v>
      </c>
      <c r="C8" t="s">
        <v>1168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  <c r="P8" t="s">
        <v>249</v>
      </c>
      <c r="Q8" t="s">
        <v>542</v>
      </c>
      <c r="R8" t="s">
        <v>1167</v>
      </c>
      <c r="T8">
        <v>45.716103195375602</v>
      </c>
      <c r="U8">
        <v>49.349502377221</v>
      </c>
      <c r="V8">
        <v>55.560462510017501</v>
      </c>
      <c r="W8">
        <v>64.451115922226094</v>
      </c>
      <c r="X8">
        <v>73.991377838583205</v>
      </c>
      <c r="Y8">
        <v>84.892824428526694</v>
      </c>
      <c r="Z8">
        <v>95.140560468831794</v>
      </c>
      <c r="AA8">
        <v>102.716497900316</v>
      </c>
      <c r="AB8">
        <v>110.895698836691</v>
      </c>
    </row>
    <row r="9" spans="1:28" x14ac:dyDescent="0.45">
      <c r="A9" t="s">
        <v>328</v>
      </c>
      <c r="B9" t="s">
        <v>534</v>
      </c>
      <c r="C9" t="s">
        <v>1166</v>
      </c>
      <c r="D9">
        <v>2.65</v>
      </c>
      <c r="P9" t="s">
        <v>249</v>
      </c>
      <c r="Q9" t="s">
        <v>542</v>
      </c>
      <c r="R9" t="s">
        <v>1168</v>
      </c>
      <c r="T9">
        <v>48.7444553109002</v>
      </c>
      <c r="U9">
        <v>53.518675640000403</v>
      </c>
      <c r="V9">
        <v>59.407195843117599</v>
      </c>
      <c r="W9">
        <v>65.047280063847296</v>
      </c>
      <c r="X9">
        <v>69.800488457468205</v>
      </c>
      <c r="Y9">
        <v>70.8862909555763</v>
      </c>
      <c r="Z9">
        <v>67.656479476558701</v>
      </c>
      <c r="AA9">
        <v>64.046805597951703</v>
      </c>
      <c r="AB9">
        <v>60.629718528630399</v>
      </c>
    </row>
    <row r="10" spans="1:28" x14ac:dyDescent="0.45">
      <c r="A10" t="s">
        <v>328</v>
      </c>
      <c r="B10" t="s">
        <v>534</v>
      </c>
      <c r="C10" t="s">
        <v>1167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  <c r="P10" t="s">
        <v>328</v>
      </c>
      <c r="Q10" t="s">
        <v>542</v>
      </c>
      <c r="R10" t="s">
        <v>1166</v>
      </c>
      <c r="S10">
        <v>11.429025798843901</v>
      </c>
    </row>
    <row r="11" spans="1:28" x14ac:dyDescent="0.45">
      <c r="A11" t="s">
        <v>328</v>
      </c>
      <c r="B11" t="s">
        <v>534</v>
      </c>
      <c r="C11" t="s">
        <v>1168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</v>
      </c>
      <c r="P11" t="s">
        <v>328</v>
      </c>
      <c r="Q11" t="s">
        <v>542</v>
      </c>
      <c r="R11" t="s">
        <v>1167</v>
      </c>
      <c r="T11">
        <v>11.429025798843901</v>
      </c>
      <c r="U11">
        <v>12.296695710347599</v>
      </c>
      <c r="V11">
        <v>13.775821234589401</v>
      </c>
      <c r="W11">
        <v>15.884485297205201</v>
      </c>
      <c r="X11">
        <v>18.165421391822299</v>
      </c>
      <c r="Y11">
        <v>20.793191090819398</v>
      </c>
      <c r="Z11">
        <v>23.2653937575854</v>
      </c>
      <c r="AA11">
        <v>25.086355853535402</v>
      </c>
      <c r="AB11">
        <v>27.049843065949599</v>
      </c>
    </row>
    <row r="12" spans="1:28" x14ac:dyDescent="0.45">
      <c r="A12" t="s">
        <v>328</v>
      </c>
      <c r="B12" t="s">
        <v>544</v>
      </c>
      <c r="C12" t="s">
        <v>1166</v>
      </c>
      <c r="D12">
        <v>9.32</v>
      </c>
      <c r="P12" t="s">
        <v>328</v>
      </c>
      <c r="Q12" t="s">
        <v>542</v>
      </c>
      <c r="R12" t="s">
        <v>1168</v>
      </c>
      <c r="T12">
        <v>12.159827353090099</v>
      </c>
      <c r="U12">
        <v>13.295971292806099</v>
      </c>
      <c r="V12">
        <v>14.668573777883999</v>
      </c>
      <c r="W12">
        <v>15.9893880039485</v>
      </c>
      <c r="X12">
        <v>17.106945884079298</v>
      </c>
      <c r="Y12">
        <v>17.337361748427998</v>
      </c>
      <c r="Z12">
        <v>16.525932428403699</v>
      </c>
      <c r="AA12">
        <v>15.6239150982162</v>
      </c>
      <c r="AB12">
        <v>14.771131617161499</v>
      </c>
    </row>
    <row r="13" spans="1:28" x14ac:dyDescent="0.45">
      <c r="A13" t="s">
        <v>328</v>
      </c>
      <c r="B13" t="s">
        <v>544</v>
      </c>
      <c r="C13" t="s">
        <v>1167</v>
      </c>
      <c r="E13">
        <v>9.32</v>
      </c>
      <c r="F13">
        <v>9.9</v>
      </c>
      <c r="G13">
        <v>10.8</v>
      </c>
      <c r="H13">
        <v>12.05</v>
      </c>
      <c r="I13">
        <v>13.2</v>
      </c>
      <c r="J13">
        <v>13.98</v>
      </c>
      <c r="K13">
        <v>14.88</v>
      </c>
      <c r="L13">
        <v>15.84</v>
      </c>
      <c r="M13">
        <v>16.68</v>
      </c>
    </row>
    <row r="14" spans="1:28" x14ac:dyDescent="0.45">
      <c r="A14" t="s">
        <v>328</v>
      </c>
      <c r="B14" t="s">
        <v>544</v>
      </c>
      <c r="C14" t="s">
        <v>1168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28" x14ac:dyDescent="0.45">
      <c r="A16" t="s">
        <v>249</v>
      </c>
      <c r="B16" t="s">
        <v>542</v>
      </c>
      <c r="C16" t="s">
        <v>1166</v>
      </c>
      <c r="D16" s="7">
        <v>45.716103195375602</v>
      </c>
    </row>
    <row r="17" spans="1:16" x14ac:dyDescent="0.45">
      <c r="A17" t="s">
        <v>249</v>
      </c>
      <c r="B17" t="s">
        <v>542</v>
      </c>
      <c r="C17" t="s">
        <v>1167</v>
      </c>
      <c r="D17" s="7"/>
      <c r="E17" s="7">
        <v>45.716103195375602</v>
      </c>
      <c r="F17" s="7">
        <v>49.349502377221</v>
      </c>
      <c r="G17" s="7">
        <v>55.560462510017501</v>
      </c>
      <c r="H17" s="7">
        <v>64.451115922226094</v>
      </c>
      <c r="I17" s="7">
        <v>73.991377838583205</v>
      </c>
      <c r="J17" s="7">
        <v>84.892824428526694</v>
      </c>
      <c r="K17" s="7">
        <v>95.140560468831794</v>
      </c>
      <c r="L17" s="7">
        <v>102.716497900316</v>
      </c>
      <c r="M17" s="7">
        <v>110.895698836691</v>
      </c>
    </row>
    <row r="18" spans="1:16" x14ac:dyDescent="0.45">
      <c r="A18" t="s">
        <v>249</v>
      </c>
      <c r="B18" t="s">
        <v>542</v>
      </c>
      <c r="C18" t="s">
        <v>1168</v>
      </c>
      <c r="D18" s="7"/>
      <c r="E18" s="7">
        <v>48.7444553109002</v>
      </c>
      <c r="F18" s="7">
        <v>53.518675640000403</v>
      </c>
      <c r="G18" s="7">
        <v>59.407195843117599</v>
      </c>
      <c r="H18" s="7">
        <v>65.047280063847296</v>
      </c>
      <c r="I18" s="7">
        <v>69.800488457468205</v>
      </c>
      <c r="J18" s="7">
        <v>70.8862909555763</v>
      </c>
      <c r="K18" s="7">
        <v>67.656479476558701</v>
      </c>
      <c r="L18" s="7">
        <v>64.046805597951703</v>
      </c>
      <c r="M18" s="7">
        <v>60.629718528630399</v>
      </c>
    </row>
    <row r="19" spans="1:16" x14ac:dyDescent="0.45">
      <c r="A19" t="s">
        <v>328</v>
      </c>
      <c r="B19" t="s">
        <v>542</v>
      </c>
      <c r="C19" t="s">
        <v>1166</v>
      </c>
      <c r="D19" s="7">
        <v>11.429025798843901</v>
      </c>
      <c r="E19" s="7"/>
      <c r="F19" s="7"/>
      <c r="G19" s="7"/>
      <c r="H19" s="7"/>
      <c r="I19" s="7"/>
      <c r="J19" s="7"/>
      <c r="K19" s="7"/>
      <c r="L19" s="7"/>
      <c r="M19" s="7"/>
    </row>
    <row r="20" spans="1:16" x14ac:dyDescent="0.45">
      <c r="A20" t="s">
        <v>328</v>
      </c>
      <c r="B20" t="s">
        <v>542</v>
      </c>
      <c r="C20" t="s">
        <v>1167</v>
      </c>
      <c r="E20" s="7">
        <v>11.429025798843901</v>
      </c>
      <c r="F20" s="7">
        <v>12.296695710347599</v>
      </c>
      <c r="G20" s="7">
        <v>13.775821234589401</v>
      </c>
      <c r="H20" s="7">
        <v>15.884485297205201</v>
      </c>
      <c r="I20" s="7">
        <v>18.165421391822299</v>
      </c>
      <c r="J20" s="7">
        <v>20.793191090819398</v>
      </c>
      <c r="K20" s="7">
        <v>23.2653937575854</v>
      </c>
      <c r="L20" s="7">
        <v>25.086355853535402</v>
      </c>
      <c r="M20" s="7">
        <v>27.049843065949599</v>
      </c>
    </row>
    <row r="21" spans="1:16" x14ac:dyDescent="0.45">
      <c r="A21" t="s">
        <v>328</v>
      </c>
      <c r="B21" t="s">
        <v>542</v>
      </c>
      <c r="C21" t="s">
        <v>1168</v>
      </c>
      <c r="E21" s="7">
        <v>12.159827353090099</v>
      </c>
      <c r="F21" s="7">
        <v>13.295971292806099</v>
      </c>
      <c r="G21" s="7">
        <v>14.668573777883999</v>
      </c>
      <c r="H21" s="7">
        <v>15.9893880039485</v>
      </c>
      <c r="I21" s="7">
        <v>17.106945884079298</v>
      </c>
      <c r="J21" s="7">
        <v>17.337361748427998</v>
      </c>
      <c r="K21" s="7">
        <v>16.525932428403699</v>
      </c>
      <c r="L21" s="7">
        <v>15.6239150982162</v>
      </c>
      <c r="M21" s="7">
        <v>14.771131617161499</v>
      </c>
    </row>
    <row r="23" spans="1:16" x14ac:dyDescent="0.45">
      <c r="E23" s="7">
        <f>E17+E20</f>
        <v>57.145128994219505</v>
      </c>
      <c r="F23" s="7">
        <f t="shared" ref="F23:M23" si="1">F17+F20</f>
        <v>61.6461980875686</v>
      </c>
      <c r="G23" s="7">
        <f t="shared" si="1"/>
        <v>69.336283744606902</v>
      </c>
      <c r="H23" s="7">
        <f t="shared" si="1"/>
        <v>80.335601219431297</v>
      </c>
      <c r="I23" s="7">
        <f t="shared" si="1"/>
        <v>92.156799230405511</v>
      </c>
      <c r="J23" s="7">
        <f t="shared" si="1"/>
        <v>105.68601551934609</v>
      </c>
      <c r="K23" s="7">
        <f t="shared" si="1"/>
        <v>118.40595422641719</v>
      </c>
      <c r="L23" s="7">
        <f t="shared" si="1"/>
        <v>127.80285375385139</v>
      </c>
      <c r="M23" s="7">
        <f t="shared" si="1"/>
        <v>137.9455419026406</v>
      </c>
    </row>
    <row r="25" spans="1:16" ht="14.65" thickBot="1" x14ac:dyDescent="0.5">
      <c r="A25" t="s">
        <v>1170</v>
      </c>
      <c r="P25" s="3" t="str">
        <f>VLOOKUP('kea-tui'!A1,'kea-tui'!$E$1:$F$4,2,FALSE)</f>
        <v>tui</v>
      </c>
    </row>
    <row r="26" spans="1:16" ht="14.65" thickTop="1" x14ac:dyDescent="0.45">
      <c r="A26" t="s">
        <v>244</v>
      </c>
      <c r="B26" t="s">
        <v>6</v>
      </c>
      <c r="C26" t="s">
        <v>7</v>
      </c>
      <c r="D26" t="s">
        <v>1169</v>
      </c>
      <c r="E26">
        <v>2020</v>
      </c>
      <c r="F26">
        <v>2025</v>
      </c>
      <c r="G26">
        <v>2030</v>
      </c>
      <c r="H26">
        <v>2035</v>
      </c>
      <c r="I26">
        <v>2040</v>
      </c>
      <c r="J26">
        <v>2045</v>
      </c>
      <c r="K26">
        <v>2050</v>
      </c>
      <c r="L26">
        <v>2055</v>
      </c>
      <c r="M26">
        <v>2060</v>
      </c>
    </row>
    <row r="27" spans="1:16" x14ac:dyDescent="0.45">
      <c r="A27" t="s">
        <v>249</v>
      </c>
      <c r="B27" t="s">
        <v>534</v>
      </c>
      <c r="C27" t="str">
        <f>IF(P27=$P$25,"demand","\I:")</f>
        <v>\I:</v>
      </c>
      <c r="D27" t="str">
        <f>IF(E27=0,"\I:","")</f>
        <v>\I:</v>
      </c>
      <c r="P27" t="s">
        <v>1166</v>
      </c>
    </row>
    <row r="28" spans="1:16" x14ac:dyDescent="0.45">
      <c r="A28" t="s">
        <v>249</v>
      </c>
      <c r="B28" t="s">
        <v>534</v>
      </c>
      <c r="C28" t="str">
        <f t="shared" ref="C28:C38" si="2">IF(P28=$P$25,"demand","\I:")</f>
        <v>demand</v>
      </c>
      <c r="D28" t="str">
        <f t="shared" ref="D28:D38" si="3">IF(E28=0,"\I:","")</f>
        <v/>
      </c>
      <c r="E28" s="7">
        <f>E4*E$1</f>
        <v>5.088000000000001</v>
      </c>
      <c r="F28" s="7">
        <f>F4</f>
        <v>7.08</v>
      </c>
      <c r="G28" s="7">
        <f t="shared" ref="G28:M29" si="4">G4</f>
        <v>7.94</v>
      </c>
      <c r="H28" s="7">
        <f t="shared" si="4"/>
        <v>9.18</v>
      </c>
      <c r="I28" s="7">
        <f t="shared" si="4"/>
        <v>10.45</v>
      </c>
      <c r="J28" s="7">
        <f t="shared" si="4"/>
        <v>11.56</v>
      </c>
      <c r="K28" s="7">
        <f t="shared" si="4"/>
        <v>12.85</v>
      </c>
      <c r="L28" s="7">
        <f t="shared" si="4"/>
        <v>14.25</v>
      </c>
      <c r="M28" s="7">
        <f t="shared" si="4"/>
        <v>15.58</v>
      </c>
      <c r="P28" t="s">
        <v>241</v>
      </c>
    </row>
    <row r="29" spans="1:16" x14ac:dyDescent="0.45">
      <c r="A29" t="s">
        <v>249</v>
      </c>
      <c r="B29" t="s">
        <v>534</v>
      </c>
      <c r="C29" t="str">
        <f t="shared" si="2"/>
        <v>\I:</v>
      </c>
      <c r="D29" t="str">
        <f t="shared" si="3"/>
        <v/>
      </c>
      <c r="E29" s="7">
        <f>E5*E$1</f>
        <v>5.3920000000000003</v>
      </c>
      <c r="F29" s="7">
        <f>F5</f>
        <v>7.03</v>
      </c>
      <c r="G29" s="7">
        <f t="shared" si="4"/>
        <v>7.45</v>
      </c>
      <c r="H29" s="7">
        <f t="shared" si="4"/>
        <v>7.89</v>
      </c>
      <c r="I29" s="7">
        <f t="shared" si="4"/>
        <v>8.43</v>
      </c>
      <c r="J29" s="7">
        <f t="shared" si="4"/>
        <v>9.01</v>
      </c>
      <c r="K29" s="7">
        <f t="shared" si="4"/>
        <v>9.66</v>
      </c>
      <c r="L29" s="7">
        <f t="shared" si="4"/>
        <v>10.58</v>
      </c>
      <c r="M29" s="7">
        <f t="shared" si="4"/>
        <v>11.51</v>
      </c>
      <c r="P29" t="s">
        <v>242</v>
      </c>
    </row>
    <row r="30" spans="1:16" x14ac:dyDescent="0.45">
      <c r="A30" t="s">
        <v>249</v>
      </c>
      <c r="B30" t="s">
        <v>544</v>
      </c>
      <c r="C30" t="str">
        <f t="shared" si="2"/>
        <v>\I:</v>
      </c>
      <c r="D30" t="str">
        <f t="shared" si="3"/>
        <v>\I:</v>
      </c>
      <c r="E30" s="7"/>
      <c r="F30" s="7"/>
      <c r="G30" s="7"/>
      <c r="H30" s="7"/>
      <c r="I30" s="7"/>
      <c r="J30" s="7"/>
      <c r="K30" s="7"/>
      <c r="L30" s="7"/>
      <c r="M30" s="7"/>
      <c r="P30" t="str">
        <f>P27</f>
        <v>BASE</v>
      </c>
    </row>
    <row r="31" spans="1:16" x14ac:dyDescent="0.45">
      <c r="A31" t="s">
        <v>249</v>
      </c>
      <c r="B31" t="s">
        <v>544</v>
      </c>
      <c r="C31" t="str">
        <f t="shared" si="2"/>
        <v>demand</v>
      </c>
      <c r="D31" t="str">
        <f t="shared" si="3"/>
        <v/>
      </c>
      <c r="E31" s="7">
        <f t="shared" ref="E31:M31" si="5">E7*E$1</f>
        <v>21.368000000000002</v>
      </c>
      <c r="F31" s="7">
        <f t="shared" si="5"/>
        <v>25.533000000000001</v>
      </c>
      <c r="G31" s="7">
        <f t="shared" si="5"/>
        <v>27.864000000000001</v>
      </c>
      <c r="H31" s="7">
        <f t="shared" si="5"/>
        <v>31.094999999999999</v>
      </c>
      <c r="I31" s="7">
        <f t="shared" si="5"/>
        <v>34.046999999999997</v>
      </c>
      <c r="J31" s="7">
        <f t="shared" si="5"/>
        <v>36.072000000000003</v>
      </c>
      <c r="K31" s="7">
        <f t="shared" si="5"/>
        <v>38.384999999999998</v>
      </c>
      <c r="L31" s="7">
        <f t="shared" si="5"/>
        <v>40.869</v>
      </c>
      <c r="M31" s="7">
        <f t="shared" si="5"/>
        <v>43.038000000000004</v>
      </c>
      <c r="P31" t="str">
        <f t="shared" ref="P31:P38" si="6">P28</f>
        <v>tui</v>
      </c>
    </row>
    <row r="32" spans="1:16" x14ac:dyDescent="0.45">
      <c r="A32" t="s">
        <v>249</v>
      </c>
      <c r="B32" t="s">
        <v>544</v>
      </c>
      <c r="C32" t="str">
        <f t="shared" si="2"/>
        <v>\I:</v>
      </c>
      <c r="D32" t="str">
        <f t="shared" si="3"/>
        <v/>
      </c>
      <c r="E32" s="7">
        <f t="shared" ref="E32:M32" si="7">E8*E$1</f>
        <v>21.136000000000003</v>
      </c>
      <c r="F32" s="7">
        <f t="shared" si="7"/>
        <v>23.976000000000003</v>
      </c>
      <c r="G32" s="7">
        <f t="shared" si="7"/>
        <v>24.623999999999999</v>
      </c>
      <c r="H32" s="7">
        <f t="shared" si="7"/>
        <v>25.263000000000002</v>
      </c>
      <c r="I32" s="7">
        <f t="shared" si="7"/>
        <v>26.135999999999999</v>
      </c>
      <c r="J32" s="7">
        <f t="shared" si="7"/>
        <v>26.981999999999999</v>
      </c>
      <c r="K32" s="7">
        <f t="shared" si="7"/>
        <v>28.016999999999999</v>
      </c>
      <c r="L32" s="7">
        <f t="shared" si="7"/>
        <v>29.798999999999999</v>
      </c>
      <c r="M32" s="7">
        <f t="shared" si="7"/>
        <v>31.571999999999999</v>
      </c>
      <c r="P32" t="str">
        <f t="shared" si="6"/>
        <v>kea</v>
      </c>
    </row>
    <row r="33" spans="1:16" x14ac:dyDescent="0.45">
      <c r="A33" t="s">
        <v>328</v>
      </c>
      <c r="B33" t="s">
        <v>534</v>
      </c>
      <c r="C33" t="str">
        <f t="shared" si="2"/>
        <v>\I:</v>
      </c>
      <c r="D33" t="str">
        <f t="shared" si="3"/>
        <v>\I:</v>
      </c>
      <c r="E33" s="7"/>
      <c r="F33" s="7"/>
      <c r="G33" s="7"/>
      <c r="H33" s="7"/>
      <c r="I33" s="7"/>
      <c r="J33" s="7"/>
      <c r="K33" s="7"/>
      <c r="L33" s="7"/>
      <c r="M33" s="7"/>
      <c r="P33" t="str">
        <f t="shared" si="6"/>
        <v>BASE</v>
      </c>
    </row>
    <row r="34" spans="1:16" x14ac:dyDescent="0.45">
      <c r="A34" t="s">
        <v>328</v>
      </c>
      <c r="B34" t="s">
        <v>534</v>
      </c>
      <c r="C34" t="str">
        <f t="shared" si="2"/>
        <v>demand</v>
      </c>
      <c r="D34" t="str">
        <f t="shared" si="3"/>
        <v/>
      </c>
      <c r="E34" s="7">
        <f>E10*E$1</f>
        <v>2.12</v>
      </c>
      <c r="F34" s="7">
        <f>F10</f>
        <v>2.95</v>
      </c>
      <c r="G34" s="7">
        <f t="shared" ref="G34:M34" si="8">G10</f>
        <v>3.31</v>
      </c>
      <c r="H34" s="7">
        <f t="shared" si="8"/>
        <v>3.83</v>
      </c>
      <c r="I34" s="7">
        <f t="shared" si="8"/>
        <v>4.3600000000000003</v>
      </c>
      <c r="J34" s="7">
        <f t="shared" si="8"/>
        <v>4.82</v>
      </c>
      <c r="K34" s="7">
        <f t="shared" si="8"/>
        <v>5.36</v>
      </c>
      <c r="L34" s="7">
        <f t="shared" si="8"/>
        <v>5.94</v>
      </c>
      <c r="M34" s="7">
        <f t="shared" si="8"/>
        <v>6.49</v>
      </c>
      <c r="P34" t="str">
        <f t="shared" si="6"/>
        <v>tui</v>
      </c>
    </row>
    <row r="35" spans="1:16" x14ac:dyDescent="0.45">
      <c r="A35" t="s">
        <v>328</v>
      </c>
      <c r="B35" t="s">
        <v>534</v>
      </c>
      <c r="C35" t="str">
        <f t="shared" si="2"/>
        <v>\I:</v>
      </c>
      <c r="D35" t="str">
        <f t="shared" si="3"/>
        <v/>
      </c>
      <c r="E35" s="7">
        <f>E11*E$1</f>
        <v>2.2480000000000002</v>
      </c>
      <c r="F35" s="7">
        <f t="shared" ref="F35:M35" si="9">F11</f>
        <v>2.93</v>
      </c>
      <c r="G35" s="7">
        <f t="shared" si="9"/>
        <v>3.11</v>
      </c>
      <c r="H35" s="7">
        <f t="shared" si="9"/>
        <v>3.29</v>
      </c>
      <c r="I35" s="7">
        <f t="shared" si="9"/>
        <v>3.52</v>
      </c>
      <c r="J35" s="7">
        <f t="shared" si="9"/>
        <v>3.75</v>
      </c>
      <c r="K35" s="7">
        <f t="shared" si="9"/>
        <v>4.03</v>
      </c>
      <c r="L35" s="7">
        <f t="shared" si="9"/>
        <v>4.41</v>
      </c>
      <c r="M35" s="7">
        <f t="shared" si="9"/>
        <v>4.8</v>
      </c>
      <c r="P35" t="str">
        <f t="shared" si="6"/>
        <v>kea</v>
      </c>
    </row>
    <row r="36" spans="1:16" x14ac:dyDescent="0.45">
      <c r="A36" t="s">
        <v>328</v>
      </c>
      <c r="B36" t="s">
        <v>544</v>
      </c>
      <c r="C36" t="str">
        <f t="shared" si="2"/>
        <v>\I:</v>
      </c>
      <c r="D36" t="str">
        <f t="shared" si="3"/>
        <v>\I:</v>
      </c>
      <c r="E36" s="7"/>
      <c r="F36" s="7"/>
      <c r="G36" s="7"/>
      <c r="H36" s="7"/>
      <c r="I36" s="7"/>
      <c r="J36" s="7"/>
      <c r="K36" s="7"/>
      <c r="L36" s="7"/>
      <c r="M36" s="7"/>
      <c r="P36" t="str">
        <f t="shared" si="6"/>
        <v>BASE</v>
      </c>
    </row>
    <row r="37" spans="1:16" x14ac:dyDescent="0.45">
      <c r="A37" t="s">
        <v>328</v>
      </c>
      <c r="B37" t="s">
        <v>544</v>
      </c>
      <c r="C37" t="str">
        <f t="shared" si="2"/>
        <v>demand</v>
      </c>
      <c r="D37" t="str">
        <f t="shared" si="3"/>
        <v/>
      </c>
      <c r="E37" s="7">
        <f t="shared" ref="E37:M37" si="10">E13*E$1</f>
        <v>7.4560000000000004</v>
      </c>
      <c r="F37" s="7">
        <f t="shared" si="10"/>
        <v>8.91</v>
      </c>
      <c r="G37" s="7">
        <f t="shared" si="10"/>
        <v>9.7200000000000006</v>
      </c>
      <c r="H37" s="7">
        <f t="shared" si="10"/>
        <v>10.845000000000001</v>
      </c>
      <c r="I37" s="7">
        <f t="shared" si="10"/>
        <v>11.879999999999999</v>
      </c>
      <c r="J37" s="7">
        <f t="shared" si="10"/>
        <v>12.582000000000001</v>
      </c>
      <c r="K37" s="7">
        <f t="shared" si="10"/>
        <v>13.392000000000001</v>
      </c>
      <c r="L37" s="7">
        <f t="shared" si="10"/>
        <v>14.256</v>
      </c>
      <c r="M37" s="7">
        <f t="shared" si="10"/>
        <v>15.012</v>
      </c>
      <c r="P37" t="str">
        <f t="shared" si="6"/>
        <v>tui</v>
      </c>
    </row>
    <row r="38" spans="1:16" x14ac:dyDescent="0.45">
      <c r="A38" t="s">
        <v>328</v>
      </c>
      <c r="B38" t="s">
        <v>544</v>
      </c>
      <c r="C38" t="str">
        <f t="shared" si="2"/>
        <v>\I:</v>
      </c>
      <c r="D38" t="str">
        <f t="shared" si="3"/>
        <v/>
      </c>
      <c r="E38" s="7">
        <f t="shared" ref="E38:M38" si="11">E14*E$1</f>
        <v>7.3760000000000012</v>
      </c>
      <c r="F38" s="7">
        <f t="shared" si="11"/>
        <v>8.3609999999999989</v>
      </c>
      <c r="G38" s="7">
        <f t="shared" si="11"/>
        <v>8.5950000000000006</v>
      </c>
      <c r="H38" s="7">
        <f t="shared" si="11"/>
        <v>8.8109999999999999</v>
      </c>
      <c r="I38" s="7">
        <f t="shared" si="11"/>
        <v>9.1170000000000009</v>
      </c>
      <c r="J38" s="7">
        <f t="shared" si="11"/>
        <v>9.4140000000000015</v>
      </c>
      <c r="K38" s="7">
        <f t="shared" si="11"/>
        <v>9.7739999999999991</v>
      </c>
      <c r="L38" s="7">
        <f t="shared" si="11"/>
        <v>10.395000000000001</v>
      </c>
      <c r="M38" s="7">
        <f t="shared" si="11"/>
        <v>11.016</v>
      </c>
      <c r="P38" t="str">
        <f t="shared" si="6"/>
        <v>kea</v>
      </c>
    </row>
    <row r="39" spans="1:16" x14ac:dyDescent="0.45">
      <c r="C39" t="s">
        <v>1171</v>
      </c>
    </row>
    <row r="40" spans="1:16" x14ac:dyDescent="0.45">
      <c r="A40" t="str">
        <f>A16</f>
        <v>NI</v>
      </c>
      <c r="B40" t="str">
        <f t="shared" ref="B40:B45" si="12">B16</f>
        <v>T_O_JET_Int</v>
      </c>
      <c r="C40" t="str">
        <f t="shared" ref="C40:C42" si="13">IF(P40=$P$25,"demand","\I:")</f>
        <v>\I:</v>
      </c>
      <c r="D40" t="str">
        <f t="shared" ref="D40:D42" si="14">IF(E40=0,"\I:","")</f>
        <v>\I:</v>
      </c>
      <c r="E40" s="7"/>
      <c r="F40" s="7"/>
      <c r="G40" s="7"/>
      <c r="H40" s="7"/>
      <c r="I40" s="7"/>
      <c r="J40" s="7"/>
      <c r="K40" s="7"/>
      <c r="L40" s="7"/>
      <c r="M40" s="7"/>
      <c r="P40" t="s">
        <v>1166</v>
      </c>
    </row>
    <row r="41" spans="1:16" x14ac:dyDescent="0.45">
      <c r="A41" t="str">
        <f t="shared" ref="A41" si="15">A17</f>
        <v>NI</v>
      </c>
      <c r="B41" t="str">
        <f t="shared" si="12"/>
        <v>T_O_JET_Int</v>
      </c>
      <c r="C41" t="str">
        <f t="shared" si="13"/>
        <v>demand</v>
      </c>
      <c r="D41" t="str">
        <f t="shared" si="14"/>
        <v/>
      </c>
      <c r="E41" s="7">
        <f>E17*E$1^2</f>
        <v>29.258306045040392</v>
      </c>
      <c r="F41" s="7">
        <f t="shared" ref="F41:M41" si="16">F17*F$1^2</f>
        <v>39.973096925549015</v>
      </c>
      <c r="G41" s="7">
        <f t="shared" si="16"/>
        <v>45.003974633114176</v>
      </c>
      <c r="H41" s="7">
        <f t="shared" si="16"/>
        <v>52.205403897003137</v>
      </c>
      <c r="I41" s="7">
        <f t="shared" si="16"/>
        <v>59.933016049252402</v>
      </c>
      <c r="J41" s="7">
        <f t="shared" si="16"/>
        <v>68.763187787106631</v>
      </c>
      <c r="K41" s="7">
        <f t="shared" si="16"/>
        <v>77.063853979753759</v>
      </c>
      <c r="L41" s="7">
        <f t="shared" si="16"/>
        <v>83.200363299255969</v>
      </c>
      <c r="M41" s="7">
        <f t="shared" si="16"/>
        <v>89.82551605771971</v>
      </c>
      <c r="P41" t="s">
        <v>241</v>
      </c>
    </row>
    <row r="42" spans="1:16" x14ac:dyDescent="0.45">
      <c r="A42" t="str">
        <f t="shared" ref="A42" si="17">A18</f>
        <v>NI</v>
      </c>
      <c r="B42" t="str">
        <f t="shared" si="12"/>
        <v>T_O_JET_Int</v>
      </c>
      <c r="C42" t="str">
        <f t="shared" si="13"/>
        <v>\I:</v>
      </c>
      <c r="D42" t="str">
        <f t="shared" si="14"/>
        <v/>
      </c>
      <c r="E42" s="7">
        <f>E41</f>
        <v>29.258306045040392</v>
      </c>
      <c r="F42" s="7">
        <f t="shared" ref="F42:H42" si="18">F41</f>
        <v>39.973096925549015</v>
      </c>
      <c r="G42" s="7">
        <f t="shared" si="18"/>
        <v>45.003974633114176</v>
      </c>
      <c r="H42" s="7">
        <f t="shared" si="18"/>
        <v>52.205403897003137</v>
      </c>
      <c r="I42" s="7">
        <f t="shared" ref="I42:M42" si="19">I18*I$1^2</f>
        <v>56.538395650549248</v>
      </c>
      <c r="J42" s="7">
        <f t="shared" si="19"/>
        <v>57.417895674016805</v>
      </c>
      <c r="K42" s="7">
        <f t="shared" si="19"/>
        <v>54.801748376012554</v>
      </c>
      <c r="L42" s="7">
        <f t="shared" si="19"/>
        <v>51.877912534340886</v>
      </c>
      <c r="M42" s="7">
        <f t="shared" si="19"/>
        <v>49.110072008190627</v>
      </c>
      <c r="P42" t="s">
        <v>242</v>
      </c>
    </row>
    <row r="43" spans="1:16" x14ac:dyDescent="0.45">
      <c r="A43" t="str">
        <f t="shared" ref="A43" si="20">A19</f>
        <v>SI</v>
      </c>
      <c r="B43" t="str">
        <f t="shared" si="12"/>
        <v>T_O_JET_Int</v>
      </c>
      <c r="C43" t="str">
        <f t="shared" ref="C43:C45" si="21">IF(P43=$P$25,"demand","\I:")</f>
        <v>\I:</v>
      </c>
      <c r="D43" t="str">
        <f t="shared" ref="D43:D45" si="22">IF(E43=0,"\I:","")</f>
        <v>\I:</v>
      </c>
      <c r="E43" s="7"/>
      <c r="F43" s="7"/>
      <c r="G43" s="7"/>
      <c r="H43" s="7"/>
      <c r="I43" s="7"/>
      <c r="J43" s="7"/>
      <c r="K43" s="7"/>
      <c r="L43" s="7"/>
      <c r="M43" s="7"/>
      <c r="P43" t="str">
        <f>P40</f>
        <v>BASE</v>
      </c>
    </row>
    <row r="44" spans="1:16" x14ac:dyDescent="0.45">
      <c r="A44" t="str">
        <f t="shared" ref="A44" si="23">A20</f>
        <v>SI</v>
      </c>
      <c r="B44" t="str">
        <f t="shared" si="12"/>
        <v>T_O_JET_Int</v>
      </c>
      <c r="C44" t="str">
        <f t="shared" si="21"/>
        <v>demand</v>
      </c>
      <c r="D44" t="str">
        <f t="shared" si="22"/>
        <v/>
      </c>
      <c r="E44" s="7">
        <f t="shared" ref="E44:M44" si="24">E20*E$1^2</f>
        <v>7.314576511260098</v>
      </c>
      <c r="F44" s="7">
        <f t="shared" si="24"/>
        <v>9.9603235253815559</v>
      </c>
      <c r="G44" s="7">
        <f t="shared" si="24"/>
        <v>11.158415200017416</v>
      </c>
      <c r="H44" s="7">
        <f t="shared" si="24"/>
        <v>12.866433090736214</v>
      </c>
      <c r="I44" s="7">
        <f t="shared" si="24"/>
        <v>14.713991327376064</v>
      </c>
      <c r="J44" s="7">
        <f t="shared" si="24"/>
        <v>16.842484783563712</v>
      </c>
      <c r="K44" s="7">
        <f t="shared" si="24"/>
        <v>18.844968943644176</v>
      </c>
      <c r="L44" s="7">
        <f t="shared" si="24"/>
        <v>20.319948241363676</v>
      </c>
      <c r="M44" s="7">
        <f t="shared" si="24"/>
        <v>21.910372883419175</v>
      </c>
      <c r="P44" t="str">
        <f t="shared" ref="P44:P45" si="25">P41</f>
        <v>tui</v>
      </c>
    </row>
    <row r="45" spans="1:16" x14ac:dyDescent="0.45">
      <c r="A45" t="str">
        <f t="shared" ref="A45" si="26">A21</f>
        <v>SI</v>
      </c>
      <c r="B45" t="str">
        <f t="shared" si="12"/>
        <v>T_O_JET_Int</v>
      </c>
      <c r="C45" t="str">
        <f t="shared" si="21"/>
        <v>\I:</v>
      </c>
      <c r="D45" t="str">
        <f t="shared" si="22"/>
        <v/>
      </c>
      <c r="E45" s="7">
        <f>E44</f>
        <v>7.314576511260098</v>
      </c>
      <c r="F45" s="7">
        <f t="shared" ref="F45:H45" si="27">F44</f>
        <v>9.9603235253815559</v>
      </c>
      <c r="G45" s="7">
        <f t="shared" si="27"/>
        <v>11.158415200017416</v>
      </c>
      <c r="H45" s="7">
        <f t="shared" si="27"/>
        <v>12.866433090736214</v>
      </c>
      <c r="I45" s="7">
        <f t="shared" ref="I45:M45" si="28">I21*I$1^2</f>
        <v>13.856626166104233</v>
      </c>
      <c r="J45" s="7">
        <f t="shared" si="28"/>
        <v>14.04326301622668</v>
      </c>
      <c r="K45" s="7">
        <f t="shared" si="28"/>
        <v>13.386005267006997</v>
      </c>
      <c r="L45" s="7">
        <f t="shared" si="28"/>
        <v>12.655371229555122</v>
      </c>
      <c r="M45" s="7">
        <f t="shared" si="28"/>
        <v>11.964616609900816</v>
      </c>
      <c r="P45" t="str">
        <f t="shared" si="25"/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R20" sqref="R20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bas</v>
      </c>
      <c r="E1" s="21" t="s">
        <v>1109</v>
      </c>
    </row>
    <row r="2" spans="1:22" ht="14.65" thickTop="1" x14ac:dyDescent="0.45">
      <c r="P2" t="s">
        <v>1144</v>
      </c>
    </row>
    <row r="3" spans="1:22" x14ac:dyDescent="0.45">
      <c r="P3" t="s">
        <v>1145</v>
      </c>
      <c r="V3" t="s">
        <v>1146</v>
      </c>
    </row>
    <row r="4" spans="1:22" x14ac:dyDescent="0.45">
      <c r="F4" t="s">
        <v>1151</v>
      </c>
      <c r="Q4" t="s">
        <v>1147</v>
      </c>
      <c r="S4" t="s">
        <v>1148</v>
      </c>
      <c r="V4">
        <v>240000</v>
      </c>
    </row>
    <row r="5" spans="1:22" x14ac:dyDescent="0.45">
      <c r="D5" t="s">
        <v>17</v>
      </c>
      <c r="E5" t="s">
        <v>1119</v>
      </c>
      <c r="F5" t="s">
        <v>1111</v>
      </c>
      <c r="G5" s="23">
        <f>VLOOKUP($A$1,$Q$18:$R$22,2,FALSE)</f>
        <v>2035</v>
      </c>
      <c r="H5">
        <f>G5+5</f>
        <v>2040</v>
      </c>
      <c r="I5">
        <f>H5+5</f>
        <v>2045</v>
      </c>
      <c r="J5">
        <f>I5+5</f>
        <v>2050</v>
      </c>
      <c r="K5" t="s">
        <v>1120</v>
      </c>
      <c r="L5" t="s">
        <v>1121</v>
      </c>
      <c r="M5" t="s">
        <v>1115</v>
      </c>
      <c r="Q5" t="s">
        <v>1149</v>
      </c>
      <c r="R5" t="s">
        <v>1150</v>
      </c>
      <c r="S5" t="s">
        <v>1149</v>
      </c>
      <c r="T5" t="s">
        <v>1150</v>
      </c>
    </row>
    <row r="6" spans="1:22" x14ac:dyDescent="0.45">
      <c r="D6" t="s">
        <v>1122</v>
      </c>
      <c r="E6" t="s">
        <v>1123</v>
      </c>
      <c r="F6" t="s">
        <v>563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-9.9999999999544897E-6</v>
      </c>
      <c r="K6">
        <v>0</v>
      </c>
      <c r="L6">
        <v>5</v>
      </c>
      <c r="M6" t="s">
        <v>1124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1130</v>
      </c>
      <c r="G7">
        <f>+R7</f>
        <v>0.03</v>
      </c>
      <c r="H7">
        <f>+R8</f>
        <v>0.11</v>
      </c>
      <c r="I7">
        <f>+R9</f>
        <v>0.42</v>
      </c>
      <c r="J7">
        <f>+R10</f>
        <v>0.99999000000000005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1151</v>
      </c>
      <c r="P10">
        <v>2040</v>
      </c>
      <c r="Q10" s="7">
        <f t="shared" si="1"/>
        <v>0</v>
      </c>
      <c r="R10" s="7">
        <v>0.99999000000000005</v>
      </c>
      <c r="S10" s="7">
        <f t="shared" si="2"/>
        <v>0</v>
      </c>
      <c r="T10" s="7">
        <v>7.0000000000000007E-2</v>
      </c>
    </row>
    <row r="11" spans="1:22" x14ac:dyDescent="0.45">
      <c r="D11" t="s">
        <v>17</v>
      </c>
      <c r="E11" t="s">
        <v>1119</v>
      </c>
      <c r="F11" t="s">
        <v>1111</v>
      </c>
      <c r="G11">
        <f>$G$5</f>
        <v>2035</v>
      </c>
      <c r="H11">
        <f>G11+5</f>
        <v>2040</v>
      </c>
      <c r="I11">
        <f>H11+5</f>
        <v>2045</v>
      </c>
      <c r="J11">
        <f>I11+20</f>
        <v>2065</v>
      </c>
      <c r="K11" t="s">
        <v>1120</v>
      </c>
      <c r="L11" t="s">
        <v>1121</v>
      </c>
      <c r="M11" t="s">
        <v>1115</v>
      </c>
      <c r="P11">
        <v>2045</v>
      </c>
      <c r="Q11" s="7">
        <f t="shared" si="1"/>
        <v>0</v>
      </c>
      <c r="R11" s="7">
        <v>1</v>
      </c>
      <c r="S11" s="7">
        <f t="shared" si="2"/>
        <v>0</v>
      </c>
      <c r="T11" s="7">
        <v>0.11</v>
      </c>
    </row>
    <row r="12" spans="1:22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1135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</row>
    <row r="13" spans="1:22" x14ac:dyDescent="0.45">
      <c r="E13" t="s">
        <v>1141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</row>
    <row r="16" spans="1:22" x14ac:dyDescent="0.45">
      <c r="F16" t="s">
        <v>1151</v>
      </c>
    </row>
    <row r="17" spans="4:18" x14ac:dyDescent="0.45">
      <c r="D17" t="s">
        <v>17</v>
      </c>
      <c r="E17" t="s">
        <v>1119</v>
      </c>
      <c r="F17" t="s">
        <v>1111</v>
      </c>
      <c r="G17">
        <f>$G$5</f>
        <v>2035</v>
      </c>
      <c r="H17">
        <f t="shared" ref="H17:J17" si="4">G17+5</f>
        <v>2040</v>
      </c>
      <c r="I17">
        <f t="shared" si="4"/>
        <v>2045</v>
      </c>
      <c r="J17">
        <f t="shared" si="4"/>
        <v>2050</v>
      </c>
      <c r="K17" t="s">
        <v>1120</v>
      </c>
      <c r="L17" t="s">
        <v>1121</v>
      </c>
      <c r="M17" t="s">
        <v>1115</v>
      </c>
    </row>
    <row r="18" spans="4:18" x14ac:dyDescent="0.45">
      <c r="D18" t="s">
        <v>1125</v>
      </c>
      <c r="E18" t="s">
        <v>1126</v>
      </c>
      <c r="F18" t="s">
        <v>563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1127</v>
      </c>
      <c r="Q18" s="6" t="s">
        <v>1155</v>
      </c>
      <c r="R18" s="6">
        <v>2035</v>
      </c>
    </row>
    <row r="19" spans="4:18" x14ac:dyDescent="0.45">
      <c r="E19" t="s">
        <v>1131</v>
      </c>
      <c r="G19">
        <v>0.03</v>
      </c>
      <c r="H19">
        <v>0.11</v>
      </c>
      <c r="I19">
        <v>0.42</v>
      </c>
      <c r="J19">
        <v>0.99999000000000005</v>
      </c>
      <c r="Q19" s="6" t="s">
        <v>241</v>
      </c>
      <c r="R19" s="6">
        <v>2030</v>
      </c>
    </row>
    <row r="20" spans="4:18" x14ac:dyDescent="0.45">
      <c r="Q20" s="6" t="s">
        <v>242</v>
      </c>
      <c r="R20" s="6">
        <v>2020</v>
      </c>
    </row>
    <row r="21" spans="4:18" x14ac:dyDescent="0.45">
      <c r="Q21" s="6" t="s">
        <v>1157</v>
      </c>
      <c r="R21" s="6">
        <v>2015</v>
      </c>
    </row>
    <row r="22" spans="4:18" x14ac:dyDescent="0.45">
      <c r="F22" t="s">
        <v>1151</v>
      </c>
    </row>
    <row r="23" spans="4:18" x14ac:dyDescent="0.45">
      <c r="D23" t="s">
        <v>17</v>
      </c>
      <c r="E23" t="s">
        <v>1119</v>
      </c>
      <c r="F23" t="s">
        <v>1111</v>
      </c>
      <c r="G23">
        <f>$G$5</f>
        <v>2035</v>
      </c>
      <c r="H23">
        <f t="shared" ref="H23:I23" si="5">G23+5</f>
        <v>2040</v>
      </c>
      <c r="I23">
        <f t="shared" si="5"/>
        <v>2045</v>
      </c>
      <c r="J23">
        <f>I23+20</f>
        <v>2065</v>
      </c>
      <c r="K23" t="s">
        <v>1120</v>
      </c>
      <c r="L23" t="s">
        <v>1121</v>
      </c>
      <c r="M23" t="s">
        <v>1115</v>
      </c>
    </row>
    <row r="24" spans="4:18" x14ac:dyDescent="0.45">
      <c r="D24" t="s">
        <v>1136</v>
      </c>
      <c r="E24" t="s">
        <v>1137</v>
      </c>
      <c r="F24" t="s">
        <v>563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1138</v>
      </c>
    </row>
    <row r="25" spans="4:18" x14ac:dyDescent="0.45">
      <c r="E25" t="s">
        <v>1142</v>
      </c>
      <c r="G25">
        <v>0.01</v>
      </c>
      <c r="H25">
        <v>0.02</v>
      </c>
      <c r="I25">
        <v>0.04</v>
      </c>
      <c r="J25">
        <v>0.17</v>
      </c>
    </row>
    <row r="28" spans="4:18" x14ac:dyDescent="0.45">
      <c r="F28" t="s">
        <v>1151</v>
      </c>
    </row>
    <row r="29" spans="4:18" x14ac:dyDescent="0.45">
      <c r="D29" t="s">
        <v>17</v>
      </c>
      <c r="E29" t="s">
        <v>1119</v>
      </c>
      <c r="F29" t="s">
        <v>1111</v>
      </c>
      <c r="G29">
        <f>$G$5</f>
        <v>2035</v>
      </c>
      <c r="H29">
        <f t="shared" ref="H29:K29" si="6">G29+5</f>
        <v>2040</v>
      </c>
      <c r="I29">
        <f t="shared" si="6"/>
        <v>2045</v>
      </c>
      <c r="J29">
        <f t="shared" si="6"/>
        <v>2050</v>
      </c>
      <c r="K29">
        <f t="shared" si="6"/>
        <v>2055</v>
      </c>
      <c r="L29" t="s">
        <v>1120</v>
      </c>
      <c r="M29" t="s">
        <v>1121</v>
      </c>
      <c r="N29" t="s">
        <v>1115</v>
      </c>
    </row>
    <row r="30" spans="4:18" x14ac:dyDescent="0.45">
      <c r="D30" t="s">
        <v>1128</v>
      </c>
      <c r="E30" t="s">
        <v>1129</v>
      </c>
      <c r="F30" t="s">
        <v>563</v>
      </c>
      <c r="G30">
        <v>-0.97</v>
      </c>
      <c r="H30">
        <v>-0.89</v>
      </c>
      <c r="I30">
        <f>H30+0.2</f>
        <v>-0.69</v>
      </c>
      <c r="J30">
        <f>I30+0.2</f>
        <v>-0.48999999999999994</v>
      </c>
      <c r="K30">
        <f>J30+0.2</f>
        <v>-0.28999999999999992</v>
      </c>
      <c r="L30">
        <v>0</v>
      </c>
      <c r="M30">
        <v>5</v>
      </c>
      <c r="N30" t="s">
        <v>1152</v>
      </c>
    </row>
    <row r="31" spans="4:18" x14ac:dyDescent="0.45">
      <c r="E31" t="s">
        <v>1132</v>
      </c>
      <c r="G31">
        <v>0.03</v>
      </c>
      <c r="H31">
        <v>0.11</v>
      </c>
      <c r="I31">
        <f>1+I30</f>
        <v>0.31000000000000005</v>
      </c>
      <c r="J31">
        <f>1+J30</f>
        <v>0.51</v>
      </c>
      <c r="K31">
        <f>1+K30</f>
        <v>0.71000000000000008</v>
      </c>
    </row>
    <row r="34" spans="4:14" x14ac:dyDescent="0.45">
      <c r="F34" t="s">
        <v>1151</v>
      </c>
    </row>
    <row r="35" spans="4:14" x14ac:dyDescent="0.45">
      <c r="D35" t="s">
        <v>17</v>
      </c>
      <c r="E35" t="s">
        <v>1119</v>
      </c>
      <c r="F35" t="s">
        <v>1111</v>
      </c>
      <c r="G35">
        <f>$G$5</f>
        <v>2035</v>
      </c>
      <c r="H35">
        <f t="shared" ref="H35:K35" si="7">G35+5</f>
        <v>2040</v>
      </c>
      <c r="I35">
        <f t="shared" si="7"/>
        <v>2045</v>
      </c>
      <c r="J35">
        <f t="shared" si="7"/>
        <v>2050</v>
      </c>
      <c r="K35">
        <f t="shared" si="7"/>
        <v>2055</v>
      </c>
      <c r="L35" t="s">
        <v>1120</v>
      </c>
      <c r="M35" t="s">
        <v>1121</v>
      </c>
      <c r="N35" t="s">
        <v>1115</v>
      </c>
    </row>
    <row r="36" spans="4:14" x14ac:dyDescent="0.45">
      <c r="D36" t="s">
        <v>1139</v>
      </c>
      <c r="E36" t="s">
        <v>1140</v>
      </c>
      <c r="F36" t="s">
        <v>563</v>
      </c>
      <c r="G36">
        <v>-1</v>
      </c>
      <c r="H36">
        <v>-0.75</v>
      </c>
      <c r="I36">
        <f>H36+0.2</f>
        <v>-0.55000000000000004</v>
      </c>
      <c r="J36">
        <f>I36+0.2</f>
        <v>-0.35000000000000003</v>
      </c>
      <c r="K36">
        <f>J36+0.2</f>
        <v>-0.15000000000000002</v>
      </c>
      <c r="L36">
        <v>0</v>
      </c>
      <c r="M36">
        <v>5</v>
      </c>
      <c r="N36" t="s">
        <v>1153</v>
      </c>
    </row>
    <row r="37" spans="4:14" x14ac:dyDescent="0.45">
      <c r="E37" t="s">
        <v>1143</v>
      </c>
      <c r="G37">
        <v>0</v>
      </c>
      <c r="H37">
        <f t="shared" ref="H37:K37" si="8">1+H36</f>
        <v>0.25</v>
      </c>
      <c r="I37">
        <f t="shared" si="8"/>
        <v>0.44999999999999996</v>
      </c>
      <c r="J37">
        <f t="shared" si="8"/>
        <v>0.64999999999999991</v>
      </c>
      <c r="K37">
        <f t="shared" si="8"/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bas</v>
      </c>
      <c r="B1" t="s">
        <v>242</v>
      </c>
      <c r="C1" t="str">
        <f>'kea-tui'!A1</f>
        <v>tui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No CO2 budget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H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3.5000000000000003E-2</v>
      </c>
      <c r="F29" s="7">
        <f t="shared" si="3"/>
        <v>3.5000000000000003E-2</v>
      </c>
      <c r="G29" s="7">
        <f t="shared" si="3"/>
        <v>3.5000000000000003E-2</v>
      </c>
      <c r="H29" s="7">
        <f t="shared" si="3"/>
        <v>3.5000000000000003E-2</v>
      </c>
      <c r="I29" s="7">
        <f t="shared" si="3"/>
        <v>3.5000000000000003E-2</v>
      </c>
      <c r="J29" s="7">
        <f t="shared" si="3"/>
        <v>3.5000000000000003E-2</v>
      </c>
      <c r="K29" s="7">
        <f t="shared" si="3"/>
        <v>3.5000000000000003E-2</v>
      </c>
      <c r="L29" s="7">
        <f t="shared" si="3"/>
        <v>3.5000000000000003E-2</v>
      </c>
      <c r="M29" s="7">
        <f t="shared" si="3"/>
        <v>3.5000000000000003E-2</v>
      </c>
      <c r="N29" s="7">
        <f t="shared" si="3"/>
        <v>3.5000000000000003E-2</v>
      </c>
      <c r="O29" s="7">
        <f t="shared" si="3"/>
        <v>3.5000000000000003E-2</v>
      </c>
      <c r="P29" s="7">
        <f t="shared" si="3"/>
        <v>3.5000000000000003E-2</v>
      </c>
      <c r="Q29" s="7">
        <f t="shared" si="3"/>
        <v>3.5000000000000003E-2</v>
      </c>
      <c r="R29" s="7">
        <f t="shared" si="3"/>
        <v>3.5000000000000003E-2</v>
      </c>
      <c r="S29" s="7">
        <f t="shared" si="3"/>
        <v>3.5000000000000003E-2</v>
      </c>
      <c r="T29" s="7">
        <f t="shared" si="3"/>
        <v>3.5000000000000003E-2</v>
      </c>
      <c r="U29" s="7">
        <f t="shared" si="3"/>
        <v>3.5000000000000003E-2</v>
      </c>
      <c r="V29" s="7">
        <f t="shared" si="3"/>
        <v>3.5000000000000003E-2</v>
      </c>
      <c r="W29" s="7">
        <f t="shared" si="3"/>
        <v>3.5000000000000003E-2</v>
      </c>
      <c r="X29" s="7">
        <f t="shared" si="3"/>
        <v>3.5000000000000003E-2</v>
      </c>
      <c r="Y29" s="7">
        <f t="shared" si="3"/>
        <v>3.5000000000000003E-2</v>
      </c>
      <c r="Z29" s="7">
        <f t="shared" si="3"/>
        <v>3.5000000000000003E-2</v>
      </c>
      <c r="AA29" s="7">
        <f t="shared" si="3"/>
        <v>3.5000000000000003E-2</v>
      </c>
      <c r="AB29" s="7">
        <f t="shared" si="3"/>
        <v>3.5000000000000003E-2</v>
      </c>
      <c r="AC29" s="7">
        <f t="shared" si="3"/>
        <v>3.5000000000000003E-2</v>
      </c>
      <c r="AD29" s="7">
        <f t="shared" si="3"/>
        <v>3.5000000000000003E-2</v>
      </c>
      <c r="AE29" s="7">
        <f t="shared" si="3"/>
        <v>3.5000000000000003E-2</v>
      </c>
      <c r="AF29" s="7">
        <f t="shared" si="3"/>
        <v>3.5000000000000003E-2</v>
      </c>
      <c r="AG29" s="7">
        <f t="shared" si="3"/>
        <v>3.5000000000000003E-2</v>
      </c>
      <c r="AH29" s="7">
        <f t="shared" si="3"/>
        <v>3.5000000000000003E-2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2025-11-18T05:16:56Z</dcterms:modified>
</cp:coreProperties>
</file>