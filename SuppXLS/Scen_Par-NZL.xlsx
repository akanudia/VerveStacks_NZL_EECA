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D4F5ABFB-3186-4752-90B5-F8A34D4CBEAA}" xr6:coauthVersionLast="47" xr6:coauthVersionMax="47" xr10:uidLastSave="{00000000-0000-0000-0000-000000000000}"/>
  <bookViews>
    <workbookView xWindow="3278" yWindow="3278" windowWidth="21599" windowHeight="12682" activeTab="2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'kea-tui'!$X$7:$Z$7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14" l="1"/>
  <c r="H1" i="14" s="1"/>
  <c r="F29" i="14"/>
  <c r="E29" i="14"/>
  <c r="D29" i="14" s="1"/>
  <c r="G28" i="14"/>
  <c r="F28" i="14"/>
  <c r="E28" i="14"/>
  <c r="D28" i="14" s="1"/>
  <c r="G26" i="14"/>
  <c r="F26" i="14"/>
  <c r="E26" i="14"/>
  <c r="D26" i="14" s="1"/>
  <c r="G25" i="14"/>
  <c r="F25" i="14"/>
  <c r="E25" i="14"/>
  <c r="D25" i="14" s="1"/>
  <c r="G23" i="14"/>
  <c r="F23" i="14"/>
  <c r="E23" i="14"/>
  <c r="D23" i="14" s="1"/>
  <c r="F22" i="14"/>
  <c r="E22" i="14"/>
  <c r="D22" i="14" s="1"/>
  <c r="F20" i="14"/>
  <c r="E20" i="14"/>
  <c r="D20" i="14" s="1"/>
  <c r="G19" i="14"/>
  <c r="F19" i="14"/>
  <c r="E19" i="14"/>
  <c r="D19" i="14" s="1"/>
  <c r="C19" i="14"/>
  <c r="C20" i="14"/>
  <c r="C21" i="14"/>
  <c r="C22" i="14"/>
  <c r="C23" i="14"/>
  <c r="C24" i="14"/>
  <c r="C25" i="14"/>
  <c r="C26" i="14"/>
  <c r="C27" i="14"/>
  <c r="C28" i="14"/>
  <c r="C29" i="14"/>
  <c r="C18" i="14"/>
  <c r="P22" i="14"/>
  <c r="P23" i="14"/>
  <c r="P26" i="14" s="1"/>
  <c r="P29" i="14" s="1"/>
  <c r="P24" i="14"/>
  <c r="P25" i="14"/>
  <c r="P27" i="14"/>
  <c r="P28" i="14"/>
  <c r="P21" i="14"/>
  <c r="P16" i="14"/>
  <c r="D27" i="14"/>
  <c r="D24" i="14"/>
  <c r="D21" i="14"/>
  <c r="D18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K30" i="13"/>
  <c r="J30" i="13"/>
  <c r="I30" i="13"/>
  <c r="I31" i="13" s="1"/>
  <c r="H37" i="13"/>
  <c r="J36" i="13"/>
  <c r="K36" i="13" s="1"/>
  <c r="I36" i="13"/>
  <c r="I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H20" i="14" l="1"/>
  <c r="H29" i="14"/>
  <c r="H28" i="14"/>
  <c r="H26" i="14"/>
  <c r="H25" i="14"/>
  <c r="H19" i="14"/>
  <c r="H22" i="14"/>
  <c r="G20" i="14"/>
  <c r="G29" i="14"/>
  <c r="G22" i="14"/>
  <c r="H23" i="14"/>
  <c r="I1" i="14"/>
  <c r="K31" i="13"/>
  <c r="J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J1" i="14" l="1"/>
  <c r="I23" i="14"/>
  <c r="I26" i="14"/>
  <c r="I19" i="14"/>
  <c r="I29" i="14"/>
  <c r="I22" i="14"/>
  <c r="I25" i="14"/>
  <c r="I28" i="14"/>
  <c r="I20" i="14"/>
  <c r="J37" i="13"/>
  <c r="K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K1" i="14" l="1"/>
  <c r="J23" i="14"/>
  <c r="J26" i="14"/>
  <c r="J19" i="14"/>
  <c r="J29" i="14"/>
  <c r="J22" i="14"/>
  <c r="J25" i="14"/>
  <c r="J28" i="14"/>
  <c r="J20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L1" i="14" l="1"/>
  <c r="K23" i="14"/>
  <c r="K26" i="14"/>
  <c r="K19" i="14"/>
  <c r="K29" i="14"/>
  <c r="K22" i="14"/>
  <c r="K25" i="14"/>
  <c r="K28" i="14"/>
  <c r="K20" i="14"/>
  <c r="A1" i="13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M1" i="14" l="1"/>
  <c r="L23" i="14"/>
  <c r="L26" i="14"/>
  <c r="L19" i="14"/>
  <c r="L29" i="14"/>
  <c r="L22" i="14"/>
  <c r="L25" i="14"/>
  <c r="L28" i="14"/>
  <c r="L20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M26" i="14" l="1"/>
  <c r="M19" i="14"/>
  <c r="M29" i="14"/>
  <c r="M22" i="14"/>
  <c r="M25" i="14"/>
  <c r="M28" i="14"/>
  <c r="M20" i="14"/>
  <c r="M23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<sst xmlns="http://schemas.openxmlformats.org/spreadsheetml/2006/main" count="25464" uniqueCount="1171">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</sst>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</font>
    <font>
      <sz val="8.25"/>
      <color rgb="FF2B2C3C"/>
      <name val="Microsoft Sans Serif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B12" sqref="B1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1</v>
      </c>
    </row>
    <row r="5" spans="1:20" x14ac:dyDescent="0.45">
      <c r="D5" s="1" t="str">
        <f>VLOOKUP(D3,$C$9:$E$999,2,FALSE)</f>
        <v>ts_012</v>
      </c>
      <c r="E5" s="1" t="str">
        <f>VLOOKUP(D3,$C$9:$E$999,3,FALSE)</f>
        <v>tui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workbookViewId="0">
      <selection activeCell="G1" sqref="G1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v>0.13640989206096199</v>
      </c>
      <c r="AH77" s="18"/>
      <c r="AI77" s="18"/>
      <c r="AJ77" s="19">
        <v>0.17231484714244999</v>
      </c>
      <c r="AK77" s="18"/>
      <c r="AL77" s="18"/>
      <c r="AM77" s="19">
        <v>0.14000000000000001</v>
      </c>
      <c r="AN77" s="18"/>
      <c r="AO77" s="18"/>
      <c r="AP77" s="19">
        <v>0.17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v>0.13640989206096199</v>
      </c>
      <c r="AH299" s="18"/>
      <c r="AI299" s="18"/>
      <c r="AJ299" s="19">
        <v>0.17231484714244999</v>
      </c>
      <c r="AK299" s="18"/>
      <c r="AL299" s="18"/>
      <c r="AM299" s="19">
        <v>0.14000000000000001</v>
      </c>
      <c r="AN299" s="18"/>
      <c r="AO299" s="18"/>
      <c r="AP299" s="19">
        <v>0.17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P29"/>
  <sheetViews>
    <sheetView tabSelected="1" workbookViewId="0">
      <selection activeCell="E1" sqref="E1"/>
    </sheetView>
  </sheetViews>
  <sheetFormatPr defaultRowHeight="14.25" x14ac:dyDescent="0.45"/>
  <sheetData>
    <row r="1" spans="1:16" x14ac:dyDescent="0.45">
      <c r="A1" t="s">
        <v>1163</v>
      </c>
      <c r="D1" t="s">
        <v>1164</v>
      </c>
      <c r="E1">
        <v>0.8</v>
      </c>
      <c r="F1">
        <v>0.92500000000000004</v>
      </c>
      <c r="G1">
        <f>F1</f>
        <v>0.92500000000000004</v>
      </c>
      <c r="H1">
        <f t="shared" ref="H1:M1" si="0">G1</f>
        <v>0.92500000000000004</v>
      </c>
      <c r="I1">
        <f t="shared" si="0"/>
        <v>0.92500000000000004</v>
      </c>
      <c r="J1">
        <f t="shared" si="0"/>
        <v>0.92500000000000004</v>
      </c>
      <c r="K1">
        <f t="shared" si="0"/>
        <v>0.92500000000000004</v>
      </c>
      <c r="L1">
        <f t="shared" si="0"/>
        <v>0.92500000000000004</v>
      </c>
      <c r="M1">
        <f t="shared" si="0"/>
        <v>0.92500000000000004</v>
      </c>
    </row>
    <row r="2" spans="1:16" x14ac:dyDescent="0.45">
      <c r="A2" t="s">
        <v>244</v>
      </c>
      <c r="B2" t="s">
        <v>6</v>
      </c>
      <c r="C2" t="s">
        <v>1165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16" x14ac:dyDescent="0.45">
      <c r="A3" t="s">
        <v>249</v>
      </c>
      <c r="B3" t="s">
        <v>534</v>
      </c>
      <c r="C3" t="s">
        <v>1166</v>
      </c>
      <c r="D3">
        <v>6.36</v>
      </c>
    </row>
    <row r="4" spans="1:16" x14ac:dyDescent="0.45">
      <c r="A4" t="s">
        <v>249</v>
      </c>
      <c r="B4" t="s">
        <v>534</v>
      </c>
      <c r="C4" t="s">
        <v>1167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16" x14ac:dyDescent="0.45">
      <c r="A5" t="s">
        <v>249</v>
      </c>
      <c r="B5" t="s">
        <v>534</v>
      </c>
      <c r="C5" t="s">
        <v>1168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16" x14ac:dyDescent="0.45">
      <c r="A6" t="s">
        <v>249</v>
      </c>
      <c r="B6" t="s">
        <v>544</v>
      </c>
      <c r="C6" t="s">
        <v>1166</v>
      </c>
      <c r="D6">
        <v>26.71</v>
      </c>
    </row>
    <row r="7" spans="1:16" x14ac:dyDescent="0.45">
      <c r="A7" t="s">
        <v>249</v>
      </c>
      <c r="B7" t="s">
        <v>544</v>
      </c>
      <c r="C7" t="s">
        <v>1167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</row>
    <row r="8" spans="1:16" x14ac:dyDescent="0.45">
      <c r="A8" t="s">
        <v>249</v>
      </c>
      <c r="B8" t="s">
        <v>544</v>
      </c>
      <c r="C8" t="s">
        <v>1168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</row>
    <row r="9" spans="1:16" x14ac:dyDescent="0.45">
      <c r="A9" t="s">
        <v>328</v>
      </c>
      <c r="B9" t="s">
        <v>534</v>
      </c>
      <c r="C9" t="s">
        <v>1166</v>
      </c>
      <c r="D9">
        <v>2.65</v>
      </c>
    </row>
    <row r="10" spans="1:16" x14ac:dyDescent="0.45">
      <c r="A10" t="s">
        <v>328</v>
      </c>
      <c r="B10" t="s">
        <v>534</v>
      </c>
      <c r="C10" t="s">
        <v>1167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</row>
    <row r="11" spans="1:16" x14ac:dyDescent="0.45">
      <c r="A11" t="s">
        <v>328</v>
      </c>
      <c r="B11" t="s">
        <v>534</v>
      </c>
      <c r="C11" t="s">
        <v>1168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</row>
    <row r="12" spans="1:16" x14ac:dyDescent="0.45">
      <c r="A12" t="s">
        <v>328</v>
      </c>
      <c r="B12" t="s">
        <v>544</v>
      </c>
      <c r="C12" t="s">
        <v>1166</v>
      </c>
      <c r="D12">
        <v>9.32</v>
      </c>
    </row>
    <row r="13" spans="1:16" x14ac:dyDescent="0.45">
      <c r="A13" t="s">
        <v>328</v>
      </c>
      <c r="B13" t="s">
        <v>544</v>
      </c>
      <c r="C13" t="s">
        <v>1167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16" x14ac:dyDescent="0.45">
      <c r="A14" t="s">
        <v>328</v>
      </c>
      <c r="B14" t="s">
        <v>544</v>
      </c>
      <c r="C14" t="s">
        <v>1168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16" ht="14.65" thickBot="1" x14ac:dyDescent="0.5">
      <c r="A16" t="s">
        <v>1170</v>
      </c>
      <c r="P16" s="3" t="str">
        <f>VLOOKUP('kea-tui'!A1,'kea-tui'!$E$1:$F$4,2,FALSE)</f>
        <v>tui</v>
      </c>
    </row>
    <row r="17" spans="1:16" ht="14.65" thickTop="1" x14ac:dyDescent="0.45">
      <c r="A17" t="s">
        <v>244</v>
      </c>
      <c r="B17" t="s">
        <v>6</v>
      </c>
      <c r="C17" t="s">
        <v>7</v>
      </c>
      <c r="D17" t="s">
        <v>1169</v>
      </c>
      <c r="E17">
        <v>2020</v>
      </c>
      <c r="F17">
        <v>2025</v>
      </c>
      <c r="G17">
        <v>2030</v>
      </c>
      <c r="H17">
        <v>2035</v>
      </c>
      <c r="I17">
        <v>2040</v>
      </c>
      <c r="J17">
        <v>2045</v>
      </c>
      <c r="K17">
        <v>2050</v>
      </c>
      <c r="L17">
        <v>2055</v>
      </c>
      <c r="M17">
        <v>2060</v>
      </c>
    </row>
    <row r="18" spans="1:16" x14ac:dyDescent="0.45">
      <c r="A18" t="s">
        <v>249</v>
      </c>
      <c r="B18" t="s">
        <v>534</v>
      </c>
      <c r="C18" t="str">
        <f>IF(P18=$P$16,"demand","\I:")</f>
        <v>\I:</v>
      </c>
      <c r="D18" t="str">
        <f>IF(E18=0,"\I:","")</f>
        <v>\I:</v>
      </c>
      <c r="P18" t="s">
        <v>1166</v>
      </c>
    </row>
    <row r="19" spans="1:16" x14ac:dyDescent="0.45">
      <c r="A19" t="s">
        <v>249</v>
      </c>
      <c r="B19" t="s">
        <v>534</v>
      </c>
      <c r="C19" t="str">
        <f t="shared" ref="C19:C29" si="1">IF(P19=$P$16,"demand","\I:")</f>
        <v>demand</v>
      </c>
      <c r="D19" t="str">
        <f t="shared" ref="D19:D29" si="2">IF(E19=0,"\I:","")</f>
        <v/>
      </c>
      <c r="E19" s="7">
        <f>E4*E$1</f>
        <v>5.088000000000001</v>
      </c>
      <c r="F19" s="7">
        <f t="shared" ref="F19:M29" si="3">F4*F$1</f>
        <v>6.5490000000000004</v>
      </c>
      <c r="G19" s="7">
        <f t="shared" si="3"/>
        <v>7.3445000000000009</v>
      </c>
      <c r="H19" s="7">
        <f t="shared" si="3"/>
        <v>8.4915000000000003</v>
      </c>
      <c r="I19" s="7">
        <f t="shared" si="3"/>
        <v>9.6662499999999998</v>
      </c>
      <c r="J19" s="7">
        <f t="shared" si="3"/>
        <v>10.693000000000001</v>
      </c>
      <c r="K19" s="7">
        <f t="shared" si="3"/>
        <v>11.88625</v>
      </c>
      <c r="L19" s="7">
        <f t="shared" si="3"/>
        <v>13.18125</v>
      </c>
      <c r="M19" s="7">
        <f t="shared" si="3"/>
        <v>14.4115</v>
      </c>
      <c r="P19" t="s">
        <v>241</v>
      </c>
    </row>
    <row r="20" spans="1:16" x14ac:dyDescent="0.45">
      <c r="A20" t="s">
        <v>249</v>
      </c>
      <c r="B20" t="s">
        <v>534</v>
      </c>
      <c r="C20" t="str">
        <f t="shared" si="1"/>
        <v>\I:</v>
      </c>
      <c r="D20" t="str">
        <f t="shared" si="2"/>
        <v/>
      </c>
      <c r="E20" s="7">
        <f>E5*E$1</f>
        <v>5.3920000000000003</v>
      </c>
      <c r="F20" s="7">
        <f t="shared" si="3"/>
        <v>6.5027500000000007</v>
      </c>
      <c r="G20" s="7">
        <f t="shared" si="3"/>
        <v>6.8912500000000003</v>
      </c>
      <c r="H20" s="7">
        <f t="shared" si="3"/>
        <v>7.2982500000000003</v>
      </c>
      <c r="I20" s="7">
        <f t="shared" si="3"/>
        <v>7.7977499999999997</v>
      </c>
      <c r="J20" s="7">
        <f t="shared" si="3"/>
        <v>8.3342500000000008</v>
      </c>
      <c r="K20" s="7">
        <f t="shared" si="3"/>
        <v>8.9355000000000011</v>
      </c>
      <c r="L20" s="7">
        <f t="shared" si="3"/>
        <v>9.7865000000000002</v>
      </c>
      <c r="M20" s="7">
        <f t="shared" si="3"/>
        <v>10.646750000000001</v>
      </c>
      <c r="P20" t="s">
        <v>242</v>
      </c>
    </row>
    <row r="21" spans="1:16" x14ac:dyDescent="0.45">
      <c r="A21" t="s">
        <v>249</v>
      </c>
      <c r="B21" t="s">
        <v>544</v>
      </c>
      <c r="C21" t="str">
        <f t="shared" si="1"/>
        <v>\I:</v>
      </c>
      <c r="D21" t="str">
        <f t="shared" si="2"/>
        <v>\I:</v>
      </c>
      <c r="E21" s="7"/>
      <c r="F21" s="7"/>
      <c r="G21" s="7"/>
      <c r="H21" s="7"/>
      <c r="I21" s="7"/>
      <c r="J21" s="7"/>
      <c r="K21" s="7"/>
      <c r="L21" s="7"/>
      <c r="M21" s="7"/>
      <c r="P21" t="str">
        <f>P18</f>
        <v>BASE</v>
      </c>
    </row>
    <row r="22" spans="1:16" x14ac:dyDescent="0.45">
      <c r="A22" t="s">
        <v>249</v>
      </c>
      <c r="B22" t="s">
        <v>544</v>
      </c>
      <c r="C22" t="str">
        <f t="shared" si="1"/>
        <v>demand</v>
      </c>
      <c r="D22" t="str">
        <f t="shared" si="2"/>
        <v/>
      </c>
      <c r="E22" s="7">
        <f>E7*E$1</f>
        <v>21.368000000000002</v>
      </c>
      <c r="F22" s="7">
        <f t="shared" si="3"/>
        <v>26.242250000000002</v>
      </c>
      <c r="G22" s="7">
        <f t="shared" si="3"/>
        <v>28.638000000000002</v>
      </c>
      <c r="H22" s="7">
        <f t="shared" si="3"/>
        <v>31.958749999999998</v>
      </c>
      <c r="I22" s="7">
        <f t="shared" si="3"/>
        <v>34.992750000000001</v>
      </c>
      <c r="J22" s="7">
        <f t="shared" si="3"/>
        <v>37.073999999999998</v>
      </c>
      <c r="K22" s="7">
        <f t="shared" si="3"/>
        <v>39.451250000000002</v>
      </c>
      <c r="L22" s="7">
        <f t="shared" si="3"/>
        <v>42.004249999999999</v>
      </c>
      <c r="M22" s="7">
        <f t="shared" si="3"/>
        <v>44.233499999999999</v>
      </c>
      <c r="P22" t="str">
        <f t="shared" ref="P22:P29" si="4">P19</f>
        <v>tui</v>
      </c>
    </row>
    <row r="23" spans="1:16" x14ac:dyDescent="0.45">
      <c r="A23" t="s">
        <v>249</v>
      </c>
      <c r="B23" t="s">
        <v>544</v>
      </c>
      <c r="C23" t="str">
        <f t="shared" si="1"/>
        <v>\I:</v>
      </c>
      <c r="D23" t="str">
        <f t="shared" si="2"/>
        <v/>
      </c>
      <c r="E23" s="7">
        <f>E8*E$1</f>
        <v>21.136000000000003</v>
      </c>
      <c r="F23" s="7">
        <f t="shared" si="3"/>
        <v>24.642000000000003</v>
      </c>
      <c r="G23" s="7">
        <f t="shared" si="3"/>
        <v>25.308</v>
      </c>
      <c r="H23" s="7">
        <f t="shared" si="3"/>
        <v>25.964750000000002</v>
      </c>
      <c r="I23" s="7">
        <f t="shared" si="3"/>
        <v>26.862000000000002</v>
      </c>
      <c r="J23" s="7">
        <f t="shared" si="3"/>
        <v>27.7315</v>
      </c>
      <c r="K23" s="7">
        <f t="shared" si="3"/>
        <v>28.795249999999999</v>
      </c>
      <c r="L23" s="7">
        <f t="shared" si="3"/>
        <v>30.626750000000001</v>
      </c>
      <c r="M23" s="7">
        <f t="shared" si="3"/>
        <v>32.448999999999998</v>
      </c>
      <c r="P23" t="str">
        <f t="shared" si="4"/>
        <v>kea</v>
      </c>
    </row>
    <row r="24" spans="1:16" x14ac:dyDescent="0.45">
      <c r="A24" t="s">
        <v>328</v>
      </c>
      <c r="B24" t="s">
        <v>534</v>
      </c>
      <c r="C24" t="str">
        <f t="shared" si="1"/>
        <v>\I:</v>
      </c>
      <c r="D24" t="str">
        <f t="shared" si="2"/>
        <v>\I:</v>
      </c>
      <c r="E24" s="7"/>
      <c r="F24" s="7"/>
      <c r="G24" s="7"/>
      <c r="H24" s="7"/>
      <c r="I24" s="7"/>
      <c r="J24" s="7"/>
      <c r="K24" s="7"/>
      <c r="L24" s="7"/>
      <c r="M24" s="7"/>
      <c r="P24" t="str">
        <f t="shared" si="4"/>
        <v>BASE</v>
      </c>
    </row>
    <row r="25" spans="1:16" x14ac:dyDescent="0.45">
      <c r="A25" t="s">
        <v>328</v>
      </c>
      <c r="B25" t="s">
        <v>534</v>
      </c>
      <c r="C25" t="str">
        <f t="shared" si="1"/>
        <v>demand</v>
      </c>
      <c r="D25" t="str">
        <f t="shared" si="2"/>
        <v/>
      </c>
      <c r="E25" s="7">
        <f>E10*E$1</f>
        <v>2.12</v>
      </c>
      <c r="F25" s="7">
        <f t="shared" si="3"/>
        <v>2.7287500000000002</v>
      </c>
      <c r="G25" s="7">
        <f t="shared" si="3"/>
        <v>3.0617500000000004</v>
      </c>
      <c r="H25" s="7">
        <f t="shared" si="3"/>
        <v>3.5427500000000003</v>
      </c>
      <c r="I25" s="7">
        <f t="shared" si="3"/>
        <v>4.0330000000000004</v>
      </c>
      <c r="J25" s="7">
        <f t="shared" si="3"/>
        <v>4.4585000000000008</v>
      </c>
      <c r="K25" s="7">
        <f t="shared" si="3"/>
        <v>4.9580000000000002</v>
      </c>
      <c r="L25" s="7">
        <f t="shared" si="3"/>
        <v>5.4945000000000004</v>
      </c>
      <c r="M25" s="7">
        <f t="shared" si="3"/>
        <v>6.0032500000000004</v>
      </c>
      <c r="P25" t="str">
        <f t="shared" si="4"/>
        <v>tui</v>
      </c>
    </row>
    <row r="26" spans="1:16" x14ac:dyDescent="0.45">
      <c r="A26" t="s">
        <v>328</v>
      </c>
      <c r="B26" t="s">
        <v>534</v>
      </c>
      <c r="C26" t="str">
        <f t="shared" si="1"/>
        <v>\I:</v>
      </c>
      <c r="D26" t="str">
        <f t="shared" si="2"/>
        <v/>
      </c>
      <c r="E26" s="7">
        <f>E11*E$1</f>
        <v>2.2480000000000002</v>
      </c>
      <c r="F26" s="7">
        <f t="shared" si="3"/>
        <v>2.7102500000000003</v>
      </c>
      <c r="G26" s="7">
        <f t="shared" si="3"/>
        <v>2.8767499999999999</v>
      </c>
      <c r="H26" s="7">
        <f t="shared" si="3"/>
        <v>3.04325</v>
      </c>
      <c r="I26" s="7">
        <f t="shared" si="3"/>
        <v>3.2560000000000002</v>
      </c>
      <c r="J26" s="7">
        <f t="shared" si="3"/>
        <v>3.46875</v>
      </c>
      <c r="K26" s="7">
        <f t="shared" si="3"/>
        <v>3.7277500000000003</v>
      </c>
      <c r="L26" s="7">
        <f t="shared" si="3"/>
        <v>4.07925</v>
      </c>
      <c r="M26" s="7">
        <f t="shared" si="3"/>
        <v>4.4400000000000004</v>
      </c>
      <c r="P26" t="str">
        <f t="shared" si="4"/>
        <v>kea</v>
      </c>
    </row>
    <row r="27" spans="1:16" x14ac:dyDescent="0.45">
      <c r="A27" t="s">
        <v>328</v>
      </c>
      <c r="B27" t="s">
        <v>544</v>
      </c>
      <c r="C27" t="str">
        <f t="shared" si="1"/>
        <v>\I:</v>
      </c>
      <c r="D27" t="str">
        <f t="shared" si="2"/>
        <v>\I:</v>
      </c>
      <c r="E27" s="7"/>
      <c r="F27" s="7"/>
      <c r="G27" s="7"/>
      <c r="H27" s="7"/>
      <c r="I27" s="7"/>
      <c r="J27" s="7"/>
      <c r="K27" s="7"/>
      <c r="L27" s="7"/>
      <c r="M27" s="7"/>
      <c r="P27" t="str">
        <f t="shared" si="4"/>
        <v>BASE</v>
      </c>
    </row>
    <row r="28" spans="1:16" x14ac:dyDescent="0.45">
      <c r="A28" t="s">
        <v>328</v>
      </c>
      <c r="B28" t="s">
        <v>544</v>
      </c>
      <c r="C28" t="str">
        <f t="shared" si="1"/>
        <v>demand</v>
      </c>
      <c r="D28" t="str">
        <f t="shared" si="2"/>
        <v/>
      </c>
      <c r="E28" s="7">
        <f>E13*E$1</f>
        <v>7.4560000000000004</v>
      </c>
      <c r="F28" s="7">
        <f t="shared" si="3"/>
        <v>9.1575000000000006</v>
      </c>
      <c r="G28" s="7">
        <f t="shared" si="3"/>
        <v>9.990000000000002</v>
      </c>
      <c r="H28" s="7">
        <f t="shared" si="3"/>
        <v>11.146250000000002</v>
      </c>
      <c r="I28" s="7">
        <f t="shared" si="3"/>
        <v>12.209999999999999</v>
      </c>
      <c r="J28" s="7">
        <f t="shared" si="3"/>
        <v>12.931500000000002</v>
      </c>
      <c r="K28" s="7">
        <f t="shared" si="3"/>
        <v>13.764000000000001</v>
      </c>
      <c r="L28" s="7">
        <f t="shared" si="3"/>
        <v>14.652000000000001</v>
      </c>
      <c r="M28" s="7">
        <f t="shared" si="3"/>
        <v>15.429</v>
      </c>
      <c r="P28" t="str">
        <f t="shared" si="4"/>
        <v>tui</v>
      </c>
    </row>
    <row r="29" spans="1:16" x14ac:dyDescent="0.45">
      <c r="A29" t="s">
        <v>328</v>
      </c>
      <c r="B29" t="s">
        <v>544</v>
      </c>
      <c r="C29" t="str">
        <f t="shared" si="1"/>
        <v>\I:</v>
      </c>
      <c r="D29" t="str">
        <f t="shared" si="2"/>
        <v/>
      </c>
      <c r="E29" s="7">
        <f>E14*E$1</f>
        <v>7.3760000000000012</v>
      </c>
      <c r="F29" s="7">
        <f t="shared" si="3"/>
        <v>8.5932499999999994</v>
      </c>
      <c r="G29" s="7">
        <f t="shared" si="3"/>
        <v>8.8337500000000002</v>
      </c>
      <c r="H29" s="7">
        <f t="shared" si="3"/>
        <v>9.0557499999999997</v>
      </c>
      <c r="I29" s="7">
        <f t="shared" si="3"/>
        <v>9.3702500000000004</v>
      </c>
      <c r="J29" s="7">
        <f t="shared" si="3"/>
        <v>9.6755000000000013</v>
      </c>
      <c r="K29" s="7">
        <f t="shared" si="3"/>
        <v>10.045500000000001</v>
      </c>
      <c r="L29" s="7">
        <f t="shared" si="3"/>
        <v>10.683750000000002</v>
      </c>
      <c r="M29" s="7">
        <f t="shared" si="3"/>
        <v>11.322000000000001</v>
      </c>
      <c r="P29" t="str">
        <f t="shared" si="4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K34" sqref="K34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tui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2025</v>
      </c>
      <c r="H5">
        <f>G5+5</f>
        <v>2030</v>
      </c>
      <c r="I5">
        <f>H5+5</f>
        <v>2035</v>
      </c>
      <c r="J5">
        <f>I5+5</f>
        <v>2040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2025</v>
      </c>
      <c r="H11">
        <f>G11+5</f>
        <v>2030</v>
      </c>
      <c r="I11">
        <f>H11+5</f>
        <v>2035</v>
      </c>
      <c r="J11">
        <f>I11+20</f>
        <v>2055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2025</v>
      </c>
      <c r="H17">
        <f t="shared" ref="H17:J17" si="4">G17+5</f>
        <v>2030</v>
      </c>
      <c r="I17">
        <f t="shared" si="4"/>
        <v>2035</v>
      </c>
      <c r="J17">
        <f t="shared" si="4"/>
        <v>2040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2025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2025</v>
      </c>
      <c r="H23">
        <f t="shared" ref="H23:I23" si="5">G23+5</f>
        <v>2030</v>
      </c>
      <c r="I23">
        <f t="shared" si="5"/>
        <v>2035</v>
      </c>
      <c r="J23">
        <f>I23+20</f>
        <v>2055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2025</v>
      </c>
      <c r="H29">
        <f t="shared" ref="H29:K29" si="6">G29+5</f>
        <v>2030</v>
      </c>
      <c r="I29">
        <f t="shared" si="6"/>
        <v>2035</v>
      </c>
      <c r="J29">
        <f t="shared" si="6"/>
        <v>2040</v>
      </c>
      <c r="K29">
        <f t="shared" si="6"/>
        <v>2045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-0.97</v>
      </c>
      <c r="H30">
        <v>-0.89</v>
      </c>
      <c r="I30">
        <f>H30+0.2</f>
        <v>-0.69</v>
      </c>
      <c r="J30">
        <f>I30+0.2</f>
        <v>-0.48999999999999994</v>
      </c>
      <c r="K30">
        <f>J30+0.2</f>
        <v>-0.28999999999999992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0.03</v>
      </c>
      <c r="H31">
        <v>0.11</v>
      </c>
      <c r="I31">
        <f>1+I30</f>
        <v>0.31000000000000005</v>
      </c>
      <c r="J31">
        <f>1+J30</f>
        <v>0.51</v>
      </c>
      <c r="K31">
        <f>1+K30</f>
        <v>0.71000000000000008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2025</v>
      </c>
      <c r="H35">
        <f t="shared" ref="H35:K35" si="7">G35+5</f>
        <v>2030</v>
      </c>
      <c r="I35">
        <f t="shared" si="7"/>
        <v>2035</v>
      </c>
      <c r="J35">
        <f t="shared" si="7"/>
        <v>2040</v>
      </c>
      <c r="K35">
        <f t="shared" si="7"/>
        <v>2045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-1</v>
      </c>
      <c r="H36">
        <v>-0.75</v>
      </c>
      <c r="I36">
        <f>H36+0.2</f>
        <v>-0.55000000000000004</v>
      </c>
      <c r="J36">
        <f>I36+0.2</f>
        <v>-0.35000000000000003</v>
      </c>
      <c r="K36">
        <f>J36+0.2</f>
        <v>-0.15000000000000002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</v>
      </c>
      <c r="H37">
        <f t="shared" ref="H37:K37" si="8">1+H36</f>
        <v>0.25</v>
      </c>
      <c r="I37">
        <f t="shared" si="8"/>
        <v>0.44999999999999996</v>
      </c>
      <c r="J37">
        <f t="shared" si="8"/>
        <v>0.64999999999999991</v>
      </c>
      <c r="K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tui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3.7920950000000002E-2</v>
      </c>
      <c r="F29" s="7">
        <f t="shared" si="3"/>
        <v>4.3341899999999996E-2</v>
      </c>
      <c r="G29" s="7">
        <f t="shared" si="3"/>
        <v>4.8762850000000003E-2</v>
      </c>
      <c r="H29" s="7">
        <f t="shared" si="3"/>
        <v>5.4183799999999997E-2</v>
      </c>
      <c r="I29" s="7">
        <f t="shared" si="3"/>
        <v>2.6666666666666668E-2</v>
      </c>
      <c r="J29" s="7">
        <f t="shared" si="3"/>
        <v>3.3133333333333514E-2</v>
      </c>
      <c r="K29" s="7">
        <f t="shared" si="3"/>
        <v>3.9600000000000364E-2</v>
      </c>
      <c r="L29" s="7">
        <f t="shared" si="3"/>
        <v>4.6066666666665694E-2</v>
      </c>
      <c r="M29" s="7">
        <f t="shared" si="3"/>
        <v>5.2533333333332551E-2</v>
      </c>
      <c r="N29" s="7">
        <f t="shared" si="3"/>
        <v>5.8999999999999393E-2</v>
      </c>
      <c r="O29" s="7">
        <f t="shared" si="3"/>
        <v>6.5466666666666243E-2</v>
      </c>
      <c r="P29" s="7">
        <f t="shared" si="3"/>
        <v>7.1933333333333099E-2</v>
      </c>
      <c r="Q29" s="7">
        <f t="shared" si="3"/>
        <v>7.8399999999999942E-2</v>
      </c>
      <c r="R29" s="7">
        <f t="shared" si="3"/>
        <v>8.4866666666666785E-2</v>
      </c>
      <c r="S29" s="7">
        <f t="shared" si="3"/>
        <v>9.1333333333333641E-2</v>
      </c>
      <c r="T29" s="7">
        <f t="shared" si="3"/>
        <v>9.7799999999998971E-2</v>
      </c>
      <c r="U29" s="7">
        <f t="shared" si="3"/>
        <v>0.10426666666666583</v>
      </c>
      <c r="V29" s="7">
        <f t="shared" si="3"/>
        <v>0.11073333333333267</v>
      </c>
      <c r="W29" s="7">
        <f t="shared" si="3"/>
        <v>0.11719999999999951</v>
      </c>
      <c r="X29" s="7">
        <f t="shared" si="3"/>
        <v>0.12366666666666637</v>
      </c>
      <c r="Y29" s="7">
        <f t="shared" si="3"/>
        <v>0.13013333333333321</v>
      </c>
      <c r="Z29" s="7">
        <f t="shared" si="3"/>
        <v>0.13660000000000008</v>
      </c>
      <c r="AA29" s="7">
        <f t="shared" si="3"/>
        <v>0.14306666666666693</v>
      </c>
      <c r="AB29" s="7">
        <f t="shared" si="3"/>
        <v>0.14953333333333224</v>
      </c>
      <c r="AC29" s="7">
        <f t="shared" si="3"/>
        <v>0.15599999999999908</v>
      </c>
      <c r="AD29" s="7">
        <f t="shared" si="3"/>
        <v>0.16246666666666595</v>
      </c>
      <c r="AE29" s="7">
        <f t="shared" si="3"/>
        <v>0.1689333333333328</v>
      </c>
      <c r="AF29" s="7">
        <f t="shared" si="3"/>
        <v>0.17539999999999964</v>
      </c>
      <c r="AG29" s="7">
        <f t="shared" si="3"/>
        <v>0.18186666666666651</v>
      </c>
      <c r="AH29" s="7">
        <f t="shared" si="3"/>
        <v>0.18833333333333335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2025-11-17T07:02:49Z</dcterms:modified>
</cp:coreProperties>
</file>