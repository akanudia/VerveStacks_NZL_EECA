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99660D22-BA2D-4B9D-81F3-805ABD023394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'kea-tui'!$X$7:$AP$451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99" i="11" l="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9" i="11"/>
  <c r="AM298" i="11"/>
  <c r="AM297" i="11"/>
  <c r="AM296" i="11"/>
  <c r="AM295" i="11"/>
  <c r="AM294" i="11"/>
  <c r="AM293" i="11"/>
  <c r="AM292" i="11"/>
  <c r="AM77" i="11"/>
  <c r="AM76" i="11"/>
  <c r="AM75" i="11"/>
  <c r="AM74" i="11"/>
  <c r="AM73" i="11"/>
  <c r="AM72" i="11"/>
  <c r="AM71" i="11"/>
  <c r="AM70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70" i="11"/>
  <c r="AG299" i="11"/>
  <c r="AG298" i="11"/>
  <c r="AG297" i="11"/>
  <c r="AG296" i="11"/>
  <c r="AG295" i="11"/>
  <c r="AG294" i="11"/>
  <c r="AG293" i="11"/>
  <c r="AG292" i="11"/>
  <c r="AG77" i="11"/>
  <c r="AG76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H7" i="13"/>
  <c r="G7" i="13"/>
  <c r="I6" i="13"/>
  <c r="H6" i="13"/>
  <c r="G6" i="13"/>
  <c r="C42" i="14" l="1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<sst xmlns="http://schemas.openxmlformats.org/spreadsheetml/2006/main" count="25507" uniqueCount="1172">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</sst>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abSelected="1" topLeftCell="L208" workbookViewId="0">
      <selection activeCell="AP252" sqref="AP252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0.136409892060962*3.6/4.5</f>
        <v>0.10912791364876959</v>
      </c>
      <c r="AH70" s="18"/>
      <c r="AI70" s="18"/>
      <c r="AJ70" s="19">
        <f>0.17231484714245*3.6/4.5</f>
        <v>0.13785187771396001</v>
      </c>
      <c r="AK70" s="18"/>
      <c r="AL70" s="18"/>
      <c r="AM70" s="19">
        <f>0.14*3.6/4.5</f>
        <v>0.11200000000000003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7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7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 t="shared" si="4"/>
        <v>0.10912791364876959</v>
      </c>
      <c r="AH76" s="18"/>
      <c r="AI76" s="18"/>
      <c r="AJ76" s="19">
        <f t="shared" si="5"/>
        <v>0.13785187771396001</v>
      </c>
      <c r="AK76" s="18"/>
      <c r="AL76" s="18"/>
      <c r="AM76" s="19">
        <f t="shared" si="6"/>
        <v>0.11200000000000003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 t="shared" si="4"/>
        <v>0.10912791364876959</v>
      </c>
      <c r="AH77" s="18"/>
      <c r="AI77" s="18"/>
      <c r="AJ77" s="19">
        <f t="shared" si="5"/>
        <v>0.13785187771396001</v>
      </c>
      <c r="AK77" s="18"/>
      <c r="AL77" s="18"/>
      <c r="AM77" s="19">
        <f t="shared" si="6"/>
        <v>0.11200000000000003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9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9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 t="shared" si="8"/>
        <v>0.10912791364876959</v>
      </c>
      <c r="AH298" s="18"/>
      <c r="AI298" s="18"/>
      <c r="AJ298" s="19">
        <f t="shared" si="9"/>
        <v>0.13785187771396001</v>
      </c>
      <c r="AK298" s="18"/>
      <c r="AL298" s="18"/>
      <c r="AM298" s="19">
        <f t="shared" si="10"/>
        <v>0.11200000000000003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 t="shared" si="8"/>
        <v>0.10912791364876959</v>
      </c>
      <c r="AH299" s="18"/>
      <c r="AI299" s="18"/>
      <c r="AJ299" s="19">
        <f t="shared" si="9"/>
        <v>0.13785187771396001</v>
      </c>
      <c r="AK299" s="18"/>
      <c r="AL299" s="18"/>
      <c r="AM299" s="19">
        <f t="shared" si="10"/>
        <v>0.11200000000000003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1163</v>
      </c>
      <c r="D1" t="s">
        <v>1164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1166</v>
      </c>
      <c r="D3">
        <v>6.36</v>
      </c>
    </row>
    <row r="4" spans="1:28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1166</v>
      </c>
      <c r="D6">
        <v>26.71</v>
      </c>
      <c r="P6" t="s">
        <v>244</v>
      </c>
      <c r="Q6" t="s">
        <v>6</v>
      </c>
      <c r="R6" t="s">
        <v>1165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1166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1167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1166</v>
      </c>
      <c r="D9">
        <v>2.65</v>
      </c>
      <c r="P9" t="s">
        <v>249</v>
      </c>
      <c r="Q9" t="s">
        <v>542</v>
      </c>
      <c r="R9" t="s">
        <v>1168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1166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1167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1166</v>
      </c>
      <c r="D12">
        <v>9.32</v>
      </c>
      <c r="P12" t="s">
        <v>328</v>
      </c>
      <c r="Q12" t="s">
        <v>542</v>
      </c>
      <c r="R12" t="s">
        <v>1168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1166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1167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1168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1166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1167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1168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1170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1169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1166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1171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1166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R12" sqref="R12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2030</v>
      </c>
      <c r="H5">
        <f>G5+5</f>
        <v>2035</v>
      </c>
      <c r="I5">
        <f>H5+5</f>
        <v>2040</v>
      </c>
      <c r="J5">
        <f>I5+5</f>
        <v>2045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-0.35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f>+R7</f>
        <v>0.03</v>
      </c>
      <c r="H7">
        <f>+R8</f>
        <v>0.11</v>
      </c>
      <c r="I7">
        <f>+R9</f>
        <v>0.42</v>
      </c>
      <c r="J7">
        <f>+R10</f>
        <v>0.65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0.65</v>
      </c>
      <c r="S10" s="7">
        <f t="shared" si="2"/>
        <v>0</v>
      </c>
      <c r="T10" s="7">
        <v>7.0000000000000007E-2</v>
      </c>
      <c r="V10" s="7">
        <v>0.99999000000000005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2030</v>
      </c>
      <c r="H11">
        <f>G11+5</f>
        <v>2035</v>
      </c>
      <c r="I11">
        <f>H11+5</f>
        <v>2040</v>
      </c>
      <c r="J11">
        <f>I11+20</f>
        <v>2060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0.9</v>
      </c>
      <c r="S11" s="7">
        <f t="shared" si="2"/>
        <v>0</v>
      </c>
      <c r="T11" s="7">
        <v>0.11</v>
      </c>
      <c r="V11" s="7">
        <v>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  <c r="V12" s="7">
        <v>1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  <c r="V13" s="7">
        <v>1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2030</v>
      </c>
      <c r="H17">
        <f t="shared" ref="H17:J17" si="4">G17+5</f>
        <v>2035</v>
      </c>
      <c r="I17">
        <f t="shared" si="4"/>
        <v>2040</v>
      </c>
      <c r="J17">
        <f t="shared" si="4"/>
        <v>2045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2030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2030</v>
      </c>
      <c r="H23">
        <f t="shared" ref="H23:I23" si="5">G23+5</f>
        <v>2035</v>
      </c>
      <c r="I23">
        <f t="shared" si="5"/>
        <v>2040</v>
      </c>
      <c r="J23">
        <f>I23+20</f>
        <v>2060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2030</v>
      </c>
      <c r="H29">
        <f t="shared" ref="H29:K29" si="6">G29+5</f>
        <v>2035</v>
      </c>
      <c r="I29">
        <f t="shared" si="6"/>
        <v>2040</v>
      </c>
      <c r="J29">
        <f t="shared" si="6"/>
        <v>2045</v>
      </c>
      <c r="K29">
        <f t="shared" si="6"/>
        <v>2050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2030</v>
      </c>
      <c r="H35">
        <f t="shared" ref="H35:K35" si="7">G35+5</f>
        <v>2035</v>
      </c>
      <c r="I35">
        <f t="shared" si="7"/>
        <v>2040</v>
      </c>
      <c r="J35">
        <f t="shared" si="7"/>
        <v>2045</v>
      </c>
      <c r="K35">
        <f t="shared" si="7"/>
        <v>2050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2025-12-02T09:04:03Z</dcterms:modified>
</cp:coreProperties>
</file>