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CA9C466-8B43-4B59-853D-3BA18810FE5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1" l="1"/>
  <c r="AH24" i="12" a="1"/>
  <c r="AH24" i="12" s="1"/>
  <c r="AG24" i="12"/>
  <c r="AG24" i="12" a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/>
  <c r="V24" i="12" a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/>
  <c r="K24" i="12" a="1"/>
  <c r="J24" i="12" a="1"/>
  <c r="J24" i="12" s="1"/>
  <c r="I24" i="12"/>
  <c r="H24" i="12"/>
  <c r="G24" i="12"/>
  <c r="F24" i="12"/>
  <c r="E24" i="12"/>
  <c r="D24" i="12"/>
  <c r="C24" i="12"/>
  <c r="B24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B10" i="1" l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G6" i="12" l="1"/>
  <c r="W29" i="12"/>
  <c r="R29" i="12"/>
  <c r="O29" i="12"/>
  <c r="B29" i="12"/>
  <c r="M29" i="12"/>
  <c r="AF29" i="12"/>
  <c r="AE29" i="12"/>
  <c r="AD29" i="12"/>
  <c r="V29" i="12"/>
  <c r="T29" i="12"/>
  <c r="AH29" i="12"/>
  <c r="K29" i="12"/>
  <c r="J29" i="12"/>
  <c r="I29" i="12"/>
  <c r="AB29" i="12"/>
  <c r="E29" i="12"/>
  <c r="Z29" i="12"/>
  <c r="U29" i="12"/>
  <c r="Q29" i="12"/>
  <c r="N29" i="12"/>
  <c r="AC29" i="12"/>
  <c r="F29" i="12"/>
  <c r="AA29" i="12"/>
  <c r="D29" i="12"/>
  <c r="C29" i="12"/>
  <c r="X29" i="12"/>
  <c r="S29" i="12"/>
  <c r="Y29" i="12"/>
  <c r="H29" i="12"/>
  <c r="P29" i="12"/>
  <c r="L29" i="12"/>
  <c r="AG29" i="12"/>
  <c r="G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<sst xmlns="http://schemas.openxmlformats.org/spreadsheetml/2006/main" count="25389" uniqueCount="1163">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</sst>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2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A2" sqref="A2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tr">
        <f>E4</f>
        <v>nz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C1" sqref="C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29"/>
  <sheetViews>
    <sheetView workbookViewId="0">
      <selection activeCell="A25" sqref="A25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6.19921875" customWidth="1"/>
    <col min="12" max="34" width="4.73046875" bestFit="1" customWidth="1"/>
  </cols>
  <sheetData>
    <row r="1" spans="1:11" ht="14.65" thickBot="1" x14ac:dyDescent="0.5">
      <c r="A1" s="3" t="str">
        <f>Veda!$E$5</f>
        <v>bas</v>
      </c>
      <c r="B1" t="s">
        <v>242</v>
      </c>
    </row>
    <row r="2" spans="1:11" ht="14.65" thickTop="1" x14ac:dyDescent="0.45"/>
    <row r="3" spans="1:11" x14ac:dyDescent="0.45">
      <c r="B3" t="s">
        <v>1109</v>
      </c>
    </row>
    <row r="4" spans="1:11" x14ac:dyDescent="0.45">
      <c r="B4" t="s">
        <v>1110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11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11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11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11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11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11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11" x14ac:dyDescent="0.45">
      <c r="I14" s="20"/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3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0">
        <f t="shared" si="0"/>
        <v>59.604750000000003</v>
      </c>
      <c r="J22" s="20">
        <f t="shared" si="0"/>
        <v>65.025700000000001</v>
      </c>
      <c r="K22" s="20">
        <f t="shared" si="0"/>
        <v>70.4465</v>
      </c>
      <c r="L22" s="20">
        <f t="shared" si="0"/>
        <v>75.867500000000007</v>
      </c>
      <c r="M22" s="20">
        <f t="shared" si="0"/>
        <v>81.288499999999999</v>
      </c>
      <c r="N22" s="20">
        <f t="shared" si="0"/>
        <v>86.709500000000006</v>
      </c>
      <c r="O22" s="20">
        <f t="shared" si="0"/>
        <v>88.786000000000001</v>
      </c>
      <c r="P22" s="20">
        <f t="shared" si="0"/>
        <v>90.924499999999995</v>
      </c>
      <c r="Q22" s="20">
        <f t="shared" si="0"/>
        <v>93.126999999999995</v>
      </c>
      <c r="R22" s="20">
        <f t="shared" si="0"/>
        <v>95.396000000000001</v>
      </c>
      <c r="S22" s="20">
        <f t="shared" si="0"/>
        <v>97.732500000000002</v>
      </c>
      <c r="T22" s="20">
        <f t="shared" si="0"/>
        <v>100.1395</v>
      </c>
      <c r="U22" s="20">
        <f t="shared" si="0"/>
        <v>102.619</v>
      </c>
      <c r="V22" s="20">
        <f t="shared" si="0"/>
        <v>105.1725</v>
      </c>
      <c r="W22" s="20">
        <f t="shared" si="0"/>
        <v>107.80249999999999</v>
      </c>
      <c r="X22" s="20">
        <f t="shared" si="0"/>
        <v>110.5115</v>
      </c>
      <c r="Y22" s="20">
        <f t="shared" si="0"/>
        <v>113.30200000000001</v>
      </c>
      <c r="Z22" s="20">
        <f t="shared" si="0"/>
        <v>116.176</v>
      </c>
      <c r="AA22" s="20">
        <f t="shared" si="0"/>
        <v>119.1365</v>
      </c>
      <c r="AB22" s="20">
        <f t="shared" si="0"/>
        <v>122.1855</v>
      </c>
      <c r="AC22" s="20">
        <f t="shared" si="0"/>
        <v>125.32599999999999</v>
      </c>
      <c r="AD22" s="20">
        <f t="shared" si="0"/>
        <v>128.56100000000001</v>
      </c>
      <c r="AE22" s="20">
        <f t="shared" si="0"/>
        <v>131.89249999999998</v>
      </c>
      <c r="AF22" s="20">
        <f t="shared" si="0"/>
        <v>135.3245</v>
      </c>
      <c r="AG22" s="20">
        <f t="shared" si="0"/>
        <v>138.85899999999998</v>
      </c>
      <c r="AH22" s="20">
        <f t="shared" si="0"/>
        <v>142.5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0">
        <f t="shared" si="1"/>
        <v>84.209500000000006</v>
      </c>
      <c r="J24" s="20" cm="1">
        <f t="array" ref="J24">J21*TREND($AJ$21:$AK$21,$AJ$20:$AK$20,J20)</f>
        <v>102.6555120000012</v>
      </c>
      <c r="K24" s="20" cm="1">
        <f t="array" ref="K24">K21*TREND($AJ$21:$AK$21,$AJ$20:$AK$20,K20)</f>
        <v>122.83587999999963</v>
      </c>
      <c r="L24" s="20" cm="1">
        <f t="array" ref="L24">L21*TREND($AJ$21:$AK$21,$AJ$20:$AK$20,L20)</f>
        <v>144.75140000000107</v>
      </c>
      <c r="M24" s="20" cm="1">
        <f t="array" ref="M24">M21*TREND($AJ$21:$AK$21,$AJ$20:$AK$20,M20)</f>
        <v>168.40163999999913</v>
      </c>
      <c r="N24" s="20" cm="1">
        <f t="array" ref="N24">N21*TREND($AJ$21:$AK$21,$AJ$20:$AK$20,N20)</f>
        <v>193.78660000000079</v>
      </c>
      <c r="O24" s="20" cm="1">
        <f t="array" ref="O24">O21*TREND($AJ$21:$AK$21,$AJ$20:$AK$20,O20)</f>
        <v>211.00655999999856</v>
      </c>
      <c r="P24" s="20" cm="1">
        <f t="array" ref="P24">P21*TREND($AJ$21:$AK$21,$AJ$20:$AK$20,P20)</f>
        <v>229.08444000000031</v>
      </c>
      <c r="Q24" s="20" cm="1">
        <f t="array" ref="Q24">Q21*TREND($AJ$21:$AK$21,$AJ$20:$AK$20,Q20)</f>
        <v>248.05656000000221</v>
      </c>
      <c r="R24" s="20" cm="1">
        <f t="array" ref="R24">R21*TREND($AJ$21:$AK$21,$AJ$20:$AK$20,R20)</f>
        <v>267.96223999999984</v>
      </c>
      <c r="S24" s="20" cm="1">
        <f t="array" ref="S24">S21*TREND($AJ$21:$AK$21,$AJ$20:$AK$20,S20)</f>
        <v>288.83700000000181</v>
      </c>
      <c r="T24" s="20" cm="1">
        <f t="array" ref="T24">T21*TREND($AJ$21:$AK$21,$AJ$20:$AK$20,T20)</f>
        <v>310.72451999999925</v>
      </c>
      <c r="U24" s="20" cm="1">
        <f t="array" ref="U24">U21*TREND($AJ$21:$AK$21,$AJ$20:$AK$20,U20)</f>
        <v>333.66648000000134</v>
      </c>
      <c r="V24" s="20" cm="1">
        <f t="array" ref="V24">V21*TREND($AJ$21:$AK$21,$AJ$20:$AK$20,V20)</f>
        <v>357.70379999999858</v>
      </c>
      <c r="W24" s="20" cm="1">
        <f t="array" ref="W24">W21*TREND($AJ$21:$AK$21,$AJ$20:$AK$20,W20)</f>
        <v>382.88260000000082</v>
      </c>
      <c r="X24" s="20" cm="1">
        <f t="array" ref="X24">X21*TREND($AJ$21:$AK$21,$AJ$20:$AK$20,X20)</f>
        <v>409.25060000000315</v>
      </c>
      <c r="Y24" s="20" cm="1">
        <f t="array" ref="Y24">Y21*TREND($AJ$21:$AK$21,$AJ$20:$AK$20,Y20)</f>
        <v>436.85712000000024</v>
      </c>
      <c r="Z24" s="20" cm="1">
        <f t="array" ref="Z24">Z21*TREND($AJ$21:$AK$21,$AJ$20:$AK$20,Z20)</f>
        <v>465.75072000000273</v>
      </c>
      <c r="AA24" s="20" cm="1">
        <f t="array" ref="AA24">AA21*TREND($AJ$21:$AK$21,$AJ$20:$AK$20,AA20)</f>
        <v>495.98611999999952</v>
      </c>
      <c r="AB24" s="20" cm="1">
        <f t="array" ref="AB24">AB21*TREND($AJ$21:$AK$21,$AJ$20:$AK$20,AB20)</f>
        <v>527.61492000000214</v>
      </c>
      <c r="AC24" s="20" cm="1">
        <f t="array" ref="AC24">AC21*TREND($AJ$21:$AK$21,$AJ$20:$AK$20,AC20)</f>
        <v>560.69519999999875</v>
      </c>
      <c r="AD24" s="20" cm="1">
        <f t="array" ref="AD24">AD21*TREND($AJ$21:$AK$21,$AJ$20:$AK$20,AD20)</f>
        <v>595.2869600000015</v>
      </c>
      <c r="AE24" s="20" cm="1">
        <f t="array" ref="AE24">AE21*TREND($AJ$21:$AK$21,$AJ$20:$AK$20,AE20)</f>
        <v>631.44659999999794</v>
      </c>
      <c r="AF24" s="20" cm="1">
        <f t="array" ref="AF24">AF21*TREND($AJ$21:$AK$21,$AJ$20:$AK$20,AF20)</f>
        <v>669.24316000000078</v>
      </c>
      <c r="AG24" s="20" cm="1">
        <f t="array" ref="AG24">AG21*TREND($AJ$21:$AK$21,$AJ$20:$AK$20,AG20)</f>
        <v>708.73656000000381</v>
      </c>
      <c r="AH24" s="20" cm="1">
        <f t="array" ref="AH24">AH21*TREND($AJ$21:$AK$21,$AJ$20:$AK$20,AH20)</f>
        <v>750</v>
      </c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SUMIF($A$21:$A$23,$A$1,B$21:B$23)/1000</f>
        <v>1.88177E-2</v>
      </c>
      <c r="C29" s="7">
        <f t="shared" ref="C29:AH29" si="3">SUMIF($A$21:$A$23,$A$1,C$21:C$23)/1000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2025-10-16T07:03:05Z</dcterms:modified>
</cp:coreProperties>
</file>