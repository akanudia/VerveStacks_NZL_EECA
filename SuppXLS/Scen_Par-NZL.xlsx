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64B82521-BFAF-4406-9122-6FD24E5DBA6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'kea-tui'!$AR$7:$AU$1490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98" i="11" l="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H12" i="13"/>
  <c r="G12" i="13"/>
  <c r="J12" i="13"/>
  <c r="I12" i="13"/>
  <c r="J6" i="13"/>
  <c r="I6" i="13"/>
  <c r="H6" i="13"/>
  <c r="G6" i="13"/>
  <c r="C42" i="14" l="1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<sst xmlns="http://schemas.openxmlformats.org/spreadsheetml/2006/main" count="25507" uniqueCount="1172">
  <si>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</si>
  <si>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</si>
  <si>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</si>
  <si>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</si>
  <si>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</si>
  <si>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</si>
  <si>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</si>
  <si>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</si>
  <si>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</si>
  <si>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</si>
  <si>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</si>
  <si>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</si>
  <si>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</si>
  <si>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</si>
  <si>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</si>
  <si>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</si>
  <si>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</si>
  <si>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</si>
  <si>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</si>
  <si>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</si>
  <si>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</si>
  <si>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</si>
  <si>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</si>
  <si>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</si>
  <si>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</si>
  <si>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</si>
  <si>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</si>
  <si>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</si>
  <si>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</si>
  <si>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</si>
  <si>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</si>
  <si>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</si>
  <si>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</si>
  <si>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</si>
  <si>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</si>
  <si>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</si>
  <si>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</si>
  <si>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</si>
  <si>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</si>
  <si>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</si>
  <si>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</si>
  <si>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</si>
  <si>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</si>
  <si>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</si>
  <si>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</si>
  <si>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</si>
  <si>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</si>
  <si>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</si>
  <si>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</si>
  <si>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</si>
  <si>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</si>
  <si>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</si>
  <si>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</si>
  <si>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</si>
  <si>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</si>
  <si>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</si>
  <si>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</si>
  <si>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</si>
  <si>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</si>
  <si>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</si>
  <si>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</si>
  <si>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</si>
  <si>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</si>
  <si>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</si>
  <si>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</si>
  <si>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</si>
  <si>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</si>
  <si>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</si>
  <si>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</si>
  <si>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</si>
  <si>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</si>
  <si>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</si>
  <si>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</si>
  <si>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</si>
  <si>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</si>
  <si>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</si>
  <si>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</si>
  <si>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</si>
  <si>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</si>
  <si>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</si>
  <si>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</si>
  <si>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</si>
  <si>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</si>
  <si>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</si>
  <si>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</si>
  <si>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</si>
  <si>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</si>
  <si>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</si>
  <si>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</si>
  <si>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</si>
  <si>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</si>
  <si>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</si>
  <si>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</si>
  <si>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</si>
  <si>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</si>
  <si>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</si>
  <si>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</si>
  <si>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</si>
  <si>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</si>
  <si>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</si>
  <si>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</si>
  <si>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</si>
  <si>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</si>
  <si>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</si>
  <si>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</si>
  <si>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</si>
  <si>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</si>
  <si>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</si>
  <si>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</si>
  <si>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</si>
  <si>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</si>
  <si>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</si>
  <si>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</si>
  <si>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</si>
  <si>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</si>
  <si>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</si>
  <si>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</si>
  <si>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</si>
  <si>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</si>
  <si>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</si>
  <si>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</si>
  <si>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</si>
  <si>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</si>
  <si>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</si>
  <si>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</si>
  <si>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</si>
  <si>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</si>
  <si>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</si>
  <si>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</si>
  <si>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</si>
  <si>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</si>
  <si>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</si>
  <si>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</si>
  <si>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</si>
  <si>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</si>
  <si>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</si>
  <si>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</si>
  <si>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</si>
  <si>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</si>
  <si>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</si>
  <si>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</si>
  <si>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</si>
  <si>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</si>
  <si>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</si>
  <si>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</si>
  <si>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</si>
  <si>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</si>
  <si>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</si>
  <si>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</si>
  <si>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</si>
  <si>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</si>
  <si>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</si>
  <si>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</si>
  <si>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</si>
  <si>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</si>
  <si>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</si>
  <si>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</si>
  <si>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</si>
  <si>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</si>
  <si>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</si>
  <si>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</si>
  <si>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</si>
  <si>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</si>
  <si>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</si>
  <si>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</si>
  <si>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</si>
  <si>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</si>
  <si>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</si>
  <si>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</si>
  <si>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</si>
  <si>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</si>
  <si>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</si>
  <si>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</si>
  <si>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</si>
  <si>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</si>
  <si>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</si>
  <si>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</si>
  <si>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</si>
  <si>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</si>
  <si>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</si>
  <si>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</si>
  <si>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</si>
  <si>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</si>
  <si>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</si>
  <si>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</si>
  <si>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</si>
  <si>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</si>
  <si>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</si>
  <si>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</si>
  <si>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</si>
  <si>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</si>
  <si>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</si>
  <si>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</si>
  <si>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</si>
  <si>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</si>
  <si>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</si>
  <si>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</si>
  <si>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</si>
  <si>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</si>
  <si>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</si>
  <si>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</si>
  <si>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</si>
  <si>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</si>
  <si>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</si>
  <si>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</si>
  <si>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</si>
  <si>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</si>
  <si>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</si>
  <si>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</si>
  <si>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</si>
  <si>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</si>
  <si>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</si>
  <si>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</si>
  <si>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</si>
  <si>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</si>
  <si>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</si>
  <si>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</si>
  <si>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</si>
  <si>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</si>
  <si>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</si>
  <si>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</si>
  <si>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</si>
  <si>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</si>
  <si>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</si>
  <si>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</si>
  <si>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</si>
  <si>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</si>
  <si>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</si>
  <si>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</si>
  <si>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</si>
  <si>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</si>
  <si>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</si>
  <si>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</si>
  <si>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</si>
  <si>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</si>
  <si>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</si>
  <si>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</si>
  <si>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</si>
  <si>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</si>
  <si>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</si>
  <si>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</si>
  <si>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</si>
  <si>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</si>
  <si>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</si>
  <si>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</si>
  <si>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</si>
  <si>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</si>
  <si>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</si>
  <si>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</si>
  <si>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</si>
  <si>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</si>
  <si>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</si>
  <si>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</si>
  <si>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</si>
  <si>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</si>
  <si>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</si>
  <si>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</si>
  <si>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</si>
  <si>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</si>
  <si>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</si>
  <si>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</si>
  <si>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</si>
  <si>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</si>
  <si>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</si>
  <si>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</si>
  <si>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</si>
  <si>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</si>
  <si>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</si>
  <si>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</si>
  <si>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</si>
  <si>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</si>
  <si>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</si>
  <si>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</si>
  <si>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</si>
  <si>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</si>
  <si>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</si>
  <si>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</si>
  <si>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</si>
  <si>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</si>
  <si>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</si>
  <si>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</si>
  <si>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</si>
  <si>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</si>
  <si>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</si>
  <si>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</si>
  <si>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</si>
  <si>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</si>
  <si>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</si>
  <si>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</si>
  <si>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</si>
  <si>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</si>
  <si>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</si>
  <si>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</si>
  <si>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</si>
  <si>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</si>
  <si>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</si>
  <si>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</si>
  <si>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</si>
  <si>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</si>
  <si>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</si>
  <si>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</si>
  <si>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</si>
  <si>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</si>
  <si>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</si>
  <si>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</si>
  <si>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</si>
  <si>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</si>
  <si>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</si>
  <si>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</si>
  <si>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</si>
  <si>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</si>
  <si>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</si>
  <si>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</si>
  <si>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</si>
  <si>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</si>
  <si>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</si>
  <si>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</si>
  <si>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</si>
  <si>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</si>
  <si>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</si>
  <si>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</si>
  <si>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</si>
  <si>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</si>
  <si>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</si>
  <si>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</si>
  <si>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</si>
  <si>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</si>
  <si>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</si>
  <si>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</si>
  <si>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</si>
  <si>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</si>
  <si>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</si>
  <si>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</si>
  <si>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</si>
  <si>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</si>
  <si>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</si>
  <si>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</si>
  <si>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</si>
  <si>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</si>
  <si>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</si>
  <si>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</si>
  <si>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</si>
  <si>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</si>
  <si>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</si>
  <si>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</si>
  <si>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</si>
  <si>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</si>
  <si>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</si>
  <si>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</si>
  <si>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</si>
  <si>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</si>
  <si>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</si>
  <si>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</si>
  <si>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</si>
  <si>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</si>
  <si>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</si>
  <si>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</si>
  <si>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</si>
  <si>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</si>
  <si>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</si>
  <si>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</si>
  <si>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</si>
  <si>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</si>
  <si>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</si>
  <si>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</si>
  <si>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</si>
  <si>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</si>
  <si>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</si>
  <si>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</si>
  <si>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</si>
  <si>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</si>
  <si>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</si>
  <si>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</si>
  <si>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</si>
  <si>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</si>
  <si>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</si>
  <si>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</si>
  <si>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</si>
  <si>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</si>
  <si>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</si>
  <si>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</si>
  <si>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</si>
  <si>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</si>
  <si>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</si>
  <si>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</si>
  <si>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</si>
  <si>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</si>
  <si>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</si>
  <si>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</si>
  <si>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</si>
  <si>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</si>
  <si>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</si>
  <si>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</si>
  <si>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</si>
  <si>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</si>
  <si>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</si>
  <si>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</si>
  <si>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</si>
  <si>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</si>
  <si>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</si>
  <si>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</si>
  <si>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</si>
  <si>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</si>
  <si>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</si>
  <si>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</si>
  <si>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</si>
  <si>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</si>
  <si>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</si>
  <si>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</si>
  <si>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</si>
  <si>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</si>
  <si>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</si>
  <si>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</si>
  <si>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</si>
  <si>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</si>
  <si>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</si>
  <si>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</si>
  <si>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</si>
  <si>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</si>
  <si>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</si>
  <si>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</si>
  <si>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</si>
  <si>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</si>
  <si>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</si>
  <si>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</si>
  <si>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</si>
  <si>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</si>
  <si>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</si>
  <si>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</si>
  <si>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</si>
  <si>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</si>
  <si>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</si>
  <si>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</si>
  <si>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</si>
  <si>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</si>
  <si>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</si>
  <si>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</si>
  <si>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</si>
  <si>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</si>
  <si>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</si>
  <si>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</si>
  <si>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</si>
  <si>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</si>
  <si>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</si>
  <si>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</si>
  <si>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</si>
  <si>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</si>
  <si>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</si>
  <si>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</si>
  <si>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</si>
  <si>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</si>
  <si>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</si>
  <si>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</si>
  <si>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</si>
  <si>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</si>
  <si>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</si>
  <si>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</si>
  <si>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</si>
  <si>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</si>
  <si>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</si>
  <si>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</si>
  <si>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</si>
  <si>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</si>
  <si>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</si>
  <si>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</si>
  <si>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</si>
  <si>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</si>
  <si>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</si>
  <si>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</si>
  <si>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</si>
  <si>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</si>
  <si>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</si>
  <si>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</si>
  <si>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</si>
  <si>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</si>
  <si>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</si>
  <si>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</si>
  <si>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</si>
  <si>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</si>
  <si>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</si>
  <si>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</si>
  <si>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</si>
  <si>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</si>
  <si>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</si>
  <si>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</si>
  <si>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</si>
  <si>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</si>
  <si>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</si>
  <si>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</si>
  <si>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</si>
  <si>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</si>
  <si>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</si>
  <si>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</si>
  <si>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</si>
  <si>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</si>
  <si>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</si>
  <si>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</si>
  <si>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</si>
  <si>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</si>
  <si>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</si>
  <si>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</si>
  <si>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</si>
  <si>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</si>
  <si>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</si>
  <si>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</si>
  <si>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</si>
  <si>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</si>
  <si>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</si>
  <si>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</si>
  <si>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</si>
  <si>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</si>
  <si>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</si>
  <si>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</si>
  <si>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</si>
  <si>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</si>
  <si>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</si>
  <si>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</si>
  <si>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</si>
  <si>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</si>
  <si>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</si>
  <si>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</si>
  <si>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</si>
  <si>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</si>
  <si>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</si>
  <si>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</si>
  <si>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</si>
  <si>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</si>
  <si>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</si>
  <si>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</si>
  <si>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</si>
  <si>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</si>
  <si>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</si>
  <si>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</si>
  <si>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</si>
  <si>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</si>
  <si>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</si>
  <si>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</si>
  <si>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</si>
  <si>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</si>
  <si>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</si>
  <si>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</si>
  <si>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</si>
  <si>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</si>
  <si>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</si>
  <si>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</si>
  <si>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</si>
  <si>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</si>
  <si>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</si>
  <si>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</si>
  <si>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</si>
  <si>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</si>
  <si>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</si>
  <si>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</si>
  <si>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</si>
  <si>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</si>
  <si>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</si>
  <si>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</si>
  <si>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</si>
  <si>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</si>
  <si>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</si>
  <si>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</si>
  <si>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</si>
  <si>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</si>
  <si>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</si>
  <si>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</si>
  <si>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</si>
  <si>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</si>
  <si>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</si>
  <si>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</si>
  <si>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</si>
  <si>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</si>
  <si>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</si>
  <si>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</si>
  <si>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</si>
  <si>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</si>
  <si>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</si>
  <si>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</si>
  <si>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</si>
  <si>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</si>
  <si>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</si>
  <si>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</si>
  <si>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</si>
  <si>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</si>
  <si>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</si>
  <si>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</si>
  <si>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</si>
  <si>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</si>
  <si>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</si>
  <si>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</si>
  <si>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</si>
  <si>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</si>
  <si>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</si>
  <si>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</si>
  <si>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</si>
  <si>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</si>
  <si>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</si>
  <si>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</si>
  <si>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</si>
  <si>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</si>
  <si>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</si>
  <si>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</si>
  <si>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</si>
  <si>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</si>
  <si>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</si>
  <si>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</si>
  <si>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</si>
  <si>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</si>
  <si>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</si>
  <si>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</si>
  <si>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</si>
  <si>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</si>
  <si>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</si>
  <si>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</si>
  <si>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</si>
  <si>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</si>
  <si>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</si>
  <si>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</si>
  <si>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</si>
  <si>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</si>
  <si>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</si>
  <si>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</si>
  <si>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</si>
  <si>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</si>
  <si>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</si>
  <si>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</si>
  <si>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</si>
  <si>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</si>
  <si>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</si>
  <si>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</si>
  <si>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</si>
  <si>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</si>
  <si>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</si>
  <si>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</si>
  <si>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</si>
  <si>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</si>
  <si>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</si>
  <si>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</si>
  <si>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</si>
  <si>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</si>
  <si>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</si>
  <si>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</si>
  <si>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</si>
  <si>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</si>
  <si>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</si>
  <si>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</si>
  <si>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</si>
  <si>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</si>
  <si>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</si>
  <si>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</si>
  <si>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</si>
  <si>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</si>
  <si>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</si>
  <si>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</si>
  <si>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</si>
  <si>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</si>
  <si>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</si>
  <si>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</si>
  <si>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</si>
  <si>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</si>
  <si>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</si>
  <si>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</si>
  <si>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</si>
  <si>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</si>
  <si>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</si>
  <si>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</si>
  <si>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</si>
  <si>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</si>
  <si>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</si>
  <si>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</si>
  <si>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</si>
  <si>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</si>
  <si>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</si>
  <si>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</si>
  <si>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</si>
  <si>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</si>
  <si>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</si>
  <si>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</si>
  <si>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</si>
  <si>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</si>
  <si>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</si>
  <si>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</si>
  <si>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</si>
  <si>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</si>
  <si>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</si>
  <si>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</si>
  <si>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</si>
  <si>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</si>
  <si>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</si>
  <si>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</si>
  <si>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</si>
  <si>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</si>
  <si>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</si>
  <si>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</si>
  <si>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</si>
  <si>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</si>
  <si>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</si>
  <si>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</si>
  <si>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</si>
  <si>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</si>
  <si>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</si>
  <si>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</si>
  <si>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</si>
  <si>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</si>
  <si>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</si>
  <si>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</si>
  <si>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</si>
  <si>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</si>
  <si>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</si>
  <si>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</si>
  <si>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</si>
  <si>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</si>
  <si>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</si>
  <si>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</si>
  <si>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</si>
  <si>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</si>
  <si>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</si>
  <si>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</si>
  <si>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</si>
  <si>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</si>
  <si>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</si>
  <si>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</si>
  <si>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</si>
  <si>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</si>
  <si>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</si>
  <si>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</si>
  <si>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</si>
  <si>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</si>
  <si>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</si>
  <si>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</si>
  <si>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</si>
  <si>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</si>
  <si>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</si>
  <si>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</si>
  <si>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</si>
  <si>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</si>
  <si>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</si>
  <si>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</si>
  <si>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</si>
  <si>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</si>
  <si>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</si>
  <si>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</si>
  <si>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</si>
  <si>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</si>
  <si>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</si>
  <si>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</si>
  <si>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</si>
  <si>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</si>
  <si>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</si>
  <si>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</si>
  <si>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</si>
  <si>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</si>
  <si>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</si>
  <si>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</si>
  <si>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</si>
  <si>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</si>
  <si>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</si>
  <si>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</si>
  <si>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</si>
  <si>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</si>
  <si>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</si>
  <si>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</si>
  <si>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</si>
  <si>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</si>
  <si>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</si>
  <si>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</si>
  <si>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</si>
  <si>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</si>
  <si>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</si>
  <si>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</si>
  <si>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</si>
  <si>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</si>
  <si>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</si>
  <si>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</si>
  <si>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</si>
  <si>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</si>
  <si>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</si>
  <si>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</si>
  <si>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</si>
  <si>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</si>
  <si>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</si>
  <si>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</si>
  <si>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</si>
  <si>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</si>
  <si>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</si>
  <si>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</si>
  <si>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</si>
  <si>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</si>
  <si>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</si>
  <si>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</si>
  <si>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</si>
  <si>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</si>
  <si>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</si>
  <si>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</si>
  <si>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</si>
  <si>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</si>
  <si>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</si>
  <si>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</si>
  <si>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</si>
  <si>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</si>
  <si>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</si>
  <si>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</si>
  <si>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</si>
  <si>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</si>
  <si>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</si>
  <si>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</si>
  <si>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</si>
  <si>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</si>
  <si>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</si>
  <si>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</si>
  <si>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</si>
  <si>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</si>
  <si>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</si>
  <si>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</si>
  <si>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</si>
  <si>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</si>
  <si>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</si>
  <si>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</si>
  <si>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</si>
  <si>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</si>
  <si>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</si>
  <si>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</si>
  <si>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</si>
  <si>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</si>
  <si>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</si>
  <si>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</si>
  <si>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</si>
  <si>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</si>
  <si>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</si>
  <si>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</si>
  <si>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</si>
  <si>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</si>
  <si>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</si>
  <si>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</si>
  <si>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</si>
  <si>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</si>
  <si>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</si>
  <si>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</si>
  <si>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</si>
  <si>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</si>
  <si>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</si>
  <si>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</si>
  <si>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</si>
  <si>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</si>
  <si>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</si>
  <si>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</si>
  <si>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</si>
  <si>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</si>
  <si>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</si>
  <si>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</si>
  <si>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</si>
  <si>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</si>
  <si>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</si>
  <si>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</si>
  <si>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</si>
  <si>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</si>
  <si>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</si>
  <si>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</si>
  <si>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</si>
  <si>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</si>
  <si>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</si>
  <si>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</si>
  <si>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</si>
  <si>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</si>
  <si>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</si>
  <si>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</si>
  <si>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</si>
  <si>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</si>
  <si>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</si>
  <si>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</si>
  <si>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</si>
  <si>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</si>
  <si>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</si>
  <si>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</si>
  <si>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</si>
  <si>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</si>
  <si>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</si>
  <si>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</si>
  <si>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</si>
  <si>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</si>
  <si>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</si>
  <si>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</si>
  <si>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</si>
  <si>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</si>
  <si>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</si>
  <si>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</si>
  <si>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</si>
  <si>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</si>
  <si>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</si>
  <si>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</si>
  <si>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</si>
  <si>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</si>
  <si>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</si>
  <si>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</si>
  <si>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</si>
  <si>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</si>
  <si>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</si>
  <si>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</si>
  <si>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</si>
  <si>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</si>
  <si>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</si>
  <si>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</si>
  <si>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</si>
  <si>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</si>
  <si>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</si>
  <si>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</si>
  <si>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</si>
  <si>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</si>
  <si>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</si>
  <si>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</si>
  <si>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</si>
  <si>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</si>
  <si>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</si>
  <si>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</si>
  <si>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</si>
  <si>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</si>
  <si>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</si>
  <si>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</si>
  <si>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</si>
  <si>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</si>
  <si>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</si>
  <si>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</si>
  <si>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</si>
  <si>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</si>
  <si>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</si>
  <si>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</si>
  <si>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</si>
  <si>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</si>
  <si>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</si>
  <si>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</si>
  <si>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</si>
  <si>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</si>
  <si>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</si>
  <si>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</si>
  <si>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</si>
  <si>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</si>
  <si>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</si>
  <si>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</si>
  <si>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</si>
  <si>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</si>
  <si>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</si>
  <si>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</si>
  <si>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</si>
  <si>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</si>
  <si>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</si>
  <si>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</si>
  <si>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</si>
  <si>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</si>
  <si>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</si>
  <si>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</si>
  <si>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</si>
  <si>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</si>
  <si>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</si>
  <si>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</si>
  <si>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</si>
  <si>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</si>
  <si>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</si>
  <si>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</si>
  <si>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</si>
  <si>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</si>
  <si>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</si>
  <si>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</si>
  <si>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</si>
  <si>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</si>
  <si>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</si>
  <si>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</si>
  <si>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</si>
  <si>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</si>
  <si>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</si>
  <si>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</si>
  <si>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</si>
  <si>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</si>
  <si>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</si>
  <si>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</si>
  <si>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</si>
  <si>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</si>
  <si>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</si>
  <si>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</si>
  <si>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</si>
  <si>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</si>
  <si>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</si>
  <si>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</si>
  <si>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</si>
  <si>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</si>
  <si>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</si>
  <si>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</si>
  <si>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</si>
  <si>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</si>
  <si>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</si>
  <si>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</si>
  <si>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</si>
  <si>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</si>
  <si>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</si>
  <si>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</si>
  <si>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</si>
  <si>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</si>
  <si>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</si>
  <si>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</si>
  <si>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</si>
  <si>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</si>
  <si>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</si>
  <si>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</si>
  <si>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</si>
  <si>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</si>
  <si>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</si>
  <si>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</si>
  <si>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</si>
  <si>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</si>
  <si>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</si>
  <si>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</si>
  <si>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</si>
  <si>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</si>
  <si>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</si>
  <si>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</si>
  <si>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</si>
  <si>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</si>
  <si>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</si>
  <si>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</si>
  <si>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</si>
  <si>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</si>
  <si>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</si>
  <si>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</si>
  <si>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</si>
  <si>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</si>
  <si>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</si>
  <si>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</si>
  <si>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</si>
  <si>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</si>
  <si>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</si>
  <si>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</si>
  <si>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</si>
  <si>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</si>
  <si>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</si>
  <si>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</si>
  <si>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</si>
  <si>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</si>
  <si>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</si>
  <si>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</si>
  <si>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</si>
  <si>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</si>
  <si>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</si>
  <si>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</si>
  <si>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</si>
  <si>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</si>
  <si>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</si>
  <si>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</si>
  <si>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</si>
  <si>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</si>
  <si>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</si>
  <si>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</si>
  <si>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</si>
  <si>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</si>
  <si>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</si>
  <si>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</si>
  <si>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</si>
  <si>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</si>
  <si>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</si>
  <si>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</si>
  <si>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</si>
  <si>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</si>
  <si>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</si>
  <si>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</si>
  <si>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</si>
  <si>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</si>
  <si>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</si>
  <si>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</si>
  <si>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</si>
  <si>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</si>
  <si>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</si>
  <si>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</si>
  <si>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</si>
  <si>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</si>
  <si>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</si>
  <si>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</si>
  <si>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</si>
  <si>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</si>
  <si>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</si>
  <si>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</si>
  <si>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</si>
  <si>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</si>
  <si>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</si>
  <si>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</si>
  <si>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</si>
  <si>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</si>
  <si>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</si>
  <si>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</si>
  <si>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</si>
  <si>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</si>
  <si>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</si>
  <si>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</si>
  <si>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</si>
  <si>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</si>
  <si>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</si>
  <si>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</si>
  <si>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</si>
  <si>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</si>
  <si>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</si>
  <si>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</si>
  <si>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</si>
  <si>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</si>
  <si>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</si>
  <si>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</si>
  <si>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</si>
  <si>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</si>
  <si>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</si>
  <si>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</si>
  <si>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</si>
  <si>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</si>
  <si>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</si>
  <si>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</si>
  <si>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</si>
  <si>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</si>
  <si>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</si>
  <si>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</si>
  <si>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</si>
  <si>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</si>
  <si>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</si>
  <si>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</si>
  <si>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</si>
  <si>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</si>
  <si>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</si>
  <si>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</si>
  <si>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</si>
  <si>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</si>
  <si>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</si>
  <si>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</si>
  <si>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</si>
  <si>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</si>
  <si>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</si>
  <si>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</si>
  <si>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</si>
  <si>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</si>
  <si>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</si>
  <si>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</si>
  <si>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</si>
  <si>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</si>
  <si>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</si>
  <si>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</si>
  <si>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</si>
  <si>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</si>
  <si>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</si>
  <si>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</si>
  <si>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</si>
  <si>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</si>
  <si>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</si>
  <si>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</si>
  <si>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</si>
  <si>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</si>
  <si>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</si>
  <si>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</si>
  <si>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</si>
  <si>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</si>
  <si>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</si>
  <si>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</si>
  <si>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</si>
  <si>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</si>
  <si>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</si>
  <si>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</si>
  <si>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</si>
  <si>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</si>
  <si>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</si>
  <si>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</si>
  <si>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</si>
  <si>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</si>
  <si>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</si>
  <si>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</si>
  <si>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</si>
  <si>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</si>
  <si>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</si>
  <si>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</si>
  <si>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</si>
  <si>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</si>
  <si>
    <t>1,3,4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</si>
</sst>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1171</v>
      </c>
    </row>
    <row r="2" spans="1:20" x14ac:dyDescent="0.45">
      <c r="D2" s="1" t="str">
        <f>"~Inputcell: "&amp;_xlfn.TEXTJOIN(",",TRUE,G1:DM1)</f>
        <v>~Inputcell: 1,3,4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tabSelected="1" topLeftCell="AL698" workbookViewId="0">
      <selection activeCell="BL742" sqref="BL742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5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5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7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7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1.4999999999999999E-2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1.4999999999999999E-2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1.4999999999999999E-2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1.4999999999999999E-2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1.4999999999999999E-2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1.4999999999999999E-2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1.4999999999999999E-2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1.4999999999999999E-2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1.4999999999999999E-2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1.4999999999999999E-2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1.4999999999999999E-2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1.4999999999999999E-2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1.4999999999999999E-2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1.4999999999999999E-2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1.4999999999999999E-2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1.4999999999999999E-2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1.4999999999999999E-2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1.4999999999999999E-2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1.4999999999999999E-2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1.4999999999999999E-2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1.4999999999999999E-2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1.4999999999999999E-2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1.4999999999999999E-2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1.4999999999999999E-2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1.4999999999999999E-2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1.4999999999999999E-2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1.4999999999999999E-2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1.4999999999999999E-2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1.4999999999999999E-2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1.4999999999999999E-2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1.4999999999999999E-2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1.4999999999999999E-2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1162</v>
      </c>
      <c r="D1" t="s">
        <v>1163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1164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1165</v>
      </c>
      <c r="D3">
        <v>6.36</v>
      </c>
    </row>
    <row r="4" spans="1:28" x14ac:dyDescent="0.45">
      <c r="A4" t="s">
        <v>249</v>
      </c>
      <c r="B4" t="s">
        <v>534</v>
      </c>
      <c r="C4" t="s">
        <v>1166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1167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1165</v>
      </c>
      <c r="D6">
        <v>26.71</v>
      </c>
      <c r="P6" t="s">
        <v>244</v>
      </c>
      <c r="Q6" t="s">
        <v>6</v>
      </c>
      <c r="R6" t="s">
        <v>1164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1166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1165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1167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1166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1165</v>
      </c>
      <c r="D9">
        <v>2.65</v>
      </c>
      <c r="P9" t="s">
        <v>249</v>
      </c>
      <c r="Q9" t="s">
        <v>542</v>
      </c>
      <c r="R9" t="s">
        <v>1167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1166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1165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1167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1166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1165</v>
      </c>
      <c r="D12">
        <v>9.32</v>
      </c>
      <c r="P12" t="s">
        <v>328</v>
      </c>
      <c r="Q12" t="s">
        <v>542</v>
      </c>
      <c r="R12" t="s">
        <v>1167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1166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1167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1165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1166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1167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1165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1166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1167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1169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1168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1165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1170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1165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K9" sqref="K9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2030</v>
      </c>
      <c r="H5">
        <f>G5+5</f>
        <v>2035</v>
      </c>
      <c r="I5">
        <f>H5+5</f>
        <v>2040</v>
      </c>
      <c r="J5">
        <f>I5+5</f>
        <v>2045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-0.8</v>
      </c>
      <c r="H6">
        <f t="shared" ref="H6:J6" si="0">+H7-1</f>
        <v>-0.44999999999999996</v>
      </c>
      <c r="I6">
        <f t="shared" si="0"/>
        <v>-0.13</v>
      </c>
      <c r="J6">
        <f t="shared" si="0"/>
        <v>0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v>0.2</v>
      </c>
      <c r="H7">
        <v>0.55000000000000004</v>
      </c>
      <c r="I7">
        <v>0.87</v>
      </c>
      <c r="J7">
        <v>1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0.65</v>
      </c>
      <c r="S10" s="7">
        <f t="shared" si="2"/>
        <v>0</v>
      </c>
      <c r="T10" s="7">
        <v>7.0000000000000007E-2</v>
      </c>
      <c r="V10" s="7">
        <v>0.99999000000000005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2030</v>
      </c>
      <c r="H11">
        <f>G11+5</f>
        <v>2035</v>
      </c>
      <c r="I11">
        <f>H11+5</f>
        <v>2040</v>
      </c>
      <c r="J11">
        <f>I11+20</f>
        <v>2060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0.9</v>
      </c>
      <c r="S11" s="7">
        <f t="shared" si="2"/>
        <v>0</v>
      </c>
      <c r="T11" s="7">
        <v>0.11</v>
      </c>
      <c r="V11" s="7">
        <v>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</v>
      </c>
      <c r="H12">
        <f t="shared" ref="H12:J12" si="3">+H13-1</f>
        <v>-0.74</v>
      </c>
      <c r="I12">
        <f t="shared" si="3"/>
        <v>-0.30000000000000004</v>
      </c>
      <c r="J12">
        <f t="shared" si="3"/>
        <v>0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  <c r="V12" s="7">
        <v>1</v>
      </c>
    </row>
    <row r="13" spans="1:22" x14ac:dyDescent="0.45">
      <c r="E13" t="s">
        <v>1141</v>
      </c>
      <c r="G13">
        <v>0.1</v>
      </c>
      <c r="H13">
        <v>0.26</v>
      </c>
      <c r="I13">
        <v>0.7</v>
      </c>
      <c r="J13">
        <v>1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  <c r="V13" s="7">
        <v>1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2030</v>
      </c>
      <c r="H17">
        <f t="shared" ref="H17:J17" si="4">G17+5</f>
        <v>2035</v>
      </c>
      <c r="I17">
        <f t="shared" si="4"/>
        <v>2040</v>
      </c>
      <c r="J17">
        <f t="shared" si="4"/>
        <v>2045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2030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2030</v>
      </c>
      <c r="H23">
        <f t="shared" ref="H23:I23" si="5">G23+5</f>
        <v>2035</v>
      </c>
      <c r="I23">
        <f t="shared" si="5"/>
        <v>2040</v>
      </c>
      <c r="J23">
        <f>I23+20</f>
        <v>2060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2030</v>
      </c>
      <c r="H29">
        <f t="shared" ref="H29:K29" si="6">G29+5</f>
        <v>2035</v>
      </c>
      <c r="I29">
        <f t="shared" si="6"/>
        <v>2040</v>
      </c>
      <c r="J29">
        <f t="shared" si="6"/>
        <v>2045</v>
      </c>
      <c r="K29">
        <f t="shared" si="6"/>
        <v>2050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2030</v>
      </c>
      <c r="H35">
        <f t="shared" ref="H35:K35" si="7">G35+5</f>
        <v>2035</v>
      </c>
      <c r="I35">
        <f t="shared" si="7"/>
        <v>2040</v>
      </c>
      <c r="J35">
        <f t="shared" si="7"/>
        <v>2045</v>
      </c>
      <c r="K35">
        <f t="shared" si="7"/>
        <v>2050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2025-12-03T05:28:22Z</dcterms:modified>
</cp:coreProperties>
</file>