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DFB5415F-EB92-4B3E-965B-DB5A6F7FDFED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car demand" sheetId="14" r:id="rId3"/>
    <sheet name="transport" sheetId="13" r:id="rId4"/>
    <sheet name="co2 budget" sheetId="12" r:id="rId5"/>
    <sheet name="ev_charging_uc" sheetId="6" r:id="rId6"/>
    <sheet name="ts_012" sheetId="7" r:id="rId7"/>
    <sheet name="ts_048" sheetId="8" r:id="rId8"/>
    <sheet name="ts_annual" sheetId="9" r:id="rId9"/>
    <sheet name="ts_12t" sheetId="10" r:id="rId10"/>
  </sheets>
  <definedNames>
    <definedName name="_xlnm._FilterDatabase" localSheetId="1" hidden="1">'kea-tui'!$AR$7:$AU$1490</definedName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98" i="11" l="1"/>
  <c r="AG298" i="11"/>
  <c r="AG77" i="11"/>
  <c r="AG76" i="11"/>
  <c r="AM76" i="11"/>
  <c r="AM77" i="11"/>
  <c r="AM70" i="11"/>
  <c r="AM299" i="11"/>
  <c r="AG299" i="11"/>
  <c r="AG70" i="11"/>
  <c r="AP299" i="11"/>
  <c r="AP298" i="11"/>
  <c r="AP297" i="11"/>
  <c r="AP296" i="11"/>
  <c r="AP295" i="11"/>
  <c r="AP294" i="11"/>
  <c r="AP293" i="11"/>
  <c r="AP292" i="11"/>
  <c r="AP77" i="11"/>
  <c r="AP76" i="11"/>
  <c r="AP75" i="11"/>
  <c r="AP74" i="11"/>
  <c r="AP73" i="11"/>
  <c r="AP72" i="11"/>
  <c r="AP71" i="11"/>
  <c r="AP70" i="11"/>
  <c r="AM297" i="11"/>
  <c r="AM296" i="11"/>
  <c r="AM295" i="11"/>
  <c r="AM294" i="11"/>
  <c r="AM293" i="11"/>
  <c r="AM292" i="11"/>
  <c r="AM75" i="11"/>
  <c r="AM74" i="11"/>
  <c r="AM73" i="11"/>
  <c r="AM72" i="11"/>
  <c r="AM71" i="11"/>
  <c r="AJ299" i="11"/>
  <c r="AJ298" i="11"/>
  <c r="AJ297" i="11"/>
  <c r="AJ296" i="11"/>
  <c r="AJ295" i="11"/>
  <c r="AJ294" i="11"/>
  <c r="AJ293" i="11"/>
  <c r="AJ292" i="11"/>
  <c r="AJ77" i="11"/>
  <c r="AJ76" i="11"/>
  <c r="AJ75" i="11"/>
  <c r="AJ74" i="11"/>
  <c r="AJ73" i="11"/>
  <c r="AJ72" i="11"/>
  <c r="AJ71" i="11"/>
  <c r="AJ70" i="11"/>
  <c r="AG297" i="11"/>
  <c r="AG296" i="11"/>
  <c r="AG295" i="11"/>
  <c r="AG294" i="11"/>
  <c r="AG293" i="11"/>
  <c r="AG292" i="11"/>
  <c r="AG75" i="11"/>
  <c r="AG74" i="11"/>
  <c r="AG73" i="11"/>
  <c r="AG72" i="11"/>
  <c r="AG71" i="11"/>
  <c r="H45" i="14"/>
  <c r="H42" i="14"/>
  <c r="G45" i="14"/>
  <c r="F45" i="14"/>
  <c r="E45" i="14"/>
  <c r="G42" i="14"/>
  <c r="F42" i="14"/>
  <c r="E42" i="14"/>
  <c r="D42" i="14" s="1"/>
  <c r="M35" i="14"/>
  <c r="L35" i="14"/>
  <c r="K35" i="14"/>
  <c r="J35" i="14"/>
  <c r="I35" i="14"/>
  <c r="H35" i="14"/>
  <c r="G35" i="14"/>
  <c r="F35" i="14"/>
  <c r="M34" i="14"/>
  <c r="L34" i="14"/>
  <c r="K34" i="14"/>
  <c r="J34" i="14"/>
  <c r="I34" i="14"/>
  <c r="H34" i="14"/>
  <c r="G34" i="14"/>
  <c r="F34" i="14"/>
  <c r="M29" i="14"/>
  <c r="L29" i="14"/>
  <c r="K29" i="14"/>
  <c r="J29" i="14"/>
  <c r="I29" i="14"/>
  <c r="H29" i="14"/>
  <c r="G29" i="14"/>
  <c r="F29" i="14"/>
  <c r="M28" i="14"/>
  <c r="L28" i="14"/>
  <c r="K28" i="14"/>
  <c r="J28" i="14"/>
  <c r="I28" i="14"/>
  <c r="H28" i="14"/>
  <c r="G28" i="14"/>
  <c r="F28" i="14"/>
  <c r="D45" i="14"/>
  <c r="F44" i="14"/>
  <c r="E44" i="14"/>
  <c r="D44" i="14"/>
  <c r="D43" i="14"/>
  <c r="P45" i="14"/>
  <c r="P44" i="14"/>
  <c r="P43" i="14"/>
  <c r="B45" i="14"/>
  <c r="A45" i="14"/>
  <c r="B44" i="14"/>
  <c r="A44" i="14"/>
  <c r="B43" i="14"/>
  <c r="A43" i="14"/>
  <c r="B42" i="14"/>
  <c r="A42" i="14"/>
  <c r="B41" i="14"/>
  <c r="A41" i="14"/>
  <c r="B40" i="14"/>
  <c r="A40" i="14"/>
  <c r="H41" i="14"/>
  <c r="G41" i="14"/>
  <c r="F41" i="14"/>
  <c r="E41" i="14"/>
  <c r="D41" i="14"/>
  <c r="D40" i="14"/>
  <c r="M23" i="14"/>
  <c r="L23" i="14"/>
  <c r="K23" i="14"/>
  <c r="J23" i="14"/>
  <c r="I23" i="14"/>
  <c r="H23" i="14"/>
  <c r="G23" i="14"/>
  <c r="F23" i="14"/>
  <c r="E23" i="14"/>
  <c r="G1" i="14"/>
  <c r="H1" i="14" s="1"/>
  <c r="F38" i="14"/>
  <c r="E38" i="14"/>
  <c r="D38" i="14" s="1"/>
  <c r="F37" i="14"/>
  <c r="E37" i="14"/>
  <c r="D37" i="14" s="1"/>
  <c r="E35" i="14"/>
  <c r="D35" i="14" s="1"/>
  <c r="E34" i="14"/>
  <c r="D34" i="14" s="1"/>
  <c r="F32" i="14"/>
  <c r="E32" i="14"/>
  <c r="D32" i="14" s="1"/>
  <c r="F31" i="14"/>
  <c r="E31" i="14"/>
  <c r="D31" i="14" s="1"/>
  <c r="E29" i="14"/>
  <c r="D29" i="14" s="1"/>
  <c r="E28" i="14"/>
  <c r="D28" i="14" s="1"/>
  <c r="P31" i="14"/>
  <c r="P34" i="14" s="1"/>
  <c r="P37" i="14" s="1"/>
  <c r="P32" i="14"/>
  <c r="P35" i="14" s="1"/>
  <c r="P38" i="14" s="1"/>
  <c r="P30" i="14"/>
  <c r="P25" i="14"/>
  <c r="C28" i="14" s="1"/>
  <c r="D36" i="14"/>
  <c r="D33" i="14"/>
  <c r="D30" i="14"/>
  <c r="D27" i="14"/>
  <c r="AH22" i="12"/>
  <c r="AH22" i="12" a="1"/>
  <c r="AG22" i="12" a="1"/>
  <c r="AG22" i="12" s="1"/>
  <c r="AF22" i="12" a="1"/>
  <c r="AF22" i="12" s="1"/>
  <c r="AE22" i="12" a="1"/>
  <c r="AE22" i="12" s="1"/>
  <c r="AD22" i="12" a="1"/>
  <c r="AD22" i="12" s="1"/>
  <c r="AC22" i="12" a="1"/>
  <c r="AC22" i="12" s="1"/>
  <c r="AB22" i="12" a="1"/>
  <c r="AB22" i="12" s="1"/>
  <c r="AA22" i="12" a="1"/>
  <c r="AA22" i="12" s="1"/>
  <c r="Z22" i="12" a="1"/>
  <c r="Z22" i="12" s="1"/>
  <c r="Y22" i="12" a="1"/>
  <c r="Y22" i="12" s="1"/>
  <c r="X22" i="12" a="1"/>
  <c r="X22" i="12" s="1"/>
  <c r="W22" i="12"/>
  <c r="W22" i="12" a="1"/>
  <c r="V22" i="12" a="1"/>
  <c r="V22" i="12" s="1"/>
  <c r="U22" i="12" a="1"/>
  <c r="U22" i="12" s="1"/>
  <c r="T22" i="12" a="1"/>
  <c r="T22" i="12" s="1"/>
  <c r="S22" i="12" a="1"/>
  <c r="S22" i="12" s="1"/>
  <c r="R22" i="12" a="1"/>
  <c r="R22" i="12" s="1"/>
  <c r="Q22" i="12" a="1"/>
  <c r="Q22" i="12" s="1"/>
  <c r="P22" i="12" a="1"/>
  <c r="P22" i="12" s="1"/>
  <c r="O22" i="12" a="1"/>
  <c r="O22" i="12" s="1"/>
  <c r="N22" i="12" a="1"/>
  <c r="N22" i="12" s="1"/>
  <c r="M22" i="12" a="1"/>
  <c r="M22" i="12" s="1"/>
  <c r="L22" i="12"/>
  <c r="L22" i="12" a="1"/>
  <c r="K22" i="12" a="1"/>
  <c r="K22" i="12" s="1"/>
  <c r="J22" i="12" a="1"/>
  <c r="J22" i="12" s="1"/>
  <c r="I22" i="12" a="1"/>
  <c r="I22" i="12" s="1"/>
  <c r="AH24" i="12" a="1"/>
  <c r="AH24" i="12" s="1"/>
  <c r="AG24" i="12" a="1"/>
  <c r="AG24" i="12" s="1"/>
  <c r="AF24" i="12" a="1"/>
  <c r="AF24" i="12" s="1"/>
  <c r="AE24" i="12" a="1"/>
  <c r="AE24" i="12" s="1"/>
  <c r="AD24" i="12" a="1"/>
  <c r="AD24" i="12" s="1"/>
  <c r="AC24" i="12" a="1"/>
  <c r="AC24" i="12" s="1"/>
  <c r="AB24" i="12" a="1"/>
  <c r="AB24" i="12" s="1"/>
  <c r="AA24" i="12" a="1"/>
  <c r="AA24" i="12" s="1"/>
  <c r="Z24" i="12" a="1"/>
  <c r="Z24" i="12" s="1"/>
  <c r="Y24" i="12" a="1"/>
  <c r="Y24" i="12" s="1"/>
  <c r="X24" i="12" a="1"/>
  <c r="X24" i="12" s="1"/>
  <c r="W24" i="12" a="1"/>
  <c r="W24" i="12" s="1"/>
  <c r="V24" i="12" a="1"/>
  <c r="V24" i="12" s="1"/>
  <c r="U24" i="12" a="1"/>
  <c r="U24" i="12" s="1"/>
  <c r="T24" i="12" a="1"/>
  <c r="T24" i="12" s="1"/>
  <c r="S24" i="12" a="1"/>
  <c r="S24" i="12" s="1"/>
  <c r="R24" i="12" a="1"/>
  <c r="R24" i="12" s="1"/>
  <c r="Q24" i="12" a="1"/>
  <c r="Q24" i="12" s="1"/>
  <c r="P24" i="12" a="1"/>
  <c r="P24" i="12" s="1"/>
  <c r="O24" i="12" a="1"/>
  <c r="O24" i="12" s="1"/>
  <c r="N24" i="12" a="1"/>
  <c r="N24" i="12" s="1"/>
  <c r="M24" i="12" a="1"/>
  <c r="M24" i="12" s="1"/>
  <c r="L24" i="12" a="1"/>
  <c r="L24" i="12" s="1"/>
  <c r="K24" i="12" a="1"/>
  <c r="K24" i="12" s="1"/>
  <c r="J24" i="12" a="1"/>
  <c r="J24" i="12" s="1"/>
  <c r="I24" i="12" a="1"/>
  <c r="I24" i="12" s="1"/>
  <c r="K30" i="13"/>
  <c r="J30" i="13"/>
  <c r="I30" i="13"/>
  <c r="I31" i="13" s="1"/>
  <c r="H37" i="13"/>
  <c r="J36" i="13"/>
  <c r="K36" i="13" s="1"/>
  <c r="I36" i="13"/>
  <c r="I37" i="13" s="1"/>
  <c r="H24" i="12"/>
  <c r="G24" i="12"/>
  <c r="F24" i="12"/>
  <c r="E24" i="12"/>
  <c r="D24" i="12"/>
  <c r="C24" i="12"/>
  <c r="B24" i="12"/>
  <c r="H22" i="12"/>
  <c r="G22" i="12"/>
  <c r="F22" i="12"/>
  <c r="E22" i="12"/>
  <c r="D22" i="12"/>
  <c r="C22" i="12"/>
  <c r="B22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E5" i="1"/>
  <c r="A1" i="11" s="1"/>
  <c r="C1" i="12" s="1"/>
  <c r="G6" i="12" s="1"/>
  <c r="F2" i="11"/>
  <c r="F1" i="11"/>
  <c r="S13" i="13"/>
  <c r="Q13" i="13"/>
  <c r="S12" i="13"/>
  <c r="Q12" i="13"/>
  <c r="S11" i="13"/>
  <c r="Q11" i="13"/>
  <c r="S10" i="13"/>
  <c r="Q10" i="13"/>
  <c r="S9" i="13"/>
  <c r="Q9" i="13"/>
  <c r="S8" i="13"/>
  <c r="Q8" i="13"/>
  <c r="S7" i="13"/>
  <c r="Q7" i="13"/>
  <c r="S6" i="13"/>
  <c r="Q6" i="13"/>
  <c r="H12" i="13"/>
  <c r="G12" i="13"/>
  <c r="J12" i="13"/>
  <c r="I12" i="13"/>
  <c r="J6" i="13"/>
  <c r="I6" i="13"/>
  <c r="H6" i="13"/>
  <c r="G6" i="13"/>
  <c r="C42" i="14" l="1"/>
  <c r="C41" i="14"/>
  <c r="C45" i="14"/>
  <c r="C40" i="14"/>
  <c r="C43" i="14"/>
  <c r="C44" i="14"/>
  <c r="G44" i="14"/>
  <c r="H44" i="14"/>
  <c r="G32" i="14"/>
  <c r="G37" i="14"/>
  <c r="C34" i="14"/>
  <c r="C38" i="14"/>
  <c r="C30" i="14"/>
  <c r="C37" i="14"/>
  <c r="C31" i="14"/>
  <c r="P33" i="14"/>
  <c r="C32" i="14"/>
  <c r="C35" i="14"/>
  <c r="C29" i="14"/>
  <c r="C27" i="14"/>
  <c r="H38" i="14"/>
  <c r="H37" i="14"/>
  <c r="H31" i="14"/>
  <c r="G38" i="14"/>
  <c r="G31" i="14"/>
  <c r="H32" i="14"/>
  <c r="I1" i="14"/>
  <c r="K31" i="13"/>
  <c r="J31" i="13"/>
  <c r="B10" i="1"/>
  <c r="B9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67" i="1"/>
  <c r="B11" i="1"/>
  <c r="B12" i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R15" i="1"/>
  <c r="D15" i="1" s="1"/>
  <c r="R16" i="1"/>
  <c r="R21" i="1" s="1"/>
  <c r="R26" i="1" s="1"/>
  <c r="R31" i="1" s="1"/>
  <c r="R36" i="1" s="1"/>
  <c r="R41" i="1" s="1"/>
  <c r="R46" i="1" s="1"/>
  <c r="R51" i="1" s="1"/>
  <c r="R56" i="1" s="1"/>
  <c r="R61" i="1" s="1"/>
  <c r="R66" i="1" s="1"/>
  <c r="R71" i="1" s="1"/>
  <c r="R76" i="1" s="1"/>
  <c r="D76" i="1" s="1"/>
  <c r="R17" i="1"/>
  <c r="R22" i="1" s="1"/>
  <c r="R27" i="1" s="1"/>
  <c r="R32" i="1" s="1"/>
  <c r="R37" i="1" s="1"/>
  <c r="R42" i="1" s="1"/>
  <c r="R47" i="1" s="1"/>
  <c r="R52" i="1" s="1"/>
  <c r="R57" i="1" s="1"/>
  <c r="R62" i="1" s="1"/>
  <c r="R67" i="1" s="1"/>
  <c r="R72" i="1" s="1"/>
  <c r="R77" i="1" s="1"/>
  <c r="D77" i="1" s="1"/>
  <c r="R18" i="1"/>
  <c r="R23" i="1"/>
  <c r="D23" i="1" s="1"/>
  <c r="R28" i="1"/>
  <c r="D28" i="1" s="1"/>
  <c r="R33" i="1"/>
  <c r="R38" i="1" s="1"/>
  <c r="R43" i="1" s="1"/>
  <c r="R48" i="1" s="1"/>
  <c r="R53" i="1" s="1"/>
  <c r="R58" i="1" s="1"/>
  <c r="R63" i="1" s="1"/>
  <c r="R68" i="1" s="1"/>
  <c r="R73" i="1" s="1"/>
  <c r="R78" i="1" s="1"/>
  <c r="D78" i="1" s="1"/>
  <c r="R14" i="1"/>
  <c r="R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21" i="1" s="1"/>
  <c r="E26" i="1" s="1"/>
  <c r="E31" i="1" s="1"/>
  <c r="E36" i="1" s="1"/>
  <c r="E41" i="1" s="1"/>
  <c r="E46" i="1" s="1"/>
  <c r="E51" i="1" s="1"/>
  <c r="E56" i="1" s="1"/>
  <c r="E61" i="1" s="1"/>
  <c r="E66" i="1" s="1"/>
  <c r="E17" i="1"/>
  <c r="B17" i="1" s="1"/>
  <c r="E18" i="1"/>
  <c r="B18" i="1" s="1"/>
  <c r="E22" i="1"/>
  <c r="E27" i="1" s="1"/>
  <c r="E32" i="1" s="1"/>
  <c r="E37" i="1" s="1"/>
  <c r="E42" i="1" s="1"/>
  <c r="E47" i="1" s="1"/>
  <c r="E52" i="1" s="1"/>
  <c r="E57" i="1" s="1"/>
  <c r="E62" i="1" s="1"/>
  <c r="E23" i="1"/>
  <c r="E28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64" i="1" s="1"/>
  <c r="E69" i="1" s="1"/>
  <c r="E74" i="1" s="1"/>
  <c r="I42" i="14" l="1"/>
  <c r="I41" i="14"/>
  <c r="I44" i="14"/>
  <c r="I45" i="14"/>
  <c r="C33" i="14"/>
  <c r="P36" i="14"/>
  <c r="C36" i="14" s="1"/>
  <c r="J1" i="14"/>
  <c r="I32" i="14"/>
  <c r="I38" i="14"/>
  <c r="I31" i="14"/>
  <c r="I37" i="14"/>
  <c r="J37" i="13"/>
  <c r="K37" i="13"/>
  <c r="D72" i="1"/>
  <c r="D73" i="1"/>
  <c r="D63" i="1"/>
  <c r="D62" i="1"/>
  <c r="B62" i="1" s="1"/>
  <c r="D58" i="1"/>
  <c r="E70" i="1"/>
  <c r="E33" i="1"/>
  <c r="B28" i="1"/>
  <c r="R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B16" i="1" s="1"/>
  <c r="D31" i="1"/>
  <c r="B31" i="1" s="1"/>
  <c r="B15" i="1"/>
  <c r="B27" i="1"/>
  <c r="D61" i="1"/>
  <c r="B61" i="1" s="1"/>
  <c r="D33" i="1"/>
  <c r="D53" i="1"/>
  <c r="D51" i="1"/>
  <c r="B51" i="1" s="1"/>
  <c r="R20" i="1"/>
  <c r="D48" i="1"/>
  <c r="D46" i="1"/>
  <c r="B46" i="1" s="1"/>
  <c r="E67" i="1"/>
  <c r="D14" i="1"/>
  <c r="B14" i="1" s="1"/>
  <c r="B22" i="1"/>
  <c r="D56" i="1"/>
  <c r="B56" i="1" s="1"/>
  <c r="B42" i="1"/>
  <c r="B37" i="1"/>
  <c r="D66" i="1"/>
  <c r="B66" i="1" s="1"/>
  <c r="D68" i="1"/>
  <c r="B32" i="1"/>
  <c r="E71" i="1"/>
  <c r="B71" i="1" s="1"/>
  <c r="D2" i="1"/>
  <c r="D5" i="1"/>
  <c r="J44" i="14" l="1"/>
  <c r="J45" i="14"/>
  <c r="J42" i="14"/>
  <c r="J41" i="14"/>
  <c r="K1" i="14"/>
  <c r="J32" i="14"/>
  <c r="J38" i="14"/>
  <c r="J31" i="14"/>
  <c r="J37" i="14"/>
  <c r="A11" i="8"/>
  <c r="A10" i="6"/>
  <c r="A11" i="9"/>
  <c r="A11" i="7"/>
  <c r="A11" i="10"/>
  <c r="R25" i="1"/>
  <c r="D20" i="1"/>
  <c r="B20" i="1" s="1"/>
  <c r="R29" i="1"/>
  <c r="D24" i="1"/>
  <c r="B24" i="1" s="1"/>
  <c r="E72" i="1"/>
  <c r="B67" i="1"/>
  <c r="E38" i="1"/>
  <c r="B33" i="1"/>
  <c r="E75" i="1"/>
  <c r="E76" i="1"/>
  <c r="B76" i="1" s="1"/>
  <c r="I24" i="6"/>
  <c r="I23" i="6" s="1"/>
  <c r="K44" i="14" l="1"/>
  <c r="K45" i="14"/>
  <c r="K42" i="14"/>
  <c r="K41" i="14"/>
  <c r="L1" i="14"/>
  <c r="K32" i="14"/>
  <c r="K38" i="14"/>
  <c r="K31" i="14"/>
  <c r="K37" i="14"/>
  <c r="A1" i="13"/>
  <c r="G5" i="13" s="1"/>
  <c r="A1" i="12"/>
  <c r="AO7" i="11"/>
  <c r="BU7" i="11"/>
  <c r="BM7" i="11"/>
  <c r="BL7" i="11"/>
  <c r="L7" i="11"/>
  <c r="AH7" i="11"/>
  <c r="AP7" i="11"/>
  <c r="N7" i="11"/>
  <c r="BP7" i="11"/>
  <c r="BH7" i="11"/>
  <c r="BQ7" i="11"/>
  <c r="BI7" i="11"/>
  <c r="BR7" i="11"/>
  <c r="BA7" i="11"/>
  <c r="R7" i="11"/>
  <c r="AG7" i="11"/>
  <c r="AK7" i="11"/>
  <c r="J7" i="11"/>
  <c r="BS7" i="11"/>
  <c r="S7" i="11"/>
  <c r="V7" i="11"/>
  <c r="AM7" i="11"/>
  <c r="AE7" i="11"/>
  <c r="BJ7" i="11"/>
  <c r="AF7" i="11"/>
  <c r="BK7" i="11"/>
  <c r="BC7" i="11"/>
  <c r="BE7" i="11"/>
  <c r="U7" i="11"/>
  <c r="AN7" i="11"/>
  <c r="AI7" i="11"/>
  <c r="BN7" i="11"/>
  <c r="Q7" i="11"/>
  <c r="O7" i="11"/>
  <c r="AJ7" i="11"/>
  <c r="K7" i="11"/>
  <c r="P7" i="11"/>
  <c r="BD7" i="11"/>
  <c r="AL7" i="11"/>
  <c r="T7" i="11"/>
  <c r="BO7" i="11"/>
  <c r="X9" i="7"/>
  <c r="AC9" i="7"/>
  <c r="AC9" i="8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R34" i="1"/>
  <c r="D25" i="1"/>
  <c r="B25" i="1" s="1"/>
  <c r="R30" i="1"/>
  <c r="L44" i="14" l="1"/>
  <c r="L45" i="14"/>
  <c r="L41" i="14"/>
  <c r="L42" i="14"/>
  <c r="M1" i="14"/>
  <c r="L32" i="14"/>
  <c r="L38" i="14"/>
  <c r="L31" i="14"/>
  <c r="L37" i="14"/>
  <c r="N29" i="12"/>
  <c r="M29" i="12"/>
  <c r="AH29" i="12"/>
  <c r="L29" i="12"/>
  <c r="AG29" i="12"/>
  <c r="K29" i="12"/>
  <c r="S29" i="12"/>
  <c r="Q29" i="12"/>
  <c r="AF29" i="12"/>
  <c r="J29" i="12"/>
  <c r="AE29" i="12"/>
  <c r="I29" i="12"/>
  <c r="AD29" i="12"/>
  <c r="H29" i="12"/>
  <c r="AC29" i="12"/>
  <c r="G29" i="12"/>
  <c r="AB29" i="12"/>
  <c r="F29" i="12"/>
  <c r="AA29" i="12"/>
  <c r="E29" i="12"/>
  <c r="Z29" i="12"/>
  <c r="D29" i="12"/>
  <c r="C29" i="12"/>
  <c r="X29" i="12"/>
  <c r="B29" i="12"/>
  <c r="W29" i="12"/>
  <c r="V29" i="12"/>
  <c r="U29" i="12"/>
  <c r="R29" i="12"/>
  <c r="Y29" i="12"/>
  <c r="T29" i="12"/>
  <c r="P29" i="12"/>
  <c r="O29" i="12"/>
  <c r="BG7" i="11"/>
  <c r="AZ7" i="11"/>
  <c r="M7" i="11"/>
  <c r="BB7" i="11"/>
  <c r="BT7" i="11"/>
  <c r="BF7" i="11"/>
  <c r="G35" i="13"/>
  <c r="H35" i="13" s="1"/>
  <c r="I35" i="13" s="1"/>
  <c r="J35" i="13" s="1"/>
  <c r="K35" i="13" s="1"/>
  <c r="G29" i="13"/>
  <c r="H29" i="13" s="1"/>
  <c r="I29" i="13" s="1"/>
  <c r="J29" i="13" s="1"/>
  <c r="K29" i="13" s="1"/>
  <c r="G23" i="13"/>
  <c r="H23" i="13" s="1"/>
  <c r="I23" i="13" s="1"/>
  <c r="J23" i="13" s="1"/>
  <c r="G17" i="13"/>
  <c r="H17" i="13" s="1"/>
  <c r="I17" i="13" s="1"/>
  <c r="J17" i="13" s="1"/>
  <c r="G11" i="13"/>
  <c r="H11" i="13" s="1"/>
  <c r="I11" i="13" s="1"/>
  <c r="J11" i="13" s="1"/>
  <c r="H5" i="13"/>
  <c r="I5" i="13" s="1"/>
  <c r="J5" i="13" s="1"/>
  <c r="H21" i="6"/>
  <c r="R39" i="1"/>
  <c r="D34" i="1"/>
  <c r="B34" i="1" s="1"/>
  <c r="D30" i="1"/>
  <c r="B30" i="1" s="1"/>
  <c r="R35" i="1"/>
  <c r="E48" i="1"/>
  <c r="B43" i="1"/>
  <c r="M41" i="14" l="1"/>
  <c r="M44" i="14"/>
  <c r="M42" i="14"/>
  <c r="M45" i="14"/>
  <c r="M38" i="14"/>
  <c r="M31" i="14"/>
  <c r="M37" i="14"/>
  <c r="M32" i="14"/>
  <c r="E53" i="1"/>
  <c r="B48" i="1"/>
  <c r="R40" i="1"/>
  <c r="D35" i="1"/>
  <c r="B35" i="1" s="1"/>
  <c r="R44" i="1"/>
  <c r="D39" i="1"/>
  <c r="B39" i="1" s="1"/>
  <c r="R49" i="1" l="1"/>
  <c r="D44" i="1"/>
  <c r="B44" i="1" s="1"/>
  <c r="R45" i="1"/>
  <c r="D40" i="1"/>
  <c r="B40" i="1" s="1"/>
  <c r="E58" i="1"/>
  <c r="B53" i="1"/>
  <c r="E63" i="1" l="1"/>
  <c r="B58" i="1"/>
  <c r="R50" i="1"/>
  <c r="D45" i="1"/>
  <c r="B45" i="1" s="1"/>
  <c r="R54" i="1"/>
  <c r="D49" i="1"/>
  <c r="B49" i="1" s="1"/>
  <c r="B63" i="1" l="1"/>
  <c r="E68" i="1"/>
  <c r="R59" i="1"/>
  <c r="D54" i="1"/>
  <c r="B54" i="1" s="1"/>
  <c r="R55" i="1"/>
  <c r="D50" i="1"/>
  <c r="B50" i="1" s="1"/>
  <c r="R60" i="1" l="1"/>
  <c r="D55" i="1"/>
  <c r="B55" i="1" s="1"/>
  <c r="E73" i="1"/>
  <c r="B68" i="1"/>
  <c r="R64" i="1"/>
  <c r="D59" i="1"/>
  <c r="B59" i="1" s="1"/>
  <c r="R69" i="1" l="1"/>
  <c r="D64" i="1"/>
  <c r="B64" i="1" s="1"/>
  <c r="B73" i="1"/>
  <c r="E78" i="1"/>
  <c r="B78" i="1" s="1"/>
  <c r="R65" i="1"/>
  <c r="D60" i="1"/>
  <c r="B60" i="1" s="1"/>
  <c r="R70" i="1" l="1"/>
  <c r="D65" i="1"/>
  <c r="B65" i="1" s="1"/>
  <c r="R74" i="1"/>
  <c r="D74" i="1" s="1"/>
  <c r="B74" i="1" s="1"/>
  <c r="D69" i="1"/>
  <c r="B69" i="1" s="1"/>
  <c r="R75" i="1" l="1"/>
  <c r="D75" i="1" s="1"/>
  <c r="B75" i="1" s="1"/>
  <c r="D70" i="1"/>
  <c r="B7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<sst xmlns="http://schemas.openxmlformats.org/spreadsheetml/2006/main" count="25507" uniqueCount="1172">
  <si>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</si>
  <si>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</si>
  <si>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</si>
  <si>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</si>
  <si>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</si>
  <si>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</si>
  <si>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</si>
  <si>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</si>
  <si>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</si>
  <si>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</si>
  <si>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</si>
  <si>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</si>
  <si>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</si>
  <si>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</si>
  <si>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</si>
  <si>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</si>
  <si>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</si>
  <si>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</si>
  <si>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</si>
  <si>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</si>
  <si>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</si>
  <si>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</si>
  <si>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</si>
  <si>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</si>
  <si>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</si>
  <si>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</si>
  <si>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</si>
  <si>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</si>
  <si>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</si>
  <si>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</si>
  <si>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</si>
  <si>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</si>
  <si>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</si>
  <si>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</si>
  <si>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</si>
  <si>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</si>
  <si>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</si>
  <si>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</si>
  <si>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</si>
  <si>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</si>
  <si>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</si>
  <si>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a2w2d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</si>
  <si>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</si>
  <si>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</si>
  <si>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</si>
  <si>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</si>
  <si>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</si>
  <si>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</si>
  <si>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</si>
  <si>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</si>
  <si>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</si>
  <si>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</si>
  <si>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</si>
  <si>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</si>
  <si>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</si>
  <si>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</si>
  <si>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</si>
  <si>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</si>
  <si>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</si>
  <si>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</si>
  <si>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</si>
  <si>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</si>
  <si>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</si>
  <si>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</si>
  <si>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</si>
  <si>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</si>
  <si>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</si>
  <si>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</si>
  <si>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</si>
  <si>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</si>
  <si>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</si>
  <si>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</si>
  <si>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</si>
  <si>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</si>
  <si>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</si>
  <si>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</si>
  <si>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</si>
  <si>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</si>
  <si>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</si>
  <si>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</si>
  <si>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</si>
  <si>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</si>
  <si>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</si>
  <si>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</si>
  <si>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</si>
  <si>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</si>
  <si>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</si>
  <si>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</si>
  <si>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</si>
  <si>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</si>
  <si>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</si>
  <si>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</si>
  <si>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</si>
  <si>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</si>
  <si>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</si>
  <si>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</si>
  <si>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</si>
  <si>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</si>
  <si>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</si>
  <si>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</si>
  <si>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</si>
  <si>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</si>
  <si>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</si>
  <si>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</si>
  <si>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</si>
  <si>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</si>
  <si>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</si>
  <si>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</si>
  <si>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</si>
  <si>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</si>
  <si>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</si>
  <si>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</si>
  <si>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</si>
  <si>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</si>
  <si>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</si>
  <si>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</si>
  <si>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</si>
  <si>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</si>
  <si>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</si>
  <si>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</si>
  <si>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</si>
  <si>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</si>
  <si>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</si>
  <si>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</si>
  <si>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</si>
  <si>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</si>
  <si>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</si>
  <si>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</si>
  <si>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</si>
  <si>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</si>
  <si>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</si>
  <si>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</si>
  <si>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</si>
  <si>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</si>
  <si>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</si>
  <si>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</si>
  <si>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</si>
  <si>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</si>
  <si>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</si>
  <si>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</si>
  <si>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</si>
  <si>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</si>
  <si>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</si>
  <si>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</si>
  <si>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</si>
  <si>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</si>
  <si>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</si>
  <si>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</si>
  <si>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</si>
  <si>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</si>
  <si>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</si>
  <si>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</si>
  <si>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</si>
  <si>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</si>
  <si>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</si>
  <si>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</si>
  <si>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</si>
  <si>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</si>
  <si>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</si>
  <si>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</si>
  <si>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</si>
  <si>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</si>
  <si>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</si>
  <si>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</si>
  <si>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</si>
  <si>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</si>
  <si>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</si>
  <si>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</si>
  <si>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</si>
  <si>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</si>
  <si>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</si>
  <si>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</si>
  <si>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</si>
  <si>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</si>
  <si>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</si>
  <si>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</si>
  <si>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</si>
  <si>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</si>
  <si>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</si>
  <si>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</si>
  <si>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</si>
  <si>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</si>
  <si>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</si>
  <si>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</si>
  <si>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</si>
  <si>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</si>
  <si>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</si>
  <si>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</si>
  <si>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</si>
  <si>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</si>
  <si>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</si>
  <si>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</si>
  <si>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</si>
  <si>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</si>
  <si>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</si>
  <si>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</si>
  <si>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</si>
  <si>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</si>
  <si>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</si>
  <si>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</si>
  <si>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</si>
  <si>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</si>
  <si>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</si>
  <si>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</si>
  <si>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</si>
  <si>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</si>
  <si>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</si>
  <si>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</si>
  <si>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</si>
  <si>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</si>
  <si>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</si>
  <si>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</si>
  <si>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</si>
  <si>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</si>
  <si>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</si>
  <si>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</si>
  <si>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</si>
  <si>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</si>
  <si>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</si>
  <si>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</si>
  <si>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</si>
  <si>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</si>
  <si>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</si>
  <si>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</si>
  <si>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</si>
  <si>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</si>
  <si>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</si>
  <si>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</si>
  <si>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</si>
  <si>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</si>
  <si>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</si>
  <si>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</si>
  <si>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</si>
  <si>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</si>
  <si>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</si>
  <si>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</si>
  <si>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</si>
  <si>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</si>
  <si>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cset_set</t>
  </si>
  <si>
    <t>dem_transport</t>
  </si>
  <si>
    <t>dem_agriculture,dem_commercial,dem_industry,dem_residential</t>
  </si>
  <si>
    <t>tui</t>
  </si>
  <si>
    <t>kea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</si>
  <si>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</si>
  <si>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</si>
  <si>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</si>
  <si>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</si>
  <si>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</si>
  <si>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</si>
  <si>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</si>
  <si>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</si>
  <si>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</si>
  <si>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</si>
  <si>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</si>
  <si>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</si>
  <si>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</si>
  <si>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</si>
  <si>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</si>
  <si>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</si>
  <si>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</si>
  <si>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</si>
  <si>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</si>
  <si>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</si>
  <si>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</si>
  <si>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</si>
  <si>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</si>
  <si>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</si>
  <si>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</si>
  <si>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</si>
  <si>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</si>
  <si>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</si>
  <si>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</si>
  <si>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</si>
  <si>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</si>
  <si>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</si>
  <si>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</si>
  <si>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</si>
  <si>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</si>
  <si>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</si>
  <si>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</si>
  <si>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</si>
  <si>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</si>
  <si>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</si>
  <si>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</si>
  <si>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</si>
  <si>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</si>
  <si>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</si>
  <si>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</si>
  <si>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</si>
  <si>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</si>
  <si>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</si>
  <si>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</si>
  <si>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</si>
  <si>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</si>
  <si>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</si>
  <si>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</si>
  <si>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</si>
  <si>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</si>
  <si>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</si>
  <si>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</si>
  <si>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</si>
  <si>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</si>
  <si>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</si>
  <si>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</si>
  <si>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</si>
  <si>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</si>
  <si>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</si>
  <si>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</si>
  <si>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</si>
  <si>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</si>
  <si>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</si>
  <si>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</si>
  <si>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</si>
  <si>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</si>
  <si>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</si>
  <si>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</si>
  <si>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</si>
  <si>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</si>
  <si>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</si>
  <si>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</si>
  <si>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</si>
  <si>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</si>
  <si>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</si>
  <si>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</si>
  <si>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</si>
  <si>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</si>
  <si>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</si>
  <si>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</si>
  <si>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</si>
  <si>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</si>
  <si>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</si>
  <si>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</si>
  <si>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</si>
  <si>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</si>
  <si>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</si>
  <si>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</si>
  <si>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</si>
  <si>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</si>
  <si>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</si>
  <si>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</si>
  <si>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</si>
  <si>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</si>
  <si>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</si>
  <si>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</si>
  <si>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</si>
  <si>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</si>
  <si>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</si>
  <si>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</si>
  <si>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</si>
  <si>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</si>
  <si>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</si>
  <si>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</si>
  <si>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</si>
  <si>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</si>
  <si>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</si>
  <si>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</si>
  <si>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</si>
  <si>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</si>
  <si>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</si>
  <si>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</si>
  <si>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</si>
  <si>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</si>
  <si>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</si>
  <si>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</si>
  <si>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</si>
  <si>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</si>
  <si>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</si>
  <si>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</si>
  <si>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</si>
  <si>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</si>
  <si>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</si>
  <si>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</si>
  <si>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</si>
  <si>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</si>
  <si>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</si>
  <si>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</si>
  <si>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</si>
  <si>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</si>
  <si>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</si>
  <si>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</si>
  <si>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</si>
  <si>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</si>
  <si>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</si>
  <si>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</si>
  <si>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</si>
  <si>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</si>
  <si>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</si>
  <si>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</si>
  <si>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</si>
  <si>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</si>
  <si>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</si>
  <si>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</si>
  <si>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</si>
  <si>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</si>
  <si>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</si>
  <si>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</si>
  <si>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</si>
  <si>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</si>
  <si>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</si>
  <si>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</si>
  <si>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</si>
  <si>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</si>
  <si>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</si>
  <si>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</si>
  <si>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</si>
  <si>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</si>
  <si>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</si>
  <si>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</si>
  <si>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</si>
  <si>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</si>
  <si>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</si>
  <si>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</si>
  <si>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</si>
  <si>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</si>
  <si>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</si>
  <si>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</si>
  <si>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</si>
  <si>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</si>
  <si>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</si>
  <si>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</si>
  <si>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</si>
  <si>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</si>
  <si>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</si>
  <si>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</si>
  <si>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</si>
  <si>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</si>
  <si>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</si>
  <si>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</si>
  <si>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</si>
  <si>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</si>
  <si>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</si>
  <si>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</si>
  <si>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</si>
  <si>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</si>
  <si>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</si>
  <si>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</si>
  <si>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</si>
  <si>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</si>
  <si>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</si>
  <si>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</si>
  <si>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</si>
  <si>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</si>
  <si>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</si>
  <si>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</si>
  <si>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</si>
  <si>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</si>
  <si>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</si>
  <si>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</si>
  <si>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</si>
  <si>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</si>
  <si>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</si>
  <si>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</si>
  <si>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</si>
  <si>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</si>
  <si>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</si>
  <si>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</si>
  <si>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</si>
  <si>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</si>
  <si>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</si>
  <si>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</si>
  <si>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</si>
  <si>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</si>
  <si>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</si>
  <si>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</si>
  <si>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</si>
  <si>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</si>
  <si>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</si>
  <si>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</si>
  <si>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</si>
  <si>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</si>
  <si>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</si>
  <si>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</si>
  <si>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</si>
  <si>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</si>
  <si>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</si>
  <si>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</si>
  <si>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</si>
  <si>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</si>
  <si>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</si>
  <si>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</si>
  <si>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</si>
  <si>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</si>
  <si>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</si>
  <si>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</si>
  <si>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</si>
  <si>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</si>
  <si>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</si>
  <si>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</si>
  <si>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</si>
  <si>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</si>
  <si>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</si>
  <si>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</si>
  <si>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</si>
  <si>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</si>
  <si>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</si>
  <si>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</si>
  <si>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</si>
  <si>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</si>
  <si>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</si>
  <si>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</si>
  <si>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</si>
  <si>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</si>
  <si>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</si>
  <si>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</si>
  <si>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</si>
  <si>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</si>
  <si>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</si>
  <si>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</si>
  <si>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</si>
  <si>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</si>
  <si>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</si>
  <si>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</si>
  <si>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</si>
  <si>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</si>
  <si>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</si>
  <si>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</si>
  <si>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</si>
  <si>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</si>
  <si>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</si>
  <si>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</si>
  <si>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</si>
  <si>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</si>
  <si>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</si>
  <si>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</si>
  <si>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</si>
  <si>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</si>
  <si>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</si>
  <si>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</si>
  <si>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</si>
  <si>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</si>
  <si>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</si>
  <si>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</si>
  <si>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</si>
  <si>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</si>
  <si>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</si>
  <si>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</si>
  <si>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</si>
  <si>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</si>
  <si>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</si>
  <si>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</si>
  <si>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</si>
  <si>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</si>
  <si>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</si>
  <si>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</si>
  <si>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</si>
  <si>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</si>
  <si>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</si>
  <si>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</si>
  <si>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</si>
  <si>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</si>
  <si>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</si>
  <si>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</si>
  <si>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</si>
  <si>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</si>
  <si>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</si>
  <si>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</si>
  <si>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TOTCO2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</si>
  <si>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</si>
  <si>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</si>
  <si>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</si>
  <si>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</si>
  <si>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</si>
  <si>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</si>
  <si>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</si>
  <si>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</si>
  <si>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</si>
  <si>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</si>
  <si>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</si>
  <si>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</si>
  <si>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</si>
  <si>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</si>
  <si>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</si>
  <si>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</si>
  <si>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</si>
  <si>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</si>
  <si>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</si>
  <si>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</si>
  <si>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</si>
  <si>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</si>
  <si>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</si>
  <si>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</si>
  <si>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</si>
  <si>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</si>
  <si>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</si>
  <si>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</si>
  <si>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</si>
  <si>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</si>
  <si>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</si>
  <si>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</si>
  <si>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</si>
  <si>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</si>
  <si>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</si>
  <si>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</si>
  <si>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</si>
  <si>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</si>
  <si>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</si>
  <si>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</si>
  <si>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</si>
  <si>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</si>
  <si>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</si>
  <si>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</si>
  <si>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</si>
  <si>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</si>
  <si>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</si>
  <si>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</si>
  <si>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</si>
  <si>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</si>
  <si>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</si>
  <si>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</si>
  <si>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</si>
  <si>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</si>
  <si>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</si>
  <si>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</si>
  <si>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</si>
  <si>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</si>
  <si>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</si>
  <si>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</si>
  <si>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</si>
  <si>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</si>
  <si>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</si>
  <si>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</si>
  <si>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</si>
  <si>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</si>
  <si>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</si>
  <si>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</si>
  <si>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</si>
  <si>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</si>
  <si>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</si>
  <si>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</si>
  <si>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</si>
  <si>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</si>
  <si>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</si>
  <si>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</si>
  <si>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</si>
  <si>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</si>
  <si>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</si>
  <si>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</si>
  <si>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</si>
  <si>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</si>
  <si>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</si>
  <si>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</si>
  <si>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</si>
  <si>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</si>
  <si>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</si>
  <si>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</si>
  <si>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</si>
  <si>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</si>
  <si>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</si>
  <si>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</si>
  <si>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</si>
  <si>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</si>
  <si>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</si>
  <si>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</si>
  <si>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</si>
  <si>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</si>
  <si>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</si>
  <si>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</si>
  <si>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</si>
  <si>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</si>
  <si>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</si>
  <si>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</si>
  <si>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</si>
  <si>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</si>
  <si>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</si>
  <si>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</si>
  <si>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</si>
  <si>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</si>
  <si>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</si>
  <si>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</si>
  <si>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</si>
  <si>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</si>
  <si>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</si>
  <si>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</si>
  <si>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</si>
  <si>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</si>
  <si>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</si>
  <si>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</si>
  <si>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</si>
  <si>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</si>
  <si>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</si>
  <si>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</si>
  <si>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</si>
  <si>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</si>
  <si>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</si>
  <si>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</si>
  <si>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</si>
  <si>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</si>
  <si>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</si>
  <si>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</si>
  <si>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</si>
  <si>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</si>
  <si>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</si>
  <si>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</si>
  <si>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</si>
  <si>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</si>
  <si>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</si>
  <si>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</si>
  <si>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</si>
  <si>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</si>
  <si>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</si>
  <si>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</si>
  <si>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</si>
  <si>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</si>
  <si>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</si>
  <si>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</si>
  <si>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</si>
  <si>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</si>
  <si>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</si>
  <si>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</si>
  <si>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</si>
  <si>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</si>
  <si>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</si>
  <si>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</si>
  <si>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</si>
  <si>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</si>
  <si>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</si>
  <si>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</si>
  <si>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</si>
  <si>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</si>
  <si>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</si>
  <si>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</si>
  <si>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</si>
  <si>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</si>
  <si>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</si>
  <si>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</si>
  <si>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</si>
  <si>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</si>
  <si>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</si>
  <si>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</si>
  <si>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</si>
  <si>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</si>
  <si>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</si>
  <si>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</si>
  <si>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</si>
  <si>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</si>
  <si>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</si>
  <si>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</si>
  <si>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</si>
  <si>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</si>
  <si>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</si>
  <si>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</si>
  <si>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</si>
  <si>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</si>
  <si>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</si>
  <si>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</si>
  <si>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</si>
  <si>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</si>
  <si>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</si>
  <si>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</si>
  <si>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</si>
  <si>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</si>
  <si>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</si>
  <si>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</si>
  <si>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</si>
  <si>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</si>
  <si>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</si>
  <si>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</si>
  <si>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</si>
  <si>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</si>
  <si>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</si>
  <si>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</si>
  <si>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</si>
  <si>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</si>
  <si>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</si>
  <si>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</si>
  <si>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</si>
  <si>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</si>
  <si>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</si>
  <si>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</si>
  <si>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</si>
  <si>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</si>
  <si>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</si>
  <si>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</si>
  <si>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</si>
  <si>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</si>
  <si>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</si>
  <si>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</si>
  <si>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</si>
  <si>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</si>
  <si>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</si>
  <si>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</si>
  <si>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</si>
  <si>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</si>
  <si>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</si>
  <si>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</si>
  <si>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</si>
  <si>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</si>
  <si>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</si>
  <si>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</si>
  <si>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</si>
  <si>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</si>
  <si>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</si>
  <si>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</si>
  <si>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</si>
  <si>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</si>
  <si>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</si>
  <si>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</si>
  <si>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</si>
  <si>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</si>
  <si>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</si>
  <si>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</si>
  <si>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</si>
  <si>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</si>
  <si>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</si>
  <si>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</si>
  <si>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</si>
  <si>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</si>
  <si>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</si>
  <si>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</si>
  <si>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</si>
  <si>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</si>
  <si>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</si>
  <si>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</si>
  <si>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</si>
  <si>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</si>
  <si>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</si>
  <si>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</si>
  <si>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</si>
  <si>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</si>
  <si>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</si>
  <si>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</si>
  <si>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</si>
  <si>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</si>
  <si>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</si>
  <si>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</si>
  <si>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</si>
  <si>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</si>
  <si>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</si>
  <si>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</si>
  <si>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</si>
  <si>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</si>
  <si>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</si>
  <si>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</si>
  <si>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</si>
  <si>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</si>
  <si>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</si>
  <si>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</si>
  <si>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</si>
  <si>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</si>
  <si>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</si>
  <si>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</si>
  <si>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</si>
  <si>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</si>
  <si>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</si>
  <si>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</si>
  <si>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</si>
  <si>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</si>
  <si>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</si>
  <si>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</si>
  <si>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</si>
  <si>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</si>
  <si>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</si>
  <si>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</si>
  <si>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</si>
  <si>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</si>
  <si>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</si>
  <si>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</si>
  <si>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</si>
  <si>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</si>
  <si>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</si>
  <si>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</si>
  <si>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</si>
  <si>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</si>
  <si>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</si>
  <si>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</si>
  <si>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</si>
  <si>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</si>
  <si>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</si>
  <si>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</si>
  <si>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</si>
  <si>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</si>
  <si>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</si>
  <si>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</si>
  <si>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</si>
  <si>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</si>
  <si>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</si>
  <si>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</si>
  <si>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</si>
  <si>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</si>
  <si>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</si>
  <si>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</si>
  <si>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</si>
  <si>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</si>
  <si>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</si>
  <si>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</si>
  <si>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</si>
  <si>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</si>
  <si>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</si>
  <si>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</si>
  <si>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</si>
  <si>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</si>
  <si>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</si>
  <si>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</si>
  <si>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</si>
  <si>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</si>
  <si>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</si>
  <si>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</si>
  <si>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</si>
  <si>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</si>
  <si>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</si>
  <si>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</si>
  <si>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</si>
  <si>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</si>
  <si>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</si>
  <si>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</si>
  <si>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</si>
  <si>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</si>
  <si>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</si>
  <si>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</si>
  <si>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</si>
  <si>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</si>
  <si>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</si>
  <si>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</si>
  <si>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</si>
  <si>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</si>
  <si>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</si>
  <si>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</si>
  <si>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</si>
  <si>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</si>
  <si>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</si>
  <si>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</si>
  <si>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</si>
  <si>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</si>
  <si>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</si>
  <si>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</si>
  <si>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</si>
  <si>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</si>
  <si>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</si>
  <si>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</si>
  <si>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</si>
  <si>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</si>
  <si>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</si>
  <si>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</si>
  <si>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</si>
  <si>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</si>
  <si>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</si>
  <si>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</si>
  <si>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</si>
  <si>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</si>
  <si>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</si>
  <si>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</si>
  <si>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</si>
  <si>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</si>
  <si>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</si>
  <si>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</si>
  <si>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</si>
  <si>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</si>
  <si>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</si>
  <si>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</si>
  <si>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</si>
  <si>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</si>
  <si>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</si>
  <si>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</si>
  <si>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</si>
  <si>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</si>
  <si>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</si>
  <si>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</si>
  <si>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</si>
  <si>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</si>
  <si>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</si>
  <si>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</si>
  <si>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</si>
  <si>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</si>
  <si>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</si>
  <si>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</si>
  <si>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</si>
  <si>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</si>
  <si>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</si>
  <si>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</si>
  <si>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</si>
  <si>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</si>
  <si>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</si>
  <si>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</si>
  <si>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</si>
  <si>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</si>
  <si>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</si>
  <si>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</si>
  <si>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</si>
  <si>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</si>
  <si>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</si>
  <si>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</si>
  <si>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</si>
  <si>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</si>
  <si>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</si>
  <si>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</si>
  <si>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</si>
  <si>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</si>
  <si>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</si>
  <si>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</si>
  <si>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</si>
  <si>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</si>
  <si>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</si>
  <si>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</si>
  <si>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</si>
  <si>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</si>
  <si>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</si>
  <si>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</si>
  <si>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</si>
  <si>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</si>
  <si>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</si>
  <si>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</si>
  <si>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</si>
  <si>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</si>
  <si>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</si>
  <si>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</si>
  <si>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</si>
  <si>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</si>
  <si>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</si>
  <si>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</si>
  <si>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</si>
  <si>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</si>
  <si>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</si>
  <si>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</si>
  <si>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</si>
  <si>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</si>
  <si>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</si>
  <si>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</si>
  <si>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</si>
  <si>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</si>
  <si>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</si>
  <si>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</si>
  <si>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</si>
  <si>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</si>
  <si>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</si>
  <si>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</si>
  <si>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</si>
  <si>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</si>
  <si>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</si>
  <si>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</si>
  <si>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</si>
  <si>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</si>
  <si>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</si>
  <si>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</si>
  <si>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</si>
  <si>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</si>
  <si>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</si>
  <si>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</si>
  <si>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</si>
  <si>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</si>
  <si>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</si>
  <si>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</si>
  <si>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</si>
  <si>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</si>
  <si>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</si>
  <si>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</si>
  <si>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</si>
  <si>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</si>
  <si>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</si>
  <si>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</si>
  <si>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</si>
  <si>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</si>
  <si>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</si>
  <si>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</si>
  <si>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</si>
  <si>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</si>
  <si>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</si>
  <si>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</si>
  <si>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</si>
  <si>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</si>
  <si>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</si>
  <si>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</si>
  <si>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</si>
  <si>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</si>
  <si>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</si>
  <si>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</si>
  <si>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</si>
  <si>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</si>
  <si>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</si>
  <si>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</si>
  <si>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</si>
  <si>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</si>
  <si>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</si>
  <si>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</si>
  <si>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</si>
  <si>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</si>
  <si>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</si>
  <si>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</si>
  <si>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</si>
  <si>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</si>
  <si>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</si>
  <si>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</si>
  <si>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</si>
  <si>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</si>
  <si>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</si>
  <si>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</si>
  <si>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</si>
  <si>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</si>
  <si>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</si>
  <si>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</si>
  <si>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</si>
  <si>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</si>
  <si>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</si>
  <si>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</si>
  <si>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</si>
  <si>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</si>
  <si>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</si>
  <si>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</si>
  <si>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</si>
  <si>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</si>
  <si>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</si>
  <si>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</si>
  <si>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</si>
  <si>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</si>
  <si>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</si>
  <si>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</si>
  <si>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</si>
  <si>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</si>
  <si>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</si>
  <si>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</si>
  <si>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</si>
  <si>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</si>
  <si>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</si>
  <si>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</si>
  <si>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</si>
  <si>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</si>
  <si>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</si>
  <si>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</si>
  <si>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</si>
  <si>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</si>
  <si>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</si>
  <si>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</si>
  <si>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</si>
  <si>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</si>
  <si>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</si>
  <si>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</si>
  <si>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</si>
  <si>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</si>
  <si>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</si>
  <si>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</si>
  <si>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</si>
  <si>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</si>
  <si>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</si>
  <si>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</si>
  <si>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</si>
  <si>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</si>
  <si>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</si>
  <si>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</si>
  <si>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</si>
  <si>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</si>
  <si>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</si>
  <si>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</si>
  <si>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</si>
  <si>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</si>
  <si>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</si>
  <si>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</si>
  <si>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</si>
  <si>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</si>
  <si>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</si>
  <si>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</si>
  <si>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</si>
  <si>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</si>
  <si>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</si>
  <si>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</si>
  <si>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</si>
  <si>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*COM_TAXNET</t>
  </si>
  <si>
    <t>bas</t>
  </si>
  <si>
    <t>~TFM_INS-TS: attribute=com_taxnet; curr=MioNZDollar</t>
  </si>
  <si>
    <t>nz</t>
  </si>
  <si>
    <t>0bas</t>
  </si>
  <si>
    <t>1tui</t>
  </si>
  <si>
    <t>2kea</t>
  </si>
  <si>
    <t>3nz</t>
  </si>
  <si>
    <t>Sum of val_field</t>
  </si>
  <si>
    <t>year</t>
  </si>
  <si>
    <t>scenario</t>
  </si>
  <si>
    <t>BASE</t>
  </si>
  <si>
    <t>NZL_0001</t>
  </si>
  <si>
    <t>NZL_0002</t>
  </si>
  <si>
    <t>limtype</t>
  </si>
  <si>
    <t>~TFM_INS-TS</t>
  </si>
  <si>
    <t>*</t>
  </si>
  <si>
    <t>1,3,4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</si>
</sst>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5" fillId="0" borderId="3"/>
    <xf numFmtId="0" fontId="6" fillId="3" borderId="0"/>
    <xf numFmtId="0" fontId="7" fillId="4" borderId="4"/>
    <xf numFmtId="0" fontId="7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1" fillId="0" borderId="0"/>
    <xf numFmtId="0" fontId="14" fillId="10" borderId="4" applyNumberFormat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3"/>
    <xf numFmtId="0" fontId="7" fillId="4" borderId="4" xfId="5"/>
    <xf numFmtId="0" fontId="6" fillId="3" borderId="0" xfId="4"/>
    <xf numFmtId="2" fontId="0" fillId="0" borderId="0" xfId="0" applyNumberFormat="1"/>
    <xf numFmtId="0" fontId="7" fillId="4" borderId="4" xfId="6"/>
    <xf numFmtId="0" fontId="4" fillId="0" borderId="2" xfId="7"/>
    <xf numFmtId="0" fontId="5" fillId="0" borderId="3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8" borderId="5" xfId="0" applyNumberFormat="1" applyFont="1" applyFill="1" applyBorder="1" applyAlignment="1">
      <alignment horizontal="left" vertical="center"/>
    </xf>
    <xf numFmtId="49" fontId="10" fillId="9" borderId="5" xfId="0" applyNumberFormat="1" applyFont="1" applyFill="1" applyBorder="1" applyAlignment="1">
      <alignment horizontal="left" vertical="center"/>
    </xf>
    <xf numFmtId="0" fontId="9" fillId="8" borderId="5" xfId="0" applyFont="1" applyFill="1" applyBorder="1" applyAlignment="1">
      <alignment horizontal="right" vertical="center"/>
    </xf>
    <xf numFmtId="0" fontId="9" fillId="7" borderId="5" xfId="0" applyFont="1" applyFill="1" applyBorder="1" applyAlignment="1">
      <alignment horizontal="right" vertical="center"/>
    </xf>
    <xf numFmtId="2" fontId="9" fillId="7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49" fontId="13" fillId="8" borderId="5" xfId="0" applyNumberFormat="1" applyFont="1" applyFill="1" applyBorder="1" applyAlignment="1">
      <alignment horizontal="left" vertical="center"/>
    </xf>
    <xf numFmtId="0" fontId="14" fillId="10" borderId="4" xfId="10"/>
    <xf numFmtId="1" fontId="15" fillId="0" borderId="0" xfId="0" applyNumberFormat="1" applyFont="1"/>
  </cellXfs>
  <cellStyles count="11">
    <cellStyle name="Calculation" xfId="10" builtinId="22"/>
    <cellStyle name="Good" xfId="1" builtinId="26"/>
    <cellStyle name="Heading 2 2" xfId="7" xr:uid="{A6AB1C46-4E7B-4C21-A104-E4DF3FE4CE4A}"/>
    <cellStyle name="Heading 3" xfId="3" builtinId="18"/>
    <cellStyle name="Heading 3 2" xfId="8" xr:uid="{F2503A68-FC7E-4C35-8B5A-10334C80FC2A}"/>
    <cellStyle name="Input" xfId="5" builtinId="20"/>
    <cellStyle name="Input 2" xfId="6" xr:uid="{08B5D232-691F-4F66-AEAC-8298A30D4B38}"/>
    <cellStyle name="Linked Cell" xfId="2" builtinId="24"/>
    <cellStyle name="Neutral" xfId="4" builtinId="28"/>
    <cellStyle name="Normal" xfId="0" builtinId="0"/>
    <cellStyle name="Normale_Scen_UC_IND-StrucConst" xfId="9" xr:uid="{022510F6-3962-4707-B279-FBE5832E91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9296875" bestFit="1" customWidth="1"/>
    <col min="20" max="20" width="12.59765625" bestFit="1" customWidth="1"/>
  </cols>
  <sheetData>
    <row r="1" spans="1:20" x14ac:dyDescent="0.45">
      <c r="G1" s="14" t="s">
        <v>1171</v>
      </c>
    </row>
    <row r="2" spans="1:20" x14ac:dyDescent="0.45">
      <c r="D2" s="1" t="str">
        <f>"~Inputcell: "&amp;_xlfn.TEXTJOIN(",",TRUE,G1:DM1)</f>
        <v>~Inputcell: 1,3,4</v>
      </c>
      <c r="G2" s="14"/>
    </row>
    <row r="3" spans="1:20" x14ac:dyDescent="0.45">
      <c r="D3" s="5">
        <v>3</v>
      </c>
    </row>
    <row r="5" spans="1:20" x14ac:dyDescent="0.45">
      <c r="D5" s="1" t="str">
        <f>VLOOKUP(D3,$C$9:$E$999,2,FALSE)</f>
        <v>ts_012</v>
      </c>
      <c r="E5" s="1" t="str">
        <f>VLOOKUP(D3,$C$9:$E$999,3,FALSE)</f>
        <v>bas</v>
      </c>
    </row>
    <row r="7" spans="1:20" x14ac:dyDescent="0.45">
      <c r="B7" s="12" t="s">
        <v>44</v>
      </c>
    </row>
    <row r="8" spans="1:20" ht="14.65" thickBot="1" x14ac:dyDescent="0.5">
      <c r="A8" s="4" t="s">
        <v>49</v>
      </c>
      <c r="B8" s="4" t="s">
        <v>45</v>
      </c>
      <c r="C8" s="4" t="s">
        <v>46</v>
      </c>
      <c r="D8" s="4" t="s">
        <v>47</v>
      </c>
      <c r="E8" s="4" t="s">
        <v>48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1tui.j12</v>
      </c>
      <c r="C9">
        <v>1</v>
      </c>
      <c r="D9" t="s">
        <v>50</v>
      </c>
      <c r="E9" s="13" t="s">
        <v>241</v>
      </c>
      <c r="G9" t="s">
        <v>0</v>
      </c>
      <c r="O9">
        <v>1</v>
      </c>
      <c r="P9" t="s">
        <v>37</v>
      </c>
      <c r="Q9" t="s">
        <v>65</v>
      </c>
      <c r="R9" s="6">
        <v>1</v>
      </c>
      <c r="S9" t="s">
        <v>242</v>
      </c>
      <c r="T9" t="s">
        <v>1160</v>
      </c>
    </row>
    <row r="10" spans="1:20" x14ac:dyDescent="0.45">
      <c r="A10">
        <v>5</v>
      </c>
      <c r="B10" t="str">
        <f t="shared" si="0"/>
        <v>2kea.j12</v>
      </c>
      <c r="C10">
        <f>C9+1</f>
        <v>2</v>
      </c>
      <c r="D10" t="s">
        <v>50</v>
      </c>
      <c r="E10" s="13" t="s">
        <v>242</v>
      </c>
      <c r="G10" t="s">
        <v>1</v>
      </c>
      <c r="O10">
        <v>2</v>
      </c>
      <c r="P10" t="s">
        <v>57</v>
      </c>
      <c r="Q10" t="s">
        <v>64</v>
      </c>
      <c r="R10" s="6">
        <v>1</v>
      </c>
      <c r="S10" t="s">
        <v>241</v>
      </c>
      <c r="T10" t="s">
        <v>1159</v>
      </c>
    </row>
    <row r="11" spans="1:20" x14ac:dyDescent="0.45">
      <c r="A11">
        <v>5</v>
      </c>
      <c r="B11" t="str">
        <f t="shared" si="0"/>
        <v>0bas.j12</v>
      </c>
      <c r="C11">
        <f t="shared" ref="C11:C74" si="1">C10+1</f>
        <v>3</v>
      </c>
      <c r="D11" t="s">
        <v>50</v>
      </c>
      <c r="E11" s="13" t="s">
        <v>1155</v>
      </c>
      <c r="G11" t="s">
        <v>2</v>
      </c>
      <c r="O11">
        <v>3</v>
      </c>
      <c r="P11" t="s">
        <v>50</v>
      </c>
      <c r="Q11" t="s">
        <v>63</v>
      </c>
      <c r="R11" s="6">
        <v>1</v>
      </c>
      <c r="S11" t="s">
        <v>1155</v>
      </c>
      <c r="T11" t="s">
        <v>1158</v>
      </c>
    </row>
    <row r="12" spans="1:20" ht="14.65" customHeight="1" x14ac:dyDescent="0.45">
      <c r="A12">
        <v>5</v>
      </c>
      <c r="B12" t="str">
        <f t="shared" si="0"/>
        <v>3nz.j12</v>
      </c>
      <c r="C12">
        <f t="shared" si="1"/>
        <v>4</v>
      </c>
      <c r="D12" t="s">
        <v>50</v>
      </c>
      <c r="E12" s="13" t="s">
        <v>1157</v>
      </c>
      <c r="G12" t="s">
        <v>3</v>
      </c>
      <c r="O12">
        <v>4</v>
      </c>
      <c r="P12" t="s">
        <v>51</v>
      </c>
      <c r="Q12" t="s">
        <v>62</v>
      </c>
      <c r="R12" s="6">
        <v>1</v>
      </c>
      <c r="S12" t="s">
        <v>1157</v>
      </c>
      <c r="T12" t="s">
        <v>1161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ref="D13:D63" si="2">VLOOKUP(R13,$O$9:$P$22,2,FALSE)</f>
        <v>ts_annual</v>
      </c>
      <c r="E13" s="13" t="s">
        <v>4</v>
      </c>
      <c r="G13" t="s">
        <v>5</v>
      </c>
      <c r="O13">
        <v>5</v>
      </c>
      <c r="P13" t="s">
        <v>52</v>
      </c>
      <c r="Q13" t="s">
        <v>61</v>
      </c>
      <c r="R13" s="6">
        <v>1</v>
      </c>
      <c r="S13" t="s">
        <v>4</v>
      </c>
      <c r="T13" t="s">
        <v>42</v>
      </c>
    </row>
    <row r="14" spans="1:20" x14ac:dyDescent="0.45">
      <c r="A14">
        <v>5</v>
      </c>
      <c r="B14" t="str">
        <f t="shared" si="0"/>
        <v>1tui.k12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53</v>
      </c>
      <c r="Q14" t="s">
        <v>60</v>
      </c>
      <c r="R14" s="6">
        <f>R9+1</f>
        <v>2</v>
      </c>
    </row>
    <row r="15" spans="1:20" x14ac:dyDescent="0.45">
      <c r="A15">
        <v>5</v>
      </c>
      <c r="B15" t="str">
        <f t="shared" si="0"/>
        <v>2kea.k12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54</v>
      </c>
      <c r="Q15" t="s">
        <v>66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0bas.k12</v>
      </c>
      <c r="C16">
        <f t="shared" si="1"/>
        <v>8</v>
      </c>
      <c r="D16" t="str">
        <f t="shared" si="2"/>
        <v>ts_12t</v>
      </c>
      <c r="E16" t="str">
        <f t="shared" si="3"/>
        <v>bas</v>
      </c>
      <c r="O16">
        <v>8</v>
      </c>
      <c r="P16" t="s">
        <v>55</v>
      </c>
      <c r="Q16" t="s">
        <v>59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3nz.k12</v>
      </c>
      <c r="C17">
        <f t="shared" si="1"/>
        <v>9</v>
      </c>
      <c r="D17" t="str">
        <f t="shared" si="2"/>
        <v>ts_12t</v>
      </c>
      <c r="E17" t="str">
        <f t="shared" si="3"/>
        <v>nz</v>
      </c>
      <c r="O17">
        <v>9</v>
      </c>
      <c r="P17" t="s">
        <v>56</v>
      </c>
      <c r="Q17" t="s">
        <v>58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32</v>
      </c>
      <c r="Q18" t="s">
        <v>38</v>
      </c>
      <c r="R18" s="6">
        <f t="shared" si="4"/>
        <v>2</v>
      </c>
    </row>
    <row r="19" spans="1:18" x14ac:dyDescent="0.45">
      <c r="A19">
        <v>5</v>
      </c>
      <c r="B19" t="str">
        <f t="shared" si="0"/>
        <v>1tui.j12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33</v>
      </c>
      <c r="Q19" t="s">
        <v>39</v>
      </c>
      <c r="R19" s="6">
        <f t="shared" si="4"/>
        <v>3</v>
      </c>
    </row>
    <row r="20" spans="1:18" x14ac:dyDescent="0.45">
      <c r="A20">
        <v>5</v>
      </c>
      <c r="B20" t="str">
        <f t="shared" si="0"/>
        <v>2kea.j12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36</v>
      </c>
      <c r="Q20" t="s">
        <v>43</v>
      </c>
      <c r="R20" s="6">
        <f t="shared" si="4"/>
        <v>3</v>
      </c>
    </row>
    <row r="21" spans="1:18" x14ac:dyDescent="0.45">
      <c r="A21">
        <v>5</v>
      </c>
      <c r="B21" t="str">
        <f t="shared" si="0"/>
        <v>0bas.j12</v>
      </c>
      <c r="C21">
        <f t="shared" si="1"/>
        <v>13</v>
      </c>
      <c r="D21" t="str">
        <f t="shared" si="2"/>
        <v>ts_012</v>
      </c>
      <c r="E21" t="str">
        <f t="shared" si="3"/>
        <v>bas</v>
      </c>
      <c r="O21">
        <v>13</v>
      </c>
      <c r="P21" t="s">
        <v>34</v>
      </c>
      <c r="Q21" t="s">
        <v>40</v>
      </c>
      <c r="R21" s="6">
        <f t="shared" si="4"/>
        <v>3</v>
      </c>
    </row>
    <row r="22" spans="1:18" x14ac:dyDescent="0.45">
      <c r="A22">
        <v>5</v>
      </c>
      <c r="B22" t="str">
        <f t="shared" si="0"/>
        <v>3nz.j12</v>
      </c>
      <c r="C22">
        <f t="shared" si="1"/>
        <v>14</v>
      </c>
      <c r="D22" t="str">
        <f t="shared" si="2"/>
        <v>ts_012</v>
      </c>
      <c r="E22" t="str">
        <f t="shared" si="3"/>
        <v>nz</v>
      </c>
      <c r="O22">
        <v>14</v>
      </c>
      <c r="P22" t="s">
        <v>35</v>
      </c>
      <c r="Q22" t="s">
        <v>41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1tui.i24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2kea.i24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0bas.i24</v>
      </c>
      <c r="C26">
        <f t="shared" si="1"/>
        <v>18</v>
      </c>
      <c r="D26" t="str">
        <f t="shared" si="2"/>
        <v>ts_024</v>
      </c>
      <c r="E26" t="str">
        <f t="shared" si="3"/>
        <v>bas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3nz.i24</v>
      </c>
      <c r="C27">
        <f t="shared" si="1"/>
        <v>19</v>
      </c>
      <c r="D27" t="str">
        <f t="shared" si="2"/>
        <v>ts_024</v>
      </c>
      <c r="E27" t="str">
        <f t="shared" si="3"/>
        <v>nz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1tui.h48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2kea.h48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0bas.h48</v>
      </c>
      <c r="C31">
        <f t="shared" si="1"/>
        <v>23</v>
      </c>
      <c r="D31" t="str">
        <f t="shared" si="2"/>
        <v>ts_048</v>
      </c>
      <c r="E31" t="str">
        <f t="shared" si="3"/>
        <v>bas</v>
      </c>
      <c r="R31" s="6">
        <f t="shared" si="4"/>
        <v>5</v>
      </c>
    </row>
    <row r="32" spans="1:18" x14ac:dyDescent="0.45">
      <c r="A32">
        <v>5</v>
      </c>
      <c r="B32" t="str">
        <f t="shared" si="0"/>
        <v>3nz.h48</v>
      </c>
      <c r="C32">
        <f t="shared" si="1"/>
        <v>24</v>
      </c>
      <c r="D32" t="str">
        <f t="shared" si="2"/>
        <v>ts_048</v>
      </c>
      <c r="E32" t="str">
        <f t="shared" si="3"/>
        <v>nz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1tui.g64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2kea.g64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0bas.g64</v>
      </c>
      <c r="C36">
        <f t="shared" si="1"/>
        <v>28</v>
      </c>
      <c r="D36" t="str">
        <f t="shared" si="2"/>
        <v>ts_064</v>
      </c>
      <c r="E36" t="str">
        <f t="shared" si="3"/>
        <v>bas</v>
      </c>
      <c r="R36" s="6">
        <f t="shared" si="4"/>
        <v>6</v>
      </c>
    </row>
    <row r="37" spans="1:18" x14ac:dyDescent="0.45">
      <c r="A37">
        <v>5</v>
      </c>
      <c r="B37" t="str">
        <f t="shared" si="0"/>
        <v>3nz.g64</v>
      </c>
      <c r="C37">
        <f t="shared" si="1"/>
        <v>29</v>
      </c>
      <c r="D37" t="str">
        <f t="shared" si="2"/>
        <v>ts_064</v>
      </c>
      <c r="E37" t="str">
        <f t="shared" si="3"/>
        <v>nz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1tui.f96p50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2kea.f96p50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0bas.f96p50</v>
      </c>
      <c r="C41">
        <f t="shared" si="1"/>
        <v>33</v>
      </c>
      <c r="D41" t="str">
        <f t="shared" si="2"/>
        <v>ts_096P50</v>
      </c>
      <c r="E41" t="str">
        <f t="shared" si="3"/>
        <v>bas</v>
      </c>
      <c r="R41" s="6">
        <f t="shared" si="4"/>
        <v>7</v>
      </c>
    </row>
    <row r="42" spans="1:18" x14ac:dyDescent="0.45">
      <c r="A42">
        <v>5</v>
      </c>
      <c r="B42" t="str">
        <f t="shared" si="5"/>
        <v>3nz.f96p50</v>
      </c>
      <c r="C42">
        <f t="shared" si="1"/>
        <v>34</v>
      </c>
      <c r="D42" t="str">
        <f t="shared" si="2"/>
        <v>ts_096P50</v>
      </c>
      <c r="E42" t="str">
        <f t="shared" si="3"/>
        <v>nz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1tui.f96p10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2kea.f96p10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0bas.f96p10</v>
      </c>
      <c r="C46">
        <f t="shared" si="1"/>
        <v>38</v>
      </c>
      <c r="D46" t="str">
        <f t="shared" si="2"/>
        <v>ts_096P10</v>
      </c>
      <c r="E46" t="str">
        <f t="shared" si="3"/>
        <v>bas</v>
      </c>
      <c r="R46" s="6">
        <f t="shared" si="4"/>
        <v>8</v>
      </c>
    </row>
    <row r="47" spans="1:18" x14ac:dyDescent="0.45">
      <c r="A47">
        <v>5</v>
      </c>
      <c r="B47" t="str">
        <f t="shared" si="5"/>
        <v>3nz.f96p10</v>
      </c>
      <c r="C47">
        <f t="shared" si="1"/>
        <v>39</v>
      </c>
      <c r="D47" t="str">
        <f t="shared" si="2"/>
        <v>ts_096P10</v>
      </c>
      <c r="E47" t="str">
        <f t="shared" si="3"/>
        <v>nz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1tui.f96p90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2kea.f96p90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0bas.f96p90</v>
      </c>
      <c r="C51">
        <f t="shared" si="1"/>
        <v>43</v>
      </c>
      <c r="D51" t="str">
        <f t="shared" si="2"/>
        <v>ts_096P90</v>
      </c>
      <c r="E51" t="str">
        <f t="shared" si="3"/>
        <v>bas</v>
      </c>
      <c r="R51" s="6">
        <f t="shared" si="4"/>
        <v>9</v>
      </c>
    </row>
    <row r="52" spans="1:18" x14ac:dyDescent="0.45">
      <c r="A52">
        <v>5</v>
      </c>
      <c r="B52" t="str">
        <f t="shared" si="5"/>
        <v>3nz.f96p90</v>
      </c>
      <c r="C52">
        <f t="shared" si="1"/>
        <v>44</v>
      </c>
      <c r="D52" t="str">
        <f t="shared" si="2"/>
        <v>ts_096P90</v>
      </c>
      <c r="E52" t="str">
        <f t="shared" si="3"/>
        <v>nz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1tui.e3d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2kea.e3d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0bas.e3d</v>
      </c>
      <c r="C56">
        <f t="shared" si="1"/>
        <v>48</v>
      </c>
      <c r="D56" t="str">
        <f t="shared" si="2"/>
        <v>s1p1v1_d</v>
      </c>
      <c r="E56" t="str">
        <f t="shared" si="3"/>
        <v>bas</v>
      </c>
      <c r="R56" s="6">
        <f t="shared" si="4"/>
        <v>10</v>
      </c>
    </row>
    <row r="57" spans="1:18" x14ac:dyDescent="0.45">
      <c r="A57">
        <v>5</v>
      </c>
      <c r="B57" t="str">
        <f t="shared" si="5"/>
        <v>3nz.e3d</v>
      </c>
      <c r="C57">
        <f t="shared" si="1"/>
        <v>49</v>
      </c>
      <c r="D57" t="str">
        <f t="shared" si="2"/>
        <v>s1p1v1_d</v>
      </c>
      <c r="E57" t="str">
        <f t="shared" si="3"/>
        <v>nz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1tui.d9d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2kea.d9d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0bas.d9d</v>
      </c>
      <c r="C61">
        <f t="shared" si="1"/>
        <v>53</v>
      </c>
      <c r="D61" t="str">
        <f t="shared" si="2"/>
        <v>s3p3v3_d</v>
      </c>
      <c r="E61" t="str">
        <f t="shared" si="3"/>
        <v>bas</v>
      </c>
      <c r="R61" s="6">
        <f t="shared" si="4"/>
        <v>11</v>
      </c>
    </row>
    <row r="62" spans="1:18" x14ac:dyDescent="0.45">
      <c r="A62">
        <v>5</v>
      </c>
      <c r="B62" t="str">
        <f t="shared" si="5"/>
        <v>3nz.d9d</v>
      </c>
      <c r="C62">
        <f t="shared" si="1"/>
        <v>54</v>
      </c>
      <c r="D62" t="str">
        <f t="shared" si="2"/>
        <v>s3p3v3_d</v>
      </c>
      <c r="E62" t="str">
        <f t="shared" si="3"/>
        <v>nz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1tui.c15d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2kea.c15d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0bas.c15d</v>
      </c>
      <c r="C66">
        <f t="shared" si="1"/>
        <v>58</v>
      </c>
      <c r="D66" t="str">
        <f t="shared" si="6"/>
        <v>s5p5v5_d</v>
      </c>
      <c r="E66" t="str">
        <f t="shared" si="3"/>
        <v>bas</v>
      </c>
      <c r="R66" s="6">
        <f t="shared" si="4"/>
        <v>12</v>
      </c>
    </row>
    <row r="67" spans="1:18" x14ac:dyDescent="0.45">
      <c r="A67">
        <v>5</v>
      </c>
      <c r="B67" t="str">
        <f t="shared" si="5"/>
        <v>3nz.c15d</v>
      </c>
      <c r="C67">
        <f t="shared" si="1"/>
        <v>59</v>
      </c>
      <c r="D67" t="str">
        <f t="shared" si="6"/>
        <v>s5p5v5_d</v>
      </c>
      <c r="E67" t="str">
        <f t="shared" si="3"/>
        <v>nz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1tui.b2w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2kea.b2w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0bas.b2w</v>
      </c>
      <c r="C71">
        <f t="shared" si="1"/>
        <v>63</v>
      </c>
      <c r="D71" t="str">
        <f t="shared" si="6"/>
        <v>s2_w</v>
      </c>
      <c r="E71" t="str">
        <f t="shared" si="3"/>
        <v>bas</v>
      </c>
      <c r="R71" s="6">
        <f t="shared" si="4"/>
        <v>13</v>
      </c>
    </row>
    <row r="72" spans="1:18" x14ac:dyDescent="0.45">
      <c r="A72">
        <v>5</v>
      </c>
      <c r="B72" t="str">
        <f t="shared" si="5"/>
        <v>3nz.b2w</v>
      </c>
      <c r="C72">
        <f t="shared" si="1"/>
        <v>64</v>
      </c>
      <c r="D72" t="str">
        <f t="shared" si="6"/>
        <v>s2_w</v>
      </c>
      <c r="E72" t="str">
        <f t="shared" si="3"/>
        <v>nz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1tui.a2w2d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2kea.a2w2d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0bas.a2w2d</v>
      </c>
      <c r="C76">
        <f t="shared" si="8"/>
        <v>68</v>
      </c>
      <c r="D76" t="str">
        <f t="shared" si="6"/>
        <v>s2_w_p2_d</v>
      </c>
      <c r="E76" t="str">
        <f t="shared" si="3"/>
        <v>bas</v>
      </c>
      <c r="R76" s="6">
        <f t="shared" si="4"/>
        <v>14</v>
      </c>
    </row>
    <row r="77" spans="1:18" x14ac:dyDescent="0.45">
      <c r="A77">
        <v>5</v>
      </c>
      <c r="B77" t="str">
        <f t="shared" si="7"/>
        <v>3nz.a2w2d</v>
      </c>
      <c r="C77">
        <f t="shared" si="8"/>
        <v>69</v>
      </c>
      <c r="D77" t="str">
        <f t="shared" si="6"/>
        <v>s2_w_p2_d</v>
      </c>
      <c r="E77" t="str">
        <f t="shared" si="3"/>
        <v>nz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90"/>
  <sheetViews>
    <sheetView tabSelected="1" topLeftCell="AL1456" workbookViewId="0">
      <selection activeCell="BL1477" sqref="BL1477"/>
    </sheetView>
  </sheetViews>
  <sheetFormatPr defaultRowHeight="14.25" x14ac:dyDescent="0.45"/>
  <cols>
    <col min="1" max="1" width="4.53125" bestFit="1" customWidth="1"/>
    <col min="3" max="3" width="12.9296875" bestFit="1" customWidth="1"/>
    <col min="4" max="4" width="11.06640625" bestFit="1" customWidth="1"/>
    <col min="5" max="5" width="23.86328125" bestFit="1" customWidth="1"/>
    <col min="6" max="6" width="14.9296875" bestFit="1" customWidth="1"/>
    <col min="7" max="7" width="10.19921875" bestFit="1" customWidth="1"/>
    <col min="8" max="8" width="7.3320312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6640625" bestFit="1" customWidth="1"/>
    <col min="27" max="27" width="16.59765625" bestFit="1" customWidth="1"/>
    <col min="28" max="28" width="7.73046875" bestFit="1" customWidth="1"/>
    <col min="29" max="29" width="6.06640625" bestFit="1" customWidth="1"/>
    <col min="30" max="30" width="8.6640625" bestFit="1" customWidth="1"/>
    <col min="31" max="31" width="5.796875" bestFit="1" customWidth="1"/>
    <col min="32" max="32" width="3.3984375" bestFit="1" customWidth="1"/>
    <col min="33" max="36" width="5" bestFit="1" customWidth="1"/>
    <col min="37" max="37" width="5.79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19921875" bestFit="1" customWidth="1"/>
    <col min="47" max="47" width="14.33203125" bestFit="1" customWidth="1"/>
    <col min="48" max="48" width="16.53125" bestFit="1" customWidth="1"/>
    <col min="49" max="49" width="6.06640625" bestFit="1" customWidth="1"/>
    <col min="50" max="50" width="9.46484375" bestFit="1" customWidth="1"/>
    <col min="51" max="51" width="8.6640625" bestFit="1" customWidth="1"/>
    <col min="52" max="53" width="3.796875" bestFit="1" customWidth="1"/>
    <col min="54" max="56" width="4.19921875" bestFit="1" customWidth="1"/>
    <col min="57" max="62" width="5" bestFit="1" customWidth="1"/>
    <col min="63" max="64" width="3.796875" bestFit="1" customWidth="1"/>
    <col min="65" max="73" width="5" bestFit="1" customWidth="1"/>
  </cols>
  <sheetData>
    <row r="1" spans="1:73" ht="14.65" thickBot="1" x14ac:dyDescent="0.5">
      <c r="A1" s="3" t="str">
        <f>VLOOKUP(Veda!$E$5,$E$1:$F$4,2,FALSE)</f>
        <v>tui</v>
      </c>
      <c r="E1" s="6" t="s">
        <v>242</v>
      </c>
      <c r="F1" s="6" t="str">
        <f>E1</f>
        <v>kea</v>
      </c>
      <c r="J1" s="15" t="s">
        <v>242</v>
      </c>
      <c r="K1" s="15" t="s">
        <v>242</v>
      </c>
      <c r="L1" s="15" t="s">
        <v>242</v>
      </c>
      <c r="M1" s="15" t="s">
        <v>242</v>
      </c>
      <c r="N1" s="15" t="s">
        <v>242</v>
      </c>
      <c r="O1" s="15" t="s">
        <v>242</v>
      </c>
      <c r="P1" s="15" t="s">
        <v>242</v>
      </c>
      <c r="Q1" s="15" t="s">
        <v>241</v>
      </c>
      <c r="R1" s="15" t="s">
        <v>241</v>
      </c>
      <c r="S1" s="15" t="s">
        <v>241</v>
      </c>
      <c r="T1" s="15" t="s">
        <v>241</v>
      </c>
      <c r="U1" s="15" t="s">
        <v>241</v>
      </c>
      <c r="V1" s="15" t="s">
        <v>241</v>
      </c>
      <c r="AE1" s="15" t="s">
        <v>242</v>
      </c>
      <c r="AF1" s="15" t="s">
        <v>242</v>
      </c>
      <c r="AG1" s="15" t="s">
        <v>242</v>
      </c>
      <c r="AH1" s="15" t="s">
        <v>242</v>
      </c>
      <c r="AI1" s="15" t="s">
        <v>242</v>
      </c>
      <c r="AJ1" s="15" t="s">
        <v>242</v>
      </c>
      <c r="AK1" s="15" t="s">
        <v>241</v>
      </c>
      <c r="AL1" s="15" t="s">
        <v>241</v>
      </c>
      <c r="AM1" s="15" t="s">
        <v>241</v>
      </c>
      <c r="AN1" s="15" t="s">
        <v>241</v>
      </c>
      <c r="AO1" s="15" t="s">
        <v>241</v>
      </c>
      <c r="AP1" s="15" t="s">
        <v>241</v>
      </c>
      <c r="AZ1" s="15" t="s">
        <v>242</v>
      </c>
      <c r="BA1" s="15" t="s">
        <v>242</v>
      </c>
      <c r="BB1" s="15" t="s">
        <v>242</v>
      </c>
      <c r="BC1" s="15" t="s">
        <v>242</v>
      </c>
      <c r="BD1" s="15" t="s">
        <v>242</v>
      </c>
      <c r="BE1" s="15" t="s">
        <v>242</v>
      </c>
      <c r="BF1" s="15" t="s">
        <v>242</v>
      </c>
      <c r="BG1" s="15" t="s">
        <v>242</v>
      </c>
      <c r="BH1" s="15" t="s">
        <v>242</v>
      </c>
      <c r="BI1" s="15" t="s">
        <v>242</v>
      </c>
      <c r="BJ1" s="15" t="s">
        <v>242</v>
      </c>
      <c r="BK1" s="15" t="s">
        <v>241</v>
      </c>
      <c r="BL1" s="15" t="s">
        <v>241</v>
      </c>
      <c r="BM1" s="15" t="s">
        <v>241</v>
      </c>
      <c r="BN1" s="15" t="s">
        <v>241</v>
      </c>
      <c r="BO1" s="15" t="s">
        <v>241</v>
      </c>
      <c r="BP1" s="15" t="s">
        <v>241</v>
      </c>
      <c r="BQ1" s="15" t="s">
        <v>241</v>
      </c>
      <c r="BR1" s="15" t="s">
        <v>241</v>
      </c>
      <c r="BS1" s="15" t="s">
        <v>241</v>
      </c>
      <c r="BT1" s="15" t="s">
        <v>241</v>
      </c>
      <c r="BU1" s="15" t="s">
        <v>241</v>
      </c>
    </row>
    <row r="2" spans="1:73" ht="14.65" thickTop="1" x14ac:dyDescent="0.45">
      <c r="E2" s="6" t="s">
        <v>241</v>
      </c>
      <c r="F2" s="6" t="str">
        <f t="shared" ref="F2" si="0">E2</f>
        <v>tui</v>
      </c>
      <c r="J2" s="15" t="s">
        <v>248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248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248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248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3" spans="1:73" x14ac:dyDescent="0.45">
      <c r="E3" s="6" t="s">
        <v>1155</v>
      </c>
      <c r="F3" s="6" t="s">
        <v>241</v>
      </c>
    </row>
    <row r="4" spans="1:73" x14ac:dyDescent="0.45">
      <c r="E4" s="6" t="s">
        <v>1157</v>
      </c>
      <c r="F4" s="6" t="s">
        <v>242</v>
      </c>
    </row>
    <row r="6" spans="1:73" x14ac:dyDescent="0.45">
      <c r="C6" t="s">
        <v>329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X6" t="s">
        <v>329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R6" t="s">
        <v>329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Y6" t="s">
        <v>243</v>
      </c>
    </row>
    <row r="7" spans="1:73" x14ac:dyDescent="0.45">
      <c r="C7" s="16" t="s">
        <v>244</v>
      </c>
      <c r="D7" s="16" t="s">
        <v>7</v>
      </c>
      <c r="E7" s="16" t="s">
        <v>11</v>
      </c>
      <c r="F7" s="16" t="s">
        <v>245</v>
      </c>
      <c r="G7" s="16" t="s">
        <v>6</v>
      </c>
      <c r="H7" s="16" t="s">
        <v>246</v>
      </c>
      <c r="I7" s="16" t="s">
        <v>247</v>
      </c>
      <c r="J7" s="15" t="str">
        <f>IF($A$1=J1,J2,"*"&amp;COLUMN())</f>
        <v>*10</v>
      </c>
      <c r="K7" s="17" t="str">
        <f t="shared" ref="K7:V7" si="1">IF($A$1=K1,K2,"*"&amp;COLUMN())</f>
        <v>*11</v>
      </c>
      <c r="L7" s="17" t="str">
        <f t="shared" si="1"/>
        <v>*12</v>
      </c>
      <c r="M7" s="17" t="str">
        <f t="shared" si="1"/>
        <v>*13</v>
      </c>
      <c r="N7" s="17" t="str">
        <f t="shared" si="1"/>
        <v>*14</v>
      </c>
      <c r="O7" s="17" t="str">
        <f t="shared" si="1"/>
        <v>*15</v>
      </c>
      <c r="P7" s="15" t="str">
        <f t="shared" si="1"/>
        <v>*16</v>
      </c>
      <c r="Q7" s="17" t="str">
        <f t="shared" si="1"/>
        <v>2015</v>
      </c>
      <c r="R7" s="17">
        <f t="shared" si="1"/>
        <v>2018</v>
      </c>
      <c r="S7" s="17">
        <f t="shared" si="1"/>
        <v>2021</v>
      </c>
      <c r="T7" s="17">
        <f t="shared" si="1"/>
        <v>2030</v>
      </c>
      <c r="U7" s="17">
        <f t="shared" si="1"/>
        <v>2040</v>
      </c>
      <c r="V7" s="17">
        <f t="shared" si="1"/>
        <v>2050</v>
      </c>
      <c r="X7" s="16" t="s">
        <v>244</v>
      </c>
      <c r="Y7" s="16" t="s">
        <v>7</v>
      </c>
      <c r="Z7" s="16" t="s">
        <v>11</v>
      </c>
      <c r="AA7" s="16" t="s">
        <v>245</v>
      </c>
      <c r="AB7" s="16" t="s">
        <v>6</v>
      </c>
      <c r="AC7" s="16" t="s">
        <v>246</v>
      </c>
      <c r="AD7" s="16" t="s">
        <v>247</v>
      </c>
      <c r="AE7" s="17" t="str">
        <f t="shared" ref="AE7:AP7" si="2">IF($A$1=AE1,AE2,"*"&amp;COLUMN())</f>
        <v>*31</v>
      </c>
      <c r="AF7" s="17" t="str">
        <f t="shared" si="2"/>
        <v>*32</v>
      </c>
      <c r="AG7" s="17" t="str">
        <f t="shared" si="2"/>
        <v>*33</v>
      </c>
      <c r="AH7" s="17" t="str">
        <f t="shared" si="2"/>
        <v>*34</v>
      </c>
      <c r="AI7" s="17" t="str">
        <f t="shared" si="2"/>
        <v>*35</v>
      </c>
      <c r="AJ7" s="17" t="str">
        <f t="shared" si="2"/>
        <v>*36</v>
      </c>
      <c r="AK7" s="17" t="str">
        <f t="shared" si="2"/>
        <v>2015</v>
      </c>
      <c r="AL7" s="17">
        <f t="shared" si="2"/>
        <v>0</v>
      </c>
      <c r="AM7" s="17">
        <f t="shared" si="2"/>
        <v>2018</v>
      </c>
      <c r="AN7" s="17">
        <f t="shared" si="2"/>
        <v>2030</v>
      </c>
      <c r="AO7" s="17">
        <f t="shared" si="2"/>
        <v>2040</v>
      </c>
      <c r="AP7" s="17">
        <f t="shared" si="2"/>
        <v>2050</v>
      </c>
      <c r="AR7" s="16" t="s">
        <v>244</v>
      </c>
      <c r="AS7" s="16" t="s">
        <v>7</v>
      </c>
      <c r="AT7" s="16" t="s">
        <v>11</v>
      </c>
      <c r="AU7" s="16" t="s">
        <v>245</v>
      </c>
      <c r="AV7" s="16" t="s">
        <v>6</v>
      </c>
      <c r="AW7" s="16" t="s">
        <v>246</v>
      </c>
      <c r="AX7" s="16" t="s">
        <v>1108</v>
      </c>
      <c r="AY7" s="16" t="s">
        <v>247</v>
      </c>
      <c r="AZ7" s="17" t="str">
        <f t="shared" ref="AZ7:BU7" si="3">IF($A$1=AZ1,AZ2,"*"&amp;COLUMN())</f>
        <v>*52</v>
      </c>
      <c r="BA7" s="17" t="str">
        <f t="shared" si="3"/>
        <v>*53</v>
      </c>
      <c r="BB7" s="17" t="str">
        <f t="shared" si="3"/>
        <v>*54</v>
      </c>
      <c r="BC7" s="17" t="str">
        <f t="shared" si="3"/>
        <v>*55</v>
      </c>
      <c r="BD7" s="17" t="str">
        <f t="shared" si="3"/>
        <v>*56</v>
      </c>
      <c r="BE7" s="17" t="str">
        <f t="shared" si="3"/>
        <v>*57</v>
      </c>
      <c r="BF7" s="17" t="str">
        <f t="shared" si="3"/>
        <v>*58</v>
      </c>
      <c r="BG7" s="17" t="str">
        <f t="shared" si="3"/>
        <v>*59</v>
      </c>
      <c r="BH7" s="17" t="str">
        <f t="shared" si="3"/>
        <v>*60</v>
      </c>
      <c r="BI7" s="17" t="str">
        <f t="shared" si="3"/>
        <v>*61</v>
      </c>
      <c r="BJ7" s="17" t="str">
        <f t="shared" si="3"/>
        <v>*62</v>
      </c>
      <c r="BK7" s="17">
        <f t="shared" si="3"/>
        <v>0</v>
      </c>
      <c r="BL7" s="17">
        <f t="shared" si="3"/>
        <v>2018</v>
      </c>
      <c r="BM7" s="17">
        <f t="shared" si="3"/>
        <v>2020</v>
      </c>
      <c r="BN7" s="17">
        <f t="shared" si="3"/>
        <v>2025</v>
      </c>
      <c r="BO7" s="17">
        <f t="shared" si="3"/>
        <v>2030</v>
      </c>
      <c r="BP7" s="17">
        <f t="shared" si="3"/>
        <v>2035</v>
      </c>
      <c r="BQ7" s="17">
        <f t="shared" si="3"/>
        <v>2040</v>
      </c>
      <c r="BR7" s="17">
        <f t="shared" si="3"/>
        <v>2045</v>
      </c>
      <c r="BS7" s="17">
        <f t="shared" si="3"/>
        <v>2050</v>
      </c>
      <c r="BT7" s="17">
        <f t="shared" si="3"/>
        <v>2055</v>
      </c>
      <c r="BU7" s="17">
        <f t="shared" si="3"/>
        <v>2060</v>
      </c>
    </row>
    <row r="8" spans="1:73" x14ac:dyDescent="0.45">
      <c r="C8" s="15" t="s">
        <v>249</v>
      </c>
      <c r="D8" s="15" t="s">
        <v>250</v>
      </c>
      <c r="E8" s="15" t="s">
        <v>251</v>
      </c>
      <c r="F8" s="15" t="s">
        <v>252</v>
      </c>
      <c r="G8" s="15"/>
      <c r="H8" s="15"/>
      <c r="I8" s="15"/>
      <c r="J8" s="18"/>
      <c r="K8" s="18"/>
      <c r="L8" s="19">
        <v>0.7</v>
      </c>
      <c r="M8" s="19"/>
      <c r="N8" s="18"/>
      <c r="O8" s="19"/>
      <c r="P8" s="18"/>
      <c r="Q8" s="18"/>
      <c r="R8" s="19">
        <v>0.7</v>
      </c>
      <c r="S8" s="19"/>
      <c r="T8" s="18"/>
      <c r="U8" s="19"/>
      <c r="V8" s="19"/>
      <c r="X8" s="15" t="s">
        <v>249</v>
      </c>
      <c r="Y8" s="15" t="s">
        <v>250</v>
      </c>
      <c r="Z8" s="15" t="s">
        <v>330</v>
      </c>
      <c r="AA8" s="15" t="s">
        <v>252</v>
      </c>
      <c r="AB8" s="15"/>
      <c r="AC8" s="15"/>
      <c r="AD8" s="15"/>
      <c r="AE8" s="18"/>
      <c r="AF8" s="18"/>
      <c r="AG8" s="19">
        <v>1.3286635932044299</v>
      </c>
      <c r="AH8" s="19">
        <v>1.1547044951380601</v>
      </c>
      <c r="AI8" s="18"/>
      <c r="AJ8" s="19">
        <v>1.2533056480065099</v>
      </c>
      <c r="AK8" s="18"/>
      <c r="AL8" s="18"/>
      <c r="AM8" s="19">
        <v>1.3286635932044299</v>
      </c>
      <c r="AN8" s="19">
        <v>1.15239602964443</v>
      </c>
      <c r="AO8" s="18"/>
      <c r="AP8" s="19">
        <v>1.25227260001938</v>
      </c>
      <c r="AR8" s="15" t="s">
        <v>249</v>
      </c>
      <c r="AS8" s="15" t="s">
        <v>12</v>
      </c>
      <c r="AT8" s="15" t="s">
        <v>368</v>
      </c>
      <c r="AU8" s="15"/>
      <c r="AV8" s="15"/>
      <c r="AW8" s="15" t="s">
        <v>320</v>
      </c>
      <c r="AX8" s="15"/>
      <c r="AY8" s="15"/>
      <c r="AZ8" s="19">
        <v>5</v>
      </c>
      <c r="BA8" s="18"/>
      <c r="BB8" s="18"/>
      <c r="BC8" s="18"/>
      <c r="BD8" s="18"/>
      <c r="BE8" s="18"/>
      <c r="BF8" s="19">
        <v>0</v>
      </c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</row>
    <row r="9" spans="1:73" x14ac:dyDescent="0.45">
      <c r="C9" s="15" t="s">
        <v>249</v>
      </c>
      <c r="D9" s="15" t="s">
        <v>250</v>
      </c>
      <c r="E9" s="15" t="s">
        <v>253</v>
      </c>
      <c r="F9" s="15" t="s">
        <v>252</v>
      </c>
      <c r="G9" s="15"/>
      <c r="H9" s="15"/>
      <c r="I9" s="15"/>
      <c r="J9" s="18"/>
      <c r="K9" s="18"/>
      <c r="L9" s="19">
        <v>0.83</v>
      </c>
      <c r="M9" s="18"/>
      <c r="N9" s="18"/>
      <c r="O9" s="18"/>
      <c r="P9" s="18"/>
      <c r="Q9" s="18"/>
      <c r="R9" s="19">
        <v>0.83</v>
      </c>
      <c r="S9" s="18"/>
      <c r="T9" s="18"/>
      <c r="U9" s="18"/>
      <c r="V9" s="18"/>
      <c r="X9" s="15" t="s">
        <v>249</v>
      </c>
      <c r="Y9" s="15" t="s">
        <v>250</v>
      </c>
      <c r="Z9" s="15" t="s">
        <v>331</v>
      </c>
      <c r="AA9" s="15" t="s">
        <v>252</v>
      </c>
      <c r="AB9" s="15"/>
      <c r="AC9" s="15"/>
      <c r="AD9" s="15"/>
      <c r="AE9" s="18"/>
      <c r="AF9" s="18"/>
      <c r="AG9" s="19">
        <v>0.73529411764705899</v>
      </c>
      <c r="AH9" s="18"/>
      <c r="AI9" s="18"/>
      <c r="AJ9" s="18"/>
      <c r="AK9" s="18"/>
      <c r="AL9" s="18"/>
      <c r="AM9" s="19">
        <v>0.73529411764705899</v>
      </c>
      <c r="AN9" s="18"/>
      <c r="AO9" s="18"/>
      <c r="AP9" s="18"/>
      <c r="AR9" s="15" t="s">
        <v>249</v>
      </c>
      <c r="AS9" s="15" t="s">
        <v>369</v>
      </c>
      <c r="AT9" s="15"/>
      <c r="AU9" s="15"/>
      <c r="AV9" s="15" t="s">
        <v>370</v>
      </c>
      <c r="AW9" s="15"/>
      <c r="AX9" s="15"/>
      <c r="AY9" s="15"/>
      <c r="AZ9" s="18"/>
      <c r="BA9" s="18"/>
      <c r="BB9" s="19">
        <v>0.140099215343676</v>
      </c>
      <c r="BC9" s="19">
        <v>0.13075246024977499</v>
      </c>
      <c r="BD9" s="19">
        <v>0.120353043573523</v>
      </c>
      <c r="BE9" s="19">
        <v>0.110400801852234</v>
      </c>
      <c r="BF9" s="19">
        <v>0.100923962629552</v>
      </c>
      <c r="BG9" s="19">
        <v>9.2260618237937297E-2</v>
      </c>
      <c r="BH9" s="19">
        <v>8.4340938027675005E-2</v>
      </c>
      <c r="BI9" s="19">
        <v>7.7101085633773797E-2</v>
      </c>
      <c r="BJ9" s="19">
        <v>7.0482704424699602E-2</v>
      </c>
      <c r="BK9" s="18"/>
      <c r="BL9" s="18"/>
      <c r="BM9" s="19">
        <v>0.143098</v>
      </c>
      <c r="BN9" s="19">
        <v>0.139567</v>
      </c>
      <c r="BO9" s="19">
        <v>0.13086999999999999</v>
      </c>
      <c r="BP9" s="19">
        <v>0.122715</v>
      </c>
      <c r="BQ9" s="19">
        <v>0.116509</v>
      </c>
      <c r="BR9" s="19">
        <v>0.111998</v>
      </c>
      <c r="BS9" s="19">
        <v>0.10766199999999999</v>
      </c>
      <c r="BT9" s="19">
        <v>0.103493</v>
      </c>
      <c r="BU9" s="19">
        <v>9.9486000000000005E-2</v>
      </c>
    </row>
    <row r="10" spans="1:73" x14ac:dyDescent="0.45">
      <c r="C10" s="15" t="s">
        <v>249</v>
      </c>
      <c r="D10" s="15" t="s">
        <v>250</v>
      </c>
      <c r="E10" s="15" t="s">
        <v>254</v>
      </c>
      <c r="F10" s="15" t="s">
        <v>252</v>
      </c>
      <c r="G10" s="15"/>
      <c r="H10" s="15"/>
      <c r="I10" s="15"/>
      <c r="J10" s="18"/>
      <c r="K10" s="18"/>
      <c r="L10" s="19">
        <v>0.45</v>
      </c>
      <c r="M10" s="19"/>
      <c r="N10" s="18"/>
      <c r="O10" s="19"/>
      <c r="P10" s="18"/>
      <c r="Q10" s="18"/>
      <c r="R10" s="19">
        <v>0.45</v>
      </c>
      <c r="S10" s="19"/>
      <c r="T10" s="18"/>
      <c r="U10" s="19"/>
      <c r="V10" s="19"/>
      <c r="X10" s="15" t="s">
        <v>249</v>
      </c>
      <c r="Y10" s="15" t="s">
        <v>250</v>
      </c>
      <c r="Z10" s="15" t="s">
        <v>332</v>
      </c>
      <c r="AA10" s="15" t="s">
        <v>252</v>
      </c>
      <c r="AB10" s="15"/>
      <c r="AC10" s="15"/>
      <c r="AD10" s="15"/>
      <c r="AE10" s="18"/>
      <c r="AF10" s="18"/>
      <c r="AG10" s="19">
        <v>0.34633084121503799</v>
      </c>
      <c r="AH10" s="19">
        <v>0.37718159491337</v>
      </c>
      <c r="AI10" s="18"/>
      <c r="AJ10" s="19">
        <v>0.402522947533137</v>
      </c>
      <c r="AK10" s="18"/>
      <c r="AL10" s="18"/>
      <c r="AM10" s="19">
        <v>0.34633084121503799</v>
      </c>
      <c r="AN10" s="19">
        <v>0.369526030884607</v>
      </c>
      <c r="AO10" s="18"/>
      <c r="AP10" s="19">
        <v>0.36682984733868601</v>
      </c>
      <c r="AR10" s="15" t="s">
        <v>249</v>
      </c>
      <c r="AS10" s="15" t="s">
        <v>369</v>
      </c>
      <c r="AT10" s="15"/>
      <c r="AU10" s="15"/>
      <c r="AV10" s="15" t="s">
        <v>371</v>
      </c>
      <c r="AW10" s="15"/>
      <c r="AX10" s="15"/>
      <c r="AY10" s="15"/>
      <c r="AZ10" s="18"/>
      <c r="BA10" s="18"/>
      <c r="BB10" s="19">
        <v>6.8884519568155403E-3</v>
      </c>
      <c r="BC10" s="19">
        <v>6.6939613610104403E-3</v>
      </c>
      <c r="BD10" s="19">
        <v>6.4807409280356297E-3</v>
      </c>
      <c r="BE10" s="19">
        <v>6.2527931518733398E-3</v>
      </c>
      <c r="BF10" s="19">
        <v>6.0121579213578396E-3</v>
      </c>
      <c r="BG10" s="19">
        <v>5.7807834024569396E-3</v>
      </c>
      <c r="BH10" s="19">
        <v>5.5583132018884804E-3</v>
      </c>
      <c r="BI10" s="19">
        <v>5.3444046419654501E-3</v>
      </c>
      <c r="BJ10" s="19">
        <v>5.1387282327590902E-3</v>
      </c>
      <c r="BK10" s="18"/>
      <c r="BL10" s="18"/>
      <c r="BM10" s="19">
        <v>6.9300000000000004E-3</v>
      </c>
      <c r="BN10" s="19">
        <v>6.8960000000000002E-3</v>
      </c>
      <c r="BO10" s="19">
        <v>6.6309999999999997E-3</v>
      </c>
      <c r="BP10" s="19">
        <v>6.3759999999999997E-3</v>
      </c>
      <c r="BQ10" s="19">
        <v>6.2069999999999998E-3</v>
      </c>
      <c r="BR10" s="19">
        <v>6.1190000000000003E-3</v>
      </c>
      <c r="BS10" s="19">
        <v>6.0309999999999999E-3</v>
      </c>
      <c r="BT10" s="19">
        <v>5.9449999999999998E-3</v>
      </c>
      <c r="BU10" s="19">
        <v>5.8609999999999999E-3</v>
      </c>
    </row>
    <row r="11" spans="1:73" x14ac:dyDescent="0.45">
      <c r="C11" s="15" t="s">
        <v>249</v>
      </c>
      <c r="D11" s="15" t="s">
        <v>250</v>
      </c>
      <c r="E11" s="15" t="s">
        <v>255</v>
      </c>
      <c r="F11" s="15" t="s">
        <v>252</v>
      </c>
      <c r="G11" s="15"/>
      <c r="H11" s="15"/>
      <c r="I11" s="15"/>
      <c r="J11" s="18"/>
      <c r="K11" s="18"/>
      <c r="L11" s="19">
        <v>0.35</v>
      </c>
      <c r="M11" s="19"/>
      <c r="N11" s="18"/>
      <c r="O11" s="19"/>
      <c r="P11" s="18"/>
      <c r="Q11" s="18"/>
      <c r="R11" s="19">
        <v>0.35</v>
      </c>
      <c r="S11" s="19"/>
      <c r="T11" s="18"/>
      <c r="U11" s="19"/>
      <c r="V11" s="19"/>
      <c r="X11" s="15" t="s">
        <v>249</v>
      </c>
      <c r="Y11" s="15" t="s">
        <v>250</v>
      </c>
      <c r="Z11" s="15" t="s">
        <v>333</v>
      </c>
      <c r="AA11" s="15" t="s">
        <v>252</v>
      </c>
      <c r="AB11" s="15"/>
      <c r="AC11" s="15"/>
      <c r="AD11" s="15"/>
      <c r="AE11" s="18"/>
      <c r="AF11" s="18"/>
      <c r="AG11" s="19">
        <v>0.32080057540766099</v>
      </c>
      <c r="AH11" s="19">
        <v>0.37690023893270203</v>
      </c>
      <c r="AI11" s="18"/>
      <c r="AJ11" s="19">
        <v>0.43089792618613798</v>
      </c>
      <c r="AK11" s="18"/>
      <c r="AL11" s="18"/>
      <c r="AM11" s="19">
        <v>0.32080057540766099</v>
      </c>
      <c r="AN11" s="19">
        <v>0.37015140102341798</v>
      </c>
      <c r="AO11" s="18"/>
      <c r="AP11" s="19">
        <v>0.40522794060224498</v>
      </c>
      <c r="AR11" s="15" t="s">
        <v>249</v>
      </c>
      <c r="AS11" s="15" t="s">
        <v>369</v>
      </c>
      <c r="AT11" s="15"/>
      <c r="AU11" s="15"/>
      <c r="AV11" s="15" t="s">
        <v>372</v>
      </c>
      <c r="AW11" s="15"/>
      <c r="AX11" s="15"/>
      <c r="AY11" s="15"/>
      <c r="AZ11" s="18"/>
      <c r="BA11" s="18"/>
      <c r="BB11" s="19">
        <v>3.8036798997698303E-2</v>
      </c>
      <c r="BC11" s="19">
        <v>3.6225466291223203E-2</v>
      </c>
      <c r="BD11" s="19">
        <v>3.4199205200313498E-2</v>
      </c>
      <c r="BE11" s="19">
        <v>3.2175550327568699E-2</v>
      </c>
      <c r="BF11" s="19">
        <v>3.0167746543062601E-2</v>
      </c>
      <c r="BG11" s="19">
        <v>2.8285232800095299E-2</v>
      </c>
      <c r="BH11" s="19">
        <v>2.6520190807542102E-2</v>
      </c>
      <c r="BI11" s="19">
        <v>2.4865290147658599E-2</v>
      </c>
      <c r="BJ11" s="19">
        <v>2.3313657832032399E-2</v>
      </c>
      <c r="BK11" s="18"/>
      <c r="BL11" s="18"/>
      <c r="BM11" s="19">
        <v>3.8554999999999999E-2</v>
      </c>
      <c r="BN11" s="19">
        <v>3.7983999999999997E-2</v>
      </c>
      <c r="BO11" s="19">
        <v>3.6068000000000003E-2</v>
      </c>
      <c r="BP11" s="19">
        <v>3.4249000000000002E-2</v>
      </c>
      <c r="BQ11" s="19">
        <v>3.2927999999999999E-2</v>
      </c>
      <c r="BR11" s="19">
        <v>3.2053999999999999E-2</v>
      </c>
      <c r="BS11" s="19">
        <v>3.1203000000000002E-2</v>
      </c>
      <c r="BT11" s="19">
        <v>3.0374000000000002E-2</v>
      </c>
      <c r="BU11" s="19">
        <v>2.9568000000000001E-2</v>
      </c>
    </row>
    <row r="12" spans="1:73" x14ac:dyDescent="0.45">
      <c r="C12" s="15" t="s">
        <v>249</v>
      </c>
      <c r="D12" s="15" t="s">
        <v>250</v>
      </c>
      <c r="E12" s="15" t="s">
        <v>256</v>
      </c>
      <c r="F12" s="15" t="s">
        <v>252</v>
      </c>
      <c r="G12" s="15"/>
      <c r="H12" s="15"/>
      <c r="I12" s="15"/>
      <c r="J12" s="18"/>
      <c r="K12" s="18"/>
      <c r="L12" s="19">
        <v>0.1</v>
      </c>
      <c r="M12" s="19"/>
      <c r="N12" s="18"/>
      <c r="O12" s="19"/>
      <c r="P12" s="18"/>
      <c r="Q12" s="18"/>
      <c r="R12" s="19">
        <v>0.1</v>
      </c>
      <c r="S12" s="19"/>
      <c r="T12" s="18"/>
      <c r="U12" s="19"/>
      <c r="V12" s="19"/>
      <c r="X12" s="15" t="s">
        <v>249</v>
      </c>
      <c r="Y12" s="15" t="s">
        <v>250</v>
      </c>
      <c r="Z12" s="15" t="s">
        <v>334</v>
      </c>
      <c r="AA12" s="15" t="s">
        <v>252</v>
      </c>
      <c r="AB12" s="15"/>
      <c r="AC12" s="15"/>
      <c r="AD12" s="15"/>
      <c r="AE12" s="18"/>
      <c r="AF12" s="18"/>
      <c r="AG12" s="19">
        <v>0.24232912878138699</v>
      </c>
      <c r="AH12" s="19">
        <v>0.26016473235779503</v>
      </c>
      <c r="AI12" s="18"/>
      <c r="AJ12" s="19">
        <v>0.30361984702604999</v>
      </c>
      <c r="AK12" s="18"/>
      <c r="AL12" s="18"/>
      <c r="AM12" s="19">
        <v>0.24232912878138699</v>
      </c>
      <c r="AN12" s="19">
        <v>0.26005135217853298</v>
      </c>
      <c r="AO12" s="18"/>
      <c r="AP12" s="19">
        <v>0.28945346962129198</v>
      </c>
      <c r="AR12" s="15" t="s">
        <v>249</v>
      </c>
      <c r="AS12" s="15" t="s">
        <v>369</v>
      </c>
      <c r="AT12" s="15"/>
      <c r="AU12" s="15"/>
      <c r="AV12" s="15" t="s">
        <v>373</v>
      </c>
      <c r="AW12" s="15"/>
      <c r="AX12" s="15"/>
      <c r="AY12" s="15"/>
      <c r="AZ12" s="18"/>
      <c r="BA12" s="18"/>
      <c r="BB12" s="19">
        <v>6.6350685641505799E-2</v>
      </c>
      <c r="BC12" s="19">
        <v>6.3191030513670796E-2</v>
      </c>
      <c r="BD12" s="19">
        <v>5.9656458304303397E-2</v>
      </c>
      <c r="BE12" s="19">
        <v>5.6126432333492397E-2</v>
      </c>
      <c r="BF12" s="19">
        <v>5.26240567065724E-2</v>
      </c>
      <c r="BG12" s="19">
        <v>4.9340234700861699E-2</v>
      </c>
      <c r="BH12" s="19">
        <v>4.6261328234546199E-2</v>
      </c>
      <c r="BI12" s="19">
        <v>4.3374550263074498E-2</v>
      </c>
      <c r="BJ12" s="19">
        <v>4.0667911673125202E-2</v>
      </c>
      <c r="BK12" s="18"/>
      <c r="BL12" s="18"/>
      <c r="BM12" s="19">
        <v>6.7254999999999995E-2</v>
      </c>
      <c r="BN12" s="19">
        <v>6.6258999999999998E-2</v>
      </c>
      <c r="BO12" s="19">
        <v>6.2917000000000001E-2</v>
      </c>
      <c r="BP12" s="19">
        <v>5.9742999999999997E-2</v>
      </c>
      <c r="BQ12" s="19">
        <v>5.7438999999999997E-2</v>
      </c>
      <c r="BR12" s="19">
        <v>5.5913999999999998E-2</v>
      </c>
      <c r="BS12" s="19">
        <v>5.4429999999999999E-2</v>
      </c>
      <c r="BT12" s="19">
        <v>5.2984999999999997E-2</v>
      </c>
      <c r="BU12" s="19">
        <v>5.1577999999999999E-2</v>
      </c>
    </row>
    <row r="13" spans="1:73" x14ac:dyDescent="0.45">
      <c r="C13" s="15" t="s">
        <v>249</v>
      </c>
      <c r="D13" s="15" t="s">
        <v>250</v>
      </c>
      <c r="E13" s="15" t="s">
        <v>257</v>
      </c>
      <c r="F13" s="15" t="s">
        <v>252</v>
      </c>
      <c r="G13" s="15"/>
      <c r="H13" s="15"/>
      <c r="I13" s="15"/>
      <c r="J13" s="18"/>
      <c r="K13" s="18"/>
      <c r="L13" s="19">
        <v>0.13</v>
      </c>
      <c r="M13" s="19"/>
      <c r="N13" s="18"/>
      <c r="O13" s="19"/>
      <c r="P13" s="18"/>
      <c r="Q13" s="18"/>
      <c r="R13" s="19">
        <v>0.13</v>
      </c>
      <c r="S13" s="19"/>
      <c r="T13" s="18"/>
      <c r="U13" s="19"/>
      <c r="V13" s="19"/>
      <c r="X13" s="15" t="s">
        <v>249</v>
      </c>
      <c r="Y13" s="15" t="s">
        <v>250</v>
      </c>
      <c r="Z13" s="15" t="s">
        <v>335</v>
      </c>
      <c r="AA13" s="15" t="s">
        <v>252</v>
      </c>
      <c r="AB13" s="15"/>
      <c r="AC13" s="15"/>
      <c r="AD13" s="15"/>
      <c r="AE13" s="18"/>
      <c r="AF13" s="18"/>
      <c r="AG13" s="19">
        <v>0.22446549570454599</v>
      </c>
      <c r="AH13" s="19">
        <v>0.25997066428980098</v>
      </c>
      <c r="AI13" s="18"/>
      <c r="AJ13" s="19">
        <v>0.32502286698004201</v>
      </c>
      <c r="AK13" s="18"/>
      <c r="AL13" s="18"/>
      <c r="AM13" s="19">
        <v>0.22446549570454599</v>
      </c>
      <c r="AN13" s="19">
        <v>0.260491452027035</v>
      </c>
      <c r="AO13" s="18"/>
      <c r="AP13" s="19">
        <v>0.31975215279174202</v>
      </c>
      <c r="AR13" s="15" t="s">
        <v>249</v>
      </c>
      <c r="AS13" s="15" t="s">
        <v>369</v>
      </c>
      <c r="AT13" s="15"/>
      <c r="AU13" s="15"/>
      <c r="AV13" s="15" t="s">
        <v>374</v>
      </c>
      <c r="AW13" s="15"/>
      <c r="AX13" s="15"/>
      <c r="AY13" s="15"/>
      <c r="AZ13" s="18"/>
      <c r="BA13" s="18"/>
      <c r="BB13" s="19">
        <v>0.206155550914604</v>
      </c>
      <c r="BC13" s="19">
        <v>0.19633831334906601</v>
      </c>
      <c r="BD13" s="19">
        <v>0.18535618597503101</v>
      </c>
      <c r="BE13" s="19">
        <v>0.174388184036251</v>
      </c>
      <c r="BF13" s="19">
        <v>0.163506093370621</v>
      </c>
      <c r="BG13" s="19">
        <v>0.15330306188500101</v>
      </c>
      <c r="BH13" s="19">
        <v>0.14373671524304901</v>
      </c>
      <c r="BI13" s="19">
        <v>0.13476732333212901</v>
      </c>
      <c r="BJ13" s="19">
        <v>0.12635763525968699</v>
      </c>
      <c r="BK13" s="18"/>
      <c r="BL13" s="18"/>
      <c r="BM13" s="19">
        <v>0.20896600000000001</v>
      </c>
      <c r="BN13" s="19">
        <v>0.205871</v>
      </c>
      <c r="BO13" s="19">
        <v>0.19548599999999999</v>
      </c>
      <c r="BP13" s="19">
        <v>0.18562400000000001</v>
      </c>
      <c r="BQ13" s="19">
        <v>0.17846699999999999</v>
      </c>
      <c r="BR13" s="19">
        <v>0.17372899999999999</v>
      </c>
      <c r="BS13" s="19">
        <v>0.16911599999999999</v>
      </c>
      <c r="BT13" s="19">
        <v>0.16462599999999999</v>
      </c>
      <c r="BU13" s="19">
        <v>0.16025500000000001</v>
      </c>
    </row>
    <row r="14" spans="1:73" x14ac:dyDescent="0.45">
      <c r="C14" s="15" t="s">
        <v>249</v>
      </c>
      <c r="D14" s="15" t="s">
        <v>250</v>
      </c>
      <c r="E14" s="15" t="s">
        <v>258</v>
      </c>
      <c r="F14" s="15" t="s">
        <v>252</v>
      </c>
      <c r="G14" s="15"/>
      <c r="H14" s="15"/>
      <c r="I14" s="15"/>
      <c r="J14" s="18"/>
      <c r="K14" s="18"/>
      <c r="L14" s="19">
        <v>0.44</v>
      </c>
      <c r="M14" s="19"/>
      <c r="N14" s="18"/>
      <c r="O14" s="19"/>
      <c r="P14" s="18"/>
      <c r="Q14" s="18"/>
      <c r="R14" s="19">
        <v>0.44</v>
      </c>
      <c r="S14" s="19"/>
      <c r="T14" s="18"/>
      <c r="U14" s="19"/>
      <c r="V14" s="19"/>
      <c r="X14" s="15" t="s">
        <v>249</v>
      </c>
      <c r="Y14" s="15" t="s">
        <v>250</v>
      </c>
      <c r="Z14" s="15" t="s">
        <v>336</v>
      </c>
      <c r="AA14" s="15" t="s">
        <v>337</v>
      </c>
      <c r="AB14" s="15"/>
      <c r="AC14" s="15"/>
      <c r="AD14" s="15"/>
      <c r="AE14" s="18"/>
      <c r="AF14" s="18"/>
      <c r="AG14" s="19">
        <v>0.24232912878138699</v>
      </c>
      <c r="AH14" s="19">
        <v>0.26016473235779503</v>
      </c>
      <c r="AI14" s="18"/>
      <c r="AJ14" s="19">
        <v>0.30361984702604999</v>
      </c>
      <c r="AK14" s="18"/>
      <c r="AL14" s="18"/>
      <c r="AM14" s="19">
        <v>0.24232912878138699</v>
      </c>
      <c r="AN14" s="19">
        <v>0.26005135217853298</v>
      </c>
      <c r="AO14" s="18"/>
      <c r="AP14" s="19">
        <v>0.28945346962129198</v>
      </c>
      <c r="AR14" s="15" t="s">
        <v>249</v>
      </c>
      <c r="AS14" s="15" t="s">
        <v>369</v>
      </c>
      <c r="AT14" s="15"/>
      <c r="AU14" s="15"/>
      <c r="AV14" s="15" t="s">
        <v>375</v>
      </c>
      <c r="AW14" s="15"/>
      <c r="AX14" s="15"/>
      <c r="AY14" s="15"/>
      <c r="AZ14" s="18"/>
      <c r="BA14" s="18"/>
      <c r="BB14" s="19">
        <v>6.0963141484747102E-2</v>
      </c>
      <c r="BC14" s="19">
        <v>5.8060044090366698E-2</v>
      </c>
      <c r="BD14" s="19">
        <v>5.4812472138330501E-2</v>
      </c>
      <c r="BE14" s="19">
        <v>5.1569077279291303E-2</v>
      </c>
      <c r="BF14" s="19">
        <v>4.8351087611026501E-2</v>
      </c>
      <c r="BG14" s="19">
        <v>4.5333905443135897E-2</v>
      </c>
      <c r="BH14" s="19">
        <v>4.2505000079015899E-2</v>
      </c>
      <c r="BI14" s="19">
        <v>3.9852622756786901E-2</v>
      </c>
      <c r="BJ14" s="19">
        <v>3.7365757855364702E-2</v>
      </c>
      <c r="BK14" s="18"/>
      <c r="BL14" s="18"/>
      <c r="BM14" s="19">
        <v>6.1794000000000002E-2</v>
      </c>
      <c r="BN14" s="19">
        <v>6.0879000000000003E-2</v>
      </c>
      <c r="BO14" s="19">
        <v>5.7807999999999998E-2</v>
      </c>
      <c r="BP14" s="19">
        <v>5.4892000000000003E-2</v>
      </c>
      <c r="BQ14" s="19">
        <v>5.2775000000000002E-2</v>
      </c>
      <c r="BR14" s="19">
        <v>5.1374000000000003E-2</v>
      </c>
      <c r="BS14" s="19">
        <v>5.0009999999999999E-2</v>
      </c>
      <c r="BT14" s="19">
        <v>4.8682000000000003E-2</v>
      </c>
      <c r="BU14" s="19">
        <v>4.7390000000000002E-2</v>
      </c>
    </row>
    <row r="15" spans="1:73" x14ac:dyDescent="0.45">
      <c r="C15" s="15" t="s">
        <v>249</v>
      </c>
      <c r="D15" s="15" t="s">
        <v>250</v>
      </c>
      <c r="E15" s="15" t="s">
        <v>259</v>
      </c>
      <c r="F15" s="15" t="s">
        <v>252</v>
      </c>
      <c r="G15" s="15"/>
      <c r="H15" s="15"/>
      <c r="I15" s="15"/>
      <c r="J15" s="18"/>
      <c r="K15" s="18"/>
      <c r="L15" s="19">
        <v>0.27</v>
      </c>
      <c r="M15" s="19"/>
      <c r="N15" s="18"/>
      <c r="O15" s="19"/>
      <c r="P15" s="18"/>
      <c r="Q15" s="18"/>
      <c r="R15" s="19">
        <v>0.27</v>
      </c>
      <c r="S15" s="19"/>
      <c r="T15" s="18"/>
      <c r="U15" s="19"/>
      <c r="V15" s="19"/>
      <c r="X15" s="15" t="s">
        <v>249</v>
      </c>
      <c r="Y15" s="15" t="s">
        <v>250</v>
      </c>
      <c r="Z15" s="15" t="s">
        <v>336</v>
      </c>
      <c r="AA15" s="15" t="s">
        <v>338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249</v>
      </c>
      <c r="AS15" s="15" t="s">
        <v>369</v>
      </c>
      <c r="AT15" s="15"/>
      <c r="AU15" s="15"/>
      <c r="AV15" s="15" t="s">
        <v>376</v>
      </c>
      <c r="AW15" s="15"/>
      <c r="AX15" s="15"/>
      <c r="AY15" s="15"/>
      <c r="AZ15" s="18"/>
      <c r="BA15" s="18"/>
      <c r="BB15" s="19">
        <v>0.59296051553192597</v>
      </c>
      <c r="BC15" s="19">
        <v>0.57621869245212598</v>
      </c>
      <c r="BD15" s="19">
        <v>0.55786459799791499</v>
      </c>
      <c r="BE15" s="19">
        <v>0.53824276834520002</v>
      </c>
      <c r="BF15" s="19">
        <v>0.51752879788621498</v>
      </c>
      <c r="BG15" s="19">
        <v>0.497611992939542</v>
      </c>
      <c r="BH15" s="19">
        <v>0.47846167503842801</v>
      </c>
      <c r="BI15" s="19">
        <v>0.46004834635967401</v>
      </c>
      <c r="BJ15" s="19">
        <v>0.44234364428723</v>
      </c>
      <c r="BK15" s="18"/>
      <c r="BL15" s="18"/>
      <c r="BM15" s="19">
        <v>0.59650099999999995</v>
      </c>
      <c r="BN15" s="19">
        <v>0.59359499999999998</v>
      </c>
      <c r="BO15" s="19">
        <v>0.57076800000000005</v>
      </c>
      <c r="BP15" s="19">
        <v>0.54881899999999995</v>
      </c>
      <c r="BQ15" s="19">
        <v>0.53432000000000002</v>
      </c>
      <c r="BR15" s="19">
        <v>0.52670099999999997</v>
      </c>
      <c r="BS15" s="19">
        <v>0.51919099999999996</v>
      </c>
      <c r="BT15" s="19">
        <v>0.51178800000000002</v>
      </c>
      <c r="BU15" s="19">
        <v>0.50448999999999999</v>
      </c>
    </row>
    <row r="16" spans="1:73" x14ac:dyDescent="0.45">
      <c r="C16" s="15" t="s">
        <v>249</v>
      </c>
      <c r="D16" s="15" t="s">
        <v>250</v>
      </c>
      <c r="E16" s="15" t="s">
        <v>260</v>
      </c>
      <c r="F16" s="15" t="s">
        <v>252</v>
      </c>
      <c r="G16" s="15"/>
      <c r="H16" s="15"/>
      <c r="I16" s="15"/>
      <c r="J16" s="18"/>
      <c r="K16" s="18"/>
      <c r="L16" s="19">
        <v>0.11</v>
      </c>
      <c r="M16" s="19"/>
      <c r="N16" s="18"/>
      <c r="O16" s="19"/>
      <c r="P16" s="18"/>
      <c r="Q16" s="18"/>
      <c r="R16" s="19">
        <v>0.11</v>
      </c>
      <c r="S16" s="19"/>
      <c r="T16" s="18"/>
      <c r="U16" s="19"/>
      <c r="V16" s="19"/>
      <c r="X16" s="15" t="s">
        <v>249</v>
      </c>
      <c r="Y16" s="15" t="s">
        <v>250</v>
      </c>
      <c r="Z16" s="15" t="s">
        <v>339</v>
      </c>
      <c r="AA16" s="15" t="s">
        <v>338</v>
      </c>
      <c r="AB16" s="15"/>
      <c r="AC16" s="15"/>
      <c r="AD16" s="15"/>
      <c r="AE16" s="18"/>
      <c r="AF16" s="18"/>
      <c r="AG16" s="19">
        <v>1.3286635932044299</v>
      </c>
      <c r="AH16" s="19">
        <v>1.1547044951380601</v>
      </c>
      <c r="AI16" s="18"/>
      <c r="AJ16" s="19">
        <v>1.2533056480065099</v>
      </c>
      <c r="AK16" s="18"/>
      <c r="AL16" s="18"/>
      <c r="AM16" s="19">
        <v>1.3286635932044299</v>
      </c>
      <c r="AN16" s="19">
        <v>1.15239602964443</v>
      </c>
      <c r="AO16" s="18"/>
      <c r="AP16" s="19">
        <v>1.25227260001938</v>
      </c>
      <c r="AR16" s="15" t="s">
        <v>249</v>
      </c>
      <c r="AS16" s="15" t="s">
        <v>369</v>
      </c>
      <c r="AT16" s="15"/>
      <c r="AU16" s="15"/>
      <c r="AV16" s="15" t="s">
        <v>377</v>
      </c>
      <c r="AW16" s="15"/>
      <c r="AX16" s="15"/>
      <c r="AY16" s="15"/>
      <c r="AZ16" s="18"/>
      <c r="BA16" s="18"/>
      <c r="BB16" s="19">
        <v>0.52133017082635003</v>
      </c>
      <c r="BC16" s="19">
        <v>0.50661078014600003</v>
      </c>
      <c r="BD16" s="19">
        <v>0.49047388241581402</v>
      </c>
      <c r="BE16" s="19">
        <v>0.47322239342653599</v>
      </c>
      <c r="BF16" s="19">
        <v>0.45501069555625401</v>
      </c>
      <c r="BG16" s="19">
        <v>0.43749986464392898</v>
      </c>
      <c r="BH16" s="19">
        <v>0.420662928218557</v>
      </c>
      <c r="BI16" s="19">
        <v>0.404473951829522</v>
      </c>
      <c r="BJ16" s="19">
        <v>0.38890799909896501</v>
      </c>
      <c r="BK16" s="18"/>
      <c r="BL16" s="18"/>
      <c r="BM16" s="19">
        <v>0.52444299999999999</v>
      </c>
      <c r="BN16" s="19">
        <v>0.52188800000000002</v>
      </c>
      <c r="BO16" s="19">
        <v>0.50181900000000002</v>
      </c>
      <c r="BP16" s="19">
        <v>0.48252099999999998</v>
      </c>
      <c r="BQ16" s="19">
        <v>0.46977400000000002</v>
      </c>
      <c r="BR16" s="19">
        <v>0.46307500000000001</v>
      </c>
      <c r="BS16" s="19">
        <v>0.45647199999999999</v>
      </c>
      <c r="BT16" s="19">
        <v>0.449963</v>
      </c>
      <c r="BU16" s="19">
        <v>0.44354700000000002</v>
      </c>
    </row>
    <row r="17" spans="3:73" x14ac:dyDescent="0.45">
      <c r="C17" s="15" t="s">
        <v>249</v>
      </c>
      <c r="D17" s="15" t="s">
        <v>250</v>
      </c>
      <c r="E17" s="15" t="s">
        <v>261</v>
      </c>
      <c r="F17" s="15" t="s">
        <v>252</v>
      </c>
      <c r="G17" s="15"/>
      <c r="H17" s="15"/>
      <c r="I17" s="15"/>
      <c r="J17" s="18"/>
      <c r="K17" s="18"/>
      <c r="L17" s="19">
        <v>0.39</v>
      </c>
      <c r="M17" s="19"/>
      <c r="N17" s="18"/>
      <c r="O17" s="19"/>
      <c r="P17" s="18"/>
      <c r="Q17" s="18"/>
      <c r="R17" s="19">
        <v>0.39</v>
      </c>
      <c r="S17" s="19"/>
      <c r="T17" s="18"/>
      <c r="U17" s="19"/>
      <c r="V17" s="19"/>
      <c r="X17" s="15" t="s">
        <v>249</v>
      </c>
      <c r="Y17" s="15" t="s">
        <v>250</v>
      </c>
      <c r="Z17" s="15" t="s">
        <v>339</v>
      </c>
      <c r="AA17" s="15" t="s">
        <v>340</v>
      </c>
      <c r="AB17" s="15"/>
      <c r="AC17" s="15"/>
      <c r="AD17" s="15"/>
      <c r="AE17" s="18"/>
      <c r="AF17" s="18"/>
      <c r="AG17" s="19">
        <v>0.22446549570454599</v>
      </c>
      <c r="AH17" s="19">
        <v>0.25997066428980098</v>
      </c>
      <c r="AI17" s="18"/>
      <c r="AJ17" s="19">
        <v>0.32502286698004201</v>
      </c>
      <c r="AK17" s="18"/>
      <c r="AL17" s="18"/>
      <c r="AM17" s="19">
        <v>0.22446549570454599</v>
      </c>
      <c r="AN17" s="19">
        <v>0.260491452027035</v>
      </c>
      <c r="AO17" s="18"/>
      <c r="AP17" s="19">
        <v>0.31975215279174202</v>
      </c>
      <c r="AR17" s="15" t="s">
        <v>249</v>
      </c>
      <c r="AS17" s="15" t="s">
        <v>369</v>
      </c>
      <c r="AT17" s="15"/>
      <c r="AU17" s="15"/>
      <c r="AV17" s="15" t="s">
        <v>378</v>
      </c>
      <c r="AW17" s="15"/>
      <c r="AX17" s="15"/>
      <c r="AY17" s="15"/>
      <c r="AZ17" s="18"/>
      <c r="BA17" s="18"/>
      <c r="BB17" s="19">
        <v>1.96747057397636</v>
      </c>
      <c r="BC17" s="19">
        <v>1.9119204261985201</v>
      </c>
      <c r="BD17" s="19">
        <v>1.85102068700046</v>
      </c>
      <c r="BE17" s="19">
        <v>1.78591454344103</v>
      </c>
      <c r="BF17" s="19">
        <v>1.717184625882</v>
      </c>
      <c r="BG17" s="19">
        <v>1.6510997405755099</v>
      </c>
      <c r="BH17" s="19">
        <v>1.58755809494176</v>
      </c>
      <c r="BI17" s="19">
        <v>1.5264618138311901</v>
      </c>
      <c r="BJ17" s="19">
        <v>1.4677167887643801</v>
      </c>
      <c r="BK17" s="18"/>
      <c r="BL17" s="18"/>
      <c r="BM17" s="19">
        <v>1.9792190000000001</v>
      </c>
      <c r="BN17" s="19">
        <v>1.969576</v>
      </c>
      <c r="BO17" s="19">
        <v>1.8938349999999999</v>
      </c>
      <c r="BP17" s="19">
        <v>1.8210059999999999</v>
      </c>
      <c r="BQ17" s="19">
        <v>1.7728999999999999</v>
      </c>
      <c r="BR17" s="19">
        <v>1.747619</v>
      </c>
      <c r="BS17" s="19">
        <v>1.7226999999999999</v>
      </c>
      <c r="BT17" s="19">
        <v>1.698135</v>
      </c>
      <c r="BU17" s="19">
        <v>1.673921</v>
      </c>
    </row>
    <row r="18" spans="3:73" x14ac:dyDescent="0.45">
      <c r="C18" s="15" t="s">
        <v>249</v>
      </c>
      <c r="D18" s="15" t="s">
        <v>250</v>
      </c>
      <c r="E18" s="15" t="s">
        <v>262</v>
      </c>
      <c r="F18" s="15" t="s">
        <v>252</v>
      </c>
      <c r="G18" s="15"/>
      <c r="H18" s="15"/>
      <c r="I18" s="15"/>
      <c r="J18" s="18"/>
      <c r="K18" s="18"/>
      <c r="L18" s="19">
        <v>0.24</v>
      </c>
      <c r="M18" s="18"/>
      <c r="N18" s="18"/>
      <c r="O18" s="18"/>
      <c r="P18" s="18"/>
      <c r="Q18" s="18"/>
      <c r="R18" s="19">
        <v>0.24</v>
      </c>
      <c r="S18" s="18"/>
      <c r="T18" s="18"/>
      <c r="U18" s="18"/>
      <c r="V18" s="18"/>
      <c r="X18" s="15" t="s">
        <v>249</v>
      </c>
      <c r="Y18" s="15" t="s">
        <v>250</v>
      </c>
      <c r="Z18" s="15" t="s">
        <v>341</v>
      </c>
      <c r="AA18" s="15" t="s">
        <v>252</v>
      </c>
      <c r="AB18" s="15"/>
      <c r="AC18" s="15"/>
      <c r="AD18" s="15"/>
      <c r="AE18" s="18"/>
      <c r="AF18" s="18"/>
      <c r="AG18" s="19">
        <v>0.17838799999999999</v>
      </c>
      <c r="AH18" s="18"/>
      <c r="AI18" s="18"/>
      <c r="AJ18" s="18"/>
      <c r="AK18" s="18"/>
      <c r="AL18" s="18"/>
      <c r="AM18" s="19">
        <v>0.17838799999999999</v>
      </c>
      <c r="AN18" s="18"/>
      <c r="AO18" s="18"/>
      <c r="AP18" s="18"/>
      <c r="AR18" s="15" t="s">
        <v>249</v>
      </c>
      <c r="AS18" s="15" t="s">
        <v>369</v>
      </c>
      <c r="AT18" s="15"/>
      <c r="AU18" s="15"/>
      <c r="AV18" s="15" t="s">
        <v>379</v>
      </c>
      <c r="AW18" s="15"/>
      <c r="AX18" s="15"/>
      <c r="AY18" s="15"/>
      <c r="AZ18" s="18"/>
      <c r="BA18" s="18"/>
      <c r="BB18" s="19">
        <v>1.21053364148428</v>
      </c>
      <c r="BC18" s="19">
        <v>1.17635507558147</v>
      </c>
      <c r="BD18" s="19">
        <v>1.1388850447551</v>
      </c>
      <c r="BE18" s="19">
        <v>1.0988269223676801</v>
      </c>
      <c r="BF18" s="19">
        <v>1.0565391857772899</v>
      </c>
      <c r="BG18" s="19">
        <v>1.0158788689648</v>
      </c>
      <c r="BH18" s="19">
        <v>0.976783341594611</v>
      </c>
      <c r="BI18" s="19">
        <v>0.93919238362442803</v>
      </c>
      <c r="BJ18" s="19">
        <v>0.90304809254642304</v>
      </c>
      <c r="BK18" s="18"/>
      <c r="BL18" s="18"/>
      <c r="BM18" s="19">
        <v>1.217762</v>
      </c>
      <c r="BN18" s="19">
        <v>1.211829</v>
      </c>
      <c r="BO18" s="19">
        <v>1.165227</v>
      </c>
      <c r="BP18" s="19">
        <v>1.1204179999999999</v>
      </c>
      <c r="BQ18" s="19">
        <v>1.090819</v>
      </c>
      <c r="BR18" s="19">
        <v>1.0752649999999999</v>
      </c>
      <c r="BS18" s="19">
        <v>1.0599320000000001</v>
      </c>
      <c r="BT18" s="19">
        <v>1.044818</v>
      </c>
      <c r="BU18" s="19">
        <v>1.0299199999999999</v>
      </c>
    </row>
    <row r="19" spans="3:73" x14ac:dyDescent="0.45">
      <c r="C19" s="15" t="s">
        <v>249</v>
      </c>
      <c r="D19" s="15" t="s">
        <v>250</v>
      </c>
      <c r="E19" s="15" t="s">
        <v>263</v>
      </c>
      <c r="F19" s="15" t="s">
        <v>252</v>
      </c>
      <c r="G19" s="15"/>
      <c r="H19" s="15"/>
      <c r="I19" s="15"/>
      <c r="J19" s="18"/>
      <c r="K19" s="18"/>
      <c r="L19" s="19">
        <v>0.23</v>
      </c>
      <c r="M19" s="18"/>
      <c r="N19" s="18"/>
      <c r="O19" s="18"/>
      <c r="P19" s="18"/>
      <c r="Q19" s="18"/>
      <c r="R19" s="19">
        <v>0.23</v>
      </c>
      <c r="S19" s="18"/>
      <c r="T19" s="18"/>
      <c r="U19" s="18"/>
      <c r="V19" s="18"/>
      <c r="X19" s="15" t="s">
        <v>249</v>
      </c>
      <c r="Y19" s="15" t="s">
        <v>250</v>
      </c>
      <c r="Z19" s="15" t="s">
        <v>342</v>
      </c>
      <c r="AA19" s="15" t="s">
        <v>252</v>
      </c>
      <c r="AB19" s="15"/>
      <c r="AC19" s="15"/>
      <c r="AD19" s="15"/>
      <c r="AE19" s="18"/>
      <c r="AF19" s="18"/>
      <c r="AG19" s="19">
        <v>9.5545000000000005E-2</v>
      </c>
      <c r="AH19" s="18"/>
      <c r="AI19" s="18"/>
      <c r="AJ19" s="18"/>
      <c r="AK19" s="18"/>
      <c r="AL19" s="18"/>
      <c r="AM19" s="19">
        <v>9.5545000000000005E-2</v>
      </c>
      <c r="AN19" s="18"/>
      <c r="AO19" s="18"/>
      <c r="AP19" s="18"/>
      <c r="AR19" s="15" t="s">
        <v>249</v>
      </c>
      <c r="AS19" s="15" t="s">
        <v>369</v>
      </c>
      <c r="AT19" s="15"/>
      <c r="AU19" s="15"/>
      <c r="AV19" s="15" t="s">
        <v>319</v>
      </c>
      <c r="AW19" s="15"/>
      <c r="AX19" s="15"/>
      <c r="AY19" s="15"/>
      <c r="AZ19" s="18"/>
      <c r="BA19" s="18"/>
      <c r="BB19" s="19">
        <v>0.14914749470795399</v>
      </c>
      <c r="BC19" s="19">
        <v>0.140538442361377</v>
      </c>
      <c r="BD19" s="19">
        <v>0.13043992467145399</v>
      </c>
      <c r="BE19" s="19">
        <v>0.121097308896287</v>
      </c>
      <c r="BF19" s="19">
        <v>0.112451949420908</v>
      </c>
      <c r="BG19" s="19">
        <v>0.10442379804981899</v>
      </c>
      <c r="BH19" s="19">
        <v>9.6968791161942694E-2</v>
      </c>
      <c r="BI19" s="19">
        <v>9.0046010919105607E-2</v>
      </c>
      <c r="BJ19" s="19">
        <v>8.3617460682813394E-2</v>
      </c>
      <c r="BK19" s="18"/>
      <c r="BL19" s="18"/>
      <c r="BM19" s="19">
        <v>0.15257999999999999</v>
      </c>
      <c r="BN19" s="19">
        <v>0.14835100000000001</v>
      </c>
      <c r="BO19" s="19">
        <v>0.14315600000000001</v>
      </c>
      <c r="BP19" s="19">
        <v>0.13804</v>
      </c>
      <c r="BQ19" s="19">
        <v>0.13300699999999999</v>
      </c>
      <c r="BR19" s="19">
        <v>0.12815799999999999</v>
      </c>
      <c r="BS19" s="19">
        <v>0.123485</v>
      </c>
      <c r="BT19" s="19">
        <v>0.11898300000000001</v>
      </c>
      <c r="BU19" s="19">
        <v>0.114645</v>
      </c>
    </row>
    <row r="20" spans="3:73" x14ac:dyDescent="0.45">
      <c r="C20" s="15" t="s">
        <v>249</v>
      </c>
      <c r="D20" s="15" t="s">
        <v>250</v>
      </c>
      <c r="E20" s="15" t="s">
        <v>264</v>
      </c>
      <c r="F20" s="15" t="s">
        <v>252</v>
      </c>
      <c r="G20" s="15"/>
      <c r="H20" s="15"/>
      <c r="I20" s="15"/>
      <c r="J20" s="18"/>
      <c r="K20" s="18"/>
      <c r="L20" s="19">
        <v>0.8</v>
      </c>
      <c r="M20" s="19"/>
      <c r="N20" s="18"/>
      <c r="O20" s="19"/>
      <c r="P20" s="18"/>
      <c r="Q20" s="18"/>
      <c r="R20" s="19">
        <v>0.8</v>
      </c>
      <c r="S20" s="19"/>
      <c r="T20" s="18"/>
      <c r="U20" s="19"/>
      <c r="V20" s="19"/>
      <c r="X20" s="15" t="s">
        <v>249</v>
      </c>
      <c r="Y20" s="15" t="s">
        <v>250</v>
      </c>
      <c r="Z20" s="15" t="s">
        <v>343</v>
      </c>
      <c r="AA20" s="15" t="s">
        <v>252</v>
      </c>
      <c r="AB20" s="15"/>
      <c r="AC20" s="15"/>
      <c r="AD20" s="15"/>
      <c r="AE20" s="18"/>
      <c r="AF20" s="18"/>
      <c r="AG20" s="19">
        <v>5.6500000000000002E-2</v>
      </c>
      <c r="AH20" s="19">
        <v>5.6500000000000002E-2</v>
      </c>
      <c r="AI20" s="18"/>
      <c r="AJ20" s="19">
        <v>5.6500000000000002E-2</v>
      </c>
      <c r="AK20" s="18"/>
      <c r="AL20" s="18"/>
      <c r="AM20" s="19">
        <v>4.9135097190700798E-2</v>
      </c>
      <c r="AN20" s="19">
        <v>4.9404969955021298E-2</v>
      </c>
      <c r="AO20" s="18"/>
      <c r="AP20" s="19">
        <v>5.0577566564981601E-2</v>
      </c>
      <c r="AR20" s="15" t="s">
        <v>249</v>
      </c>
      <c r="AS20" s="15" t="s">
        <v>369</v>
      </c>
      <c r="AT20" s="15"/>
      <c r="AU20" s="15"/>
      <c r="AV20" s="15" t="s">
        <v>380</v>
      </c>
      <c r="AW20" s="15"/>
      <c r="AX20" s="15"/>
      <c r="AY20" s="15"/>
      <c r="AZ20" s="18"/>
      <c r="BA20" s="18"/>
      <c r="BB20" s="19">
        <v>8.9750348507139095E-4</v>
      </c>
      <c r="BC20" s="19">
        <v>8.8056763224004305E-4</v>
      </c>
      <c r="BD20" s="19">
        <v>8.5963160144466796E-4</v>
      </c>
      <c r="BE20" s="19">
        <v>8.3940311486505395E-4</v>
      </c>
      <c r="BF20" s="19">
        <v>8.1985551838568895E-4</v>
      </c>
      <c r="BG20" s="19">
        <v>8.0076313647647901E-4</v>
      </c>
      <c r="BH20" s="19">
        <v>7.8211536833005103E-4</v>
      </c>
      <c r="BI20" s="19">
        <v>7.6390186000528995E-4</v>
      </c>
      <c r="BJ20" s="19">
        <v>7.4611249867843801E-4</v>
      </c>
      <c r="BK20" s="18"/>
      <c r="BL20" s="18"/>
      <c r="BM20" s="19">
        <v>9.0399999999999996E-4</v>
      </c>
      <c r="BN20" s="19">
        <v>8.9700000000000001E-4</v>
      </c>
      <c r="BO20" s="19">
        <v>8.8800000000000001E-4</v>
      </c>
      <c r="BP20" s="19">
        <v>8.7799999999999998E-4</v>
      </c>
      <c r="BQ20" s="19">
        <v>8.6700000000000004E-4</v>
      </c>
      <c r="BR20" s="19">
        <v>8.5700000000000001E-4</v>
      </c>
      <c r="BS20" s="19">
        <v>8.4699999999999999E-4</v>
      </c>
      <c r="BT20" s="19">
        <v>8.3699999999999996E-4</v>
      </c>
      <c r="BU20" s="19">
        <v>8.2700000000000004E-4</v>
      </c>
    </row>
    <row r="21" spans="3:73" x14ac:dyDescent="0.45">
      <c r="C21" s="15" t="s">
        <v>249</v>
      </c>
      <c r="D21" s="15" t="s">
        <v>250</v>
      </c>
      <c r="E21" s="15" t="s">
        <v>265</v>
      </c>
      <c r="F21" s="15" t="s">
        <v>252</v>
      </c>
      <c r="G21" s="15"/>
      <c r="H21" s="15"/>
      <c r="I21" s="15"/>
      <c r="J21" s="18"/>
      <c r="K21" s="18"/>
      <c r="L21" s="19">
        <v>0.5</v>
      </c>
      <c r="M21" s="18"/>
      <c r="N21" s="18"/>
      <c r="O21" s="18"/>
      <c r="P21" s="18"/>
      <c r="Q21" s="18"/>
      <c r="R21" s="19">
        <v>0.5</v>
      </c>
      <c r="S21" s="18"/>
      <c r="T21" s="18"/>
      <c r="U21" s="18"/>
      <c r="V21" s="18"/>
      <c r="X21" s="15" t="s">
        <v>249</v>
      </c>
      <c r="Y21" s="15" t="s">
        <v>250</v>
      </c>
      <c r="Z21" s="15" t="s">
        <v>344</v>
      </c>
      <c r="AA21" s="15" t="s">
        <v>252</v>
      </c>
      <c r="AB21" s="15"/>
      <c r="AC21" s="15"/>
      <c r="AD21" s="15"/>
      <c r="AE21" s="18"/>
      <c r="AF21" s="18"/>
      <c r="AG21" s="19">
        <v>0.19607843137254899</v>
      </c>
      <c r="AH21" s="18"/>
      <c r="AI21" s="18"/>
      <c r="AJ21" s="18"/>
      <c r="AK21" s="18"/>
      <c r="AL21" s="18"/>
      <c r="AM21" s="19">
        <v>0.19607843137254899</v>
      </c>
      <c r="AN21" s="18"/>
      <c r="AO21" s="18"/>
      <c r="AP21" s="18"/>
      <c r="AR21" s="15" t="s">
        <v>249</v>
      </c>
      <c r="AS21" s="15" t="s">
        <v>369</v>
      </c>
      <c r="AT21" s="15"/>
      <c r="AU21" s="15"/>
      <c r="AV21" s="15" t="s">
        <v>381</v>
      </c>
      <c r="AW21" s="15"/>
      <c r="AX21" s="15"/>
      <c r="AY21" s="15"/>
      <c r="AZ21" s="18"/>
      <c r="BA21" s="18"/>
      <c r="BB21" s="19">
        <v>7.3578343620566602E-2</v>
      </c>
      <c r="BC21" s="19">
        <v>7.2189923386150198E-2</v>
      </c>
      <c r="BD21" s="19">
        <v>7.0473564069962899E-2</v>
      </c>
      <c r="BE21" s="19">
        <v>6.8815210023169995E-2</v>
      </c>
      <c r="BF21" s="19">
        <v>6.7212676111448794E-2</v>
      </c>
      <c r="BG21" s="19">
        <v>6.5647461201403995E-2</v>
      </c>
      <c r="BH21" s="19">
        <v>6.4118696226942204E-2</v>
      </c>
      <c r="BI21" s="19">
        <v>6.26255323603431E-2</v>
      </c>
      <c r="BJ21" s="19">
        <v>6.1167140540958301E-2</v>
      </c>
      <c r="BK21" s="18"/>
      <c r="BL21" s="18"/>
      <c r="BM21" s="19">
        <v>7.4134000000000005E-2</v>
      </c>
      <c r="BN21" s="19">
        <v>7.3542999999999997E-2</v>
      </c>
      <c r="BO21" s="19">
        <v>7.2773000000000004E-2</v>
      </c>
      <c r="BP21" s="19">
        <v>7.1957999999999994E-2</v>
      </c>
      <c r="BQ21" s="19">
        <v>7.1098999999999996E-2</v>
      </c>
      <c r="BR21" s="19">
        <v>7.0249000000000006E-2</v>
      </c>
      <c r="BS21" s="19">
        <v>6.9409999999999999E-2</v>
      </c>
      <c r="BT21" s="19">
        <v>6.8581000000000003E-2</v>
      </c>
      <c r="BU21" s="19">
        <v>6.7762000000000003E-2</v>
      </c>
    </row>
    <row r="22" spans="3:73" x14ac:dyDescent="0.45">
      <c r="C22" s="15" t="s">
        <v>249</v>
      </c>
      <c r="D22" s="15" t="s">
        <v>250</v>
      </c>
      <c r="E22" s="15" t="s">
        <v>266</v>
      </c>
      <c r="F22" s="15" t="s">
        <v>252</v>
      </c>
      <c r="G22" s="15"/>
      <c r="H22" s="15"/>
      <c r="I22" s="15"/>
      <c r="J22" s="18"/>
      <c r="K22" s="18"/>
      <c r="L22" s="19">
        <v>0.84</v>
      </c>
      <c r="M22" s="18"/>
      <c r="N22" s="18"/>
      <c r="O22" s="18"/>
      <c r="P22" s="18"/>
      <c r="Q22" s="18"/>
      <c r="R22" s="19">
        <v>0.84</v>
      </c>
      <c r="S22" s="18"/>
      <c r="T22" s="18"/>
      <c r="U22" s="18"/>
      <c r="V22" s="18"/>
      <c r="X22" s="15" t="s">
        <v>249</v>
      </c>
      <c r="Y22" s="15" t="s">
        <v>250</v>
      </c>
      <c r="Z22" s="15" t="s">
        <v>345</v>
      </c>
      <c r="AA22" s="15" t="s">
        <v>252</v>
      </c>
      <c r="AB22" s="15"/>
      <c r="AC22" s="15"/>
      <c r="AD22" s="15"/>
      <c r="AE22" s="18"/>
      <c r="AF22" s="18"/>
      <c r="AG22" s="19">
        <v>0.128205128205128</v>
      </c>
      <c r="AH22" s="18"/>
      <c r="AI22" s="18"/>
      <c r="AJ22" s="18"/>
      <c r="AK22" s="18"/>
      <c r="AL22" s="18"/>
      <c r="AM22" s="19">
        <v>0.128205128205128</v>
      </c>
      <c r="AN22" s="18"/>
      <c r="AO22" s="18"/>
      <c r="AP22" s="18"/>
      <c r="AR22" s="15" t="s">
        <v>249</v>
      </c>
      <c r="AS22" s="15" t="s">
        <v>369</v>
      </c>
      <c r="AT22" s="15"/>
      <c r="AU22" s="15"/>
      <c r="AV22" s="15" t="s">
        <v>382</v>
      </c>
      <c r="AW22" s="15"/>
      <c r="AX22" s="15"/>
      <c r="AY22" s="15"/>
      <c r="AZ22" s="18"/>
      <c r="BA22" s="18"/>
      <c r="BB22" s="19">
        <v>5.91022632586778E-3</v>
      </c>
      <c r="BC22" s="19">
        <v>6.1260107583488701E-3</v>
      </c>
      <c r="BD22" s="19">
        <v>6.2618269276438999E-3</v>
      </c>
      <c r="BE22" s="19">
        <v>6.46432078596741E-3</v>
      </c>
      <c r="BF22" s="19">
        <v>6.7247354242197296E-3</v>
      </c>
      <c r="BG22" s="19">
        <v>7.0303995067341699E-3</v>
      </c>
      <c r="BH22" s="19">
        <v>7.3681434514102501E-3</v>
      </c>
      <c r="BI22" s="19">
        <v>7.0070311085269898E-3</v>
      </c>
      <c r="BJ22" s="19">
        <v>6.6636168635489396E-3</v>
      </c>
      <c r="BK22" s="18"/>
      <c r="BL22" s="18"/>
      <c r="BM22" s="19">
        <v>6.0000000000000001E-3</v>
      </c>
      <c r="BN22" s="19">
        <v>6.3460000000000001E-3</v>
      </c>
      <c r="BO22" s="19">
        <v>6.6519999999999999E-3</v>
      </c>
      <c r="BP22" s="19">
        <v>7.0419999999999996E-3</v>
      </c>
      <c r="BQ22" s="19">
        <v>7.5129999999999997E-3</v>
      </c>
      <c r="BR22" s="19">
        <v>8.0549999999999997E-3</v>
      </c>
      <c r="BS22" s="19">
        <v>8.6569999999999998E-3</v>
      </c>
      <c r="BT22" s="19">
        <v>8.4430000000000009E-3</v>
      </c>
      <c r="BU22" s="19">
        <v>8.234E-3</v>
      </c>
    </row>
    <row r="23" spans="3:73" x14ac:dyDescent="0.45">
      <c r="C23" s="15" t="s">
        <v>249</v>
      </c>
      <c r="D23" s="15" t="s">
        <v>250</v>
      </c>
      <c r="E23" s="15" t="s">
        <v>267</v>
      </c>
      <c r="F23" s="15" t="s">
        <v>252</v>
      </c>
      <c r="G23" s="15"/>
      <c r="H23" s="15"/>
      <c r="I23" s="15"/>
      <c r="J23" s="18"/>
      <c r="K23" s="18"/>
      <c r="L23" s="19">
        <v>0.95</v>
      </c>
      <c r="M23" s="19"/>
      <c r="N23" s="18"/>
      <c r="O23" s="19"/>
      <c r="P23" s="18"/>
      <c r="Q23" s="18"/>
      <c r="R23" s="19">
        <v>0.95</v>
      </c>
      <c r="S23" s="19"/>
      <c r="T23" s="18"/>
      <c r="U23" s="19"/>
      <c r="V23" s="19"/>
      <c r="X23" s="15" t="s">
        <v>249</v>
      </c>
      <c r="Y23" s="15" t="s">
        <v>250</v>
      </c>
      <c r="Z23" s="15" t="s">
        <v>346</v>
      </c>
      <c r="AA23" s="15" t="s">
        <v>252</v>
      </c>
      <c r="AB23" s="15"/>
      <c r="AC23" s="15"/>
      <c r="AD23" s="15"/>
      <c r="AE23" s="18"/>
      <c r="AF23" s="18"/>
      <c r="AG23" s="19">
        <v>0.13187233674282201</v>
      </c>
      <c r="AH23" s="19">
        <v>0.13722673053484899</v>
      </c>
      <c r="AI23" s="18"/>
      <c r="AJ23" s="19">
        <v>0.144488417272193</v>
      </c>
      <c r="AK23" s="18"/>
      <c r="AL23" s="18"/>
      <c r="AM23" s="19">
        <v>0.13187233674282201</v>
      </c>
      <c r="AN23" s="19">
        <v>0.137057123605487</v>
      </c>
      <c r="AO23" s="18"/>
      <c r="AP23" s="19">
        <v>0.13891373157995199</v>
      </c>
      <c r="AR23" s="15" t="s">
        <v>249</v>
      </c>
      <c r="AS23" s="15" t="s">
        <v>369</v>
      </c>
      <c r="AT23" s="15"/>
      <c r="AU23" s="15"/>
      <c r="AV23" s="15" t="s">
        <v>383</v>
      </c>
      <c r="AW23" s="15"/>
      <c r="AX23" s="15"/>
      <c r="AY23" s="15"/>
      <c r="AZ23" s="18"/>
      <c r="BA23" s="18"/>
      <c r="BB23" s="19">
        <v>5.2075161209867299E-2</v>
      </c>
      <c r="BC23" s="19">
        <v>5.5075165489168999E-2</v>
      </c>
      <c r="BD23" s="19">
        <v>5.7732258325222399E-2</v>
      </c>
      <c r="BE23" s="19">
        <v>6.11195033936879E-2</v>
      </c>
      <c r="BF23" s="19">
        <v>6.5203596335597303E-2</v>
      </c>
      <c r="BG23" s="19">
        <v>6.9906214197385699E-2</v>
      </c>
      <c r="BH23" s="19">
        <v>7.5133441449229399E-2</v>
      </c>
      <c r="BI23" s="19">
        <v>7.3273795091116395E-2</v>
      </c>
      <c r="BJ23" s="19">
        <v>7.1460177299118993E-2</v>
      </c>
      <c r="BK23" s="18"/>
      <c r="BL23" s="18"/>
      <c r="BM23" s="19">
        <v>5.2469000000000002E-2</v>
      </c>
      <c r="BN23" s="19">
        <v>5.6050999999999997E-2</v>
      </c>
      <c r="BO23" s="19">
        <v>5.9497000000000001E-2</v>
      </c>
      <c r="BP23" s="19">
        <v>6.3783000000000006E-2</v>
      </c>
      <c r="BQ23" s="19">
        <v>6.8904999999999994E-2</v>
      </c>
      <c r="BR23" s="19">
        <v>7.4806999999999998E-2</v>
      </c>
      <c r="BS23" s="19">
        <v>8.1416000000000002E-2</v>
      </c>
      <c r="BT23" s="19">
        <v>8.0403000000000002E-2</v>
      </c>
      <c r="BU23" s="19">
        <v>7.9403000000000001E-2</v>
      </c>
    </row>
    <row r="24" spans="3:73" x14ac:dyDescent="0.45">
      <c r="C24" s="15" t="s">
        <v>249</v>
      </c>
      <c r="D24" s="15" t="s">
        <v>250</v>
      </c>
      <c r="E24" s="15" t="s">
        <v>268</v>
      </c>
      <c r="F24" s="15" t="s">
        <v>252</v>
      </c>
      <c r="G24" s="15"/>
      <c r="H24" s="15"/>
      <c r="I24" s="15"/>
      <c r="J24" s="18"/>
      <c r="K24" s="18"/>
      <c r="L24" s="19">
        <v>0.7</v>
      </c>
      <c r="M24" s="18"/>
      <c r="N24" s="18"/>
      <c r="O24" s="18"/>
      <c r="P24" s="18"/>
      <c r="Q24" s="18"/>
      <c r="R24" s="19">
        <v>0.7</v>
      </c>
      <c r="S24" s="18"/>
      <c r="T24" s="18"/>
      <c r="U24" s="18"/>
      <c r="V24" s="18"/>
      <c r="X24" s="15" t="s">
        <v>249</v>
      </c>
      <c r="Y24" s="15" t="s">
        <v>250</v>
      </c>
      <c r="Z24" s="15" t="s">
        <v>347</v>
      </c>
      <c r="AA24" s="15" t="s">
        <v>252</v>
      </c>
      <c r="AB24" s="15"/>
      <c r="AC24" s="15"/>
      <c r="AD24" s="15"/>
      <c r="AE24" s="18"/>
      <c r="AF24" s="18"/>
      <c r="AG24" s="19">
        <v>0.16328799999999999</v>
      </c>
      <c r="AH24" s="18"/>
      <c r="AI24" s="18"/>
      <c r="AJ24" s="18"/>
      <c r="AK24" s="18"/>
      <c r="AL24" s="18"/>
      <c r="AM24" s="19">
        <v>0.16328799999999999</v>
      </c>
      <c r="AN24" s="18"/>
      <c r="AO24" s="18"/>
      <c r="AP24" s="18"/>
      <c r="AR24" s="15" t="s">
        <v>249</v>
      </c>
      <c r="AS24" s="15" t="s">
        <v>369</v>
      </c>
      <c r="AT24" s="15"/>
      <c r="AU24" s="15"/>
      <c r="AV24" s="15" t="s">
        <v>384</v>
      </c>
      <c r="AW24" s="15"/>
      <c r="AX24" s="15"/>
      <c r="AY24" s="15"/>
      <c r="AZ24" s="18"/>
      <c r="BA24" s="18"/>
      <c r="BB24" s="19">
        <v>6.6202681356819906E-2</v>
      </c>
      <c r="BC24" s="19">
        <v>7.0016559658056504E-2</v>
      </c>
      <c r="BD24" s="19">
        <v>7.3394497743582796E-2</v>
      </c>
      <c r="BE24" s="19">
        <v>7.7700671756973899E-2</v>
      </c>
      <c r="BF24" s="19">
        <v>8.2892742167955794E-2</v>
      </c>
      <c r="BG24" s="19">
        <v>8.8871137714197093E-2</v>
      </c>
      <c r="BH24" s="19">
        <v>9.5516464432224099E-2</v>
      </c>
      <c r="BI24" s="19">
        <v>9.3152312840136406E-2</v>
      </c>
      <c r="BJ24" s="19">
        <v>9.0846676947761898E-2</v>
      </c>
      <c r="BK24" s="18"/>
      <c r="BL24" s="18"/>
      <c r="BM24" s="19">
        <v>6.6702999999999998E-2</v>
      </c>
      <c r="BN24" s="19">
        <v>7.1257000000000001E-2</v>
      </c>
      <c r="BO24" s="19">
        <v>7.5637999999999997E-2</v>
      </c>
      <c r="BP24" s="19">
        <v>8.1087000000000006E-2</v>
      </c>
      <c r="BQ24" s="19">
        <v>8.7597999999999995E-2</v>
      </c>
      <c r="BR24" s="19">
        <v>9.5101000000000005E-2</v>
      </c>
      <c r="BS24" s="19">
        <v>0.103503</v>
      </c>
      <c r="BT24" s="19">
        <v>0.102216</v>
      </c>
      <c r="BU24" s="19">
        <v>0.10094400000000001</v>
      </c>
    </row>
    <row r="25" spans="3:73" x14ac:dyDescent="0.45">
      <c r="C25" s="15" t="s">
        <v>249</v>
      </c>
      <c r="D25" s="15" t="s">
        <v>250</v>
      </c>
      <c r="E25" s="15" t="s">
        <v>269</v>
      </c>
      <c r="F25" s="15" t="s">
        <v>252</v>
      </c>
      <c r="G25" s="15"/>
      <c r="H25" s="15"/>
      <c r="I25" s="15"/>
      <c r="J25" s="18"/>
      <c r="K25" s="18"/>
      <c r="L25" s="19">
        <v>2.95</v>
      </c>
      <c r="M25" s="18"/>
      <c r="N25" s="18"/>
      <c r="O25" s="18"/>
      <c r="P25" s="18"/>
      <c r="Q25" s="18"/>
      <c r="R25" s="19">
        <v>2.9515940000000001</v>
      </c>
      <c r="S25" s="18"/>
      <c r="T25" s="18"/>
      <c r="U25" s="18"/>
      <c r="V25" s="18"/>
      <c r="X25" s="15" t="s">
        <v>249</v>
      </c>
      <c r="Y25" s="15" t="s">
        <v>250</v>
      </c>
      <c r="Z25" s="15" t="s">
        <v>348</v>
      </c>
      <c r="AA25" s="15" t="s">
        <v>252</v>
      </c>
      <c r="AB25" s="15"/>
      <c r="AC25" s="15"/>
      <c r="AD25" s="15"/>
      <c r="AE25" s="18"/>
      <c r="AF25" s="18"/>
      <c r="AG25" s="19">
        <v>9.2196E-2</v>
      </c>
      <c r="AH25" s="18"/>
      <c r="AI25" s="18"/>
      <c r="AJ25" s="18"/>
      <c r="AK25" s="18"/>
      <c r="AL25" s="18"/>
      <c r="AM25" s="19">
        <v>9.2196E-2</v>
      </c>
      <c r="AN25" s="18"/>
      <c r="AO25" s="18"/>
      <c r="AP25" s="18"/>
      <c r="AR25" s="15" t="s">
        <v>249</v>
      </c>
      <c r="AS25" s="15" t="s">
        <v>369</v>
      </c>
      <c r="AT25" s="15"/>
      <c r="AU25" s="15"/>
      <c r="AV25" s="15" t="s">
        <v>385</v>
      </c>
      <c r="AW25" s="15"/>
      <c r="AX25" s="15"/>
      <c r="AY25" s="15"/>
      <c r="AZ25" s="18"/>
      <c r="BA25" s="18"/>
      <c r="BB25" s="19">
        <v>0.15379584367151</v>
      </c>
      <c r="BC25" s="19">
        <v>0.16265588708633399</v>
      </c>
      <c r="BD25" s="19">
        <v>0.170503195187551</v>
      </c>
      <c r="BE25" s="19">
        <v>0.18050689370568601</v>
      </c>
      <c r="BF25" s="19">
        <v>0.19256862342559</v>
      </c>
      <c r="BG25" s="19">
        <v>0.20645706975422901</v>
      </c>
      <c r="BH25" s="19">
        <v>0.22189486786339099</v>
      </c>
      <c r="BI25" s="19">
        <v>0.216402693207915</v>
      </c>
      <c r="BJ25" s="19">
        <v>0.21104645672323499</v>
      </c>
      <c r="BK25" s="18"/>
      <c r="BL25" s="18"/>
      <c r="BM25" s="19">
        <v>0.15495800000000001</v>
      </c>
      <c r="BN25" s="19">
        <v>0.16553799999999999</v>
      </c>
      <c r="BO25" s="19">
        <v>0.17571600000000001</v>
      </c>
      <c r="BP25" s="19">
        <v>0.18837400000000001</v>
      </c>
      <c r="BQ25" s="19">
        <v>0.20349900000000001</v>
      </c>
      <c r="BR25" s="19">
        <v>0.22092999999999999</v>
      </c>
      <c r="BS25" s="19">
        <v>0.240448</v>
      </c>
      <c r="BT25" s="19">
        <v>0.237458</v>
      </c>
      <c r="BU25" s="19">
        <v>0.23450399999999999</v>
      </c>
    </row>
    <row r="26" spans="3:73" x14ac:dyDescent="0.45">
      <c r="C26" s="15" t="s">
        <v>249</v>
      </c>
      <c r="D26" s="15" t="s">
        <v>250</v>
      </c>
      <c r="E26" s="15" t="s">
        <v>270</v>
      </c>
      <c r="F26" s="15" t="s">
        <v>252</v>
      </c>
      <c r="G26" s="15"/>
      <c r="H26" s="15"/>
      <c r="I26" s="15"/>
      <c r="J26" s="18"/>
      <c r="K26" s="18"/>
      <c r="L26" s="19">
        <v>3.5</v>
      </c>
      <c r="M26" s="18"/>
      <c r="N26" s="18"/>
      <c r="O26" s="18"/>
      <c r="P26" s="18"/>
      <c r="Q26" s="18"/>
      <c r="R26" s="19">
        <v>3.5</v>
      </c>
      <c r="S26" s="18"/>
      <c r="T26" s="18"/>
      <c r="U26" s="18"/>
      <c r="V26" s="18"/>
      <c r="X26" s="15" t="s">
        <v>249</v>
      </c>
      <c r="Y26" s="15" t="s">
        <v>250</v>
      </c>
      <c r="Z26" s="15" t="s">
        <v>349</v>
      </c>
      <c r="AA26" s="15" t="s">
        <v>252</v>
      </c>
      <c r="AB26" s="15"/>
      <c r="AC26" s="15"/>
      <c r="AD26" s="15"/>
      <c r="AE26" s="18"/>
      <c r="AF26" s="18"/>
      <c r="AG26" s="19">
        <v>0.05</v>
      </c>
      <c r="AH26" s="18"/>
      <c r="AI26" s="18"/>
      <c r="AJ26" s="18"/>
      <c r="AK26" s="18"/>
      <c r="AL26" s="18"/>
      <c r="AM26" s="19">
        <v>0.05</v>
      </c>
      <c r="AN26" s="18"/>
      <c r="AO26" s="18"/>
      <c r="AP26" s="18"/>
      <c r="AR26" s="15" t="s">
        <v>249</v>
      </c>
      <c r="AS26" s="15" t="s">
        <v>369</v>
      </c>
      <c r="AT26" s="15"/>
      <c r="AU26" s="15"/>
      <c r="AV26" s="15" t="s">
        <v>386</v>
      </c>
      <c r="AW26" s="15"/>
      <c r="AX26" s="15"/>
      <c r="AY26" s="15"/>
      <c r="AZ26" s="18"/>
      <c r="BA26" s="18"/>
      <c r="BB26" s="19">
        <v>0.11250123447086501</v>
      </c>
      <c r="BC26" s="19">
        <v>0.107114828085883</v>
      </c>
      <c r="BD26" s="19">
        <v>9.4161955993913596E-2</v>
      </c>
      <c r="BE26" s="19">
        <v>8.8344897768547204E-2</v>
      </c>
      <c r="BF26" s="19">
        <v>8.2900059267922793E-2</v>
      </c>
      <c r="BG26" s="19">
        <v>7.7802875115962705E-2</v>
      </c>
      <c r="BH26" s="19">
        <v>7.3030443177839993E-2</v>
      </c>
      <c r="BI26" s="19">
        <v>6.7715032089568306E-2</v>
      </c>
      <c r="BJ26" s="19">
        <v>6.2786495211665599E-2</v>
      </c>
      <c r="BK26" s="18"/>
      <c r="BL26" s="18"/>
      <c r="BM26" s="19">
        <v>0.115091</v>
      </c>
      <c r="BN26" s="19">
        <v>0.112956</v>
      </c>
      <c r="BO26" s="19">
        <v>0.103135</v>
      </c>
      <c r="BP26" s="19">
        <v>0.100504</v>
      </c>
      <c r="BQ26" s="19">
        <v>9.7956000000000001E-2</v>
      </c>
      <c r="BR26" s="19">
        <v>9.5486000000000001E-2</v>
      </c>
      <c r="BS26" s="19">
        <v>9.3093999999999996E-2</v>
      </c>
      <c r="BT26" s="19">
        <v>8.9654999999999999E-2</v>
      </c>
      <c r="BU26" s="19">
        <v>8.6343000000000003E-2</v>
      </c>
    </row>
    <row r="27" spans="3:73" x14ac:dyDescent="0.45">
      <c r="C27" s="15" t="s">
        <v>249</v>
      </c>
      <c r="D27" s="15" t="s">
        <v>250</v>
      </c>
      <c r="E27" s="15" t="s">
        <v>271</v>
      </c>
      <c r="F27" s="15" t="s">
        <v>252</v>
      </c>
      <c r="G27" s="15"/>
      <c r="H27" s="15"/>
      <c r="I27" s="15"/>
      <c r="J27" s="18"/>
      <c r="K27" s="18"/>
      <c r="L27" s="19">
        <v>0.9</v>
      </c>
      <c r="M27" s="19"/>
      <c r="N27" s="18"/>
      <c r="O27" s="19"/>
      <c r="P27" s="18"/>
      <c r="Q27" s="18"/>
      <c r="R27" s="19">
        <v>0.9</v>
      </c>
      <c r="S27" s="19"/>
      <c r="T27" s="18"/>
      <c r="U27" s="19"/>
      <c r="V27" s="19"/>
      <c r="X27" s="15" t="s">
        <v>249</v>
      </c>
      <c r="Y27" s="15" t="s">
        <v>250</v>
      </c>
      <c r="Z27" s="15" t="s">
        <v>350</v>
      </c>
      <c r="AA27" s="15" t="s">
        <v>252</v>
      </c>
      <c r="AB27" s="15"/>
      <c r="AC27" s="15"/>
      <c r="AD27" s="15"/>
      <c r="AE27" s="18"/>
      <c r="AF27" s="18"/>
      <c r="AG27" s="19">
        <v>0.26548132515092698</v>
      </c>
      <c r="AH27" s="19">
        <v>0.30574531757421303</v>
      </c>
      <c r="AI27" s="18"/>
      <c r="AJ27" s="19">
        <v>0.33634750825931398</v>
      </c>
      <c r="AK27" s="18"/>
      <c r="AL27" s="18"/>
      <c r="AM27" s="19">
        <v>0.26548132515092698</v>
      </c>
      <c r="AN27" s="19">
        <v>0.31138463148104101</v>
      </c>
      <c r="AO27" s="18"/>
      <c r="AP27" s="19">
        <v>0.337359295474851</v>
      </c>
      <c r="AR27" s="15" t="s">
        <v>249</v>
      </c>
      <c r="AS27" s="15" t="s">
        <v>369</v>
      </c>
      <c r="AT27" s="15"/>
      <c r="AU27" s="15"/>
      <c r="AV27" s="15" t="s">
        <v>387</v>
      </c>
      <c r="AW27" s="15"/>
      <c r="AX27" s="15"/>
      <c r="AY27" s="15"/>
      <c r="AZ27" s="18"/>
      <c r="BA27" s="18"/>
      <c r="BB27" s="19">
        <v>1.83847694313352E-3</v>
      </c>
      <c r="BC27" s="19">
        <v>1.8226274038672401E-3</v>
      </c>
      <c r="BD27" s="19">
        <v>1.6852255048052101E-3</v>
      </c>
      <c r="BE27" s="19">
        <v>1.6630230765739399E-3</v>
      </c>
      <c r="BF27" s="19">
        <v>1.6413677476215E-3</v>
      </c>
      <c r="BG27" s="19">
        <v>1.6202459768633801E-3</v>
      </c>
      <c r="BH27" s="19">
        <v>1.5996445583737499E-3</v>
      </c>
      <c r="BI27" s="19">
        <v>1.5600513609921899E-3</v>
      </c>
      <c r="BJ27" s="19">
        <v>1.52143814461372E-3</v>
      </c>
      <c r="BK27" s="18"/>
      <c r="BL27" s="18"/>
      <c r="BM27" s="19">
        <v>1.8519999999999999E-3</v>
      </c>
      <c r="BN27" s="19">
        <v>1.8550000000000001E-3</v>
      </c>
      <c r="BO27" s="19">
        <v>1.737E-3</v>
      </c>
      <c r="BP27" s="19">
        <v>1.7359999999999999E-3</v>
      </c>
      <c r="BQ27" s="19">
        <v>1.735E-3</v>
      </c>
      <c r="BR27" s="19">
        <v>1.7340000000000001E-3</v>
      </c>
      <c r="BS27" s="19">
        <v>1.7329999999999999E-3</v>
      </c>
      <c r="BT27" s="19">
        <v>1.712E-3</v>
      </c>
      <c r="BU27" s="19">
        <v>1.691E-3</v>
      </c>
    </row>
    <row r="28" spans="3:73" x14ac:dyDescent="0.45">
      <c r="C28" s="15" t="s">
        <v>249</v>
      </c>
      <c r="D28" s="15" t="s">
        <v>250</v>
      </c>
      <c r="E28" s="15" t="s">
        <v>272</v>
      </c>
      <c r="F28" s="15" t="s">
        <v>252</v>
      </c>
      <c r="G28" s="15"/>
      <c r="H28" s="15"/>
      <c r="I28" s="15"/>
      <c r="J28" s="18"/>
      <c r="K28" s="18"/>
      <c r="L28" s="19">
        <v>3.5</v>
      </c>
      <c r="M28" s="19"/>
      <c r="N28" s="18"/>
      <c r="O28" s="19"/>
      <c r="P28" s="18"/>
      <c r="Q28" s="18"/>
      <c r="R28" s="19">
        <v>3.5</v>
      </c>
      <c r="S28" s="19"/>
      <c r="T28" s="18"/>
      <c r="U28" s="19"/>
      <c r="V28" s="19"/>
      <c r="X28" s="15" t="s">
        <v>249</v>
      </c>
      <c r="Y28" s="15" t="s">
        <v>250</v>
      </c>
      <c r="Z28" s="15" t="s">
        <v>351</v>
      </c>
      <c r="AA28" s="15" t="s">
        <v>252</v>
      </c>
      <c r="AB28" s="15"/>
      <c r="AC28" s="15"/>
      <c r="AD28" s="15"/>
      <c r="AE28" s="18"/>
      <c r="AF28" s="18"/>
      <c r="AG28" s="19">
        <v>0.16129032258064499</v>
      </c>
      <c r="AH28" s="19">
        <v>0.175746924428822</v>
      </c>
      <c r="AI28" s="18"/>
      <c r="AJ28" s="19">
        <v>0.205338809034908</v>
      </c>
      <c r="AK28" s="18"/>
      <c r="AL28" s="18"/>
      <c r="AM28" s="19">
        <v>0.16129032258064499</v>
      </c>
      <c r="AN28" s="19">
        <v>0.175746924428822</v>
      </c>
      <c r="AO28" s="18"/>
      <c r="AP28" s="19">
        <v>0.205338809034908</v>
      </c>
      <c r="AR28" s="15" t="s">
        <v>249</v>
      </c>
      <c r="AS28" s="15" t="s">
        <v>369</v>
      </c>
      <c r="AT28" s="15"/>
      <c r="AU28" s="15"/>
      <c r="AV28" s="15" t="s">
        <v>388</v>
      </c>
      <c r="AW28" s="15"/>
      <c r="AX28" s="15"/>
      <c r="AY28" s="15"/>
      <c r="AZ28" s="18"/>
      <c r="BA28" s="18"/>
      <c r="BB28" s="19">
        <v>6.5715155392520302E-3</v>
      </c>
      <c r="BC28" s="19">
        <v>6.3848941630030602E-3</v>
      </c>
      <c r="BD28" s="19">
        <v>5.7567106297134497E-3</v>
      </c>
      <c r="BE28" s="19">
        <v>5.5395593683485204E-3</v>
      </c>
      <c r="BF28" s="19">
        <v>5.3314263015512902E-3</v>
      </c>
      <c r="BG28" s="19">
        <v>5.1319100514281403E-3</v>
      </c>
      <c r="BH28" s="19">
        <v>4.9406278966635303E-3</v>
      </c>
      <c r="BI28" s="19">
        <v>4.6984879699853797E-3</v>
      </c>
      <c r="BJ28" s="19">
        <v>4.4682153090309503E-3</v>
      </c>
      <c r="BK28" s="18"/>
      <c r="BL28" s="18"/>
      <c r="BM28" s="19">
        <v>6.672E-3</v>
      </c>
      <c r="BN28" s="19">
        <v>6.6140000000000001E-3</v>
      </c>
      <c r="BO28" s="19">
        <v>6.1149999999999998E-3</v>
      </c>
      <c r="BP28" s="19">
        <v>6.0350000000000004E-3</v>
      </c>
      <c r="BQ28" s="19">
        <v>5.9560000000000004E-3</v>
      </c>
      <c r="BR28" s="19">
        <v>5.8799999999999998E-3</v>
      </c>
      <c r="BS28" s="19">
        <v>5.8050000000000003E-3</v>
      </c>
      <c r="BT28" s="19">
        <v>5.6610000000000002E-3</v>
      </c>
      <c r="BU28" s="19">
        <v>5.5209999999999999E-3</v>
      </c>
    </row>
    <row r="29" spans="3:73" x14ac:dyDescent="0.45">
      <c r="C29" s="15" t="s">
        <v>249</v>
      </c>
      <c r="D29" s="15" t="s">
        <v>250</v>
      </c>
      <c r="E29" s="15" t="s">
        <v>273</v>
      </c>
      <c r="F29" s="15" t="s">
        <v>252</v>
      </c>
      <c r="G29" s="15"/>
      <c r="H29" s="15"/>
      <c r="I29" s="15"/>
      <c r="J29" s="18"/>
      <c r="K29" s="18"/>
      <c r="L29" s="19">
        <v>0.18</v>
      </c>
      <c r="M29" s="19"/>
      <c r="N29" s="18"/>
      <c r="O29" s="19"/>
      <c r="P29" s="18"/>
      <c r="Q29" s="18"/>
      <c r="R29" s="19">
        <v>0.18</v>
      </c>
      <c r="S29" s="19"/>
      <c r="T29" s="18"/>
      <c r="U29" s="19"/>
      <c r="V29" s="19"/>
      <c r="X29" s="15" t="s">
        <v>249</v>
      </c>
      <c r="Y29" s="15" t="s">
        <v>250</v>
      </c>
      <c r="Z29" s="15" t="s">
        <v>352</v>
      </c>
      <c r="AA29" s="15" t="s">
        <v>252</v>
      </c>
      <c r="AB29" s="15"/>
      <c r="AC29" s="15"/>
      <c r="AD29" s="15"/>
      <c r="AE29" s="18"/>
      <c r="AF29" s="18"/>
      <c r="AG29" s="19">
        <v>7.3200547754531498E-2</v>
      </c>
      <c r="AH29" s="19">
        <v>7.76797171473083E-2</v>
      </c>
      <c r="AI29" s="18"/>
      <c r="AJ29" s="19">
        <v>8.2433931151336001E-2</v>
      </c>
      <c r="AK29" s="18"/>
      <c r="AL29" s="18"/>
      <c r="AM29" s="19">
        <v>7.3200547754531498E-2</v>
      </c>
      <c r="AN29" s="19">
        <v>7.7810538730488696E-2</v>
      </c>
      <c r="AO29" s="18"/>
      <c r="AP29" s="19">
        <v>8.0238361195686503E-2</v>
      </c>
      <c r="AR29" s="15" t="s">
        <v>249</v>
      </c>
      <c r="AS29" s="15" t="s">
        <v>369</v>
      </c>
      <c r="AT29" s="15"/>
      <c r="AU29" s="15"/>
      <c r="AV29" s="15" t="s">
        <v>389</v>
      </c>
      <c r="AW29" s="15"/>
      <c r="AX29" s="15"/>
      <c r="AY29" s="15"/>
      <c r="AZ29" s="18"/>
      <c r="BA29" s="18"/>
      <c r="BB29" s="19">
        <v>0.10500733049088699</v>
      </c>
      <c r="BC29" s="19">
        <v>0.102025276744626</v>
      </c>
      <c r="BD29" s="19">
        <v>9.1987428474303704E-2</v>
      </c>
      <c r="BE29" s="19">
        <v>8.8517532659181594E-2</v>
      </c>
      <c r="BF29" s="19">
        <v>8.5191740062220606E-2</v>
      </c>
      <c r="BG29" s="19">
        <v>8.2003636999868401E-2</v>
      </c>
      <c r="BH29" s="19">
        <v>7.8947107905110697E-2</v>
      </c>
      <c r="BI29" s="19">
        <v>7.5077914086141895E-2</v>
      </c>
      <c r="BJ29" s="19">
        <v>7.1398349263168001E-2</v>
      </c>
      <c r="BK29" s="18"/>
      <c r="BL29" s="18"/>
      <c r="BM29" s="19">
        <v>0.10660600000000001</v>
      </c>
      <c r="BN29" s="19">
        <v>0.105687</v>
      </c>
      <c r="BO29" s="19">
        <v>9.7720000000000001E-2</v>
      </c>
      <c r="BP29" s="19">
        <v>9.6432000000000004E-2</v>
      </c>
      <c r="BQ29" s="19">
        <v>9.5176999999999998E-2</v>
      </c>
      <c r="BR29" s="19">
        <v>9.3951999999999994E-2</v>
      </c>
      <c r="BS29" s="19">
        <v>9.2757000000000006E-2</v>
      </c>
      <c r="BT29" s="19">
        <v>9.0462000000000001E-2</v>
      </c>
      <c r="BU29" s="19">
        <v>8.8222999999999996E-2</v>
      </c>
    </row>
    <row r="30" spans="3:73" x14ac:dyDescent="0.45">
      <c r="C30" s="15" t="s">
        <v>249</v>
      </c>
      <c r="D30" s="15" t="s">
        <v>250</v>
      </c>
      <c r="E30" s="15" t="s">
        <v>274</v>
      </c>
      <c r="F30" s="15" t="s">
        <v>252</v>
      </c>
      <c r="G30" s="15"/>
      <c r="H30" s="15"/>
      <c r="I30" s="15"/>
      <c r="J30" s="18"/>
      <c r="K30" s="18"/>
      <c r="L30" s="19">
        <v>0.19</v>
      </c>
      <c r="M30" s="19"/>
      <c r="N30" s="18"/>
      <c r="O30" s="19"/>
      <c r="P30" s="18"/>
      <c r="Q30" s="18"/>
      <c r="R30" s="19">
        <v>0.193823</v>
      </c>
      <c r="S30" s="19"/>
      <c r="T30" s="18"/>
      <c r="U30" s="19"/>
      <c r="V30" s="19"/>
      <c r="X30" s="15" t="s">
        <v>249</v>
      </c>
      <c r="Y30" s="15" t="s">
        <v>250</v>
      </c>
      <c r="Z30" s="15" t="s">
        <v>353</v>
      </c>
      <c r="AA30" s="15" t="s">
        <v>252</v>
      </c>
      <c r="AB30" s="15"/>
      <c r="AC30" s="15"/>
      <c r="AD30" s="15"/>
      <c r="AE30" s="18"/>
      <c r="AF30" s="18"/>
      <c r="AG30" s="19">
        <v>1.40799261532579</v>
      </c>
      <c r="AH30" s="19">
        <v>1.4244365170503801</v>
      </c>
      <c r="AI30" s="18"/>
      <c r="AJ30" s="19">
        <v>1.5685013916117001</v>
      </c>
      <c r="AK30" s="18"/>
      <c r="AL30" s="18"/>
      <c r="AM30" s="19">
        <v>1.40799261532579</v>
      </c>
      <c r="AN30" s="19">
        <v>1.4026374279118099</v>
      </c>
      <c r="AO30" s="18"/>
      <c r="AP30" s="19">
        <v>1.5730133676073199</v>
      </c>
      <c r="AR30" s="15" t="s">
        <v>249</v>
      </c>
      <c r="AS30" s="15" t="s">
        <v>369</v>
      </c>
      <c r="AT30" s="15"/>
      <c r="AU30" s="15"/>
      <c r="AV30" s="15" t="s">
        <v>390</v>
      </c>
      <c r="AW30" s="15"/>
      <c r="AX30" s="15"/>
      <c r="AY30" s="15"/>
      <c r="AZ30" s="18"/>
      <c r="BA30" s="18"/>
      <c r="BB30" s="19">
        <v>1.2075843006452E-2</v>
      </c>
      <c r="BC30" s="19">
        <v>1.1732906825631899E-2</v>
      </c>
      <c r="BD30" s="19">
        <v>1.0578554274544899E-2</v>
      </c>
      <c r="BE30" s="19">
        <v>1.01795162558059E-2</v>
      </c>
      <c r="BF30" s="19">
        <v>9.7970501071553695E-3</v>
      </c>
      <c r="BG30" s="19">
        <v>9.4304182549848695E-3</v>
      </c>
      <c r="BH30" s="19">
        <v>9.0789174090877296E-3</v>
      </c>
      <c r="BI30" s="19">
        <v>8.6339601199063205E-3</v>
      </c>
      <c r="BJ30" s="19">
        <v>8.2108101652643203E-3</v>
      </c>
      <c r="BK30" s="18"/>
      <c r="BL30" s="18"/>
      <c r="BM30" s="19">
        <v>1.226E-2</v>
      </c>
      <c r="BN30" s="19">
        <v>1.2154E-2</v>
      </c>
      <c r="BO30" s="19">
        <v>1.1238E-2</v>
      </c>
      <c r="BP30" s="19">
        <v>1.1089999999999999E-2</v>
      </c>
      <c r="BQ30" s="19">
        <v>1.0945E-2</v>
      </c>
      <c r="BR30" s="19">
        <v>1.0803999999999999E-2</v>
      </c>
      <c r="BS30" s="19">
        <v>1.0666999999999999E-2</v>
      </c>
      <c r="BT30" s="19">
        <v>1.0403000000000001E-2</v>
      </c>
      <c r="BU30" s="19">
        <v>1.0146000000000001E-2</v>
      </c>
    </row>
    <row r="31" spans="3:73" x14ac:dyDescent="0.45">
      <c r="C31" s="15" t="s">
        <v>249</v>
      </c>
      <c r="D31" s="15" t="s">
        <v>250</v>
      </c>
      <c r="E31" s="15" t="s">
        <v>275</v>
      </c>
      <c r="F31" s="15" t="s">
        <v>252</v>
      </c>
      <c r="G31" s="15"/>
      <c r="H31" s="15"/>
      <c r="I31" s="15"/>
      <c r="J31" s="18"/>
      <c r="K31" s="18"/>
      <c r="L31" s="19">
        <v>0.45</v>
      </c>
      <c r="M31" s="18"/>
      <c r="N31" s="18"/>
      <c r="O31" s="18"/>
      <c r="P31" s="18"/>
      <c r="Q31" s="18"/>
      <c r="R31" s="19">
        <v>0.45</v>
      </c>
      <c r="S31" s="18"/>
      <c r="T31" s="18"/>
      <c r="U31" s="18"/>
      <c r="V31" s="18"/>
      <c r="X31" s="15" t="s">
        <v>249</v>
      </c>
      <c r="Y31" s="15" t="s">
        <v>250</v>
      </c>
      <c r="Z31" s="15" t="s">
        <v>354</v>
      </c>
      <c r="AA31" s="15" t="s">
        <v>252</v>
      </c>
      <c r="AB31" s="15"/>
      <c r="AC31" s="15"/>
      <c r="AD31" s="15"/>
      <c r="AE31" s="18"/>
      <c r="AF31" s="18"/>
      <c r="AG31" s="19">
        <v>0.73529411764705899</v>
      </c>
      <c r="AH31" s="18"/>
      <c r="AI31" s="18"/>
      <c r="AJ31" s="18"/>
      <c r="AK31" s="18"/>
      <c r="AL31" s="18"/>
      <c r="AM31" s="19">
        <v>0.73529411764705899</v>
      </c>
      <c r="AN31" s="18"/>
      <c r="AO31" s="18"/>
      <c r="AP31" s="18"/>
      <c r="AR31" s="15" t="s">
        <v>249</v>
      </c>
      <c r="AS31" s="15" t="s">
        <v>369</v>
      </c>
      <c r="AT31" s="15"/>
      <c r="AU31" s="15"/>
      <c r="AV31" s="15" t="s">
        <v>391</v>
      </c>
      <c r="AW31" s="15"/>
      <c r="AX31" s="15"/>
      <c r="AY31" s="15"/>
      <c r="AZ31" s="18"/>
      <c r="BA31" s="18"/>
      <c r="BB31" s="19">
        <v>5.53341013558519E-2</v>
      </c>
      <c r="BC31" s="19">
        <v>5.3762694260053603E-2</v>
      </c>
      <c r="BD31" s="19">
        <v>4.8473203412242198E-2</v>
      </c>
      <c r="BE31" s="19">
        <v>4.6644725668539597E-2</v>
      </c>
      <c r="BF31" s="19">
        <v>4.4892183786096898E-2</v>
      </c>
      <c r="BG31" s="19">
        <v>4.3212198044526098E-2</v>
      </c>
      <c r="BH31" s="19">
        <v>4.1601545817336001E-2</v>
      </c>
      <c r="BI31" s="19">
        <v>3.9562656132745497E-2</v>
      </c>
      <c r="BJ31" s="19">
        <v>3.7623692329856198E-2</v>
      </c>
      <c r="BK31" s="18"/>
      <c r="BL31" s="18"/>
      <c r="BM31" s="19">
        <v>5.6176999999999998E-2</v>
      </c>
      <c r="BN31" s="19">
        <v>5.5691999999999998E-2</v>
      </c>
      <c r="BO31" s="19">
        <v>5.1493999999999998E-2</v>
      </c>
      <c r="BP31" s="19">
        <v>5.0816E-2</v>
      </c>
      <c r="BQ31" s="19">
        <v>5.0153999999999997E-2</v>
      </c>
      <c r="BR31" s="19">
        <v>4.9508000000000003E-2</v>
      </c>
      <c r="BS31" s="19">
        <v>4.8878999999999999E-2</v>
      </c>
      <c r="BT31" s="19">
        <v>4.7669000000000003E-2</v>
      </c>
      <c r="BU31" s="19">
        <v>4.6489000000000003E-2</v>
      </c>
    </row>
    <row r="32" spans="3:73" x14ac:dyDescent="0.45">
      <c r="C32" s="15" t="s">
        <v>249</v>
      </c>
      <c r="D32" s="15" t="s">
        <v>250</v>
      </c>
      <c r="E32" s="15" t="s">
        <v>276</v>
      </c>
      <c r="F32" s="15" t="s">
        <v>252</v>
      </c>
      <c r="G32" s="15"/>
      <c r="H32" s="15"/>
      <c r="I32" s="15"/>
      <c r="J32" s="18"/>
      <c r="K32" s="18"/>
      <c r="L32" s="19">
        <v>2.95</v>
      </c>
      <c r="M32" s="19"/>
      <c r="N32" s="18"/>
      <c r="O32" s="19"/>
      <c r="P32" s="18"/>
      <c r="Q32" s="18"/>
      <c r="R32" s="19">
        <v>2.9515940000000001</v>
      </c>
      <c r="S32" s="19"/>
      <c r="T32" s="18"/>
      <c r="U32" s="19"/>
      <c r="V32" s="19"/>
      <c r="X32" s="15" t="s">
        <v>249</v>
      </c>
      <c r="Y32" s="15" t="s">
        <v>250</v>
      </c>
      <c r="Z32" s="15" t="s">
        <v>355</v>
      </c>
      <c r="AA32" s="15" t="s">
        <v>252</v>
      </c>
      <c r="AB32" s="15"/>
      <c r="AC32" s="15"/>
      <c r="AD32" s="15"/>
      <c r="AE32" s="18"/>
      <c r="AF32" s="18"/>
      <c r="AG32" s="19">
        <v>0.37549179650919701</v>
      </c>
      <c r="AH32" s="19">
        <v>0.42744335605455303</v>
      </c>
      <c r="AI32" s="18"/>
      <c r="AJ32" s="19">
        <v>0.53509347127268303</v>
      </c>
      <c r="AK32" s="18"/>
      <c r="AL32" s="18"/>
      <c r="AM32" s="19">
        <v>0.37549179650919701</v>
      </c>
      <c r="AN32" s="19">
        <v>0.430137812296155</v>
      </c>
      <c r="AO32" s="18"/>
      <c r="AP32" s="19">
        <v>0.49287453900165201</v>
      </c>
      <c r="AR32" s="15" t="s">
        <v>249</v>
      </c>
      <c r="AS32" s="15" t="s">
        <v>369</v>
      </c>
      <c r="AT32" s="15"/>
      <c r="AU32" s="15"/>
      <c r="AV32" s="15" t="s">
        <v>392</v>
      </c>
      <c r="AW32" s="15"/>
      <c r="AX32" s="15"/>
      <c r="AY32" s="15"/>
      <c r="AZ32" s="18"/>
      <c r="BA32" s="18"/>
      <c r="BB32" s="19">
        <v>1.93992174566161E-3</v>
      </c>
      <c r="BC32" s="19">
        <v>1.9505429438028E-3</v>
      </c>
      <c r="BD32" s="19">
        <v>1.94102613332625E-3</v>
      </c>
      <c r="BE32" s="19">
        <v>1.9629873210145702E-3</v>
      </c>
      <c r="BF32" s="19">
        <v>1.9758451236908101E-3</v>
      </c>
      <c r="BG32" s="19">
        <v>1.9802057076845699E-3</v>
      </c>
      <c r="BH32" s="19">
        <v>1.9766466270683602E-3</v>
      </c>
      <c r="BI32" s="19">
        <v>1.9665095516587698E-3</v>
      </c>
      <c r="BJ32" s="19">
        <v>1.9525753976570399E-3</v>
      </c>
      <c r="BK32" s="18"/>
      <c r="BL32" s="18"/>
      <c r="BM32" s="19">
        <v>1.97E-3</v>
      </c>
      <c r="BN32" s="19">
        <v>2.078E-3</v>
      </c>
      <c r="BO32" s="19">
        <v>2.1749999999999999E-3</v>
      </c>
      <c r="BP32" s="19">
        <v>2.2209999999999999E-3</v>
      </c>
      <c r="BQ32" s="19">
        <v>2.2179999999999999E-3</v>
      </c>
      <c r="BR32" s="19">
        <v>2.2070000000000002E-3</v>
      </c>
      <c r="BS32" s="19">
        <v>2.1900000000000001E-3</v>
      </c>
      <c r="BT32" s="19">
        <v>2.166E-3</v>
      </c>
      <c r="BU32" s="19">
        <v>2.1389999999999998E-3</v>
      </c>
    </row>
    <row r="33" spans="3:73" x14ac:dyDescent="0.45">
      <c r="C33" s="15" t="s">
        <v>249</v>
      </c>
      <c r="D33" s="15" t="s">
        <v>250</v>
      </c>
      <c r="E33" s="15" t="s">
        <v>277</v>
      </c>
      <c r="F33" s="15" t="s">
        <v>252</v>
      </c>
      <c r="G33" s="15"/>
      <c r="H33" s="15"/>
      <c r="I33" s="15"/>
      <c r="J33" s="18"/>
      <c r="K33" s="18"/>
      <c r="L33" s="19">
        <v>0.45</v>
      </c>
      <c r="M33" s="19"/>
      <c r="N33" s="18"/>
      <c r="O33" s="19"/>
      <c r="P33" s="18"/>
      <c r="Q33" s="18"/>
      <c r="R33" s="19">
        <v>0.45</v>
      </c>
      <c r="S33" s="19"/>
      <c r="T33" s="18"/>
      <c r="U33" s="19"/>
      <c r="V33" s="19"/>
      <c r="X33" s="15" t="s">
        <v>249</v>
      </c>
      <c r="Y33" s="15" t="s">
        <v>250</v>
      </c>
      <c r="Z33" s="15" t="s">
        <v>356</v>
      </c>
      <c r="AA33" s="15" t="s">
        <v>252</v>
      </c>
      <c r="AB33" s="15"/>
      <c r="AC33" s="15"/>
      <c r="AD33" s="15"/>
      <c r="AE33" s="18"/>
      <c r="AF33" s="18"/>
      <c r="AG33" s="19">
        <v>0.40973965605281198</v>
      </c>
      <c r="AH33" s="19">
        <v>0.47640355877824703</v>
      </c>
      <c r="AI33" s="18"/>
      <c r="AJ33" s="19">
        <v>0.59501402300457495</v>
      </c>
      <c r="AK33" s="18"/>
      <c r="AL33" s="18"/>
      <c r="AM33" s="19">
        <v>0.40973965605281198</v>
      </c>
      <c r="AN33" s="19">
        <v>0.47187398959136101</v>
      </c>
      <c r="AO33" s="18"/>
      <c r="AP33" s="19">
        <v>0.54536333887958999</v>
      </c>
      <c r="AR33" s="15" t="s">
        <v>249</v>
      </c>
      <c r="AS33" s="15" t="s">
        <v>369</v>
      </c>
      <c r="AT33" s="15"/>
      <c r="AU33" s="15"/>
      <c r="AV33" s="15" t="s">
        <v>393</v>
      </c>
      <c r="AW33" s="15"/>
      <c r="AX33" s="15"/>
      <c r="AY33" s="15"/>
      <c r="AZ33" s="18"/>
      <c r="BA33" s="18"/>
      <c r="BB33" s="19">
        <v>2.2191879091583102</v>
      </c>
      <c r="BC33" s="19">
        <v>2.1868240323700201</v>
      </c>
      <c r="BD33" s="19">
        <v>2.12202391249172</v>
      </c>
      <c r="BE33" s="19">
        <v>2.0926517196805698</v>
      </c>
      <c r="BF33" s="19">
        <v>2.0539644800346499</v>
      </c>
      <c r="BG33" s="19">
        <v>2.00729363122367</v>
      </c>
      <c r="BH33" s="19">
        <v>1.9538454310854301</v>
      </c>
      <c r="BI33" s="19">
        <v>1.89547385057076</v>
      </c>
      <c r="BJ33" s="19">
        <v>1.8352283920182599</v>
      </c>
      <c r="BK33" s="18"/>
      <c r="BL33" s="18"/>
      <c r="BM33" s="19">
        <v>2.270397</v>
      </c>
      <c r="BN33" s="19">
        <v>2.371286</v>
      </c>
      <c r="BO33" s="19">
        <v>2.4509789999999998</v>
      </c>
      <c r="BP33" s="19">
        <v>2.4716149999999999</v>
      </c>
      <c r="BQ33" s="19">
        <v>2.437398</v>
      </c>
      <c r="BR33" s="19">
        <v>2.3956270000000002</v>
      </c>
      <c r="BS33" s="19">
        <v>2.3468900000000001</v>
      </c>
      <c r="BT33" s="19">
        <v>2.2926630000000001</v>
      </c>
      <c r="BU33" s="19">
        <v>2.2360959999999999</v>
      </c>
    </row>
    <row r="34" spans="3:73" x14ac:dyDescent="0.45">
      <c r="C34" s="15" t="s">
        <v>249</v>
      </c>
      <c r="D34" s="15" t="s">
        <v>250</v>
      </c>
      <c r="E34" s="15" t="s">
        <v>278</v>
      </c>
      <c r="F34" s="15" t="s">
        <v>252</v>
      </c>
      <c r="G34" s="15"/>
      <c r="H34" s="15"/>
      <c r="I34" s="15"/>
      <c r="J34" s="18"/>
      <c r="K34" s="18"/>
      <c r="L34" s="19">
        <v>0.11</v>
      </c>
      <c r="M34" s="19"/>
      <c r="N34" s="18"/>
      <c r="O34" s="19"/>
      <c r="P34" s="18"/>
      <c r="Q34" s="18"/>
      <c r="R34" s="19">
        <v>0.111111</v>
      </c>
      <c r="S34" s="19"/>
      <c r="T34" s="18"/>
      <c r="U34" s="19"/>
      <c r="V34" s="19"/>
      <c r="X34" s="15" t="s">
        <v>249</v>
      </c>
      <c r="Y34" s="15" t="s">
        <v>250</v>
      </c>
      <c r="Z34" s="15" t="s">
        <v>357</v>
      </c>
      <c r="AA34" s="15" t="s">
        <v>252</v>
      </c>
      <c r="AB34" s="15"/>
      <c r="AC34" s="15"/>
      <c r="AD34" s="15"/>
      <c r="AE34" s="18"/>
      <c r="AF34" s="18"/>
      <c r="AG34" s="19">
        <v>0.27102281432564002</v>
      </c>
      <c r="AH34" s="19">
        <v>0.29744977337954598</v>
      </c>
      <c r="AI34" s="18"/>
      <c r="AJ34" s="19">
        <v>0.35497793512336001</v>
      </c>
      <c r="AK34" s="18"/>
      <c r="AL34" s="18"/>
      <c r="AM34" s="19">
        <v>0.27102281432564002</v>
      </c>
      <c r="AN34" s="19">
        <v>0.29880790859002498</v>
      </c>
      <c r="AO34" s="18"/>
      <c r="AP34" s="19">
        <v>0.35338723343685502</v>
      </c>
      <c r="AR34" s="15" t="s">
        <v>249</v>
      </c>
      <c r="AS34" s="15" t="s">
        <v>369</v>
      </c>
      <c r="AT34" s="15"/>
      <c r="AU34" s="15"/>
      <c r="AV34" s="15" t="s">
        <v>394</v>
      </c>
      <c r="AW34" s="15"/>
      <c r="AX34" s="15"/>
      <c r="AY34" s="15"/>
      <c r="AZ34" s="18"/>
      <c r="BA34" s="18"/>
      <c r="BB34" s="19">
        <v>4.1656914998071198E-2</v>
      </c>
      <c r="BC34" s="19">
        <v>3.9991707703162099E-2</v>
      </c>
      <c r="BD34" s="19">
        <v>3.5922437268378703E-2</v>
      </c>
      <c r="BE34" s="19">
        <v>3.2267226718067102E-2</v>
      </c>
      <c r="BF34" s="19">
        <v>2.8575890435369899E-2</v>
      </c>
      <c r="BG34" s="19">
        <v>2.4949547777764501E-2</v>
      </c>
      <c r="BH34" s="19">
        <v>2.1783395891820601E-2</v>
      </c>
      <c r="BI34" s="19">
        <v>1.90190355675579E-2</v>
      </c>
      <c r="BJ34" s="19">
        <v>1.6605478581778601E-2</v>
      </c>
      <c r="BK34" s="18"/>
      <c r="BL34" s="18"/>
      <c r="BM34" s="19">
        <v>4.2616000000000001E-2</v>
      </c>
      <c r="BN34" s="19">
        <v>4.2173000000000002E-2</v>
      </c>
      <c r="BO34" s="19">
        <v>3.7166999999999999E-2</v>
      </c>
      <c r="BP34" s="19">
        <v>3.2756E-2</v>
      </c>
      <c r="BQ34" s="19">
        <v>3.0130000000000001E-2</v>
      </c>
      <c r="BR34" s="19">
        <v>2.8916000000000001E-2</v>
      </c>
      <c r="BS34" s="19">
        <v>2.775E-2</v>
      </c>
      <c r="BT34" s="19">
        <v>2.6630999999999998E-2</v>
      </c>
      <c r="BU34" s="19">
        <v>2.5558000000000001E-2</v>
      </c>
    </row>
    <row r="35" spans="3:73" x14ac:dyDescent="0.45">
      <c r="C35" s="15" t="s">
        <v>249</v>
      </c>
      <c r="D35" s="15" t="s">
        <v>250</v>
      </c>
      <c r="E35" s="15" t="s">
        <v>279</v>
      </c>
      <c r="F35" s="15" t="s">
        <v>252</v>
      </c>
      <c r="G35" s="15"/>
      <c r="H35" s="15"/>
      <c r="I35" s="15"/>
      <c r="J35" s="18"/>
      <c r="K35" s="18"/>
      <c r="L35" s="19">
        <v>0.39</v>
      </c>
      <c r="M35" s="19"/>
      <c r="N35" s="18"/>
      <c r="O35" s="19"/>
      <c r="P35" s="18"/>
      <c r="Q35" s="18"/>
      <c r="R35" s="19">
        <v>0.38647300000000001</v>
      </c>
      <c r="S35" s="19"/>
      <c r="T35" s="18"/>
      <c r="U35" s="19"/>
      <c r="V35" s="19"/>
      <c r="X35" s="15" t="s">
        <v>249</v>
      </c>
      <c r="Y35" s="15" t="s">
        <v>250</v>
      </c>
      <c r="Z35" s="15" t="s">
        <v>358</v>
      </c>
      <c r="AA35" s="15" t="s">
        <v>252</v>
      </c>
      <c r="AB35" s="15"/>
      <c r="AC35" s="15"/>
      <c r="AD35" s="15"/>
      <c r="AE35" s="18"/>
      <c r="AF35" s="18"/>
      <c r="AG35" s="19">
        <v>0.29574226589403801</v>
      </c>
      <c r="AH35" s="19">
        <v>0.331520255464477</v>
      </c>
      <c r="AI35" s="18"/>
      <c r="AJ35" s="19">
        <v>0.394728884942742</v>
      </c>
      <c r="AK35" s="18"/>
      <c r="AL35" s="18"/>
      <c r="AM35" s="19">
        <v>0.29574226589403801</v>
      </c>
      <c r="AN35" s="19">
        <v>0.32780117422168398</v>
      </c>
      <c r="AO35" s="18"/>
      <c r="AP35" s="19">
        <v>0.39102129709300798</v>
      </c>
      <c r="AR35" s="15" t="s">
        <v>249</v>
      </c>
      <c r="AS35" s="15" t="s">
        <v>369</v>
      </c>
      <c r="AT35" s="15"/>
      <c r="AU35" s="15"/>
      <c r="AV35" s="15" t="s">
        <v>395</v>
      </c>
      <c r="AW35" s="15"/>
      <c r="AX35" s="15"/>
      <c r="AY35" s="15"/>
      <c r="AZ35" s="18"/>
      <c r="BA35" s="18"/>
      <c r="BB35" s="19">
        <v>2.4321209968671199E-2</v>
      </c>
      <c r="BC35" s="19">
        <v>2.43117053451779E-2</v>
      </c>
      <c r="BD35" s="19">
        <v>2.2969181539690499E-2</v>
      </c>
      <c r="BE35" s="19">
        <v>2.1700793634696802E-2</v>
      </c>
      <c r="BF35" s="19">
        <v>2.0213801646947398E-2</v>
      </c>
      <c r="BG35" s="19">
        <v>1.8562871451818199E-2</v>
      </c>
      <c r="BH35" s="19">
        <v>1.7046778362384999E-2</v>
      </c>
      <c r="BI35" s="19">
        <v>1.56545097718606E-2</v>
      </c>
      <c r="BJ35" s="19">
        <v>1.4375952510653199E-2</v>
      </c>
      <c r="BK35" s="18"/>
      <c r="BL35" s="18"/>
      <c r="BM35" s="19">
        <v>2.4504999999999999E-2</v>
      </c>
      <c r="BN35" s="19">
        <v>2.4743000000000001E-2</v>
      </c>
      <c r="BO35" s="19">
        <v>2.2360999999999999E-2</v>
      </c>
      <c r="BP35" s="19">
        <v>2.0208E-2</v>
      </c>
      <c r="BQ35" s="19">
        <v>1.9061000000000002E-2</v>
      </c>
      <c r="BR35" s="19">
        <v>1.8758E-2</v>
      </c>
      <c r="BS35" s="19">
        <v>1.8460000000000001E-2</v>
      </c>
      <c r="BT35" s="19">
        <v>1.8166999999999999E-2</v>
      </c>
      <c r="BU35" s="19">
        <v>1.7878000000000002E-2</v>
      </c>
    </row>
    <row r="36" spans="3:73" x14ac:dyDescent="0.45">
      <c r="C36" s="15" t="s">
        <v>249</v>
      </c>
      <c r="D36" s="15" t="s">
        <v>250</v>
      </c>
      <c r="E36" s="15" t="s">
        <v>280</v>
      </c>
      <c r="F36" s="15" t="s">
        <v>252</v>
      </c>
      <c r="G36" s="15"/>
      <c r="H36" s="15"/>
      <c r="I36" s="15"/>
      <c r="J36" s="18"/>
      <c r="K36" s="18"/>
      <c r="L36" s="19">
        <v>0.24</v>
      </c>
      <c r="M36" s="19"/>
      <c r="N36" s="18"/>
      <c r="O36" s="19"/>
      <c r="P36" s="18"/>
      <c r="Q36" s="18"/>
      <c r="R36" s="19">
        <v>0.24154600000000001</v>
      </c>
      <c r="S36" s="19"/>
      <c r="T36" s="18"/>
      <c r="U36" s="19"/>
      <c r="V36" s="19"/>
      <c r="X36" s="15" t="s">
        <v>249</v>
      </c>
      <c r="Y36" s="15" t="s">
        <v>250</v>
      </c>
      <c r="Z36" s="15" t="s">
        <v>359</v>
      </c>
      <c r="AA36" s="15" t="s">
        <v>337</v>
      </c>
      <c r="AB36" s="15"/>
      <c r="AC36" s="15"/>
      <c r="AD36" s="15"/>
      <c r="AE36" s="18"/>
      <c r="AF36" s="18"/>
      <c r="AG36" s="19">
        <v>0.27102281432564002</v>
      </c>
      <c r="AH36" s="19">
        <v>0.29744977337954598</v>
      </c>
      <c r="AI36" s="18"/>
      <c r="AJ36" s="19">
        <v>0.35497793512336001</v>
      </c>
      <c r="AK36" s="18"/>
      <c r="AL36" s="18"/>
      <c r="AM36" s="19">
        <v>0.27102281432564002</v>
      </c>
      <c r="AN36" s="19">
        <v>0.29880790859002498</v>
      </c>
      <c r="AO36" s="18"/>
      <c r="AP36" s="19">
        <v>0.35338723343685502</v>
      </c>
      <c r="AR36" s="15" t="s">
        <v>249</v>
      </c>
      <c r="AS36" s="15" t="s">
        <v>369</v>
      </c>
      <c r="AT36" s="15"/>
      <c r="AU36" s="15"/>
      <c r="AV36" s="15" t="s">
        <v>396</v>
      </c>
      <c r="AW36" s="15"/>
      <c r="AX36" s="15"/>
      <c r="AY36" s="15"/>
      <c r="AZ36" s="18"/>
      <c r="BA36" s="18"/>
      <c r="BB36" s="19">
        <v>1.57805468073248E-2</v>
      </c>
      <c r="BC36" s="19">
        <v>1.54596888769936E-2</v>
      </c>
      <c r="BD36" s="19">
        <v>1.42426701219046E-2</v>
      </c>
      <c r="BE36" s="19">
        <v>1.31214576059981E-2</v>
      </c>
      <c r="BF36" s="19">
        <v>1.19183197753206E-2</v>
      </c>
      <c r="BG36" s="19">
        <v>1.0672662113769099E-2</v>
      </c>
      <c r="BH36" s="19">
        <v>9.5571958750887993E-3</v>
      </c>
      <c r="BI36" s="19">
        <v>8.5583139446505797E-3</v>
      </c>
      <c r="BJ36" s="19">
        <v>7.6638313719315796E-3</v>
      </c>
      <c r="BK36" s="18"/>
      <c r="BL36" s="18"/>
      <c r="BM36" s="19">
        <v>1.6021000000000001E-2</v>
      </c>
      <c r="BN36" s="19">
        <v>1.6015000000000001E-2</v>
      </c>
      <c r="BO36" s="19">
        <v>1.4293E-2</v>
      </c>
      <c r="BP36" s="19">
        <v>1.2756E-2</v>
      </c>
      <c r="BQ36" s="19">
        <v>1.1882E-2</v>
      </c>
      <c r="BR36" s="19">
        <v>1.1547E-2</v>
      </c>
      <c r="BS36" s="19">
        <v>1.1221999999999999E-2</v>
      </c>
      <c r="BT36" s="19">
        <v>1.0906000000000001E-2</v>
      </c>
      <c r="BU36" s="19">
        <v>1.0599000000000001E-2</v>
      </c>
    </row>
    <row r="37" spans="3:73" x14ac:dyDescent="0.45">
      <c r="C37" s="15" t="s">
        <v>249</v>
      </c>
      <c r="D37" s="15" t="s">
        <v>250</v>
      </c>
      <c r="E37" s="15" t="s">
        <v>281</v>
      </c>
      <c r="F37" s="15" t="s">
        <v>252</v>
      </c>
      <c r="G37" s="15"/>
      <c r="H37" s="15"/>
      <c r="I37" s="15"/>
      <c r="J37" s="18"/>
      <c r="K37" s="18"/>
      <c r="L37" s="19">
        <v>0.11</v>
      </c>
      <c r="M37" s="19"/>
      <c r="N37" s="18"/>
      <c r="O37" s="19"/>
      <c r="P37" s="18"/>
      <c r="Q37" s="18"/>
      <c r="R37" s="19">
        <v>0.111111</v>
      </c>
      <c r="S37" s="19"/>
      <c r="T37" s="18"/>
      <c r="U37" s="19"/>
      <c r="V37" s="19"/>
      <c r="X37" s="15" t="s">
        <v>249</v>
      </c>
      <c r="Y37" s="15" t="s">
        <v>250</v>
      </c>
      <c r="Z37" s="15" t="s">
        <v>359</v>
      </c>
      <c r="AA37" s="15" t="s">
        <v>338</v>
      </c>
      <c r="AB37" s="15"/>
      <c r="AC37" s="15"/>
      <c r="AD37" s="15"/>
      <c r="AE37" s="18"/>
      <c r="AF37" s="18"/>
      <c r="AG37" s="19">
        <v>1.40799261532579</v>
      </c>
      <c r="AH37" s="19">
        <v>1.4244365170503801</v>
      </c>
      <c r="AI37" s="18"/>
      <c r="AJ37" s="19">
        <v>1.5685013916117001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249</v>
      </c>
      <c r="AS37" s="15" t="s">
        <v>369</v>
      </c>
      <c r="AT37" s="15"/>
      <c r="AU37" s="15"/>
      <c r="AV37" s="15" t="s">
        <v>397</v>
      </c>
      <c r="AW37" s="15"/>
      <c r="AX37" s="15"/>
      <c r="AY37" s="15"/>
      <c r="AZ37" s="18"/>
      <c r="BA37" s="18"/>
      <c r="BB37" s="19">
        <v>5.3619301119255704E-3</v>
      </c>
      <c r="BC37" s="19">
        <v>5.2529086807103897E-3</v>
      </c>
      <c r="BD37" s="19">
        <v>4.8393888205074901E-3</v>
      </c>
      <c r="BE37" s="19">
        <v>4.4584221008931897E-3</v>
      </c>
      <c r="BF37" s="19">
        <v>4.0496187151884298E-3</v>
      </c>
      <c r="BG37" s="19">
        <v>3.62636789845987E-3</v>
      </c>
      <c r="BH37" s="19">
        <v>3.2473536547176799E-3</v>
      </c>
      <c r="BI37" s="19">
        <v>2.9079525448278101E-3</v>
      </c>
      <c r="BJ37" s="19">
        <v>2.60402435401072E-3</v>
      </c>
      <c r="BK37" s="18"/>
      <c r="BL37" s="18"/>
      <c r="BM37" s="19">
        <v>5.4440000000000001E-3</v>
      </c>
      <c r="BN37" s="19">
        <v>5.4409999999999997E-3</v>
      </c>
      <c r="BO37" s="19">
        <v>4.8560000000000001E-3</v>
      </c>
      <c r="BP37" s="19">
        <v>4.3340000000000002E-3</v>
      </c>
      <c r="BQ37" s="19">
        <v>4.0369999999999998E-3</v>
      </c>
      <c r="BR37" s="19">
        <v>3.9230000000000003E-3</v>
      </c>
      <c r="BS37" s="19">
        <v>3.813E-3</v>
      </c>
      <c r="BT37" s="19">
        <v>3.7060000000000001E-3</v>
      </c>
      <c r="BU37" s="19">
        <v>3.601E-3</v>
      </c>
    </row>
    <row r="38" spans="3:73" x14ac:dyDescent="0.45">
      <c r="C38" s="15" t="s">
        <v>249</v>
      </c>
      <c r="D38" s="15" t="s">
        <v>250</v>
      </c>
      <c r="E38" s="15" t="s">
        <v>282</v>
      </c>
      <c r="F38" s="15" t="s">
        <v>252</v>
      </c>
      <c r="G38" s="15"/>
      <c r="H38" s="15"/>
      <c r="I38" s="15"/>
      <c r="J38" s="18"/>
      <c r="K38" s="18"/>
      <c r="L38" s="19">
        <v>0.39</v>
      </c>
      <c r="M38" s="19"/>
      <c r="N38" s="18"/>
      <c r="O38" s="19"/>
      <c r="P38" s="18"/>
      <c r="Q38" s="18"/>
      <c r="R38" s="19">
        <v>0.38647300000000001</v>
      </c>
      <c r="S38" s="19"/>
      <c r="T38" s="18"/>
      <c r="U38" s="19"/>
      <c r="V38" s="19"/>
      <c r="X38" s="15" t="s">
        <v>249</v>
      </c>
      <c r="Y38" s="15" t="s">
        <v>250</v>
      </c>
      <c r="Z38" s="15" t="s">
        <v>360</v>
      </c>
      <c r="AA38" s="15" t="s">
        <v>338</v>
      </c>
      <c r="AB38" s="15"/>
      <c r="AC38" s="15"/>
      <c r="AD38" s="15"/>
      <c r="AE38" s="18"/>
      <c r="AF38" s="18"/>
      <c r="AG38" s="19">
        <v>1.4079999999999999</v>
      </c>
      <c r="AH38" s="19">
        <v>1.4239999999999999</v>
      </c>
      <c r="AI38" s="18"/>
      <c r="AJ38" s="19">
        <v>1.569</v>
      </c>
      <c r="AK38" s="18"/>
      <c r="AL38" s="18"/>
      <c r="AM38" s="19">
        <v>1.40799261532579</v>
      </c>
      <c r="AN38" s="19">
        <v>1.4026374279118099</v>
      </c>
      <c r="AO38" s="18"/>
      <c r="AP38" s="19">
        <v>1.5730133676073199</v>
      </c>
      <c r="AR38" s="15" t="s">
        <v>249</v>
      </c>
      <c r="AS38" s="15" t="s">
        <v>369</v>
      </c>
      <c r="AT38" s="15"/>
      <c r="AU38" s="15"/>
      <c r="AV38" s="15" t="s">
        <v>398</v>
      </c>
      <c r="AW38" s="15"/>
      <c r="AX38" s="15"/>
      <c r="AY38" s="15"/>
      <c r="AZ38" s="18"/>
      <c r="BA38" s="18"/>
      <c r="BB38" s="19">
        <v>8.5679165478484295E-2</v>
      </c>
      <c r="BC38" s="19">
        <v>8.3937094050695396E-2</v>
      </c>
      <c r="BD38" s="19">
        <v>7.7329392012177006E-2</v>
      </c>
      <c r="BE38" s="19">
        <v>7.1241861975365903E-2</v>
      </c>
      <c r="BF38" s="19">
        <v>6.4709525260633005E-2</v>
      </c>
      <c r="BG38" s="19">
        <v>5.7946330663087797E-2</v>
      </c>
      <c r="BH38" s="19">
        <v>5.1889999560214103E-2</v>
      </c>
      <c r="BI38" s="19">
        <v>4.6466653255651399E-2</v>
      </c>
      <c r="BJ38" s="19">
        <v>4.1610134574686597E-2</v>
      </c>
      <c r="BK38" s="18"/>
      <c r="BL38" s="18"/>
      <c r="BM38" s="19">
        <v>8.6984000000000006E-2</v>
      </c>
      <c r="BN38" s="19">
        <v>8.695E-2</v>
      </c>
      <c r="BO38" s="19">
        <v>7.7600000000000002E-2</v>
      </c>
      <c r="BP38" s="19">
        <v>6.9255999999999998E-2</v>
      </c>
      <c r="BQ38" s="19">
        <v>6.4509999999999998E-2</v>
      </c>
      <c r="BR38" s="19">
        <v>6.2692999999999999E-2</v>
      </c>
      <c r="BS38" s="19">
        <v>6.0928000000000003E-2</v>
      </c>
      <c r="BT38" s="19">
        <v>5.9212000000000001E-2</v>
      </c>
      <c r="BU38" s="19">
        <v>5.7543999999999998E-2</v>
      </c>
    </row>
    <row r="39" spans="3:73" x14ac:dyDescent="0.45">
      <c r="C39" s="15" t="s">
        <v>249</v>
      </c>
      <c r="D39" s="15" t="s">
        <v>250</v>
      </c>
      <c r="E39" s="15" t="s">
        <v>283</v>
      </c>
      <c r="F39" s="15" t="s">
        <v>252</v>
      </c>
      <c r="G39" s="15"/>
      <c r="H39" s="15"/>
      <c r="I39" s="15"/>
      <c r="J39" s="18"/>
      <c r="K39" s="18"/>
      <c r="L39" s="19">
        <v>0.24</v>
      </c>
      <c r="M39" s="19"/>
      <c r="N39" s="18"/>
      <c r="O39" s="19"/>
      <c r="P39" s="18"/>
      <c r="Q39" s="18"/>
      <c r="R39" s="19">
        <v>0.24154600000000001</v>
      </c>
      <c r="S39" s="19"/>
      <c r="T39" s="18"/>
      <c r="U39" s="19"/>
      <c r="V39" s="19"/>
      <c r="X39" s="15" t="s">
        <v>249</v>
      </c>
      <c r="Y39" s="15" t="s">
        <v>250</v>
      </c>
      <c r="Z39" s="15" t="s">
        <v>360</v>
      </c>
      <c r="AA39" s="15" t="s">
        <v>340</v>
      </c>
      <c r="AB39" s="15"/>
      <c r="AC39" s="15"/>
      <c r="AD39" s="15"/>
      <c r="AE39" s="18"/>
      <c r="AF39" s="18"/>
      <c r="AG39" s="19">
        <v>0.29599999999999999</v>
      </c>
      <c r="AH39" s="19">
        <v>0.33200000000000002</v>
      </c>
      <c r="AI39" s="18"/>
      <c r="AJ39" s="19">
        <v>0.39500000000000002</v>
      </c>
      <c r="AK39" s="18"/>
      <c r="AL39" s="18"/>
      <c r="AM39" s="19">
        <v>0.29574226589403801</v>
      </c>
      <c r="AN39" s="19">
        <v>0.32780117422168398</v>
      </c>
      <c r="AO39" s="18"/>
      <c r="AP39" s="19">
        <v>0.39102129709300798</v>
      </c>
      <c r="AR39" s="15" t="s">
        <v>249</v>
      </c>
      <c r="AS39" s="15" t="s">
        <v>369</v>
      </c>
      <c r="AT39" s="15"/>
      <c r="AU39" s="15"/>
      <c r="AV39" s="15" t="s">
        <v>399</v>
      </c>
      <c r="AW39" s="15"/>
      <c r="AX39" s="15"/>
      <c r="AY39" s="15"/>
      <c r="AZ39" s="18"/>
      <c r="BA39" s="18"/>
      <c r="BB39" s="19">
        <v>9.8531040300257004E-3</v>
      </c>
      <c r="BC39" s="19">
        <v>9.6527658158299702E-3</v>
      </c>
      <c r="BD39" s="19">
        <v>8.8928800814003593E-3</v>
      </c>
      <c r="BE39" s="19">
        <v>8.1928141271670803E-3</v>
      </c>
      <c r="BF39" s="19">
        <v>7.4415954049727997E-3</v>
      </c>
      <c r="BG39" s="19">
        <v>6.6638280262550998E-3</v>
      </c>
      <c r="BH39" s="19">
        <v>5.9673499494246303E-3</v>
      </c>
      <c r="BI39" s="19">
        <v>5.3436651243999097E-3</v>
      </c>
      <c r="BJ39" s="19">
        <v>4.78516547608896E-3</v>
      </c>
      <c r="BK39" s="18"/>
      <c r="BL39" s="18"/>
      <c r="BM39" s="19">
        <v>1.0003E-2</v>
      </c>
      <c r="BN39" s="19">
        <v>9.9989999999999992E-3</v>
      </c>
      <c r="BO39" s="19">
        <v>8.9239999999999996E-3</v>
      </c>
      <c r="BP39" s="19">
        <v>7.9640000000000006E-3</v>
      </c>
      <c r="BQ39" s="19">
        <v>7.4190000000000002E-3</v>
      </c>
      <c r="BR39" s="19">
        <v>7.2100000000000003E-3</v>
      </c>
      <c r="BS39" s="19">
        <v>7.0070000000000002E-3</v>
      </c>
      <c r="BT39" s="19">
        <v>6.8089999999999999E-3</v>
      </c>
      <c r="BU39" s="19">
        <v>6.6179999999999998E-3</v>
      </c>
    </row>
    <row r="40" spans="3:73" x14ac:dyDescent="0.45">
      <c r="C40" s="15" t="s">
        <v>249</v>
      </c>
      <c r="D40" s="15" t="s">
        <v>250</v>
      </c>
      <c r="E40" s="15" t="s">
        <v>284</v>
      </c>
      <c r="F40" s="15" t="s">
        <v>252</v>
      </c>
      <c r="G40" s="15"/>
      <c r="H40" s="15"/>
      <c r="I40" s="15"/>
      <c r="J40" s="18"/>
      <c r="K40" s="18"/>
      <c r="L40" s="19">
        <v>0.9</v>
      </c>
      <c r="M40" s="19"/>
      <c r="N40" s="18"/>
      <c r="O40" s="19"/>
      <c r="P40" s="18"/>
      <c r="Q40" s="18"/>
      <c r="R40" s="19">
        <v>0.9</v>
      </c>
      <c r="S40" s="19"/>
      <c r="T40" s="18"/>
      <c r="U40" s="19"/>
      <c r="V40" s="19"/>
      <c r="X40" s="15" t="s">
        <v>249</v>
      </c>
      <c r="Y40" s="15" t="s">
        <v>250</v>
      </c>
      <c r="Z40" s="15" t="s">
        <v>361</v>
      </c>
      <c r="AA40" s="15" t="s">
        <v>252</v>
      </c>
      <c r="AB40" s="15"/>
      <c r="AC40" s="15"/>
      <c r="AD40" s="15"/>
      <c r="AE40" s="18"/>
      <c r="AF40" s="18"/>
      <c r="AG40" s="19">
        <v>5.7874235293832701</v>
      </c>
      <c r="AH40" s="19">
        <v>4.9403706423275402</v>
      </c>
      <c r="AI40" s="18"/>
      <c r="AJ40" s="19">
        <v>4.7287339592516204</v>
      </c>
      <c r="AK40" s="18"/>
      <c r="AL40" s="18"/>
      <c r="AM40" s="19">
        <v>5.7874235293832701</v>
      </c>
      <c r="AN40" s="19">
        <v>4.9866436484538399</v>
      </c>
      <c r="AO40" s="18"/>
      <c r="AP40" s="19">
        <v>4.7639962332593999</v>
      </c>
      <c r="AR40" s="15" t="s">
        <v>249</v>
      </c>
      <c r="AS40" s="15" t="s">
        <v>369</v>
      </c>
      <c r="AT40" s="15"/>
      <c r="AU40" s="15"/>
      <c r="AV40" s="15" t="s">
        <v>400</v>
      </c>
      <c r="AW40" s="15"/>
      <c r="AX40" s="15"/>
      <c r="AY40" s="15"/>
      <c r="AZ40" s="18"/>
      <c r="BA40" s="18"/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  <c r="BK40" s="18"/>
      <c r="BL40" s="18"/>
      <c r="BM40" s="19">
        <v>0</v>
      </c>
      <c r="BN40" s="19">
        <v>0</v>
      </c>
      <c r="BO40" s="19">
        <v>0</v>
      </c>
      <c r="BP40" s="19">
        <v>0</v>
      </c>
      <c r="BQ40" s="19">
        <v>0</v>
      </c>
      <c r="BR40" s="19">
        <v>0</v>
      </c>
      <c r="BS40" s="19">
        <v>0</v>
      </c>
      <c r="BT40" s="19">
        <v>0</v>
      </c>
      <c r="BU40" s="19">
        <v>0</v>
      </c>
    </row>
    <row r="41" spans="3:73" x14ac:dyDescent="0.45">
      <c r="C41" s="15" t="s">
        <v>249</v>
      </c>
      <c r="D41" s="15" t="s">
        <v>250</v>
      </c>
      <c r="E41" s="15" t="s">
        <v>285</v>
      </c>
      <c r="F41" s="15" t="s">
        <v>252</v>
      </c>
      <c r="G41" s="15"/>
      <c r="H41" s="15"/>
      <c r="I41" s="15"/>
      <c r="J41" s="18"/>
      <c r="K41" s="18"/>
      <c r="L41" s="19">
        <v>0.7</v>
      </c>
      <c r="M41" s="19"/>
      <c r="N41" s="18"/>
      <c r="O41" s="19"/>
      <c r="P41" s="18"/>
      <c r="Q41" s="18"/>
      <c r="R41" s="19">
        <v>0.7</v>
      </c>
      <c r="S41" s="19"/>
      <c r="T41" s="18"/>
      <c r="U41" s="19"/>
      <c r="V41" s="19"/>
      <c r="X41" s="15" t="s">
        <v>249</v>
      </c>
      <c r="Y41" s="15" t="s">
        <v>250</v>
      </c>
      <c r="Z41" s="15" t="s">
        <v>362</v>
      </c>
      <c r="AA41" s="15" t="s">
        <v>252</v>
      </c>
      <c r="AB41" s="15"/>
      <c r="AC41" s="15"/>
      <c r="AD41" s="15"/>
      <c r="AE41" s="18"/>
      <c r="AF41" s="18"/>
      <c r="AG41" s="19">
        <v>0.58602989312730902</v>
      </c>
      <c r="AH41" s="19">
        <v>0.61568558069197798</v>
      </c>
      <c r="AI41" s="18"/>
      <c r="AJ41" s="19">
        <v>0.719166782327331</v>
      </c>
      <c r="AK41" s="18"/>
      <c r="AL41" s="18"/>
      <c r="AM41" s="19">
        <v>0.58602989312730902</v>
      </c>
      <c r="AN41" s="19">
        <v>0.61275424986168503</v>
      </c>
      <c r="AO41" s="18"/>
      <c r="AP41" s="19">
        <v>0.671208334483687</v>
      </c>
      <c r="AR41" s="15" t="s">
        <v>249</v>
      </c>
      <c r="AS41" s="15" t="s">
        <v>369</v>
      </c>
      <c r="AT41" s="15"/>
      <c r="AU41" s="15"/>
      <c r="AV41" s="15" t="s">
        <v>401</v>
      </c>
      <c r="AW41" s="15"/>
      <c r="AX41" s="15"/>
      <c r="AY41" s="15"/>
      <c r="AZ41" s="18"/>
      <c r="BA41" s="18"/>
      <c r="BB41" s="19">
        <v>1.1299595657923E-2</v>
      </c>
      <c r="BC41" s="19">
        <v>1.08543465036142E-2</v>
      </c>
      <c r="BD41" s="19">
        <v>1.03223755231039E-2</v>
      </c>
      <c r="BE41" s="19">
        <v>9.8164764138031404E-3</v>
      </c>
      <c r="BF41" s="19">
        <v>9.3353713946048196E-3</v>
      </c>
      <c r="BG41" s="19">
        <v>8.8778453083902704E-3</v>
      </c>
      <c r="BH41" s="19">
        <v>8.4427425528305396E-3</v>
      </c>
      <c r="BI41" s="19">
        <v>8.02896416160917E-3</v>
      </c>
      <c r="BJ41" s="19">
        <v>7.6354650286940204E-3</v>
      </c>
      <c r="BK41" s="18"/>
      <c r="BL41" s="18"/>
      <c r="BM41" s="19">
        <v>1.1472E-2</v>
      </c>
      <c r="BN41" s="19">
        <v>1.1244000000000001E-2</v>
      </c>
      <c r="BO41" s="19">
        <v>1.0966E-2</v>
      </c>
      <c r="BP41" s="19">
        <v>1.0694E-2</v>
      </c>
      <c r="BQ41" s="19">
        <v>1.043E-2</v>
      </c>
      <c r="BR41" s="19">
        <v>1.0170999999999999E-2</v>
      </c>
      <c r="BS41" s="19">
        <v>9.92E-3</v>
      </c>
      <c r="BT41" s="19">
        <v>9.6740000000000003E-3</v>
      </c>
      <c r="BU41" s="19">
        <v>9.4350000000000007E-3</v>
      </c>
    </row>
    <row r="42" spans="3:73" x14ac:dyDescent="0.45">
      <c r="C42" s="15" t="s">
        <v>249</v>
      </c>
      <c r="D42" s="15" t="s">
        <v>250</v>
      </c>
      <c r="E42" s="15" t="s">
        <v>286</v>
      </c>
      <c r="F42" s="15" t="s">
        <v>252</v>
      </c>
      <c r="G42" s="15"/>
      <c r="H42" s="15"/>
      <c r="I42" s="15"/>
      <c r="J42" s="18"/>
      <c r="K42" s="18"/>
      <c r="L42" s="19">
        <v>0.83</v>
      </c>
      <c r="M42" s="18"/>
      <c r="N42" s="18"/>
      <c r="O42" s="18"/>
      <c r="P42" s="18"/>
      <c r="Q42" s="18"/>
      <c r="R42" s="19">
        <v>0.83125000000000004</v>
      </c>
      <c r="S42" s="18"/>
      <c r="T42" s="18"/>
      <c r="U42" s="18"/>
      <c r="V42" s="18"/>
      <c r="X42" s="15" t="s">
        <v>249</v>
      </c>
      <c r="Y42" s="15" t="s">
        <v>363</v>
      </c>
      <c r="Z42" s="15" t="s">
        <v>336</v>
      </c>
      <c r="AA42" s="15" t="s">
        <v>364</v>
      </c>
      <c r="AB42" s="15" t="s">
        <v>337</v>
      </c>
      <c r="AC42" s="15" t="s">
        <v>13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249</v>
      </c>
      <c r="AS42" s="15" t="s">
        <v>369</v>
      </c>
      <c r="AT42" s="15"/>
      <c r="AU42" s="15"/>
      <c r="AV42" s="15" t="s">
        <v>402</v>
      </c>
      <c r="AW42" s="15"/>
      <c r="AX42" s="15"/>
      <c r="AY42" s="15"/>
      <c r="AZ42" s="18"/>
      <c r="BA42" s="18"/>
      <c r="BB42" s="19">
        <v>1.54688224903246E-2</v>
      </c>
      <c r="BC42" s="19">
        <v>1.4859289163604E-2</v>
      </c>
      <c r="BD42" s="19">
        <v>1.41310361431743E-2</v>
      </c>
      <c r="BE42" s="19">
        <v>1.34384747669361E-2</v>
      </c>
      <c r="BF42" s="19">
        <v>1.27798557891884E-2</v>
      </c>
      <c r="BG42" s="19">
        <v>1.2153515694675101E-2</v>
      </c>
      <c r="BH42" s="19">
        <v>1.15578724969395E-2</v>
      </c>
      <c r="BI42" s="19">
        <v>1.09914217426023E-2</v>
      </c>
      <c r="BJ42" s="19">
        <v>1.0452732711469299E-2</v>
      </c>
      <c r="BK42" s="18"/>
      <c r="BL42" s="18"/>
      <c r="BM42" s="19">
        <v>1.5703999999999999E-2</v>
      </c>
      <c r="BN42" s="19">
        <v>1.5393E-2</v>
      </c>
      <c r="BO42" s="19">
        <v>1.5011999999999999E-2</v>
      </c>
      <c r="BP42" s="19">
        <v>1.464E-2</v>
      </c>
      <c r="BQ42" s="19">
        <v>1.4278000000000001E-2</v>
      </c>
      <c r="BR42" s="19">
        <v>1.3924000000000001E-2</v>
      </c>
      <c r="BS42" s="19">
        <v>1.358E-2</v>
      </c>
      <c r="BT42" s="19">
        <v>1.3244000000000001E-2</v>
      </c>
      <c r="BU42" s="19">
        <v>1.2916E-2</v>
      </c>
    </row>
    <row r="43" spans="3:73" x14ac:dyDescent="0.45">
      <c r="C43" s="15" t="s">
        <v>249</v>
      </c>
      <c r="D43" s="15" t="s">
        <v>250</v>
      </c>
      <c r="E43" s="15" t="s">
        <v>287</v>
      </c>
      <c r="F43" s="15" t="s">
        <v>252</v>
      </c>
      <c r="G43" s="15"/>
      <c r="H43" s="15"/>
      <c r="I43" s="15"/>
      <c r="J43" s="18"/>
      <c r="K43" s="18"/>
      <c r="L43" s="19">
        <v>0.45</v>
      </c>
      <c r="M43" s="18"/>
      <c r="N43" s="18"/>
      <c r="O43" s="18"/>
      <c r="P43" s="18"/>
      <c r="Q43" s="18"/>
      <c r="R43" s="19">
        <v>0.45</v>
      </c>
      <c r="S43" s="18"/>
      <c r="T43" s="18"/>
      <c r="U43" s="18"/>
      <c r="V43" s="18"/>
      <c r="X43" s="15" t="s">
        <v>249</v>
      </c>
      <c r="Y43" s="15" t="s">
        <v>363</v>
      </c>
      <c r="Z43" s="15" t="s">
        <v>336</v>
      </c>
      <c r="AA43" s="15" t="s">
        <v>364</v>
      </c>
      <c r="AB43" s="15" t="s">
        <v>338</v>
      </c>
      <c r="AC43" s="15" t="s">
        <v>13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249</v>
      </c>
      <c r="AS43" s="15" t="s">
        <v>369</v>
      </c>
      <c r="AT43" s="15"/>
      <c r="AU43" s="15"/>
      <c r="AV43" s="15" t="s">
        <v>403</v>
      </c>
      <c r="AW43" s="15"/>
      <c r="AX43" s="15"/>
      <c r="AY43" s="15"/>
      <c r="AZ43" s="18"/>
      <c r="BA43" s="18"/>
      <c r="BB43" s="19">
        <v>5.37816975560865E-2</v>
      </c>
      <c r="BC43" s="19">
        <v>5.1662484083403397E-2</v>
      </c>
      <c r="BD43" s="19">
        <v>4.9130508316433799E-2</v>
      </c>
      <c r="BE43" s="19">
        <v>4.6722624555457698E-2</v>
      </c>
      <c r="BF43" s="19">
        <v>4.4432751057453701E-2</v>
      </c>
      <c r="BG43" s="19">
        <v>4.22551041453222E-2</v>
      </c>
      <c r="BH43" s="19">
        <v>4.0184183599689602E-2</v>
      </c>
      <c r="BI43" s="19">
        <v>3.8214758766659598E-2</v>
      </c>
      <c r="BJ43" s="19">
        <v>3.6341855346422099E-2</v>
      </c>
      <c r="BK43" s="18"/>
      <c r="BL43" s="18"/>
      <c r="BM43" s="19">
        <v>5.4600999999999997E-2</v>
      </c>
      <c r="BN43" s="19">
        <v>5.3517000000000002E-2</v>
      </c>
      <c r="BO43" s="19">
        <v>5.2192000000000002E-2</v>
      </c>
      <c r="BP43" s="19">
        <v>5.0900000000000001E-2</v>
      </c>
      <c r="BQ43" s="19">
        <v>4.9640999999999998E-2</v>
      </c>
      <c r="BR43" s="19">
        <v>4.8411999999999997E-2</v>
      </c>
      <c r="BS43" s="19">
        <v>4.7213999999999999E-2</v>
      </c>
      <c r="BT43" s="19">
        <v>4.6045000000000003E-2</v>
      </c>
      <c r="BU43" s="19">
        <v>4.4905E-2</v>
      </c>
    </row>
    <row r="44" spans="3:73" x14ac:dyDescent="0.45">
      <c r="C44" s="15" t="s">
        <v>249</v>
      </c>
      <c r="D44" s="15" t="s">
        <v>250</v>
      </c>
      <c r="E44" s="15" t="s">
        <v>288</v>
      </c>
      <c r="F44" s="15" t="s">
        <v>252</v>
      </c>
      <c r="G44" s="15"/>
      <c r="H44" s="15"/>
      <c r="I44" s="15"/>
      <c r="J44" s="18"/>
      <c r="K44" s="18"/>
      <c r="L44" s="19">
        <v>0.13</v>
      </c>
      <c r="M44" s="18"/>
      <c r="N44" s="18"/>
      <c r="O44" s="18"/>
      <c r="P44" s="18"/>
      <c r="Q44" s="18"/>
      <c r="R44" s="19">
        <v>0.125163</v>
      </c>
      <c r="S44" s="18"/>
      <c r="T44" s="18"/>
      <c r="U44" s="18"/>
      <c r="V44" s="18"/>
      <c r="X44" s="15" t="s">
        <v>249</v>
      </c>
      <c r="Y44" s="15" t="s">
        <v>363</v>
      </c>
      <c r="Z44" s="15" t="s">
        <v>339</v>
      </c>
      <c r="AA44" s="15" t="s">
        <v>365</v>
      </c>
      <c r="AB44" s="15" t="s">
        <v>338</v>
      </c>
      <c r="AC44" s="15" t="s">
        <v>13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249</v>
      </c>
      <c r="AS44" s="15" t="s">
        <v>369</v>
      </c>
      <c r="AT44" s="15"/>
      <c r="AU44" s="15"/>
      <c r="AV44" s="15" t="s">
        <v>404</v>
      </c>
      <c r="AW44" s="15"/>
      <c r="AX44" s="15"/>
      <c r="AY44" s="15"/>
      <c r="AZ44" s="18"/>
      <c r="BA44" s="18"/>
      <c r="BB44" s="19">
        <v>6.0252851062788998E-4</v>
      </c>
      <c r="BC44" s="19">
        <v>5.7878648322039303E-4</v>
      </c>
      <c r="BD44" s="19">
        <v>5.5042018655920703E-4</v>
      </c>
      <c r="BE44" s="19">
        <v>5.2344412068190801E-4</v>
      </c>
      <c r="BF44" s="19">
        <v>4.97790150447149E-4</v>
      </c>
      <c r="BG44" s="19">
        <v>4.7339348001346302E-4</v>
      </c>
      <c r="BH44" s="19">
        <v>4.5019248918033798E-4</v>
      </c>
      <c r="BI44" s="19">
        <v>4.2812857775021399E-4</v>
      </c>
      <c r="BJ44" s="19">
        <v>4.0714601751829199E-4</v>
      </c>
      <c r="BK44" s="18"/>
      <c r="BL44" s="18"/>
      <c r="BM44" s="19">
        <v>6.1200000000000002E-4</v>
      </c>
      <c r="BN44" s="19">
        <v>5.9999999999999995E-4</v>
      </c>
      <c r="BO44" s="19">
        <v>5.8500000000000002E-4</v>
      </c>
      <c r="BP44" s="19">
        <v>5.6999999999999998E-4</v>
      </c>
      <c r="BQ44" s="19">
        <v>5.5599999999999996E-4</v>
      </c>
      <c r="BR44" s="19">
        <v>5.4199999999999995E-4</v>
      </c>
      <c r="BS44" s="19">
        <v>5.2899999999999996E-4</v>
      </c>
      <c r="BT44" s="19">
        <v>5.1599999999999997E-4</v>
      </c>
      <c r="BU44" s="19">
        <v>5.0299999999999997E-4</v>
      </c>
    </row>
    <row r="45" spans="3:73" x14ac:dyDescent="0.45">
      <c r="C45" s="15" t="s">
        <v>249</v>
      </c>
      <c r="D45" s="15" t="s">
        <v>250</v>
      </c>
      <c r="E45" s="15" t="s">
        <v>289</v>
      </c>
      <c r="F45" s="15" t="s">
        <v>252</v>
      </c>
      <c r="G45" s="15"/>
      <c r="H45" s="15"/>
      <c r="I45" s="15"/>
      <c r="J45" s="18"/>
      <c r="K45" s="18"/>
      <c r="L45" s="19">
        <v>0.44</v>
      </c>
      <c r="M45" s="18"/>
      <c r="N45" s="18"/>
      <c r="O45" s="18"/>
      <c r="P45" s="18"/>
      <c r="Q45" s="18"/>
      <c r="R45" s="19">
        <v>0.43535000000000001</v>
      </c>
      <c r="S45" s="18"/>
      <c r="T45" s="18"/>
      <c r="U45" s="18"/>
      <c r="V45" s="18"/>
      <c r="X45" s="15" t="s">
        <v>249</v>
      </c>
      <c r="Y45" s="15" t="s">
        <v>363</v>
      </c>
      <c r="Z45" s="15" t="s">
        <v>339</v>
      </c>
      <c r="AA45" s="15" t="s">
        <v>365</v>
      </c>
      <c r="AB45" s="15" t="s">
        <v>340</v>
      </c>
      <c r="AC45" s="15" t="s">
        <v>13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249</v>
      </c>
      <c r="AS45" s="15" t="s">
        <v>369</v>
      </c>
      <c r="AT45" s="15"/>
      <c r="AU45" s="15"/>
      <c r="AV45" s="15" t="s">
        <v>405</v>
      </c>
      <c r="AW45" s="15"/>
      <c r="AX45" s="15"/>
      <c r="AY45" s="15"/>
      <c r="AZ45" s="18"/>
      <c r="BA45" s="18"/>
      <c r="BB45" s="19">
        <v>6.7362547182976398E-3</v>
      </c>
      <c r="BC45" s="19">
        <v>6.4708194047403801E-3</v>
      </c>
      <c r="BD45" s="19">
        <v>6.1536848686079403E-3</v>
      </c>
      <c r="BE45" s="19">
        <v>5.8520930802663396E-3</v>
      </c>
      <c r="BF45" s="19">
        <v>5.5652822904219299E-3</v>
      </c>
      <c r="BG45" s="19">
        <v>5.2925280830759397E-3</v>
      </c>
      <c r="BH45" s="19">
        <v>5.0331415458215404E-3</v>
      </c>
      <c r="BI45" s="19">
        <v>4.7864675298145897E-3</v>
      </c>
      <c r="BJ45" s="19">
        <v>4.5518829950230997E-3</v>
      </c>
      <c r="BK45" s="18"/>
      <c r="BL45" s="18"/>
      <c r="BM45" s="19">
        <v>6.8389999999999996E-3</v>
      </c>
      <c r="BN45" s="19">
        <v>6.7029999999999998E-3</v>
      </c>
      <c r="BO45" s="19">
        <v>6.5370000000000003E-3</v>
      </c>
      <c r="BP45" s="19">
        <v>6.3749999999999996E-3</v>
      </c>
      <c r="BQ45" s="19">
        <v>6.2179999999999996E-3</v>
      </c>
      <c r="BR45" s="19">
        <v>6.0639999999999999E-3</v>
      </c>
      <c r="BS45" s="19">
        <v>5.914E-3</v>
      </c>
      <c r="BT45" s="19">
        <v>5.7670000000000004E-3</v>
      </c>
      <c r="BU45" s="19">
        <v>5.6239999999999997E-3</v>
      </c>
    </row>
    <row r="46" spans="3:73" x14ac:dyDescent="0.45">
      <c r="C46" s="15" t="s">
        <v>249</v>
      </c>
      <c r="D46" s="15" t="s">
        <v>250</v>
      </c>
      <c r="E46" s="15" t="s">
        <v>290</v>
      </c>
      <c r="F46" s="15" t="s">
        <v>252</v>
      </c>
      <c r="G46" s="15"/>
      <c r="H46" s="15"/>
      <c r="I46" s="15"/>
      <c r="J46" s="18"/>
      <c r="K46" s="18"/>
      <c r="L46" s="19">
        <v>0.27</v>
      </c>
      <c r="M46" s="18"/>
      <c r="N46" s="18"/>
      <c r="O46" s="18"/>
      <c r="P46" s="18"/>
      <c r="Q46" s="18"/>
      <c r="R46" s="19">
        <v>0.27209299999999997</v>
      </c>
      <c r="S46" s="18"/>
      <c r="T46" s="18"/>
      <c r="U46" s="18"/>
      <c r="V46" s="18"/>
      <c r="X46" s="15" t="s">
        <v>249</v>
      </c>
      <c r="Y46" s="15" t="s">
        <v>363</v>
      </c>
      <c r="Z46" s="15" t="s">
        <v>359</v>
      </c>
      <c r="AA46" s="15" t="s">
        <v>366</v>
      </c>
      <c r="AB46" s="15" t="s">
        <v>337</v>
      </c>
      <c r="AC46" s="15" t="s">
        <v>13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249</v>
      </c>
      <c r="AS46" s="15" t="s">
        <v>369</v>
      </c>
      <c r="AT46" s="15"/>
      <c r="AU46" s="15"/>
      <c r="AV46" s="15" t="s">
        <v>406</v>
      </c>
      <c r="AW46" s="15"/>
      <c r="AX46" s="15"/>
      <c r="AY46" s="15"/>
      <c r="AZ46" s="18"/>
      <c r="BA46" s="18"/>
      <c r="BB46" s="19">
        <v>7.9175526421355003E-2</v>
      </c>
      <c r="BC46" s="19">
        <v>8.2520841794861202E-2</v>
      </c>
      <c r="BD46" s="19">
        <v>8.5675871348889293E-2</v>
      </c>
      <c r="BE46" s="19">
        <v>8.9954785033159401E-2</v>
      </c>
      <c r="BF46" s="19">
        <v>9.35382684497999E-2</v>
      </c>
      <c r="BG46" s="19">
        <v>9.6364198196670206E-2</v>
      </c>
      <c r="BH46" s="19">
        <v>9.8681587898829207E-2</v>
      </c>
      <c r="BI46" s="19">
        <v>0.100717478123783</v>
      </c>
      <c r="BJ46" s="19">
        <v>0.10259313118442499</v>
      </c>
      <c r="BK46" s="18"/>
      <c r="BL46" s="18"/>
      <c r="BM46" s="19">
        <v>7.9787534821382705E-2</v>
      </c>
      <c r="BN46" s="19">
        <v>8.6381065143963695E-2</v>
      </c>
      <c r="BO46" s="19">
        <v>9.3152212683142402E-2</v>
      </c>
      <c r="BP46" s="19">
        <v>9.7524580634090599E-2</v>
      </c>
      <c r="BQ46" s="19">
        <v>9.9354903499760894E-2</v>
      </c>
      <c r="BR46" s="19">
        <v>0.100380915981234</v>
      </c>
      <c r="BS46" s="19">
        <v>0.100884947959837</v>
      </c>
      <c r="BT46" s="19">
        <v>0.101105666099331</v>
      </c>
      <c r="BU46" s="19">
        <v>0.101164331351588</v>
      </c>
    </row>
    <row r="47" spans="3:73" x14ac:dyDescent="0.45">
      <c r="C47" s="15" t="s">
        <v>249</v>
      </c>
      <c r="D47" s="15" t="s">
        <v>250</v>
      </c>
      <c r="E47" s="15" t="s">
        <v>291</v>
      </c>
      <c r="F47" s="15" t="s">
        <v>252</v>
      </c>
      <c r="G47" s="15"/>
      <c r="H47" s="15"/>
      <c r="I47" s="15"/>
      <c r="J47" s="18"/>
      <c r="K47" s="18"/>
      <c r="L47" s="19">
        <v>0.11</v>
      </c>
      <c r="M47" s="18"/>
      <c r="N47" s="18"/>
      <c r="O47" s="18"/>
      <c r="P47" s="18"/>
      <c r="Q47" s="18"/>
      <c r="R47" s="19">
        <v>0.111111</v>
      </c>
      <c r="S47" s="18"/>
      <c r="T47" s="18"/>
      <c r="U47" s="18"/>
      <c r="V47" s="18"/>
      <c r="X47" s="15" t="s">
        <v>249</v>
      </c>
      <c r="Y47" s="15" t="s">
        <v>363</v>
      </c>
      <c r="Z47" s="15" t="s">
        <v>359</v>
      </c>
      <c r="AA47" s="15" t="s">
        <v>366</v>
      </c>
      <c r="AB47" s="15" t="s">
        <v>338</v>
      </c>
      <c r="AC47" s="15" t="s">
        <v>13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249</v>
      </c>
      <c r="AS47" s="15" t="s">
        <v>369</v>
      </c>
      <c r="AT47" s="15"/>
      <c r="AU47" s="15"/>
      <c r="AV47" s="15" t="s">
        <v>407</v>
      </c>
      <c r="AW47" s="15"/>
      <c r="AX47" s="15"/>
      <c r="AY47" s="15"/>
      <c r="AZ47" s="18"/>
      <c r="BA47" s="18"/>
      <c r="BB47" s="19">
        <v>7.9407232926067106E-2</v>
      </c>
      <c r="BC47" s="19">
        <v>8.2762338336563102E-2</v>
      </c>
      <c r="BD47" s="19">
        <v>8.59266010577487E-2</v>
      </c>
      <c r="BE47" s="19">
        <v>9.0218036946525096E-2</v>
      </c>
      <c r="BF47" s="19">
        <v>9.3812007396908106E-2</v>
      </c>
      <c r="BG47" s="19">
        <v>9.6646207203149107E-2</v>
      </c>
      <c r="BH47" s="19">
        <v>9.8970378726562905E-2</v>
      </c>
      <c r="BI47" s="19">
        <v>0.10101222696694601</v>
      </c>
      <c r="BJ47" s="19">
        <v>0.102893369110317</v>
      </c>
      <c r="BK47" s="18"/>
      <c r="BL47" s="18"/>
      <c r="BM47" s="19">
        <v>8.0021032363472494E-2</v>
      </c>
      <c r="BN47" s="19">
        <v>8.6633858596466898E-2</v>
      </c>
      <c r="BO47" s="19">
        <v>9.3424821841332703E-2</v>
      </c>
      <c r="BP47" s="19">
        <v>9.7809985489903897E-2</v>
      </c>
      <c r="BQ47" s="19">
        <v>9.9645664779874396E-2</v>
      </c>
      <c r="BR47" s="19">
        <v>0.100674679878149</v>
      </c>
      <c r="BS47" s="19">
        <v>0.10118018690205</v>
      </c>
      <c r="BT47" s="19">
        <v>0.101401550971303</v>
      </c>
      <c r="BU47" s="19">
        <v>0.101460387906921</v>
      </c>
    </row>
    <row r="48" spans="3:73" x14ac:dyDescent="0.45">
      <c r="C48" s="15" t="s">
        <v>249</v>
      </c>
      <c r="D48" s="15" t="s">
        <v>250</v>
      </c>
      <c r="E48" s="15" t="s">
        <v>292</v>
      </c>
      <c r="F48" s="15" t="s">
        <v>252</v>
      </c>
      <c r="G48" s="15"/>
      <c r="H48" s="15"/>
      <c r="I48" s="15"/>
      <c r="J48" s="18"/>
      <c r="K48" s="18"/>
      <c r="L48" s="19">
        <v>0.39</v>
      </c>
      <c r="M48" s="18"/>
      <c r="N48" s="18"/>
      <c r="O48" s="18"/>
      <c r="P48" s="18"/>
      <c r="Q48" s="18"/>
      <c r="R48" s="19">
        <v>0.38647300000000001</v>
      </c>
      <c r="S48" s="18"/>
      <c r="T48" s="18"/>
      <c r="U48" s="18"/>
      <c r="V48" s="18"/>
      <c r="X48" s="15" t="s">
        <v>249</v>
      </c>
      <c r="Y48" s="15" t="s">
        <v>363</v>
      </c>
      <c r="Z48" s="15" t="s">
        <v>360</v>
      </c>
      <c r="AA48" s="15" t="s">
        <v>367</v>
      </c>
      <c r="AB48" s="15" t="s">
        <v>338</v>
      </c>
      <c r="AC48" s="15" t="s">
        <v>13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249</v>
      </c>
      <c r="AS48" s="15" t="s">
        <v>369</v>
      </c>
      <c r="AT48" s="15"/>
      <c r="AU48" s="15"/>
      <c r="AV48" s="15" t="s">
        <v>408</v>
      </c>
      <c r="AW48" s="15"/>
      <c r="AX48" s="15"/>
      <c r="AY48" s="15"/>
      <c r="AZ48" s="18"/>
      <c r="BA48" s="18"/>
      <c r="BB48" s="19">
        <v>8.4904373927395804E-3</v>
      </c>
      <c r="BC48" s="19">
        <v>8.8491743916774591E-3</v>
      </c>
      <c r="BD48" s="19">
        <v>9.1875059710364807E-3</v>
      </c>
      <c r="BE48" s="19">
        <v>9.6463579722456897E-3</v>
      </c>
      <c r="BF48" s="19">
        <v>1.00306350711435E-2</v>
      </c>
      <c r="BG48" s="19">
        <v>1.03336754256136E-2</v>
      </c>
      <c r="BH48" s="19">
        <v>1.05821821684176E-2</v>
      </c>
      <c r="BI48" s="19">
        <v>1.0800502137664999E-2</v>
      </c>
      <c r="BJ48" s="19">
        <v>1.10016389737768E-2</v>
      </c>
      <c r="BK48" s="18"/>
      <c r="BL48" s="18"/>
      <c r="BM48" s="19">
        <v>8.5560664985899499E-3</v>
      </c>
      <c r="BN48" s="19">
        <v>9.2631278713565801E-3</v>
      </c>
      <c r="BO48" s="19">
        <v>9.9892361381011593E-3</v>
      </c>
      <c r="BP48" s="19">
        <v>1.04581097663987E-2</v>
      </c>
      <c r="BQ48" s="19">
        <v>1.06543855905311E-2</v>
      </c>
      <c r="BR48" s="19">
        <v>1.07644106845451E-2</v>
      </c>
      <c r="BS48" s="19">
        <v>1.08184608709056E-2</v>
      </c>
      <c r="BT48" s="19">
        <v>1.08421297194694E-2</v>
      </c>
      <c r="BU48" s="19">
        <v>1.0848420724707101E-2</v>
      </c>
    </row>
    <row r="49" spans="3:73" x14ac:dyDescent="0.45">
      <c r="C49" s="15" t="s">
        <v>249</v>
      </c>
      <c r="D49" s="15" t="s">
        <v>250</v>
      </c>
      <c r="E49" s="15" t="s">
        <v>293</v>
      </c>
      <c r="F49" s="15" t="s">
        <v>252</v>
      </c>
      <c r="G49" s="15"/>
      <c r="H49" s="15"/>
      <c r="I49" s="15"/>
      <c r="J49" s="18"/>
      <c r="K49" s="18"/>
      <c r="L49" s="19">
        <v>0.24</v>
      </c>
      <c r="M49" s="18"/>
      <c r="N49" s="18"/>
      <c r="O49" s="18"/>
      <c r="P49" s="18"/>
      <c r="Q49" s="18"/>
      <c r="R49" s="19">
        <v>0.24154600000000001</v>
      </c>
      <c r="S49" s="18"/>
      <c r="T49" s="18"/>
      <c r="U49" s="18"/>
      <c r="V49" s="18"/>
      <c r="X49" s="15" t="s">
        <v>249</v>
      </c>
      <c r="Y49" s="15" t="s">
        <v>363</v>
      </c>
      <c r="Z49" s="15" t="s">
        <v>360</v>
      </c>
      <c r="AA49" s="15" t="s">
        <v>367</v>
      </c>
      <c r="AB49" s="15" t="s">
        <v>340</v>
      </c>
      <c r="AC49" s="15" t="s">
        <v>13</v>
      </c>
      <c r="AD49" s="15"/>
      <c r="AE49" s="18"/>
      <c r="AF49" s="18"/>
      <c r="AG49" s="19">
        <v>0</v>
      </c>
      <c r="AH49" s="18"/>
      <c r="AI49" s="18"/>
      <c r="AJ49" s="18"/>
      <c r="AK49" s="18"/>
      <c r="AL49" s="18"/>
      <c r="AM49" s="19">
        <v>0</v>
      </c>
      <c r="AN49" s="18"/>
      <c r="AO49" s="18"/>
      <c r="AP49" s="18"/>
      <c r="AR49" s="15" t="s">
        <v>249</v>
      </c>
      <c r="AS49" s="15" t="s">
        <v>369</v>
      </c>
      <c r="AT49" s="15"/>
      <c r="AU49" s="15"/>
      <c r="AV49" s="15" t="s">
        <v>409</v>
      </c>
      <c r="AW49" s="15"/>
      <c r="AX49" s="15"/>
      <c r="AY49" s="15"/>
      <c r="AZ49" s="18"/>
      <c r="BA49" s="18"/>
      <c r="BB49" s="19">
        <v>8.5942170023326506E-2</v>
      </c>
      <c r="BC49" s="19">
        <v>8.9573388855790997E-2</v>
      </c>
      <c r="BD49" s="19">
        <v>9.2998059314158499E-2</v>
      </c>
      <c r="BE49" s="19">
        <v>9.7642665343193893E-2</v>
      </c>
      <c r="BF49" s="19">
        <v>0.10153240697155699</v>
      </c>
      <c r="BG49" s="19">
        <v>0.104599851493327</v>
      </c>
      <c r="BH49" s="19">
        <v>0.107115294191281</v>
      </c>
      <c r="BI49" s="19">
        <v>0.109325179389021</v>
      </c>
      <c r="BJ49" s="19">
        <v>0.111361132940938</v>
      </c>
      <c r="BK49" s="18"/>
      <c r="BL49" s="18"/>
      <c r="BM49" s="19">
        <v>8.6606483004221302E-2</v>
      </c>
      <c r="BN49" s="19">
        <v>9.3763521670709699E-2</v>
      </c>
      <c r="BO49" s="19">
        <v>0.101113357401113</v>
      </c>
      <c r="BP49" s="19">
        <v>0.105859404656235</v>
      </c>
      <c r="BQ49" s="19">
        <v>0.107846153921177</v>
      </c>
      <c r="BR49" s="19">
        <v>0.108959853357282</v>
      </c>
      <c r="BS49" s="19">
        <v>0.109506961838402</v>
      </c>
      <c r="BT49" s="19">
        <v>0.109746543395091</v>
      </c>
      <c r="BU49" s="19">
        <v>0.109810222404398</v>
      </c>
    </row>
    <row r="50" spans="3:73" x14ac:dyDescent="0.45">
      <c r="C50" s="15" t="s">
        <v>249</v>
      </c>
      <c r="D50" s="15" t="s">
        <v>250</v>
      </c>
      <c r="E50" s="15" t="s">
        <v>294</v>
      </c>
      <c r="F50" s="15" t="s">
        <v>252</v>
      </c>
      <c r="G50" s="15"/>
      <c r="H50" s="15"/>
      <c r="I50" s="15"/>
      <c r="J50" s="18"/>
      <c r="K50" s="18"/>
      <c r="L50" s="19">
        <v>0.23</v>
      </c>
      <c r="M50" s="18"/>
      <c r="N50" s="18"/>
      <c r="O50" s="19"/>
      <c r="P50" s="18"/>
      <c r="Q50" s="18"/>
      <c r="R50" s="19">
        <v>0.23</v>
      </c>
      <c r="S50" s="18"/>
      <c r="T50" s="18"/>
      <c r="U50" s="19"/>
      <c r="V50" s="19"/>
      <c r="X50" s="15" t="s">
        <v>249</v>
      </c>
      <c r="Y50" s="15" t="s">
        <v>321</v>
      </c>
      <c r="Z50" s="15" t="s">
        <v>330</v>
      </c>
      <c r="AA50" s="15"/>
      <c r="AB50" s="15"/>
      <c r="AC50" s="15" t="s">
        <v>320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249</v>
      </c>
      <c r="AS50" s="15" t="s">
        <v>369</v>
      </c>
      <c r="AT50" s="15"/>
      <c r="AU50" s="15"/>
      <c r="AV50" s="15" t="s">
        <v>410</v>
      </c>
      <c r="AW50" s="15"/>
      <c r="AX50" s="15"/>
      <c r="AY50" s="15"/>
      <c r="AZ50" s="18"/>
      <c r="BA50" s="18"/>
      <c r="BB50" s="19">
        <v>3.0789820842203001E-3</v>
      </c>
      <c r="BC50" s="19">
        <v>3.2090748864617002E-3</v>
      </c>
      <c r="BD50" s="19">
        <v>3.3317678436305702E-3</v>
      </c>
      <c r="BE50" s="19">
        <v>3.4981664666555701E-3</v>
      </c>
      <c r="BF50" s="19">
        <v>3.6375211604307502E-3</v>
      </c>
      <c r="BG50" s="19">
        <v>3.7474160667882298E-3</v>
      </c>
      <c r="BH50" s="19">
        <v>3.8375348408287301E-3</v>
      </c>
      <c r="BI50" s="19">
        <v>3.9167066482217504E-3</v>
      </c>
      <c r="BJ50" s="19">
        <v>3.9896471442431398E-3</v>
      </c>
      <c r="BK50" s="18"/>
      <c r="BL50" s="18"/>
      <c r="BM50" s="19">
        <v>3.1027818994441301E-3</v>
      </c>
      <c r="BN50" s="19">
        <v>3.3591914574551602E-3</v>
      </c>
      <c r="BO50" s="19">
        <v>3.62250820323584E-3</v>
      </c>
      <c r="BP50" s="19">
        <v>3.7925410807559002E-3</v>
      </c>
      <c r="BQ50" s="19">
        <v>3.8637187737433302E-3</v>
      </c>
      <c r="BR50" s="19">
        <v>3.9036184017146101E-3</v>
      </c>
      <c r="BS50" s="19">
        <v>3.9232192241168903E-3</v>
      </c>
      <c r="BT50" s="19">
        <v>3.9318025228694603E-3</v>
      </c>
      <c r="BU50" s="19">
        <v>3.9340839003206597E-3</v>
      </c>
    </row>
    <row r="51" spans="3:73" x14ac:dyDescent="0.45">
      <c r="C51" s="15" t="s">
        <v>249</v>
      </c>
      <c r="D51" s="15" t="s">
        <v>250</v>
      </c>
      <c r="E51" s="15" t="s">
        <v>295</v>
      </c>
      <c r="F51" s="15" t="s">
        <v>252</v>
      </c>
      <c r="G51" s="15"/>
      <c r="H51" s="15"/>
      <c r="I51" s="15"/>
      <c r="J51" s="18"/>
      <c r="K51" s="18"/>
      <c r="L51" s="19">
        <v>0.8</v>
      </c>
      <c r="M51" s="18"/>
      <c r="N51" s="18"/>
      <c r="O51" s="19"/>
      <c r="P51" s="18"/>
      <c r="Q51" s="18"/>
      <c r="R51" s="19">
        <v>0.8</v>
      </c>
      <c r="S51" s="18"/>
      <c r="T51" s="18"/>
      <c r="U51" s="19"/>
      <c r="V51" s="19"/>
      <c r="X51" s="15" t="s">
        <v>249</v>
      </c>
      <c r="Y51" s="15" t="s">
        <v>321</v>
      </c>
      <c r="Z51" s="15" t="s">
        <v>331</v>
      </c>
      <c r="AA51" s="15"/>
      <c r="AB51" s="15"/>
      <c r="AC51" s="15" t="s">
        <v>320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249</v>
      </c>
      <c r="AS51" s="15" t="s">
        <v>369</v>
      </c>
      <c r="AT51" s="15"/>
      <c r="AU51" s="15"/>
      <c r="AV51" s="15" t="s">
        <v>411</v>
      </c>
      <c r="AW51" s="15"/>
      <c r="AX51" s="15"/>
      <c r="AY51" s="15"/>
      <c r="AZ51" s="18"/>
      <c r="BA51" s="18"/>
      <c r="BB51" s="19">
        <v>0.38213081594350201</v>
      </c>
      <c r="BC51" s="19">
        <v>0.39827656389171401</v>
      </c>
      <c r="BD51" s="19">
        <v>0.41350392103476002</v>
      </c>
      <c r="BE51" s="19">
        <v>0.434155564938209</v>
      </c>
      <c r="BF51" s="19">
        <v>0.45145080127971998</v>
      </c>
      <c r="BG51" s="19">
        <v>0.46508979919712801</v>
      </c>
      <c r="BH51" s="19">
        <v>0.476274391933934</v>
      </c>
      <c r="BI51" s="19">
        <v>0.48610036250838701</v>
      </c>
      <c r="BJ51" s="19">
        <v>0.49515296836888301</v>
      </c>
      <c r="BK51" s="18"/>
      <c r="BL51" s="18"/>
      <c r="BM51" s="19">
        <v>0.38508459825272501</v>
      </c>
      <c r="BN51" s="19">
        <v>0.41690745104573801</v>
      </c>
      <c r="BO51" s="19">
        <v>0.44958755121015398</v>
      </c>
      <c r="BP51" s="19">
        <v>0.470690240490795</v>
      </c>
      <c r="BQ51" s="19">
        <v>0.47952406581172102</v>
      </c>
      <c r="BR51" s="19">
        <v>0.484475987250513</v>
      </c>
      <c r="BS51" s="19">
        <v>0.48690863481157998</v>
      </c>
      <c r="BT51" s="19">
        <v>0.48797390341857</v>
      </c>
      <c r="BU51" s="19">
        <v>0.488257043951076</v>
      </c>
    </row>
    <row r="52" spans="3:73" x14ac:dyDescent="0.45">
      <c r="C52" s="15" t="s">
        <v>249</v>
      </c>
      <c r="D52" s="15" t="s">
        <v>250</v>
      </c>
      <c r="E52" s="15" t="s">
        <v>296</v>
      </c>
      <c r="F52" s="15" t="s">
        <v>252</v>
      </c>
      <c r="G52" s="15"/>
      <c r="H52" s="15"/>
      <c r="I52" s="15"/>
      <c r="J52" s="18"/>
      <c r="K52" s="18"/>
      <c r="L52" s="19">
        <v>0.5</v>
      </c>
      <c r="M52" s="18"/>
      <c r="N52" s="18"/>
      <c r="O52" s="19"/>
      <c r="P52" s="18"/>
      <c r="Q52" s="18"/>
      <c r="R52" s="19">
        <v>0.5</v>
      </c>
      <c r="S52" s="18"/>
      <c r="T52" s="18"/>
      <c r="U52" s="19"/>
      <c r="V52" s="19"/>
      <c r="X52" s="15" t="s">
        <v>249</v>
      </c>
      <c r="Y52" s="15" t="s">
        <v>321</v>
      </c>
      <c r="Z52" s="15" t="s">
        <v>332</v>
      </c>
      <c r="AA52" s="15"/>
      <c r="AB52" s="15"/>
      <c r="AC52" s="15" t="s">
        <v>320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249</v>
      </c>
      <c r="AS52" s="15" t="s">
        <v>369</v>
      </c>
      <c r="AT52" s="15"/>
      <c r="AU52" s="15"/>
      <c r="AV52" s="15" t="s">
        <v>412</v>
      </c>
      <c r="AW52" s="15"/>
      <c r="AX52" s="15"/>
      <c r="AY52" s="15"/>
      <c r="AZ52" s="18"/>
      <c r="BA52" s="18"/>
      <c r="BB52" s="19">
        <v>1.88870834708179</v>
      </c>
      <c r="BC52" s="19">
        <v>1.9685098382135</v>
      </c>
      <c r="BD52" s="19">
        <v>2.0437721184068902</v>
      </c>
      <c r="BE52" s="19">
        <v>2.1458443161831902</v>
      </c>
      <c r="BF52" s="19">
        <v>2.2313272342836599</v>
      </c>
      <c r="BG52" s="19">
        <v>2.2987389376523999</v>
      </c>
      <c r="BH52" s="19">
        <v>2.3540195713499501</v>
      </c>
      <c r="BI52" s="19">
        <v>2.4025851197638501</v>
      </c>
      <c r="BJ52" s="19">
        <v>2.44732825886229</v>
      </c>
      <c r="BK52" s="18"/>
      <c r="BL52" s="18"/>
      <c r="BM52" s="19">
        <v>1.9033076232200401</v>
      </c>
      <c r="BN52" s="19">
        <v>2.0605943040906198</v>
      </c>
      <c r="BO52" s="19">
        <v>2.2221179901916801</v>
      </c>
      <c r="BP52" s="19">
        <v>2.3264195113652901</v>
      </c>
      <c r="BQ52" s="19">
        <v>2.3700813123093001</v>
      </c>
      <c r="BR52" s="19">
        <v>2.3945565311749801</v>
      </c>
      <c r="BS52" s="19">
        <v>2.4065800622863098</v>
      </c>
      <c r="BT52" s="19">
        <v>2.4118452270570199</v>
      </c>
      <c r="BU52" s="19">
        <v>2.4132446689884999</v>
      </c>
    </row>
    <row r="53" spans="3:73" x14ac:dyDescent="0.45">
      <c r="C53" s="15" t="s">
        <v>249</v>
      </c>
      <c r="D53" s="15" t="s">
        <v>250</v>
      </c>
      <c r="E53" s="15" t="s">
        <v>297</v>
      </c>
      <c r="F53" s="15" t="s">
        <v>252</v>
      </c>
      <c r="G53" s="15"/>
      <c r="H53" s="15"/>
      <c r="I53" s="15"/>
      <c r="J53" s="18"/>
      <c r="K53" s="18"/>
      <c r="L53" s="19">
        <v>0.9</v>
      </c>
      <c r="M53" s="18"/>
      <c r="N53" s="18"/>
      <c r="O53" s="19"/>
      <c r="P53" s="18"/>
      <c r="Q53" s="18"/>
      <c r="R53" s="19">
        <v>0.9</v>
      </c>
      <c r="S53" s="18"/>
      <c r="T53" s="18"/>
      <c r="U53" s="19"/>
      <c r="V53" s="19"/>
      <c r="X53" s="15" t="s">
        <v>249</v>
      </c>
      <c r="Y53" s="15" t="s">
        <v>321</v>
      </c>
      <c r="Z53" s="15" t="s">
        <v>333</v>
      </c>
      <c r="AA53" s="15"/>
      <c r="AB53" s="15"/>
      <c r="AC53" s="15" t="s">
        <v>320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249</v>
      </c>
      <c r="AS53" s="15" t="s">
        <v>369</v>
      </c>
      <c r="AT53" s="15"/>
      <c r="AU53" s="15"/>
      <c r="AV53" s="15" t="s">
        <v>413</v>
      </c>
      <c r="AW53" s="15"/>
      <c r="AX53" s="15"/>
      <c r="AY53" s="15"/>
      <c r="AZ53" s="18"/>
      <c r="BA53" s="18"/>
      <c r="BB53" s="19">
        <v>0.139331914202767</v>
      </c>
      <c r="BC53" s="19">
        <v>0.14521895045841501</v>
      </c>
      <c r="BD53" s="19">
        <v>0.15077112455814401</v>
      </c>
      <c r="BE53" s="19">
        <v>0.15830109324019501</v>
      </c>
      <c r="BF53" s="19">
        <v>0.164607254077034</v>
      </c>
      <c r="BG53" s="19">
        <v>0.16958028322923099</v>
      </c>
      <c r="BH53" s="19">
        <v>0.17365839117179499</v>
      </c>
      <c r="BI53" s="19">
        <v>0.177241120519749</v>
      </c>
      <c r="BJ53" s="19">
        <v>0.18054186688837701</v>
      </c>
      <c r="BK53" s="18"/>
      <c r="BL53" s="18"/>
      <c r="BM53" s="19">
        <v>0.140408917485703</v>
      </c>
      <c r="BN53" s="19">
        <v>0.15201211411378901</v>
      </c>
      <c r="BO53" s="19">
        <v>0.163927878878804</v>
      </c>
      <c r="BP53" s="19">
        <v>0.171622306989864</v>
      </c>
      <c r="BQ53" s="19">
        <v>0.174843281955358</v>
      </c>
      <c r="BR53" s="19">
        <v>0.17664884346534801</v>
      </c>
      <c r="BS53" s="19">
        <v>0.17753583144727</v>
      </c>
      <c r="BT53" s="19">
        <v>0.17792424794748199</v>
      </c>
      <c r="BU53" s="19">
        <v>0.17802748618615999</v>
      </c>
    </row>
    <row r="54" spans="3:73" x14ac:dyDescent="0.45">
      <c r="C54" s="15" t="s">
        <v>249</v>
      </c>
      <c r="D54" s="15" t="s">
        <v>250</v>
      </c>
      <c r="E54" s="15" t="s">
        <v>298</v>
      </c>
      <c r="F54" s="15" t="s">
        <v>252</v>
      </c>
      <c r="G54" s="15"/>
      <c r="H54" s="15"/>
      <c r="I54" s="15"/>
      <c r="J54" s="18"/>
      <c r="K54" s="18"/>
      <c r="L54" s="19">
        <v>0.45</v>
      </c>
      <c r="M54" s="18"/>
      <c r="N54" s="18"/>
      <c r="O54" s="19"/>
      <c r="P54" s="18"/>
      <c r="Q54" s="18"/>
      <c r="R54" s="19">
        <v>0.45</v>
      </c>
      <c r="S54" s="18"/>
      <c r="T54" s="18"/>
      <c r="U54" s="19"/>
      <c r="V54" s="19"/>
      <c r="X54" s="15" t="s">
        <v>249</v>
      </c>
      <c r="Y54" s="15" t="s">
        <v>321</v>
      </c>
      <c r="Z54" s="15" t="s">
        <v>334</v>
      </c>
      <c r="AA54" s="15"/>
      <c r="AB54" s="15"/>
      <c r="AC54" s="15" t="s">
        <v>320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249</v>
      </c>
      <c r="AS54" s="15" t="s">
        <v>369</v>
      </c>
      <c r="AT54" s="15"/>
      <c r="AU54" s="15"/>
      <c r="AV54" s="15" t="s">
        <v>414</v>
      </c>
      <c r="AW54" s="15"/>
      <c r="AX54" s="15"/>
      <c r="AY54" s="15"/>
      <c r="AZ54" s="18"/>
      <c r="BA54" s="18"/>
      <c r="BB54" s="19">
        <v>5.4407137858462802E-2</v>
      </c>
      <c r="BC54" s="19">
        <v>5.67059420841243E-2</v>
      </c>
      <c r="BD54" s="19">
        <v>5.8873987383627799E-2</v>
      </c>
      <c r="BE54" s="19">
        <v>6.1814333437856903E-2</v>
      </c>
      <c r="BF54" s="19">
        <v>6.4276799872561699E-2</v>
      </c>
      <c r="BG54" s="19">
        <v>6.6218697277803801E-2</v>
      </c>
      <c r="BH54" s="19">
        <v>6.7811140633673203E-2</v>
      </c>
      <c r="BI54" s="19">
        <v>6.92101456689449E-2</v>
      </c>
      <c r="BJ54" s="19">
        <v>7.04990403471044E-2</v>
      </c>
      <c r="BK54" s="18"/>
      <c r="BL54" s="18"/>
      <c r="BM54" s="19">
        <v>5.4827692376959301E-2</v>
      </c>
      <c r="BN54" s="19">
        <v>5.9358576217573303E-2</v>
      </c>
      <c r="BO54" s="19">
        <v>6.4011513485884505E-2</v>
      </c>
      <c r="BP54" s="19">
        <v>6.7016078616391805E-2</v>
      </c>
      <c r="BQ54" s="19">
        <v>6.82738236921627E-2</v>
      </c>
      <c r="BR54" s="19">
        <v>6.8978869873061302E-2</v>
      </c>
      <c r="BS54" s="19">
        <v>6.9325226109443902E-2</v>
      </c>
      <c r="BT54" s="19">
        <v>6.9476897248066202E-2</v>
      </c>
      <c r="BU54" s="19">
        <v>6.9517210317158296E-2</v>
      </c>
    </row>
    <row r="55" spans="3:73" x14ac:dyDescent="0.45">
      <c r="C55" s="15" t="s">
        <v>249</v>
      </c>
      <c r="D55" s="15" t="s">
        <v>250</v>
      </c>
      <c r="E55" s="15" t="s">
        <v>299</v>
      </c>
      <c r="F55" s="15" t="s">
        <v>252</v>
      </c>
      <c r="G55" s="15"/>
      <c r="H55" s="15"/>
      <c r="I55" s="15"/>
      <c r="J55" s="18"/>
      <c r="K55" s="18"/>
      <c r="L55" s="19">
        <v>0.99</v>
      </c>
      <c r="M55" s="18"/>
      <c r="N55" s="18"/>
      <c r="O55" s="19"/>
      <c r="P55" s="18"/>
      <c r="Q55" s="18"/>
      <c r="R55" s="19">
        <v>0.99</v>
      </c>
      <c r="S55" s="18"/>
      <c r="T55" s="18"/>
      <c r="U55" s="19"/>
      <c r="V55" s="19"/>
      <c r="X55" s="15" t="s">
        <v>249</v>
      </c>
      <c r="Y55" s="15" t="s">
        <v>321</v>
      </c>
      <c r="Z55" s="15" t="s">
        <v>335</v>
      </c>
      <c r="AA55" s="15"/>
      <c r="AB55" s="15"/>
      <c r="AC55" s="15" t="s">
        <v>320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249</v>
      </c>
      <c r="AS55" s="15" t="s">
        <v>369</v>
      </c>
      <c r="AT55" s="15"/>
      <c r="AU55" s="15"/>
      <c r="AV55" s="15" t="s">
        <v>415</v>
      </c>
      <c r="AW55" s="15"/>
      <c r="AX55" s="15"/>
      <c r="AY55" s="15"/>
      <c r="AZ55" s="18"/>
      <c r="BA55" s="18"/>
      <c r="BB55" s="19">
        <v>9.7469952535781893E-3</v>
      </c>
      <c r="BC55" s="19">
        <v>1.01588241929118E-2</v>
      </c>
      <c r="BD55" s="19">
        <v>1.05472277751546E-2</v>
      </c>
      <c r="BE55" s="19">
        <v>1.10739884202193E-2</v>
      </c>
      <c r="BF55" s="19">
        <v>1.1515137313469301E-2</v>
      </c>
      <c r="BG55" s="19">
        <v>1.18630266812407E-2</v>
      </c>
      <c r="BH55" s="19">
        <v>1.2148311635424999E-2</v>
      </c>
      <c r="BI55" s="19">
        <v>1.2398942269111301E-2</v>
      </c>
      <c r="BJ55" s="19">
        <v>1.26298467203446E-2</v>
      </c>
      <c r="BK55" s="18"/>
      <c r="BL55" s="18"/>
      <c r="BM55" s="19">
        <v>9.8223372593701595E-3</v>
      </c>
      <c r="BN55" s="19">
        <v>1.06340414773694E-2</v>
      </c>
      <c r="BO55" s="19">
        <v>1.1467611469369501E-2</v>
      </c>
      <c r="BP55" s="19">
        <v>1.20058769106118E-2</v>
      </c>
      <c r="BQ55" s="19">
        <v>1.22312009354786E-2</v>
      </c>
      <c r="BR55" s="19">
        <v>1.2357509395163601E-2</v>
      </c>
      <c r="BS55" s="19">
        <v>1.24195588380299E-2</v>
      </c>
      <c r="BT55" s="19">
        <v>1.24467306012663E-2</v>
      </c>
      <c r="BU55" s="19">
        <v>1.2453952655367299E-2</v>
      </c>
    </row>
    <row r="56" spans="3:73" x14ac:dyDescent="0.45">
      <c r="C56" s="15" t="s">
        <v>249</v>
      </c>
      <c r="D56" s="15" t="s">
        <v>250</v>
      </c>
      <c r="E56" s="15" t="s">
        <v>300</v>
      </c>
      <c r="F56" s="15" t="s">
        <v>252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249</v>
      </c>
      <c r="Y56" s="15" t="s">
        <v>321</v>
      </c>
      <c r="Z56" s="15" t="s">
        <v>336</v>
      </c>
      <c r="AA56" s="15"/>
      <c r="AB56" s="15"/>
      <c r="AC56" s="15" t="s">
        <v>320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249</v>
      </c>
      <c r="AS56" s="15" t="s">
        <v>369</v>
      </c>
      <c r="AT56" s="15"/>
      <c r="AU56" s="15"/>
      <c r="AV56" s="15" t="s">
        <v>416</v>
      </c>
      <c r="AW56" s="15"/>
      <c r="AX56" s="15"/>
      <c r="AY56" s="15"/>
      <c r="AZ56" s="18"/>
      <c r="BA56" s="18"/>
      <c r="BB56" s="19">
        <v>4.8553337181298999E-2</v>
      </c>
      <c r="BC56" s="19">
        <v>5.06048072838561E-2</v>
      </c>
      <c r="BD56" s="19">
        <v>5.2539587141693198E-2</v>
      </c>
      <c r="BE56" s="19">
        <v>5.5163573975407602E-2</v>
      </c>
      <c r="BF56" s="19">
        <v>5.73610974586845E-2</v>
      </c>
      <c r="BG56" s="19">
        <v>5.9094061242471199E-2</v>
      </c>
      <c r="BH56" s="19">
        <v>6.0515169616169998E-2</v>
      </c>
      <c r="BI56" s="19">
        <v>6.17636521842585E-2</v>
      </c>
      <c r="BJ56" s="19">
        <v>6.2913871445243394E-2</v>
      </c>
      <c r="BK56" s="18"/>
      <c r="BL56" s="18"/>
      <c r="BM56" s="19">
        <v>4.8928643182375497E-2</v>
      </c>
      <c r="BN56" s="19">
        <v>5.2972037845313298E-2</v>
      </c>
      <c r="BO56" s="19">
        <v>5.7124353900965E-2</v>
      </c>
      <c r="BP56" s="19">
        <v>5.9805650319170199E-2</v>
      </c>
      <c r="BQ56" s="19">
        <v>6.0928071441760497E-2</v>
      </c>
      <c r="BR56" s="19">
        <v>6.1557259932406898E-2</v>
      </c>
      <c r="BS56" s="19">
        <v>6.1866350830988598E-2</v>
      </c>
      <c r="BT56" s="19">
        <v>6.2001703290685301E-2</v>
      </c>
      <c r="BU56" s="19">
        <v>6.2037678975374599E-2</v>
      </c>
    </row>
    <row r="57" spans="3:73" x14ac:dyDescent="0.45">
      <c r="C57" s="15" t="s">
        <v>249</v>
      </c>
      <c r="D57" s="15" t="s">
        <v>250</v>
      </c>
      <c r="E57" s="15" t="s">
        <v>301</v>
      </c>
      <c r="F57" s="15" t="s">
        <v>252</v>
      </c>
      <c r="G57" s="15"/>
      <c r="H57" s="15"/>
      <c r="I57" s="15"/>
      <c r="J57" s="18"/>
      <c r="K57" s="18"/>
      <c r="L57" s="19">
        <v>0.87</v>
      </c>
      <c r="M57" s="18"/>
      <c r="N57" s="18"/>
      <c r="O57" s="19"/>
      <c r="P57" s="18"/>
      <c r="Q57" s="18"/>
      <c r="R57" s="19">
        <v>0.87</v>
      </c>
      <c r="S57" s="18"/>
      <c r="T57" s="18"/>
      <c r="U57" s="19"/>
      <c r="V57" s="19"/>
      <c r="X57" s="15" t="s">
        <v>249</v>
      </c>
      <c r="Y57" s="15" t="s">
        <v>321</v>
      </c>
      <c r="Z57" s="15" t="s">
        <v>339</v>
      </c>
      <c r="AA57" s="15"/>
      <c r="AB57" s="15"/>
      <c r="AC57" s="15" t="s">
        <v>320</v>
      </c>
      <c r="AD57" s="15"/>
      <c r="AE57" s="18"/>
      <c r="AF57" s="18"/>
      <c r="AG57" s="19">
        <v>0.18299133909599399</v>
      </c>
      <c r="AH57" s="18"/>
      <c r="AI57" s="18"/>
      <c r="AJ57" s="19">
        <v>0.213778816414084</v>
      </c>
      <c r="AK57" s="18"/>
      <c r="AL57" s="18"/>
      <c r="AM57" s="19">
        <v>0.18</v>
      </c>
      <c r="AN57" s="18"/>
      <c r="AO57" s="18"/>
      <c r="AP57" s="19">
        <v>0.21</v>
      </c>
      <c r="AR57" s="15" t="s">
        <v>249</v>
      </c>
      <c r="AS57" s="15" t="s">
        <v>369</v>
      </c>
      <c r="AT57" s="15"/>
      <c r="AU57" s="15"/>
      <c r="AV57" s="15" t="s">
        <v>417</v>
      </c>
      <c r="AW57" s="15"/>
      <c r="AX57" s="15"/>
      <c r="AY57" s="15"/>
      <c r="AZ57" s="18"/>
      <c r="BA57" s="18"/>
      <c r="BB57" s="19">
        <v>0.17269558176695199</v>
      </c>
      <c r="BC57" s="19">
        <v>0.17999229592515101</v>
      </c>
      <c r="BD57" s="19">
        <v>0.18687396364435499</v>
      </c>
      <c r="BE57" s="19">
        <v>0.196207017953373</v>
      </c>
      <c r="BF57" s="19">
        <v>0.204023218001044</v>
      </c>
      <c r="BG57" s="19">
        <v>0.210187061851871</v>
      </c>
      <c r="BH57" s="19">
        <v>0.21524169149418401</v>
      </c>
      <c r="BI57" s="19">
        <v>0.219682321859443</v>
      </c>
      <c r="BJ57" s="19">
        <v>0.223773447124296</v>
      </c>
      <c r="BK57" s="18"/>
      <c r="BL57" s="18"/>
      <c r="BM57" s="19">
        <v>0.17403047843851399</v>
      </c>
      <c r="BN57" s="19">
        <v>0.188412113855706</v>
      </c>
      <c r="BO57" s="19">
        <v>0.20318116328753799</v>
      </c>
      <c r="BP57" s="19">
        <v>0.212718057592096</v>
      </c>
      <c r="BQ57" s="19">
        <v>0.216710309824511</v>
      </c>
      <c r="BR57" s="19">
        <v>0.21894822134082001</v>
      </c>
      <c r="BS57" s="19">
        <v>0.220047602673767</v>
      </c>
      <c r="BT57" s="19">
        <v>0.220529027291062</v>
      </c>
      <c r="BU57" s="19">
        <v>0.22065698640072501</v>
      </c>
    </row>
    <row r="58" spans="3:73" x14ac:dyDescent="0.45">
      <c r="C58" s="15" t="s">
        <v>249</v>
      </c>
      <c r="D58" s="15" t="s">
        <v>250</v>
      </c>
      <c r="E58" s="15" t="s">
        <v>302</v>
      </c>
      <c r="F58" s="15" t="s">
        <v>252</v>
      </c>
      <c r="G58" s="15"/>
      <c r="H58" s="15"/>
      <c r="I58" s="15"/>
      <c r="J58" s="18"/>
      <c r="K58" s="18"/>
      <c r="L58" s="19">
        <v>0.85</v>
      </c>
      <c r="M58" s="18"/>
      <c r="N58" s="18"/>
      <c r="O58" s="19"/>
      <c r="P58" s="18"/>
      <c r="Q58" s="18"/>
      <c r="R58" s="19">
        <v>0.85</v>
      </c>
      <c r="S58" s="18"/>
      <c r="T58" s="18"/>
      <c r="U58" s="19"/>
      <c r="V58" s="19"/>
      <c r="X58" s="15" t="s">
        <v>249</v>
      </c>
      <c r="Y58" s="15" t="s">
        <v>321</v>
      </c>
      <c r="Z58" s="15" t="s">
        <v>341</v>
      </c>
      <c r="AA58" s="15"/>
      <c r="AB58" s="15"/>
      <c r="AC58" s="15" t="s">
        <v>320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249</v>
      </c>
      <c r="AS58" s="15" t="s">
        <v>369</v>
      </c>
      <c r="AT58" s="15"/>
      <c r="AU58" s="15"/>
      <c r="AV58" s="15" t="s">
        <v>418</v>
      </c>
      <c r="AW58" s="15"/>
      <c r="AX58" s="15"/>
      <c r="AY58" s="15"/>
      <c r="AZ58" s="18"/>
      <c r="BA58" s="18"/>
      <c r="BB58" s="19">
        <v>0.23237358900990701</v>
      </c>
      <c r="BC58" s="19">
        <v>0.242191811569927</v>
      </c>
      <c r="BD58" s="19">
        <v>0.25145156106625799</v>
      </c>
      <c r="BE58" s="19">
        <v>0.26400981706806798</v>
      </c>
      <c r="BF58" s="19">
        <v>0.27452704303825898</v>
      </c>
      <c r="BG58" s="19">
        <v>0.28282091195522002</v>
      </c>
      <c r="BH58" s="19">
        <v>0.28962225811059</v>
      </c>
      <c r="BI58" s="19">
        <v>0.29559742669848299</v>
      </c>
      <c r="BJ58" s="19">
        <v>0.30110231252796399</v>
      </c>
      <c r="BK58" s="18"/>
      <c r="BL58" s="18"/>
      <c r="BM58" s="19">
        <v>0.234169782794105</v>
      </c>
      <c r="BN58" s="19">
        <v>0.25352124623938699</v>
      </c>
      <c r="BO58" s="19">
        <v>0.273394001451914</v>
      </c>
      <c r="BP58" s="19">
        <v>0.28622653795854403</v>
      </c>
      <c r="BQ58" s="19">
        <v>0.291598383433613</v>
      </c>
      <c r="BR58" s="19">
        <v>0.29460964478500601</v>
      </c>
      <c r="BS58" s="19">
        <v>0.29608893674727699</v>
      </c>
      <c r="BT58" s="19">
        <v>0.29673672614069402</v>
      </c>
      <c r="BU58" s="19">
        <v>0.29690890377983598</v>
      </c>
    </row>
    <row r="59" spans="3:73" x14ac:dyDescent="0.45">
      <c r="C59" s="15" t="s">
        <v>249</v>
      </c>
      <c r="D59" s="15" t="s">
        <v>250</v>
      </c>
      <c r="E59" s="15" t="s">
        <v>303</v>
      </c>
      <c r="F59" s="15" t="s">
        <v>252</v>
      </c>
      <c r="G59" s="15"/>
      <c r="H59" s="15"/>
      <c r="I59" s="15"/>
      <c r="J59" s="18"/>
      <c r="K59" s="18"/>
      <c r="L59" s="19">
        <v>3.5</v>
      </c>
      <c r="M59" s="18"/>
      <c r="N59" s="18"/>
      <c r="O59" s="19"/>
      <c r="P59" s="18"/>
      <c r="Q59" s="18"/>
      <c r="R59" s="19">
        <v>3.5</v>
      </c>
      <c r="S59" s="18"/>
      <c r="T59" s="18"/>
      <c r="U59" s="19"/>
      <c r="V59" s="19"/>
      <c r="X59" s="15" t="s">
        <v>249</v>
      </c>
      <c r="Y59" s="15" t="s">
        <v>321</v>
      </c>
      <c r="Z59" s="15" t="s">
        <v>342</v>
      </c>
      <c r="AA59" s="15"/>
      <c r="AB59" s="15"/>
      <c r="AC59" s="15" t="s">
        <v>320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249</v>
      </c>
      <c r="AS59" s="15" t="s">
        <v>369</v>
      </c>
      <c r="AT59" s="15"/>
      <c r="AU59" s="15"/>
      <c r="AV59" s="15" t="s">
        <v>419</v>
      </c>
      <c r="AW59" s="15"/>
      <c r="AX59" s="15"/>
      <c r="AY59" s="15"/>
      <c r="AZ59" s="18"/>
      <c r="BA59" s="18"/>
      <c r="BB59" s="19">
        <v>9.5871001926646604E-2</v>
      </c>
      <c r="BC59" s="19">
        <v>9.9921732639971506E-2</v>
      </c>
      <c r="BD59" s="19">
        <v>0.103742052606563</v>
      </c>
      <c r="BE59" s="19">
        <v>0.108923246349254</v>
      </c>
      <c r="BF59" s="19">
        <v>0.11326236679554599</v>
      </c>
      <c r="BG59" s="19">
        <v>0.11668419079157399</v>
      </c>
      <c r="BH59" s="19">
        <v>0.119490240623414</v>
      </c>
      <c r="BI59" s="19">
        <v>0.121955432135249</v>
      </c>
      <c r="BJ59" s="19">
        <v>0.124226597813814</v>
      </c>
      <c r="BK59" s="18"/>
      <c r="BL59" s="18"/>
      <c r="BM59" s="19">
        <v>9.6612062468333801E-2</v>
      </c>
      <c r="BN59" s="19">
        <v>0.10459594823242099</v>
      </c>
      <c r="BO59" s="19">
        <v>0.11279490475491399</v>
      </c>
      <c r="BP59" s="19">
        <v>0.11808925914946</v>
      </c>
      <c r="BQ59" s="19">
        <v>0.120305536008135</v>
      </c>
      <c r="BR59" s="19">
        <v>0.121547900271867</v>
      </c>
      <c r="BS59" s="19">
        <v>0.12215821576929201</v>
      </c>
      <c r="BT59" s="19">
        <v>0.12242547599645</v>
      </c>
      <c r="BU59" s="19">
        <v>0.122496511792059</v>
      </c>
    </row>
    <row r="60" spans="3:73" x14ac:dyDescent="0.45">
      <c r="C60" s="15" t="s">
        <v>249</v>
      </c>
      <c r="D60" s="15" t="s">
        <v>250</v>
      </c>
      <c r="E60" s="15" t="s">
        <v>304</v>
      </c>
      <c r="F60" s="15" t="s">
        <v>252</v>
      </c>
      <c r="G60" s="15"/>
      <c r="H60" s="15"/>
      <c r="I60" s="15"/>
      <c r="J60" s="18"/>
      <c r="K60" s="18"/>
      <c r="L60" s="19">
        <v>0.7</v>
      </c>
      <c r="M60" s="18"/>
      <c r="N60" s="18"/>
      <c r="O60" s="19"/>
      <c r="P60" s="18"/>
      <c r="Q60" s="18"/>
      <c r="R60" s="19">
        <v>0.7</v>
      </c>
      <c r="S60" s="18"/>
      <c r="T60" s="18"/>
      <c r="U60" s="19"/>
      <c r="V60" s="19"/>
      <c r="X60" s="15" t="s">
        <v>249</v>
      </c>
      <c r="Y60" s="15" t="s">
        <v>321</v>
      </c>
      <c r="Z60" s="15" t="s">
        <v>343</v>
      </c>
      <c r="AA60" s="15"/>
      <c r="AB60" s="15"/>
      <c r="AC60" s="15" t="s">
        <v>320</v>
      </c>
      <c r="AD60" s="15"/>
      <c r="AE60" s="18"/>
      <c r="AF60" s="18"/>
      <c r="AG60" s="19">
        <v>0.2</v>
      </c>
      <c r="AH60" s="18"/>
      <c r="AI60" s="18"/>
      <c r="AJ60" s="19">
        <v>0.22</v>
      </c>
      <c r="AK60" s="18"/>
      <c r="AL60" s="18"/>
      <c r="AM60" s="19">
        <v>0.2</v>
      </c>
      <c r="AN60" s="18"/>
      <c r="AO60" s="18"/>
      <c r="AP60" s="19">
        <v>0.22</v>
      </c>
      <c r="AR60" s="15" t="s">
        <v>249</v>
      </c>
      <c r="AS60" s="15" t="s">
        <v>369</v>
      </c>
      <c r="AT60" s="15"/>
      <c r="AU60" s="15"/>
      <c r="AV60" s="15" t="s">
        <v>420</v>
      </c>
      <c r="AW60" s="15"/>
      <c r="AX60" s="15"/>
      <c r="AY60" s="15"/>
      <c r="AZ60" s="18"/>
      <c r="BA60" s="18"/>
      <c r="BB60" s="19">
        <v>0.59074622255037701</v>
      </c>
      <c r="BC60" s="19">
        <v>0.61570636502699705</v>
      </c>
      <c r="BD60" s="19">
        <v>0.63924674265780801</v>
      </c>
      <c r="BE60" s="19">
        <v>0.67117266989635305</v>
      </c>
      <c r="BF60" s="19">
        <v>0.69790983714531396</v>
      </c>
      <c r="BG60" s="19">
        <v>0.71899472787622098</v>
      </c>
      <c r="BH60" s="19">
        <v>0.73628528816175898</v>
      </c>
      <c r="BI60" s="19">
        <v>0.75147551820226699</v>
      </c>
      <c r="BJ60" s="19">
        <v>0.76547018310025905</v>
      </c>
      <c r="BK60" s="18"/>
      <c r="BL60" s="18"/>
      <c r="BM60" s="19">
        <v>0.59531255342087097</v>
      </c>
      <c r="BN60" s="19">
        <v>0.644508350498458</v>
      </c>
      <c r="BO60" s="19">
        <v>0.69502938915646195</v>
      </c>
      <c r="BP60" s="19">
        <v>0.72765259947623895</v>
      </c>
      <c r="BQ60" s="19">
        <v>0.74130904570165701</v>
      </c>
      <c r="BR60" s="19">
        <v>0.74896435315732401</v>
      </c>
      <c r="BS60" s="19">
        <v>0.75272504791822203</v>
      </c>
      <c r="BT60" s="19">
        <v>0.75437187507616099</v>
      </c>
      <c r="BU60" s="19">
        <v>0.75480958957876099</v>
      </c>
    </row>
    <row r="61" spans="3:73" x14ac:dyDescent="0.45">
      <c r="C61" s="15" t="s">
        <v>249</v>
      </c>
      <c r="D61" s="15" t="s">
        <v>250</v>
      </c>
      <c r="E61" s="15" t="s">
        <v>305</v>
      </c>
      <c r="F61" s="15" t="s">
        <v>252</v>
      </c>
      <c r="G61" s="15"/>
      <c r="H61" s="15"/>
      <c r="I61" s="15"/>
      <c r="J61" s="18"/>
      <c r="K61" s="18"/>
      <c r="L61" s="19">
        <v>0.83</v>
      </c>
      <c r="M61" s="18"/>
      <c r="N61" s="18"/>
      <c r="O61" s="19"/>
      <c r="P61" s="18"/>
      <c r="Q61" s="18"/>
      <c r="R61" s="19">
        <v>0.83125000000000004</v>
      </c>
      <c r="S61" s="18"/>
      <c r="T61" s="18"/>
      <c r="U61" s="19"/>
      <c r="V61" s="19"/>
      <c r="X61" s="15" t="s">
        <v>249</v>
      </c>
      <c r="Y61" s="15" t="s">
        <v>321</v>
      </c>
      <c r="Z61" s="15" t="s">
        <v>344</v>
      </c>
      <c r="AA61" s="15"/>
      <c r="AB61" s="15"/>
      <c r="AC61" s="15" t="s">
        <v>320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249</v>
      </c>
      <c r="AS61" s="15" t="s">
        <v>369</v>
      </c>
      <c r="AT61" s="15"/>
      <c r="AU61" s="15"/>
      <c r="AV61" s="15" t="s">
        <v>421</v>
      </c>
      <c r="AW61" s="15"/>
      <c r="AX61" s="15"/>
      <c r="AY61" s="15"/>
      <c r="AZ61" s="18"/>
      <c r="BA61" s="18"/>
      <c r="BB61" s="19">
        <v>2.1376973773446002</v>
      </c>
      <c r="BC61" s="19">
        <v>2.2280191247779801</v>
      </c>
      <c r="BD61" s="19">
        <v>2.3132032556317301</v>
      </c>
      <c r="BE61" s="19">
        <v>2.4287316641461101</v>
      </c>
      <c r="BF61" s="19">
        <v>2.5254838228970802</v>
      </c>
      <c r="BG61" s="19">
        <v>2.6017824328525898</v>
      </c>
      <c r="BH61" s="19">
        <v>2.6643507303114098</v>
      </c>
      <c r="BI61" s="19">
        <v>2.7193186906289002</v>
      </c>
      <c r="BJ61" s="19">
        <v>2.7699603321786399</v>
      </c>
      <c r="BK61" s="18"/>
      <c r="BL61" s="18"/>
      <c r="BM61" s="19">
        <v>2.1542212807625498</v>
      </c>
      <c r="BN61" s="19">
        <v>2.3322431154771501</v>
      </c>
      <c r="BO61" s="19">
        <v>2.51506052118765</v>
      </c>
      <c r="BP61" s="19">
        <v>2.6331121455214901</v>
      </c>
      <c r="BQ61" s="19">
        <v>2.6825298957592998</v>
      </c>
      <c r="BR61" s="19">
        <v>2.71023169061817</v>
      </c>
      <c r="BS61" s="19">
        <v>2.7238402877119601</v>
      </c>
      <c r="BT61" s="19">
        <v>2.7297995608517298</v>
      </c>
      <c r="BU61" s="19">
        <v>2.7313834916641802</v>
      </c>
    </row>
    <row r="62" spans="3:73" x14ac:dyDescent="0.45">
      <c r="C62" s="15" t="s">
        <v>249</v>
      </c>
      <c r="D62" s="15" t="s">
        <v>250</v>
      </c>
      <c r="E62" s="15" t="s">
        <v>306</v>
      </c>
      <c r="F62" s="15" t="s">
        <v>252</v>
      </c>
      <c r="G62" s="15"/>
      <c r="H62" s="15"/>
      <c r="I62" s="15"/>
      <c r="J62" s="18"/>
      <c r="K62" s="18"/>
      <c r="L62" s="19">
        <v>0.45</v>
      </c>
      <c r="M62" s="18"/>
      <c r="N62" s="18"/>
      <c r="O62" s="19"/>
      <c r="P62" s="18"/>
      <c r="Q62" s="18"/>
      <c r="R62" s="19">
        <v>0.45</v>
      </c>
      <c r="S62" s="18"/>
      <c r="T62" s="18"/>
      <c r="U62" s="19"/>
      <c r="V62" s="19"/>
      <c r="X62" s="15" t="s">
        <v>249</v>
      </c>
      <c r="Y62" s="15" t="s">
        <v>321</v>
      </c>
      <c r="Z62" s="15" t="s">
        <v>345</v>
      </c>
      <c r="AA62" s="15"/>
      <c r="AB62" s="15"/>
      <c r="AC62" s="15" t="s">
        <v>320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249</v>
      </c>
      <c r="AS62" s="15" t="s">
        <v>369</v>
      </c>
      <c r="AT62" s="15"/>
      <c r="AU62" s="15"/>
      <c r="AV62" s="15" t="s">
        <v>422</v>
      </c>
      <c r="AW62" s="15"/>
      <c r="AX62" s="15"/>
      <c r="AY62" s="15"/>
      <c r="AZ62" s="18"/>
      <c r="BA62" s="18"/>
      <c r="BB62" s="19">
        <v>0.50765343322626</v>
      </c>
      <c r="BC62" s="19">
        <v>0.52910274858094697</v>
      </c>
      <c r="BD62" s="19">
        <v>0.54933199942935995</v>
      </c>
      <c r="BE62" s="19">
        <v>0.57676731082518795</v>
      </c>
      <c r="BF62" s="19">
        <v>0.59974369938351302</v>
      </c>
      <c r="BG62" s="19">
        <v>0.61786284557548499</v>
      </c>
      <c r="BH62" s="19">
        <v>0.63272136173063498</v>
      </c>
      <c r="BI62" s="19">
        <v>0.64577497449563803</v>
      </c>
      <c r="BJ62" s="19">
        <v>0.657801187124888</v>
      </c>
      <c r="BK62" s="18"/>
      <c r="BL62" s="18"/>
      <c r="BM62" s="19">
        <v>0.51157747616579097</v>
      </c>
      <c r="BN62" s="19">
        <v>0.55385352353333805</v>
      </c>
      <c r="BO62" s="19">
        <v>0.59726840753237298</v>
      </c>
      <c r="BP62" s="19">
        <v>0.62530292402948895</v>
      </c>
      <c r="BQ62" s="19">
        <v>0.63703849092329401</v>
      </c>
      <c r="BR62" s="19">
        <v>0.64361702323365699</v>
      </c>
      <c r="BS62" s="19">
        <v>0.64684874869174602</v>
      </c>
      <c r="BT62" s="19">
        <v>0.64826393753044598</v>
      </c>
      <c r="BU62" s="19">
        <v>0.64864008427762099</v>
      </c>
    </row>
    <row r="63" spans="3:73" x14ac:dyDescent="0.45">
      <c r="C63" s="15" t="s">
        <v>249</v>
      </c>
      <c r="D63" s="15" t="s">
        <v>250</v>
      </c>
      <c r="E63" s="15" t="s">
        <v>307</v>
      </c>
      <c r="F63" s="15" t="s">
        <v>252</v>
      </c>
      <c r="G63" s="15"/>
      <c r="H63" s="15"/>
      <c r="I63" s="15"/>
      <c r="J63" s="18"/>
      <c r="K63" s="18"/>
      <c r="L63" s="19">
        <v>0.35</v>
      </c>
      <c r="M63" s="18"/>
      <c r="N63" s="18"/>
      <c r="O63" s="19"/>
      <c r="P63" s="18"/>
      <c r="Q63" s="18"/>
      <c r="R63" s="19">
        <v>0.34782600000000002</v>
      </c>
      <c r="S63" s="18"/>
      <c r="T63" s="18"/>
      <c r="U63" s="19"/>
      <c r="V63" s="19"/>
      <c r="X63" s="15" t="s">
        <v>249</v>
      </c>
      <c r="Y63" s="15" t="s">
        <v>321</v>
      </c>
      <c r="Z63" s="15" t="s">
        <v>346</v>
      </c>
      <c r="AA63" s="15"/>
      <c r="AB63" s="15"/>
      <c r="AC63" s="15" t="s">
        <v>320</v>
      </c>
      <c r="AD63" s="15"/>
      <c r="AE63" s="18"/>
      <c r="AF63" s="18"/>
      <c r="AG63" s="19">
        <v>0.12</v>
      </c>
      <c r="AH63" s="18"/>
      <c r="AI63" s="18"/>
      <c r="AJ63" s="19">
        <v>0.12</v>
      </c>
      <c r="AK63" s="18"/>
      <c r="AL63" s="18"/>
      <c r="AM63" s="19">
        <v>0.12</v>
      </c>
      <c r="AN63" s="18"/>
      <c r="AO63" s="18"/>
      <c r="AP63" s="19">
        <v>0.12</v>
      </c>
      <c r="AR63" s="15" t="s">
        <v>249</v>
      </c>
      <c r="AS63" s="15" t="s">
        <v>369</v>
      </c>
      <c r="AT63" s="15"/>
      <c r="AU63" s="15"/>
      <c r="AV63" s="15" t="s">
        <v>423</v>
      </c>
      <c r="AW63" s="15"/>
      <c r="AX63" s="15"/>
      <c r="AY63" s="15"/>
      <c r="AZ63" s="18"/>
      <c r="BA63" s="18"/>
      <c r="BB63" s="19">
        <v>0.43119858348467999</v>
      </c>
      <c r="BC63" s="19">
        <v>0.449417537188742</v>
      </c>
      <c r="BD63" s="19">
        <v>0.46660017349114202</v>
      </c>
      <c r="BE63" s="19">
        <v>0.48990360578777697</v>
      </c>
      <c r="BF63" s="19">
        <v>0.50941964872474499</v>
      </c>
      <c r="BG63" s="19">
        <v>0.52480997145392905</v>
      </c>
      <c r="BH63" s="19">
        <v>0.53743072943456005</v>
      </c>
      <c r="BI63" s="19">
        <v>0.54851841044925298</v>
      </c>
      <c r="BJ63" s="19">
        <v>0.55873342232745804</v>
      </c>
      <c r="BK63" s="18"/>
      <c r="BL63" s="18"/>
      <c r="BM63" s="19">
        <v>0.43453164822198598</v>
      </c>
      <c r="BN63" s="19">
        <v>0.47044073608999398</v>
      </c>
      <c r="BO63" s="19">
        <v>0.50731714676166495</v>
      </c>
      <c r="BP63" s="19">
        <v>0.53112954122418099</v>
      </c>
      <c r="BQ63" s="19">
        <v>0.54109767989870705</v>
      </c>
      <c r="BR63" s="19">
        <v>0.546685456180666</v>
      </c>
      <c r="BS63" s="19">
        <v>0.549430469507737</v>
      </c>
      <c r="BT63" s="19">
        <v>0.55063252465534596</v>
      </c>
      <c r="BU63" s="19">
        <v>0.55095202204066396</v>
      </c>
    </row>
    <row r="64" spans="3:73" x14ac:dyDescent="0.45">
      <c r="C64" s="15" t="s">
        <v>249</v>
      </c>
      <c r="D64" s="15" t="s">
        <v>250</v>
      </c>
      <c r="E64" s="15" t="s">
        <v>308</v>
      </c>
      <c r="F64" s="15" t="s">
        <v>252</v>
      </c>
      <c r="G64" s="15"/>
      <c r="H64" s="15"/>
      <c r="I64" s="15"/>
      <c r="J64" s="18"/>
      <c r="K64" s="18"/>
      <c r="L64" s="19">
        <v>0.1</v>
      </c>
      <c r="M64" s="18"/>
      <c r="N64" s="18"/>
      <c r="O64" s="19"/>
      <c r="P64" s="18"/>
      <c r="Q64" s="18"/>
      <c r="R64" s="19">
        <v>0.1</v>
      </c>
      <c r="S64" s="18"/>
      <c r="T64" s="18"/>
      <c r="U64" s="19"/>
      <c r="V64" s="19"/>
      <c r="X64" s="15" t="s">
        <v>249</v>
      </c>
      <c r="Y64" s="15" t="s">
        <v>321</v>
      </c>
      <c r="Z64" s="15" t="s">
        <v>347</v>
      </c>
      <c r="AA64" s="15"/>
      <c r="AB64" s="15"/>
      <c r="AC64" s="15" t="s">
        <v>320</v>
      </c>
      <c r="AD64" s="15"/>
      <c r="AE64" s="18"/>
      <c r="AF64" s="18"/>
      <c r="AG64" s="19">
        <v>1.22</v>
      </c>
      <c r="AH64" s="18"/>
      <c r="AI64" s="18"/>
      <c r="AJ64" s="19">
        <v>1.44</v>
      </c>
      <c r="AK64" s="18"/>
      <c r="AL64" s="18"/>
      <c r="AM64" s="19">
        <v>1.22</v>
      </c>
      <c r="AN64" s="18"/>
      <c r="AO64" s="18"/>
      <c r="AP64" s="19">
        <v>1.44</v>
      </c>
      <c r="AR64" s="15" t="s">
        <v>249</v>
      </c>
      <c r="AS64" s="15" t="s">
        <v>369</v>
      </c>
      <c r="AT64" s="15"/>
      <c r="AU64" s="15"/>
      <c r="AV64" s="15" t="s">
        <v>424</v>
      </c>
      <c r="AW64" s="15"/>
      <c r="AX64" s="15"/>
      <c r="AY64" s="15"/>
      <c r="AZ64" s="18"/>
      <c r="BA64" s="18"/>
      <c r="BB64" s="19">
        <v>0.23686579090767201</v>
      </c>
      <c r="BC64" s="19">
        <v>0.246873817473409</v>
      </c>
      <c r="BD64" s="19">
        <v>0.256312574680717</v>
      </c>
      <c r="BE64" s="19">
        <v>0.26911360449208199</v>
      </c>
      <c r="BF64" s="19">
        <v>0.27983414746858198</v>
      </c>
      <c r="BG64" s="19">
        <v>0.28828835187739998</v>
      </c>
      <c r="BH64" s="19">
        <v>0.29522118035929801</v>
      </c>
      <c r="BI64" s="19">
        <v>0.30131185976657499</v>
      </c>
      <c r="BJ64" s="19">
        <v>0.30692316499886202</v>
      </c>
      <c r="BK64" s="18"/>
      <c r="BL64" s="18"/>
      <c r="BM64" s="19">
        <v>0.23869670836748499</v>
      </c>
      <c r="BN64" s="19">
        <v>0.25842227061282302</v>
      </c>
      <c r="BO64" s="19">
        <v>0.27867920213841502</v>
      </c>
      <c r="BP64" s="19">
        <v>0.291759814793002</v>
      </c>
      <c r="BQ64" s="19">
        <v>0.29723550776012098</v>
      </c>
      <c r="BR64" s="19">
        <v>0.30030498224156599</v>
      </c>
      <c r="BS64" s="19">
        <v>0.30181287159387798</v>
      </c>
      <c r="BT64" s="19">
        <v>0.30247318392828298</v>
      </c>
      <c r="BU64" s="19">
        <v>0.30264869007270301</v>
      </c>
    </row>
    <row r="65" spans="3:73" x14ac:dyDescent="0.45">
      <c r="C65" s="15" t="s">
        <v>249</v>
      </c>
      <c r="D65" s="15" t="s">
        <v>250</v>
      </c>
      <c r="E65" s="15" t="s">
        <v>309</v>
      </c>
      <c r="F65" s="15" t="s">
        <v>252</v>
      </c>
      <c r="G65" s="15"/>
      <c r="H65" s="15"/>
      <c r="I65" s="15"/>
      <c r="J65" s="18"/>
      <c r="K65" s="18"/>
      <c r="L65" s="19">
        <v>0.13</v>
      </c>
      <c r="M65" s="18"/>
      <c r="N65" s="18"/>
      <c r="O65" s="19"/>
      <c r="P65" s="18"/>
      <c r="Q65" s="18"/>
      <c r="R65" s="19">
        <v>0.125163</v>
      </c>
      <c r="S65" s="18"/>
      <c r="T65" s="18"/>
      <c r="U65" s="19"/>
      <c r="V65" s="19"/>
      <c r="X65" s="15" t="s">
        <v>249</v>
      </c>
      <c r="Y65" s="15" t="s">
        <v>321</v>
      </c>
      <c r="Z65" s="15" t="s">
        <v>348</v>
      </c>
      <c r="AA65" s="15"/>
      <c r="AB65" s="15"/>
      <c r="AC65" s="15" t="s">
        <v>320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249</v>
      </c>
      <c r="AS65" s="15" t="s">
        <v>369</v>
      </c>
      <c r="AT65" s="15"/>
      <c r="AU65" s="15"/>
      <c r="AV65" s="15" t="s">
        <v>425</v>
      </c>
      <c r="AW65" s="15"/>
      <c r="AX65" s="15"/>
      <c r="AY65" s="15"/>
      <c r="AZ65" s="18"/>
      <c r="BA65" s="18"/>
      <c r="BB65" s="19">
        <v>0.50318897143209496</v>
      </c>
      <c r="BC65" s="19">
        <v>0.52444965485278106</v>
      </c>
      <c r="BD65" s="19">
        <v>0.54450100339299201</v>
      </c>
      <c r="BE65" s="19">
        <v>0.57169504014844397</v>
      </c>
      <c r="BF65" s="19">
        <v>0.59446936721722998</v>
      </c>
      <c r="BG65" s="19">
        <v>0.61242916801602199</v>
      </c>
      <c r="BH65" s="19">
        <v>0.62715701377016497</v>
      </c>
      <c r="BI65" s="19">
        <v>0.64009582901455397</v>
      </c>
      <c r="BJ65" s="19">
        <v>0.65201627939874096</v>
      </c>
      <c r="BK65" s="18"/>
      <c r="BL65" s="18"/>
      <c r="BM65" s="19">
        <v>0.50707850512055896</v>
      </c>
      <c r="BN65" s="19">
        <v>0.54898276381117195</v>
      </c>
      <c r="BO65" s="19">
        <v>0.59201584385060302</v>
      </c>
      <c r="BP65" s="19">
        <v>0.61980381611177504</v>
      </c>
      <c r="BQ65" s="19">
        <v>0.63143617678928998</v>
      </c>
      <c r="BR65" s="19">
        <v>0.63795685544548797</v>
      </c>
      <c r="BS65" s="19">
        <v>0.64116016010723698</v>
      </c>
      <c r="BT65" s="19">
        <v>0.64256290333622001</v>
      </c>
      <c r="BU65" s="19">
        <v>0.64293574213219795</v>
      </c>
    </row>
    <row r="66" spans="3:73" x14ac:dyDescent="0.45">
      <c r="C66" s="15" t="s">
        <v>249</v>
      </c>
      <c r="D66" s="15" t="s">
        <v>250</v>
      </c>
      <c r="E66" s="15" t="s">
        <v>310</v>
      </c>
      <c r="F66" s="15" t="s">
        <v>252</v>
      </c>
      <c r="G66" s="15"/>
      <c r="H66" s="15"/>
      <c r="I66" s="15"/>
      <c r="J66" s="18"/>
      <c r="K66" s="18"/>
      <c r="L66" s="19">
        <v>0.44</v>
      </c>
      <c r="M66" s="18"/>
      <c r="N66" s="18"/>
      <c r="O66" s="19"/>
      <c r="P66" s="18"/>
      <c r="Q66" s="18"/>
      <c r="R66" s="19">
        <v>0.43535000000000001</v>
      </c>
      <c r="S66" s="18"/>
      <c r="T66" s="18"/>
      <c r="U66" s="19"/>
      <c r="V66" s="19"/>
      <c r="X66" s="15" t="s">
        <v>249</v>
      </c>
      <c r="Y66" s="15" t="s">
        <v>321</v>
      </c>
      <c r="Z66" s="15" t="s">
        <v>349</v>
      </c>
      <c r="AA66" s="15"/>
      <c r="AB66" s="15"/>
      <c r="AC66" s="15" t="s">
        <v>320</v>
      </c>
      <c r="AD66" s="15"/>
      <c r="AE66" s="18"/>
      <c r="AF66" s="18"/>
      <c r="AG66" s="19">
        <v>1.4570000000000001</v>
      </c>
      <c r="AH66" s="18"/>
      <c r="AI66" s="18"/>
      <c r="AJ66" s="19">
        <v>1.55</v>
      </c>
      <c r="AK66" s="18"/>
      <c r="AL66" s="18"/>
      <c r="AM66" s="19">
        <v>1.46</v>
      </c>
      <c r="AN66" s="18"/>
      <c r="AO66" s="18"/>
      <c r="AP66" s="19">
        <v>1.55</v>
      </c>
      <c r="AR66" s="15" t="s">
        <v>249</v>
      </c>
      <c r="AS66" s="15" t="s">
        <v>369</v>
      </c>
      <c r="AT66" s="15"/>
      <c r="AU66" s="15"/>
      <c r="AV66" s="15" t="s">
        <v>426</v>
      </c>
      <c r="AW66" s="15"/>
      <c r="AX66" s="15"/>
      <c r="AY66" s="15"/>
      <c r="AZ66" s="18"/>
      <c r="BA66" s="18"/>
      <c r="BB66" s="19">
        <v>1.7143742525922001</v>
      </c>
      <c r="BC66" s="19">
        <v>1.78680979931176</v>
      </c>
      <c r="BD66" s="19">
        <v>1.8551251194374301</v>
      </c>
      <c r="BE66" s="19">
        <v>1.9477757121261099</v>
      </c>
      <c r="BF66" s="19">
        <v>2.0253682711118999</v>
      </c>
      <c r="BG66" s="19">
        <v>2.0865576488987498</v>
      </c>
      <c r="BH66" s="19">
        <v>2.13673569529987</v>
      </c>
      <c r="BI66" s="19">
        <v>2.1808184812379201</v>
      </c>
      <c r="BJ66" s="19">
        <v>2.2214316790188402</v>
      </c>
      <c r="BK66" s="18"/>
      <c r="BL66" s="18"/>
      <c r="BM66" s="19">
        <v>1.72762596673672</v>
      </c>
      <c r="BN66" s="19">
        <v>1.8703945611450801</v>
      </c>
      <c r="BO66" s="19">
        <v>2.0170090710366102</v>
      </c>
      <c r="BP66" s="19">
        <v>2.1116832131202798</v>
      </c>
      <c r="BQ66" s="19">
        <v>2.1513148838734</v>
      </c>
      <c r="BR66" s="19">
        <v>2.1735309582158102</v>
      </c>
      <c r="BS66" s="19">
        <v>2.1844446772102502</v>
      </c>
      <c r="BT66" s="19">
        <v>2.1892238496708898</v>
      </c>
      <c r="BU66" s="19">
        <v>2.1904941184336799</v>
      </c>
    </row>
    <row r="67" spans="3:73" x14ac:dyDescent="0.45">
      <c r="C67" s="15" t="s">
        <v>249</v>
      </c>
      <c r="D67" s="15" t="s">
        <v>250</v>
      </c>
      <c r="E67" s="15" t="s">
        <v>311</v>
      </c>
      <c r="F67" s="15" t="s">
        <v>252</v>
      </c>
      <c r="G67" s="15"/>
      <c r="H67" s="15"/>
      <c r="I67" s="15"/>
      <c r="J67" s="18"/>
      <c r="K67" s="18"/>
      <c r="L67" s="19">
        <v>0.27</v>
      </c>
      <c r="M67" s="18"/>
      <c r="N67" s="18"/>
      <c r="O67" s="19"/>
      <c r="P67" s="18"/>
      <c r="Q67" s="18"/>
      <c r="R67" s="19">
        <v>0.27209299999999997</v>
      </c>
      <c r="S67" s="18"/>
      <c r="T67" s="18"/>
      <c r="U67" s="19"/>
      <c r="V67" s="19"/>
      <c r="X67" s="15" t="s">
        <v>249</v>
      </c>
      <c r="Y67" s="15" t="s">
        <v>321</v>
      </c>
      <c r="Z67" s="15" t="s">
        <v>350</v>
      </c>
      <c r="AA67" s="15"/>
      <c r="AB67" s="15"/>
      <c r="AC67" s="15" t="s">
        <v>320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249</v>
      </c>
      <c r="AS67" s="15" t="s">
        <v>369</v>
      </c>
      <c r="AT67" s="15"/>
      <c r="AU67" s="15"/>
      <c r="AV67" s="15" t="s">
        <v>427</v>
      </c>
      <c r="AW67" s="15"/>
      <c r="AX67" s="15"/>
      <c r="AY67" s="15"/>
      <c r="AZ67" s="18"/>
      <c r="BA67" s="18"/>
      <c r="BB67" s="19">
        <v>4.7701580555106204</v>
      </c>
      <c r="BC67" s="19">
        <v>4.9717062333178701</v>
      </c>
      <c r="BD67" s="19">
        <v>5.1617900928482596</v>
      </c>
      <c r="BE67" s="19">
        <v>5.4195855948476002</v>
      </c>
      <c r="BF67" s="19">
        <v>5.6354828936632302</v>
      </c>
      <c r="BG67" s="19">
        <v>5.80573918567198</v>
      </c>
      <c r="BH67" s="19">
        <v>5.9453570152609201</v>
      </c>
      <c r="BI67" s="19">
        <v>6.0680150965601403</v>
      </c>
      <c r="BJ67" s="19">
        <v>6.1810192275203404</v>
      </c>
      <c r="BK67" s="18"/>
      <c r="BL67" s="18"/>
      <c r="BM67" s="19">
        <v>4.8070302675613004</v>
      </c>
      <c r="BN67" s="19">
        <v>5.20427652791619</v>
      </c>
      <c r="BO67" s="19">
        <v>5.6122238500113202</v>
      </c>
      <c r="BP67" s="19">
        <v>5.8756497739751996</v>
      </c>
      <c r="BQ67" s="19">
        <v>5.98592285653607</v>
      </c>
      <c r="BR67" s="19">
        <v>6.0477379391097896</v>
      </c>
      <c r="BS67" s="19">
        <v>6.0781048000785596</v>
      </c>
      <c r="BT67" s="19">
        <v>6.0914026012893103</v>
      </c>
      <c r="BU67" s="19">
        <v>6.0949370586940104</v>
      </c>
    </row>
    <row r="68" spans="3:73" x14ac:dyDescent="0.45">
      <c r="C68" s="15" t="s">
        <v>249</v>
      </c>
      <c r="D68" s="15" t="s">
        <v>250</v>
      </c>
      <c r="E68" s="15" t="s">
        <v>312</v>
      </c>
      <c r="F68" s="15" t="s">
        <v>252</v>
      </c>
      <c r="G68" s="15"/>
      <c r="H68" s="15"/>
      <c r="I68" s="15"/>
      <c r="J68" s="18"/>
      <c r="K68" s="18"/>
      <c r="L68" s="19">
        <v>0.11</v>
      </c>
      <c r="M68" s="18"/>
      <c r="N68" s="18"/>
      <c r="O68" s="19"/>
      <c r="P68" s="18"/>
      <c r="Q68" s="18"/>
      <c r="R68" s="19">
        <v>0.111111</v>
      </c>
      <c r="S68" s="18"/>
      <c r="T68" s="18"/>
      <c r="U68" s="19"/>
      <c r="V68" s="19"/>
      <c r="X68" s="15" t="s">
        <v>249</v>
      </c>
      <c r="Y68" s="15" t="s">
        <v>321</v>
      </c>
      <c r="Z68" s="15" t="s">
        <v>351</v>
      </c>
      <c r="AA68" s="15"/>
      <c r="AB68" s="15"/>
      <c r="AC68" s="15" t="s">
        <v>320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249</v>
      </c>
      <c r="AS68" s="15" t="s">
        <v>369</v>
      </c>
      <c r="AT68" s="15"/>
      <c r="AU68" s="15"/>
      <c r="AV68" s="15" t="s">
        <v>428</v>
      </c>
      <c r="AW68" s="15"/>
      <c r="AX68" s="15"/>
      <c r="AY68" s="15"/>
      <c r="AZ68" s="18"/>
      <c r="BA68" s="18"/>
      <c r="BB68" s="19">
        <v>6.3388382377847599</v>
      </c>
      <c r="BC68" s="19">
        <v>6.6066661129564404</v>
      </c>
      <c r="BD68" s="19">
        <v>6.85925959584638</v>
      </c>
      <c r="BE68" s="19">
        <v>7.2018318893817197</v>
      </c>
      <c r="BF68" s="19">
        <v>7.4887276352335803</v>
      </c>
      <c r="BG68" s="19">
        <v>7.7149731980533902</v>
      </c>
      <c r="BH68" s="19">
        <v>7.9005047520555696</v>
      </c>
      <c r="BI68" s="19">
        <v>8.0634992958138394</v>
      </c>
      <c r="BJ68" s="19">
        <v>8.2136651599261796</v>
      </c>
      <c r="BK68" s="18"/>
      <c r="BL68" s="18"/>
      <c r="BM68" s="19">
        <v>6.3878359827103299</v>
      </c>
      <c r="BN68" s="19">
        <v>6.9157178171593197</v>
      </c>
      <c r="BO68" s="19">
        <v>7.4578197882483499</v>
      </c>
      <c r="BP68" s="19">
        <v>7.8078740841887102</v>
      </c>
      <c r="BQ68" s="19">
        <v>7.9544107867887002</v>
      </c>
      <c r="BR68" s="19">
        <v>8.0365539368751904</v>
      </c>
      <c r="BS68" s="19">
        <v>8.0769070273242498</v>
      </c>
      <c r="BT68" s="19">
        <v>8.0945778486706796</v>
      </c>
      <c r="BU68" s="19">
        <v>8.0992746225481902</v>
      </c>
    </row>
    <row r="69" spans="3:73" x14ac:dyDescent="0.45">
      <c r="C69" s="15" t="s">
        <v>249</v>
      </c>
      <c r="D69" s="15" t="s">
        <v>250</v>
      </c>
      <c r="E69" s="15" t="s">
        <v>313</v>
      </c>
      <c r="F69" s="15" t="s">
        <v>252</v>
      </c>
      <c r="G69" s="15"/>
      <c r="H69" s="15"/>
      <c r="I69" s="15"/>
      <c r="J69" s="18"/>
      <c r="K69" s="18"/>
      <c r="L69" s="19">
        <v>0.39</v>
      </c>
      <c r="M69" s="18"/>
      <c r="N69" s="18"/>
      <c r="O69" s="19"/>
      <c r="P69" s="18"/>
      <c r="Q69" s="18"/>
      <c r="R69" s="19">
        <v>0.38647300000000001</v>
      </c>
      <c r="S69" s="18"/>
      <c r="T69" s="18"/>
      <c r="U69" s="19"/>
      <c r="V69" s="19"/>
      <c r="X69" s="15" t="s">
        <v>249</v>
      </c>
      <c r="Y69" s="15" t="s">
        <v>321</v>
      </c>
      <c r="Z69" s="15" t="s">
        <v>352</v>
      </c>
      <c r="AA69" s="15"/>
      <c r="AB69" s="15"/>
      <c r="AC69" s="15" t="s">
        <v>320</v>
      </c>
      <c r="AD69" s="15"/>
      <c r="AE69" s="18"/>
      <c r="AF69" s="18"/>
      <c r="AG69" s="19">
        <v>0.34</v>
      </c>
      <c r="AH69" s="18"/>
      <c r="AI69" s="18"/>
      <c r="AJ69" s="19">
        <v>0.34</v>
      </c>
      <c r="AK69" s="18"/>
      <c r="AL69" s="18"/>
      <c r="AM69" s="19">
        <v>0.34</v>
      </c>
      <c r="AN69" s="18"/>
      <c r="AO69" s="18"/>
      <c r="AP69" s="19">
        <v>0.34</v>
      </c>
      <c r="AR69" s="15" t="s">
        <v>249</v>
      </c>
      <c r="AS69" s="15" t="s">
        <v>369</v>
      </c>
      <c r="AT69" s="15"/>
      <c r="AU69" s="15"/>
      <c r="AV69" s="15" t="s">
        <v>429</v>
      </c>
      <c r="AW69" s="15"/>
      <c r="AX69" s="15"/>
      <c r="AY69" s="15"/>
      <c r="AZ69" s="18"/>
      <c r="BA69" s="18"/>
      <c r="BB69" s="19">
        <v>0.63616081156081306</v>
      </c>
      <c r="BC69" s="19">
        <v>0.66303980610782698</v>
      </c>
      <c r="BD69" s="19">
        <v>0.68838988904769305</v>
      </c>
      <c r="BE69" s="19">
        <v>0.72277017453512504</v>
      </c>
      <c r="BF69" s="19">
        <v>0.75156280556119304</v>
      </c>
      <c r="BG69" s="19">
        <v>0.77426863200073703</v>
      </c>
      <c r="BH69" s="19">
        <v>0.79288843259142205</v>
      </c>
      <c r="BI69" s="19">
        <v>0.80924643658956297</v>
      </c>
      <c r="BJ69" s="19">
        <v>0.82431696440536995</v>
      </c>
      <c r="BK69" s="18"/>
      <c r="BL69" s="18"/>
      <c r="BM69" s="19">
        <v>0.64107818663921401</v>
      </c>
      <c r="BN69" s="19">
        <v>0.69405599165867804</v>
      </c>
      <c r="BO69" s="19">
        <v>0.74846091838815998</v>
      </c>
      <c r="BP69" s="19">
        <v>0.78359209174234701</v>
      </c>
      <c r="BQ69" s="19">
        <v>0.79829839976796901</v>
      </c>
      <c r="BR69" s="19">
        <v>0.80654222159508104</v>
      </c>
      <c r="BS69" s="19">
        <v>0.81059202596081503</v>
      </c>
      <c r="BT69" s="19">
        <v>0.81236545566938301</v>
      </c>
      <c r="BU69" s="19">
        <v>0.81283682019542802</v>
      </c>
    </row>
    <row r="70" spans="3:73" x14ac:dyDescent="0.45">
      <c r="C70" s="15" t="s">
        <v>249</v>
      </c>
      <c r="D70" s="15" t="s">
        <v>250</v>
      </c>
      <c r="E70" s="15" t="s">
        <v>314</v>
      </c>
      <c r="F70" s="15" t="s">
        <v>252</v>
      </c>
      <c r="G70" s="15"/>
      <c r="H70" s="15"/>
      <c r="I70" s="15"/>
      <c r="J70" s="18"/>
      <c r="K70" s="18"/>
      <c r="L70" s="19">
        <v>0.24</v>
      </c>
      <c r="M70" s="18"/>
      <c r="N70" s="18"/>
      <c r="O70" s="19"/>
      <c r="P70" s="18"/>
      <c r="Q70" s="18"/>
      <c r="R70" s="19">
        <v>0.24154600000000001</v>
      </c>
      <c r="S70" s="18"/>
      <c r="T70" s="18"/>
      <c r="U70" s="19"/>
      <c r="V70" s="19"/>
      <c r="X70" s="15" t="s">
        <v>249</v>
      </c>
      <c r="Y70" s="15" t="s">
        <v>321</v>
      </c>
      <c r="Z70" s="15" t="s">
        <v>353</v>
      </c>
      <c r="AA70" s="15"/>
      <c r="AB70" s="15"/>
      <c r="AC70" s="15" t="s">
        <v>320</v>
      </c>
      <c r="AD70" s="15"/>
      <c r="AE70" s="18"/>
      <c r="AF70" s="18"/>
      <c r="AG70" s="19">
        <f>0.136409892060962</f>
        <v>0.13640989206096199</v>
      </c>
      <c r="AH70" s="18"/>
      <c r="AI70" s="18"/>
      <c r="AJ70" s="19">
        <f>0.17231484714245*3.6/4.5</f>
        <v>0.13785187771396001</v>
      </c>
      <c r="AK70" s="18"/>
      <c r="AL70" s="18"/>
      <c r="AM70" s="19">
        <f>0.136409892060962</f>
        <v>0.13640989206096199</v>
      </c>
      <c r="AN70" s="18"/>
      <c r="AO70" s="18"/>
      <c r="AP70" s="19">
        <f>0.17*3.6/4.5</f>
        <v>0.13600000000000001</v>
      </c>
      <c r="AR70" s="15" t="s">
        <v>249</v>
      </c>
      <c r="AS70" s="15" t="s">
        <v>369</v>
      </c>
      <c r="AT70" s="15"/>
      <c r="AU70" s="15"/>
      <c r="AV70" s="15" t="s">
        <v>430</v>
      </c>
      <c r="AW70" s="15"/>
      <c r="AX70" s="15"/>
      <c r="AY70" s="15"/>
      <c r="AZ70" s="18"/>
      <c r="BA70" s="18"/>
      <c r="BB70" s="19">
        <v>0.11075550069166799</v>
      </c>
      <c r="BC70" s="19">
        <v>0.115435129560726</v>
      </c>
      <c r="BD70" s="19">
        <v>0.119848575151144</v>
      </c>
      <c r="BE70" s="19">
        <v>0.12583417763385699</v>
      </c>
      <c r="BF70" s="19">
        <v>0.13084697032333201</v>
      </c>
      <c r="BG70" s="19">
        <v>0.134800051258575</v>
      </c>
      <c r="BH70" s="19">
        <v>0.13804175571399499</v>
      </c>
      <c r="BI70" s="19">
        <v>0.140889681726107</v>
      </c>
      <c r="BJ70" s="19">
        <v>0.14351345833037901</v>
      </c>
      <c r="BK70" s="18"/>
      <c r="BL70" s="18"/>
      <c r="BM70" s="19">
        <v>0.111611614946114</v>
      </c>
      <c r="BN70" s="19">
        <v>0.12083504275531901</v>
      </c>
      <c r="BO70" s="19">
        <v>0.13030693223752901</v>
      </c>
      <c r="BP70" s="19">
        <v>0.136423264183822</v>
      </c>
      <c r="BQ70" s="19">
        <v>0.138983630177928</v>
      </c>
      <c r="BR70" s="19">
        <v>0.140418878306203</v>
      </c>
      <c r="BS70" s="19">
        <v>0.141123948631315</v>
      </c>
      <c r="BT70" s="19">
        <v>0.141432702474281</v>
      </c>
      <c r="BU70" s="19">
        <v>0.14151476696668899</v>
      </c>
    </row>
    <row r="71" spans="3:73" x14ac:dyDescent="0.45">
      <c r="C71" s="15" t="s">
        <v>249</v>
      </c>
      <c r="D71" s="15" t="s">
        <v>250</v>
      </c>
      <c r="E71" s="15" t="s">
        <v>315</v>
      </c>
      <c r="F71" s="15" t="s">
        <v>252</v>
      </c>
      <c r="G71" s="15"/>
      <c r="H71" s="15"/>
      <c r="I71" s="15"/>
      <c r="J71" s="18"/>
      <c r="K71" s="18"/>
      <c r="L71" s="19">
        <v>0.23</v>
      </c>
      <c r="M71" s="18"/>
      <c r="N71" s="18"/>
      <c r="O71" s="19"/>
      <c r="P71" s="18"/>
      <c r="Q71" s="18"/>
      <c r="R71" s="19">
        <v>0.23</v>
      </c>
      <c r="S71" s="18"/>
      <c r="T71" s="18"/>
      <c r="U71" s="19"/>
      <c r="V71" s="19"/>
      <c r="X71" s="15" t="s">
        <v>249</v>
      </c>
      <c r="Y71" s="15" t="s">
        <v>321</v>
      </c>
      <c r="Z71" s="15" t="s">
        <v>354</v>
      </c>
      <c r="AA71" s="15"/>
      <c r="AB71" s="15"/>
      <c r="AC71" s="15" t="s">
        <v>320</v>
      </c>
      <c r="AD71" s="15"/>
      <c r="AE71" s="18"/>
      <c r="AF71" s="18"/>
      <c r="AG71" s="19">
        <f t="shared" ref="AG71:AG75" si="4">0.136409892060962*3.6/4.5</f>
        <v>0.10912791364876959</v>
      </c>
      <c r="AH71" s="18"/>
      <c r="AI71" s="18"/>
      <c r="AJ71" s="19">
        <f t="shared" ref="AJ71:AJ77" si="5">0.17231484714245*3.6/4.5</f>
        <v>0.13785187771396001</v>
      </c>
      <c r="AK71" s="18"/>
      <c r="AL71" s="18"/>
      <c r="AM71" s="19">
        <f t="shared" ref="AM71:AM75" si="6">0.14*3.6/4.5</f>
        <v>0.11200000000000003</v>
      </c>
      <c r="AN71" s="18"/>
      <c r="AO71" s="18"/>
      <c r="AP71" s="19">
        <f t="shared" ref="AP71:AP77" si="7">0.17*3.6/4.5</f>
        <v>0.13600000000000001</v>
      </c>
      <c r="AR71" s="15" t="s">
        <v>249</v>
      </c>
      <c r="AS71" s="15" t="s">
        <v>369</v>
      </c>
      <c r="AT71" s="15"/>
      <c r="AU71" s="15"/>
      <c r="AV71" s="15" t="s">
        <v>431</v>
      </c>
      <c r="AW71" s="15"/>
      <c r="AX71" s="15"/>
      <c r="AY71" s="15"/>
      <c r="AZ71" s="18"/>
      <c r="BA71" s="18"/>
      <c r="BB71" s="19">
        <v>0.13200015202847701</v>
      </c>
      <c r="BC71" s="19">
        <v>0.137577407499265</v>
      </c>
      <c r="BD71" s="19">
        <v>0.142837421541606</v>
      </c>
      <c r="BE71" s="19">
        <v>0.149971156956695</v>
      </c>
      <c r="BF71" s="19">
        <v>0.15594548232171701</v>
      </c>
      <c r="BG71" s="19">
        <v>0.160656826509358</v>
      </c>
      <c r="BH71" s="19">
        <v>0.164520340991931</v>
      </c>
      <c r="BI71" s="19">
        <v>0.167914544116985</v>
      </c>
      <c r="BJ71" s="19">
        <v>0.171041602443567</v>
      </c>
      <c r="BK71" s="18"/>
      <c r="BL71" s="18"/>
      <c r="BM71" s="19">
        <v>0.13302048249545001</v>
      </c>
      <c r="BN71" s="19">
        <v>0.144013109186093</v>
      </c>
      <c r="BO71" s="19">
        <v>0.155301856416168</v>
      </c>
      <c r="BP71" s="19">
        <v>0.16259139726718999</v>
      </c>
      <c r="BQ71" s="19">
        <v>0.16564288182876899</v>
      </c>
      <c r="BR71" s="19">
        <v>0.167353433177892</v>
      </c>
      <c r="BS71" s="19">
        <v>0.168193747108345</v>
      </c>
      <c r="BT71" s="19">
        <v>0.168561724806575</v>
      </c>
      <c r="BU71" s="19">
        <v>0.16865953056255401</v>
      </c>
    </row>
    <row r="72" spans="3:73" x14ac:dyDescent="0.45">
      <c r="C72" s="15" t="s">
        <v>249</v>
      </c>
      <c r="D72" s="15" t="s">
        <v>250</v>
      </c>
      <c r="E72" s="15" t="s">
        <v>316</v>
      </c>
      <c r="F72" s="15" t="s">
        <v>252</v>
      </c>
      <c r="G72" s="15"/>
      <c r="H72" s="15"/>
      <c r="I72" s="15"/>
      <c r="J72" s="18"/>
      <c r="K72" s="18"/>
      <c r="L72" s="19">
        <v>0.8</v>
      </c>
      <c r="M72" s="18"/>
      <c r="N72" s="18"/>
      <c r="O72" s="19"/>
      <c r="P72" s="18"/>
      <c r="Q72" s="18"/>
      <c r="R72" s="19">
        <v>0.8</v>
      </c>
      <c r="S72" s="18"/>
      <c r="T72" s="18"/>
      <c r="U72" s="19"/>
      <c r="V72" s="19"/>
      <c r="X72" s="15" t="s">
        <v>249</v>
      </c>
      <c r="Y72" s="15" t="s">
        <v>321</v>
      </c>
      <c r="Z72" s="15" t="s">
        <v>355</v>
      </c>
      <c r="AA72" s="15"/>
      <c r="AB72" s="15"/>
      <c r="AC72" s="15" t="s">
        <v>320</v>
      </c>
      <c r="AD72" s="15"/>
      <c r="AE72" s="18"/>
      <c r="AF72" s="18"/>
      <c r="AG72" s="19">
        <f t="shared" si="4"/>
        <v>0.10912791364876959</v>
      </c>
      <c r="AH72" s="18"/>
      <c r="AI72" s="18"/>
      <c r="AJ72" s="19">
        <f t="shared" si="5"/>
        <v>0.13785187771396001</v>
      </c>
      <c r="AK72" s="18"/>
      <c r="AL72" s="18"/>
      <c r="AM72" s="19">
        <f t="shared" si="6"/>
        <v>0.11200000000000003</v>
      </c>
      <c r="AN72" s="18"/>
      <c r="AO72" s="18"/>
      <c r="AP72" s="19">
        <f t="shared" si="7"/>
        <v>0.13600000000000001</v>
      </c>
      <c r="AR72" s="15" t="s">
        <v>249</v>
      </c>
      <c r="AS72" s="15" t="s">
        <v>369</v>
      </c>
      <c r="AT72" s="15"/>
      <c r="AU72" s="15"/>
      <c r="AV72" s="15" t="s">
        <v>432</v>
      </c>
      <c r="AW72" s="15"/>
      <c r="AX72" s="15"/>
      <c r="AY72" s="15"/>
      <c r="AZ72" s="18"/>
      <c r="BA72" s="18"/>
      <c r="BB72" s="19">
        <v>0.26507837010129798</v>
      </c>
      <c r="BC72" s="19">
        <v>0.27627843136725899</v>
      </c>
      <c r="BD72" s="19">
        <v>0.286841418815583</v>
      </c>
      <c r="BE72" s="19">
        <v>0.301167151987146</v>
      </c>
      <c r="BF72" s="19">
        <v>0.313164595973978</v>
      </c>
      <c r="BG72" s="19">
        <v>0.32262576263973097</v>
      </c>
      <c r="BH72" s="19">
        <v>0.33038434553653001</v>
      </c>
      <c r="BI72" s="19">
        <v>0.33720047277847498</v>
      </c>
      <c r="BJ72" s="19">
        <v>0.34348012860980398</v>
      </c>
      <c r="BK72" s="18"/>
      <c r="BL72" s="18"/>
      <c r="BM72" s="19">
        <v>0.26712736423496902</v>
      </c>
      <c r="BN72" s="19">
        <v>0.28920239613083298</v>
      </c>
      <c r="BO72" s="19">
        <v>0.31187208756867602</v>
      </c>
      <c r="BP72" s="19">
        <v>0.32651070409965399</v>
      </c>
      <c r="BQ72" s="19">
        <v>0.33263859517812999</v>
      </c>
      <c r="BR72" s="19">
        <v>0.33607366821882001</v>
      </c>
      <c r="BS72" s="19">
        <v>0.33776115905602599</v>
      </c>
      <c r="BT72" s="19">
        <v>0.33850011978434003</v>
      </c>
      <c r="BU72" s="19">
        <v>0.338696530091321</v>
      </c>
    </row>
    <row r="73" spans="3:73" x14ac:dyDescent="0.45">
      <c r="C73" s="15" t="s">
        <v>249</v>
      </c>
      <c r="D73" s="15" t="s">
        <v>250</v>
      </c>
      <c r="E73" s="15" t="s">
        <v>317</v>
      </c>
      <c r="F73" s="15" t="s">
        <v>252</v>
      </c>
      <c r="G73" s="15"/>
      <c r="H73" s="15"/>
      <c r="I73" s="15"/>
      <c r="J73" s="18"/>
      <c r="K73" s="18"/>
      <c r="L73" s="19">
        <v>0.5</v>
      </c>
      <c r="M73" s="18"/>
      <c r="N73" s="18"/>
      <c r="O73" s="19"/>
      <c r="P73" s="18"/>
      <c r="Q73" s="18"/>
      <c r="R73" s="19">
        <v>0.5</v>
      </c>
      <c r="S73" s="18"/>
      <c r="T73" s="18"/>
      <c r="U73" s="19"/>
      <c r="V73" s="19"/>
      <c r="X73" s="15" t="s">
        <v>249</v>
      </c>
      <c r="Y73" s="15" t="s">
        <v>321</v>
      </c>
      <c r="Z73" s="15" t="s">
        <v>356</v>
      </c>
      <c r="AA73" s="15"/>
      <c r="AB73" s="15"/>
      <c r="AC73" s="15" t="s">
        <v>320</v>
      </c>
      <c r="AD73" s="15"/>
      <c r="AE73" s="18"/>
      <c r="AF73" s="18"/>
      <c r="AG73" s="19">
        <f t="shared" si="4"/>
        <v>0.10912791364876959</v>
      </c>
      <c r="AH73" s="18"/>
      <c r="AI73" s="18"/>
      <c r="AJ73" s="19">
        <f t="shared" si="5"/>
        <v>0.13785187771396001</v>
      </c>
      <c r="AK73" s="18"/>
      <c r="AL73" s="18"/>
      <c r="AM73" s="19">
        <f t="shared" si="6"/>
        <v>0.11200000000000003</v>
      </c>
      <c r="AN73" s="18"/>
      <c r="AO73" s="18"/>
      <c r="AP73" s="19">
        <f t="shared" si="7"/>
        <v>0.13600000000000001</v>
      </c>
      <c r="AR73" s="15" t="s">
        <v>249</v>
      </c>
      <c r="AS73" s="15" t="s">
        <v>369</v>
      </c>
      <c r="AT73" s="15"/>
      <c r="AU73" s="15"/>
      <c r="AV73" s="15" t="s">
        <v>433</v>
      </c>
      <c r="AW73" s="15"/>
      <c r="AX73" s="15"/>
      <c r="AY73" s="15"/>
      <c r="AZ73" s="18"/>
      <c r="BA73" s="18"/>
      <c r="BB73" s="19">
        <v>0.25555904694808701</v>
      </c>
      <c r="BC73" s="19">
        <v>0.26635689885050801</v>
      </c>
      <c r="BD73" s="19">
        <v>0.27654055511860198</v>
      </c>
      <c r="BE73" s="19">
        <v>0.29035183181672802</v>
      </c>
      <c r="BF73" s="19">
        <v>0.301918431346958</v>
      </c>
      <c r="BG73" s="19">
        <v>0.31103983470850999</v>
      </c>
      <c r="BH73" s="19">
        <v>0.31851979638933797</v>
      </c>
      <c r="BI73" s="19">
        <v>0.32509114727384297</v>
      </c>
      <c r="BJ73" s="19">
        <v>0.33114529216240102</v>
      </c>
      <c r="BK73" s="18"/>
      <c r="BL73" s="18"/>
      <c r="BM73" s="19">
        <v>0.25753445892833599</v>
      </c>
      <c r="BN73" s="19">
        <v>0.27881674654199501</v>
      </c>
      <c r="BO73" s="19">
        <v>0.300672338668385</v>
      </c>
      <c r="BP73" s="19">
        <v>0.31478526266088402</v>
      </c>
      <c r="BQ73" s="19">
        <v>0.32069309287433601</v>
      </c>
      <c r="BR73" s="19">
        <v>0.324004807791477</v>
      </c>
      <c r="BS73" s="19">
        <v>0.32563169854806701</v>
      </c>
      <c r="BT73" s="19">
        <v>0.32634412219616799</v>
      </c>
      <c r="BU73" s="19">
        <v>0.32653347914310998</v>
      </c>
    </row>
    <row r="74" spans="3:73" x14ac:dyDescent="0.45">
      <c r="C74" s="15" t="s">
        <v>249</v>
      </c>
      <c r="D74" s="15" t="s">
        <v>318</v>
      </c>
      <c r="E74" s="15" t="s">
        <v>274</v>
      </c>
      <c r="F74" s="15"/>
      <c r="G74" s="15" t="s">
        <v>319</v>
      </c>
      <c r="H74" s="15" t="s">
        <v>320</v>
      </c>
      <c r="I74" s="15"/>
      <c r="J74" s="18"/>
      <c r="K74" s="18"/>
      <c r="L74" s="19">
        <v>1</v>
      </c>
      <c r="M74" s="18"/>
      <c r="N74" s="18"/>
      <c r="O74" s="19"/>
      <c r="P74" s="18"/>
      <c r="Q74" s="18"/>
      <c r="R74" s="19">
        <v>0.1</v>
      </c>
      <c r="S74" s="18"/>
      <c r="T74" s="18"/>
      <c r="U74" s="19">
        <v>1</v>
      </c>
      <c r="V74" s="19"/>
      <c r="X74" s="15" t="s">
        <v>249</v>
      </c>
      <c r="Y74" s="15" t="s">
        <v>321</v>
      </c>
      <c r="Z74" s="15" t="s">
        <v>357</v>
      </c>
      <c r="AA74" s="15"/>
      <c r="AB74" s="15"/>
      <c r="AC74" s="15" t="s">
        <v>320</v>
      </c>
      <c r="AD74" s="15"/>
      <c r="AE74" s="18"/>
      <c r="AF74" s="18"/>
      <c r="AG74" s="19">
        <f t="shared" si="4"/>
        <v>0.10912791364876959</v>
      </c>
      <c r="AH74" s="18"/>
      <c r="AI74" s="18"/>
      <c r="AJ74" s="19">
        <f t="shared" si="5"/>
        <v>0.13785187771396001</v>
      </c>
      <c r="AK74" s="18"/>
      <c r="AL74" s="18"/>
      <c r="AM74" s="19">
        <f t="shared" si="6"/>
        <v>0.11200000000000003</v>
      </c>
      <c r="AN74" s="18"/>
      <c r="AO74" s="18"/>
      <c r="AP74" s="19">
        <f t="shared" si="7"/>
        <v>0.13600000000000001</v>
      </c>
      <c r="AR74" s="15" t="s">
        <v>249</v>
      </c>
      <c r="AS74" s="15" t="s">
        <v>369</v>
      </c>
      <c r="AT74" s="15"/>
      <c r="AU74" s="15"/>
      <c r="AV74" s="15" t="s">
        <v>434</v>
      </c>
      <c r="AW74" s="15"/>
      <c r="AX74" s="15"/>
      <c r="AY74" s="15"/>
      <c r="AZ74" s="18"/>
      <c r="BA74" s="18"/>
      <c r="BB74" s="19">
        <v>1.08932740410757</v>
      </c>
      <c r="BC74" s="19">
        <v>1.1353535421890399</v>
      </c>
      <c r="BD74" s="19">
        <v>1.17876165463634</v>
      </c>
      <c r="BE74" s="19">
        <v>1.2376325980548999</v>
      </c>
      <c r="BF74" s="19">
        <v>1.2869355438558201</v>
      </c>
      <c r="BG74" s="19">
        <v>1.3258157743321699</v>
      </c>
      <c r="BH74" s="19">
        <v>1.3576993148990399</v>
      </c>
      <c r="BI74" s="19">
        <v>1.3857098771780301</v>
      </c>
      <c r="BJ74" s="19">
        <v>1.41151583480036</v>
      </c>
      <c r="BK74" s="18"/>
      <c r="BL74" s="18"/>
      <c r="BM74" s="19">
        <v>1.09774765152274</v>
      </c>
      <c r="BN74" s="19">
        <v>1.1884639826271</v>
      </c>
      <c r="BO74" s="19">
        <v>1.2816240398451499</v>
      </c>
      <c r="BP74" s="19">
        <v>1.3417807630788201</v>
      </c>
      <c r="BQ74" s="19">
        <v>1.3669630504100001</v>
      </c>
      <c r="BR74" s="19">
        <v>1.3810793255210301</v>
      </c>
      <c r="BS74" s="19">
        <v>1.38801399171974</v>
      </c>
      <c r="BT74" s="19">
        <v>1.3910507169402999</v>
      </c>
      <c r="BU74" s="19">
        <v>1.39185785608847</v>
      </c>
    </row>
    <row r="75" spans="3:73" x14ac:dyDescent="0.45">
      <c r="C75" s="15" t="s">
        <v>249</v>
      </c>
      <c r="D75" s="15" t="s">
        <v>321</v>
      </c>
      <c r="E75" s="15" t="s">
        <v>251</v>
      </c>
      <c r="F75" s="15"/>
      <c r="G75" s="15"/>
      <c r="H75" s="15" t="s">
        <v>320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249</v>
      </c>
      <c r="Y75" s="15" t="s">
        <v>321</v>
      </c>
      <c r="Z75" s="15" t="s">
        <v>358</v>
      </c>
      <c r="AA75" s="15"/>
      <c r="AB75" s="15"/>
      <c r="AC75" s="15" t="s">
        <v>320</v>
      </c>
      <c r="AD75" s="15"/>
      <c r="AE75" s="18"/>
      <c r="AF75" s="18"/>
      <c r="AG75" s="19">
        <f t="shared" si="4"/>
        <v>0.10912791364876959</v>
      </c>
      <c r="AH75" s="18"/>
      <c r="AI75" s="18"/>
      <c r="AJ75" s="19">
        <f t="shared" si="5"/>
        <v>0.13785187771396001</v>
      </c>
      <c r="AK75" s="18"/>
      <c r="AL75" s="18"/>
      <c r="AM75" s="19">
        <f t="shared" si="6"/>
        <v>0.11200000000000003</v>
      </c>
      <c r="AN75" s="18"/>
      <c r="AO75" s="18"/>
      <c r="AP75" s="19">
        <f t="shared" si="7"/>
        <v>0.13600000000000001</v>
      </c>
      <c r="AR75" s="15" t="s">
        <v>249</v>
      </c>
      <c r="AS75" s="15" t="s">
        <v>369</v>
      </c>
      <c r="AT75" s="15"/>
      <c r="AU75" s="15"/>
      <c r="AV75" s="15" t="s">
        <v>435</v>
      </c>
      <c r="AW75" s="15"/>
      <c r="AX75" s="15"/>
      <c r="AY75" s="15"/>
      <c r="AZ75" s="18"/>
      <c r="BA75" s="18"/>
      <c r="BB75" s="19">
        <v>2.3270178983698702</v>
      </c>
      <c r="BC75" s="19">
        <v>2.42533879501176</v>
      </c>
      <c r="BD75" s="19">
        <v>2.51806707323043</v>
      </c>
      <c r="BE75" s="19">
        <v>2.6438270040945002</v>
      </c>
      <c r="BF75" s="19">
        <v>2.7491478074530602</v>
      </c>
      <c r="BG75" s="19">
        <v>2.83220363793163</v>
      </c>
      <c r="BH75" s="19">
        <v>2.90031316063595</v>
      </c>
      <c r="BI75" s="19">
        <v>2.9601492388625901</v>
      </c>
      <c r="BJ75" s="19">
        <v>3.0152758473049199</v>
      </c>
      <c r="BK75" s="18"/>
      <c r="BL75" s="18"/>
      <c r="BM75" s="19">
        <v>2.3450052053722699</v>
      </c>
      <c r="BN75" s="19">
        <v>2.5387931568717899</v>
      </c>
      <c r="BO75" s="19">
        <v>2.7378013886872399</v>
      </c>
      <c r="BP75" s="19">
        <v>2.8663079984945301</v>
      </c>
      <c r="BQ75" s="19">
        <v>2.9201023243515301</v>
      </c>
      <c r="BR75" s="19">
        <v>2.9502574684503902</v>
      </c>
      <c r="BS75" s="19">
        <v>2.96507128136169</v>
      </c>
      <c r="BT75" s="19">
        <v>2.97155832457205</v>
      </c>
      <c r="BU75" s="19">
        <v>2.9732825327735499</v>
      </c>
    </row>
    <row r="76" spans="3:73" x14ac:dyDescent="0.45">
      <c r="C76" s="15" t="s">
        <v>249</v>
      </c>
      <c r="D76" s="15" t="s">
        <v>321</v>
      </c>
      <c r="E76" s="15" t="s">
        <v>253</v>
      </c>
      <c r="F76" s="15"/>
      <c r="G76" s="15"/>
      <c r="H76" s="15" t="s">
        <v>320</v>
      </c>
      <c r="I76" s="15"/>
      <c r="J76" s="18"/>
      <c r="K76" s="18"/>
      <c r="L76" s="19">
        <v>0.16</v>
      </c>
      <c r="M76" s="18"/>
      <c r="N76" s="18"/>
      <c r="O76" s="19"/>
      <c r="P76" s="18"/>
      <c r="Q76" s="18"/>
      <c r="R76" s="19">
        <v>0.16</v>
      </c>
      <c r="S76" s="18"/>
      <c r="T76" s="18"/>
      <c r="U76" s="19"/>
      <c r="V76" s="19"/>
      <c r="X76" s="15" t="s">
        <v>249</v>
      </c>
      <c r="Y76" s="15" t="s">
        <v>321</v>
      </c>
      <c r="Z76" s="15" t="s">
        <v>359</v>
      </c>
      <c r="AA76" s="15"/>
      <c r="AB76" s="15"/>
      <c r="AC76" s="15" t="s">
        <v>320</v>
      </c>
      <c r="AD76" s="15"/>
      <c r="AE76" s="18"/>
      <c r="AF76" s="18"/>
      <c r="AG76" s="19">
        <f>0.136409892060962</f>
        <v>0.13640989206096199</v>
      </c>
      <c r="AH76" s="18"/>
      <c r="AI76" s="18"/>
      <c r="AJ76" s="19">
        <f t="shared" si="5"/>
        <v>0.13785187771396001</v>
      </c>
      <c r="AK76" s="18"/>
      <c r="AL76" s="18"/>
      <c r="AM76" s="19">
        <f>0.136409892060962</f>
        <v>0.13640989206096199</v>
      </c>
      <c r="AN76" s="18"/>
      <c r="AO76" s="18"/>
      <c r="AP76" s="19">
        <f t="shared" si="7"/>
        <v>0.13600000000000001</v>
      </c>
      <c r="AR76" s="15" t="s">
        <v>249</v>
      </c>
      <c r="AS76" s="15" t="s">
        <v>369</v>
      </c>
      <c r="AT76" s="15"/>
      <c r="AU76" s="15"/>
      <c r="AV76" s="15" t="s">
        <v>436</v>
      </c>
      <c r="AW76" s="15"/>
      <c r="AX76" s="15"/>
      <c r="AY76" s="15"/>
      <c r="AZ76" s="18"/>
      <c r="BA76" s="18"/>
      <c r="BB76" s="19">
        <v>2.4224406293759899</v>
      </c>
      <c r="BC76" s="19">
        <v>2.5247933164390401</v>
      </c>
      <c r="BD76" s="19">
        <v>2.6213240516802099</v>
      </c>
      <c r="BE76" s="19">
        <v>2.7522409502077401</v>
      </c>
      <c r="BF76" s="19">
        <v>2.86188058527588</v>
      </c>
      <c r="BG76" s="19">
        <v>2.9483422400825599</v>
      </c>
      <c r="BH76" s="19">
        <v>3.01924469217025</v>
      </c>
      <c r="BI76" s="19">
        <v>3.0815344352359499</v>
      </c>
      <c r="BJ76" s="19">
        <v>3.1389215899045602</v>
      </c>
      <c r="BK76" s="18"/>
      <c r="BL76" s="18"/>
      <c r="BM76" s="19">
        <v>2.4411655318901402</v>
      </c>
      <c r="BN76" s="19">
        <v>2.6429000383263901</v>
      </c>
      <c r="BO76" s="19">
        <v>2.85006889021522</v>
      </c>
      <c r="BP76" s="19">
        <v>2.9838450992244399</v>
      </c>
      <c r="BQ76" s="19">
        <v>3.0398453391354399</v>
      </c>
      <c r="BR76" s="19">
        <v>3.0712370384863301</v>
      </c>
      <c r="BS76" s="19">
        <v>3.0866583131990999</v>
      </c>
      <c r="BT76" s="19">
        <v>3.0934113669888101</v>
      </c>
      <c r="BU76" s="19">
        <v>3.09520627883875</v>
      </c>
    </row>
    <row r="77" spans="3:73" x14ac:dyDescent="0.45">
      <c r="C77" s="15" t="s">
        <v>249</v>
      </c>
      <c r="D77" s="15" t="s">
        <v>321</v>
      </c>
      <c r="E77" s="15" t="s">
        <v>254</v>
      </c>
      <c r="F77" s="15"/>
      <c r="G77" s="15"/>
      <c r="H77" s="15" t="s">
        <v>320</v>
      </c>
      <c r="I77" s="15"/>
      <c r="J77" s="18"/>
      <c r="K77" s="18"/>
      <c r="L77" s="19">
        <v>0.23</v>
      </c>
      <c r="M77" s="18"/>
      <c r="N77" s="18"/>
      <c r="O77" s="19"/>
      <c r="P77" s="18"/>
      <c r="Q77" s="18"/>
      <c r="R77" s="19">
        <v>0.23</v>
      </c>
      <c r="S77" s="18"/>
      <c r="T77" s="18"/>
      <c r="U77" s="19"/>
      <c r="V77" s="19"/>
      <c r="X77" s="15" t="s">
        <v>249</v>
      </c>
      <c r="Y77" s="15" t="s">
        <v>321</v>
      </c>
      <c r="Z77" s="15" t="s">
        <v>360</v>
      </c>
      <c r="AA77" s="15"/>
      <c r="AB77" s="15"/>
      <c r="AC77" s="15" t="s">
        <v>320</v>
      </c>
      <c r="AD77" s="15"/>
      <c r="AE77" s="18"/>
      <c r="AF77" s="18"/>
      <c r="AG77" s="19">
        <f>0.136409892060962</f>
        <v>0.13640989206096199</v>
      </c>
      <c r="AH77" s="18"/>
      <c r="AI77" s="18"/>
      <c r="AJ77" s="19">
        <f t="shared" si="5"/>
        <v>0.13785187771396001</v>
      </c>
      <c r="AK77" s="18"/>
      <c r="AL77" s="18"/>
      <c r="AM77" s="19">
        <f>0.136409892060962</f>
        <v>0.13640989206096199</v>
      </c>
      <c r="AN77" s="18"/>
      <c r="AO77" s="18"/>
      <c r="AP77" s="19">
        <f t="shared" si="7"/>
        <v>0.13600000000000001</v>
      </c>
      <c r="AR77" s="15" t="s">
        <v>249</v>
      </c>
      <c r="AS77" s="15" t="s">
        <v>369</v>
      </c>
      <c r="AT77" s="15"/>
      <c r="AU77" s="15"/>
      <c r="AV77" s="15" t="s">
        <v>437</v>
      </c>
      <c r="AW77" s="15"/>
      <c r="AX77" s="15"/>
      <c r="AY77" s="15"/>
      <c r="AZ77" s="18"/>
      <c r="BA77" s="18"/>
      <c r="BB77" s="19">
        <v>1.17691480112604</v>
      </c>
      <c r="BC77" s="19">
        <v>1.2266416719846001</v>
      </c>
      <c r="BD77" s="19">
        <v>1.27354001479277</v>
      </c>
      <c r="BE77" s="19">
        <v>1.337144477881</v>
      </c>
      <c r="BF77" s="19">
        <v>1.3904116282651899</v>
      </c>
      <c r="BG77" s="19">
        <v>1.4324180246399301</v>
      </c>
      <c r="BH77" s="19">
        <v>1.4668651620790101</v>
      </c>
      <c r="BI77" s="19">
        <v>1.4971279143146501</v>
      </c>
      <c r="BJ77" s="19">
        <v>1.52500880060139</v>
      </c>
      <c r="BK77" s="18"/>
      <c r="BL77" s="18"/>
      <c r="BM77" s="19">
        <v>0</v>
      </c>
      <c r="BN77" s="19">
        <v>0</v>
      </c>
      <c r="BO77" s="19">
        <v>0</v>
      </c>
      <c r="BP77" s="19">
        <v>0</v>
      </c>
      <c r="BQ77" s="19">
        <v>0</v>
      </c>
      <c r="BR77" s="19">
        <v>0</v>
      </c>
      <c r="BS77" s="19">
        <v>0</v>
      </c>
      <c r="BT77" s="19">
        <v>0</v>
      </c>
      <c r="BU77" s="19">
        <v>0</v>
      </c>
    </row>
    <row r="78" spans="3:73" x14ac:dyDescent="0.45">
      <c r="C78" s="15" t="s">
        <v>249</v>
      </c>
      <c r="D78" s="15" t="s">
        <v>321</v>
      </c>
      <c r="E78" s="15" t="s">
        <v>255</v>
      </c>
      <c r="F78" s="15"/>
      <c r="G78" s="15"/>
      <c r="H78" s="15" t="s">
        <v>320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249</v>
      </c>
      <c r="Y78" s="15" t="s">
        <v>321</v>
      </c>
      <c r="Z78" s="15" t="s">
        <v>361</v>
      </c>
      <c r="AA78" s="15"/>
      <c r="AB78" s="15"/>
      <c r="AC78" s="15" t="s">
        <v>320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249</v>
      </c>
      <c r="AS78" s="15" t="s">
        <v>369</v>
      </c>
      <c r="AT78" s="15"/>
      <c r="AU78" s="15"/>
      <c r="AV78" s="15" t="s">
        <v>438</v>
      </c>
      <c r="AW78" s="15"/>
      <c r="AX78" s="15"/>
      <c r="AY78" s="15"/>
      <c r="AZ78" s="18"/>
      <c r="BA78" s="18"/>
      <c r="BB78" s="19">
        <v>0.33210520579735098</v>
      </c>
      <c r="BC78" s="19">
        <v>0.34613727733247202</v>
      </c>
      <c r="BD78" s="19">
        <v>0.35937118668169499</v>
      </c>
      <c r="BE78" s="19">
        <v>0.37731927713253899</v>
      </c>
      <c r="BF78" s="19">
        <v>0.39235035493328901</v>
      </c>
      <c r="BG78" s="19">
        <v>0.40420384075867799</v>
      </c>
      <c r="BH78" s="19">
        <v>0.41392423314170401</v>
      </c>
      <c r="BI78" s="19">
        <v>0.42246386366516703</v>
      </c>
      <c r="BJ78" s="19">
        <v>0.43033137240004798</v>
      </c>
      <c r="BK78" s="18"/>
      <c r="BL78" s="18"/>
      <c r="BM78" s="19">
        <v>0.33467230177798601</v>
      </c>
      <c r="BN78" s="19">
        <v>0.36232915287435202</v>
      </c>
      <c r="BO78" s="19">
        <v>0.39073102714817598</v>
      </c>
      <c r="BP78" s="19">
        <v>0.40907111560484999</v>
      </c>
      <c r="BQ78" s="19">
        <v>0.41674848485584998</v>
      </c>
      <c r="BR78" s="19">
        <v>0.42105213904940703</v>
      </c>
      <c r="BS78" s="19">
        <v>0.42316632321146103</v>
      </c>
      <c r="BT78" s="19">
        <v>0.42409213509365701</v>
      </c>
      <c r="BU78" s="19">
        <v>0.42433820905810599</v>
      </c>
    </row>
    <row r="79" spans="3:73" x14ac:dyDescent="0.45">
      <c r="C79" s="15" t="s">
        <v>249</v>
      </c>
      <c r="D79" s="15" t="s">
        <v>321</v>
      </c>
      <c r="E79" s="15" t="s">
        <v>256</v>
      </c>
      <c r="F79" s="15"/>
      <c r="G79" s="15"/>
      <c r="H79" s="15" t="s">
        <v>320</v>
      </c>
      <c r="I79" s="15"/>
      <c r="J79" s="18"/>
      <c r="K79" s="18"/>
      <c r="L79" s="19">
        <v>0.25</v>
      </c>
      <c r="M79" s="18"/>
      <c r="N79" s="18"/>
      <c r="O79" s="19"/>
      <c r="P79" s="18"/>
      <c r="Q79" s="18"/>
      <c r="R79" s="19">
        <v>0.25</v>
      </c>
      <c r="S79" s="18"/>
      <c r="T79" s="18"/>
      <c r="U79" s="19"/>
      <c r="V79" s="19"/>
      <c r="X79" s="15" t="s">
        <v>249</v>
      </c>
      <c r="Y79" s="15" t="s">
        <v>321</v>
      </c>
      <c r="Z79" s="15" t="s">
        <v>362</v>
      </c>
      <c r="AA79" s="15"/>
      <c r="AB79" s="15"/>
      <c r="AC79" s="15" t="s">
        <v>320</v>
      </c>
      <c r="AD79" s="15"/>
      <c r="AE79" s="18"/>
      <c r="AF79" s="18"/>
      <c r="AG79" s="19">
        <v>3.0007890049087299E-2</v>
      </c>
      <c r="AH79" s="18"/>
      <c r="AI79" s="18"/>
      <c r="AJ79" s="19">
        <v>2.9983436126264001E-2</v>
      </c>
      <c r="AK79" s="18"/>
      <c r="AL79" s="18"/>
      <c r="AM79" s="19">
        <v>0.03</v>
      </c>
      <c r="AN79" s="18"/>
      <c r="AO79" s="18"/>
      <c r="AP79" s="19">
        <v>0.03</v>
      </c>
      <c r="AR79" s="15" t="s">
        <v>249</v>
      </c>
      <c r="AS79" s="15" t="s">
        <v>369</v>
      </c>
      <c r="AT79" s="15"/>
      <c r="AU79" s="15"/>
      <c r="AV79" s="15" t="s">
        <v>439</v>
      </c>
      <c r="AW79" s="15"/>
      <c r="AX79" s="15"/>
      <c r="AY79" s="15"/>
      <c r="AZ79" s="18"/>
      <c r="BA79" s="18"/>
      <c r="BB79" s="19">
        <v>4.7549803646395099E-2</v>
      </c>
      <c r="BC79" s="19">
        <v>4.9558872563713802E-2</v>
      </c>
      <c r="BD79" s="19">
        <v>5.1453663069990101E-2</v>
      </c>
      <c r="BE79" s="19">
        <v>5.40234155516362E-2</v>
      </c>
      <c r="BF79" s="19">
        <v>5.6175519118647099E-2</v>
      </c>
      <c r="BG79" s="19">
        <v>5.7872664823332302E-2</v>
      </c>
      <c r="BH79" s="19">
        <v>5.9264400758543202E-2</v>
      </c>
      <c r="BI79" s="19">
        <v>6.0487078836197999E-2</v>
      </c>
      <c r="BJ79" s="19">
        <v>6.1613524579894503E-2</v>
      </c>
      <c r="BK79" s="18"/>
      <c r="BL79" s="18"/>
      <c r="BM79" s="19">
        <v>4.7917352566706602E-2</v>
      </c>
      <c r="BN79" s="19">
        <v>5.1877175587102899E-2</v>
      </c>
      <c r="BO79" s="19">
        <v>5.5943668738474998E-2</v>
      </c>
      <c r="BP79" s="19">
        <v>5.8569546290977097E-2</v>
      </c>
      <c r="BQ79" s="19">
        <v>5.9668768447189498E-2</v>
      </c>
      <c r="BR79" s="19">
        <v>6.0284952440373997E-2</v>
      </c>
      <c r="BS79" s="19">
        <v>6.0587654837154101E-2</v>
      </c>
      <c r="BT79" s="19">
        <v>6.0720209739767703E-2</v>
      </c>
      <c r="BU79" s="19">
        <v>6.0755441854434399E-2</v>
      </c>
    </row>
    <row r="80" spans="3:73" x14ac:dyDescent="0.45">
      <c r="C80" s="15" t="s">
        <v>249</v>
      </c>
      <c r="D80" s="15" t="s">
        <v>321</v>
      </c>
      <c r="E80" s="15" t="s">
        <v>257</v>
      </c>
      <c r="F80" s="15"/>
      <c r="G80" s="15"/>
      <c r="H80" s="15" t="s">
        <v>320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249</v>
      </c>
      <c r="Y80" s="15" t="s">
        <v>322</v>
      </c>
      <c r="Z80" s="15" t="s">
        <v>330</v>
      </c>
      <c r="AA80" s="15"/>
      <c r="AB80" s="15"/>
      <c r="AC80" s="15"/>
      <c r="AD80" s="15" t="s">
        <v>323</v>
      </c>
      <c r="AE80" s="18"/>
      <c r="AF80" s="19">
        <v>5</v>
      </c>
      <c r="AG80" s="19">
        <v>63</v>
      </c>
      <c r="AH80" s="19">
        <v>42.287999999999997</v>
      </c>
      <c r="AI80" s="19">
        <v>42.287999999999997</v>
      </c>
      <c r="AJ80" s="19">
        <v>42.287999999999997</v>
      </c>
      <c r="AK80" s="18"/>
      <c r="AL80" s="19">
        <v>5</v>
      </c>
      <c r="AM80" s="19">
        <v>63</v>
      </c>
      <c r="AN80" s="19">
        <v>46.290999999999997</v>
      </c>
      <c r="AO80" s="19">
        <v>46.290999999999997</v>
      </c>
      <c r="AP80" s="19">
        <v>46.290999999999997</v>
      </c>
      <c r="AR80" s="15" t="s">
        <v>249</v>
      </c>
      <c r="AS80" s="15" t="s">
        <v>369</v>
      </c>
      <c r="AT80" s="15"/>
      <c r="AU80" s="15"/>
      <c r="AV80" s="15" t="s">
        <v>440</v>
      </c>
      <c r="AW80" s="15"/>
      <c r="AX80" s="15"/>
      <c r="AY80" s="15"/>
      <c r="AZ80" s="18"/>
      <c r="BA80" s="18"/>
      <c r="BB80" s="19">
        <v>1.03630413518808</v>
      </c>
      <c r="BC80" s="19">
        <v>1.0800899401175399</v>
      </c>
      <c r="BD80" s="19">
        <v>1.12138515242948</v>
      </c>
      <c r="BE80" s="19">
        <v>1.1773905387596499</v>
      </c>
      <c r="BF80" s="19">
        <v>1.22429365201815</v>
      </c>
      <c r="BG80" s="19">
        <v>1.26128137808451</v>
      </c>
      <c r="BH80" s="19">
        <v>1.2916129797767899</v>
      </c>
      <c r="BI80" s="19">
        <v>1.3182601213149601</v>
      </c>
      <c r="BJ80" s="19">
        <v>1.3428099678493099</v>
      </c>
      <c r="BK80" s="18"/>
      <c r="BL80" s="18"/>
      <c r="BM80" s="19">
        <v>1.0443145250697099</v>
      </c>
      <c r="BN80" s="19">
        <v>1.1306152173116</v>
      </c>
      <c r="BO80" s="19">
        <v>1.21924068672088</v>
      </c>
      <c r="BP80" s="19">
        <v>1.27646926722968</v>
      </c>
      <c r="BQ80" s="19">
        <v>1.30042580077174</v>
      </c>
      <c r="BR80" s="19">
        <v>1.3138549628545599</v>
      </c>
      <c r="BS80" s="19">
        <v>1.3204520825366399</v>
      </c>
      <c r="BT80" s="19">
        <v>1.3233409944391901</v>
      </c>
      <c r="BU80" s="19">
        <v>1.32410884589851</v>
      </c>
    </row>
    <row r="81" spans="3:73" x14ac:dyDescent="0.45">
      <c r="C81" s="15" t="s">
        <v>249</v>
      </c>
      <c r="D81" s="15" t="s">
        <v>321</v>
      </c>
      <c r="E81" s="15" t="s">
        <v>258</v>
      </c>
      <c r="F81" s="15"/>
      <c r="G81" s="15"/>
      <c r="H81" s="15" t="s">
        <v>320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249</v>
      </c>
      <c r="Y81" s="15" t="s">
        <v>322</v>
      </c>
      <c r="Z81" s="15" t="s">
        <v>331</v>
      </c>
      <c r="AA81" s="15"/>
      <c r="AB81" s="15"/>
      <c r="AC81" s="15"/>
      <c r="AD81" s="15" t="s">
        <v>323</v>
      </c>
      <c r="AE81" s="18"/>
      <c r="AF81" s="19">
        <v>5</v>
      </c>
      <c r="AG81" s="19">
        <v>97.283967328970903</v>
      </c>
      <c r="AH81" s="19">
        <v>65.197195446041405</v>
      </c>
      <c r="AI81" s="19">
        <v>59.842717084595598</v>
      </c>
      <c r="AJ81" s="19">
        <v>56.4270985303787</v>
      </c>
      <c r="AK81" s="18"/>
      <c r="AL81" s="19">
        <v>5</v>
      </c>
      <c r="AM81" s="19">
        <v>97.283967328970903</v>
      </c>
      <c r="AN81" s="19">
        <v>58.8593590627639</v>
      </c>
      <c r="AO81" s="19">
        <v>55.900305231438601</v>
      </c>
      <c r="AP81" s="19">
        <v>54.0127265567398</v>
      </c>
      <c r="AR81" s="15" t="s">
        <v>249</v>
      </c>
      <c r="AS81" s="15" t="s">
        <v>369</v>
      </c>
      <c r="AT81" s="15"/>
      <c r="AU81" s="15"/>
      <c r="AV81" s="15" t="s">
        <v>441</v>
      </c>
      <c r="AW81" s="15"/>
      <c r="AX81" s="15"/>
      <c r="AY81" s="15"/>
      <c r="AZ81" s="18"/>
      <c r="BA81" s="18"/>
      <c r="BB81" s="19">
        <v>0.55018804805634203</v>
      </c>
      <c r="BC81" s="19">
        <v>0.573434531138592</v>
      </c>
      <c r="BD81" s="19">
        <v>0.59535872451437</v>
      </c>
      <c r="BE81" s="19">
        <v>0.62509275059739899</v>
      </c>
      <c r="BF81" s="19">
        <v>0.64999425533449795</v>
      </c>
      <c r="BG81" s="19">
        <v>0.66963154531095703</v>
      </c>
      <c r="BH81" s="19">
        <v>0.68573500776261698</v>
      </c>
      <c r="BI81" s="19">
        <v>0.69988233989354998</v>
      </c>
      <c r="BJ81" s="19">
        <v>0.71291618940373003</v>
      </c>
      <c r="BK81" s="18"/>
      <c r="BL81" s="18"/>
      <c r="BM81" s="19">
        <v>0.55444087367335604</v>
      </c>
      <c r="BN81" s="19">
        <v>0.60025909228140695</v>
      </c>
      <c r="BO81" s="19">
        <v>0.64731156690413905</v>
      </c>
      <c r="BP81" s="19">
        <v>0.67769500351703904</v>
      </c>
      <c r="BQ81" s="19">
        <v>0.69041385503962904</v>
      </c>
      <c r="BR81" s="19">
        <v>0.69754358097866498</v>
      </c>
      <c r="BS81" s="19">
        <v>0.701046082104955</v>
      </c>
      <c r="BT81" s="19">
        <v>0.70257984497118298</v>
      </c>
      <c r="BU81" s="19">
        <v>0.70298750781962505</v>
      </c>
    </row>
    <row r="82" spans="3:73" x14ac:dyDescent="0.45">
      <c r="C82" s="15" t="s">
        <v>249</v>
      </c>
      <c r="D82" s="15" t="s">
        <v>321</v>
      </c>
      <c r="E82" s="15" t="s">
        <v>259</v>
      </c>
      <c r="F82" s="15"/>
      <c r="G82" s="15"/>
      <c r="H82" s="15" t="s">
        <v>320</v>
      </c>
      <c r="I82" s="15"/>
      <c r="J82" s="18"/>
      <c r="K82" s="19"/>
      <c r="L82" s="19">
        <v>0.02</v>
      </c>
      <c r="M82" s="19"/>
      <c r="N82" s="19"/>
      <c r="O82" s="19"/>
      <c r="P82" s="18"/>
      <c r="Q82" s="19"/>
      <c r="R82" s="19">
        <v>0.02</v>
      </c>
      <c r="S82" s="19"/>
      <c r="T82" s="19"/>
      <c r="U82" s="19"/>
      <c r="V82" s="19"/>
      <c r="X82" s="15" t="s">
        <v>249</v>
      </c>
      <c r="Y82" s="15" t="s">
        <v>322</v>
      </c>
      <c r="Z82" s="15" t="s">
        <v>332</v>
      </c>
      <c r="AA82" s="15"/>
      <c r="AB82" s="15"/>
      <c r="AC82" s="15"/>
      <c r="AD82" s="15" t="s">
        <v>323</v>
      </c>
      <c r="AE82" s="18"/>
      <c r="AF82" s="19">
        <v>5</v>
      </c>
      <c r="AG82" s="19">
        <v>57.303146992157899</v>
      </c>
      <c r="AH82" s="19">
        <v>56.971740085556597</v>
      </c>
      <c r="AI82" s="19">
        <v>57.739042784512897</v>
      </c>
      <c r="AJ82" s="19">
        <v>59.435882015026401</v>
      </c>
      <c r="AK82" s="18"/>
      <c r="AL82" s="19">
        <v>5</v>
      </c>
      <c r="AM82" s="19">
        <v>57.303146992157899</v>
      </c>
      <c r="AN82" s="19">
        <v>56.971740085556597</v>
      </c>
      <c r="AO82" s="19">
        <v>57.739042784512897</v>
      </c>
      <c r="AP82" s="19">
        <v>59.435882015026401</v>
      </c>
      <c r="AR82" s="15" t="s">
        <v>249</v>
      </c>
      <c r="AS82" s="15" t="s">
        <v>369</v>
      </c>
      <c r="AT82" s="15"/>
      <c r="AU82" s="15"/>
      <c r="AV82" s="15" t="s">
        <v>442</v>
      </c>
      <c r="AW82" s="15"/>
      <c r="AX82" s="15"/>
      <c r="AY82" s="15"/>
      <c r="AZ82" s="18"/>
      <c r="BA82" s="18"/>
      <c r="BB82" s="19">
        <v>7.8230933702260002</v>
      </c>
      <c r="BC82" s="19">
        <v>8.1536338251200604</v>
      </c>
      <c r="BD82" s="19">
        <v>8.4653727159438699</v>
      </c>
      <c r="BE82" s="19">
        <v>8.8881591853010704</v>
      </c>
      <c r="BF82" s="19">
        <v>9.24223230140319</v>
      </c>
      <c r="BG82" s="19">
        <v>9.5214538395059396</v>
      </c>
      <c r="BH82" s="19">
        <v>9.7504280798376097</v>
      </c>
      <c r="BI82" s="19">
        <v>9.9515882115250793</v>
      </c>
      <c r="BJ82" s="19">
        <v>10.1369157955245</v>
      </c>
      <c r="BK82" s="18"/>
      <c r="BL82" s="18"/>
      <c r="BM82" s="19">
        <v>7.8835640620316898</v>
      </c>
      <c r="BN82" s="19">
        <v>8.5350507737014105</v>
      </c>
      <c r="BO82" s="19">
        <v>9.2040873032556103</v>
      </c>
      <c r="BP82" s="19">
        <v>9.6361077049542097</v>
      </c>
      <c r="BQ82" s="19">
        <v>9.8169563500215897</v>
      </c>
      <c r="BR82" s="19">
        <v>9.9183335281014209</v>
      </c>
      <c r="BS82" s="19">
        <v>9.9681353975478508</v>
      </c>
      <c r="BT82" s="19">
        <v>9.9899438867592707</v>
      </c>
      <c r="BU82" s="19">
        <v>9.9957404222132897</v>
      </c>
    </row>
    <row r="83" spans="3:73" x14ac:dyDescent="0.45">
      <c r="C83" s="15" t="s">
        <v>249</v>
      </c>
      <c r="D83" s="15" t="s">
        <v>321</v>
      </c>
      <c r="E83" s="15" t="s">
        <v>260</v>
      </c>
      <c r="F83" s="15"/>
      <c r="G83" s="15"/>
      <c r="H83" s="15" t="s">
        <v>320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249</v>
      </c>
      <c r="Y83" s="15" t="s">
        <v>322</v>
      </c>
      <c r="Z83" s="15" t="s">
        <v>333</v>
      </c>
      <c r="AA83" s="15"/>
      <c r="AB83" s="15"/>
      <c r="AC83" s="15"/>
      <c r="AD83" s="15" t="s">
        <v>323</v>
      </c>
      <c r="AE83" s="18"/>
      <c r="AF83" s="19">
        <v>5</v>
      </c>
      <c r="AG83" s="19">
        <v>38.539138979341097</v>
      </c>
      <c r="AH83" s="19">
        <v>37.682713668689097</v>
      </c>
      <c r="AI83" s="19">
        <v>38.253663875790402</v>
      </c>
      <c r="AJ83" s="19">
        <v>38.539138979341097</v>
      </c>
      <c r="AK83" s="18"/>
      <c r="AL83" s="19">
        <v>5</v>
      </c>
      <c r="AM83" s="19">
        <v>38.539138979341097</v>
      </c>
      <c r="AN83" s="19">
        <v>37.682713668689097</v>
      </c>
      <c r="AO83" s="19">
        <v>38.253663875790402</v>
      </c>
      <c r="AP83" s="19">
        <v>38.539138979341097</v>
      </c>
      <c r="AR83" s="15" t="s">
        <v>249</v>
      </c>
      <c r="AS83" s="15" t="s">
        <v>369</v>
      </c>
      <c r="AT83" s="15"/>
      <c r="AU83" s="15"/>
      <c r="AV83" s="15" t="s">
        <v>443</v>
      </c>
      <c r="AW83" s="15"/>
      <c r="AX83" s="15"/>
      <c r="AY83" s="15"/>
      <c r="AZ83" s="18"/>
      <c r="BA83" s="18"/>
      <c r="BB83" s="19">
        <v>1.0320924187109599</v>
      </c>
      <c r="BC83" s="19">
        <v>1.07570027067292</v>
      </c>
      <c r="BD83" s="19">
        <v>1.1168276522098901</v>
      </c>
      <c r="BE83" s="19">
        <v>1.17260542311288</v>
      </c>
      <c r="BF83" s="19">
        <v>1.2193179141319901</v>
      </c>
      <c r="BG83" s="19">
        <v>1.2561553157809899</v>
      </c>
      <c r="BH83" s="19">
        <v>1.28636364467885</v>
      </c>
      <c r="BI83" s="19">
        <v>1.31290248769608</v>
      </c>
      <c r="BJ83" s="19">
        <v>1.33735255947353</v>
      </c>
      <c r="BK83" s="18"/>
      <c r="BL83" s="18"/>
      <c r="BM83" s="19">
        <v>1.04007025300403</v>
      </c>
      <c r="BN83" s="19">
        <v>1.1260202045365399</v>
      </c>
      <c r="BO83" s="19">
        <v>1.21428548494615</v>
      </c>
      <c r="BP83" s="19">
        <v>1.27128147875834</v>
      </c>
      <c r="BQ83" s="19">
        <v>1.29514064886854</v>
      </c>
      <c r="BR83" s="19">
        <v>1.3085152325498199</v>
      </c>
      <c r="BS83" s="19">
        <v>1.31508554041408</v>
      </c>
      <c r="BT83" s="19">
        <v>1.3179627112867101</v>
      </c>
      <c r="BU83" s="19">
        <v>1.3187274420669499</v>
      </c>
    </row>
    <row r="84" spans="3:73" x14ac:dyDescent="0.45">
      <c r="C84" s="15" t="s">
        <v>249</v>
      </c>
      <c r="D84" s="15" t="s">
        <v>321</v>
      </c>
      <c r="E84" s="15" t="s">
        <v>261</v>
      </c>
      <c r="F84" s="15"/>
      <c r="G84" s="15"/>
      <c r="H84" s="15" t="s">
        <v>320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249</v>
      </c>
      <c r="Y84" s="15" t="s">
        <v>322</v>
      </c>
      <c r="Z84" s="15" t="s">
        <v>334</v>
      </c>
      <c r="AA84" s="15"/>
      <c r="AB84" s="15"/>
      <c r="AC84" s="15"/>
      <c r="AD84" s="15" t="s">
        <v>323</v>
      </c>
      <c r="AE84" s="18"/>
      <c r="AF84" s="19">
        <v>5</v>
      </c>
      <c r="AG84" s="19">
        <v>50.400339083480702</v>
      </c>
      <c r="AH84" s="19">
        <v>53.296910295175003</v>
      </c>
      <c r="AI84" s="19">
        <v>54.841748274745299</v>
      </c>
      <c r="AJ84" s="19">
        <v>56.386586254315503</v>
      </c>
      <c r="AK84" s="18"/>
      <c r="AL84" s="19">
        <v>5</v>
      </c>
      <c r="AM84" s="19">
        <v>50.400339083480702</v>
      </c>
      <c r="AN84" s="19">
        <v>53.296910295175003</v>
      </c>
      <c r="AO84" s="19">
        <v>54.841748274745299</v>
      </c>
      <c r="AP84" s="19">
        <v>56.386586254315503</v>
      </c>
      <c r="AR84" s="15" t="s">
        <v>249</v>
      </c>
      <c r="AS84" s="15" t="s">
        <v>369</v>
      </c>
      <c r="AT84" s="15"/>
      <c r="AU84" s="15"/>
      <c r="AV84" s="15" t="s">
        <v>444</v>
      </c>
      <c r="AW84" s="15"/>
      <c r="AX84" s="15"/>
      <c r="AY84" s="15"/>
      <c r="AZ84" s="18"/>
      <c r="BA84" s="18"/>
      <c r="BB84" s="19">
        <v>4.8223011641036102</v>
      </c>
      <c r="BC84" s="19">
        <v>5.0260524866284602</v>
      </c>
      <c r="BD84" s="19">
        <v>5.2182141731855296</v>
      </c>
      <c r="BE84" s="19">
        <v>5.4788276654273496</v>
      </c>
      <c r="BF84" s="19">
        <v>5.6970849607391303</v>
      </c>
      <c r="BG84" s="19">
        <v>5.8692023425104303</v>
      </c>
      <c r="BH84" s="19">
        <v>6.0103463495477998</v>
      </c>
      <c r="BI84" s="19">
        <v>6.1343452194704904</v>
      </c>
      <c r="BJ84" s="19">
        <v>6.2485846106890603</v>
      </c>
      <c r="BK84" s="18"/>
      <c r="BL84" s="18"/>
      <c r="BM84" s="19">
        <v>4.8595764302532496</v>
      </c>
      <c r="BN84" s="19">
        <v>5.2611650320255201</v>
      </c>
      <c r="BO84" s="19">
        <v>5.6735716699899896</v>
      </c>
      <c r="BP84" s="19">
        <v>5.9398771309418796</v>
      </c>
      <c r="BQ84" s="19">
        <v>6.0513556203785699</v>
      </c>
      <c r="BR84" s="19">
        <v>6.1138464102403498</v>
      </c>
      <c r="BS84" s="19">
        <v>6.1445452146186899</v>
      </c>
      <c r="BT84" s="19">
        <v>6.1579883755186797</v>
      </c>
      <c r="BU84" s="19">
        <v>6.16156146845581</v>
      </c>
    </row>
    <row r="85" spans="3:73" x14ac:dyDescent="0.45">
      <c r="C85" s="15" t="s">
        <v>249</v>
      </c>
      <c r="D85" s="15" t="s">
        <v>321</v>
      </c>
      <c r="E85" s="15" t="s">
        <v>262</v>
      </c>
      <c r="F85" s="15"/>
      <c r="G85" s="15"/>
      <c r="H85" s="15" t="s">
        <v>320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249</v>
      </c>
      <c r="Y85" s="15" t="s">
        <v>322</v>
      </c>
      <c r="Z85" s="15" t="s">
        <v>335</v>
      </c>
      <c r="AA85" s="15"/>
      <c r="AB85" s="15"/>
      <c r="AC85" s="15"/>
      <c r="AD85" s="15" t="s">
        <v>323</v>
      </c>
      <c r="AE85" s="18"/>
      <c r="AF85" s="19">
        <v>5</v>
      </c>
      <c r="AG85" s="19">
        <v>33.896666666666697</v>
      </c>
      <c r="AH85" s="19">
        <v>35.252077732974897</v>
      </c>
      <c r="AI85" s="19">
        <v>36.334128584229397</v>
      </c>
      <c r="AJ85" s="19">
        <v>36.561928763440903</v>
      </c>
      <c r="AK85" s="18"/>
      <c r="AL85" s="19">
        <v>5</v>
      </c>
      <c r="AM85" s="19">
        <v>33.896666666666697</v>
      </c>
      <c r="AN85" s="19">
        <v>35.252077732974897</v>
      </c>
      <c r="AO85" s="19">
        <v>36.334128584229397</v>
      </c>
      <c r="AP85" s="19">
        <v>36.561928763440903</v>
      </c>
      <c r="AR85" s="15" t="s">
        <v>249</v>
      </c>
      <c r="AS85" s="15" t="s">
        <v>369</v>
      </c>
      <c r="AT85" s="15"/>
      <c r="AU85" s="15"/>
      <c r="AV85" s="15" t="s">
        <v>445</v>
      </c>
      <c r="AW85" s="15"/>
      <c r="AX85" s="15"/>
      <c r="AY85" s="15"/>
      <c r="AZ85" s="18"/>
      <c r="BA85" s="18"/>
      <c r="BB85" s="19">
        <v>2.2244320249407599</v>
      </c>
      <c r="BC85" s="19">
        <v>2.3184184748792398</v>
      </c>
      <c r="BD85" s="19">
        <v>2.40705885526984</v>
      </c>
      <c r="BE85" s="19">
        <v>2.52727469798611</v>
      </c>
      <c r="BF85" s="19">
        <v>2.6279524658912901</v>
      </c>
      <c r="BG85" s="19">
        <v>2.7073468054466399</v>
      </c>
      <c r="BH85" s="19">
        <v>2.7724537406417098</v>
      </c>
      <c r="BI85" s="19">
        <v>2.82965196363237</v>
      </c>
      <c r="BJ85" s="19">
        <v>2.8823483323759702</v>
      </c>
      <c r="BK85" s="18"/>
      <c r="BL85" s="18"/>
      <c r="BM85" s="19">
        <v>2.2416263670068899</v>
      </c>
      <c r="BN85" s="19">
        <v>2.4268712358431599</v>
      </c>
      <c r="BO85" s="19">
        <v>2.6171062505318101</v>
      </c>
      <c r="BP85" s="19">
        <v>2.7399476856888598</v>
      </c>
      <c r="BQ85" s="19">
        <v>2.7913705051180702</v>
      </c>
      <c r="BR85" s="19">
        <v>2.8201962688980502</v>
      </c>
      <c r="BS85" s="19">
        <v>2.83435701939097</v>
      </c>
      <c r="BT85" s="19">
        <v>2.84055808328241</v>
      </c>
      <c r="BU85" s="19">
        <v>2.8422062802918799</v>
      </c>
    </row>
    <row r="86" spans="3:73" x14ac:dyDescent="0.45">
      <c r="C86" s="15" t="s">
        <v>249</v>
      </c>
      <c r="D86" s="15" t="s">
        <v>321</v>
      </c>
      <c r="E86" s="15" t="s">
        <v>263</v>
      </c>
      <c r="F86" s="15"/>
      <c r="G86" s="15"/>
      <c r="H86" s="15" t="s">
        <v>320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249</v>
      </c>
      <c r="Y86" s="15" t="s">
        <v>322</v>
      </c>
      <c r="Z86" s="15" t="s">
        <v>336</v>
      </c>
      <c r="AA86" s="15"/>
      <c r="AB86" s="15"/>
      <c r="AC86" s="15"/>
      <c r="AD86" s="15" t="s">
        <v>323</v>
      </c>
      <c r="AE86" s="18"/>
      <c r="AF86" s="19">
        <v>5</v>
      </c>
      <c r="AG86" s="19">
        <v>115.04822804859501</v>
      </c>
      <c r="AH86" s="19">
        <v>85.444218043248995</v>
      </c>
      <c r="AI86" s="19">
        <v>85.302529162299507</v>
      </c>
      <c r="AJ86" s="19">
        <v>85.302529162299507</v>
      </c>
      <c r="AK86" s="18"/>
      <c r="AL86" s="19">
        <v>5</v>
      </c>
      <c r="AM86" s="19">
        <v>115.04822804859501</v>
      </c>
      <c r="AN86" s="19">
        <v>89.186507208058103</v>
      </c>
      <c r="AO86" s="19">
        <v>89.0386126320237</v>
      </c>
      <c r="AP86" s="19">
        <v>90.976357876439593</v>
      </c>
      <c r="AR86" s="15" t="s">
        <v>249</v>
      </c>
      <c r="AS86" s="15" t="s">
        <v>369</v>
      </c>
      <c r="AT86" s="15"/>
      <c r="AU86" s="15"/>
      <c r="AV86" s="15" t="s">
        <v>446</v>
      </c>
      <c r="AW86" s="15"/>
      <c r="AX86" s="15"/>
      <c r="AY86" s="15"/>
      <c r="AZ86" s="18"/>
      <c r="BA86" s="18"/>
      <c r="BB86" s="19">
        <v>0.82709999999999995</v>
      </c>
      <c r="BC86" s="19">
        <v>0.59399999999999997</v>
      </c>
      <c r="BD86" s="19">
        <v>0.42659999999999998</v>
      </c>
      <c r="BE86" s="19">
        <v>0.42659999999999998</v>
      </c>
      <c r="BF86" s="19">
        <v>0.42659999999999998</v>
      </c>
      <c r="BG86" s="19">
        <v>0.42659999999999998</v>
      </c>
      <c r="BH86" s="19">
        <v>0.42659999999999998</v>
      </c>
      <c r="BI86" s="19">
        <v>0.42659999999999998</v>
      </c>
      <c r="BJ86" s="19">
        <v>0.42659999999999998</v>
      </c>
      <c r="BK86" s="18"/>
      <c r="BL86" s="18"/>
      <c r="BM86" s="19">
        <v>1.2955000000000001</v>
      </c>
      <c r="BN86" s="19">
        <v>1.4573</v>
      </c>
      <c r="BO86" s="19">
        <v>1.6392</v>
      </c>
      <c r="BP86" s="19">
        <v>1.7653000000000001</v>
      </c>
      <c r="BQ86" s="19">
        <v>1.901</v>
      </c>
      <c r="BR86" s="19">
        <v>1.3652</v>
      </c>
      <c r="BS86" s="19">
        <v>0.98050000000000004</v>
      </c>
      <c r="BT86" s="19">
        <v>0.70409999999999995</v>
      </c>
      <c r="BU86" s="19">
        <v>0.50570000000000004</v>
      </c>
    </row>
    <row r="87" spans="3:73" x14ac:dyDescent="0.45">
      <c r="C87" s="15" t="s">
        <v>249</v>
      </c>
      <c r="D87" s="15" t="s">
        <v>321</v>
      </c>
      <c r="E87" s="15" t="s">
        <v>264</v>
      </c>
      <c r="F87" s="15"/>
      <c r="G87" s="15"/>
      <c r="H87" s="15" t="s">
        <v>320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249</v>
      </c>
      <c r="Y87" s="15" t="s">
        <v>322</v>
      </c>
      <c r="Z87" s="15" t="s">
        <v>339</v>
      </c>
      <c r="AA87" s="15"/>
      <c r="AB87" s="15"/>
      <c r="AC87" s="15"/>
      <c r="AD87" s="15" t="s">
        <v>323</v>
      </c>
      <c r="AE87" s="18"/>
      <c r="AF87" s="19">
        <v>5</v>
      </c>
      <c r="AG87" s="19">
        <v>77.375500000000002</v>
      </c>
      <c r="AH87" s="19">
        <v>56.515212600730401</v>
      </c>
      <c r="AI87" s="19">
        <v>56.515212600730401</v>
      </c>
      <c r="AJ87" s="19">
        <v>56.515212600730401</v>
      </c>
      <c r="AK87" s="18"/>
      <c r="AL87" s="19">
        <v>5</v>
      </c>
      <c r="AM87" s="19">
        <v>77.375500000000002</v>
      </c>
      <c r="AN87" s="19">
        <v>58.990468066882002</v>
      </c>
      <c r="AO87" s="19">
        <v>58.990468066882002</v>
      </c>
      <c r="AP87" s="19">
        <v>58.990468066882002</v>
      </c>
      <c r="AR87" s="15" t="s">
        <v>249</v>
      </c>
      <c r="AS87" s="15" t="s">
        <v>369</v>
      </c>
      <c r="AT87" s="15"/>
      <c r="AU87" s="15"/>
      <c r="AV87" s="15" t="s">
        <v>447</v>
      </c>
      <c r="AW87" s="15"/>
      <c r="AX87" s="15"/>
      <c r="AY87" s="15"/>
      <c r="AZ87" s="18"/>
      <c r="BA87" s="18"/>
      <c r="BB87" s="19">
        <v>0.36530000000000001</v>
      </c>
      <c r="BC87" s="19">
        <v>0.26240000000000002</v>
      </c>
      <c r="BD87" s="19">
        <v>0.18840000000000001</v>
      </c>
      <c r="BE87" s="19">
        <v>0.18840000000000001</v>
      </c>
      <c r="BF87" s="19">
        <v>0.18840000000000001</v>
      </c>
      <c r="BG87" s="19">
        <v>0.18840000000000001</v>
      </c>
      <c r="BH87" s="19">
        <v>0.18840000000000001</v>
      </c>
      <c r="BI87" s="19">
        <v>0.18840000000000001</v>
      </c>
      <c r="BJ87" s="19">
        <v>0.18840000000000001</v>
      </c>
      <c r="BK87" s="18"/>
      <c r="BL87" s="18"/>
      <c r="BM87" s="19">
        <v>0.57220000000000004</v>
      </c>
      <c r="BN87" s="19">
        <v>0.64370000000000005</v>
      </c>
      <c r="BO87" s="19">
        <v>0.72399999999999998</v>
      </c>
      <c r="BP87" s="19">
        <v>0.77969999999999995</v>
      </c>
      <c r="BQ87" s="19">
        <v>0.8397</v>
      </c>
      <c r="BR87" s="19">
        <v>0.60299999999999998</v>
      </c>
      <c r="BS87" s="19">
        <v>0.43309999999999998</v>
      </c>
      <c r="BT87" s="19">
        <v>0.311</v>
      </c>
      <c r="BU87" s="19">
        <v>0.22339999999999999</v>
      </c>
    </row>
    <row r="88" spans="3:73" x14ac:dyDescent="0.45">
      <c r="C88" s="15" t="s">
        <v>249</v>
      </c>
      <c r="D88" s="15" t="s">
        <v>321</v>
      </c>
      <c r="E88" s="15" t="s">
        <v>265</v>
      </c>
      <c r="F88" s="15"/>
      <c r="G88" s="15"/>
      <c r="H88" s="15" t="s">
        <v>320</v>
      </c>
      <c r="I88" s="15"/>
      <c r="J88" s="18"/>
      <c r="K88" s="19"/>
      <c r="L88" s="19">
        <v>0.09</v>
      </c>
      <c r="M88" s="19"/>
      <c r="N88" s="19"/>
      <c r="O88" s="19"/>
      <c r="P88" s="18"/>
      <c r="Q88" s="19"/>
      <c r="R88" s="19">
        <v>0.09</v>
      </c>
      <c r="S88" s="19"/>
      <c r="T88" s="19"/>
      <c r="U88" s="19"/>
      <c r="V88" s="19"/>
      <c r="X88" s="15" t="s">
        <v>249</v>
      </c>
      <c r="Y88" s="15" t="s">
        <v>322</v>
      </c>
      <c r="Z88" s="15" t="s">
        <v>341</v>
      </c>
      <c r="AA88" s="15"/>
      <c r="AB88" s="15"/>
      <c r="AC88" s="15"/>
      <c r="AD88" s="15" t="s">
        <v>323</v>
      </c>
      <c r="AE88" s="18"/>
      <c r="AF88" s="19">
        <v>5</v>
      </c>
      <c r="AG88" s="19">
        <v>470</v>
      </c>
      <c r="AH88" s="19">
        <v>301</v>
      </c>
      <c r="AI88" s="19">
        <v>275</v>
      </c>
      <c r="AJ88" s="19">
        <v>275</v>
      </c>
      <c r="AK88" s="18"/>
      <c r="AL88" s="19">
        <v>5</v>
      </c>
      <c r="AM88" s="19">
        <v>501</v>
      </c>
      <c r="AN88" s="19">
        <v>317</v>
      </c>
      <c r="AO88" s="19">
        <v>286</v>
      </c>
      <c r="AP88" s="19">
        <v>286</v>
      </c>
      <c r="AR88" s="15" t="s">
        <v>249</v>
      </c>
      <c r="AS88" s="15" t="s">
        <v>369</v>
      </c>
      <c r="AT88" s="15"/>
      <c r="AU88" s="15"/>
      <c r="AV88" s="15" t="s">
        <v>448</v>
      </c>
      <c r="AW88" s="15"/>
      <c r="AX88" s="15"/>
      <c r="AY88" s="15"/>
      <c r="AZ88" s="18"/>
      <c r="BA88" s="18"/>
      <c r="BB88" s="19">
        <v>0.2407</v>
      </c>
      <c r="BC88" s="19">
        <v>0.1729</v>
      </c>
      <c r="BD88" s="19">
        <v>0.1241</v>
      </c>
      <c r="BE88" s="19">
        <v>0.1241</v>
      </c>
      <c r="BF88" s="19">
        <v>0.1241</v>
      </c>
      <c r="BG88" s="19">
        <v>0.1241</v>
      </c>
      <c r="BH88" s="19">
        <v>0.1241</v>
      </c>
      <c r="BI88" s="19">
        <v>0.1241</v>
      </c>
      <c r="BJ88" s="19">
        <v>0.1241</v>
      </c>
      <c r="BK88" s="18"/>
      <c r="BL88" s="18"/>
      <c r="BM88" s="19">
        <v>0.377</v>
      </c>
      <c r="BN88" s="19">
        <v>0.42409999999999998</v>
      </c>
      <c r="BO88" s="19">
        <v>0.47699999999999998</v>
      </c>
      <c r="BP88" s="19">
        <v>0.51370000000000005</v>
      </c>
      <c r="BQ88" s="19">
        <v>0.55320000000000003</v>
      </c>
      <c r="BR88" s="19">
        <v>0.39729999999999999</v>
      </c>
      <c r="BS88" s="19">
        <v>0.2853</v>
      </c>
      <c r="BT88" s="19">
        <v>0.2049</v>
      </c>
      <c r="BU88" s="19">
        <v>0.1472</v>
      </c>
    </row>
    <row r="89" spans="3:73" x14ac:dyDescent="0.45">
      <c r="C89" s="15" t="s">
        <v>249</v>
      </c>
      <c r="D89" s="15" t="s">
        <v>321</v>
      </c>
      <c r="E89" s="15" t="s">
        <v>266</v>
      </c>
      <c r="F89" s="15"/>
      <c r="G89" s="15"/>
      <c r="H89" s="15" t="s">
        <v>320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249</v>
      </c>
      <c r="Y89" s="15" t="s">
        <v>322</v>
      </c>
      <c r="Z89" s="15" t="s">
        <v>342</v>
      </c>
      <c r="AA89" s="15"/>
      <c r="AB89" s="15"/>
      <c r="AC89" s="15"/>
      <c r="AD89" s="15" t="s">
        <v>323</v>
      </c>
      <c r="AE89" s="18"/>
      <c r="AF89" s="19">
        <v>5</v>
      </c>
      <c r="AG89" s="19">
        <v>727</v>
      </c>
      <c r="AH89" s="19">
        <v>344</v>
      </c>
      <c r="AI89" s="19">
        <v>292</v>
      </c>
      <c r="AJ89" s="19">
        <v>292</v>
      </c>
      <c r="AK89" s="18"/>
      <c r="AL89" s="19">
        <v>5</v>
      </c>
      <c r="AM89" s="19">
        <v>727</v>
      </c>
      <c r="AN89" s="19">
        <v>361</v>
      </c>
      <c r="AO89" s="19">
        <v>307</v>
      </c>
      <c r="AP89" s="19">
        <v>307</v>
      </c>
      <c r="AR89" s="15" t="s">
        <v>249</v>
      </c>
      <c r="AS89" s="15" t="s">
        <v>369</v>
      </c>
      <c r="AT89" s="15"/>
      <c r="AU89" s="15"/>
      <c r="AV89" s="15" t="s">
        <v>449</v>
      </c>
      <c r="AW89" s="15"/>
      <c r="AX89" s="15"/>
      <c r="AY89" s="15"/>
      <c r="AZ89" s="18"/>
      <c r="BA89" s="18"/>
      <c r="BB89" s="19">
        <v>1.085</v>
      </c>
      <c r="BC89" s="19">
        <v>0.7792</v>
      </c>
      <c r="BD89" s="19">
        <v>0.55959999999999999</v>
      </c>
      <c r="BE89" s="19">
        <v>0.55959999999999999</v>
      </c>
      <c r="BF89" s="19">
        <v>0.55959999999999999</v>
      </c>
      <c r="BG89" s="19">
        <v>0.55959999999999999</v>
      </c>
      <c r="BH89" s="19">
        <v>0.55959999999999999</v>
      </c>
      <c r="BI89" s="19">
        <v>0.55959999999999999</v>
      </c>
      <c r="BJ89" s="19">
        <v>0.55959999999999999</v>
      </c>
      <c r="BK89" s="18"/>
      <c r="BL89" s="18"/>
      <c r="BM89" s="19">
        <v>1.6994</v>
      </c>
      <c r="BN89" s="19">
        <v>1.9116</v>
      </c>
      <c r="BO89" s="19">
        <v>2.1503000000000001</v>
      </c>
      <c r="BP89" s="19">
        <v>2.3155999999999999</v>
      </c>
      <c r="BQ89" s="19">
        <v>2.4935999999999998</v>
      </c>
      <c r="BR89" s="19">
        <v>1.7907999999999999</v>
      </c>
      <c r="BS89" s="19">
        <v>1.2861</v>
      </c>
      <c r="BT89" s="19">
        <v>0.92369999999999997</v>
      </c>
      <c r="BU89" s="19">
        <v>0.6633</v>
      </c>
    </row>
    <row r="90" spans="3:73" x14ac:dyDescent="0.45">
      <c r="C90" s="15" t="s">
        <v>249</v>
      </c>
      <c r="D90" s="15" t="s">
        <v>321</v>
      </c>
      <c r="E90" s="15" t="s">
        <v>267</v>
      </c>
      <c r="F90" s="15"/>
      <c r="G90" s="15"/>
      <c r="H90" s="15" t="s">
        <v>320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249</v>
      </c>
      <c r="Y90" s="15" t="s">
        <v>322</v>
      </c>
      <c r="Z90" s="15" t="s">
        <v>343</v>
      </c>
      <c r="AA90" s="15"/>
      <c r="AB90" s="15"/>
      <c r="AC90" s="15"/>
      <c r="AD90" s="15" t="s">
        <v>323</v>
      </c>
      <c r="AE90" s="18"/>
      <c r="AF90" s="19">
        <v>5</v>
      </c>
      <c r="AG90" s="19">
        <v>250</v>
      </c>
      <c r="AH90" s="19">
        <v>250</v>
      </c>
      <c r="AI90" s="19">
        <v>250</v>
      </c>
      <c r="AJ90" s="19">
        <v>250</v>
      </c>
      <c r="AK90" s="18"/>
      <c r="AL90" s="19">
        <v>5</v>
      </c>
      <c r="AM90" s="19">
        <v>250</v>
      </c>
      <c r="AN90" s="19">
        <v>250</v>
      </c>
      <c r="AO90" s="19">
        <v>250</v>
      </c>
      <c r="AP90" s="19">
        <v>250</v>
      </c>
      <c r="AR90" s="15" t="s">
        <v>249</v>
      </c>
      <c r="AS90" s="15" t="s">
        <v>369</v>
      </c>
      <c r="AT90" s="15"/>
      <c r="AU90" s="15"/>
      <c r="AV90" s="15" t="s">
        <v>450</v>
      </c>
      <c r="AW90" s="15"/>
      <c r="AX90" s="15"/>
      <c r="AY90" s="15"/>
      <c r="AZ90" s="18"/>
      <c r="BA90" s="18"/>
      <c r="BB90" s="19">
        <v>0.89956004292387304</v>
      </c>
      <c r="BC90" s="19">
        <v>0.646040718764466</v>
      </c>
      <c r="BD90" s="19">
        <v>0.46397278121449298</v>
      </c>
      <c r="BE90" s="19">
        <v>0.46397278121449298</v>
      </c>
      <c r="BF90" s="19">
        <v>0.46397278121449298</v>
      </c>
      <c r="BG90" s="19">
        <v>0.46397278121449298</v>
      </c>
      <c r="BH90" s="19">
        <v>0.46397278121449298</v>
      </c>
      <c r="BI90" s="19">
        <v>0.46397278121449298</v>
      </c>
      <c r="BJ90" s="19">
        <v>0.46397278121449298</v>
      </c>
      <c r="BK90" s="18"/>
      <c r="BL90" s="18"/>
      <c r="BM90" s="19">
        <v>5.3460000000000001</v>
      </c>
      <c r="BN90" s="19">
        <v>6.0134999999999996</v>
      </c>
      <c r="BO90" s="19">
        <v>6.7644000000000002</v>
      </c>
      <c r="BP90" s="19">
        <v>7.2845000000000004</v>
      </c>
      <c r="BQ90" s="19">
        <v>7.8445999999999998</v>
      </c>
      <c r="BR90" s="19">
        <v>5.6337000000000002</v>
      </c>
      <c r="BS90" s="19">
        <v>4.0460000000000003</v>
      </c>
      <c r="BT90" s="19">
        <v>2.9056999999999999</v>
      </c>
      <c r="BU90" s="19">
        <v>2.0868000000000002</v>
      </c>
    </row>
    <row r="91" spans="3:73" x14ac:dyDescent="0.45">
      <c r="C91" s="15" t="s">
        <v>249</v>
      </c>
      <c r="D91" s="15" t="s">
        <v>321</v>
      </c>
      <c r="E91" s="15" t="s">
        <v>268</v>
      </c>
      <c r="F91" s="15"/>
      <c r="G91" s="15"/>
      <c r="H91" s="15" t="s">
        <v>320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249</v>
      </c>
      <c r="Y91" s="15" t="s">
        <v>322</v>
      </c>
      <c r="Z91" s="15" t="s">
        <v>344</v>
      </c>
      <c r="AA91" s="15"/>
      <c r="AB91" s="15"/>
      <c r="AC91" s="15"/>
      <c r="AD91" s="15" t="s">
        <v>323</v>
      </c>
      <c r="AE91" s="18"/>
      <c r="AF91" s="19">
        <v>5</v>
      </c>
      <c r="AG91" s="19">
        <v>188</v>
      </c>
      <c r="AH91" s="19">
        <v>123</v>
      </c>
      <c r="AI91" s="19">
        <v>112</v>
      </c>
      <c r="AJ91" s="19">
        <v>112</v>
      </c>
      <c r="AK91" s="18"/>
      <c r="AL91" s="19">
        <v>5</v>
      </c>
      <c r="AM91" s="19">
        <v>198</v>
      </c>
      <c r="AN91" s="19">
        <v>127</v>
      </c>
      <c r="AO91" s="19">
        <v>116</v>
      </c>
      <c r="AP91" s="19">
        <v>116</v>
      </c>
      <c r="AR91" s="15" t="s">
        <v>249</v>
      </c>
      <c r="AS91" s="15" t="s">
        <v>369</v>
      </c>
      <c r="AT91" s="15"/>
      <c r="AU91" s="15"/>
      <c r="AV91" s="15" t="s">
        <v>451</v>
      </c>
      <c r="AW91" s="15"/>
      <c r="AX91" s="15"/>
      <c r="AY91" s="15"/>
      <c r="AZ91" s="18"/>
      <c r="BA91" s="18"/>
      <c r="BB91" s="19">
        <v>0.89215800000000001</v>
      </c>
      <c r="BC91" s="19">
        <v>0.91919099999999998</v>
      </c>
      <c r="BD91" s="19">
        <v>0.947044</v>
      </c>
      <c r="BE91" s="19">
        <v>1.019863</v>
      </c>
      <c r="BF91" s="19">
        <v>1.0982799999999999</v>
      </c>
      <c r="BG91" s="19">
        <v>1.200121</v>
      </c>
      <c r="BH91" s="19">
        <v>1.311404</v>
      </c>
      <c r="BI91" s="19">
        <v>1.4330069999999999</v>
      </c>
      <c r="BJ91" s="19">
        <v>1.565885</v>
      </c>
      <c r="BK91" s="18"/>
      <c r="BL91" s="18"/>
      <c r="BM91" s="19">
        <v>0.902929583848882</v>
      </c>
      <c r="BN91" s="19">
        <v>1.0156881877423101</v>
      </c>
      <c r="BO91" s="19">
        <v>1.1424836818444299</v>
      </c>
      <c r="BP91" s="19">
        <v>1.2303466691413001</v>
      </c>
      <c r="BQ91" s="19">
        <v>1.3248970428111899</v>
      </c>
      <c r="BR91" s="19">
        <v>1.3448929901839499</v>
      </c>
      <c r="BS91" s="19">
        <v>1.36515378454178</v>
      </c>
      <c r="BT91" s="19">
        <v>1.38574563763095</v>
      </c>
      <c r="BU91" s="19">
        <v>1.4066685494514599</v>
      </c>
    </row>
    <row r="92" spans="3:73" x14ac:dyDescent="0.45">
      <c r="C92" s="15" t="s">
        <v>249</v>
      </c>
      <c r="D92" s="15" t="s">
        <v>321</v>
      </c>
      <c r="E92" s="15" t="s">
        <v>269</v>
      </c>
      <c r="F92" s="15"/>
      <c r="G92" s="15"/>
      <c r="H92" s="15" t="s">
        <v>320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249</v>
      </c>
      <c r="Y92" s="15" t="s">
        <v>322</v>
      </c>
      <c r="Z92" s="15" t="s">
        <v>345</v>
      </c>
      <c r="AA92" s="15"/>
      <c r="AB92" s="15"/>
      <c r="AC92" s="15"/>
      <c r="AD92" s="15" t="s">
        <v>323</v>
      </c>
      <c r="AE92" s="18"/>
      <c r="AF92" s="19">
        <v>5</v>
      </c>
      <c r="AG92" s="19">
        <v>523</v>
      </c>
      <c r="AH92" s="19">
        <v>232</v>
      </c>
      <c r="AI92" s="19">
        <v>195</v>
      </c>
      <c r="AJ92" s="19">
        <v>195</v>
      </c>
      <c r="AK92" s="18"/>
      <c r="AL92" s="19">
        <v>5</v>
      </c>
      <c r="AM92" s="19">
        <v>523</v>
      </c>
      <c r="AN92" s="19">
        <v>244</v>
      </c>
      <c r="AO92" s="19">
        <v>205</v>
      </c>
      <c r="AP92" s="19">
        <v>205</v>
      </c>
      <c r="AR92" s="15" t="s">
        <v>249</v>
      </c>
      <c r="AS92" s="15" t="s">
        <v>369</v>
      </c>
      <c r="AT92" s="15"/>
      <c r="AU92" s="15"/>
      <c r="AV92" s="15" t="s">
        <v>452</v>
      </c>
      <c r="AW92" s="15"/>
      <c r="AX92" s="15"/>
      <c r="AY92" s="15"/>
      <c r="AZ92" s="18"/>
      <c r="BA92" s="18"/>
      <c r="BB92" s="19">
        <v>0.54400000000000004</v>
      </c>
      <c r="BC92" s="19">
        <v>0.56040000000000001</v>
      </c>
      <c r="BD92" s="19">
        <v>0.57740000000000002</v>
      </c>
      <c r="BE92" s="19">
        <v>0.62180000000000002</v>
      </c>
      <c r="BF92" s="19">
        <v>0.66959999999999997</v>
      </c>
      <c r="BG92" s="19">
        <v>0.73170000000000002</v>
      </c>
      <c r="BH92" s="19">
        <v>0.79959999999999998</v>
      </c>
      <c r="BI92" s="19">
        <v>0.87370000000000003</v>
      </c>
      <c r="BJ92" s="19">
        <v>0.95469999999999999</v>
      </c>
      <c r="BK92" s="18"/>
      <c r="BL92" s="18"/>
      <c r="BM92" s="19">
        <v>0.59389999999999998</v>
      </c>
      <c r="BN92" s="19">
        <v>0.66800000000000004</v>
      </c>
      <c r="BO92" s="19">
        <v>0.75149999999999995</v>
      </c>
      <c r="BP92" s="19">
        <v>0.80920000000000003</v>
      </c>
      <c r="BQ92" s="19">
        <v>0.87150000000000005</v>
      </c>
      <c r="BR92" s="19">
        <v>0.88460000000000005</v>
      </c>
      <c r="BS92" s="19">
        <v>0.89790000000000003</v>
      </c>
      <c r="BT92" s="19">
        <v>0.91149999999999998</v>
      </c>
      <c r="BU92" s="19">
        <v>0.92520000000000002</v>
      </c>
    </row>
    <row r="93" spans="3:73" x14ac:dyDescent="0.45">
      <c r="C93" s="15" t="s">
        <v>249</v>
      </c>
      <c r="D93" s="15" t="s">
        <v>321</v>
      </c>
      <c r="E93" s="15" t="s">
        <v>270</v>
      </c>
      <c r="F93" s="15"/>
      <c r="G93" s="15"/>
      <c r="H93" s="15" t="s">
        <v>320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249</v>
      </c>
      <c r="Y93" s="15" t="s">
        <v>322</v>
      </c>
      <c r="Z93" s="15" t="s">
        <v>346</v>
      </c>
      <c r="AA93" s="15"/>
      <c r="AB93" s="15"/>
      <c r="AC93" s="15"/>
      <c r="AD93" s="15" t="s">
        <v>323</v>
      </c>
      <c r="AE93" s="18"/>
      <c r="AF93" s="19">
        <v>5</v>
      </c>
      <c r="AG93" s="19">
        <v>122</v>
      </c>
      <c r="AH93" s="19">
        <v>122</v>
      </c>
      <c r="AI93" s="19">
        <v>122</v>
      </c>
      <c r="AJ93" s="19">
        <v>122</v>
      </c>
      <c r="AK93" s="18"/>
      <c r="AL93" s="19">
        <v>5</v>
      </c>
      <c r="AM93" s="19">
        <v>122</v>
      </c>
      <c r="AN93" s="19">
        <v>122</v>
      </c>
      <c r="AO93" s="19">
        <v>122</v>
      </c>
      <c r="AP93" s="19">
        <v>122</v>
      </c>
      <c r="AR93" s="15" t="s">
        <v>249</v>
      </c>
      <c r="AS93" s="15" t="s">
        <v>369</v>
      </c>
      <c r="AT93" s="15"/>
      <c r="AU93" s="15"/>
      <c r="AV93" s="15" t="s">
        <v>453</v>
      </c>
      <c r="AW93" s="15"/>
      <c r="AX93" s="15"/>
      <c r="AY93" s="15"/>
      <c r="AZ93" s="18"/>
      <c r="BA93" s="18"/>
      <c r="BB93" s="19">
        <v>0.15819163720000001</v>
      </c>
      <c r="BC93" s="19">
        <v>0.15683866120000001</v>
      </c>
      <c r="BD93" s="19">
        <v>0.1556965716</v>
      </c>
      <c r="BE93" s="19">
        <v>0.1540326652</v>
      </c>
      <c r="BF93" s="19">
        <v>0.15186361600000001</v>
      </c>
      <c r="BG93" s="19">
        <v>0.14972521520000001</v>
      </c>
      <c r="BH93" s="19">
        <v>0.1476168276</v>
      </c>
      <c r="BI93" s="19">
        <v>0.14553813560000001</v>
      </c>
      <c r="BJ93" s="19">
        <v>0.1434886628</v>
      </c>
      <c r="BK93" s="18"/>
      <c r="BL93" s="18"/>
      <c r="BM93" s="19">
        <v>0.15794279759999999</v>
      </c>
      <c r="BN93" s="19">
        <v>0.158755536</v>
      </c>
      <c r="BO93" s="19">
        <v>0.15457274400000001</v>
      </c>
      <c r="BP93" s="19">
        <v>0.150499524</v>
      </c>
      <c r="BQ93" s="19">
        <v>0.14837001599999999</v>
      </c>
      <c r="BR93" s="19">
        <v>0.14809529199999999</v>
      </c>
      <c r="BS93" s="19">
        <v>0.14782215600000001</v>
      </c>
      <c r="BT93" s="19">
        <v>0.147550608</v>
      </c>
      <c r="BU93" s="19">
        <v>0.14727747199999999</v>
      </c>
    </row>
    <row r="94" spans="3:73" x14ac:dyDescent="0.45">
      <c r="C94" s="15" t="s">
        <v>249</v>
      </c>
      <c r="D94" s="15" t="s">
        <v>321</v>
      </c>
      <c r="E94" s="15" t="s">
        <v>271</v>
      </c>
      <c r="F94" s="15"/>
      <c r="G94" s="15"/>
      <c r="H94" s="15" t="s">
        <v>320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249</v>
      </c>
      <c r="Y94" s="15" t="s">
        <v>322</v>
      </c>
      <c r="Z94" s="15" t="s">
        <v>347</v>
      </c>
      <c r="AA94" s="15"/>
      <c r="AB94" s="15"/>
      <c r="AC94" s="15"/>
      <c r="AD94" s="15" t="s">
        <v>323</v>
      </c>
      <c r="AE94" s="18"/>
      <c r="AF94" s="19">
        <v>5</v>
      </c>
      <c r="AG94" s="19">
        <v>875</v>
      </c>
      <c r="AH94" s="19">
        <v>501</v>
      </c>
      <c r="AI94" s="19">
        <v>430</v>
      </c>
      <c r="AJ94" s="19">
        <v>430</v>
      </c>
      <c r="AK94" s="18"/>
      <c r="AL94" s="19">
        <v>5</v>
      </c>
      <c r="AM94" s="19">
        <v>955</v>
      </c>
      <c r="AN94" s="19">
        <v>538</v>
      </c>
      <c r="AO94" s="19">
        <v>455</v>
      </c>
      <c r="AP94" s="19">
        <v>455</v>
      </c>
      <c r="AR94" s="15" t="s">
        <v>249</v>
      </c>
      <c r="AS94" s="15" t="s">
        <v>369</v>
      </c>
      <c r="AT94" s="15"/>
      <c r="AU94" s="15"/>
      <c r="AV94" s="15" t="s">
        <v>454</v>
      </c>
      <c r="AW94" s="15"/>
      <c r="AX94" s="15"/>
      <c r="AY94" s="15"/>
      <c r="AZ94" s="18"/>
      <c r="BA94" s="18"/>
      <c r="BB94" s="19">
        <v>0.1180460265</v>
      </c>
      <c r="BC94" s="19">
        <v>0.1170364065</v>
      </c>
      <c r="BD94" s="19">
        <v>0.1161841545</v>
      </c>
      <c r="BE94" s="19">
        <v>0.1149425115</v>
      </c>
      <c r="BF94" s="19">
        <v>0.11332391999999999</v>
      </c>
      <c r="BG94" s="19">
        <v>0.111728199</v>
      </c>
      <c r="BH94" s="19">
        <v>0.1101548745</v>
      </c>
      <c r="BI94" s="19">
        <v>0.10860370950000001</v>
      </c>
      <c r="BJ94" s="19">
        <v>0.1070743485</v>
      </c>
      <c r="BK94" s="18"/>
      <c r="BL94" s="18"/>
      <c r="BM94" s="19">
        <v>0.117860337</v>
      </c>
      <c r="BN94" s="19">
        <v>0.11846682</v>
      </c>
      <c r="BO94" s="19">
        <v>0.11534553</v>
      </c>
      <c r="BP94" s="19">
        <v>0.112306005</v>
      </c>
      <c r="BQ94" s="19">
        <v>0.11071692</v>
      </c>
      <c r="BR94" s="19">
        <v>0.110511915</v>
      </c>
      <c r="BS94" s="19">
        <v>0.11030809499999999</v>
      </c>
      <c r="BT94" s="19">
        <v>0.11010546</v>
      </c>
      <c r="BU94" s="19">
        <v>0.10990163999999999</v>
      </c>
    </row>
    <row r="95" spans="3:73" x14ac:dyDescent="0.45">
      <c r="C95" s="15" t="s">
        <v>249</v>
      </c>
      <c r="D95" s="15" t="s">
        <v>321</v>
      </c>
      <c r="E95" s="15" t="s">
        <v>272</v>
      </c>
      <c r="F95" s="15"/>
      <c r="G95" s="15"/>
      <c r="H95" s="15" t="s">
        <v>320</v>
      </c>
      <c r="I95" s="15"/>
      <c r="J95" s="18"/>
      <c r="K95" s="19"/>
      <c r="L95" s="19">
        <v>0.23</v>
      </c>
      <c r="M95" s="19"/>
      <c r="N95" s="19"/>
      <c r="O95" s="19"/>
      <c r="P95" s="18"/>
      <c r="Q95" s="19"/>
      <c r="R95" s="19">
        <v>0.23</v>
      </c>
      <c r="S95" s="19"/>
      <c r="T95" s="19"/>
      <c r="U95" s="19"/>
      <c r="V95" s="19"/>
      <c r="X95" s="15" t="s">
        <v>249</v>
      </c>
      <c r="Y95" s="15" t="s">
        <v>322</v>
      </c>
      <c r="Z95" s="15" t="s">
        <v>348</v>
      </c>
      <c r="AA95" s="15"/>
      <c r="AB95" s="15"/>
      <c r="AC95" s="15"/>
      <c r="AD95" s="15" t="s">
        <v>323</v>
      </c>
      <c r="AE95" s="18"/>
      <c r="AF95" s="19">
        <v>5</v>
      </c>
      <c r="AG95" s="19">
        <v>817</v>
      </c>
      <c r="AH95" s="19">
        <v>384</v>
      </c>
      <c r="AI95" s="19">
        <v>323</v>
      </c>
      <c r="AJ95" s="19">
        <v>323</v>
      </c>
      <c r="AK95" s="18"/>
      <c r="AL95" s="19">
        <v>5</v>
      </c>
      <c r="AM95" s="19">
        <v>817</v>
      </c>
      <c r="AN95" s="19">
        <v>404</v>
      </c>
      <c r="AO95" s="19">
        <v>339</v>
      </c>
      <c r="AP95" s="19">
        <v>339</v>
      </c>
      <c r="AR95" s="15" t="s">
        <v>249</v>
      </c>
      <c r="AS95" s="15" t="s">
        <v>369</v>
      </c>
      <c r="AT95" s="15"/>
      <c r="AU95" s="15"/>
      <c r="AV95" s="15" t="s">
        <v>455</v>
      </c>
      <c r="AW95" s="15"/>
      <c r="AX95" s="15"/>
      <c r="AY95" s="15"/>
      <c r="AZ95" s="18"/>
      <c r="BA95" s="18"/>
      <c r="BB95" s="19">
        <v>6.5761100366000003</v>
      </c>
      <c r="BC95" s="19">
        <v>6.5198661085999996</v>
      </c>
      <c r="BD95" s="19">
        <v>6.4723888397999998</v>
      </c>
      <c r="BE95" s="19">
        <v>6.4032193705999996</v>
      </c>
      <c r="BF95" s="19">
        <v>6.3130508479999996</v>
      </c>
      <c r="BG95" s="19">
        <v>6.2241563955999997</v>
      </c>
      <c r="BH95" s="19">
        <v>6.1365096077999999</v>
      </c>
      <c r="BI95" s="19">
        <v>6.0500972818000003</v>
      </c>
      <c r="BJ95" s="19">
        <v>5.9648996134000001</v>
      </c>
      <c r="BK95" s="18"/>
      <c r="BL95" s="18"/>
      <c r="BM95" s="19">
        <v>6.5657656427999997</v>
      </c>
      <c r="BN95" s="19">
        <v>6.5995516079999996</v>
      </c>
      <c r="BO95" s="19">
        <v>6.4256707320000004</v>
      </c>
      <c r="BP95" s="19">
        <v>6.256344822</v>
      </c>
      <c r="BQ95" s="19">
        <v>6.1678200480000003</v>
      </c>
      <c r="BR95" s="19">
        <v>6.1563996259999998</v>
      </c>
      <c r="BS95" s="19">
        <v>6.1450452179999999</v>
      </c>
      <c r="BT95" s="19">
        <v>6.1337568239999998</v>
      </c>
      <c r="BU95" s="19">
        <v>6.1224024159999999</v>
      </c>
    </row>
    <row r="96" spans="3:73" x14ac:dyDescent="0.45">
      <c r="C96" s="15" t="s">
        <v>249</v>
      </c>
      <c r="D96" s="15" t="s">
        <v>321</v>
      </c>
      <c r="E96" s="15" t="s">
        <v>273</v>
      </c>
      <c r="F96" s="15"/>
      <c r="G96" s="15"/>
      <c r="H96" s="15" t="s">
        <v>320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249</v>
      </c>
      <c r="Y96" s="15" t="s">
        <v>322</v>
      </c>
      <c r="Z96" s="15" t="s">
        <v>349</v>
      </c>
      <c r="AA96" s="15"/>
      <c r="AB96" s="15"/>
      <c r="AC96" s="15"/>
      <c r="AD96" s="15" t="s">
        <v>323</v>
      </c>
      <c r="AE96" s="18"/>
      <c r="AF96" s="19">
        <v>5</v>
      </c>
      <c r="AG96" s="19">
        <v>350</v>
      </c>
      <c r="AH96" s="19">
        <v>350</v>
      </c>
      <c r="AI96" s="19">
        <v>350</v>
      </c>
      <c r="AJ96" s="19">
        <v>350</v>
      </c>
      <c r="AK96" s="18"/>
      <c r="AL96" s="19">
        <v>5</v>
      </c>
      <c r="AM96" s="19">
        <v>350</v>
      </c>
      <c r="AN96" s="19">
        <v>350</v>
      </c>
      <c r="AO96" s="19">
        <v>350</v>
      </c>
      <c r="AP96" s="19">
        <v>350</v>
      </c>
      <c r="AR96" s="15" t="s">
        <v>249</v>
      </c>
      <c r="AS96" s="15" t="s">
        <v>369</v>
      </c>
      <c r="AT96" s="15"/>
      <c r="AU96" s="15"/>
      <c r="AV96" s="15" t="s">
        <v>456</v>
      </c>
      <c r="AW96" s="15"/>
      <c r="AX96" s="15"/>
      <c r="AY96" s="15"/>
      <c r="AZ96" s="18"/>
      <c r="BA96" s="18"/>
      <c r="BB96" s="19">
        <v>36.299701041699997</v>
      </c>
      <c r="BC96" s="19">
        <v>35.989238205699998</v>
      </c>
      <c r="BD96" s="19">
        <v>35.727166760099998</v>
      </c>
      <c r="BE96" s="19">
        <v>35.345355774700003</v>
      </c>
      <c r="BF96" s="19">
        <v>34.847631376000002</v>
      </c>
      <c r="BG96" s="19">
        <v>34.3569397622</v>
      </c>
      <c r="BH96" s="19">
        <v>33.8731351761</v>
      </c>
      <c r="BI96" s="19">
        <v>33.396144739100002</v>
      </c>
      <c r="BJ96" s="19">
        <v>32.925859133300001</v>
      </c>
      <c r="BK96" s="18"/>
      <c r="BL96" s="18"/>
      <c r="BM96" s="19">
        <v>36.242600658599997</v>
      </c>
      <c r="BN96" s="19">
        <v>36.429096995999998</v>
      </c>
      <c r="BO96" s="19">
        <v>35.469285833999997</v>
      </c>
      <c r="BP96" s="19">
        <v>34.534617789000002</v>
      </c>
      <c r="BQ96" s="19">
        <v>34.045966776</v>
      </c>
      <c r="BR96" s="19">
        <v>33.982926786999997</v>
      </c>
      <c r="BS96" s="19">
        <v>33.920251190999998</v>
      </c>
      <c r="BT96" s="19">
        <v>33.857939987999998</v>
      </c>
      <c r="BU96" s="19">
        <v>33.795264392</v>
      </c>
    </row>
    <row r="97" spans="3:73" x14ac:dyDescent="0.45">
      <c r="C97" s="15" t="s">
        <v>249</v>
      </c>
      <c r="D97" s="15" t="s">
        <v>321</v>
      </c>
      <c r="E97" s="15" t="s">
        <v>274</v>
      </c>
      <c r="F97" s="15"/>
      <c r="G97" s="15"/>
      <c r="H97" s="15" t="s">
        <v>320</v>
      </c>
      <c r="I97" s="15"/>
      <c r="J97" s="18"/>
      <c r="K97" s="19"/>
      <c r="L97" s="19">
        <v>1</v>
      </c>
      <c r="M97" s="19"/>
      <c r="N97" s="19"/>
      <c r="O97" s="19"/>
      <c r="P97" s="18"/>
      <c r="Q97" s="19"/>
      <c r="R97" s="19">
        <v>1</v>
      </c>
      <c r="S97" s="19"/>
      <c r="T97" s="19"/>
      <c r="U97" s="19"/>
      <c r="V97" s="19"/>
      <c r="X97" s="15" t="s">
        <v>249</v>
      </c>
      <c r="Y97" s="15" t="s">
        <v>322</v>
      </c>
      <c r="Z97" s="15" t="s">
        <v>350</v>
      </c>
      <c r="AA97" s="15"/>
      <c r="AB97" s="15"/>
      <c r="AC97" s="15"/>
      <c r="AD97" s="15" t="s">
        <v>323</v>
      </c>
      <c r="AE97" s="18"/>
      <c r="AF97" s="19">
        <v>5</v>
      </c>
      <c r="AG97" s="19">
        <v>725.46645000000001</v>
      </c>
      <c r="AH97" s="19">
        <v>448.43493999999998</v>
      </c>
      <c r="AI97" s="19">
        <v>448.43493999999998</v>
      </c>
      <c r="AJ97" s="19">
        <v>448.43493999999998</v>
      </c>
      <c r="AK97" s="18"/>
      <c r="AL97" s="19">
        <v>5</v>
      </c>
      <c r="AM97" s="19">
        <v>725.46645000000001</v>
      </c>
      <c r="AN97" s="19">
        <v>452.37032799999997</v>
      </c>
      <c r="AO97" s="19">
        <v>452.37032799999997</v>
      </c>
      <c r="AP97" s="19">
        <v>452.37032799999997</v>
      </c>
      <c r="AR97" s="15" t="s">
        <v>249</v>
      </c>
      <c r="AS97" s="15" t="s">
        <v>369</v>
      </c>
      <c r="AT97" s="15"/>
      <c r="AU97" s="15"/>
      <c r="AV97" s="15" t="s">
        <v>457</v>
      </c>
      <c r="AW97" s="15"/>
      <c r="AX97" s="15"/>
      <c r="AY97" s="15"/>
      <c r="AZ97" s="18"/>
      <c r="BA97" s="18"/>
      <c r="BB97" s="19">
        <v>1.7583379019000001</v>
      </c>
      <c r="BC97" s="19">
        <v>1.7432992499</v>
      </c>
      <c r="BD97" s="19">
        <v>1.7306046506999999</v>
      </c>
      <c r="BE97" s="19">
        <v>1.7121099329</v>
      </c>
      <c r="BF97" s="19">
        <v>1.6880004319999999</v>
      </c>
      <c r="BG97" s="19">
        <v>1.6642315954</v>
      </c>
      <c r="BH97" s="19">
        <v>1.6407963627</v>
      </c>
      <c r="BI97" s="19">
        <v>1.6176912037</v>
      </c>
      <c r="BJ97" s="19">
        <v>1.5949108231</v>
      </c>
      <c r="BK97" s="18"/>
      <c r="BL97" s="18"/>
      <c r="BM97" s="19">
        <v>1.7555719902</v>
      </c>
      <c r="BN97" s="19">
        <v>1.7646057719999999</v>
      </c>
      <c r="BO97" s="19">
        <v>1.718113038</v>
      </c>
      <c r="BP97" s="19">
        <v>1.6728382230000001</v>
      </c>
      <c r="BQ97" s="19">
        <v>1.6491682320000001</v>
      </c>
      <c r="BR97" s="19">
        <v>1.6461146090000001</v>
      </c>
      <c r="BS97" s="19">
        <v>1.6430786369999999</v>
      </c>
      <c r="BT97" s="19">
        <v>1.640060316</v>
      </c>
      <c r="BU97" s="19">
        <v>1.6370243440000001</v>
      </c>
    </row>
    <row r="98" spans="3:73" x14ac:dyDescent="0.45">
      <c r="C98" s="15" t="s">
        <v>249</v>
      </c>
      <c r="D98" s="15" t="s">
        <v>321</v>
      </c>
      <c r="E98" s="15" t="s">
        <v>275</v>
      </c>
      <c r="F98" s="15"/>
      <c r="G98" s="15"/>
      <c r="H98" s="15" t="s">
        <v>320</v>
      </c>
      <c r="I98" s="15"/>
      <c r="J98" s="18"/>
      <c r="K98" s="19"/>
      <c r="L98" s="19">
        <v>0.23</v>
      </c>
      <c r="M98" s="19"/>
      <c r="N98" s="19"/>
      <c r="O98" s="19"/>
      <c r="P98" s="18"/>
      <c r="Q98" s="19"/>
      <c r="R98" s="19">
        <v>0.23</v>
      </c>
      <c r="S98" s="19"/>
      <c r="T98" s="19"/>
      <c r="U98" s="19"/>
      <c r="V98" s="19"/>
      <c r="X98" s="15" t="s">
        <v>249</v>
      </c>
      <c r="Y98" s="15" t="s">
        <v>322</v>
      </c>
      <c r="Z98" s="15" t="s">
        <v>351</v>
      </c>
      <c r="AA98" s="15"/>
      <c r="AB98" s="15"/>
      <c r="AC98" s="15"/>
      <c r="AD98" s="15" t="s">
        <v>323</v>
      </c>
      <c r="AE98" s="18"/>
      <c r="AF98" s="19">
        <v>5</v>
      </c>
      <c r="AG98" s="19">
        <v>683.90382209999996</v>
      </c>
      <c r="AH98" s="19">
        <v>433.21397739999998</v>
      </c>
      <c r="AI98" s="19">
        <v>430.66590326747001</v>
      </c>
      <c r="AJ98" s="19">
        <v>428.11782913494</v>
      </c>
      <c r="AK98" s="18"/>
      <c r="AL98" s="19">
        <v>5</v>
      </c>
      <c r="AM98" s="19">
        <v>683.90382209999996</v>
      </c>
      <c r="AN98" s="19">
        <v>434.56642060000001</v>
      </c>
      <c r="AO98" s="19">
        <v>432.01834646747</v>
      </c>
      <c r="AP98" s="19">
        <v>429.47027233493998</v>
      </c>
      <c r="AR98" s="15" t="s">
        <v>249</v>
      </c>
      <c r="AS98" s="15" t="s">
        <v>369</v>
      </c>
      <c r="AT98" s="15"/>
      <c r="AU98" s="15"/>
      <c r="AV98" s="15" t="s">
        <v>458</v>
      </c>
      <c r="AW98" s="15"/>
      <c r="AX98" s="15"/>
      <c r="AY98" s="15"/>
      <c r="AZ98" s="18"/>
      <c r="BA98" s="18"/>
      <c r="BB98" s="19">
        <v>0.69193898740000004</v>
      </c>
      <c r="BC98" s="19">
        <v>0.68602099540000006</v>
      </c>
      <c r="BD98" s="19">
        <v>0.6810254322</v>
      </c>
      <c r="BE98" s="19">
        <v>0.67374741339999999</v>
      </c>
      <c r="BF98" s="19">
        <v>0.66425987200000003</v>
      </c>
      <c r="BG98" s="19">
        <v>0.65490638840000004</v>
      </c>
      <c r="BH98" s="19">
        <v>0.64568418419999996</v>
      </c>
      <c r="BI98" s="19">
        <v>0.63659187019999997</v>
      </c>
      <c r="BJ98" s="19">
        <v>0.62762736259999996</v>
      </c>
      <c r="BK98" s="18"/>
      <c r="BL98" s="18"/>
      <c r="BM98" s="19">
        <v>0.6908505492</v>
      </c>
      <c r="BN98" s="19">
        <v>0.694405512</v>
      </c>
      <c r="BO98" s="19">
        <v>0.67610974800000001</v>
      </c>
      <c r="BP98" s="19">
        <v>0.65829325800000005</v>
      </c>
      <c r="BQ98" s="19">
        <v>0.64897867200000003</v>
      </c>
      <c r="BR98" s="19">
        <v>0.64777701399999998</v>
      </c>
      <c r="BS98" s="19">
        <v>0.646582302</v>
      </c>
      <c r="BT98" s="19">
        <v>0.64539453599999996</v>
      </c>
      <c r="BU98" s="19">
        <v>0.64419982399999998</v>
      </c>
    </row>
    <row r="99" spans="3:73" x14ac:dyDescent="0.45">
      <c r="C99" s="15" t="s">
        <v>249</v>
      </c>
      <c r="D99" s="15" t="s">
        <v>321</v>
      </c>
      <c r="E99" s="15" t="s">
        <v>276</v>
      </c>
      <c r="F99" s="15"/>
      <c r="G99" s="15"/>
      <c r="H99" s="15" t="s">
        <v>320</v>
      </c>
      <c r="I99" s="15"/>
      <c r="J99" s="18"/>
      <c r="K99" s="19"/>
      <c r="L99" s="19">
        <v>1</v>
      </c>
      <c r="M99" s="19"/>
      <c r="N99" s="19"/>
      <c r="O99" s="19"/>
      <c r="P99" s="18"/>
      <c r="Q99" s="19"/>
      <c r="R99" s="19">
        <v>1</v>
      </c>
      <c r="S99" s="19"/>
      <c r="T99" s="19"/>
      <c r="U99" s="19"/>
      <c r="V99" s="19"/>
      <c r="X99" s="15" t="s">
        <v>249</v>
      </c>
      <c r="Y99" s="15" t="s">
        <v>322</v>
      </c>
      <c r="Z99" s="15" t="s">
        <v>352</v>
      </c>
      <c r="AA99" s="15"/>
      <c r="AB99" s="15"/>
      <c r="AC99" s="15"/>
      <c r="AD99" s="15" t="s">
        <v>323</v>
      </c>
      <c r="AE99" s="18"/>
      <c r="AF99" s="19">
        <v>5</v>
      </c>
      <c r="AG99" s="19">
        <v>437</v>
      </c>
      <c r="AH99" s="19">
        <v>437</v>
      </c>
      <c r="AI99" s="19">
        <v>437</v>
      </c>
      <c r="AJ99" s="19">
        <v>437</v>
      </c>
      <c r="AK99" s="18"/>
      <c r="AL99" s="19">
        <v>5</v>
      </c>
      <c r="AM99" s="19">
        <v>437</v>
      </c>
      <c r="AN99" s="19">
        <v>437</v>
      </c>
      <c r="AO99" s="19">
        <v>437</v>
      </c>
      <c r="AP99" s="19">
        <v>437</v>
      </c>
      <c r="AR99" s="15" t="s">
        <v>249</v>
      </c>
      <c r="AS99" s="15" t="s">
        <v>369</v>
      </c>
      <c r="AT99" s="15"/>
      <c r="AU99" s="15"/>
      <c r="AV99" s="15" t="s">
        <v>459</v>
      </c>
      <c r="AW99" s="15"/>
      <c r="AX99" s="15"/>
      <c r="AY99" s="15"/>
      <c r="AZ99" s="18"/>
      <c r="BA99" s="18"/>
      <c r="BB99" s="19">
        <v>0.46531053989999999</v>
      </c>
      <c r="BC99" s="19">
        <v>0.46133084790000001</v>
      </c>
      <c r="BD99" s="19">
        <v>0.4579714647</v>
      </c>
      <c r="BE99" s="19">
        <v>0.45307719089999998</v>
      </c>
      <c r="BF99" s="19">
        <v>0.44669707199999997</v>
      </c>
      <c r="BG99" s="19">
        <v>0.4404071034</v>
      </c>
      <c r="BH99" s="19">
        <v>0.43420541670000001</v>
      </c>
      <c r="BI99" s="19">
        <v>0.42809107769999999</v>
      </c>
      <c r="BJ99" s="19">
        <v>0.4220626851</v>
      </c>
      <c r="BK99" s="18"/>
      <c r="BL99" s="18"/>
      <c r="BM99" s="19">
        <v>0.46457859419999997</v>
      </c>
      <c r="BN99" s="19">
        <v>0.46696921200000002</v>
      </c>
      <c r="BO99" s="19">
        <v>0.45466579800000001</v>
      </c>
      <c r="BP99" s="19">
        <v>0.44268468300000002</v>
      </c>
      <c r="BQ99" s="19">
        <v>0.43642087200000002</v>
      </c>
      <c r="BR99" s="19">
        <v>0.435612789</v>
      </c>
      <c r="BS99" s="19">
        <v>0.434809377</v>
      </c>
      <c r="BT99" s="19">
        <v>0.43401063600000001</v>
      </c>
      <c r="BU99" s="19">
        <v>0.433207224</v>
      </c>
    </row>
    <row r="100" spans="3:73" x14ac:dyDescent="0.45">
      <c r="C100" s="15" t="s">
        <v>249</v>
      </c>
      <c r="D100" s="15" t="s">
        <v>321</v>
      </c>
      <c r="E100" s="15" t="s">
        <v>277</v>
      </c>
      <c r="F100" s="15"/>
      <c r="G100" s="15"/>
      <c r="H100" s="15" t="s">
        <v>320</v>
      </c>
      <c r="I100" s="15"/>
      <c r="J100" s="18"/>
      <c r="K100" s="19"/>
      <c r="L100" s="19">
        <v>0.23</v>
      </c>
      <c r="M100" s="19"/>
      <c r="N100" s="19"/>
      <c r="O100" s="19"/>
      <c r="P100" s="18"/>
      <c r="Q100" s="19"/>
      <c r="R100" s="19">
        <v>0.23</v>
      </c>
      <c r="S100" s="19"/>
      <c r="T100" s="19"/>
      <c r="U100" s="19"/>
      <c r="V100" s="19"/>
      <c r="X100" s="15" t="s">
        <v>249</v>
      </c>
      <c r="Y100" s="15" t="s">
        <v>322</v>
      </c>
      <c r="Z100" s="15" t="s">
        <v>353</v>
      </c>
      <c r="AA100" s="15"/>
      <c r="AB100" s="15"/>
      <c r="AC100" s="15"/>
      <c r="AD100" s="15" t="s">
        <v>323</v>
      </c>
      <c r="AE100" s="18"/>
      <c r="AF100" s="19">
        <v>5</v>
      </c>
      <c r="AG100" s="19">
        <v>54.284338031358203</v>
      </c>
      <c r="AH100" s="19">
        <v>34.9977333371165</v>
      </c>
      <c r="AI100" s="19">
        <v>34.9977333371165</v>
      </c>
      <c r="AJ100" s="19">
        <v>34.9977333371165</v>
      </c>
      <c r="AK100" s="18"/>
      <c r="AL100" s="19">
        <v>5</v>
      </c>
      <c r="AM100" s="19">
        <v>54.284338031358203</v>
      </c>
      <c r="AN100" s="19">
        <v>38.007863960648301</v>
      </c>
      <c r="AO100" s="19">
        <v>38.007863960648301</v>
      </c>
      <c r="AP100" s="19">
        <v>38.007863960648301</v>
      </c>
      <c r="AR100" s="15" t="s">
        <v>249</v>
      </c>
      <c r="AS100" s="15" t="s">
        <v>369</v>
      </c>
      <c r="AT100" s="15"/>
      <c r="AU100" s="15"/>
      <c r="AV100" s="15" t="s">
        <v>460</v>
      </c>
      <c r="AW100" s="15"/>
      <c r="AX100" s="15"/>
      <c r="AY100" s="15"/>
      <c r="AZ100" s="18"/>
      <c r="BA100" s="18"/>
      <c r="BB100" s="19">
        <v>1.4221308643999999</v>
      </c>
      <c r="BC100" s="19">
        <v>1.4099677124000001</v>
      </c>
      <c r="BD100" s="19">
        <v>1.3997004131999999</v>
      </c>
      <c r="BE100" s="19">
        <v>1.3847420204000001</v>
      </c>
      <c r="BF100" s="19">
        <v>1.3652424320000001</v>
      </c>
      <c r="BG100" s="19">
        <v>1.3460183703999999</v>
      </c>
      <c r="BH100" s="19">
        <v>1.3270641251999999</v>
      </c>
      <c r="BI100" s="19">
        <v>1.3083768412000001</v>
      </c>
      <c r="BJ100" s="19">
        <v>1.2899522355999999</v>
      </c>
      <c r="BK100" s="18"/>
      <c r="BL100" s="18"/>
      <c r="BM100" s="19">
        <v>1.4198938152</v>
      </c>
      <c r="BN100" s="19">
        <v>1.4272002720000001</v>
      </c>
      <c r="BO100" s="19">
        <v>1.389597288</v>
      </c>
      <c r="BP100" s="19">
        <v>1.3529793480000001</v>
      </c>
      <c r="BQ100" s="19">
        <v>1.333835232</v>
      </c>
      <c r="BR100" s="19">
        <v>1.331365484</v>
      </c>
      <c r="BS100" s="19">
        <v>1.3289100119999999</v>
      </c>
      <c r="BT100" s="19">
        <v>1.326468816</v>
      </c>
      <c r="BU100" s="19">
        <v>1.3240133439999999</v>
      </c>
    </row>
    <row r="101" spans="3:73" x14ac:dyDescent="0.45">
      <c r="C101" s="15" t="s">
        <v>249</v>
      </c>
      <c r="D101" s="15" t="s">
        <v>321</v>
      </c>
      <c r="E101" s="15" t="s">
        <v>278</v>
      </c>
      <c r="F101" s="15"/>
      <c r="G101" s="15"/>
      <c r="H101" s="15" t="s">
        <v>320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249</v>
      </c>
      <c r="Y101" s="15" t="s">
        <v>322</v>
      </c>
      <c r="Z101" s="15" t="s">
        <v>354</v>
      </c>
      <c r="AA101" s="15"/>
      <c r="AB101" s="15"/>
      <c r="AC101" s="15"/>
      <c r="AD101" s="15" t="s">
        <v>323</v>
      </c>
      <c r="AE101" s="18"/>
      <c r="AF101" s="19">
        <v>5</v>
      </c>
      <c r="AG101" s="19">
        <v>74.5</v>
      </c>
      <c r="AH101" s="19">
        <v>48.563295206247901</v>
      </c>
      <c r="AI101" s="19">
        <v>44.324333170103301</v>
      </c>
      <c r="AJ101" s="19">
        <v>41.620301814681604</v>
      </c>
      <c r="AK101" s="18"/>
      <c r="AL101" s="19">
        <v>5</v>
      </c>
      <c r="AM101" s="19">
        <v>74.5</v>
      </c>
      <c r="AN101" s="19">
        <v>43.431586824558998</v>
      </c>
      <c r="AO101" s="19">
        <v>41.089002541426503</v>
      </c>
      <c r="AP101" s="19">
        <v>39.594669423956603</v>
      </c>
      <c r="AR101" s="15" t="s">
        <v>249</v>
      </c>
      <c r="AS101" s="15" t="s">
        <v>369</v>
      </c>
      <c r="AT101" s="15"/>
      <c r="AU101" s="15"/>
      <c r="AV101" s="15" t="s">
        <v>461</v>
      </c>
      <c r="AW101" s="15"/>
      <c r="AX101" s="15"/>
      <c r="AY101" s="15"/>
      <c r="AZ101" s="18"/>
      <c r="BA101" s="18"/>
      <c r="BB101" s="19">
        <v>1.4621768582000001</v>
      </c>
      <c r="BC101" s="19">
        <v>1.4496712022</v>
      </c>
      <c r="BD101" s="19">
        <v>1.4391147846000001</v>
      </c>
      <c r="BE101" s="19">
        <v>1.4237351761999999</v>
      </c>
      <c r="BF101" s="19">
        <v>1.403686496</v>
      </c>
      <c r="BG101" s="19">
        <v>1.3839211011999999</v>
      </c>
      <c r="BH101" s="19">
        <v>1.3644331206</v>
      </c>
      <c r="BI101" s="19">
        <v>1.3452196186000001</v>
      </c>
      <c r="BJ101" s="19">
        <v>1.3262761917999999</v>
      </c>
      <c r="BK101" s="18"/>
      <c r="BL101" s="18"/>
      <c r="BM101" s="19">
        <v>1.4598768155999999</v>
      </c>
      <c r="BN101" s="19">
        <v>1.467389016</v>
      </c>
      <c r="BO101" s="19">
        <v>1.4287271640000001</v>
      </c>
      <c r="BP101" s="19">
        <v>1.391078094</v>
      </c>
      <c r="BQ101" s="19">
        <v>1.371394896</v>
      </c>
      <c r="BR101" s="19">
        <v>1.368855602</v>
      </c>
      <c r="BS101" s="19">
        <v>1.3663309859999999</v>
      </c>
      <c r="BT101" s="19">
        <v>1.3638210479999999</v>
      </c>
      <c r="BU101" s="19">
        <v>1.3612964320000001</v>
      </c>
    </row>
    <row r="102" spans="3:73" x14ac:dyDescent="0.45">
      <c r="C102" s="15" t="s">
        <v>249</v>
      </c>
      <c r="D102" s="15" t="s">
        <v>321</v>
      </c>
      <c r="E102" s="15" t="s">
        <v>279</v>
      </c>
      <c r="F102" s="15"/>
      <c r="G102" s="15"/>
      <c r="H102" s="15" t="s">
        <v>320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249</v>
      </c>
      <c r="Y102" s="15" t="s">
        <v>322</v>
      </c>
      <c r="Z102" s="15" t="s">
        <v>355</v>
      </c>
      <c r="AA102" s="15"/>
      <c r="AB102" s="15"/>
      <c r="AC102" s="15"/>
      <c r="AD102" s="15" t="s">
        <v>323</v>
      </c>
      <c r="AE102" s="18"/>
      <c r="AF102" s="19">
        <v>5</v>
      </c>
      <c r="AG102" s="19">
        <v>46.5950594809661</v>
      </c>
      <c r="AH102" s="19">
        <v>45.638562658776102</v>
      </c>
      <c r="AI102" s="19">
        <v>45.775205061946103</v>
      </c>
      <c r="AJ102" s="19">
        <v>45.911847465116097</v>
      </c>
      <c r="AK102" s="18"/>
      <c r="AL102" s="19">
        <v>5</v>
      </c>
      <c r="AM102" s="19">
        <v>46.5950594809661</v>
      </c>
      <c r="AN102" s="19">
        <v>45.638562658776102</v>
      </c>
      <c r="AO102" s="19">
        <v>45.775205061946103</v>
      </c>
      <c r="AP102" s="19">
        <v>45.911847465116097</v>
      </c>
      <c r="AR102" s="15" t="s">
        <v>249</v>
      </c>
      <c r="AS102" s="15" t="s">
        <v>369</v>
      </c>
      <c r="AT102" s="15"/>
      <c r="AU102" s="15"/>
      <c r="AV102" s="15" t="s">
        <v>462</v>
      </c>
      <c r="AW102" s="15"/>
      <c r="AX102" s="15"/>
      <c r="AY102" s="15"/>
      <c r="AZ102" s="18"/>
      <c r="BA102" s="18"/>
      <c r="BB102" s="19">
        <v>0.55775502310000002</v>
      </c>
      <c r="BC102" s="19">
        <v>0.55298467510000004</v>
      </c>
      <c r="BD102" s="19">
        <v>0.54895787429999998</v>
      </c>
      <c r="BE102" s="19">
        <v>0.54309124210000004</v>
      </c>
      <c r="BF102" s="19">
        <v>0.53544356800000004</v>
      </c>
      <c r="BG102" s="19">
        <v>0.52790395459999995</v>
      </c>
      <c r="BH102" s="19">
        <v>0.52047016229999998</v>
      </c>
      <c r="BI102" s="19">
        <v>0.51314107129999997</v>
      </c>
      <c r="BJ102" s="19">
        <v>0.50591500190000005</v>
      </c>
      <c r="BK102" s="18"/>
      <c r="BL102" s="18"/>
      <c r="BM102" s="19">
        <v>0.55687765980000004</v>
      </c>
      <c r="BN102" s="19">
        <v>0.55974322799999998</v>
      </c>
      <c r="BO102" s="19">
        <v>0.54499546200000004</v>
      </c>
      <c r="BP102" s="19">
        <v>0.53063402699999995</v>
      </c>
      <c r="BQ102" s="19">
        <v>0.52312576799999999</v>
      </c>
      <c r="BR102" s="19">
        <v>0.52215714099999999</v>
      </c>
      <c r="BS102" s="19">
        <v>0.52119411299999996</v>
      </c>
      <c r="BT102" s="19">
        <v>0.520236684</v>
      </c>
      <c r="BU102" s="19">
        <v>0.51927365599999997</v>
      </c>
    </row>
    <row r="103" spans="3:73" x14ac:dyDescent="0.45">
      <c r="C103" s="15" t="s">
        <v>249</v>
      </c>
      <c r="D103" s="15" t="s">
        <v>321</v>
      </c>
      <c r="E103" s="15" t="s">
        <v>280</v>
      </c>
      <c r="F103" s="15"/>
      <c r="G103" s="15"/>
      <c r="H103" s="15" t="s">
        <v>320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249</v>
      </c>
      <c r="Y103" s="15" t="s">
        <v>322</v>
      </c>
      <c r="Z103" s="15" t="s">
        <v>356</v>
      </c>
      <c r="AA103" s="15"/>
      <c r="AB103" s="15"/>
      <c r="AC103" s="15"/>
      <c r="AD103" s="15" t="s">
        <v>323</v>
      </c>
      <c r="AE103" s="18"/>
      <c r="AF103" s="19">
        <v>5</v>
      </c>
      <c r="AG103" s="19">
        <v>38.4943273070229</v>
      </c>
      <c r="AH103" s="19">
        <v>37.334859617052302</v>
      </c>
      <c r="AI103" s="19">
        <v>37.334859617052302</v>
      </c>
      <c r="AJ103" s="19">
        <v>37.334859617052302</v>
      </c>
      <c r="AK103" s="18"/>
      <c r="AL103" s="19">
        <v>5</v>
      </c>
      <c r="AM103" s="19">
        <v>38.4943273070229</v>
      </c>
      <c r="AN103" s="19">
        <v>37.334859617052302</v>
      </c>
      <c r="AO103" s="19">
        <v>37.334859617052302</v>
      </c>
      <c r="AP103" s="19">
        <v>37.334859617052302</v>
      </c>
      <c r="AR103" s="15" t="s">
        <v>249</v>
      </c>
      <c r="AS103" s="15" t="s">
        <v>369</v>
      </c>
      <c r="AT103" s="15"/>
      <c r="AU103" s="15"/>
      <c r="AV103" s="15" t="s">
        <v>463</v>
      </c>
      <c r="AW103" s="15"/>
      <c r="AX103" s="15"/>
      <c r="AY103" s="15"/>
      <c r="AZ103" s="18"/>
      <c r="BA103" s="18"/>
      <c r="BB103" s="19">
        <v>0.66534127509999996</v>
      </c>
      <c r="BC103" s="19">
        <v>0.65965076710000004</v>
      </c>
      <c r="BD103" s="19">
        <v>0.65484723030000003</v>
      </c>
      <c r="BE103" s="19">
        <v>0.64784897409999997</v>
      </c>
      <c r="BF103" s="19">
        <v>0.63872612799999995</v>
      </c>
      <c r="BG103" s="19">
        <v>0.62973218659999997</v>
      </c>
      <c r="BH103" s="19">
        <v>0.62086447830000002</v>
      </c>
      <c r="BI103" s="19">
        <v>0.61212166729999995</v>
      </c>
      <c r="BJ103" s="19">
        <v>0.60350174990000005</v>
      </c>
      <c r="BK103" s="18"/>
      <c r="BL103" s="18"/>
      <c r="BM103" s="19">
        <v>0.66429467580000001</v>
      </c>
      <c r="BN103" s="19">
        <v>0.66771298800000001</v>
      </c>
      <c r="BO103" s="19">
        <v>0.65012050200000004</v>
      </c>
      <c r="BP103" s="19">
        <v>0.63298886700000001</v>
      </c>
      <c r="BQ103" s="19">
        <v>0.62403232799999997</v>
      </c>
      <c r="BR103" s="19">
        <v>0.62287686099999995</v>
      </c>
      <c r="BS103" s="19">
        <v>0.62172807299999999</v>
      </c>
      <c r="BT103" s="19">
        <v>0.62058596399999999</v>
      </c>
      <c r="BU103" s="19">
        <v>0.61943717600000003</v>
      </c>
    </row>
    <row r="104" spans="3:73" x14ac:dyDescent="0.45">
      <c r="C104" s="15" t="s">
        <v>249</v>
      </c>
      <c r="D104" s="15" t="s">
        <v>321</v>
      </c>
      <c r="E104" s="15" t="s">
        <v>281</v>
      </c>
      <c r="F104" s="15"/>
      <c r="G104" s="15"/>
      <c r="H104" s="15" t="s">
        <v>320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249</v>
      </c>
      <c r="Y104" s="15" t="s">
        <v>322</v>
      </c>
      <c r="Z104" s="15" t="s">
        <v>357</v>
      </c>
      <c r="AA104" s="15"/>
      <c r="AB104" s="15"/>
      <c r="AC104" s="15"/>
      <c r="AD104" s="15" t="s">
        <v>323</v>
      </c>
      <c r="AE104" s="18"/>
      <c r="AF104" s="19">
        <v>5</v>
      </c>
      <c r="AG104" s="19">
        <v>40.982161028207202</v>
      </c>
      <c r="AH104" s="19">
        <v>42.5384456242151</v>
      </c>
      <c r="AI104" s="19">
        <v>43.8353494542216</v>
      </c>
      <c r="AJ104" s="19">
        <v>44.224420603223599</v>
      </c>
      <c r="AK104" s="18"/>
      <c r="AL104" s="19">
        <v>5</v>
      </c>
      <c r="AM104" s="19">
        <v>40.982161028207202</v>
      </c>
      <c r="AN104" s="19">
        <v>42.5384456242151</v>
      </c>
      <c r="AO104" s="19">
        <v>43.8353494542216</v>
      </c>
      <c r="AP104" s="19">
        <v>44.224420603223599</v>
      </c>
      <c r="AR104" s="15" t="s">
        <v>249</v>
      </c>
      <c r="AS104" s="15" t="s">
        <v>369</v>
      </c>
      <c r="AT104" s="15"/>
      <c r="AU104" s="15"/>
      <c r="AV104" s="15" t="s">
        <v>464</v>
      </c>
      <c r="AW104" s="15"/>
      <c r="AX104" s="15"/>
      <c r="AY104" s="15"/>
      <c r="AZ104" s="18"/>
      <c r="BA104" s="18"/>
      <c r="BB104" s="19">
        <v>0.46470298319999997</v>
      </c>
      <c r="BC104" s="19">
        <v>0.49314652339570603</v>
      </c>
      <c r="BD104" s="19">
        <v>0.52333103579970996</v>
      </c>
      <c r="BE104" s="19">
        <v>0.56357028622424699</v>
      </c>
      <c r="BF104" s="19">
        <v>0.60690355776345795</v>
      </c>
      <c r="BG104" s="19">
        <v>0.66317990396419002</v>
      </c>
      <c r="BH104" s="19">
        <v>0.72467458691907805</v>
      </c>
      <c r="BI104" s="19">
        <v>0.79187148734032298</v>
      </c>
      <c r="BJ104" s="19">
        <v>0.86529935474692898</v>
      </c>
      <c r="BK104" s="18"/>
      <c r="BL104" s="18"/>
      <c r="BM104" s="19">
        <v>0.49257794560000001</v>
      </c>
      <c r="BN104" s="19">
        <v>0.55613299999999999</v>
      </c>
      <c r="BO104" s="19">
        <v>0.62181799999999998</v>
      </c>
      <c r="BP104" s="19">
        <v>0.669987</v>
      </c>
      <c r="BQ104" s="19">
        <v>0.72253500000000004</v>
      </c>
      <c r="BR104" s="19">
        <v>0.74443000000000004</v>
      </c>
      <c r="BS104" s="19">
        <v>0.76632500000000003</v>
      </c>
      <c r="BT104" s="19">
        <v>0.79259900000000005</v>
      </c>
      <c r="BU104" s="19">
        <v>0.81449400000000005</v>
      </c>
    </row>
    <row r="105" spans="3:73" x14ac:dyDescent="0.45">
      <c r="C105" s="15" t="s">
        <v>249</v>
      </c>
      <c r="D105" s="15" t="s">
        <v>321</v>
      </c>
      <c r="E105" s="15" t="s">
        <v>282</v>
      </c>
      <c r="F105" s="15"/>
      <c r="G105" s="15"/>
      <c r="H105" s="15" t="s">
        <v>320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249</v>
      </c>
      <c r="Y105" s="15" t="s">
        <v>322</v>
      </c>
      <c r="Z105" s="15" t="s">
        <v>358</v>
      </c>
      <c r="AA105" s="15"/>
      <c r="AB105" s="15"/>
      <c r="AC105" s="15"/>
      <c r="AD105" s="15" t="s">
        <v>323</v>
      </c>
      <c r="AE105" s="18"/>
      <c r="AF105" s="19">
        <v>5</v>
      </c>
      <c r="AG105" s="19">
        <v>33.857253063779503</v>
      </c>
      <c r="AH105" s="19">
        <v>35.211088115724998</v>
      </c>
      <c r="AI105" s="19">
        <v>36.291880804252898</v>
      </c>
      <c r="AJ105" s="19">
        <v>36.519416107100902</v>
      </c>
      <c r="AK105" s="18"/>
      <c r="AL105" s="19">
        <v>5</v>
      </c>
      <c r="AM105" s="19">
        <v>33.857253063779503</v>
      </c>
      <c r="AN105" s="19">
        <v>35.211088115724998</v>
      </c>
      <c r="AO105" s="19">
        <v>36.291880804252898</v>
      </c>
      <c r="AP105" s="19">
        <v>36.519416107100902</v>
      </c>
      <c r="AR105" s="15" t="s">
        <v>249</v>
      </c>
      <c r="AS105" s="15" t="s">
        <v>369</v>
      </c>
      <c r="AT105" s="15"/>
      <c r="AU105" s="15"/>
      <c r="AV105" s="15" t="s">
        <v>465</v>
      </c>
      <c r="AW105" s="15"/>
      <c r="AX105" s="15"/>
      <c r="AY105" s="15"/>
      <c r="AZ105" s="18"/>
      <c r="BA105" s="18"/>
      <c r="BB105" s="19">
        <v>6.7917311999999994E-2</v>
      </c>
      <c r="BC105" s="19">
        <v>7.2074394832896002E-2</v>
      </c>
      <c r="BD105" s="19">
        <v>7.64859243918279E-2</v>
      </c>
      <c r="BE105" s="19">
        <v>8.2366974922018305E-2</v>
      </c>
      <c r="BF105" s="19">
        <v>8.8700223103131595E-2</v>
      </c>
      <c r="BG105" s="19">
        <v>9.6925128690815598E-2</v>
      </c>
      <c r="BH105" s="19">
        <v>0.105912705098929</v>
      </c>
      <c r="BI105" s="19">
        <v>0.11573367250463699</v>
      </c>
      <c r="BJ105" s="19">
        <v>0.126465308754975</v>
      </c>
      <c r="BK105" s="18"/>
      <c r="BL105" s="18"/>
      <c r="BM105" s="19">
        <v>7.1991295999999996E-2</v>
      </c>
      <c r="BN105" s="19">
        <v>8.1280000000000005E-2</v>
      </c>
      <c r="BO105" s="19">
        <v>9.0880000000000002E-2</v>
      </c>
      <c r="BP105" s="19">
        <v>9.7919999999999993E-2</v>
      </c>
      <c r="BQ105" s="19">
        <v>0.1056</v>
      </c>
      <c r="BR105" s="19">
        <v>0.10879999999999999</v>
      </c>
      <c r="BS105" s="19">
        <v>0.112</v>
      </c>
      <c r="BT105" s="19">
        <v>0.11584</v>
      </c>
      <c r="BU105" s="19">
        <v>0.11904000000000001</v>
      </c>
    </row>
    <row r="106" spans="3:73" x14ac:dyDescent="0.45">
      <c r="C106" s="15" t="s">
        <v>249</v>
      </c>
      <c r="D106" s="15" t="s">
        <v>321</v>
      </c>
      <c r="E106" s="15" t="s">
        <v>283</v>
      </c>
      <c r="F106" s="15"/>
      <c r="G106" s="15"/>
      <c r="H106" s="15" t="s">
        <v>320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249</v>
      </c>
      <c r="Y106" s="15" t="s">
        <v>322</v>
      </c>
      <c r="Z106" s="15" t="s">
        <v>359</v>
      </c>
      <c r="AA106" s="15"/>
      <c r="AB106" s="15"/>
      <c r="AC106" s="15"/>
      <c r="AD106" s="15" t="s">
        <v>323</v>
      </c>
      <c r="AE106" s="18"/>
      <c r="AF106" s="19">
        <v>5</v>
      </c>
      <c r="AG106" s="19">
        <v>65.388068925916897</v>
      </c>
      <c r="AH106" s="19">
        <v>47.454239946544</v>
      </c>
      <c r="AI106" s="19">
        <v>47.444715718402698</v>
      </c>
      <c r="AJ106" s="19">
        <v>47.5675932379595</v>
      </c>
      <c r="AK106" s="18"/>
      <c r="AL106" s="19">
        <v>5</v>
      </c>
      <c r="AM106" s="19">
        <v>65.388068925916897</v>
      </c>
      <c r="AN106" s="19">
        <v>58.910375541589403</v>
      </c>
      <c r="AO106" s="19">
        <v>50.8408794832837</v>
      </c>
      <c r="AP106" s="19">
        <v>50.141100983333601</v>
      </c>
      <c r="AR106" s="15" t="s">
        <v>249</v>
      </c>
      <c r="AS106" s="15" t="s">
        <v>369</v>
      </c>
      <c r="AT106" s="15"/>
      <c r="AU106" s="15"/>
      <c r="AV106" s="15" t="s">
        <v>466</v>
      </c>
      <c r="AW106" s="15"/>
      <c r="AX106" s="15"/>
      <c r="AY106" s="15"/>
      <c r="AZ106" s="18"/>
      <c r="BA106" s="18"/>
      <c r="BB106" s="19">
        <v>1.4206391495999999</v>
      </c>
      <c r="BC106" s="19">
        <v>1.5075936306687201</v>
      </c>
      <c r="BD106" s="19">
        <v>1.59987042161469</v>
      </c>
      <c r="BE106" s="19">
        <v>1.72288545825165</v>
      </c>
      <c r="BF106" s="19">
        <v>1.8553591979400299</v>
      </c>
      <c r="BG106" s="19">
        <v>2.02740109028742</v>
      </c>
      <c r="BH106" s="19">
        <v>2.2153959111865</v>
      </c>
      <c r="BI106" s="19">
        <v>2.4208229278430902</v>
      </c>
      <c r="BJ106" s="19">
        <v>2.6452985754732001</v>
      </c>
      <c r="BK106" s="18"/>
      <c r="BL106" s="18"/>
      <c r="BM106" s="19">
        <v>1.5058554367999999</v>
      </c>
      <c r="BN106" s="19">
        <v>1.7001489999999999</v>
      </c>
      <c r="BO106" s="19">
        <v>1.900954</v>
      </c>
      <c r="BP106" s="19">
        <v>2.0482109999999998</v>
      </c>
      <c r="BQ106" s="19">
        <v>2.2088549999999998</v>
      </c>
      <c r="BR106" s="19">
        <v>2.2757900000000002</v>
      </c>
      <c r="BS106" s="19">
        <v>2.3427250000000002</v>
      </c>
      <c r="BT106" s="19">
        <v>2.423047</v>
      </c>
      <c r="BU106" s="19">
        <v>2.4899819999999999</v>
      </c>
    </row>
    <row r="107" spans="3:73" x14ac:dyDescent="0.45">
      <c r="C107" s="15" t="s">
        <v>249</v>
      </c>
      <c r="D107" s="15" t="s">
        <v>321</v>
      </c>
      <c r="E107" s="15" t="s">
        <v>284</v>
      </c>
      <c r="F107" s="15"/>
      <c r="G107" s="15"/>
      <c r="H107" s="15" t="s">
        <v>320</v>
      </c>
      <c r="I107" s="15"/>
      <c r="J107" s="18"/>
      <c r="K107" s="19"/>
      <c r="L107" s="19">
        <v>0.15</v>
      </c>
      <c r="M107" s="19"/>
      <c r="N107" s="19"/>
      <c r="O107" s="19"/>
      <c r="P107" s="18"/>
      <c r="Q107" s="19"/>
      <c r="R107" s="19">
        <v>0.15</v>
      </c>
      <c r="S107" s="19"/>
      <c r="T107" s="19"/>
      <c r="U107" s="19"/>
      <c r="V107" s="19"/>
      <c r="X107" s="15" t="s">
        <v>249</v>
      </c>
      <c r="Y107" s="15" t="s">
        <v>322</v>
      </c>
      <c r="Z107" s="15" t="s">
        <v>360</v>
      </c>
      <c r="AA107" s="15"/>
      <c r="AB107" s="15"/>
      <c r="AC107" s="15"/>
      <c r="AD107" s="15" t="s">
        <v>323</v>
      </c>
      <c r="AE107" s="18"/>
      <c r="AF107" s="19">
        <v>5</v>
      </c>
      <c r="AG107" s="19">
        <v>54.020099024374801</v>
      </c>
      <c r="AH107" s="19">
        <v>39.280124125441603</v>
      </c>
      <c r="AI107" s="19">
        <v>39.280124125441603</v>
      </c>
      <c r="AJ107" s="19">
        <v>39.280124125441603</v>
      </c>
      <c r="AK107" s="18"/>
      <c r="AL107" s="19">
        <v>5</v>
      </c>
      <c r="AM107" s="19">
        <v>54.020099024374801</v>
      </c>
      <c r="AN107" s="19">
        <v>48.762910672611802</v>
      </c>
      <c r="AO107" s="19">
        <v>42.0918542035946</v>
      </c>
      <c r="AP107" s="19">
        <v>41.405262203594603</v>
      </c>
      <c r="AR107" s="15" t="s">
        <v>249</v>
      </c>
      <c r="AS107" s="15" t="s">
        <v>369</v>
      </c>
      <c r="AT107" s="15"/>
      <c r="AU107" s="15"/>
      <c r="AV107" s="15" t="s">
        <v>467</v>
      </c>
      <c r="AW107" s="15"/>
      <c r="AX107" s="15"/>
      <c r="AY107" s="15"/>
      <c r="AZ107" s="18"/>
      <c r="BA107" s="18"/>
      <c r="BB107" s="19">
        <v>7.9969451255999999</v>
      </c>
      <c r="BC107" s="19">
        <v>8.4864221428477205</v>
      </c>
      <c r="BD107" s="19">
        <v>9.0058590693671494</v>
      </c>
      <c r="BE107" s="19">
        <v>9.6983252018727004</v>
      </c>
      <c r="BF107" s="19">
        <v>10.444035488097899</v>
      </c>
      <c r="BG107" s="19">
        <v>11.4124795668028</v>
      </c>
      <c r="BH107" s="19">
        <v>12.4707245595937</v>
      </c>
      <c r="BI107" s="19">
        <v>13.6270974358312</v>
      </c>
      <c r="BJ107" s="19">
        <v>14.890697299763501</v>
      </c>
      <c r="BK107" s="18"/>
      <c r="BL107" s="18"/>
      <c r="BM107" s="19">
        <v>8.4766376448000003</v>
      </c>
      <c r="BN107" s="19">
        <v>9.5703390000000006</v>
      </c>
      <c r="BO107" s="19">
        <v>10.700694</v>
      </c>
      <c r="BP107" s="19">
        <v>11.529621000000001</v>
      </c>
      <c r="BQ107" s="19">
        <v>12.433904999999999</v>
      </c>
      <c r="BR107" s="19">
        <v>12.810689999999999</v>
      </c>
      <c r="BS107" s="19">
        <v>13.187474999999999</v>
      </c>
      <c r="BT107" s="19">
        <v>13.639616999999999</v>
      </c>
      <c r="BU107" s="19">
        <v>14.016401999999999</v>
      </c>
    </row>
    <row r="108" spans="3:73" x14ac:dyDescent="0.45">
      <c r="C108" s="15" t="s">
        <v>249</v>
      </c>
      <c r="D108" s="15" t="s">
        <v>321</v>
      </c>
      <c r="E108" s="15" t="s">
        <v>285</v>
      </c>
      <c r="F108" s="15"/>
      <c r="G108" s="15"/>
      <c r="H108" s="15" t="s">
        <v>320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249</v>
      </c>
      <c r="Y108" s="15" t="s">
        <v>322</v>
      </c>
      <c r="Z108" s="15" t="s">
        <v>361</v>
      </c>
      <c r="AA108" s="15"/>
      <c r="AB108" s="15"/>
      <c r="AC108" s="15"/>
      <c r="AD108" s="15" t="s">
        <v>323</v>
      </c>
      <c r="AE108" s="18"/>
      <c r="AF108" s="19">
        <v>5</v>
      </c>
      <c r="AG108" s="19">
        <v>12.8620998869352</v>
      </c>
      <c r="AH108" s="19">
        <v>11.1739492767749</v>
      </c>
      <c r="AI108" s="19">
        <v>11.1739492767749</v>
      </c>
      <c r="AJ108" s="19">
        <v>11.0935611524816</v>
      </c>
      <c r="AK108" s="18"/>
      <c r="AL108" s="19">
        <v>5</v>
      </c>
      <c r="AM108" s="19">
        <v>12.8620998869352</v>
      </c>
      <c r="AN108" s="19">
        <v>11.1739492767749</v>
      </c>
      <c r="AO108" s="19">
        <v>11.1739492767749</v>
      </c>
      <c r="AP108" s="19">
        <v>11.0935611524816</v>
      </c>
      <c r="AR108" s="15" t="s">
        <v>249</v>
      </c>
      <c r="AS108" s="15" t="s">
        <v>369</v>
      </c>
      <c r="AT108" s="15"/>
      <c r="AU108" s="15"/>
      <c r="AV108" s="15" t="s">
        <v>468</v>
      </c>
      <c r="AW108" s="15"/>
      <c r="AX108" s="15"/>
      <c r="AY108" s="15"/>
      <c r="AZ108" s="18"/>
      <c r="BA108" s="18"/>
      <c r="BB108" s="19">
        <v>0.73329472799999995</v>
      </c>
      <c r="BC108" s="19">
        <v>0.77817823171142397</v>
      </c>
      <c r="BD108" s="19">
        <v>0.82580896491801703</v>
      </c>
      <c r="BE108" s="19">
        <v>0.88930593236116595</v>
      </c>
      <c r="BF108" s="19">
        <v>0.95768522131662304</v>
      </c>
      <c r="BG108" s="19">
        <v>1.04648849883365</v>
      </c>
      <c r="BH108" s="19">
        <v>1.143526237865</v>
      </c>
      <c r="BI108" s="19">
        <v>1.24956199532351</v>
      </c>
      <c r="BJ108" s="19">
        <v>1.3654301304638701</v>
      </c>
      <c r="BK108" s="18"/>
      <c r="BL108" s="18"/>
      <c r="BM108" s="19">
        <v>0.77728102399999999</v>
      </c>
      <c r="BN108" s="19">
        <v>0.87756999999999996</v>
      </c>
      <c r="BO108" s="19">
        <v>0.98121999999999998</v>
      </c>
      <c r="BP108" s="19">
        <v>1.0572299999999999</v>
      </c>
      <c r="BQ108" s="19">
        <v>1.14015</v>
      </c>
      <c r="BR108" s="19">
        <v>1.1747000000000001</v>
      </c>
      <c r="BS108" s="19">
        <v>1.2092499999999999</v>
      </c>
      <c r="BT108" s="19">
        <v>1.25071</v>
      </c>
      <c r="BU108" s="19">
        <v>1.2852600000000001</v>
      </c>
    </row>
    <row r="109" spans="3:73" x14ac:dyDescent="0.45">
      <c r="C109" s="15" t="s">
        <v>249</v>
      </c>
      <c r="D109" s="15" t="s">
        <v>321</v>
      </c>
      <c r="E109" s="15" t="s">
        <v>286</v>
      </c>
      <c r="F109" s="15"/>
      <c r="G109" s="15"/>
      <c r="H109" s="15" t="s">
        <v>320</v>
      </c>
      <c r="I109" s="15"/>
      <c r="J109" s="18"/>
      <c r="K109" s="19"/>
      <c r="L109" s="19">
        <v>0.16</v>
      </c>
      <c r="M109" s="19"/>
      <c r="N109" s="19"/>
      <c r="O109" s="19"/>
      <c r="P109" s="18"/>
      <c r="Q109" s="19"/>
      <c r="R109" s="19">
        <v>0.16</v>
      </c>
      <c r="S109" s="19"/>
      <c r="T109" s="19"/>
      <c r="U109" s="19"/>
      <c r="V109" s="19"/>
      <c r="X109" s="15" t="s">
        <v>249</v>
      </c>
      <c r="Y109" s="15" t="s">
        <v>322</v>
      </c>
      <c r="Z109" s="15" t="s">
        <v>362</v>
      </c>
      <c r="AA109" s="15"/>
      <c r="AB109" s="15"/>
      <c r="AC109" s="15"/>
      <c r="AD109" s="15" t="s">
        <v>323</v>
      </c>
      <c r="AE109" s="18"/>
      <c r="AF109" s="19">
        <v>5</v>
      </c>
      <c r="AG109" s="19">
        <v>10</v>
      </c>
      <c r="AH109" s="19">
        <v>10.2307692307692</v>
      </c>
      <c r="AI109" s="19">
        <v>10.538461538461499</v>
      </c>
      <c r="AJ109" s="19">
        <v>10.7692307692308</v>
      </c>
      <c r="AK109" s="18"/>
      <c r="AL109" s="19">
        <v>5</v>
      </c>
      <c r="AM109" s="19">
        <v>10</v>
      </c>
      <c r="AN109" s="19">
        <v>10.2307692307692</v>
      </c>
      <c r="AO109" s="19">
        <v>10.538461538461499</v>
      </c>
      <c r="AP109" s="19">
        <v>10.7692307692308</v>
      </c>
      <c r="AR109" s="15" t="s">
        <v>249</v>
      </c>
      <c r="AS109" s="15" t="s">
        <v>369</v>
      </c>
      <c r="AT109" s="15"/>
      <c r="AU109" s="15"/>
      <c r="AV109" s="15" t="s">
        <v>469</v>
      </c>
      <c r="AW109" s="15"/>
      <c r="AX109" s="15"/>
      <c r="AY109" s="15"/>
      <c r="AZ109" s="18"/>
      <c r="BA109" s="18"/>
      <c r="BB109" s="19">
        <v>0.37534926959999998</v>
      </c>
      <c r="BC109" s="19">
        <v>0.39832364769367701</v>
      </c>
      <c r="BD109" s="19">
        <v>0.42270424152171099</v>
      </c>
      <c r="BE109" s="19">
        <v>0.45520623484246697</v>
      </c>
      <c r="BF109" s="19">
        <v>0.49020732674340101</v>
      </c>
      <c r="BG109" s="19">
        <v>0.53566278153033597</v>
      </c>
      <c r="BH109" s="19">
        <v>0.58533318427329895</v>
      </c>
      <c r="BI109" s="19">
        <v>0.63960937445140897</v>
      </c>
      <c r="BJ109" s="19">
        <v>0.69891843291616496</v>
      </c>
      <c r="BK109" s="18"/>
      <c r="BL109" s="18"/>
      <c r="BM109" s="19">
        <v>0.39786439680000002</v>
      </c>
      <c r="BN109" s="19">
        <v>0.44919900000000001</v>
      </c>
      <c r="BO109" s="19">
        <v>0.50225399999999998</v>
      </c>
      <c r="BP109" s="19">
        <v>0.541161</v>
      </c>
      <c r="BQ109" s="19">
        <v>0.58360500000000004</v>
      </c>
      <c r="BR109" s="19">
        <v>0.60128999999999999</v>
      </c>
      <c r="BS109" s="19">
        <v>0.61897500000000005</v>
      </c>
      <c r="BT109" s="19">
        <v>0.64019700000000002</v>
      </c>
      <c r="BU109" s="19">
        <v>0.65788199999999997</v>
      </c>
    </row>
    <row r="110" spans="3:73" x14ac:dyDescent="0.45">
      <c r="C110" s="15" t="s">
        <v>249</v>
      </c>
      <c r="D110" s="15" t="s">
        <v>321</v>
      </c>
      <c r="E110" s="15" t="s">
        <v>287</v>
      </c>
      <c r="F110" s="15"/>
      <c r="G110" s="15"/>
      <c r="H110" s="15" t="s">
        <v>320</v>
      </c>
      <c r="I110" s="15"/>
      <c r="J110" s="18"/>
      <c r="K110" s="18"/>
      <c r="L110" s="19">
        <v>0.23</v>
      </c>
      <c r="M110" s="18"/>
      <c r="N110" s="18"/>
      <c r="O110" s="18"/>
      <c r="P110" s="18"/>
      <c r="Q110" s="18"/>
      <c r="R110" s="19">
        <v>0.23</v>
      </c>
      <c r="S110" s="18"/>
      <c r="T110" s="18"/>
      <c r="U110" s="18"/>
      <c r="V110" s="18"/>
      <c r="X110" s="15" t="s">
        <v>249</v>
      </c>
      <c r="Y110" s="15" t="s">
        <v>324</v>
      </c>
      <c r="Z110" s="15" t="s">
        <v>330</v>
      </c>
      <c r="AA110" s="15"/>
      <c r="AB110" s="15"/>
      <c r="AC110" s="15"/>
      <c r="AD110" s="15" t="s">
        <v>323</v>
      </c>
      <c r="AE110" s="18"/>
      <c r="AF110" s="18"/>
      <c r="AG110" s="19">
        <v>1.3646746492609301</v>
      </c>
      <c r="AH110" s="18"/>
      <c r="AI110" s="18"/>
      <c r="AJ110" s="18"/>
      <c r="AK110" s="18"/>
      <c r="AL110" s="18"/>
      <c r="AM110" s="19">
        <v>1.3646746492609301</v>
      </c>
      <c r="AN110" s="18"/>
      <c r="AO110" s="18"/>
      <c r="AP110" s="18"/>
      <c r="AR110" s="15" t="s">
        <v>249</v>
      </c>
      <c r="AS110" s="15" t="s">
        <v>369</v>
      </c>
      <c r="AT110" s="15"/>
      <c r="AU110" s="15"/>
      <c r="AV110" s="15" t="s">
        <v>470</v>
      </c>
      <c r="AW110" s="15"/>
      <c r="AX110" s="15"/>
      <c r="AY110" s="15"/>
      <c r="AZ110" s="18"/>
      <c r="BA110" s="18"/>
      <c r="BB110" s="19">
        <v>18.5</v>
      </c>
      <c r="BC110" s="19">
        <v>18.5</v>
      </c>
      <c r="BD110" s="19">
        <v>18.5</v>
      </c>
      <c r="BE110" s="19">
        <v>18.5</v>
      </c>
      <c r="BF110" s="19">
        <v>18.5</v>
      </c>
      <c r="BG110" s="19">
        <v>18.5</v>
      </c>
      <c r="BH110" s="19">
        <v>18.5</v>
      </c>
      <c r="BI110" s="19">
        <v>18.5</v>
      </c>
      <c r="BJ110" s="19">
        <v>18.5</v>
      </c>
      <c r="BK110" s="18"/>
      <c r="BL110" s="18"/>
      <c r="BM110" s="19">
        <v>18.5</v>
      </c>
      <c r="BN110" s="19">
        <v>18.5</v>
      </c>
      <c r="BO110" s="19">
        <v>18.5</v>
      </c>
      <c r="BP110" s="19">
        <v>18.5</v>
      </c>
      <c r="BQ110" s="19">
        <v>18.5</v>
      </c>
      <c r="BR110" s="19">
        <v>18.5</v>
      </c>
      <c r="BS110" s="19">
        <v>18.5</v>
      </c>
      <c r="BT110" s="19">
        <v>18.5</v>
      </c>
      <c r="BU110" s="19">
        <v>18.5</v>
      </c>
    </row>
    <row r="111" spans="3:73" x14ac:dyDescent="0.45">
      <c r="C111" s="15" t="s">
        <v>249</v>
      </c>
      <c r="D111" s="15" t="s">
        <v>321</v>
      </c>
      <c r="E111" s="15" t="s">
        <v>288</v>
      </c>
      <c r="F111" s="15"/>
      <c r="G111" s="15"/>
      <c r="H111" s="15" t="s">
        <v>320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249</v>
      </c>
      <c r="Y111" s="15" t="s">
        <v>324</v>
      </c>
      <c r="Z111" s="15" t="s">
        <v>331</v>
      </c>
      <c r="AA111" s="15"/>
      <c r="AB111" s="15"/>
      <c r="AC111" s="15"/>
      <c r="AD111" s="15" t="s">
        <v>323</v>
      </c>
      <c r="AE111" s="18"/>
      <c r="AF111" s="18"/>
      <c r="AG111" s="19">
        <v>1.6926552473308201</v>
      </c>
      <c r="AH111" s="18"/>
      <c r="AI111" s="18"/>
      <c r="AJ111" s="18"/>
      <c r="AK111" s="18"/>
      <c r="AL111" s="18"/>
      <c r="AM111" s="19">
        <v>1.6926552473308201</v>
      </c>
      <c r="AN111" s="18"/>
      <c r="AO111" s="18"/>
      <c r="AP111" s="18"/>
      <c r="AR111" s="15" t="s">
        <v>249</v>
      </c>
      <c r="AS111" s="15" t="s">
        <v>369</v>
      </c>
      <c r="AT111" s="15"/>
      <c r="AU111" s="15"/>
      <c r="AV111" s="15" t="s">
        <v>471</v>
      </c>
      <c r="AW111" s="15"/>
      <c r="AX111" s="15"/>
      <c r="AY111" s="15"/>
      <c r="AZ111" s="18"/>
      <c r="BA111" s="18"/>
      <c r="BB111" s="19">
        <v>0.60580000000000001</v>
      </c>
      <c r="BC111" s="19">
        <v>0.60580000000000001</v>
      </c>
      <c r="BD111" s="19">
        <v>0.60580000000000001</v>
      </c>
      <c r="BE111" s="19">
        <v>0.60580000000000001</v>
      </c>
      <c r="BF111" s="19">
        <v>0.60580000000000001</v>
      </c>
      <c r="BG111" s="19">
        <v>0.60580000000000001</v>
      </c>
      <c r="BH111" s="19">
        <v>0.60580000000000001</v>
      </c>
      <c r="BI111" s="19">
        <v>0.60580000000000001</v>
      </c>
      <c r="BJ111" s="19">
        <v>0.60580000000000001</v>
      </c>
      <c r="BK111" s="18"/>
      <c r="BL111" s="18"/>
      <c r="BM111" s="19">
        <v>1.3636999999999999</v>
      </c>
      <c r="BN111" s="19">
        <v>1.534</v>
      </c>
      <c r="BO111" s="19">
        <v>1.7255</v>
      </c>
      <c r="BP111" s="19">
        <v>1.8582000000000001</v>
      </c>
      <c r="BQ111" s="19">
        <v>2.0009999999999999</v>
      </c>
      <c r="BR111" s="19">
        <v>2.0312000000000001</v>
      </c>
      <c r="BS111" s="19">
        <v>2.0617999999999999</v>
      </c>
      <c r="BT111" s="19">
        <v>2.0929000000000002</v>
      </c>
      <c r="BU111" s="19">
        <v>2.1244999999999998</v>
      </c>
    </row>
    <row r="112" spans="3:73" x14ac:dyDescent="0.45">
      <c r="C112" s="15" t="s">
        <v>249</v>
      </c>
      <c r="D112" s="15" t="s">
        <v>321</v>
      </c>
      <c r="E112" s="15" t="s">
        <v>289</v>
      </c>
      <c r="F112" s="15"/>
      <c r="G112" s="15"/>
      <c r="H112" s="15" t="s">
        <v>320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249</v>
      </c>
      <c r="Y112" s="15" t="s">
        <v>324</v>
      </c>
      <c r="Z112" s="15" t="s">
        <v>332</v>
      </c>
      <c r="AA112" s="15"/>
      <c r="AB112" s="15"/>
      <c r="AC112" s="15"/>
      <c r="AD112" s="15" t="s">
        <v>323</v>
      </c>
      <c r="AE112" s="18"/>
      <c r="AF112" s="18"/>
      <c r="AG112" s="19">
        <v>1.26071683809919</v>
      </c>
      <c r="AH112" s="18"/>
      <c r="AI112" s="18"/>
      <c r="AJ112" s="18"/>
      <c r="AK112" s="18"/>
      <c r="AL112" s="18"/>
      <c r="AM112" s="19">
        <v>1.26071683809919</v>
      </c>
      <c r="AN112" s="18"/>
      <c r="AO112" s="18"/>
      <c r="AP112" s="18"/>
      <c r="AR112" s="15" t="s">
        <v>249</v>
      </c>
      <c r="AS112" s="15" t="s">
        <v>369</v>
      </c>
      <c r="AT112" s="15"/>
      <c r="AU112" s="15"/>
      <c r="AV112" s="15" t="s">
        <v>472</v>
      </c>
      <c r="AW112" s="15"/>
      <c r="AX112" s="15"/>
      <c r="AY112" s="15"/>
      <c r="AZ112" s="18"/>
      <c r="BA112" s="18"/>
      <c r="BB112" s="19">
        <v>2.2187000000000001</v>
      </c>
      <c r="BC112" s="19">
        <v>2.2187000000000001</v>
      </c>
      <c r="BD112" s="19">
        <v>2.2187000000000001</v>
      </c>
      <c r="BE112" s="19">
        <v>2.2187000000000001</v>
      </c>
      <c r="BF112" s="19">
        <v>2.2187000000000001</v>
      </c>
      <c r="BG112" s="19">
        <v>2.2187000000000001</v>
      </c>
      <c r="BH112" s="19">
        <v>2.2187000000000001</v>
      </c>
      <c r="BI112" s="19">
        <v>2.2187000000000001</v>
      </c>
      <c r="BJ112" s="19">
        <v>2.2187000000000001</v>
      </c>
      <c r="BK112" s="18"/>
      <c r="BL112" s="18"/>
      <c r="BM112" s="19">
        <v>2.2187000000000001</v>
      </c>
      <c r="BN112" s="19">
        <v>2.2187000000000001</v>
      </c>
      <c r="BO112" s="19">
        <v>2.2187000000000001</v>
      </c>
      <c r="BP112" s="19">
        <v>2.2187000000000001</v>
      </c>
      <c r="BQ112" s="19">
        <v>2.2187000000000001</v>
      </c>
      <c r="BR112" s="19">
        <v>2.2187000000000001</v>
      </c>
      <c r="BS112" s="19">
        <v>2.2187000000000001</v>
      </c>
      <c r="BT112" s="19">
        <v>2.2187000000000001</v>
      </c>
      <c r="BU112" s="19">
        <v>2.2187000000000001</v>
      </c>
    </row>
    <row r="113" spans="3:73" x14ac:dyDescent="0.45">
      <c r="C113" s="15" t="s">
        <v>249</v>
      </c>
      <c r="D113" s="15" t="s">
        <v>321</v>
      </c>
      <c r="E113" s="15" t="s">
        <v>290</v>
      </c>
      <c r="F113" s="15"/>
      <c r="G113" s="15"/>
      <c r="H113" s="15" t="s">
        <v>320</v>
      </c>
      <c r="I113" s="15"/>
      <c r="J113" s="18"/>
      <c r="K113" s="18"/>
      <c r="L113" s="19">
        <v>0.02</v>
      </c>
      <c r="M113" s="18"/>
      <c r="N113" s="18"/>
      <c r="O113" s="18"/>
      <c r="P113" s="18"/>
      <c r="Q113" s="18"/>
      <c r="R113" s="19">
        <v>0.02</v>
      </c>
      <c r="S113" s="18"/>
      <c r="T113" s="18"/>
      <c r="U113" s="18"/>
      <c r="V113" s="18"/>
      <c r="X113" s="15" t="s">
        <v>249</v>
      </c>
      <c r="Y113" s="15" t="s">
        <v>324</v>
      </c>
      <c r="Z113" s="15" t="s">
        <v>333</v>
      </c>
      <c r="AA113" s="15"/>
      <c r="AB113" s="15"/>
      <c r="AC113" s="15"/>
      <c r="AD113" s="15" t="s">
        <v>323</v>
      </c>
      <c r="AE113" s="18"/>
      <c r="AF113" s="18"/>
      <c r="AG113" s="19">
        <v>1.09979187902069</v>
      </c>
      <c r="AH113" s="18"/>
      <c r="AI113" s="18"/>
      <c r="AJ113" s="18"/>
      <c r="AK113" s="18"/>
      <c r="AL113" s="18"/>
      <c r="AM113" s="19">
        <v>1.09979187902069</v>
      </c>
      <c r="AN113" s="18"/>
      <c r="AO113" s="18"/>
      <c r="AP113" s="18"/>
      <c r="AR113" s="15" t="s">
        <v>249</v>
      </c>
      <c r="AS113" s="15" t="s">
        <v>369</v>
      </c>
      <c r="AT113" s="15"/>
      <c r="AU113" s="15"/>
      <c r="AV113" s="15" t="s">
        <v>473</v>
      </c>
      <c r="AW113" s="15"/>
      <c r="AX113" s="15"/>
      <c r="AY113" s="15"/>
      <c r="AZ113" s="18"/>
      <c r="BA113" s="18"/>
      <c r="BB113" s="19">
        <v>0.48762491670000002</v>
      </c>
      <c r="BC113" s="19">
        <v>0.49730587650000002</v>
      </c>
      <c r="BD113" s="19">
        <v>0.48176833769999999</v>
      </c>
      <c r="BE113" s="19">
        <v>0.46671628500000001</v>
      </c>
      <c r="BF113" s="19">
        <v>0.44576946899999997</v>
      </c>
      <c r="BG113" s="19">
        <v>0.41975108370000003</v>
      </c>
      <c r="BH113" s="19">
        <v>0.39525164010000002</v>
      </c>
      <c r="BI113" s="19">
        <v>0.37218187619999998</v>
      </c>
      <c r="BJ113" s="19">
        <v>0.35045897669999998</v>
      </c>
      <c r="BK113" s="18"/>
      <c r="BL113" s="18"/>
      <c r="BM113" s="19">
        <v>0.48762491670000002</v>
      </c>
      <c r="BN113" s="19">
        <v>0.49730835600000001</v>
      </c>
      <c r="BO113" s="19">
        <v>0.45509734800000001</v>
      </c>
      <c r="BP113" s="19">
        <v>0.416466738</v>
      </c>
      <c r="BQ113" s="19">
        <v>0.39777626700000002</v>
      </c>
      <c r="BR113" s="19">
        <v>0.39638278799999999</v>
      </c>
      <c r="BS113" s="19">
        <v>0.39499922700000001</v>
      </c>
      <c r="BT113" s="19">
        <v>0.39361566599999998</v>
      </c>
      <c r="BU113" s="19">
        <v>0.39223706400000002</v>
      </c>
    </row>
    <row r="114" spans="3:73" x14ac:dyDescent="0.45">
      <c r="C114" s="15" t="s">
        <v>249</v>
      </c>
      <c r="D114" s="15" t="s">
        <v>321</v>
      </c>
      <c r="E114" s="15" t="s">
        <v>291</v>
      </c>
      <c r="F114" s="15"/>
      <c r="G114" s="15"/>
      <c r="H114" s="15" t="s">
        <v>320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249</v>
      </c>
      <c r="Y114" s="15" t="s">
        <v>324</v>
      </c>
      <c r="Z114" s="15" t="s">
        <v>334</v>
      </c>
      <c r="AA114" s="15"/>
      <c r="AB114" s="15"/>
      <c r="AC114" s="15"/>
      <c r="AD114" s="15" t="s">
        <v>323</v>
      </c>
      <c r="AE114" s="18"/>
      <c r="AF114" s="18"/>
      <c r="AG114" s="19">
        <v>1.5396112737265699</v>
      </c>
      <c r="AH114" s="18"/>
      <c r="AI114" s="18"/>
      <c r="AJ114" s="18"/>
      <c r="AK114" s="18"/>
      <c r="AL114" s="18"/>
      <c r="AM114" s="19">
        <v>1.5396112737265699</v>
      </c>
      <c r="AN114" s="18"/>
      <c r="AO114" s="18"/>
      <c r="AP114" s="18"/>
      <c r="AR114" s="15" t="s">
        <v>249</v>
      </c>
      <c r="AS114" s="15" t="s">
        <v>369</v>
      </c>
      <c r="AT114" s="15"/>
      <c r="AU114" s="15"/>
      <c r="AV114" s="15" t="s">
        <v>474</v>
      </c>
      <c r="AW114" s="15"/>
      <c r="AX114" s="15"/>
      <c r="AY114" s="15"/>
      <c r="AZ114" s="18"/>
      <c r="BA114" s="18"/>
      <c r="BB114" s="19">
        <v>3.1859341200000002E-2</v>
      </c>
      <c r="BC114" s="19">
        <v>3.2491854000000001E-2</v>
      </c>
      <c r="BD114" s="19">
        <v>3.1476697200000001E-2</v>
      </c>
      <c r="BE114" s="19">
        <v>3.0493260000000001E-2</v>
      </c>
      <c r="BF114" s="19">
        <v>2.9124684000000001E-2</v>
      </c>
      <c r="BG114" s="19">
        <v>2.7424753199999999E-2</v>
      </c>
      <c r="BH114" s="19">
        <v>2.5824063599999999E-2</v>
      </c>
      <c r="BI114" s="19">
        <v>2.4316783200000001E-2</v>
      </c>
      <c r="BJ114" s="19">
        <v>2.28975012E-2</v>
      </c>
      <c r="BK114" s="18"/>
      <c r="BL114" s="18"/>
      <c r="BM114" s="19">
        <v>3.1859341200000002E-2</v>
      </c>
      <c r="BN114" s="19">
        <v>3.2492015999999999E-2</v>
      </c>
      <c r="BO114" s="19">
        <v>2.9734127999999999E-2</v>
      </c>
      <c r="BP114" s="19">
        <v>2.7210168E-2</v>
      </c>
      <c r="BQ114" s="19">
        <v>2.5989011999999999E-2</v>
      </c>
      <c r="BR114" s="19">
        <v>2.5897968E-2</v>
      </c>
      <c r="BS114" s="19">
        <v>2.5807572000000001E-2</v>
      </c>
      <c r="BT114" s="19">
        <v>2.5717176000000001E-2</v>
      </c>
      <c r="BU114" s="19">
        <v>2.5627104000000001E-2</v>
      </c>
    </row>
    <row r="115" spans="3:73" x14ac:dyDescent="0.45">
      <c r="C115" s="15" t="s">
        <v>249</v>
      </c>
      <c r="D115" s="15" t="s">
        <v>321</v>
      </c>
      <c r="E115" s="15" t="s">
        <v>292</v>
      </c>
      <c r="F115" s="15"/>
      <c r="G115" s="15"/>
      <c r="H115" s="15" t="s">
        <v>320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249</v>
      </c>
      <c r="Y115" s="15" t="s">
        <v>324</v>
      </c>
      <c r="Z115" s="15" t="s">
        <v>335</v>
      </c>
      <c r="AA115" s="15"/>
      <c r="AB115" s="15"/>
      <c r="AC115" s="15"/>
      <c r="AD115" s="15" t="s">
        <v>323</v>
      </c>
      <c r="AE115" s="18"/>
      <c r="AF115" s="18"/>
      <c r="AG115" s="19">
        <v>1.3430866666666701</v>
      </c>
      <c r="AH115" s="18"/>
      <c r="AI115" s="18"/>
      <c r="AJ115" s="18"/>
      <c r="AK115" s="18"/>
      <c r="AL115" s="18"/>
      <c r="AM115" s="19">
        <v>1.3430866666666701</v>
      </c>
      <c r="AN115" s="18"/>
      <c r="AO115" s="18"/>
      <c r="AP115" s="18"/>
      <c r="AR115" s="15" t="s">
        <v>249</v>
      </c>
      <c r="AS115" s="15" t="s">
        <v>369</v>
      </c>
      <c r="AT115" s="15"/>
      <c r="AU115" s="15"/>
      <c r="AV115" s="15" t="s">
        <v>475</v>
      </c>
      <c r="AW115" s="15"/>
      <c r="AX115" s="15"/>
      <c r="AY115" s="15"/>
      <c r="AZ115" s="18"/>
      <c r="BA115" s="18"/>
      <c r="BB115" s="19">
        <v>1.9163787056999999</v>
      </c>
      <c r="BC115" s="19">
        <v>1.9544251315000001</v>
      </c>
      <c r="BD115" s="19">
        <v>1.8933621967000001</v>
      </c>
      <c r="BE115" s="19">
        <v>1.834207235</v>
      </c>
      <c r="BF115" s="19">
        <v>1.751885699</v>
      </c>
      <c r="BG115" s="19">
        <v>1.6496327627</v>
      </c>
      <c r="BH115" s="19">
        <v>1.5533493071</v>
      </c>
      <c r="BI115" s="19">
        <v>1.4626845302</v>
      </c>
      <c r="BJ115" s="19">
        <v>1.3773129657000001</v>
      </c>
      <c r="BK115" s="18"/>
      <c r="BL115" s="18"/>
      <c r="BM115" s="19">
        <v>1.9163787056999999</v>
      </c>
      <c r="BN115" s="19">
        <v>1.9544348760000001</v>
      </c>
      <c r="BO115" s="19">
        <v>1.788544508</v>
      </c>
      <c r="BP115" s="19">
        <v>1.6367251979999999</v>
      </c>
      <c r="BQ115" s="19">
        <v>1.563271157</v>
      </c>
      <c r="BR115" s="19">
        <v>1.5577947480000001</v>
      </c>
      <c r="BS115" s="19">
        <v>1.552357317</v>
      </c>
      <c r="BT115" s="19">
        <v>1.546919886</v>
      </c>
      <c r="BU115" s="19">
        <v>1.541501944</v>
      </c>
    </row>
    <row r="116" spans="3:73" x14ac:dyDescent="0.45">
      <c r="C116" s="15" t="s">
        <v>249</v>
      </c>
      <c r="D116" s="15" t="s">
        <v>321</v>
      </c>
      <c r="E116" s="15" t="s">
        <v>293</v>
      </c>
      <c r="F116" s="15"/>
      <c r="G116" s="15"/>
      <c r="H116" s="15" t="s">
        <v>320</v>
      </c>
      <c r="I116" s="15"/>
      <c r="J116" s="18"/>
      <c r="K116" s="18"/>
      <c r="L116" s="19">
        <v>0.06</v>
      </c>
      <c r="M116" s="18"/>
      <c r="N116" s="18"/>
      <c r="O116" s="18"/>
      <c r="P116" s="18"/>
      <c r="Q116" s="18"/>
      <c r="R116" s="19">
        <v>0.06</v>
      </c>
      <c r="S116" s="18"/>
      <c r="T116" s="18"/>
      <c r="U116" s="18"/>
      <c r="V116" s="18"/>
      <c r="X116" s="15" t="s">
        <v>249</v>
      </c>
      <c r="Y116" s="15" t="s">
        <v>324</v>
      </c>
      <c r="Z116" s="15" t="s">
        <v>336</v>
      </c>
      <c r="AA116" s="15"/>
      <c r="AB116" s="15"/>
      <c r="AC116" s="15"/>
      <c r="AD116" s="15" t="s">
        <v>323</v>
      </c>
      <c r="AE116" s="18"/>
      <c r="AF116" s="18"/>
      <c r="AG116" s="19">
        <v>1.24308378310627</v>
      </c>
      <c r="AH116" s="18"/>
      <c r="AI116" s="18"/>
      <c r="AJ116" s="18"/>
      <c r="AK116" s="18"/>
      <c r="AL116" s="18"/>
      <c r="AM116" s="19">
        <v>1.24308378310627</v>
      </c>
      <c r="AN116" s="18"/>
      <c r="AO116" s="18"/>
      <c r="AP116" s="18"/>
      <c r="AR116" s="15" t="s">
        <v>249</v>
      </c>
      <c r="AS116" s="15" t="s">
        <v>369</v>
      </c>
      <c r="AT116" s="15"/>
      <c r="AU116" s="15"/>
      <c r="AV116" s="15" t="s">
        <v>476</v>
      </c>
      <c r="AW116" s="15"/>
      <c r="AX116" s="15"/>
      <c r="AY116" s="15"/>
      <c r="AZ116" s="18"/>
      <c r="BA116" s="18"/>
      <c r="BB116" s="19">
        <v>1.1503778787000001</v>
      </c>
      <c r="BC116" s="19">
        <v>1.1732166664999999</v>
      </c>
      <c r="BD116" s="19">
        <v>1.1365613596999999</v>
      </c>
      <c r="BE116" s="19">
        <v>1.1010513850000001</v>
      </c>
      <c r="BF116" s="19">
        <v>1.0516348090000001</v>
      </c>
      <c r="BG116" s="19">
        <v>0.99025366569999995</v>
      </c>
      <c r="BH116" s="19">
        <v>0.93245592610000005</v>
      </c>
      <c r="BI116" s="19">
        <v>0.87803100820000002</v>
      </c>
      <c r="BJ116" s="19">
        <v>0.82678353869999999</v>
      </c>
      <c r="BK116" s="18"/>
      <c r="BL116" s="18"/>
      <c r="BM116" s="19">
        <v>1.1503778787000001</v>
      </c>
      <c r="BN116" s="19">
        <v>1.173222516</v>
      </c>
      <c r="BO116" s="19">
        <v>1.0736406279999999</v>
      </c>
      <c r="BP116" s="19">
        <v>0.98250541800000002</v>
      </c>
      <c r="BQ116" s="19">
        <v>0.938411887</v>
      </c>
      <c r="BR116" s="19">
        <v>0.93512446800000004</v>
      </c>
      <c r="BS116" s="19">
        <v>0.93186044700000004</v>
      </c>
      <c r="BT116" s="19">
        <v>0.92859642600000003</v>
      </c>
      <c r="BU116" s="19">
        <v>0.925344104</v>
      </c>
    </row>
    <row r="117" spans="3:73" x14ac:dyDescent="0.45">
      <c r="C117" s="15" t="s">
        <v>249</v>
      </c>
      <c r="D117" s="15" t="s">
        <v>321</v>
      </c>
      <c r="E117" s="15" t="s">
        <v>294</v>
      </c>
      <c r="F117" s="15"/>
      <c r="G117" s="15"/>
      <c r="H117" s="15" t="s">
        <v>320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249</v>
      </c>
      <c r="Y117" s="15" t="s">
        <v>324</v>
      </c>
      <c r="Z117" s="15" t="s">
        <v>339</v>
      </c>
      <c r="AA117" s="15"/>
      <c r="AB117" s="15"/>
      <c r="AC117" s="15"/>
      <c r="AD117" s="15" t="s">
        <v>323</v>
      </c>
      <c r="AE117" s="18"/>
      <c r="AF117" s="18"/>
      <c r="AG117" s="19">
        <v>1.2806510350298399</v>
      </c>
      <c r="AH117" s="18"/>
      <c r="AI117" s="18"/>
      <c r="AJ117" s="18"/>
      <c r="AK117" s="18"/>
      <c r="AL117" s="18"/>
      <c r="AM117" s="19">
        <v>1.2806510350298399</v>
      </c>
      <c r="AN117" s="18"/>
      <c r="AO117" s="18"/>
      <c r="AP117" s="18"/>
      <c r="AR117" s="15" t="s">
        <v>249</v>
      </c>
      <c r="AS117" s="15" t="s">
        <v>369</v>
      </c>
      <c r="AT117" s="15"/>
      <c r="AU117" s="15"/>
      <c r="AV117" s="15" t="s">
        <v>477</v>
      </c>
      <c r="AW117" s="15"/>
      <c r="AX117" s="15"/>
      <c r="AY117" s="15"/>
      <c r="AZ117" s="18"/>
      <c r="BA117" s="18"/>
      <c r="BB117" s="19">
        <v>0.80400000000000005</v>
      </c>
      <c r="BC117" s="19">
        <v>0.77470000000000006</v>
      </c>
      <c r="BD117" s="19">
        <v>0.74660000000000004</v>
      </c>
      <c r="BE117" s="19">
        <v>0.80400000000000005</v>
      </c>
      <c r="BF117" s="19">
        <v>0.86580000000000001</v>
      </c>
      <c r="BG117" s="19">
        <v>0.94610000000000005</v>
      </c>
      <c r="BH117" s="19">
        <v>1.0338000000000001</v>
      </c>
      <c r="BI117" s="19">
        <v>1.1295999999999999</v>
      </c>
      <c r="BJ117" s="19">
        <v>1.2343999999999999</v>
      </c>
      <c r="BK117" s="18"/>
      <c r="BL117" s="18"/>
      <c r="BM117" s="19">
        <v>0.9385</v>
      </c>
      <c r="BN117" s="19">
        <v>1.0557000000000001</v>
      </c>
      <c r="BO117" s="19">
        <v>1.1875</v>
      </c>
      <c r="BP117" s="19">
        <v>1.2787999999999999</v>
      </c>
      <c r="BQ117" s="19">
        <v>1.3771</v>
      </c>
      <c r="BR117" s="19">
        <v>1.3978999999999999</v>
      </c>
      <c r="BS117" s="19">
        <v>1.419</v>
      </c>
      <c r="BT117" s="19">
        <v>1.4403999999999999</v>
      </c>
      <c r="BU117" s="19">
        <v>1.4621</v>
      </c>
    </row>
    <row r="118" spans="3:73" x14ac:dyDescent="0.45">
      <c r="C118" s="15" t="s">
        <v>249</v>
      </c>
      <c r="D118" s="15" t="s">
        <v>321</v>
      </c>
      <c r="E118" s="15" t="s">
        <v>295</v>
      </c>
      <c r="F118" s="15"/>
      <c r="G118" s="15"/>
      <c r="H118" s="15" t="s">
        <v>320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249</v>
      </c>
      <c r="Y118" s="15" t="s">
        <v>324</v>
      </c>
      <c r="Z118" s="15" t="s">
        <v>341</v>
      </c>
      <c r="AA118" s="15"/>
      <c r="AB118" s="15"/>
      <c r="AC118" s="15"/>
      <c r="AD118" s="15" t="s">
        <v>323</v>
      </c>
      <c r="AE118" s="18"/>
      <c r="AF118" s="18"/>
      <c r="AG118" s="19">
        <v>15.1</v>
      </c>
      <c r="AH118" s="18"/>
      <c r="AI118" s="18"/>
      <c r="AJ118" s="18"/>
      <c r="AK118" s="18"/>
      <c r="AL118" s="18"/>
      <c r="AM118" s="19">
        <v>15.141810276128499</v>
      </c>
      <c r="AN118" s="18"/>
      <c r="AO118" s="18"/>
      <c r="AP118" s="18"/>
      <c r="AR118" s="15" t="s">
        <v>249</v>
      </c>
      <c r="AS118" s="15" t="s">
        <v>369</v>
      </c>
      <c r="AT118" s="15"/>
      <c r="AU118" s="15"/>
      <c r="AV118" s="15" t="s">
        <v>478</v>
      </c>
      <c r="AW118" s="15"/>
      <c r="AX118" s="15"/>
      <c r="AY118" s="15"/>
      <c r="AZ118" s="18"/>
      <c r="BA118" s="18"/>
      <c r="BB118" s="19">
        <v>3.1E-2</v>
      </c>
      <c r="BC118" s="19">
        <v>2.9899999999999999E-2</v>
      </c>
      <c r="BD118" s="19">
        <v>2.8799999999999999E-2</v>
      </c>
      <c r="BE118" s="19">
        <v>3.1E-2</v>
      </c>
      <c r="BF118" s="19">
        <v>3.3399999999999999E-2</v>
      </c>
      <c r="BG118" s="19">
        <v>3.6499999999999998E-2</v>
      </c>
      <c r="BH118" s="19">
        <v>3.9899999999999998E-2</v>
      </c>
      <c r="BI118" s="19">
        <v>4.36E-2</v>
      </c>
      <c r="BJ118" s="19">
        <v>4.7699999999999999E-2</v>
      </c>
      <c r="BK118" s="18"/>
      <c r="BL118" s="18"/>
      <c r="BM118" s="19">
        <v>3.6200000000000003E-2</v>
      </c>
      <c r="BN118" s="19">
        <v>4.0800000000000003E-2</v>
      </c>
      <c r="BO118" s="19">
        <v>4.58E-2</v>
      </c>
      <c r="BP118" s="19">
        <v>4.9399999999999999E-2</v>
      </c>
      <c r="BQ118" s="19">
        <v>5.3199999999999997E-2</v>
      </c>
      <c r="BR118" s="19">
        <v>5.3999999999999999E-2</v>
      </c>
      <c r="BS118" s="19">
        <v>5.4800000000000001E-2</v>
      </c>
      <c r="BT118" s="19">
        <v>5.5599999999999997E-2</v>
      </c>
      <c r="BU118" s="19">
        <v>5.6500000000000002E-2</v>
      </c>
    </row>
    <row r="119" spans="3:73" x14ac:dyDescent="0.45">
      <c r="C119" s="15" t="s">
        <v>249</v>
      </c>
      <c r="D119" s="15" t="s">
        <v>321</v>
      </c>
      <c r="E119" s="15" t="s">
        <v>296</v>
      </c>
      <c r="F119" s="15"/>
      <c r="G119" s="15"/>
      <c r="H119" s="15" t="s">
        <v>320</v>
      </c>
      <c r="I119" s="15"/>
      <c r="J119" s="18"/>
      <c r="K119" s="18"/>
      <c r="L119" s="19">
        <v>0.09</v>
      </c>
      <c r="M119" s="18"/>
      <c r="N119" s="18"/>
      <c r="O119" s="18"/>
      <c r="P119" s="18"/>
      <c r="Q119" s="18"/>
      <c r="R119" s="19">
        <v>0.09</v>
      </c>
      <c r="S119" s="18"/>
      <c r="T119" s="18"/>
      <c r="U119" s="18"/>
      <c r="V119" s="18"/>
      <c r="X119" s="15" t="s">
        <v>249</v>
      </c>
      <c r="Y119" s="15" t="s">
        <v>324</v>
      </c>
      <c r="Z119" s="15" t="s">
        <v>342</v>
      </c>
      <c r="AA119" s="15"/>
      <c r="AB119" s="15"/>
      <c r="AC119" s="15"/>
      <c r="AD119" s="15" t="s">
        <v>323</v>
      </c>
      <c r="AE119" s="18"/>
      <c r="AF119" s="18"/>
      <c r="AG119" s="19">
        <v>14.9</v>
      </c>
      <c r="AH119" s="18"/>
      <c r="AI119" s="18"/>
      <c r="AJ119" s="18"/>
      <c r="AK119" s="18"/>
      <c r="AL119" s="18"/>
      <c r="AM119" s="19">
        <v>14.9195348626022</v>
      </c>
      <c r="AN119" s="18"/>
      <c r="AO119" s="18"/>
      <c r="AP119" s="18"/>
      <c r="AR119" s="15" t="s">
        <v>249</v>
      </c>
      <c r="AS119" s="15" t="s">
        <v>369</v>
      </c>
      <c r="AT119" s="15"/>
      <c r="AU119" s="15"/>
      <c r="AV119" s="15" t="s">
        <v>479</v>
      </c>
      <c r="AW119" s="15"/>
      <c r="AX119" s="15"/>
      <c r="AY119" s="15"/>
      <c r="AZ119" s="18"/>
      <c r="BA119" s="18"/>
      <c r="BB119" s="19">
        <v>1.5750999999999999</v>
      </c>
      <c r="BC119" s="19">
        <v>1.5178</v>
      </c>
      <c r="BD119" s="19">
        <v>1.4625999999999999</v>
      </c>
      <c r="BE119" s="19">
        <v>1.575</v>
      </c>
      <c r="BF119" s="19">
        <v>1.6960999999999999</v>
      </c>
      <c r="BG119" s="19">
        <v>1.8533999999999999</v>
      </c>
      <c r="BH119" s="19">
        <v>2.0253000000000001</v>
      </c>
      <c r="BI119" s="19">
        <v>2.2130999999999998</v>
      </c>
      <c r="BJ119" s="19">
        <v>2.4182999999999999</v>
      </c>
      <c r="BK119" s="18"/>
      <c r="BL119" s="18"/>
      <c r="BM119" s="19">
        <v>1.8386</v>
      </c>
      <c r="BN119" s="19">
        <v>2.0682</v>
      </c>
      <c r="BO119" s="19">
        <v>2.3264</v>
      </c>
      <c r="BP119" s="19">
        <v>2.5053000000000001</v>
      </c>
      <c r="BQ119" s="19">
        <v>2.6979000000000002</v>
      </c>
      <c r="BR119" s="19">
        <v>2.7385999999999999</v>
      </c>
      <c r="BS119" s="19">
        <v>2.7799</v>
      </c>
      <c r="BT119" s="19">
        <v>2.8218000000000001</v>
      </c>
      <c r="BU119" s="19">
        <v>2.8643000000000001</v>
      </c>
    </row>
    <row r="120" spans="3:73" x14ac:dyDescent="0.45">
      <c r="C120" s="15" t="s">
        <v>249</v>
      </c>
      <c r="D120" s="15" t="s">
        <v>321</v>
      </c>
      <c r="E120" s="15" t="s">
        <v>297</v>
      </c>
      <c r="F120" s="15"/>
      <c r="G120" s="15"/>
      <c r="H120" s="15" t="s">
        <v>320</v>
      </c>
      <c r="I120" s="15"/>
      <c r="J120" s="18"/>
      <c r="K120" s="18"/>
      <c r="L120" s="19">
        <v>0.17</v>
      </c>
      <c r="M120" s="18"/>
      <c r="N120" s="18"/>
      <c r="O120" s="18"/>
      <c r="P120" s="18"/>
      <c r="Q120" s="18"/>
      <c r="R120" s="19">
        <v>0.17</v>
      </c>
      <c r="S120" s="18"/>
      <c r="T120" s="18"/>
      <c r="U120" s="18"/>
      <c r="V120" s="18"/>
      <c r="X120" s="15" t="s">
        <v>249</v>
      </c>
      <c r="Y120" s="15" t="s">
        <v>324</v>
      </c>
      <c r="Z120" s="15" t="s">
        <v>343</v>
      </c>
      <c r="AA120" s="15"/>
      <c r="AB120" s="15"/>
      <c r="AC120" s="15"/>
      <c r="AD120" s="15" t="s">
        <v>323</v>
      </c>
      <c r="AE120" s="18"/>
      <c r="AF120" s="18"/>
      <c r="AG120" s="19">
        <v>16.399999999999999</v>
      </c>
      <c r="AH120" s="18"/>
      <c r="AI120" s="18"/>
      <c r="AJ120" s="18"/>
      <c r="AK120" s="18"/>
      <c r="AL120" s="18"/>
      <c r="AM120" s="19">
        <v>16.444704017309</v>
      </c>
      <c r="AN120" s="18"/>
      <c r="AO120" s="18"/>
      <c r="AP120" s="18"/>
      <c r="AR120" s="15" t="s">
        <v>249</v>
      </c>
      <c r="AS120" s="15" t="s">
        <v>369</v>
      </c>
      <c r="AT120" s="15"/>
      <c r="AU120" s="15"/>
      <c r="AV120" s="15" t="s">
        <v>480</v>
      </c>
      <c r="AW120" s="15"/>
      <c r="AX120" s="15"/>
      <c r="AY120" s="15"/>
      <c r="AZ120" s="18"/>
      <c r="BA120" s="18"/>
      <c r="BB120" s="19">
        <v>0.20949999999999999</v>
      </c>
      <c r="BC120" s="19">
        <v>0.2019</v>
      </c>
      <c r="BD120" s="19">
        <v>0.1946</v>
      </c>
      <c r="BE120" s="19">
        <v>0.20949999999999999</v>
      </c>
      <c r="BF120" s="19">
        <v>0.22559999999999999</v>
      </c>
      <c r="BG120" s="19">
        <v>0.24660000000000001</v>
      </c>
      <c r="BH120" s="19">
        <v>0.26939999999999997</v>
      </c>
      <c r="BI120" s="19">
        <v>0.2944</v>
      </c>
      <c r="BJ120" s="19">
        <v>0.32169999999999999</v>
      </c>
      <c r="BK120" s="18"/>
      <c r="BL120" s="18"/>
      <c r="BM120" s="19">
        <v>0.24460000000000001</v>
      </c>
      <c r="BN120" s="19">
        <v>0.27510000000000001</v>
      </c>
      <c r="BO120" s="19">
        <v>0.3095</v>
      </c>
      <c r="BP120" s="19">
        <v>0.33329999999999999</v>
      </c>
      <c r="BQ120" s="19">
        <v>0.3589</v>
      </c>
      <c r="BR120" s="19">
        <v>0.36430000000000001</v>
      </c>
      <c r="BS120" s="19">
        <v>0.36980000000000002</v>
      </c>
      <c r="BT120" s="19">
        <v>0.37540000000000001</v>
      </c>
      <c r="BU120" s="19">
        <v>0.38100000000000001</v>
      </c>
    </row>
    <row r="121" spans="3:73" x14ac:dyDescent="0.45">
      <c r="C121" s="15" t="s">
        <v>249</v>
      </c>
      <c r="D121" s="15" t="s">
        <v>321</v>
      </c>
      <c r="E121" s="15" t="s">
        <v>298</v>
      </c>
      <c r="F121" s="15"/>
      <c r="G121" s="15"/>
      <c r="H121" s="15" t="s">
        <v>320</v>
      </c>
      <c r="I121" s="15"/>
      <c r="J121" s="18"/>
      <c r="K121" s="18"/>
      <c r="L121" s="19">
        <v>0.23</v>
      </c>
      <c r="M121" s="18"/>
      <c r="N121" s="18"/>
      <c r="O121" s="18"/>
      <c r="P121" s="18"/>
      <c r="Q121" s="18"/>
      <c r="R121" s="19">
        <v>0.23</v>
      </c>
      <c r="S121" s="18"/>
      <c r="T121" s="18"/>
      <c r="U121" s="18"/>
      <c r="V121" s="18"/>
      <c r="X121" s="15" t="s">
        <v>249</v>
      </c>
      <c r="Y121" s="15" t="s">
        <v>324</v>
      </c>
      <c r="Z121" s="15" t="s">
        <v>344</v>
      </c>
      <c r="AA121" s="15"/>
      <c r="AB121" s="15"/>
      <c r="AC121" s="15"/>
      <c r="AD121" s="15" t="s">
        <v>323</v>
      </c>
      <c r="AE121" s="18"/>
      <c r="AF121" s="18"/>
      <c r="AG121" s="19">
        <v>3.5</v>
      </c>
      <c r="AH121" s="18"/>
      <c r="AI121" s="18"/>
      <c r="AJ121" s="18"/>
      <c r="AK121" s="18"/>
      <c r="AL121" s="18"/>
      <c r="AM121" s="19">
        <v>3.5336218795343499</v>
      </c>
      <c r="AN121" s="18"/>
      <c r="AO121" s="18"/>
      <c r="AP121" s="18"/>
      <c r="AR121" s="15" t="s">
        <v>249</v>
      </c>
      <c r="AS121" s="15" t="s">
        <v>369</v>
      </c>
      <c r="AT121" s="15"/>
      <c r="AU121" s="15"/>
      <c r="AV121" s="15" t="s">
        <v>481</v>
      </c>
      <c r="AW121" s="15"/>
      <c r="AX121" s="15"/>
      <c r="AY121" s="15"/>
      <c r="AZ121" s="18"/>
      <c r="BA121" s="18"/>
      <c r="BB121" s="19">
        <v>0.6603</v>
      </c>
      <c r="BC121" s="19">
        <v>0.68030000000000002</v>
      </c>
      <c r="BD121" s="19">
        <v>0.70099999999999996</v>
      </c>
      <c r="BE121" s="19">
        <v>0.75490000000000002</v>
      </c>
      <c r="BF121" s="19">
        <v>0.81289999999999996</v>
      </c>
      <c r="BG121" s="19">
        <v>0.88829999999999998</v>
      </c>
      <c r="BH121" s="19">
        <v>0.97060000000000002</v>
      </c>
      <c r="BI121" s="19">
        <v>1.0607</v>
      </c>
      <c r="BJ121" s="19">
        <v>1.159</v>
      </c>
      <c r="BK121" s="18"/>
      <c r="BL121" s="18"/>
      <c r="BM121" s="19">
        <v>0.72089999999999999</v>
      </c>
      <c r="BN121" s="19">
        <v>0.81100000000000005</v>
      </c>
      <c r="BO121" s="19">
        <v>0.91220000000000001</v>
      </c>
      <c r="BP121" s="19">
        <v>0.98240000000000005</v>
      </c>
      <c r="BQ121" s="19">
        <v>1.0579000000000001</v>
      </c>
      <c r="BR121" s="19">
        <v>1.0739000000000001</v>
      </c>
      <c r="BS121" s="19">
        <v>1.0900000000000001</v>
      </c>
      <c r="BT121" s="19">
        <v>1.1065</v>
      </c>
      <c r="BU121" s="19">
        <v>1.1232</v>
      </c>
    </row>
    <row r="122" spans="3:73" x14ac:dyDescent="0.45">
      <c r="C122" s="15" t="s">
        <v>249</v>
      </c>
      <c r="D122" s="15" t="s">
        <v>321</v>
      </c>
      <c r="E122" s="15" t="s">
        <v>299</v>
      </c>
      <c r="F122" s="15"/>
      <c r="G122" s="15"/>
      <c r="H122" s="15" t="s">
        <v>320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249</v>
      </c>
      <c r="Y122" s="15" t="s">
        <v>324</v>
      </c>
      <c r="Z122" s="15" t="s">
        <v>345</v>
      </c>
      <c r="AA122" s="15"/>
      <c r="AB122" s="15"/>
      <c r="AC122" s="15"/>
      <c r="AD122" s="15" t="s">
        <v>323</v>
      </c>
      <c r="AE122" s="18"/>
      <c r="AF122" s="18"/>
      <c r="AG122" s="19">
        <v>3.9</v>
      </c>
      <c r="AH122" s="18"/>
      <c r="AI122" s="18"/>
      <c r="AJ122" s="18"/>
      <c r="AK122" s="18"/>
      <c r="AL122" s="18"/>
      <c r="AM122" s="19">
        <v>3.8525057596389098</v>
      </c>
      <c r="AN122" s="18"/>
      <c r="AO122" s="18"/>
      <c r="AP122" s="18"/>
      <c r="AR122" s="15" t="s">
        <v>249</v>
      </c>
      <c r="AS122" s="15" t="s">
        <v>369</v>
      </c>
      <c r="AT122" s="15"/>
      <c r="AU122" s="15"/>
      <c r="AV122" s="15" t="s">
        <v>482</v>
      </c>
      <c r="AW122" s="15"/>
      <c r="AX122" s="15"/>
      <c r="AY122" s="15"/>
      <c r="AZ122" s="18"/>
      <c r="BA122" s="18"/>
      <c r="BB122" s="19">
        <v>1.1136999999999999</v>
      </c>
      <c r="BC122" s="19">
        <v>1.1475</v>
      </c>
      <c r="BD122" s="19">
        <v>1.1822999999999999</v>
      </c>
      <c r="BE122" s="19">
        <v>1.2732000000000001</v>
      </c>
      <c r="BF122" s="19">
        <v>1.371</v>
      </c>
      <c r="BG122" s="19">
        <v>1.4982</v>
      </c>
      <c r="BH122" s="19">
        <v>1.6371</v>
      </c>
      <c r="BI122" s="19">
        <v>1.7888999999999999</v>
      </c>
      <c r="BJ122" s="19">
        <v>1.9548000000000001</v>
      </c>
      <c r="BK122" s="18"/>
      <c r="BL122" s="18"/>
      <c r="BM122" s="19">
        <v>1.216</v>
      </c>
      <c r="BN122" s="19">
        <v>1.3677999999999999</v>
      </c>
      <c r="BO122" s="19">
        <v>1.5386</v>
      </c>
      <c r="BP122" s="19">
        <v>1.6569</v>
      </c>
      <c r="BQ122" s="19">
        <v>1.7843</v>
      </c>
      <c r="BR122" s="19">
        <v>1.8111999999999999</v>
      </c>
      <c r="BS122" s="19">
        <v>1.8385</v>
      </c>
      <c r="BT122" s="19">
        <v>1.8662000000000001</v>
      </c>
      <c r="BU122" s="19">
        <v>1.8943000000000001</v>
      </c>
    </row>
    <row r="123" spans="3:73" x14ac:dyDescent="0.45">
      <c r="C123" s="15" t="s">
        <v>249</v>
      </c>
      <c r="D123" s="15" t="s">
        <v>321</v>
      </c>
      <c r="E123" s="15" t="s">
        <v>300</v>
      </c>
      <c r="F123" s="15"/>
      <c r="G123" s="15"/>
      <c r="H123" s="15" t="s">
        <v>320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249</v>
      </c>
      <c r="Y123" s="15" t="s">
        <v>324</v>
      </c>
      <c r="Z123" s="15" t="s">
        <v>346</v>
      </c>
      <c r="AA123" s="15"/>
      <c r="AB123" s="15"/>
      <c r="AC123" s="15"/>
      <c r="AD123" s="15" t="s">
        <v>323</v>
      </c>
      <c r="AE123" s="18"/>
      <c r="AF123" s="18"/>
      <c r="AG123" s="19">
        <v>3.8</v>
      </c>
      <c r="AH123" s="18"/>
      <c r="AI123" s="18"/>
      <c r="AJ123" s="18"/>
      <c r="AK123" s="18"/>
      <c r="AL123" s="18"/>
      <c r="AM123" s="19">
        <v>3.8013612509083301</v>
      </c>
      <c r="AN123" s="18"/>
      <c r="AO123" s="18"/>
      <c r="AP123" s="18"/>
      <c r="AR123" s="15" t="s">
        <v>249</v>
      </c>
      <c r="AS123" s="15" t="s">
        <v>369</v>
      </c>
      <c r="AT123" s="15"/>
      <c r="AU123" s="15"/>
      <c r="AV123" s="15" t="s">
        <v>483</v>
      </c>
      <c r="AW123" s="15"/>
      <c r="AX123" s="15"/>
      <c r="AY123" s="15"/>
      <c r="AZ123" s="18"/>
      <c r="BA123" s="18"/>
      <c r="BB123" s="19">
        <v>0.1694</v>
      </c>
      <c r="BC123" s="19">
        <v>0.17449999999999999</v>
      </c>
      <c r="BD123" s="19">
        <v>0.17979999999999999</v>
      </c>
      <c r="BE123" s="19">
        <v>0.19359999999999999</v>
      </c>
      <c r="BF123" s="19">
        <v>0.20849999999999999</v>
      </c>
      <c r="BG123" s="19">
        <v>0.2278</v>
      </c>
      <c r="BH123" s="19">
        <v>0.249</v>
      </c>
      <c r="BI123" s="19">
        <v>0.27200000000000002</v>
      </c>
      <c r="BJ123" s="19">
        <v>0.29730000000000001</v>
      </c>
      <c r="BK123" s="18"/>
      <c r="BL123" s="18"/>
      <c r="BM123" s="19">
        <v>0.18490000000000001</v>
      </c>
      <c r="BN123" s="19">
        <v>0.20799999999999999</v>
      </c>
      <c r="BO123" s="19">
        <v>0.23400000000000001</v>
      </c>
      <c r="BP123" s="19">
        <v>0.252</v>
      </c>
      <c r="BQ123" s="19">
        <v>0.27129999999999999</v>
      </c>
      <c r="BR123" s="19">
        <v>0.27539999999999998</v>
      </c>
      <c r="BS123" s="19">
        <v>0.27960000000000002</v>
      </c>
      <c r="BT123" s="19">
        <v>0.2838</v>
      </c>
      <c r="BU123" s="19">
        <v>0.28810000000000002</v>
      </c>
    </row>
    <row r="124" spans="3:73" x14ac:dyDescent="0.45">
      <c r="C124" s="15" t="s">
        <v>249</v>
      </c>
      <c r="D124" s="15" t="s">
        <v>321</v>
      </c>
      <c r="E124" s="15" t="s">
        <v>301</v>
      </c>
      <c r="F124" s="15"/>
      <c r="G124" s="15"/>
      <c r="H124" s="15" t="s">
        <v>320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249</v>
      </c>
      <c r="Y124" s="15" t="s">
        <v>324</v>
      </c>
      <c r="Z124" s="15" t="s">
        <v>347</v>
      </c>
      <c r="AA124" s="15"/>
      <c r="AB124" s="15"/>
      <c r="AC124" s="15"/>
      <c r="AD124" s="15" t="s">
        <v>323</v>
      </c>
      <c r="AE124" s="18"/>
      <c r="AF124" s="18"/>
      <c r="AG124" s="19">
        <v>17</v>
      </c>
      <c r="AH124" s="18"/>
      <c r="AI124" s="18"/>
      <c r="AJ124" s="18"/>
      <c r="AK124" s="18"/>
      <c r="AL124" s="18"/>
      <c r="AM124" s="19">
        <v>17</v>
      </c>
      <c r="AN124" s="18"/>
      <c r="AO124" s="18"/>
      <c r="AP124" s="18"/>
      <c r="AR124" s="15" t="s">
        <v>249</v>
      </c>
      <c r="AS124" s="15" t="s">
        <v>369</v>
      </c>
      <c r="AT124" s="15"/>
      <c r="AU124" s="15"/>
      <c r="AV124" s="15" t="s">
        <v>484</v>
      </c>
      <c r="AW124" s="15"/>
      <c r="AX124" s="15"/>
      <c r="AY124" s="15"/>
      <c r="AZ124" s="18"/>
      <c r="BA124" s="18"/>
      <c r="BB124" s="19">
        <v>0.53139999999999998</v>
      </c>
      <c r="BC124" s="19">
        <v>0.54749999999999999</v>
      </c>
      <c r="BD124" s="19">
        <v>0.56410000000000005</v>
      </c>
      <c r="BE124" s="19">
        <v>0.60750000000000004</v>
      </c>
      <c r="BF124" s="19">
        <v>0.6542</v>
      </c>
      <c r="BG124" s="19">
        <v>0.71479999999999999</v>
      </c>
      <c r="BH124" s="19">
        <v>0.78110000000000002</v>
      </c>
      <c r="BI124" s="19">
        <v>0.85350000000000004</v>
      </c>
      <c r="BJ124" s="19">
        <v>0.93269999999999997</v>
      </c>
      <c r="BK124" s="18"/>
      <c r="BL124" s="18"/>
      <c r="BM124" s="19">
        <v>0.58020000000000005</v>
      </c>
      <c r="BN124" s="19">
        <v>0.65259999999999996</v>
      </c>
      <c r="BO124" s="19">
        <v>0.73409999999999997</v>
      </c>
      <c r="BP124" s="19">
        <v>0.79049999999999998</v>
      </c>
      <c r="BQ124" s="19">
        <v>0.85129999999999995</v>
      </c>
      <c r="BR124" s="19">
        <v>0.86419999999999997</v>
      </c>
      <c r="BS124" s="19">
        <v>0.87719999999999998</v>
      </c>
      <c r="BT124" s="19">
        <v>0.89039999999999997</v>
      </c>
      <c r="BU124" s="19">
        <v>0.90380000000000005</v>
      </c>
    </row>
    <row r="125" spans="3:73" x14ac:dyDescent="0.45">
      <c r="C125" s="15" t="s">
        <v>249</v>
      </c>
      <c r="D125" s="15" t="s">
        <v>321</v>
      </c>
      <c r="E125" s="15" t="s">
        <v>302</v>
      </c>
      <c r="F125" s="15"/>
      <c r="G125" s="15"/>
      <c r="H125" s="15" t="s">
        <v>320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249</v>
      </c>
      <c r="Y125" s="15" t="s">
        <v>324</v>
      </c>
      <c r="Z125" s="15" t="s">
        <v>348</v>
      </c>
      <c r="AA125" s="15"/>
      <c r="AB125" s="15"/>
      <c r="AC125" s="15"/>
      <c r="AD125" s="15" t="s">
        <v>323</v>
      </c>
      <c r="AE125" s="18"/>
      <c r="AF125" s="18"/>
      <c r="AG125" s="19">
        <v>19</v>
      </c>
      <c r="AH125" s="18"/>
      <c r="AI125" s="18"/>
      <c r="AJ125" s="18"/>
      <c r="AK125" s="18"/>
      <c r="AL125" s="18"/>
      <c r="AM125" s="19">
        <v>19</v>
      </c>
      <c r="AN125" s="18"/>
      <c r="AO125" s="18"/>
      <c r="AP125" s="18"/>
      <c r="AR125" s="15" t="s">
        <v>249</v>
      </c>
      <c r="AS125" s="15" t="s">
        <v>369</v>
      </c>
      <c r="AT125" s="15"/>
      <c r="AU125" s="15"/>
      <c r="AV125" s="15" t="s">
        <v>485</v>
      </c>
      <c r="AW125" s="15"/>
      <c r="AX125" s="15"/>
      <c r="AY125" s="15"/>
      <c r="AZ125" s="18"/>
      <c r="BA125" s="18"/>
      <c r="BB125" s="19">
        <v>4.1044999999999998</v>
      </c>
      <c r="BC125" s="19">
        <v>4.2289000000000003</v>
      </c>
      <c r="BD125" s="19">
        <v>4.3570000000000002</v>
      </c>
      <c r="BE125" s="19">
        <v>4.6920000000000002</v>
      </c>
      <c r="BF125" s="19">
        <v>5.0528000000000004</v>
      </c>
      <c r="BG125" s="19">
        <v>5.5213000000000001</v>
      </c>
      <c r="BH125" s="19">
        <v>6.0332999999999997</v>
      </c>
      <c r="BI125" s="19">
        <v>6.5928000000000004</v>
      </c>
      <c r="BJ125" s="19">
        <v>7.2041000000000004</v>
      </c>
      <c r="BK125" s="18"/>
      <c r="BL125" s="18"/>
      <c r="BM125" s="19">
        <v>4.4812000000000003</v>
      </c>
      <c r="BN125" s="19">
        <v>5.0407999999999999</v>
      </c>
      <c r="BO125" s="19">
        <v>5.6702000000000004</v>
      </c>
      <c r="BP125" s="19">
        <v>6.1062000000000003</v>
      </c>
      <c r="BQ125" s="19">
        <v>6.5757000000000003</v>
      </c>
      <c r="BR125" s="19">
        <v>6.6748000000000003</v>
      </c>
      <c r="BS125" s="19">
        <v>6.7754000000000003</v>
      </c>
      <c r="BT125" s="19">
        <v>6.8776000000000002</v>
      </c>
      <c r="BU125" s="19">
        <v>6.9812000000000003</v>
      </c>
    </row>
    <row r="126" spans="3:73" x14ac:dyDescent="0.45">
      <c r="C126" s="15" t="s">
        <v>249</v>
      </c>
      <c r="D126" s="15" t="s">
        <v>321</v>
      </c>
      <c r="E126" s="15" t="s">
        <v>303</v>
      </c>
      <c r="F126" s="15"/>
      <c r="G126" s="15"/>
      <c r="H126" s="15" t="s">
        <v>320</v>
      </c>
      <c r="I126" s="15"/>
      <c r="J126" s="18"/>
      <c r="K126" s="18"/>
      <c r="L126" s="19">
        <v>0.27</v>
      </c>
      <c r="M126" s="18"/>
      <c r="N126" s="18"/>
      <c r="O126" s="18"/>
      <c r="P126" s="18"/>
      <c r="Q126" s="18"/>
      <c r="R126" s="19">
        <v>0.27</v>
      </c>
      <c r="S126" s="18"/>
      <c r="T126" s="18"/>
      <c r="U126" s="18"/>
      <c r="V126" s="18"/>
      <c r="X126" s="15" t="s">
        <v>249</v>
      </c>
      <c r="Y126" s="15" t="s">
        <v>324</v>
      </c>
      <c r="Z126" s="15" t="s">
        <v>349</v>
      </c>
      <c r="AA126" s="15"/>
      <c r="AB126" s="15"/>
      <c r="AC126" s="15"/>
      <c r="AD126" s="15" t="s">
        <v>323</v>
      </c>
      <c r="AE126" s="18"/>
      <c r="AF126" s="18"/>
      <c r="AG126" s="19">
        <v>25</v>
      </c>
      <c r="AH126" s="18"/>
      <c r="AI126" s="18"/>
      <c r="AJ126" s="18"/>
      <c r="AK126" s="18"/>
      <c r="AL126" s="18"/>
      <c r="AM126" s="19">
        <v>25</v>
      </c>
      <c r="AN126" s="18"/>
      <c r="AO126" s="18"/>
      <c r="AP126" s="18"/>
      <c r="AR126" s="15" t="s">
        <v>249</v>
      </c>
      <c r="AS126" s="15" t="s">
        <v>369</v>
      </c>
      <c r="AT126" s="15"/>
      <c r="AU126" s="15"/>
      <c r="AV126" s="15" t="s">
        <v>486</v>
      </c>
      <c r="AW126" s="15"/>
      <c r="AX126" s="15"/>
      <c r="AY126" s="15"/>
      <c r="AZ126" s="18"/>
      <c r="BA126" s="18"/>
      <c r="BB126" s="19">
        <v>0.4446</v>
      </c>
      <c r="BC126" s="19">
        <v>0.45810000000000001</v>
      </c>
      <c r="BD126" s="19">
        <v>0.47199999999999998</v>
      </c>
      <c r="BE126" s="19">
        <v>0.50829999999999997</v>
      </c>
      <c r="BF126" s="19">
        <v>0.5474</v>
      </c>
      <c r="BG126" s="19">
        <v>0.59809999999999997</v>
      </c>
      <c r="BH126" s="19">
        <v>0.65359999999999996</v>
      </c>
      <c r="BI126" s="19">
        <v>0.71419999999999995</v>
      </c>
      <c r="BJ126" s="19">
        <v>0.78039999999999998</v>
      </c>
      <c r="BK126" s="18"/>
      <c r="BL126" s="18"/>
      <c r="BM126" s="19">
        <v>0.4854</v>
      </c>
      <c r="BN126" s="19">
        <v>0.54610000000000003</v>
      </c>
      <c r="BO126" s="19">
        <v>0.61419999999999997</v>
      </c>
      <c r="BP126" s="19">
        <v>0.66149999999999998</v>
      </c>
      <c r="BQ126" s="19">
        <v>0.71230000000000004</v>
      </c>
      <c r="BR126" s="19">
        <v>0.72309999999999997</v>
      </c>
      <c r="BS126" s="19">
        <v>0.73399999999999999</v>
      </c>
      <c r="BT126" s="19">
        <v>0.745</v>
      </c>
      <c r="BU126" s="19">
        <v>0.75629999999999997</v>
      </c>
    </row>
    <row r="127" spans="3:73" x14ac:dyDescent="0.45">
      <c r="C127" s="15" t="s">
        <v>249</v>
      </c>
      <c r="D127" s="15" t="s">
        <v>321</v>
      </c>
      <c r="E127" s="15" t="s">
        <v>304</v>
      </c>
      <c r="F127" s="15"/>
      <c r="G127" s="15"/>
      <c r="H127" s="15" t="s">
        <v>320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249</v>
      </c>
      <c r="Y127" s="15" t="s">
        <v>324</v>
      </c>
      <c r="Z127" s="15" t="s">
        <v>350</v>
      </c>
      <c r="AA127" s="15"/>
      <c r="AB127" s="15"/>
      <c r="AC127" s="15"/>
      <c r="AD127" s="15" t="s">
        <v>323</v>
      </c>
      <c r="AE127" s="18"/>
      <c r="AF127" s="18"/>
      <c r="AG127" s="19">
        <v>12.5586136683114</v>
      </c>
      <c r="AH127" s="18"/>
      <c r="AI127" s="18"/>
      <c r="AJ127" s="18"/>
      <c r="AK127" s="18"/>
      <c r="AL127" s="18"/>
      <c r="AM127" s="19">
        <v>14.4185060203493</v>
      </c>
      <c r="AN127" s="18"/>
      <c r="AO127" s="18"/>
      <c r="AP127" s="18"/>
      <c r="AR127" s="15" t="s">
        <v>249</v>
      </c>
      <c r="AS127" s="15" t="s">
        <v>369</v>
      </c>
      <c r="AT127" s="15"/>
      <c r="AU127" s="15"/>
      <c r="AV127" s="15" t="s">
        <v>487</v>
      </c>
      <c r="AW127" s="15"/>
      <c r="AX127" s="15"/>
      <c r="AY127" s="15"/>
      <c r="AZ127" s="18"/>
      <c r="BA127" s="18"/>
      <c r="BB127" s="19">
        <v>41.068899999999999</v>
      </c>
      <c r="BC127" s="19">
        <v>41.068899999999999</v>
      </c>
      <c r="BD127" s="19">
        <v>41.068899999999999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41.068899999999999</v>
      </c>
      <c r="BN127" s="19">
        <v>41.068899999999999</v>
      </c>
      <c r="BO127" s="19">
        <v>41.068899999999999</v>
      </c>
      <c r="BP127" s="19">
        <v>41.068899999999999</v>
      </c>
      <c r="BQ127" s="19">
        <v>41.068899999999999</v>
      </c>
      <c r="BR127" s="19">
        <v>41.068899999999999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249</v>
      </c>
      <c r="D128" s="15" t="s">
        <v>321</v>
      </c>
      <c r="E128" s="15" t="s">
        <v>305</v>
      </c>
      <c r="F128" s="15"/>
      <c r="G128" s="15"/>
      <c r="H128" s="15" t="s">
        <v>320</v>
      </c>
      <c r="I128" s="15"/>
      <c r="J128" s="18"/>
      <c r="K128" s="18"/>
      <c r="L128" s="19">
        <v>0.16</v>
      </c>
      <c r="M128" s="18"/>
      <c r="N128" s="18"/>
      <c r="O128" s="18"/>
      <c r="P128" s="18"/>
      <c r="Q128" s="18"/>
      <c r="R128" s="19">
        <v>0.16</v>
      </c>
      <c r="S128" s="18"/>
      <c r="T128" s="18"/>
      <c r="U128" s="18"/>
      <c r="V128" s="18"/>
      <c r="X128" s="15" t="s">
        <v>249</v>
      </c>
      <c r="Y128" s="15" t="s">
        <v>324</v>
      </c>
      <c r="Z128" s="15" t="s">
        <v>351</v>
      </c>
      <c r="AA128" s="15"/>
      <c r="AB128" s="15"/>
      <c r="AC128" s="15"/>
      <c r="AD128" s="15" t="s">
        <v>323</v>
      </c>
      <c r="AE128" s="18"/>
      <c r="AF128" s="18"/>
      <c r="AG128" s="19">
        <v>14.058149628706801</v>
      </c>
      <c r="AH128" s="18"/>
      <c r="AI128" s="18"/>
      <c r="AJ128" s="18"/>
      <c r="AK128" s="18"/>
      <c r="AL128" s="18"/>
      <c r="AM128" s="19">
        <v>29.382799223963701</v>
      </c>
      <c r="AN128" s="18"/>
      <c r="AO128" s="18"/>
      <c r="AP128" s="18"/>
      <c r="AR128" s="15" t="s">
        <v>249</v>
      </c>
      <c r="AS128" s="15" t="s">
        <v>369</v>
      </c>
      <c r="AT128" s="15"/>
      <c r="AU128" s="15"/>
      <c r="AV128" s="15" t="s">
        <v>488</v>
      </c>
      <c r="AW128" s="15"/>
      <c r="AX128" s="15"/>
      <c r="AY128" s="15"/>
      <c r="AZ128" s="18"/>
      <c r="BA128" s="18"/>
      <c r="BB128" s="19">
        <v>16.4618</v>
      </c>
      <c r="BC128" s="19">
        <v>16.4618</v>
      </c>
      <c r="BD128" s="19">
        <v>16.4618</v>
      </c>
      <c r="BE128" s="19">
        <v>0</v>
      </c>
      <c r="BF128" s="19">
        <v>0</v>
      </c>
      <c r="BG128" s="19">
        <v>0</v>
      </c>
      <c r="BH128" s="19">
        <v>0</v>
      </c>
      <c r="BI128" s="19">
        <v>0</v>
      </c>
      <c r="BJ128" s="19">
        <v>0</v>
      </c>
      <c r="BK128" s="18"/>
      <c r="BL128" s="18"/>
      <c r="BM128" s="19">
        <v>16.4618</v>
      </c>
      <c r="BN128" s="19">
        <v>16.4618</v>
      </c>
      <c r="BO128" s="19">
        <v>16.4618</v>
      </c>
      <c r="BP128" s="19">
        <v>16.4618</v>
      </c>
      <c r="BQ128" s="19">
        <v>16.4618</v>
      </c>
      <c r="BR128" s="19">
        <v>16.4618</v>
      </c>
      <c r="BS128" s="19">
        <v>0</v>
      </c>
      <c r="BT128" s="19">
        <v>0</v>
      </c>
      <c r="BU128" s="19">
        <v>0</v>
      </c>
    </row>
    <row r="129" spans="3:73" x14ac:dyDescent="0.45">
      <c r="C129" s="15" t="s">
        <v>249</v>
      </c>
      <c r="D129" s="15" t="s">
        <v>321</v>
      </c>
      <c r="E129" s="15" t="s">
        <v>306</v>
      </c>
      <c r="F129" s="15"/>
      <c r="G129" s="15"/>
      <c r="H129" s="15" t="s">
        <v>320</v>
      </c>
      <c r="I129" s="15"/>
      <c r="J129" s="18"/>
      <c r="K129" s="18"/>
      <c r="L129" s="19">
        <v>0.23</v>
      </c>
      <c r="M129" s="18"/>
      <c r="N129" s="18"/>
      <c r="O129" s="18"/>
      <c r="P129" s="18"/>
      <c r="Q129" s="18"/>
      <c r="R129" s="19">
        <v>0.23</v>
      </c>
      <c r="S129" s="18"/>
      <c r="T129" s="18"/>
      <c r="U129" s="18"/>
      <c r="V129" s="18"/>
      <c r="X129" s="15" t="s">
        <v>249</v>
      </c>
      <c r="Y129" s="15" t="s">
        <v>324</v>
      </c>
      <c r="Z129" s="15" t="s">
        <v>352</v>
      </c>
      <c r="AA129" s="15"/>
      <c r="AB129" s="15"/>
      <c r="AC129" s="15"/>
      <c r="AD129" s="15" t="s">
        <v>323</v>
      </c>
      <c r="AE129" s="18"/>
      <c r="AF129" s="18"/>
      <c r="AG129" s="19">
        <v>18.744199504942301</v>
      </c>
      <c r="AH129" s="18"/>
      <c r="AI129" s="18"/>
      <c r="AJ129" s="18"/>
      <c r="AK129" s="18"/>
      <c r="AL129" s="18"/>
      <c r="AM129" s="19">
        <v>18.744199504942301</v>
      </c>
      <c r="AN129" s="18"/>
      <c r="AO129" s="18"/>
      <c r="AP129" s="18"/>
      <c r="AR129" s="15" t="s">
        <v>249</v>
      </c>
      <c r="AS129" s="15" t="s">
        <v>369</v>
      </c>
      <c r="AT129" s="15"/>
      <c r="AU129" s="15"/>
      <c r="AV129" s="15" t="s">
        <v>489</v>
      </c>
      <c r="AW129" s="15"/>
      <c r="AX129" s="15"/>
      <c r="AY129" s="15"/>
      <c r="AZ129" s="18"/>
      <c r="BA129" s="18"/>
      <c r="BB129" s="19">
        <v>4.0899999999999999E-2</v>
      </c>
      <c r="BC129" s="19">
        <v>4.2099999999999999E-2</v>
      </c>
      <c r="BD129" s="19">
        <v>4.3400000000000001E-2</v>
      </c>
      <c r="BE129" s="19">
        <v>4.6800000000000001E-2</v>
      </c>
      <c r="BF129" s="19">
        <v>5.04E-2</v>
      </c>
      <c r="BG129" s="19">
        <v>5.5E-2</v>
      </c>
      <c r="BH129" s="19">
        <v>6.0100000000000001E-2</v>
      </c>
      <c r="BI129" s="19">
        <v>6.5699999999999995E-2</v>
      </c>
      <c r="BJ129" s="19">
        <v>7.1800000000000003E-2</v>
      </c>
      <c r="BK129" s="18"/>
      <c r="BL129" s="18"/>
      <c r="BM129" s="19">
        <v>4.4699999999999997E-2</v>
      </c>
      <c r="BN129" s="19">
        <v>5.0200000000000002E-2</v>
      </c>
      <c r="BO129" s="19">
        <v>5.6500000000000002E-2</v>
      </c>
      <c r="BP129" s="19">
        <v>6.0900000000000003E-2</v>
      </c>
      <c r="BQ129" s="19">
        <v>6.5500000000000003E-2</v>
      </c>
      <c r="BR129" s="19">
        <v>6.6500000000000004E-2</v>
      </c>
      <c r="BS129" s="19">
        <v>6.7500000000000004E-2</v>
      </c>
      <c r="BT129" s="19">
        <v>6.8500000000000005E-2</v>
      </c>
      <c r="BU129" s="19">
        <v>6.9599999999999995E-2</v>
      </c>
    </row>
    <row r="130" spans="3:73" x14ac:dyDescent="0.45">
      <c r="C130" s="15" t="s">
        <v>249</v>
      </c>
      <c r="D130" s="15" t="s">
        <v>321</v>
      </c>
      <c r="E130" s="15" t="s">
        <v>307</v>
      </c>
      <c r="F130" s="15"/>
      <c r="G130" s="15"/>
      <c r="H130" s="15" t="s">
        <v>320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249</v>
      </c>
      <c r="Y130" s="15" t="s">
        <v>324</v>
      </c>
      <c r="Z130" s="15" t="s">
        <v>353</v>
      </c>
      <c r="AA130" s="15"/>
      <c r="AB130" s="15"/>
      <c r="AC130" s="15"/>
      <c r="AD130" s="15" t="s">
        <v>323</v>
      </c>
      <c r="AE130" s="18"/>
      <c r="AF130" s="18"/>
      <c r="AG130" s="19">
        <v>1.2391652495566501</v>
      </c>
      <c r="AH130" s="18"/>
      <c r="AI130" s="18"/>
      <c r="AJ130" s="18"/>
      <c r="AK130" s="18"/>
      <c r="AL130" s="18"/>
      <c r="AM130" s="19">
        <v>1.2391652495566501</v>
      </c>
      <c r="AN130" s="18"/>
      <c r="AO130" s="18"/>
      <c r="AP130" s="18"/>
      <c r="AR130" s="15" t="s">
        <v>249</v>
      </c>
      <c r="AS130" s="15" t="s">
        <v>369</v>
      </c>
      <c r="AT130" s="15"/>
      <c r="AU130" s="15"/>
      <c r="AV130" s="15" t="s">
        <v>490</v>
      </c>
      <c r="AW130" s="15"/>
      <c r="AX130" s="15"/>
      <c r="AY130" s="15"/>
      <c r="AZ130" s="18"/>
      <c r="BA130" s="18"/>
      <c r="BB130" s="19">
        <v>1.0025999999999999</v>
      </c>
      <c r="BC130" s="19">
        <v>1.0025999999999999</v>
      </c>
      <c r="BD130" s="19">
        <v>1.0025999999999999</v>
      </c>
      <c r="BE130" s="19">
        <v>1.0025999999999999</v>
      </c>
      <c r="BF130" s="19">
        <v>1.0025999999999999</v>
      </c>
      <c r="BG130" s="19">
        <v>1.0025999999999999</v>
      </c>
      <c r="BH130" s="19">
        <v>1.0025999999999999</v>
      </c>
      <c r="BI130" s="19">
        <v>1.0025999999999999</v>
      </c>
      <c r="BJ130" s="19">
        <v>1.0025999999999999</v>
      </c>
      <c r="BK130" s="18"/>
      <c r="BL130" s="18"/>
      <c r="BM130" s="19">
        <v>1.1277999999999999</v>
      </c>
      <c r="BN130" s="19">
        <v>1.2685999999999999</v>
      </c>
      <c r="BO130" s="19">
        <v>1.427</v>
      </c>
      <c r="BP130" s="19">
        <v>1.5367</v>
      </c>
      <c r="BQ130" s="19">
        <v>1.6549</v>
      </c>
      <c r="BR130" s="19">
        <v>1.6798</v>
      </c>
      <c r="BS130" s="19">
        <v>1.7052</v>
      </c>
      <c r="BT130" s="19">
        <v>1.7309000000000001</v>
      </c>
      <c r="BU130" s="19">
        <v>1.7569999999999999</v>
      </c>
    </row>
    <row r="131" spans="3:73" x14ac:dyDescent="0.45">
      <c r="C131" s="15" t="s">
        <v>249</v>
      </c>
      <c r="D131" s="15" t="s">
        <v>321</v>
      </c>
      <c r="E131" s="15" t="s">
        <v>308</v>
      </c>
      <c r="F131" s="15"/>
      <c r="G131" s="15"/>
      <c r="H131" s="15" t="s">
        <v>320</v>
      </c>
      <c r="I131" s="15"/>
      <c r="J131" s="18"/>
      <c r="K131" s="18"/>
      <c r="L131" s="19">
        <v>0.25</v>
      </c>
      <c r="M131" s="18"/>
      <c r="N131" s="18"/>
      <c r="O131" s="18"/>
      <c r="P131" s="18"/>
      <c r="Q131" s="18"/>
      <c r="R131" s="19">
        <v>0.25</v>
      </c>
      <c r="S131" s="18"/>
      <c r="T131" s="18"/>
      <c r="U131" s="18"/>
      <c r="V131" s="18"/>
      <c r="X131" s="15" t="s">
        <v>249</v>
      </c>
      <c r="Y131" s="15" t="s">
        <v>324</v>
      </c>
      <c r="Z131" s="15" t="s">
        <v>354</v>
      </c>
      <c r="AA131" s="15"/>
      <c r="AB131" s="15"/>
      <c r="AC131" s="15"/>
      <c r="AD131" s="15" t="s">
        <v>323</v>
      </c>
      <c r="AE131" s="18"/>
      <c r="AF131" s="18"/>
      <c r="AG131" s="19">
        <v>1.26178058877254</v>
      </c>
      <c r="AH131" s="18"/>
      <c r="AI131" s="18"/>
      <c r="AJ131" s="18"/>
      <c r="AK131" s="18"/>
      <c r="AL131" s="18"/>
      <c r="AM131" s="19">
        <v>1.26178058877254</v>
      </c>
      <c r="AN131" s="18"/>
      <c r="AO131" s="18"/>
      <c r="AP131" s="18"/>
      <c r="AR131" s="15" t="s">
        <v>249</v>
      </c>
      <c r="AS131" s="15" t="s">
        <v>369</v>
      </c>
      <c r="AT131" s="15"/>
      <c r="AU131" s="15"/>
      <c r="AV131" s="15" t="s">
        <v>491</v>
      </c>
      <c r="AW131" s="15"/>
      <c r="AX131" s="15"/>
      <c r="AY131" s="15"/>
      <c r="AZ131" s="18"/>
      <c r="BA131" s="18"/>
      <c r="BB131" s="19">
        <v>4.0376000000000003</v>
      </c>
      <c r="BC131" s="19">
        <v>4.0376000000000003</v>
      </c>
      <c r="BD131" s="19">
        <v>4.0376000000000003</v>
      </c>
      <c r="BE131" s="19">
        <v>4.0376000000000003</v>
      </c>
      <c r="BF131" s="19">
        <v>4.0376000000000003</v>
      </c>
      <c r="BG131" s="19">
        <v>4.0376000000000003</v>
      </c>
      <c r="BH131" s="19">
        <v>4.0376000000000003</v>
      </c>
      <c r="BI131" s="19">
        <v>4.0376000000000003</v>
      </c>
      <c r="BJ131" s="19">
        <v>4.0376000000000003</v>
      </c>
      <c r="BK131" s="18"/>
      <c r="BL131" s="18"/>
      <c r="BM131" s="19">
        <v>4.5416999999999996</v>
      </c>
      <c r="BN131" s="19">
        <v>5.1087999999999996</v>
      </c>
      <c r="BO131" s="19">
        <v>5.7466999999999997</v>
      </c>
      <c r="BP131" s="19">
        <v>6.1886000000000001</v>
      </c>
      <c r="BQ131" s="19">
        <v>6.6645000000000003</v>
      </c>
      <c r="BR131" s="19">
        <v>6.7648999999999999</v>
      </c>
      <c r="BS131" s="19">
        <v>6.8669000000000002</v>
      </c>
      <c r="BT131" s="19">
        <v>6.9703999999999997</v>
      </c>
      <c r="BU131" s="19">
        <v>7.0754999999999999</v>
      </c>
    </row>
    <row r="132" spans="3:73" x14ac:dyDescent="0.45">
      <c r="C132" s="15" t="s">
        <v>249</v>
      </c>
      <c r="D132" s="15" t="s">
        <v>321</v>
      </c>
      <c r="E132" s="15" t="s">
        <v>309</v>
      </c>
      <c r="F132" s="15"/>
      <c r="G132" s="15"/>
      <c r="H132" s="15" t="s">
        <v>320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249</v>
      </c>
      <c r="Y132" s="15" t="s">
        <v>324</v>
      </c>
      <c r="Z132" s="15" t="s">
        <v>355</v>
      </c>
      <c r="AA132" s="15"/>
      <c r="AB132" s="15"/>
      <c r="AC132" s="15"/>
      <c r="AD132" s="15" t="s">
        <v>323</v>
      </c>
      <c r="AE132" s="18"/>
      <c r="AF132" s="18"/>
      <c r="AG132" s="19">
        <v>1.09979187902069</v>
      </c>
      <c r="AH132" s="18"/>
      <c r="AI132" s="18"/>
      <c r="AJ132" s="18"/>
      <c r="AK132" s="18"/>
      <c r="AL132" s="18"/>
      <c r="AM132" s="19">
        <v>1.09979187902069</v>
      </c>
      <c r="AN132" s="18"/>
      <c r="AO132" s="18"/>
      <c r="AP132" s="18"/>
      <c r="AR132" s="15" t="s">
        <v>249</v>
      </c>
      <c r="AS132" s="15" t="s">
        <v>369</v>
      </c>
      <c r="AT132" s="15"/>
      <c r="AU132" s="15"/>
      <c r="AV132" s="15" t="s">
        <v>492</v>
      </c>
      <c r="AW132" s="15"/>
      <c r="AX132" s="15"/>
      <c r="AY132" s="15"/>
      <c r="AZ132" s="18"/>
      <c r="BA132" s="18"/>
      <c r="BB132" s="19">
        <v>4.2074999999999996</v>
      </c>
      <c r="BC132" s="19">
        <v>4.335</v>
      </c>
      <c r="BD132" s="19">
        <v>4.4664000000000001</v>
      </c>
      <c r="BE132" s="19">
        <v>4.8098000000000001</v>
      </c>
      <c r="BF132" s="19">
        <v>5.1795999999999998</v>
      </c>
      <c r="BG132" s="19">
        <v>5.6599000000000004</v>
      </c>
      <c r="BH132" s="19">
        <v>6.1848000000000001</v>
      </c>
      <c r="BI132" s="19">
        <v>6.7582000000000004</v>
      </c>
      <c r="BJ132" s="19">
        <v>7.3849</v>
      </c>
      <c r="BK132" s="18"/>
      <c r="BL132" s="18"/>
      <c r="BM132" s="19">
        <v>4.5937000000000001</v>
      </c>
      <c r="BN132" s="19">
        <v>5.1673</v>
      </c>
      <c r="BO132" s="19">
        <v>5.8125</v>
      </c>
      <c r="BP132" s="19">
        <v>6.2594000000000003</v>
      </c>
      <c r="BQ132" s="19">
        <v>6.7407000000000004</v>
      </c>
      <c r="BR132" s="19">
        <v>6.8422999999999998</v>
      </c>
      <c r="BS132" s="19">
        <v>6.9455</v>
      </c>
      <c r="BT132" s="19">
        <v>7.0502000000000002</v>
      </c>
      <c r="BU132" s="19">
        <v>7.1565000000000003</v>
      </c>
    </row>
    <row r="133" spans="3:73" x14ac:dyDescent="0.45">
      <c r="C133" s="15" t="s">
        <v>249</v>
      </c>
      <c r="D133" s="15" t="s">
        <v>321</v>
      </c>
      <c r="E133" s="15" t="s">
        <v>310</v>
      </c>
      <c r="F133" s="15"/>
      <c r="G133" s="15"/>
      <c r="H133" s="15" t="s">
        <v>320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249</v>
      </c>
      <c r="Y133" s="15" t="s">
        <v>324</v>
      </c>
      <c r="Z133" s="15" t="s">
        <v>356</v>
      </c>
      <c r="AA133" s="15"/>
      <c r="AB133" s="15"/>
      <c r="AC133" s="15"/>
      <c r="AD133" s="15" t="s">
        <v>323</v>
      </c>
      <c r="AE133" s="18"/>
      <c r="AF133" s="18"/>
      <c r="AG133" s="19">
        <v>1.13302870436116</v>
      </c>
      <c r="AH133" s="18"/>
      <c r="AI133" s="18"/>
      <c r="AJ133" s="18"/>
      <c r="AK133" s="18"/>
      <c r="AL133" s="18"/>
      <c r="AM133" s="19">
        <v>1.13302870436116</v>
      </c>
      <c r="AN133" s="18"/>
      <c r="AO133" s="18"/>
      <c r="AP133" s="18"/>
      <c r="AR133" s="15" t="s">
        <v>249</v>
      </c>
      <c r="AS133" s="15" t="s">
        <v>369</v>
      </c>
      <c r="AT133" s="15"/>
      <c r="AU133" s="15"/>
      <c r="AV133" s="15" t="s">
        <v>493</v>
      </c>
      <c r="AW133" s="15"/>
      <c r="AX133" s="15"/>
      <c r="AY133" s="15"/>
      <c r="AZ133" s="18"/>
      <c r="BA133" s="18"/>
      <c r="BB133" s="19">
        <v>8.3000000000000001E-3</v>
      </c>
      <c r="BC133" s="19">
        <v>8.3000000000000001E-3</v>
      </c>
      <c r="BD133" s="19">
        <v>8.3000000000000001E-3</v>
      </c>
      <c r="BE133" s="19">
        <v>8.3000000000000001E-3</v>
      </c>
      <c r="BF133" s="19">
        <v>8.3000000000000001E-3</v>
      </c>
      <c r="BG133" s="19">
        <v>8.3000000000000001E-3</v>
      </c>
      <c r="BH133" s="19">
        <v>8.3000000000000001E-3</v>
      </c>
      <c r="BI133" s="19">
        <v>8.3000000000000001E-3</v>
      </c>
      <c r="BJ133" s="19">
        <v>8.3000000000000001E-3</v>
      </c>
      <c r="BK133" s="18"/>
      <c r="BL133" s="18"/>
      <c r="BM133" s="19">
        <v>9.2999999999999992E-3</v>
      </c>
      <c r="BN133" s="19">
        <v>1.0500000000000001E-2</v>
      </c>
      <c r="BO133" s="19">
        <v>1.18E-2</v>
      </c>
      <c r="BP133" s="19">
        <v>1.2699999999999999E-2</v>
      </c>
      <c r="BQ133" s="19">
        <v>1.3599999999999999E-2</v>
      </c>
      <c r="BR133" s="19">
        <v>1.38E-2</v>
      </c>
      <c r="BS133" s="19">
        <v>1.4E-2</v>
      </c>
      <c r="BT133" s="19">
        <v>1.43E-2</v>
      </c>
      <c r="BU133" s="19">
        <v>1.4500000000000001E-2</v>
      </c>
    </row>
    <row r="134" spans="3:73" x14ac:dyDescent="0.45">
      <c r="C134" s="15" t="s">
        <v>249</v>
      </c>
      <c r="D134" s="15" t="s">
        <v>321</v>
      </c>
      <c r="E134" s="15" t="s">
        <v>311</v>
      </c>
      <c r="F134" s="15"/>
      <c r="G134" s="15"/>
      <c r="H134" s="15" t="s">
        <v>320</v>
      </c>
      <c r="I134" s="15"/>
      <c r="J134" s="18"/>
      <c r="K134" s="18"/>
      <c r="L134" s="19">
        <v>0.02</v>
      </c>
      <c r="M134" s="18"/>
      <c r="N134" s="18"/>
      <c r="O134" s="18"/>
      <c r="P134" s="18"/>
      <c r="Q134" s="18"/>
      <c r="R134" s="19">
        <v>0.02</v>
      </c>
      <c r="S134" s="18"/>
      <c r="T134" s="18"/>
      <c r="U134" s="18"/>
      <c r="V134" s="18"/>
      <c r="X134" s="15" t="s">
        <v>249</v>
      </c>
      <c r="Y134" s="15" t="s">
        <v>324</v>
      </c>
      <c r="Z134" s="15" t="s">
        <v>357</v>
      </c>
      <c r="AA134" s="15"/>
      <c r="AB134" s="15"/>
      <c r="AC134" s="15"/>
      <c r="AD134" s="15" t="s">
        <v>323</v>
      </c>
      <c r="AE134" s="18"/>
      <c r="AF134" s="18"/>
      <c r="AG134" s="19">
        <v>1.3430866666666701</v>
      </c>
      <c r="AH134" s="18"/>
      <c r="AI134" s="18"/>
      <c r="AJ134" s="18"/>
      <c r="AK134" s="18"/>
      <c r="AL134" s="18"/>
      <c r="AM134" s="19">
        <v>1.3430866666666701</v>
      </c>
      <c r="AN134" s="18"/>
      <c r="AO134" s="18"/>
      <c r="AP134" s="18"/>
      <c r="AR134" s="15" t="s">
        <v>249</v>
      </c>
      <c r="AS134" s="15" t="s">
        <v>369</v>
      </c>
      <c r="AT134" s="15"/>
      <c r="AU134" s="15"/>
      <c r="AV134" s="15" t="s">
        <v>494</v>
      </c>
      <c r="AW134" s="15"/>
      <c r="AX134" s="15"/>
      <c r="AY134" s="15"/>
      <c r="AZ134" s="18"/>
      <c r="BA134" s="18"/>
      <c r="BB134" s="19">
        <v>2.6537999999999999</v>
      </c>
      <c r="BC134" s="19">
        <v>2.6537999999999999</v>
      </c>
      <c r="BD134" s="19">
        <v>2.6537999999999999</v>
      </c>
      <c r="BE134" s="19">
        <v>2.6537999999999999</v>
      </c>
      <c r="BF134" s="19">
        <v>2.6537999999999999</v>
      </c>
      <c r="BG134" s="19">
        <v>2.6537999999999999</v>
      </c>
      <c r="BH134" s="19">
        <v>2.6537999999999999</v>
      </c>
      <c r="BI134" s="19">
        <v>2.6537999999999999</v>
      </c>
      <c r="BJ134" s="19">
        <v>2.6537999999999999</v>
      </c>
      <c r="BK134" s="18"/>
      <c r="BL134" s="18"/>
      <c r="BM134" s="19">
        <v>2.9851999999999999</v>
      </c>
      <c r="BN134" s="19">
        <v>3.3578999999999999</v>
      </c>
      <c r="BO134" s="19">
        <v>3.7772000000000001</v>
      </c>
      <c r="BP134" s="19">
        <v>4.0675999999999997</v>
      </c>
      <c r="BQ134" s="19">
        <v>4.3803999999999998</v>
      </c>
      <c r="BR134" s="19">
        <v>4.4463999999999997</v>
      </c>
      <c r="BS134" s="19">
        <v>4.5133999999999999</v>
      </c>
      <c r="BT134" s="19">
        <v>4.5815000000000001</v>
      </c>
      <c r="BU134" s="19">
        <v>4.6505999999999998</v>
      </c>
    </row>
    <row r="135" spans="3:73" x14ac:dyDescent="0.45">
      <c r="C135" s="15" t="s">
        <v>249</v>
      </c>
      <c r="D135" s="15" t="s">
        <v>321</v>
      </c>
      <c r="E135" s="15" t="s">
        <v>312</v>
      </c>
      <c r="F135" s="15"/>
      <c r="G135" s="15"/>
      <c r="H135" s="15" t="s">
        <v>320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249</v>
      </c>
      <c r="Y135" s="15" t="s">
        <v>324</v>
      </c>
      <c r="Z135" s="15" t="s">
        <v>358</v>
      </c>
      <c r="AA135" s="15"/>
      <c r="AB135" s="15"/>
      <c r="AC135" s="15"/>
      <c r="AD135" s="15" t="s">
        <v>323</v>
      </c>
      <c r="AE135" s="18"/>
      <c r="AF135" s="18"/>
      <c r="AG135" s="19">
        <v>1.3836761070950301</v>
      </c>
      <c r="AH135" s="18"/>
      <c r="AI135" s="18"/>
      <c r="AJ135" s="18"/>
      <c r="AK135" s="18"/>
      <c r="AL135" s="18"/>
      <c r="AM135" s="19">
        <v>1.3836761070950301</v>
      </c>
      <c r="AN135" s="18"/>
      <c r="AO135" s="18"/>
      <c r="AP135" s="18"/>
      <c r="AR135" s="15" t="s">
        <v>249</v>
      </c>
      <c r="AS135" s="15" t="s">
        <v>369</v>
      </c>
      <c r="AT135" s="15"/>
      <c r="AU135" s="15"/>
      <c r="AV135" s="15" t="s">
        <v>495</v>
      </c>
      <c r="AW135" s="15"/>
      <c r="AX135" s="15"/>
      <c r="AY135" s="15"/>
      <c r="AZ135" s="18"/>
      <c r="BA135" s="18"/>
      <c r="BB135" s="19">
        <v>1.0553999999999999</v>
      </c>
      <c r="BC135" s="19">
        <v>1.0553999999999999</v>
      </c>
      <c r="BD135" s="19">
        <v>1.0553999999999999</v>
      </c>
      <c r="BE135" s="19">
        <v>1.0553999999999999</v>
      </c>
      <c r="BF135" s="19">
        <v>1.0553999999999999</v>
      </c>
      <c r="BG135" s="19">
        <v>1.0553999999999999</v>
      </c>
      <c r="BH135" s="19">
        <v>1.0553999999999999</v>
      </c>
      <c r="BI135" s="19">
        <v>1.0553999999999999</v>
      </c>
      <c r="BJ135" s="19">
        <v>1.0553999999999999</v>
      </c>
      <c r="BK135" s="18"/>
      <c r="BL135" s="18"/>
      <c r="BM135" s="19">
        <v>1.1871</v>
      </c>
      <c r="BN135" s="19">
        <v>1.3353999999999999</v>
      </c>
      <c r="BO135" s="19">
        <v>1.5021</v>
      </c>
      <c r="BP135" s="19">
        <v>1.6175999999999999</v>
      </c>
      <c r="BQ135" s="19">
        <v>1.742</v>
      </c>
      <c r="BR135" s="19">
        <v>1.7682</v>
      </c>
      <c r="BS135" s="19">
        <v>1.7948999999999999</v>
      </c>
      <c r="BT135" s="19">
        <v>1.8220000000000001</v>
      </c>
      <c r="BU135" s="19">
        <v>1.8493999999999999</v>
      </c>
    </row>
    <row r="136" spans="3:73" x14ac:dyDescent="0.45">
      <c r="C136" s="15" t="s">
        <v>249</v>
      </c>
      <c r="D136" s="15" t="s">
        <v>321</v>
      </c>
      <c r="E136" s="15" t="s">
        <v>313</v>
      </c>
      <c r="F136" s="15"/>
      <c r="G136" s="15"/>
      <c r="H136" s="15" t="s">
        <v>320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249</v>
      </c>
      <c r="Y136" s="15" t="s">
        <v>324</v>
      </c>
      <c r="Z136" s="15" t="s">
        <v>359</v>
      </c>
      <c r="AA136" s="15"/>
      <c r="AB136" s="15"/>
      <c r="AC136" s="15"/>
      <c r="AD136" s="15" t="s">
        <v>323</v>
      </c>
      <c r="AE136" s="18"/>
      <c r="AF136" s="18"/>
      <c r="AG136" s="19">
        <v>1.17948765247058</v>
      </c>
      <c r="AH136" s="18"/>
      <c r="AI136" s="18"/>
      <c r="AJ136" s="18"/>
      <c r="AK136" s="18"/>
      <c r="AL136" s="18"/>
      <c r="AM136" s="19">
        <v>1.17948765247058</v>
      </c>
      <c r="AN136" s="18"/>
      <c r="AO136" s="18"/>
      <c r="AP136" s="18"/>
      <c r="AR136" s="15" t="s">
        <v>249</v>
      </c>
      <c r="AS136" s="15" t="s">
        <v>369</v>
      </c>
      <c r="AT136" s="15"/>
      <c r="AU136" s="15"/>
      <c r="AV136" s="15" t="s">
        <v>496</v>
      </c>
      <c r="AW136" s="15"/>
      <c r="AX136" s="15"/>
      <c r="AY136" s="15"/>
      <c r="AZ136" s="18"/>
      <c r="BA136" s="18"/>
      <c r="BB136" s="19">
        <v>5.0099999999999999E-2</v>
      </c>
      <c r="BC136" s="19">
        <v>5.0099999999999999E-2</v>
      </c>
      <c r="BD136" s="19">
        <v>5.0099999999999999E-2</v>
      </c>
      <c r="BE136" s="19">
        <v>5.0099999999999999E-2</v>
      </c>
      <c r="BF136" s="19">
        <v>5.0099999999999999E-2</v>
      </c>
      <c r="BG136" s="19">
        <v>5.0099999999999999E-2</v>
      </c>
      <c r="BH136" s="19">
        <v>5.0099999999999999E-2</v>
      </c>
      <c r="BI136" s="19">
        <v>5.0099999999999999E-2</v>
      </c>
      <c r="BJ136" s="19">
        <v>5.0099999999999999E-2</v>
      </c>
      <c r="BK136" s="18"/>
      <c r="BL136" s="18"/>
      <c r="BM136" s="19">
        <v>5.6399999999999999E-2</v>
      </c>
      <c r="BN136" s="19">
        <v>6.3399999999999998E-2</v>
      </c>
      <c r="BO136" s="19">
        <v>7.1400000000000005E-2</v>
      </c>
      <c r="BP136" s="19">
        <v>7.6899999999999996E-2</v>
      </c>
      <c r="BQ136" s="19">
        <v>8.2799999999999999E-2</v>
      </c>
      <c r="BR136" s="19">
        <v>8.4000000000000005E-2</v>
      </c>
      <c r="BS136" s="19">
        <v>8.5300000000000001E-2</v>
      </c>
      <c r="BT136" s="19">
        <v>8.6599999999999996E-2</v>
      </c>
      <c r="BU136" s="19">
        <v>8.7900000000000006E-2</v>
      </c>
    </row>
    <row r="137" spans="3:73" x14ac:dyDescent="0.45">
      <c r="C137" s="15" t="s">
        <v>249</v>
      </c>
      <c r="D137" s="15" t="s">
        <v>321</v>
      </c>
      <c r="E137" s="15" t="s">
        <v>314</v>
      </c>
      <c r="F137" s="15"/>
      <c r="G137" s="15"/>
      <c r="H137" s="15" t="s">
        <v>320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249</v>
      </c>
      <c r="Y137" s="15" t="s">
        <v>324</v>
      </c>
      <c r="Z137" s="15" t="s">
        <v>360</v>
      </c>
      <c r="AA137" s="15"/>
      <c r="AB137" s="15"/>
      <c r="AC137" s="15"/>
      <c r="AD137" s="15" t="s">
        <v>323</v>
      </c>
      <c r="AE137" s="18"/>
      <c r="AF137" s="18"/>
      <c r="AG137" s="19">
        <v>1.2151329648648701</v>
      </c>
      <c r="AH137" s="18"/>
      <c r="AI137" s="18"/>
      <c r="AJ137" s="18"/>
      <c r="AK137" s="18"/>
      <c r="AL137" s="18"/>
      <c r="AM137" s="19">
        <v>1.2151329648648701</v>
      </c>
      <c r="AN137" s="18"/>
      <c r="AO137" s="18"/>
      <c r="AP137" s="18"/>
      <c r="AR137" s="15" t="s">
        <v>249</v>
      </c>
      <c r="AS137" s="15" t="s">
        <v>369</v>
      </c>
      <c r="AT137" s="15"/>
      <c r="AU137" s="15"/>
      <c r="AV137" s="15" t="s">
        <v>497</v>
      </c>
      <c r="AW137" s="15"/>
      <c r="AX137" s="15"/>
      <c r="AY137" s="15"/>
      <c r="AZ137" s="18"/>
      <c r="BA137" s="18"/>
      <c r="BB137" s="19">
        <v>6.8000000000000005E-2</v>
      </c>
      <c r="BC137" s="19">
        <v>6.8000000000000005E-2</v>
      </c>
      <c r="BD137" s="19">
        <v>6.8000000000000005E-2</v>
      </c>
      <c r="BE137" s="19">
        <v>6.8000000000000005E-2</v>
      </c>
      <c r="BF137" s="19">
        <v>6.8000000000000005E-2</v>
      </c>
      <c r="BG137" s="19">
        <v>6.8000000000000005E-2</v>
      </c>
      <c r="BH137" s="19">
        <v>6.8000000000000005E-2</v>
      </c>
      <c r="BI137" s="19">
        <v>6.8000000000000005E-2</v>
      </c>
      <c r="BJ137" s="19">
        <v>6.8000000000000005E-2</v>
      </c>
      <c r="BK137" s="18"/>
      <c r="BL137" s="18"/>
      <c r="BM137" s="19">
        <v>6.8000000000000005E-2</v>
      </c>
      <c r="BN137" s="19">
        <v>6.8000000000000005E-2</v>
      </c>
      <c r="BO137" s="19">
        <v>6.8000000000000005E-2</v>
      </c>
      <c r="BP137" s="19">
        <v>6.8000000000000005E-2</v>
      </c>
      <c r="BQ137" s="19">
        <v>6.8000000000000005E-2</v>
      </c>
      <c r="BR137" s="19">
        <v>6.8000000000000005E-2</v>
      </c>
      <c r="BS137" s="19">
        <v>6.8000000000000005E-2</v>
      </c>
      <c r="BT137" s="19">
        <v>6.8000000000000005E-2</v>
      </c>
      <c r="BU137" s="19">
        <v>6.8000000000000005E-2</v>
      </c>
    </row>
    <row r="138" spans="3:73" x14ac:dyDescent="0.45">
      <c r="C138" s="15" t="s">
        <v>249</v>
      </c>
      <c r="D138" s="15" t="s">
        <v>321</v>
      </c>
      <c r="E138" s="15" t="s">
        <v>315</v>
      </c>
      <c r="F138" s="15"/>
      <c r="G138" s="15"/>
      <c r="H138" s="15" t="s">
        <v>320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249</v>
      </c>
      <c r="Y138" s="15" t="s">
        <v>324</v>
      </c>
      <c r="Z138" s="15" t="s">
        <v>361</v>
      </c>
      <c r="AA138" s="15"/>
      <c r="AB138" s="15"/>
      <c r="AC138" s="15"/>
      <c r="AD138" s="15" t="s">
        <v>323</v>
      </c>
      <c r="AE138" s="18"/>
      <c r="AF138" s="18"/>
      <c r="AG138" s="19">
        <v>0.25</v>
      </c>
      <c r="AH138" s="18"/>
      <c r="AI138" s="18"/>
      <c r="AJ138" s="18"/>
      <c r="AK138" s="18"/>
      <c r="AL138" s="18"/>
      <c r="AM138" s="19">
        <v>0.25</v>
      </c>
      <c r="AN138" s="18"/>
      <c r="AO138" s="18"/>
      <c r="AP138" s="18"/>
      <c r="AR138" s="15" t="s">
        <v>249</v>
      </c>
      <c r="AS138" s="15" t="s">
        <v>369</v>
      </c>
      <c r="AT138" s="15"/>
      <c r="AU138" s="15"/>
      <c r="AV138" s="15" t="s">
        <v>498</v>
      </c>
      <c r="AW138" s="15"/>
      <c r="AX138" s="15"/>
      <c r="AY138" s="15"/>
      <c r="AZ138" s="18"/>
      <c r="BA138" s="18"/>
      <c r="BB138" s="19">
        <v>9.7815999999999992</v>
      </c>
      <c r="BC138" s="19">
        <v>9.7815999999999992</v>
      </c>
      <c r="BD138" s="19">
        <v>9.7815999999999992</v>
      </c>
      <c r="BE138" s="19">
        <v>9.7815999999999992</v>
      </c>
      <c r="BF138" s="19">
        <v>9.7815999999999992</v>
      </c>
      <c r="BG138" s="19">
        <v>9.7815999999999992</v>
      </c>
      <c r="BH138" s="19">
        <v>9.7815999999999992</v>
      </c>
      <c r="BI138" s="19">
        <v>9.7815999999999992</v>
      </c>
      <c r="BJ138" s="19">
        <v>9.7815999999999992</v>
      </c>
      <c r="BK138" s="18"/>
      <c r="BL138" s="18"/>
      <c r="BM138" s="19">
        <v>9.7815999999999992</v>
      </c>
      <c r="BN138" s="19">
        <v>9.7815999999999992</v>
      </c>
      <c r="BO138" s="19">
        <v>9.7815999999999992</v>
      </c>
      <c r="BP138" s="19">
        <v>9.7815999999999992</v>
      </c>
      <c r="BQ138" s="19">
        <v>9.7815999999999992</v>
      </c>
      <c r="BR138" s="19">
        <v>9.7815999999999992</v>
      </c>
      <c r="BS138" s="19">
        <v>9.7815999999999992</v>
      </c>
      <c r="BT138" s="19">
        <v>9.7815999999999992</v>
      </c>
      <c r="BU138" s="19">
        <v>9.7815999999999992</v>
      </c>
    </row>
    <row r="139" spans="3:73" x14ac:dyDescent="0.45">
      <c r="C139" s="15" t="s">
        <v>249</v>
      </c>
      <c r="D139" s="15" t="s">
        <v>321</v>
      </c>
      <c r="E139" s="15" t="s">
        <v>316</v>
      </c>
      <c r="F139" s="15"/>
      <c r="G139" s="15"/>
      <c r="H139" s="15" t="s">
        <v>320</v>
      </c>
      <c r="I139" s="15"/>
      <c r="J139" s="18"/>
      <c r="K139" s="18"/>
      <c r="L139" s="19">
        <v>0.09</v>
      </c>
      <c r="M139" s="18"/>
      <c r="N139" s="18"/>
      <c r="O139" s="18"/>
      <c r="P139" s="18"/>
      <c r="Q139" s="18"/>
      <c r="R139" s="19">
        <v>0.09</v>
      </c>
      <c r="S139" s="18"/>
      <c r="T139" s="18"/>
      <c r="U139" s="18"/>
      <c r="V139" s="18"/>
      <c r="X139" s="15" t="s">
        <v>249</v>
      </c>
      <c r="Y139" s="15" t="s">
        <v>324</v>
      </c>
      <c r="Z139" s="15" t="s">
        <v>362</v>
      </c>
      <c r="AA139" s="15"/>
      <c r="AB139" s="15"/>
      <c r="AC139" s="15"/>
      <c r="AD139" s="15" t="s">
        <v>323</v>
      </c>
      <c r="AE139" s="18"/>
      <c r="AF139" s="18"/>
      <c r="AG139" s="19">
        <v>0.5</v>
      </c>
      <c r="AH139" s="18"/>
      <c r="AI139" s="18"/>
      <c r="AJ139" s="18"/>
      <c r="AK139" s="18"/>
      <c r="AL139" s="18"/>
      <c r="AM139" s="19">
        <v>0.5</v>
      </c>
      <c r="AN139" s="18"/>
      <c r="AO139" s="18"/>
      <c r="AP139" s="18"/>
      <c r="AR139" s="15" t="s">
        <v>249</v>
      </c>
      <c r="AS139" s="15" t="s">
        <v>369</v>
      </c>
      <c r="AT139" s="15"/>
      <c r="AU139" s="15"/>
      <c r="AV139" s="15" t="s">
        <v>499</v>
      </c>
      <c r="AW139" s="15"/>
      <c r="AX139" s="15"/>
      <c r="AY139" s="15"/>
      <c r="AZ139" s="18"/>
      <c r="BA139" s="18"/>
      <c r="BB139" s="19">
        <v>0.45040000000000002</v>
      </c>
      <c r="BC139" s="19">
        <v>0.45040000000000002</v>
      </c>
      <c r="BD139" s="19">
        <v>0.45040000000000002</v>
      </c>
      <c r="BE139" s="19">
        <v>0.45040000000000002</v>
      </c>
      <c r="BF139" s="19">
        <v>0.45040000000000002</v>
      </c>
      <c r="BG139" s="19">
        <v>0.45040000000000002</v>
      </c>
      <c r="BH139" s="19">
        <v>0.45040000000000002</v>
      </c>
      <c r="BI139" s="19">
        <v>0.45040000000000002</v>
      </c>
      <c r="BJ139" s="19">
        <v>0.45040000000000002</v>
      </c>
      <c r="BK139" s="18"/>
      <c r="BL139" s="18"/>
      <c r="BM139" s="19">
        <v>0.45040000000000002</v>
      </c>
      <c r="BN139" s="19">
        <v>0.45040000000000002</v>
      </c>
      <c r="BO139" s="19">
        <v>0.45040000000000002</v>
      </c>
      <c r="BP139" s="19">
        <v>0.45040000000000002</v>
      </c>
      <c r="BQ139" s="19">
        <v>0.45040000000000002</v>
      </c>
      <c r="BR139" s="19">
        <v>0.45040000000000002</v>
      </c>
      <c r="BS139" s="19">
        <v>0.45040000000000002</v>
      </c>
      <c r="BT139" s="19">
        <v>0.45040000000000002</v>
      </c>
      <c r="BU139" s="19">
        <v>0.45040000000000002</v>
      </c>
    </row>
    <row r="140" spans="3:73" x14ac:dyDescent="0.45">
      <c r="C140" s="15" t="s">
        <v>249</v>
      </c>
      <c r="D140" s="15" t="s">
        <v>321</v>
      </c>
      <c r="E140" s="15" t="s">
        <v>317</v>
      </c>
      <c r="F140" s="15"/>
      <c r="G140" s="15"/>
      <c r="H140" s="15" t="s">
        <v>320</v>
      </c>
      <c r="I140" s="15"/>
      <c r="J140" s="19"/>
      <c r="K140" s="18"/>
      <c r="L140" s="18">
        <v>0.09</v>
      </c>
      <c r="M140" s="18"/>
      <c r="N140" s="18"/>
      <c r="O140" s="18"/>
      <c r="P140" s="19"/>
      <c r="Q140" s="18"/>
      <c r="R140" s="18">
        <v>0.09</v>
      </c>
      <c r="S140" s="18"/>
      <c r="T140" s="18"/>
      <c r="U140" s="18"/>
      <c r="V140" s="18"/>
      <c r="X140" s="15" t="s">
        <v>249</v>
      </c>
      <c r="Y140" s="15" t="s">
        <v>325</v>
      </c>
      <c r="Z140" s="15" t="s">
        <v>330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249</v>
      </c>
      <c r="AS140" s="15" t="s">
        <v>369</v>
      </c>
      <c r="AT140" s="15"/>
      <c r="AU140" s="15"/>
      <c r="AV140" s="15" t="s">
        <v>500</v>
      </c>
      <c r="AW140" s="15"/>
      <c r="AX140" s="15"/>
      <c r="AY140" s="15"/>
      <c r="AZ140" s="18"/>
      <c r="BA140" s="18"/>
      <c r="BB140" s="19">
        <v>0.154</v>
      </c>
      <c r="BC140" s="19">
        <v>0.154</v>
      </c>
      <c r="BD140" s="19">
        <v>0.154</v>
      </c>
      <c r="BE140" s="19">
        <v>0.154</v>
      </c>
      <c r="BF140" s="19">
        <v>0.154</v>
      </c>
      <c r="BG140" s="19">
        <v>0.154</v>
      </c>
      <c r="BH140" s="19">
        <v>0.154</v>
      </c>
      <c r="BI140" s="19">
        <v>0.154</v>
      </c>
      <c r="BJ140" s="19">
        <v>0.154</v>
      </c>
      <c r="BK140" s="18"/>
      <c r="BL140" s="18"/>
      <c r="BM140" s="19">
        <v>0.154</v>
      </c>
      <c r="BN140" s="19">
        <v>0.154</v>
      </c>
      <c r="BO140" s="19">
        <v>0.154</v>
      </c>
      <c r="BP140" s="19">
        <v>0.154</v>
      </c>
      <c r="BQ140" s="19">
        <v>0.154</v>
      </c>
      <c r="BR140" s="19">
        <v>0.154</v>
      </c>
      <c r="BS140" s="19">
        <v>0.154</v>
      </c>
      <c r="BT140" s="19">
        <v>0.154</v>
      </c>
      <c r="BU140" s="19">
        <v>0.154</v>
      </c>
    </row>
    <row r="141" spans="3:73" x14ac:dyDescent="0.45">
      <c r="C141" s="15" t="s">
        <v>249</v>
      </c>
      <c r="D141" s="15" t="s">
        <v>322</v>
      </c>
      <c r="E141" s="15" t="s">
        <v>251</v>
      </c>
      <c r="F141" s="15"/>
      <c r="G141" s="15"/>
      <c r="H141" s="15"/>
      <c r="I141" s="15" t="s">
        <v>323</v>
      </c>
      <c r="J141" s="19"/>
      <c r="K141" s="18"/>
      <c r="L141" s="18">
        <v>6000</v>
      </c>
      <c r="M141" s="18"/>
      <c r="N141" s="18"/>
      <c r="O141" s="18"/>
      <c r="P141" s="19"/>
      <c r="Q141" s="18"/>
      <c r="R141" s="18">
        <v>6000</v>
      </c>
      <c r="S141" s="18"/>
      <c r="T141" s="18"/>
      <c r="U141" s="18"/>
      <c r="V141" s="18"/>
      <c r="X141" s="15" t="s">
        <v>249</v>
      </c>
      <c r="Y141" s="15" t="s">
        <v>325</v>
      </c>
      <c r="Z141" s="15" t="s">
        <v>331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249</v>
      </c>
      <c r="AS141" s="15" t="s">
        <v>369</v>
      </c>
      <c r="AT141" s="15"/>
      <c r="AU141" s="15"/>
      <c r="AV141" s="15" t="s">
        <v>501</v>
      </c>
      <c r="AW141" s="15"/>
      <c r="AX141" s="15"/>
      <c r="AY141" s="15"/>
      <c r="AZ141" s="18"/>
      <c r="BA141" s="18"/>
      <c r="BB141" s="19">
        <v>0.77749999999999997</v>
      </c>
      <c r="BC141" s="19">
        <v>0.77749999999999997</v>
      </c>
      <c r="BD141" s="19">
        <v>0.77749999999999997</v>
      </c>
      <c r="BE141" s="19">
        <v>0.77749999999999997</v>
      </c>
      <c r="BF141" s="19">
        <v>0.77749999999999997</v>
      </c>
      <c r="BG141" s="19">
        <v>0.77749999999999997</v>
      </c>
      <c r="BH141" s="19">
        <v>0.77749999999999997</v>
      </c>
      <c r="BI141" s="19">
        <v>0.77749999999999997</v>
      </c>
      <c r="BJ141" s="19">
        <v>0.77749999999999997</v>
      </c>
      <c r="BK141" s="18"/>
      <c r="BL141" s="18"/>
      <c r="BM141" s="19">
        <v>0.77749999999999997</v>
      </c>
      <c r="BN141" s="19">
        <v>0.77749999999999997</v>
      </c>
      <c r="BO141" s="19">
        <v>0.77749999999999997</v>
      </c>
      <c r="BP141" s="19">
        <v>0.77749999999999997</v>
      </c>
      <c r="BQ141" s="19">
        <v>0.77749999999999997</v>
      </c>
      <c r="BR141" s="19">
        <v>0.77749999999999997</v>
      </c>
      <c r="BS141" s="19">
        <v>0.77749999999999997</v>
      </c>
      <c r="BT141" s="19">
        <v>0.77749999999999997</v>
      </c>
      <c r="BU141" s="19">
        <v>0.77749999999999997</v>
      </c>
    </row>
    <row r="142" spans="3:73" x14ac:dyDescent="0.45">
      <c r="C142" s="15" t="s">
        <v>249</v>
      </c>
      <c r="D142" s="15" t="s">
        <v>322</v>
      </c>
      <c r="E142" s="15" t="s">
        <v>253</v>
      </c>
      <c r="F142" s="15"/>
      <c r="G142" s="15"/>
      <c r="H142" s="15"/>
      <c r="I142" s="15" t="s">
        <v>323</v>
      </c>
      <c r="J142" s="19"/>
      <c r="K142" s="18"/>
      <c r="L142" s="18">
        <v>6257.14</v>
      </c>
      <c r="M142" s="18"/>
      <c r="N142" s="18"/>
      <c r="O142" s="18"/>
      <c r="P142" s="19"/>
      <c r="Q142" s="18"/>
      <c r="R142" s="18">
        <v>6257.1428569999998</v>
      </c>
      <c r="S142" s="18"/>
      <c r="T142" s="18"/>
      <c r="U142" s="18"/>
      <c r="V142" s="18"/>
      <c r="X142" s="15" t="s">
        <v>249</v>
      </c>
      <c r="Y142" s="15" t="s">
        <v>325</v>
      </c>
      <c r="Z142" s="15" t="s">
        <v>332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249</v>
      </c>
      <c r="AS142" s="15" t="s">
        <v>369</v>
      </c>
      <c r="AT142" s="15"/>
      <c r="AU142" s="15"/>
      <c r="AV142" s="15" t="s">
        <v>502</v>
      </c>
      <c r="AW142" s="15"/>
      <c r="AX142" s="15"/>
      <c r="AY142" s="15"/>
      <c r="AZ142" s="18"/>
      <c r="BA142" s="18"/>
      <c r="BB142" s="19">
        <v>30.824300000000001</v>
      </c>
      <c r="BC142" s="19">
        <v>30.824300000000001</v>
      </c>
      <c r="BD142" s="19">
        <v>30.824300000000001</v>
      </c>
      <c r="BE142" s="19">
        <v>30.824300000000001</v>
      </c>
      <c r="BF142" s="19">
        <v>30.824300000000001</v>
      </c>
      <c r="BG142" s="19">
        <v>30.824300000000001</v>
      </c>
      <c r="BH142" s="19">
        <v>30.824300000000001</v>
      </c>
      <c r="BI142" s="19">
        <v>30.824300000000001</v>
      </c>
      <c r="BJ142" s="19">
        <v>30.824300000000001</v>
      </c>
      <c r="BK142" s="18"/>
      <c r="BL142" s="18"/>
      <c r="BM142" s="19">
        <v>30.824300000000001</v>
      </c>
      <c r="BN142" s="19">
        <v>30.824300000000001</v>
      </c>
      <c r="BO142" s="19">
        <v>30.824300000000001</v>
      </c>
      <c r="BP142" s="19">
        <v>30.824300000000001</v>
      </c>
      <c r="BQ142" s="19">
        <v>30.824300000000001</v>
      </c>
      <c r="BR142" s="19">
        <v>30.824300000000001</v>
      </c>
      <c r="BS142" s="19">
        <v>30.824300000000001</v>
      </c>
      <c r="BT142" s="19">
        <v>30.824300000000001</v>
      </c>
      <c r="BU142" s="19">
        <v>30.824300000000001</v>
      </c>
    </row>
    <row r="143" spans="3:73" x14ac:dyDescent="0.45">
      <c r="C143" s="15" t="s">
        <v>249</v>
      </c>
      <c r="D143" s="15" t="s">
        <v>322</v>
      </c>
      <c r="E143" s="15" t="s">
        <v>254</v>
      </c>
      <c r="F143" s="15"/>
      <c r="G143" s="15"/>
      <c r="H143" s="15"/>
      <c r="I143" s="15" t="s">
        <v>323</v>
      </c>
      <c r="J143" s="19"/>
      <c r="K143" s="18"/>
      <c r="L143" s="18">
        <v>1076.0899999999999</v>
      </c>
      <c r="M143" s="18"/>
      <c r="N143" s="18"/>
      <c r="O143" s="18"/>
      <c r="P143" s="19"/>
      <c r="Q143" s="18"/>
      <c r="R143" s="18">
        <v>1076.086957</v>
      </c>
      <c r="S143" s="18"/>
      <c r="T143" s="18"/>
      <c r="U143" s="18"/>
      <c r="V143" s="18"/>
      <c r="X143" s="15" t="s">
        <v>249</v>
      </c>
      <c r="Y143" s="15" t="s">
        <v>325</v>
      </c>
      <c r="Z143" s="15" t="s">
        <v>333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249</v>
      </c>
      <c r="AS143" s="15" t="s">
        <v>369</v>
      </c>
      <c r="AT143" s="15"/>
      <c r="AU143" s="15"/>
      <c r="AV143" s="15" t="s">
        <v>503</v>
      </c>
      <c r="AW143" s="15"/>
      <c r="AX143" s="15"/>
      <c r="AY143" s="15"/>
      <c r="AZ143" s="18"/>
      <c r="BA143" s="18"/>
      <c r="BB143" s="19">
        <v>0.62360000000000004</v>
      </c>
      <c r="BC143" s="19">
        <v>0.62360000000000004</v>
      </c>
      <c r="BD143" s="19">
        <v>0.62360000000000004</v>
      </c>
      <c r="BE143" s="19">
        <v>0.62360000000000004</v>
      </c>
      <c r="BF143" s="19">
        <v>0.62360000000000004</v>
      </c>
      <c r="BG143" s="19">
        <v>0.62360000000000004</v>
      </c>
      <c r="BH143" s="19">
        <v>0.62360000000000004</v>
      </c>
      <c r="BI143" s="19">
        <v>0.62360000000000004</v>
      </c>
      <c r="BJ143" s="19">
        <v>0.62360000000000004</v>
      </c>
      <c r="BK143" s="18"/>
      <c r="BL143" s="18"/>
      <c r="BM143" s="19">
        <v>0.62360000000000004</v>
      </c>
      <c r="BN143" s="19">
        <v>0.62360000000000004</v>
      </c>
      <c r="BO143" s="19">
        <v>0.62360000000000004</v>
      </c>
      <c r="BP143" s="19">
        <v>0.62360000000000004</v>
      </c>
      <c r="BQ143" s="19">
        <v>0.62360000000000004</v>
      </c>
      <c r="BR143" s="19">
        <v>0.62360000000000004</v>
      </c>
      <c r="BS143" s="19">
        <v>0.62360000000000004</v>
      </c>
      <c r="BT143" s="19">
        <v>0.62360000000000004</v>
      </c>
      <c r="BU143" s="19">
        <v>0.62360000000000004</v>
      </c>
    </row>
    <row r="144" spans="3:73" x14ac:dyDescent="0.45">
      <c r="C144" s="15" t="s">
        <v>249</v>
      </c>
      <c r="D144" s="15" t="s">
        <v>322</v>
      </c>
      <c r="E144" s="15" t="s">
        <v>255</v>
      </c>
      <c r="F144" s="15"/>
      <c r="G144" s="15"/>
      <c r="H144" s="15"/>
      <c r="I144" s="15" t="s">
        <v>323</v>
      </c>
      <c r="J144" s="19"/>
      <c r="K144" s="18"/>
      <c r="L144" s="18">
        <v>483.48</v>
      </c>
      <c r="M144" s="18">
        <v>356.25</v>
      </c>
      <c r="N144" s="18">
        <v>157.77000000000001</v>
      </c>
      <c r="O144" s="18">
        <v>157.77000000000001</v>
      </c>
      <c r="P144" s="19">
        <v>157.77000000000001</v>
      </c>
      <c r="Q144" s="18"/>
      <c r="R144" s="18">
        <v>483</v>
      </c>
      <c r="S144" s="18">
        <v>379</v>
      </c>
      <c r="T144" s="18">
        <v>287</v>
      </c>
      <c r="U144" s="18">
        <v>189</v>
      </c>
      <c r="V144" s="18">
        <v>189</v>
      </c>
      <c r="X144" s="15" t="s">
        <v>249</v>
      </c>
      <c r="Y144" s="15" t="s">
        <v>325</v>
      </c>
      <c r="Z144" s="15" t="s">
        <v>334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249</v>
      </c>
      <c r="AS144" s="15" t="s">
        <v>369</v>
      </c>
      <c r="AT144" s="15"/>
      <c r="AU144" s="15"/>
      <c r="AV144" s="15" t="s">
        <v>504</v>
      </c>
      <c r="AW144" s="15"/>
      <c r="AX144" s="15"/>
      <c r="AY144" s="15"/>
      <c r="AZ144" s="18"/>
      <c r="BA144" s="18"/>
      <c r="BB144" s="19">
        <v>2.2726999999999999</v>
      </c>
      <c r="BC144" s="19">
        <v>2.2726999999999999</v>
      </c>
      <c r="BD144" s="19">
        <v>2.2726999999999999</v>
      </c>
      <c r="BE144" s="19">
        <v>2.2726999999999999</v>
      </c>
      <c r="BF144" s="19">
        <v>2.2726999999999999</v>
      </c>
      <c r="BG144" s="19">
        <v>2.2726999999999999</v>
      </c>
      <c r="BH144" s="19">
        <v>2.2726999999999999</v>
      </c>
      <c r="BI144" s="19">
        <v>2.2726999999999999</v>
      </c>
      <c r="BJ144" s="19">
        <v>2.2726999999999999</v>
      </c>
      <c r="BK144" s="18"/>
      <c r="BL144" s="18"/>
      <c r="BM144" s="19">
        <v>2.2726999999999999</v>
      </c>
      <c r="BN144" s="19">
        <v>2.2726999999999999</v>
      </c>
      <c r="BO144" s="19">
        <v>2.2726999999999999</v>
      </c>
      <c r="BP144" s="19">
        <v>2.2726999999999999</v>
      </c>
      <c r="BQ144" s="19">
        <v>2.2726999999999999</v>
      </c>
      <c r="BR144" s="19">
        <v>2.2726999999999999</v>
      </c>
      <c r="BS144" s="19">
        <v>2.2726999999999999</v>
      </c>
      <c r="BT144" s="19">
        <v>2.2726999999999999</v>
      </c>
      <c r="BU144" s="19">
        <v>2.2726999999999999</v>
      </c>
    </row>
    <row r="145" spans="3:73" x14ac:dyDescent="0.45">
      <c r="C145" s="15" t="s">
        <v>249</v>
      </c>
      <c r="D145" s="15" t="s">
        <v>322</v>
      </c>
      <c r="E145" s="15" t="s">
        <v>256</v>
      </c>
      <c r="F145" s="15"/>
      <c r="G145" s="15"/>
      <c r="H145" s="15"/>
      <c r="I145" s="15" t="s">
        <v>323</v>
      </c>
      <c r="J145" s="19"/>
      <c r="K145" s="18"/>
      <c r="L145" s="18">
        <v>264.04000000000002</v>
      </c>
      <c r="M145" s="18">
        <v>264.04000000000002</v>
      </c>
      <c r="N145" s="18">
        <v>264.04000000000002</v>
      </c>
      <c r="O145" s="18">
        <v>264.04000000000002</v>
      </c>
      <c r="P145" s="19">
        <v>264.04000000000002</v>
      </c>
      <c r="Q145" s="18"/>
      <c r="R145" s="18">
        <v>264</v>
      </c>
      <c r="S145" s="18">
        <v>264</v>
      </c>
      <c r="T145" s="18">
        <v>264</v>
      </c>
      <c r="U145" s="18">
        <v>264</v>
      </c>
      <c r="V145" s="18">
        <v>264</v>
      </c>
      <c r="X145" s="15" t="s">
        <v>249</v>
      </c>
      <c r="Y145" s="15" t="s">
        <v>325</v>
      </c>
      <c r="Z145" s="15" t="s">
        <v>335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249</v>
      </c>
      <c r="AS145" s="15" t="s">
        <v>369</v>
      </c>
      <c r="AT145" s="15"/>
      <c r="AU145" s="15"/>
      <c r="AV145" s="15" t="s">
        <v>505</v>
      </c>
      <c r="AW145" s="15"/>
      <c r="AX145" s="15"/>
      <c r="AY145" s="15"/>
      <c r="AZ145" s="18"/>
      <c r="BA145" s="18"/>
      <c r="BB145" s="19">
        <v>0.15628978935983001</v>
      </c>
      <c r="BC145" s="19">
        <v>0.159499248320433</v>
      </c>
      <c r="BD145" s="19">
        <v>0.162095664558224</v>
      </c>
      <c r="BE145" s="19">
        <v>0.166903842776355</v>
      </c>
      <c r="BF145" s="19">
        <v>0.17123120317267401</v>
      </c>
      <c r="BG145" s="19">
        <v>0.17507774574717899</v>
      </c>
      <c r="BH145" s="19">
        <v>0.178443470499872</v>
      </c>
      <c r="BI145" s="19">
        <v>0.18138847965847699</v>
      </c>
      <c r="BJ145" s="19">
        <v>0.18409307990617599</v>
      </c>
      <c r="BK145" s="18"/>
      <c r="BL145" s="18"/>
      <c r="BM145" s="19">
        <v>0.15724992244776301</v>
      </c>
      <c r="BN145" s="19">
        <v>0.165459886755223</v>
      </c>
      <c r="BO145" s="19">
        <v>0.17344146259732099</v>
      </c>
      <c r="BP145" s="19">
        <v>0.178249640815453</v>
      </c>
      <c r="BQ145" s="19">
        <v>0.17988442140961799</v>
      </c>
      <c r="BR145" s="19">
        <v>0.18103838418196999</v>
      </c>
      <c r="BS145" s="19">
        <v>0.18171152913250799</v>
      </c>
      <c r="BT145" s="19">
        <v>0.18196395848895999</v>
      </c>
      <c r="BU145" s="19">
        <v>0.18197597893450501</v>
      </c>
    </row>
    <row r="146" spans="3:73" x14ac:dyDescent="0.45">
      <c r="C146" s="15" t="s">
        <v>249</v>
      </c>
      <c r="D146" s="15" t="s">
        <v>322</v>
      </c>
      <c r="E146" s="15" t="s">
        <v>257</v>
      </c>
      <c r="F146" s="15"/>
      <c r="G146" s="15"/>
      <c r="H146" s="15"/>
      <c r="I146" s="15" t="s">
        <v>323</v>
      </c>
      <c r="J146" s="19"/>
      <c r="K146" s="18"/>
      <c r="L146" s="18">
        <v>1851.87</v>
      </c>
      <c r="M146" s="18">
        <v>1898.16</v>
      </c>
      <c r="N146" s="18">
        <v>1962.98</v>
      </c>
      <c r="O146" s="18">
        <v>2042.5</v>
      </c>
      <c r="P146" s="19">
        <v>2096.9699999999998</v>
      </c>
      <c r="Q146" s="18"/>
      <c r="R146" s="18">
        <v>1851.866667</v>
      </c>
      <c r="S146" s="18">
        <v>1898.163333</v>
      </c>
      <c r="T146" s="18">
        <v>1962.9786670000001</v>
      </c>
      <c r="U146" s="18">
        <v>2042.5</v>
      </c>
      <c r="V146" s="18">
        <v>2096.9666670000001</v>
      </c>
      <c r="X146" s="15" t="s">
        <v>249</v>
      </c>
      <c r="Y146" s="15" t="s">
        <v>325</v>
      </c>
      <c r="Z146" s="15" t="s">
        <v>336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249</v>
      </c>
      <c r="AS146" s="15" t="s">
        <v>369</v>
      </c>
      <c r="AT146" s="15"/>
      <c r="AU146" s="15"/>
      <c r="AV146" s="15" t="s">
        <v>506</v>
      </c>
      <c r="AW146" s="15"/>
      <c r="AX146" s="15"/>
      <c r="AY146" s="15"/>
      <c r="AZ146" s="18"/>
      <c r="BA146" s="18"/>
      <c r="BB146" s="19">
        <v>1.8449464667241899</v>
      </c>
      <c r="BC146" s="19">
        <v>1.8828330106482301</v>
      </c>
      <c r="BD146" s="19">
        <v>1.9134827989912799</v>
      </c>
      <c r="BE146" s="19">
        <v>1.9702416662932101</v>
      </c>
      <c r="BF146" s="19">
        <v>2.0213246468649602</v>
      </c>
      <c r="BG146" s="19">
        <v>2.0667317407065098</v>
      </c>
      <c r="BH146" s="19">
        <v>2.1064629478178598</v>
      </c>
      <c r="BI146" s="19">
        <v>2.1412277540403002</v>
      </c>
      <c r="BJ146" s="19">
        <v>2.1731546168976399</v>
      </c>
      <c r="BK146" s="18"/>
      <c r="BL146" s="18"/>
      <c r="BM146" s="19">
        <v>1.8562805030385401</v>
      </c>
      <c r="BN146" s="19">
        <v>1.9531962689566</v>
      </c>
      <c r="BO146" s="19">
        <v>2.04741598867782</v>
      </c>
      <c r="BP146" s="19">
        <v>2.1041748559797502</v>
      </c>
      <c r="BQ146" s="19">
        <v>2.1234728708624102</v>
      </c>
      <c r="BR146" s="19">
        <v>2.13709499901488</v>
      </c>
      <c r="BS146" s="19">
        <v>2.1450412404371502</v>
      </c>
      <c r="BT146" s="19">
        <v>2.1480210809705</v>
      </c>
      <c r="BU146" s="19">
        <v>2.1481629781387599</v>
      </c>
    </row>
    <row r="147" spans="3:73" x14ac:dyDescent="0.45">
      <c r="C147" s="15" t="s">
        <v>249</v>
      </c>
      <c r="D147" s="15" t="s">
        <v>322</v>
      </c>
      <c r="E147" s="15" t="s">
        <v>258</v>
      </c>
      <c r="F147" s="15"/>
      <c r="G147" s="15"/>
      <c r="H147" s="15"/>
      <c r="I147" s="15" t="s">
        <v>323</v>
      </c>
      <c r="J147" s="19"/>
      <c r="K147" s="18"/>
      <c r="L147" s="18">
        <v>6565.01</v>
      </c>
      <c r="M147" s="18">
        <v>3423.68</v>
      </c>
      <c r="N147" s="18">
        <v>2040.4</v>
      </c>
      <c r="O147" s="18">
        <v>2040.4</v>
      </c>
      <c r="P147" s="19">
        <v>2040.4</v>
      </c>
      <c r="Q147" s="18"/>
      <c r="R147" s="18">
        <v>6565.0101119999999</v>
      </c>
      <c r="S147" s="18">
        <v>3455.2448639999998</v>
      </c>
      <c r="T147" s="18">
        <v>2084.8753830000001</v>
      </c>
      <c r="U147" s="18">
        <v>2084.8753830000001</v>
      </c>
      <c r="V147" s="18">
        <v>2084.8753830000001</v>
      </c>
      <c r="X147" s="15" t="s">
        <v>249</v>
      </c>
      <c r="Y147" s="15" t="s">
        <v>325</v>
      </c>
      <c r="Z147" s="15" t="s">
        <v>339</v>
      </c>
      <c r="AA147" s="15"/>
      <c r="AB147" s="15"/>
      <c r="AC147" s="15"/>
      <c r="AD147" s="15"/>
      <c r="AE147" s="19">
        <v>2020</v>
      </c>
      <c r="AF147" s="18"/>
      <c r="AG147" s="18"/>
      <c r="AH147" s="18"/>
      <c r="AI147" s="18"/>
      <c r="AJ147" s="18"/>
      <c r="AK147" s="19">
        <v>2020</v>
      </c>
      <c r="AL147" s="18"/>
      <c r="AM147" s="18"/>
      <c r="AN147" s="18"/>
      <c r="AO147" s="18"/>
      <c r="AP147" s="18"/>
      <c r="AR147" s="15" t="s">
        <v>249</v>
      </c>
      <c r="AS147" s="15" t="s">
        <v>369</v>
      </c>
      <c r="AT147" s="15"/>
      <c r="AU147" s="15"/>
      <c r="AV147" s="15" t="s">
        <v>507</v>
      </c>
      <c r="AW147" s="15"/>
      <c r="AX147" s="15"/>
      <c r="AY147" s="15"/>
      <c r="AZ147" s="18"/>
      <c r="BA147" s="18"/>
      <c r="BB147" s="19">
        <v>0.505852557451137</v>
      </c>
      <c r="BC147" s="19">
        <v>0.51624039551724099</v>
      </c>
      <c r="BD147" s="19">
        <v>0.52464403979543806</v>
      </c>
      <c r="BE147" s="19">
        <v>0.54020634401432099</v>
      </c>
      <c r="BF147" s="19">
        <v>0.55421241781131503</v>
      </c>
      <c r="BG147" s="19">
        <v>0.56666226118642204</v>
      </c>
      <c r="BH147" s="19">
        <v>0.57755587413964005</v>
      </c>
      <c r="BI147" s="19">
        <v>0.58708778547370599</v>
      </c>
      <c r="BJ147" s="19">
        <v>0.59584158159682699</v>
      </c>
      <c r="BK147" s="18"/>
      <c r="BL147" s="18"/>
      <c r="BM147" s="19">
        <v>0.50896015507484504</v>
      </c>
      <c r="BN147" s="19">
        <v>0.53553278952858796</v>
      </c>
      <c r="BO147" s="19">
        <v>0.56136621453193303</v>
      </c>
      <c r="BP147" s="19">
        <v>0.57692851875081597</v>
      </c>
      <c r="BQ147" s="19">
        <v>0.582219702185236</v>
      </c>
      <c r="BR147" s="19">
        <v>0.58595465519776802</v>
      </c>
      <c r="BS147" s="19">
        <v>0.58813337778841202</v>
      </c>
      <c r="BT147" s="19">
        <v>0.58895039875990296</v>
      </c>
      <c r="BU147" s="19">
        <v>0.58898930452044995</v>
      </c>
    </row>
    <row r="148" spans="3:73" x14ac:dyDescent="0.45">
      <c r="C148" s="15" t="s">
        <v>249</v>
      </c>
      <c r="D148" s="15" t="s">
        <v>322</v>
      </c>
      <c r="E148" s="15" t="s">
        <v>259</v>
      </c>
      <c r="F148" s="15"/>
      <c r="G148" s="15"/>
      <c r="H148" s="15"/>
      <c r="I148" s="15" t="s">
        <v>323</v>
      </c>
      <c r="J148" s="19"/>
      <c r="K148" s="18"/>
      <c r="L148" s="18">
        <v>7542.15</v>
      </c>
      <c r="M148" s="18">
        <v>4158.21</v>
      </c>
      <c r="N148" s="18">
        <v>3104.03</v>
      </c>
      <c r="O148" s="18">
        <v>2612.63</v>
      </c>
      <c r="P148" s="19">
        <v>2501.4</v>
      </c>
      <c r="Q148" s="18"/>
      <c r="R148" s="18">
        <v>7542.1452920000002</v>
      </c>
      <c r="S148" s="18">
        <v>4158.2148360000001</v>
      </c>
      <c r="T148" s="18">
        <v>3104.0293999999999</v>
      </c>
      <c r="U148" s="18">
        <v>2612.626886</v>
      </c>
      <c r="V148" s="18">
        <v>2501.4005379999999</v>
      </c>
      <c r="X148" s="15" t="s">
        <v>249</v>
      </c>
      <c r="Y148" s="15" t="s">
        <v>325</v>
      </c>
      <c r="Z148" s="15" t="s">
        <v>341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249</v>
      </c>
      <c r="AS148" s="15" t="s">
        <v>369</v>
      </c>
      <c r="AT148" s="15"/>
      <c r="AU148" s="15"/>
      <c r="AV148" s="15" t="s">
        <v>508</v>
      </c>
      <c r="AW148" s="15"/>
      <c r="AX148" s="15"/>
      <c r="AY148" s="15"/>
      <c r="AZ148" s="18"/>
      <c r="BA148" s="18"/>
      <c r="BB148" s="19">
        <v>0.16800046326453399</v>
      </c>
      <c r="BC148" s="19">
        <v>0.171450404520571</v>
      </c>
      <c r="BD148" s="19">
        <v>0.17424136823332001</v>
      </c>
      <c r="BE148" s="19">
        <v>0.17940981955322499</v>
      </c>
      <c r="BF148" s="19">
        <v>0.18406142574114001</v>
      </c>
      <c r="BG148" s="19">
        <v>0.18819618679706501</v>
      </c>
      <c r="BH148" s="19">
        <v>0.191814102720998</v>
      </c>
      <c r="BI148" s="19">
        <v>0.19497977915444101</v>
      </c>
      <c r="BJ148" s="19">
        <v>0.19788703302188801</v>
      </c>
      <c r="BK148" s="18"/>
      <c r="BL148" s="18"/>
      <c r="BM148" s="19">
        <v>0.169032538387477</v>
      </c>
      <c r="BN148" s="19">
        <v>0.177857669016216</v>
      </c>
      <c r="BO148" s="19">
        <v>0.18643729820725899</v>
      </c>
      <c r="BP148" s="19">
        <v>0.191605749527165</v>
      </c>
      <c r="BQ148" s="19">
        <v>0.193363022975933</v>
      </c>
      <c r="BR148" s="19">
        <v>0.19460345129271001</v>
      </c>
      <c r="BS148" s="19">
        <v>0.195327034477497</v>
      </c>
      <c r="BT148" s="19">
        <v>0.19559837817179199</v>
      </c>
      <c r="BU148" s="19">
        <v>0.195611299300092</v>
      </c>
    </row>
    <row r="149" spans="3:73" x14ac:dyDescent="0.45">
      <c r="C149" s="15" t="s">
        <v>249</v>
      </c>
      <c r="D149" s="15" t="s">
        <v>322</v>
      </c>
      <c r="E149" s="15" t="s">
        <v>260</v>
      </c>
      <c r="F149" s="15"/>
      <c r="G149" s="15"/>
      <c r="H149" s="15"/>
      <c r="I149" s="15" t="s">
        <v>323</v>
      </c>
      <c r="J149" s="19"/>
      <c r="K149" s="18"/>
      <c r="L149" s="18">
        <v>965.29</v>
      </c>
      <c r="M149" s="18"/>
      <c r="N149" s="18"/>
      <c r="O149" s="18"/>
      <c r="P149" s="19"/>
      <c r="Q149" s="18"/>
      <c r="R149" s="18">
        <v>965.29408179999996</v>
      </c>
      <c r="S149" s="18"/>
      <c r="T149" s="18"/>
      <c r="U149" s="18"/>
      <c r="V149" s="18"/>
      <c r="X149" s="15" t="s">
        <v>249</v>
      </c>
      <c r="Y149" s="15" t="s">
        <v>325</v>
      </c>
      <c r="Z149" s="15" t="s">
        <v>342</v>
      </c>
      <c r="AA149" s="15"/>
      <c r="AB149" s="15"/>
      <c r="AC149" s="15"/>
      <c r="AD149" s="15"/>
      <c r="AE149" s="19">
        <v>2023</v>
      </c>
      <c r="AF149" s="18"/>
      <c r="AG149" s="18"/>
      <c r="AH149" s="18"/>
      <c r="AI149" s="18"/>
      <c r="AJ149" s="18"/>
      <c r="AK149" s="19">
        <v>2023</v>
      </c>
      <c r="AL149" s="18"/>
      <c r="AM149" s="18"/>
      <c r="AN149" s="18"/>
      <c r="AO149" s="18"/>
      <c r="AP149" s="18"/>
      <c r="AR149" s="15" t="s">
        <v>249</v>
      </c>
      <c r="AS149" s="15" t="s">
        <v>369</v>
      </c>
      <c r="AT149" s="15"/>
      <c r="AU149" s="15"/>
      <c r="AV149" s="15" t="s">
        <v>509</v>
      </c>
      <c r="AW149" s="15"/>
      <c r="AX149" s="15"/>
      <c r="AY149" s="15"/>
      <c r="AZ149" s="18"/>
      <c r="BA149" s="18"/>
      <c r="BB149" s="19">
        <v>2.4751171684414599</v>
      </c>
      <c r="BC149" s="19">
        <v>2.5259444618131801</v>
      </c>
      <c r="BD149" s="19">
        <v>2.5670631710577201</v>
      </c>
      <c r="BE149" s="19">
        <v>2.6432089289179701</v>
      </c>
      <c r="BF149" s="19">
        <v>2.7117401109922099</v>
      </c>
      <c r="BG149" s="19">
        <v>2.7726567172804102</v>
      </c>
      <c r="BH149" s="19">
        <v>2.82595874778259</v>
      </c>
      <c r="BI149" s="19">
        <v>2.872598024472</v>
      </c>
      <c r="BJ149" s="19">
        <v>2.9154300132683901</v>
      </c>
      <c r="BK149" s="18"/>
      <c r="BL149" s="18"/>
      <c r="BM149" s="19">
        <v>2.49032252446418</v>
      </c>
      <c r="BN149" s="19">
        <v>2.6203414060105601</v>
      </c>
      <c r="BO149" s="19">
        <v>2.7467433640585899</v>
      </c>
      <c r="BP149" s="19">
        <v>2.8228891219188501</v>
      </c>
      <c r="BQ149" s="19">
        <v>2.8487786795913399</v>
      </c>
      <c r="BR149" s="19">
        <v>2.8670536614777999</v>
      </c>
      <c r="BS149" s="19">
        <v>2.8777140675782298</v>
      </c>
      <c r="BT149" s="19">
        <v>2.8817117198658999</v>
      </c>
      <c r="BU149" s="19">
        <v>2.8819020842605498</v>
      </c>
    </row>
    <row r="150" spans="3:73" x14ac:dyDescent="0.45">
      <c r="C150" s="15" t="s">
        <v>249</v>
      </c>
      <c r="D150" s="15" t="s">
        <v>322</v>
      </c>
      <c r="E150" s="15" t="s">
        <v>261</v>
      </c>
      <c r="F150" s="15"/>
      <c r="G150" s="15"/>
      <c r="H150" s="15"/>
      <c r="I150" s="15" t="s">
        <v>323</v>
      </c>
      <c r="J150" s="19"/>
      <c r="K150" s="18"/>
      <c r="L150" s="18"/>
      <c r="M150" s="18">
        <v>3039.58</v>
      </c>
      <c r="N150" s="18">
        <v>1245.6600000000001</v>
      </c>
      <c r="O150" s="18">
        <v>1072.05</v>
      </c>
      <c r="P150" s="19">
        <v>1072.05</v>
      </c>
      <c r="Q150" s="18"/>
      <c r="R150" s="18"/>
      <c r="S150" s="18">
        <v>3076.969325</v>
      </c>
      <c r="T150" s="18">
        <v>1595.220724</v>
      </c>
      <c r="U150" s="18">
        <v>1071.7593999999999</v>
      </c>
      <c r="V150" s="18">
        <v>1071.7593999999999</v>
      </c>
      <c r="X150" s="15" t="s">
        <v>249</v>
      </c>
      <c r="Y150" s="15" t="s">
        <v>325</v>
      </c>
      <c r="Z150" s="15" t="s">
        <v>343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249</v>
      </c>
      <c r="AS150" s="15" t="s">
        <v>369</v>
      </c>
      <c r="AT150" s="15"/>
      <c r="AU150" s="15"/>
      <c r="AV150" s="15" t="s">
        <v>510</v>
      </c>
      <c r="AW150" s="15"/>
      <c r="AX150" s="15"/>
      <c r="AY150" s="15"/>
      <c r="AZ150" s="18"/>
      <c r="BA150" s="18"/>
      <c r="BB150" s="19">
        <v>3.8847823682391E-5</v>
      </c>
      <c r="BC150" s="19">
        <v>3.9645575706551202E-5</v>
      </c>
      <c r="BD150" s="19">
        <v>4.02909481305909E-5</v>
      </c>
      <c r="BE150" s="19">
        <v>4.1486082249182897E-5</v>
      </c>
      <c r="BF150" s="19">
        <v>4.25617029559157E-5</v>
      </c>
      <c r="BG150" s="19">
        <v>4.3517810250789399E-5</v>
      </c>
      <c r="BH150" s="19">
        <v>4.4354404133803797E-5</v>
      </c>
      <c r="BI150" s="19">
        <v>4.5086423781441398E-5</v>
      </c>
      <c r="BJ150" s="19">
        <v>4.5758686723149399E-5</v>
      </c>
      <c r="BK150" s="18"/>
      <c r="BL150" s="18"/>
      <c r="BM150" s="19">
        <v>3.9086477026697302E-5</v>
      </c>
      <c r="BN150" s="19">
        <v>4.1127168534193201E-5</v>
      </c>
      <c r="BO150" s="19">
        <v>4.3111091171056003E-5</v>
      </c>
      <c r="BP150" s="19">
        <v>4.4306225289648101E-5</v>
      </c>
      <c r="BQ150" s="19">
        <v>4.4712570889969299E-5</v>
      </c>
      <c r="BR150" s="19">
        <v>4.4999403078431398E-5</v>
      </c>
      <c r="BS150" s="19">
        <v>4.5166721855034298E-5</v>
      </c>
      <c r="BT150" s="19">
        <v>4.5229466396260402E-5</v>
      </c>
      <c r="BU150" s="19">
        <v>4.5232454231556899E-5</v>
      </c>
    </row>
    <row r="151" spans="3:73" x14ac:dyDescent="0.45">
      <c r="C151" s="15" t="s">
        <v>249</v>
      </c>
      <c r="D151" s="15" t="s">
        <v>322</v>
      </c>
      <c r="E151" s="15" t="s">
        <v>262</v>
      </c>
      <c r="F151" s="15"/>
      <c r="G151" s="15"/>
      <c r="H151" s="15"/>
      <c r="I151" s="15" t="s">
        <v>323</v>
      </c>
      <c r="J151" s="19"/>
      <c r="K151" s="18"/>
      <c r="L151" s="18"/>
      <c r="M151" s="18">
        <v>2304.09</v>
      </c>
      <c r="N151" s="18">
        <v>1136.31</v>
      </c>
      <c r="O151" s="18">
        <v>666.85</v>
      </c>
      <c r="P151" s="19">
        <v>634.71</v>
      </c>
      <c r="Q151" s="18"/>
      <c r="R151" s="18"/>
      <c r="S151" s="18">
        <v>2307.2582419999999</v>
      </c>
      <c r="T151" s="18">
        <v>2140.7867959999999</v>
      </c>
      <c r="U151" s="18">
        <v>819.54217649999998</v>
      </c>
      <c r="V151" s="18">
        <v>675.35594379999998</v>
      </c>
      <c r="X151" s="15" t="s">
        <v>249</v>
      </c>
      <c r="Y151" s="15" t="s">
        <v>325</v>
      </c>
      <c r="Z151" s="15" t="s">
        <v>344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249</v>
      </c>
      <c r="AS151" s="15" t="s">
        <v>369</v>
      </c>
      <c r="AT151" s="15"/>
      <c r="AU151" s="15"/>
      <c r="AV151" s="15" t="s">
        <v>511</v>
      </c>
      <c r="AW151" s="15"/>
      <c r="AX151" s="15"/>
      <c r="AY151" s="15"/>
      <c r="AZ151" s="18"/>
      <c r="BA151" s="18"/>
      <c r="BB151" s="19">
        <v>0.15488650758678299</v>
      </c>
      <c r="BC151" s="19">
        <v>0.15806714972397601</v>
      </c>
      <c r="BD151" s="19">
        <v>0.160640253475413</v>
      </c>
      <c r="BE151" s="19">
        <v>0.16540526042251799</v>
      </c>
      <c r="BF151" s="19">
        <v>0.16969376667491401</v>
      </c>
      <c r="BG151" s="19">
        <v>0.173505772232598</v>
      </c>
      <c r="BH151" s="19">
        <v>0.17684127709557201</v>
      </c>
      <c r="BI151" s="19">
        <v>0.17975984385067401</v>
      </c>
      <c r="BJ151" s="19">
        <v>0.182440160258421</v>
      </c>
      <c r="BK151" s="18"/>
      <c r="BL151" s="18"/>
      <c r="BM151" s="19">
        <v>0.15583801991153301</v>
      </c>
      <c r="BN151" s="19">
        <v>0.163974269273716</v>
      </c>
      <c r="BO151" s="19">
        <v>0.171884180805911</v>
      </c>
      <c r="BP151" s="19">
        <v>0.176649187753017</v>
      </c>
      <c r="BQ151" s="19">
        <v>0.17826929011503301</v>
      </c>
      <c r="BR151" s="19">
        <v>0.17941289178233799</v>
      </c>
      <c r="BS151" s="19">
        <v>0.180079992754933</v>
      </c>
      <c r="BT151" s="19">
        <v>0.18033015561965601</v>
      </c>
      <c r="BU151" s="19">
        <v>0.180342068137024</v>
      </c>
    </row>
    <row r="152" spans="3:73" x14ac:dyDescent="0.45">
      <c r="C152" s="15" t="s">
        <v>249</v>
      </c>
      <c r="D152" s="15" t="s">
        <v>322</v>
      </c>
      <c r="E152" s="15" t="s">
        <v>263</v>
      </c>
      <c r="F152" s="15"/>
      <c r="G152" s="15"/>
      <c r="H152" s="15"/>
      <c r="I152" s="15" t="s">
        <v>323</v>
      </c>
      <c r="J152" s="19"/>
      <c r="K152" s="18"/>
      <c r="L152" s="18">
        <v>363.43</v>
      </c>
      <c r="M152" s="18">
        <v>368.42</v>
      </c>
      <c r="N152" s="18">
        <v>375.08</v>
      </c>
      <c r="O152" s="18">
        <v>383.4</v>
      </c>
      <c r="P152" s="19">
        <v>394.6</v>
      </c>
      <c r="Q152" s="18"/>
      <c r="R152" s="18">
        <v>363.43</v>
      </c>
      <c r="S152" s="18">
        <v>368.42</v>
      </c>
      <c r="T152" s="18">
        <v>375.08</v>
      </c>
      <c r="U152" s="18">
        <v>383.4</v>
      </c>
      <c r="V152" s="18">
        <v>394.6</v>
      </c>
      <c r="X152" s="15" t="s">
        <v>249</v>
      </c>
      <c r="Y152" s="15" t="s">
        <v>325</v>
      </c>
      <c r="Z152" s="15" t="s">
        <v>345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249</v>
      </c>
      <c r="AS152" s="15" t="s">
        <v>369</v>
      </c>
      <c r="AT152" s="15"/>
      <c r="AU152" s="15"/>
      <c r="AV152" s="15" t="s">
        <v>512</v>
      </c>
      <c r="AW152" s="15"/>
      <c r="AX152" s="15"/>
      <c r="AY152" s="15"/>
      <c r="AZ152" s="18"/>
      <c r="BA152" s="18"/>
      <c r="BB152" s="19">
        <v>1.9530654204464</v>
      </c>
      <c r="BC152" s="19">
        <v>1.99317222038497</v>
      </c>
      <c r="BD152" s="19">
        <v>2.02561817089707</v>
      </c>
      <c r="BE152" s="19">
        <v>2.0857032644379898</v>
      </c>
      <c r="BF152" s="19">
        <v>2.1397798486248201</v>
      </c>
      <c r="BG152" s="19">
        <v>2.1878479234575599</v>
      </c>
      <c r="BH152" s="19">
        <v>2.22990748893621</v>
      </c>
      <c r="BI152" s="19">
        <v>2.26670960873003</v>
      </c>
      <c r="BJ152" s="19">
        <v>2.3005074738468001</v>
      </c>
      <c r="BK152" s="18"/>
      <c r="BL152" s="18"/>
      <c r="BM152" s="19">
        <v>1.9650636625628499</v>
      </c>
      <c r="BN152" s="19">
        <v>2.0676589597839801</v>
      </c>
      <c r="BO152" s="19">
        <v>2.16740021506192</v>
      </c>
      <c r="BP152" s="19">
        <v>2.2274853086028399</v>
      </c>
      <c r="BQ152" s="19">
        <v>2.24791424040676</v>
      </c>
      <c r="BR152" s="19">
        <v>2.2623346628565799</v>
      </c>
      <c r="BS152" s="19">
        <v>2.2707465759523102</v>
      </c>
      <c r="BT152" s="19">
        <v>2.2739010433632099</v>
      </c>
      <c r="BU152" s="19">
        <v>2.27405125609706</v>
      </c>
    </row>
    <row r="153" spans="3:73" x14ac:dyDescent="0.45">
      <c r="C153" s="15" t="s">
        <v>249</v>
      </c>
      <c r="D153" s="15" t="s">
        <v>322</v>
      </c>
      <c r="E153" s="15" t="s">
        <v>264</v>
      </c>
      <c r="F153" s="15"/>
      <c r="G153" s="15"/>
      <c r="H153" s="15"/>
      <c r="I153" s="15" t="s">
        <v>323</v>
      </c>
      <c r="J153" s="19"/>
      <c r="K153" s="18"/>
      <c r="L153" s="18">
        <v>563.28</v>
      </c>
      <c r="M153" s="18">
        <v>536.36</v>
      </c>
      <c r="N153" s="18">
        <v>378.82</v>
      </c>
      <c r="O153" s="18">
        <v>378.82</v>
      </c>
      <c r="P153" s="19">
        <v>378.82</v>
      </c>
      <c r="Q153" s="18"/>
      <c r="R153" s="18">
        <v>563.28</v>
      </c>
      <c r="S153" s="18">
        <v>549.55999999999995</v>
      </c>
      <c r="T153" s="18">
        <v>413.47</v>
      </c>
      <c r="U153" s="18">
        <v>413.47</v>
      </c>
      <c r="V153" s="18">
        <v>413.47</v>
      </c>
      <c r="X153" s="15" t="s">
        <v>249</v>
      </c>
      <c r="Y153" s="15" t="s">
        <v>325</v>
      </c>
      <c r="Z153" s="15" t="s">
        <v>346</v>
      </c>
      <c r="AA153" s="15"/>
      <c r="AB153" s="15"/>
      <c r="AC153" s="15"/>
      <c r="AD153" s="15"/>
      <c r="AE153" s="19">
        <v>2020</v>
      </c>
      <c r="AF153" s="18"/>
      <c r="AG153" s="18"/>
      <c r="AH153" s="18"/>
      <c r="AI153" s="18"/>
      <c r="AJ153" s="18"/>
      <c r="AK153" s="19">
        <v>2020</v>
      </c>
      <c r="AL153" s="18"/>
      <c r="AM153" s="18"/>
      <c r="AN153" s="18"/>
      <c r="AO153" s="18"/>
      <c r="AP153" s="18"/>
      <c r="AR153" s="15" t="s">
        <v>249</v>
      </c>
      <c r="AS153" s="15" t="s">
        <v>369</v>
      </c>
      <c r="AT153" s="15"/>
      <c r="AU153" s="15"/>
      <c r="AV153" s="15" t="s">
        <v>513</v>
      </c>
      <c r="AW153" s="15"/>
      <c r="AX153" s="15"/>
      <c r="AY153" s="15"/>
      <c r="AZ153" s="18"/>
      <c r="BA153" s="18"/>
      <c r="BB153" s="19">
        <v>5.3766386980746503</v>
      </c>
      <c r="BC153" s="19">
        <v>5.4870496297045497</v>
      </c>
      <c r="BD153" s="19">
        <v>5.5763708328208796</v>
      </c>
      <c r="BE153" s="19">
        <v>5.7417804682214797</v>
      </c>
      <c r="BF153" s="19">
        <v>5.8906491400820302</v>
      </c>
      <c r="BG153" s="19">
        <v>6.0229768484025099</v>
      </c>
      <c r="BH153" s="19">
        <v>6.1387635931829401</v>
      </c>
      <c r="BI153" s="19">
        <v>6.2400769948658104</v>
      </c>
      <c r="BJ153" s="19">
        <v>6.3331199147786501</v>
      </c>
      <c r="BK153" s="18"/>
      <c r="BL153" s="18"/>
      <c r="BM153" s="19">
        <v>5.4096689346437099</v>
      </c>
      <c r="BN153" s="19">
        <v>5.6921058870902401</v>
      </c>
      <c r="BO153" s="19">
        <v>5.9666858818552404</v>
      </c>
      <c r="BP153" s="19">
        <v>6.1320955172558502</v>
      </c>
      <c r="BQ153" s="19">
        <v>6.1883347932920501</v>
      </c>
      <c r="BR153" s="19">
        <v>6.2280331057882004</v>
      </c>
      <c r="BS153" s="19">
        <v>6.2511904547442798</v>
      </c>
      <c r="BT153" s="19">
        <v>6.2598744606028101</v>
      </c>
      <c r="BU153" s="19">
        <v>6.2602879846913204</v>
      </c>
    </row>
    <row r="154" spans="3:73" x14ac:dyDescent="0.45">
      <c r="C154" s="15" t="s">
        <v>249</v>
      </c>
      <c r="D154" s="15" t="s">
        <v>322</v>
      </c>
      <c r="E154" s="15" t="s">
        <v>265</v>
      </c>
      <c r="F154" s="15"/>
      <c r="G154" s="15"/>
      <c r="H154" s="15"/>
      <c r="I154" s="15" t="s">
        <v>323</v>
      </c>
      <c r="J154" s="19"/>
      <c r="K154" s="18"/>
      <c r="L154" s="18">
        <v>748.66</v>
      </c>
      <c r="M154" s="18">
        <v>644.29999999999995</v>
      </c>
      <c r="N154" s="18">
        <v>537.66999999999996</v>
      </c>
      <c r="O154" s="18">
        <v>431.38</v>
      </c>
      <c r="P154" s="19">
        <v>408.55</v>
      </c>
      <c r="Q154" s="18"/>
      <c r="R154" s="18">
        <v>748.66</v>
      </c>
      <c r="S154" s="18">
        <v>644.29999999999995</v>
      </c>
      <c r="T154" s="18">
        <v>431.38</v>
      </c>
      <c r="U154" s="18">
        <v>431.38</v>
      </c>
      <c r="V154" s="18">
        <v>408.55</v>
      </c>
      <c r="X154" s="15" t="s">
        <v>249</v>
      </c>
      <c r="Y154" s="15" t="s">
        <v>325</v>
      </c>
      <c r="Z154" s="15" t="s">
        <v>347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249</v>
      </c>
      <c r="AS154" s="15" t="s">
        <v>369</v>
      </c>
      <c r="AT154" s="15"/>
      <c r="AU154" s="15"/>
      <c r="AV154" s="15" t="s">
        <v>514</v>
      </c>
      <c r="AW154" s="15"/>
      <c r="AX154" s="15"/>
      <c r="AY154" s="15"/>
      <c r="AZ154" s="18"/>
      <c r="BA154" s="18"/>
      <c r="BB154" s="19">
        <v>1.10936864777249</v>
      </c>
      <c r="BC154" s="19">
        <v>1.1321498746318299</v>
      </c>
      <c r="BD154" s="19">
        <v>1.1505796311922001</v>
      </c>
      <c r="BE154" s="19">
        <v>1.1847088100076999</v>
      </c>
      <c r="BF154" s="19">
        <v>1.2154250709416401</v>
      </c>
      <c r="BG154" s="19">
        <v>1.24272841399404</v>
      </c>
      <c r="BH154" s="19">
        <v>1.26661883916489</v>
      </c>
      <c r="BI154" s="19">
        <v>1.2875229611893799</v>
      </c>
      <c r="BJ154" s="19">
        <v>1.3067206242731</v>
      </c>
      <c r="BK154" s="18"/>
      <c r="BL154" s="18"/>
      <c r="BM154" s="19">
        <v>1.1161838181672099</v>
      </c>
      <c r="BN154" s="19">
        <v>1.1744593909946699</v>
      </c>
      <c r="BO154" s="19">
        <v>1.23111382782839</v>
      </c>
      <c r="BP154" s="19">
        <v>1.26524300664389</v>
      </c>
      <c r="BQ154" s="19">
        <v>1.27684692744116</v>
      </c>
      <c r="BR154" s="19">
        <v>1.28503793035688</v>
      </c>
      <c r="BS154" s="19">
        <v>1.2898160153910501</v>
      </c>
      <c r="BT154" s="19">
        <v>1.29160779727886</v>
      </c>
      <c r="BU154" s="19">
        <v>1.2916931202259001</v>
      </c>
    </row>
    <row r="155" spans="3:73" x14ac:dyDescent="0.45">
      <c r="C155" s="15" t="s">
        <v>249</v>
      </c>
      <c r="D155" s="15" t="s">
        <v>322</v>
      </c>
      <c r="E155" s="15" t="s">
        <v>266</v>
      </c>
      <c r="F155" s="15"/>
      <c r="G155" s="15"/>
      <c r="H155" s="15"/>
      <c r="I155" s="15" t="s">
        <v>323</v>
      </c>
      <c r="J155" s="19"/>
      <c r="K155" s="18"/>
      <c r="L155" s="18">
        <v>410.61</v>
      </c>
      <c r="M155" s="18"/>
      <c r="N155" s="18"/>
      <c r="O155" s="18"/>
      <c r="P155" s="19"/>
      <c r="Q155" s="18"/>
      <c r="R155" s="18">
        <v>410.6135299</v>
      </c>
      <c r="S155" s="18"/>
      <c r="T155" s="18"/>
      <c r="U155" s="18"/>
      <c r="V155" s="18"/>
      <c r="X155" s="15" t="s">
        <v>249</v>
      </c>
      <c r="Y155" s="15" t="s">
        <v>325</v>
      </c>
      <c r="Z155" s="15" t="s">
        <v>348</v>
      </c>
      <c r="AA155" s="15"/>
      <c r="AB155" s="15"/>
      <c r="AC155" s="15"/>
      <c r="AD155" s="15"/>
      <c r="AE155" s="19">
        <v>2023</v>
      </c>
      <c r="AF155" s="18"/>
      <c r="AG155" s="18"/>
      <c r="AH155" s="18"/>
      <c r="AI155" s="18"/>
      <c r="AJ155" s="18"/>
      <c r="AK155" s="19">
        <v>2023</v>
      </c>
      <c r="AL155" s="18"/>
      <c r="AM155" s="18"/>
      <c r="AN155" s="18"/>
      <c r="AO155" s="18"/>
      <c r="AP155" s="18"/>
      <c r="AR155" s="15" t="s">
        <v>249</v>
      </c>
      <c r="AS155" s="15" t="s">
        <v>369</v>
      </c>
      <c r="AT155" s="15"/>
      <c r="AU155" s="15"/>
      <c r="AV155" s="15" t="s">
        <v>515</v>
      </c>
      <c r="AW155" s="15"/>
      <c r="AX155" s="15"/>
      <c r="AY155" s="15"/>
      <c r="AZ155" s="18"/>
      <c r="BA155" s="18"/>
      <c r="BB155" s="19">
        <v>18.6556727564036</v>
      </c>
      <c r="BC155" s="19">
        <v>19.0387727422655</v>
      </c>
      <c r="BD155" s="19">
        <v>19.348696326333599</v>
      </c>
      <c r="BE155" s="19">
        <v>19.922628889422601</v>
      </c>
      <c r="BF155" s="19">
        <v>20.4391681962028</v>
      </c>
      <c r="BG155" s="19">
        <v>20.898314246674001</v>
      </c>
      <c r="BH155" s="19">
        <v>21.3000670408363</v>
      </c>
      <c r="BI155" s="19">
        <v>21.651600735728401</v>
      </c>
      <c r="BJ155" s="19">
        <v>21.974437802465999</v>
      </c>
      <c r="BK155" s="18"/>
      <c r="BL155" s="18"/>
      <c r="BM155" s="19">
        <v>18.770279915095401</v>
      </c>
      <c r="BN155" s="19">
        <v>19.7502697665699</v>
      </c>
      <c r="BO155" s="19">
        <v>20.7029978212977</v>
      </c>
      <c r="BP155" s="19">
        <v>21.276930384386802</v>
      </c>
      <c r="BQ155" s="19">
        <v>21.472067455837099</v>
      </c>
      <c r="BR155" s="19">
        <v>21.609811270978401</v>
      </c>
      <c r="BS155" s="19">
        <v>21.690161829810901</v>
      </c>
      <c r="BT155" s="19">
        <v>21.7202932893731</v>
      </c>
      <c r="BU155" s="19">
        <v>21.721728120780799</v>
      </c>
    </row>
    <row r="156" spans="3:73" x14ac:dyDescent="0.45">
      <c r="C156" s="15" t="s">
        <v>249</v>
      </c>
      <c r="D156" s="15" t="s">
        <v>322</v>
      </c>
      <c r="E156" s="15" t="s">
        <v>267</v>
      </c>
      <c r="F156" s="15"/>
      <c r="G156" s="15"/>
      <c r="H156" s="15"/>
      <c r="I156" s="15" t="s">
        <v>323</v>
      </c>
      <c r="J156" s="19"/>
      <c r="K156" s="18"/>
      <c r="L156" s="18">
        <v>643.41</v>
      </c>
      <c r="M156" s="18"/>
      <c r="N156" s="18"/>
      <c r="O156" s="18"/>
      <c r="P156" s="19"/>
      <c r="Q156" s="18"/>
      <c r="R156" s="18">
        <v>643.41352989999996</v>
      </c>
      <c r="S156" s="18"/>
      <c r="T156" s="18"/>
      <c r="U156" s="18"/>
      <c r="V156" s="18"/>
      <c r="X156" s="15" t="s">
        <v>249</v>
      </c>
      <c r="Y156" s="15" t="s">
        <v>325</v>
      </c>
      <c r="Z156" s="15" t="s">
        <v>349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249</v>
      </c>
      <c r="AS156" s="15" t="s">
        <v>369</v>
      </c>
      <c r="AT156" s="15"/>
      <c r="AU156" s="15"/>
      <c r="AV156" s="15" t="s">
        <v>516</v>
      </c>
      <c r="AW156" s="15"/>
      <c r="AX156" s="15"/>
      <c r="AY156" s="15"/>
      <c r="AZ156" s="18"/>
      <c r="BA156" s="18"/>
      <c r="BB156" s="19">
        <v>8.7480000000000002E-2</v>
      </c>
      <c r="BC156" s="19">
        <v>8.7480000000000002E-2</v>
      </c>
      <c r="BD156" s="19">
        <v>8.7480000000000002E-2</v>
      </c>
      <c r="BE156" s="19">
        <v>8.7480000000000002E-2</v>
      </c>
      <c r="BF156" s="19">
        <v>8.7480000000000002E-2</v>
      </c>
      <c r="BG156" s="19">
        <v>8.7480000000000002E-2</v>
      </c>
      <c r="BH156" s="19">
        <v>8.7480000000000002E-2</v>
      </c>
      <c r="BI156" s="19">
        <v>8.7480000000000002E-2</v>
      </c>
      <c r="BJ156" s="19">
        <v>8.7480000000000002E-2</v>
      </c>
      <c r="BK156" s="18"/>
      <c r="BL156" s="18"/>
      <c r="BM156" s="19">
        <v>8.7480000000000002E-2</v>
      </c>
      <c r="BN156" s="19">
        <v>8.7480000000000002E-2</v>
      </c>
      <c r="BO156" s="19">
        <v>8.7480000000000002E-2</v>
      </c>
      <c r="BP156" s="19">
        <v>8.7480000000000002E-2</v>
      </c>
      <c r="BQ156" s="19">
        <v>8.7480000000000002E-2</v>
      </c>
      <c r="BR156" s="19">
        <v>8.7480000000000002E-2</v>
      </c>
      <c r="BS156" s="19">
        <v>8.7480000000000002E-2</v>
      </c>
      <c r="BT156" s="19">
        <v>8.7480000000000002E-2</v>
      </c>
      <c r="BU156" s="19">
        <v>8.7480000000000002E-2</v>
      </c>
    </row>
    <row r="157" spans="3:73" x14ac:dyDescent="0.45">
      <c r="C157" s="15" t="s">
        <v>249</v>
      </c>
      <c r="D157" s="15" t="s">
        <v>322</v>
      </c>
      <c r="E157" s="15" t="s">
        <v>268</v>
      </c>
      <c r="F157" s="15"/>
      <c r="G157" s="15"/>
      <c r="H157" s="15"/>
      <c r="I157" s="15" t="s">
        <v>323</v>
      </c>
      <c r="J157" s="19"/>
      <c r="K157" s="18"/>
      <c r="L157" s="18">
        <v>886.91</v>
      </c>
      <c r="M157" s="18"/>
      <c r="N157" s="18"/>
      <c r="O157" s="18"/>
      <c r="P157" s="19"/>
      <c r="Q157" s="18"/>
      <c r="R157" s="18">
        <v>886.90625</v>
      </c>
      <c r="S157" s="18"/>
      <c r="T157" s="18"/>
      <c r="U157" s="18"/>
      <c r="V157" s="18"/>
      <c r="X157" s="15" t="s">
        <v>249</v>
      </c>
      <c r="Y157" s="15" t="s">
        <v>325</v>
      </c>
      <c r="Z157" s="15" t="s">
        <v>350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249</v>
      </c>
      <c r="AS157" s="15" t="s">
        <v>369</v>
      </c>
      <c r="AT157" s="15"/>
      <c r="AU157" s="15"/>
      <c r="AV157" s="15" t="s">
        <v>517</v>
      </c>
      <c r="AW157" s="15"/>
      <c r="AX157" s="15"/>
      <c r="AY157" s="15"/>
      <c r="AZ157" s="18"/>
      <c r="BA157" s="18"/>
      <c r="BB157" s="19">
        <v>14.509994148445999</v>
      </c>
      <c r="BC157" s="19">
        <v>14.807961347255199</v>
      </c>
      <c r="BD157" s="19">
        <v>15.049013463145799</v>
      </c>
      <c r="BE157" s="19">
        <v>15.4954062703506</v>
      </c>
      <c r="BF157" s="19">
        <v>15.897159796834901</v>
      </c>
      <c r="BG157" s="19">
        <v>16.254274042598698</v>
      </c>
      <c r="BH157" s="19">
        <v>16.566749007641999</v>
      </c>
      <c r="BI157" s="19">
        <v>16.840164602054902</v>
      </c>
      <c r="BJ157" s="19">
        <v>17.091260556107599</v>
      </c>
      <c r="BK157" s="18"/>
      <c r="BL157" s="18"/>
      <c r="BM157" s="19">
        <v>14.599133212134699</v>
      </c>
      <c r="BN157" s="19">
        <v>15.3613489304369</v>
      </c>
      <c r="BO157" s="19">
        <v>16.1023609903968</v>
      </c>
      <c r="BP157" s="19">
        <v>16.548753797601599</v>
      </c>
      <c r="BQ157" s="19">
        <v>16.7005273520512</v>
      </c>
      <c r="BR157" s="19">
        <v>16.807661625780302</v>
      </c>
      <c r="BS157" s="19">
        <v>16.870156618789</v>
      </c>
      <c r="BT157" s="19">
        <v>16.893592241167301</v>
      </c>
      <c r="BU157" s="19">
        <v>16.894708223185301</v>
      </c>
    </row>
    <row r="158" spans="3:73" x14ac:dyDescent="0.45">
      <c r="C158" s="15" t="s">
        <v>249</v>
      </c>
      <c r="D158" s="15" t="s">
        <v>322</v>
      </c>
      <c r="E158" s="15" t="s">
        <v>269</v>
      </c>
      <c r="F158" s="15"/>
      <c r="G158" s="15"/>
      <c r="H158" s="15"/>
      <c r="I158" s="15" t="s">
        <v>323</v>
      </c>
      <c r="J158" s="19"/>
      <c r="K158" s="18"/>
      <c r="L158" s="18">
        <v>545.78</v>
      </c>
      <c r="M158" s="18"/>
      <c r="N158" s="18"/>
      <c r="O158" s="18"/>
      <c r="P158" s="19"/>
      <c r="Q158" s="18"/>
      <c r="R158" s="18">
        <v>545.78192360000003</v>
      </c>
      <c r="S158" s="18"/>
      <c r="T158" s="18"/>
      <c r="U158" s="18"/>
      <c r="V158" s="18"/>
      <c r="X158" s="15" t="s">
        <v>249</v>
      </c>
      <c r="Y158" s="15" t="s">
        <v>325</v>
      </c>
      <c r="Z158" s="15" t="s">
        <v>351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249</v>
      </c>
      <c r="AS158" s="15" t="s">
        <v>369</v>
      </c>
      <c r="AT158" s="15"/>
      <c r="AU158" s="15"/>
      <c r="AV158" s="15" t="s">
        <v>518</v>
      </c>
      <c r="AW158" s="15"/>
      <c r="AX158" s="15"/>
      <c r="AY158" s="15"/>
      <c r="AZ158" s="18"/>
      <c r="BA158" s="18"/>
      <c r="BB158" s="19">
        <v>3.6790501172143997E-2</v>
      </c>
      <c r="BC158" s="19">
        <v>3.8592212639831598E-2</v>
      </c>
      <c r="BD158" s="19">
        <v>4.0049776973241698E-2</v>
      </c>
      <c r="BE158" s="19">
        <v>4.2748970183260501E-2</v>
      </c>
      <c r="BF158" s="19">
        <v>4.5178244072277399E-2</v>
      </c>
      <c r="BG158" s="19">
        <v>4.7337598640292397E-2</v>
      </c>
      <c r="BH158" s="19">
        <v>4.92270338873056E-2</v>
      </c>
      <c r="BI158" s="19">
        <v>5.08802897284421E-2</v>
      </c>
      <c r="BJ158" s="19">
        <v>5.23985859090777E-2</v>
      </c>
      <c r="BK158" s="18"/>
      <c r="BL158" s="18"/>
      <c r="BM158" s="19">
        <v>3.7329496316269702E-2</v>
      </c>
      <c r="BN158" s="19">
        <v>4.1938368722376697E-2</v>
      </c>
      <c r="BO158" s="19">
        <v>4.6419029451007898E-2</v>
      </c>
      <c r="BP158" s="19">
        <v>4.9118222661026702E-2</v>
      </c>
      <c r="BQ158" s="19">
        <v>5.00359483524331E-2</v>
      </c>
      <c r="BR158" s="19">
        <v>5.06837547228376E-2</v>
      </c>
      <c r="BS158" s="19">
        <v>5.10616417722402E-2</v>
      </c>
      <c r="BT158" s="19">
        <v>5.1203349415766201E-2</v>
      </c>
      <c r="BU158" s="19">
        <v>5.1210097398791302E-2</v>
      </c>
    </row>
    <row r="159" spans="3:73" x14ac:dyDescent="0.45">
      <c r="C159" s="15" t="s">
        <v>249</v>
      </c>
      <c r="D159" s="15" t="s">
        <v>322</v>
      </c>
      <c r="E159" s="15" t="s">
        <v>270</v>
      </c>
      <c r="F159" s="15"/>
      <c r="G159" s="15"/>
      <c r="H159" s="15"/>
      <c r="I159" s="15" t="s">
        <v>323</v>
      </c>
      <c r="J159" s="19"/>
      <c r="K159" s="18"/>
      <c r="L159" s="18">
        <v>684.45</v>
      </c>
      <c r="M159" s="18"/>
      <c r="N159" s="18"/>
      <c r="O159" s="18"/>
      <c r="P159" s="19"/>
      <c r="Q159" s="18"/>
      <c r="R159" s="18">
        <v>684.44859020000001</v>
      </c>
      <c r="S159" s="18"/>
      <c r="T159" s="18"/>
      <c r="U159" s="18"/>
      <c r="V159" s="18"/>
      <c r="X159" s="15" t="s">
        <v>249</v>
      </c>
      <c r="Y159" s="15" t="s">
        <v>325</v>
      </c>
      <c r="Z159" s="15" t="s">
        <v>352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249</v>
      </c>
      <c r="AS159" s="15" t="s">
        <v>369</v>
      </c>
      <c r="AT159" s="15"/>
      <c r="AU159" s="15"/>
      <c r="AV159" s="15" t="s">
        <v>519</v>
      </c>
      <c r="AW159" s="15"/>
      <c r="AX159" s="15"/>
      <c r="AY159" s="15"/>
      <c r="AZ159" s="18"/>
      <c r="BA159" s="18"/>
      <c r="BB159" s="19">
        <v>0.43425455968168197</v>
      </c>
      <c r="BC159" s="19">
        <v>0.455520957125228</v>
      </c>
      <c r="BD159" s="19">
        <v>0.47272523370877201</v>
      </c>
      <c r="BE159" s="19">
        <v>0.504585005159778</v>
      </c>
      <c r="BF159" s="19">
        <v>0.533258799465684</v>
      </c>
      <c r="BG159" s="19">
        <v>0.55874661662648895</v>
      </c>
      <c r="BH159" s="19">
        <v>0.58104845664219296</v>
      </c>
      <c r="BI159" s="19">
        <v>0.60056256665593499</v>
      </c>
      <c r="BJ159" s="19">
        <v>0.61848368809712595</v>
      </c>
      <c r="BK159" s="18"/>
      <c r="BL159" s="18"/>
      <c r="BM159" s="19">
        <v>0.440616557793304</v>
      </c>
      <c r="BN159" s="19">
        <v>0.495017117545898</v>
      </c>
      <c r="BO159" s="19">
        <v>0.54790433815456796</v>
      </c>
      <c r="BP159" s="19">
        <v>0.57976410960557501</v>
      </c>
      <c r="BQ159" s="19">
        <v>0.59059643189891697</v>
      </c>
      <c r="BR159" s="19">
        <v>0.598242777047158</v>
      </c>
      <c r="BS159" s="19">
        <v>0.60270314505029898</v>
      </c>
      <c r="BT159" s="19">
        <v>0.60437578305147699</v>
      </c>
      <c r="BU159" s="19">
        <v>0.60445543248010503</v>
      </c>
    </row>
    <row r="160" spans="3:73" x14ac:dyDescent="0.45">
      <c r="C160" s="15" t="s">
        <v>249</v>
      </c>
      <c r="D160" s="15" t="s">
        <v>322</v>
      </c>
      <c r="E160" s="15" t="s">
        <v>271</v>
      </c>
      <c r="F160" s="15"/>
      <c r="G160" s="15"/>
      <c r="H160" s="15"/>
      <c r="I160" s="15" t="s">
        <v>323</v>
      </c>
      <c r="J160" s="19"/>
      <c r="K160" s="18"/>
      <c r="L160" s="18">
        <v>466.67</v>
      </c>
      <c r="M160" s="18"/>
      <c r="N160" s="18"/>
      <c r="O160" s="18"/>
      <c r="P160" s="19"/>
      <c r="Q160" s="18"/>
      <c r="R160" s="18">
        <v>466.66521740000002</v>
      </c>
      <c r="S160" s="18"/>
      <c r="T160" s="18"/>
      <c r="U160" s="18"/>
      <c r="V160" s="18"/>
      <c r="X160" s="15" t="s">
        <v>249</v>
      </c>
      <c r="Y160" s="15" t="s">
        <v>325</v>
      </c>
      <c r="Z160" s="15" t="s">
        <v>353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249</v>
      </c>
      <c r="AS160" s="15" t="s">
        <v>369</v>
      </c>
      <c r="AT160" s="15"/>
      <c r="AU160" s="15"/>
      <c r="AV160" s="15" t="s">
        <v>520</v>
      </c>
      <c r="AW160" s="15"/>
      <c r="AX160" s="15"/>
      <c r="AY160" s="15"/>
      <c r="AZ160" s="18"/>
      <c r="BA160" s="18"/>
      <c r="BB160" s="19">
        <v>0.11907731902428099</v>
      </c>
      <c r="BC160" s="19">
        <v>0.124908796291298</v>
      </c>
      <c r="BD160" s="19">
        <v>0.12962639587809899</v>
      </c>
      <c r="BE160" s="19">
        <v>0.13836269140921101</v>
      </c>
      <c r="BF160" s="19">
        <v>0.14622535738721201</v>
      </c>
      <c r="BG160" s="19">
        <v>0.153214393812102</v>
      </c>
      <c r="BH160" s="19">
        <v>0.15932980068388</v>
      </c>
      <c r="BI160" s="19">
        <v>0.16468078169668701</v>
      </c>
      <c r="BJ160" s="19">
        <v>0.169594947932937</v>
      </c>
      <c r="BK160" s="18"/>
      <c r="BL160" s="18"/>
      <c r="BM160" s="19">
        <v>0.12082184803815001</v>
      </c>
      <c r="BN160" s="19">
        <v>0.135739072657524</v>
      </c>
      <c r="BO160" s="19">
        <v>0.15024132323917</v>
      </c>
      <c r="BP160" s="19">
        <v>0.15897761877028199</v>
      </c>
      <c r="BQ160" s="19">
        <v>0.161947959250861</v>
      </c>
      <c r="BR160" s="19">
        <v>0.16404467017832799</v>
      </c>
      <c r="BS160" s="19">
        <v>0.165267751552683</v>
      </c>
      <c r="BT160" s="19">
        <v>0.16572640706806699</v>
      </c>
      <c r="BU160" s="19">
        <v>0.16574824780689401</v>
      </c>
    </row>
    <row r="161" spans="3:73" x14ac:dyDescent="0.45">
      <c r="C161" s="15" t="s">
        <v>249</v>
      </c>
      <c r="D161" s="15" t="s">
        <v>322</v>
      </c>
      <c r="E161" s="15" t="s">
        <v>272</v>
      </c>
      <c r="F161" s="15"/>
      <c r="G161" s="15"/>
      <c r="H161" s="15"/>
      <c r="I161" s="15" t="s">
        <v>323</v>
      </c>
      <c r="J161" s="19"/>
      <c r="K161" s="18"/>
      <c r="L161" s="18">
        <v>435.73</v>
      </c>
      <c r="M161" s="18"/>
      <c r="N161" s="18"/>
      <c r="O161" s="18"/>
      <c r="P161" s="19"/>
      <c r="Q161" s="18"/>
      <c r="R161" s="18">
        <v>435.7348447</v>
      </c>
      <c r="S161" s="18"/>
      <c r="T161" s="18"/>
      <c r="U161" s="18"/>
      <c r="V161" s="18"/>
      <c r="X161" s="15" t="s">
        <v>249</v>
      </c>
      <c r="Y161" s="15" t="s">
        <v>325</v>
      </c>
      <c r="Z161" s="15" t="s">
        <v>354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249</v>
      </c>
      <c r="AS161" s="15" t="s">
        <v>369</v>
      </c>
      <c r="AT161" s="15"/>
      <c r="AU161" s="15"/>
      <c r="AV161" s="15" t="s">
        <v>521</v>
      </c>
      <c r="AW161" s="15"/>
      <c r="AX161" s="15"/>
      <c r="AY161" s="15"/>
      <c r="AZ161" s="18"/>
      <c r="BA161" s="18"/>
      <c r="BB161" s="19">
        <v>3.95471851742299E-2</v>
      </c>
      <c r="BC161" s="19">
        <v>4.1483897498690497E-2</v>
      </c>
      <c r="BD161" s="19">
        <v>4.3050676008366401E-2</v>
      </c>
      <c r="BE161" s="19">
        <v>4.59521176929516E-2</v>
      </c>
      <c r="BF161" s="19">
        <v>4.8563415209078198E-2</v>
      </c>
      <c r="BG161" s="19">
        <v>5.08845685567463E-2</v>
      </c>
      <c r="BH161" s="19">
        <v>5.2915577735955899E-2</v>
      </c>
      <c r="BI161" s="19">
        <v>5.4692710767764302E-2</v>
      </c>
      <c r="BJ161" s="19">
        <v>5.6324771715343398E-2</v>
      </c>
      <c r="BK161" s="18"/>
      <c r="BL161" s="18"/>
      <c r="BM161" s="19">
        <v>4.0126566810620497E-2</v>
      </c>
      <c r="BN161" s="19">
        <v>4.5080778487049597E-2</v>
      </c>
      <c r="BO161" s="19">
        <v>4.9897171683460903E-2</v>
      </c>
      <c r="BP161" s="19">
        <v>5.2798613368045998E-2</v>
      </c>
      <c r="BQ161" s="19">
        <v>5.3785103540804999E-2</v>
      </c>
      <c r="BR161" s="19">
        <v>5.44814495451054E-2</v>
      </c>
      <c r="BS161" s="19">
        <v>5.4887651380947297E-2</v>
      </c>
      <c r="BT161" s="19">
        <v>5.5039977069388103E-2</v>
      </c>
      <c r="BU161" s="19">
        <v>5.5047230673599498E-2</v>
      </c>
    </row>
    <row r="162" spans="3:73" x14ac:dyDescent="0.45">
      <c r="C162" s="15" t="s">
        <v>249</v>
      </c>
      <c r="D162" s="15" t="s">
        <v>322</v>
      </c>
      <c r="E162" s="15" t="s">
        <v>273</v>
      </c>
      <c r="F162" s="15"/>
      <c r="G162" s="15"/>
      <c r="H162" s="15"/>
      <c r="I162" s="15" t="s">
        <v>323</v>
      </c>
      <c r="J162" s="19"/>
      <c r="K162" s="18"/>
      <c r="L162" s="18">
        <v>986.67560319999995</v>
      </c>
      <c r="M162" s="18"/>
      <c r="N162" s="18"/>
      <c r="O162" s="18"/>
      <c r="P162" s="19"/>
      <c r="Q162" s="18"/>
      <c r="R162" s="18">
        <v>986.67560319999995</v>
      </c>
      <c r="S162" s="18"/>
      <c r="T162" s="18"/>
      <c r="U162" s="18"/>
      <c r="V162" s="18"/>
      <c r="X162" s="15" t="s">
        <v>249</v>
      </c>
      <c r="Y162" s="15" t="s">
        <v>325</v>
      </c>
      <c r="Z162" s="15" t="s">
        <v>355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249</v>
      </c>
      <c r="AS162" s="15" t="s">
        <v>369</v>
      </c>
      <c r="AT162" s="15"/>
      <c r="AU162" s="15"/>
      <c r="AV162" s="15" t="s">
        <v>522</v>
      </c>
      <c r="AW162" s="15"/>
      <c r="AX162" s="15"/>
      <c r="AY162" s="15"/>
      <c r="AZ162" s="18"/>
      <c r="BA162" s="18"/>
      <c r="BB162" s="19">
        <v>0.11359740596696399</v>
      </c>
      <c r="BC162" s="19">
        <v>0.119160519882498</v>
      </c>
      <c r="BD162" s="19">
        <v>0.123661016533267</v>
      </c>
      <c r="BE162" s="19">
        <v>0.13199526959024799</v>
      </c>
      <c r="BF162" s="19">
        <v>0.13949609734153001</v>
      </c>
      <c r="BG162" s="19">
        <v>0.14616349978711399</v>
      </c>
      <c r="BH162" s="19">
        <v>0.151997476927</v>
      </c>
      <c r="BI162" s="19">
        <v>0.15710220692440099</v>
      </c>
      <c r="BJ162" s="19">
        <v>0.16179022426895201</v>
      </c>
      <c r="BK162" s="18"/>
      <c r="BL162" s="18"/>
      <c r="BM162" s="19">
        <v>0.11526165212428</v>
      </c>
      <c r="BN162" s="19">
        <v>0.129492389219073</v>
      </c>
      <c r="BO162" s="19">
        <v>0.14332724929366</v>
      </c>
      <c r="BP162" s="19">
        <v>0.15166150235064099</v>
      </c>
      <c r="BQ162" s="19">
        <v>0.15449514839001399</v>
      </c>
      <c r="BR162" s="19">
        <v>0.156495369123689</v>
      </c>
      <c r="BS162" s="19">
        <v>0.15766216455166601</v>
      </c>
      <c r="BT162" s="19">
        <v>0.15809971283715801</v>
      </c>
      <c r="BU162" s="19">
        <v>0.1581205484698</v>
      </c>
    </row>
    <row r="163" spans="3:73" x14ac:dyDescent="0.45">
      <c r="C163" s="15" t="s">
        <v>249</v>
      </c>
      <c r="D163" s="15" t="s">
        <v>322</v>
      </c>
      <c r="E163" s="15" t="s">
        <v>274</v>
      </c>
      <c r="F163" s="15"/>
      <c r="G163" s="15"/>
      <c r="H163" s="15"/>
      <c r="I163" s="15" t="s">
        <v>323</v>
      </c>
      <c r="J163" s="19"/>
      <c r="K163" s="18"/>
      <c r="L163" s="18">
        <v>1480.0134048</v>
      </c>
      <c r="M163" s="18"/>
      <c r="N163" s="18"/>
      <c r="O163" s="18"/>
      <c r="P163" s="19"/>
      <c r="Q163" s="18"/>
      <c r="R163" s="18">
        <v>1480.0134048</v>
      </c>
      <c r="S163" s="18"/>
      <c r="T163" s="18"/>
      <c r="U163" s="18"/>
      <c r="V163" s="18"/>
      <c r="X163" s="15" t="s">
        <v>249</v>
      </c>
      <c r="Y163" s="15" t="s">
        <v>325</v>
      </c>
      <c r="Z163" s="15" t="s">
        <v>356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249</v>
      </c>
      <c r="AS163" s="15" t="s">
        <v>369</v>
      </c>
      <c r="AT163" s="15"/>
      <c r="AU163" s="15"/>
      <c r="AV163" s="15" t="s">
        <v>523</v>
      </c>
      <c r="AW163" s="15"/>
      <c r="AX163" s="15"/>
      <c r="AY163" s="15"/>
      <c r="AZ163" s="18"/>
      <c r="BA163" s="18"/>
      <c r="BB163" s="19">
        <v>9.1447490496752803E-6</v>
      </c>
      <c r="BC163" s="19">
        <v>9.5925874510830708E-6</v>
      </c>
      <c r="BD163" s="19">
        <v>9.9548836859298306E-6</v>
      </c>
      <c r="BE163" s="19">
        <v>1.0625802639349699E-5</v>
      </c>
      <c r="BF163" s="19">
        <v>1.12296296974277E-5</v>
      </c>
      <c r="BG163" s="19">
        <v>1.1766364860163601E-5</v>
      </c>
      <c r="BH163" s="19">
        <v>1.22360081275576E-5</v>
      </c>
      <c r="BI163" s="19">
        <v>1.2646945986527301E-5</v>
      </c>
      <c r="BJ163" s="19">
        <v>1.3024337897826001E-5</v>
      </c>
      <c r="BK163" s="18"/>
      <c r="BL163" s="18"/>
      <c r="BM163" s="19">
        <v>9.2787231781863208E-6</v>
      </c>
      <c r="BN163" s="19">
        <v>1.04243172911508E-5</v>
      </c>
      <c r="BO163" s="19">
        <v>1.15380427538279E-5</v>
      </c>
      <c r="BP163" s="19">
        <v>1.2208961707247801E-5</v>
      </c>
      <c r="BQ163" s="19">
        <v>1.2437074151410601E-5</v>
      </c>
      <c r="BR163" s="19">
        <v>1.25980947002314E-5</v>
      </c>
      <c r="BS163" s="19">
        <v>1.2692023353710201E-5</v>
      </c>
      <c r="BT163" s="19">
        <v>1.27272465987647E-5</v>
      </c>
      <c r="BU163" s="19">
        <v>1.2728923896148301E-5</v>
      </c>
    </row>
    <row r="164" spans="3:73" x14ac:dyDescent="0.45">
      <c r="C164" s="15" t="s">
        <v>249</v>
      </c>
      <c r="D164" s="15" t="s">
        <v>322</v>
      </c>
      <c r="E164" s="15" t="s">
        <v>275</v>
      </c>
      <c r="F164" s="15"/>
      <c r="G164" s="15"/>
      <c r="H164" s="15"/>
      <c r="I164" s="15" t="s">
        <v>323</v>
      </c>
      <c r="J164" s="19"/>
      <c r="K164" s="18"/>
      <c r="L164" s="18">
        <v>1076.086957</v>
      </c>
      <c r="M164" s="18"/>
      <c r="N164" s="18"/>
      <c r="O164" s="18"/>
      <c r="P164" s="19"/>
      <c r="Q164" s="18"/>
      <c r="R164" s="18">
        <v>1076.086957</v>
      </c>
      <c r="S164" s="18"/>
      <c r="T164" s="18"/>
      <c r="U164" s="18"/>
      <c r="V164" s="18"/>
      <c r="X164" s="15" t="s">
        <v>249</v>
      </c>
      <c r="Y164" s="15" t="s">
        <v>325</v>
      </c>
      <c r="Z164" s="15" t="s">
        <v>357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249</v>
      </c>
      <c r="AS164" s="15" t="s">
        <v>369</v>
      </c>
      <c r="AT164" s="15"/>
      <c r="AU164" s="15"/>
      <c r="AV164" s="15" t="s">
        <v>524</v>
      </c>
      <c r="AW164" s="15"/>
      <c r="AX164" s="15"/>
      <c r="AY164" s="15"/>
      <c r="AZ164" s="18"/>
      <c r="BA164" s="18"/>
      <c r="BB164" s="19">
        <v>3.6460169677504498E-2</v>
      </c>
      <c r="BC164" s="19">
        <v>3.82457040879879E-2</v>
      </c>
      <c r="BD164" s="19">
        <v>3.9690181363884601E-2</v>
      </c>
      <c r="BE164" s="19">
        <v>4.2365139282211799E-2</v>
      </c>
      <c r="BF164" s="19">
        <v>4.47726014087063E-2</v>
      </c>
      <c r="BG164" s="19">
        <v>4.6912567743368001E-2</v>
      </c>
      <c r="BH164" s="19">
        <v>4.8785038286197097E-2</v>
      </c>
      <c r="BI164" s="19">
        <v>5.0423450011172502E-2</v>
      </c>
      <c r="BJ164" s="19">
        <v>5.1928113840231598E-2</v>
      </c>
      <c r="BK164" s="18"/>
      <c r="BL164" s="18"/>
      <c r="BM164" s="19">
        <v>3.6994325336820497E-2</v>
      </c>
      <c r="BN164" s="19">
        <v>4.1561815982364199E-2</v>
      </c>
      <c r="BO164" s="19">
        <v>4.60022461267873E-2</v>
      </c>
      <c r="BP164" s="19">
        <v>4.8677204045114497E-2</v>
      </c>
      <c r="BQ164" s="19">
        <v>4.9586689737345799E-2</v>
      </c>
      <c r="BR164" s="19">
        <v>5.02286796377443E-2</v>
      </c>
      <c r="BS164" s="19">
        <v>5.0603173746310098E-2</v>
      </c>
      <c r="BT164" s="19">
        <v>5.0743609037022297E-2</v>
      </c>
      <c r="BU164" s="19">
        <v>5.0750296431818102E-2</v>
      </c>
    </row>
    <row r="165" spans="3:73" x14ac:dyDescent="0.45">
      <c r="C165" s="15" t="s">
        <v>249</v>
      </c>
      <c r="D165" s="15" t="s">
        <v>322</v>
      </c>
      <c r="E165" s="15" t="s">
        <v>276</v>
      </c>
      <c r="F165" s="15"/>
      <c r="G165" s="15"/>
      <c r="H165" s="15"/>
      <c r="I165" s="15" t="s">
        <v>323</v>
      </c>
      <c r="J165" s="19"/>
      <c r="K165" s="18"/>
      <c r="L165" s="18">
        <v>545.78192360000003</v>
      </c>
      <c r="M165" s="18"/>
      <c r="N165" s="18"/>
      <c r="O165" s="18"/>
      <c r="P165" s="19"/>
      <c r="Q165" s="18"/>
      <c r="R165" s="18">
        <v>545.78192360000003</v>
      </c>
      <c r="S165" s="18"/>
      <c r="T165" s="18"/>
      <c r="U165" s="18"/>
      <c r="V165" s="18"/>
      <c r="X165" s="15" t="s">
        <v>249</v>
      </c>
      <c r="Y165" s="15" t="s">
        <v>325</v>
      </c>
      <c r="Z165" s="15" t="s">
        <v>358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249</v>
      </c>
      <c r="AS165" s="15" t="s">
        <v>369</v>
      </c>
      <c r="AT165" s="15"/>
      <c r="AU165" s="15"/>
      <c r="AV165" s="15" t="s">
        <v>525</v>
      </c>
      <c r="AW165" s="15"/>
      <c r="AX165" s="15"/>
      <c r="AY165" s="15"/>
      <c r="AZ165" s="18"/>
      <c r="BA165" s="18"/>
      <c r="BB165" s="19">
        <v>0.45975015984425999</v>
      </c>
      <c r="BC165" s="19">
        <v>0.48226513270061599</v>
      </c>
      <c r="BD165" s="19">
        <v>0.50047949276418602</v>
      </c>
      <c r="BE165" s="19">
        <v>0.53420978917820305</v>
      </c>
      <c r="BF165" s="19">
        <v>0.56456705595081902</v>
      </c>
      <c r="BG165" s="19">
        <v>0.59155129308203303</v>
      </c>
      <c r="BH165" s="19">
        <v>0.61516250057184496</v>
      </c>
      <c r="BI165" s="19">
        <v>0.63582230712543097</v>
      </c>
      <c r="BJ165" s="19">
        <v>0.65479559885831595</v>
      </c>
      <c r="BK165" s="18"/>
      <c r="BL165" s="18"/>
      <c r="BM165" s="19">
        <v>0.466485678409434</v>
      </c>
      <c r="BN165" s="19">
        <v>0.52408015953636899</v>
      </c>
      <c r="BO165" s="19">
        <v>0.58007245158363796</v>
      </c>
      <c r="BP165" s="19">
        <v>0.613802747997655</v>
      </c>
      <c r="BQ165" s="19">
        <v>0.62527104877842099</v>
      </c>
      <c r="BR165" s="19">
        <v>0.63336631991778503</v>
      </c>
      <c r="BS165" s="19">
        <v>0.63808856141574799</v>
      </c>
      <c r="BT165" s="19">
        <v>0.63985940197748403</v>
      </c>
      <c r="BU165" s="19">
        <v>0.63994372771851904</v>
      </c>
    </row>
    <row r="166" spans="3:73" x14ac:dyDescent="0.45">
      <c r="C166" s="15" t="s">
        <v>249</v>
      </c>
      <c r="D166" s="15" t="s">
        <v>322</v>
      </c>
      <c r="E166" s="15" t="s">
        <v>277</v>
      </c>
      <c r="F166" s="15"/>
      <c r="G166" s="15"/>
      <c r="H166" s="15"/>
      <c r="I166" s="15" t="s">
        <v>323</v>
      </c>
      <c r="J166" s="19"/>
      <c r="K166" s="18"/>
      <c r="L166" s="18">
        <v>1076.086957</v>
      </c>
      <c r="M166" s="18"/>
      <c r="N166" s="18"/>
      <c r="O166" s="18"/>
      <c r="P166" s="19"/>
      <c r="Q166" s="18"/>
      <c r="R166" s="18">
        <v>1076.086957</v>
      </c>
      <c r="S166" s="18"/>
      <c r="T166" s="18"/>
      <c r="U166" s="18"/>
      <c r="V166" s="18"/>
      <c r="X166" s="15" t="s">
        <v>249</v>
      </c>
      <c r="Y166" s="15" t="s">
        <v>325</v>
      </c>
      <c r="Z166" s="15" t="s">
        <v>359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249</v>
      </c>
      <c r="AS166" s="15" t="s">
        <v>369</v>
      </c>
      <c r="AT166" s="15"/>
      <c r="AU166" s="15"/>
      <c r="AV166" s="15" t="s">
        <v>526</v>
      </c>
      <c r="AW166" s="15"/>
      <c r="AX166" s="15"/>
      <c r="AY166" s="15"/>
      <c r="AZ166" s="18"/>
      <c r="BA166" s="18"/>
      <c r="BB166" s="19">
        <v>1.26565678496302</v>
      </c>
      <c r="BC166" s="19">
        <v>1.3276387713718201</v>
      </c>
      <c r="BD166" s="19">
        <v>1.3777815019497099</v>
      </c>
      <c r="BE166" s="19">
        <v>1.4706384104273</v>
      </c>
      <c r="BF166" s="19">
        <v>1.55420962805713</v>
      </c>
      <c r="BG166" s="19">
        <v>1.6284951548391999</v>
      </c>
      <c r="BH166" s="19">
        <v>1.69349499077351</v>
      </c>
      <c r="BI166" s="19">
        <v>1.7503698472160401</v>
      </c>
      <c r="BJ166" s="19">
        <v>1.8026018582346801</v>
      </c>
      <c r="BK166" s="18"/>
      <c r="BL166" s="18"/>
      <c r="BM166" s="19">
        <v>1.28419914887464</v>
      </c>
      <c r="BN166" s="19">
        <v>1.44275232010013</v>
      </c>
      <c r="BO166" s="19">
        <v>1.5968947881729201</v>
      </c>
      <c r="BP166" s="19">
        <v>1.6897516966505099</v>
      </c>
      <c r="BQ166" s="19">
        <v>1.7213230455328901</v>
      </c>
      <c r="BR166" s="19">
        <v>1.7436087035675101</v>
      </c>
      <c r="BS166" s="19">
        <v>1.75660867075438</v>
      </c>
      <c r="BT166" s="19">
        <v>1.76148365844945</v>
      </c>
      <c r="BU166" s="19">
        <v>1.7617158007206399</v>
      </c>
    </row>
    <row r="167" spans="3:73" x14ac:dyDescent="0.45">
      <c r="C167" s="15" t="s">
        <v>249</v>
      </c>
      <c r="D167" s="15" t="s">
        <v>322</v>
      </c>
      <c r="E167" s="15" t="s">
        <v>278</v>
      </c>
      <c r="F167" s="15"/>
      <c r="G167" s="15"/>
      <c r="H167" s="15"/>
      <c r="I167" s="15" t="s">
        <v>323</v>
      </c>
      <c r="J167" s="19"/>
      <c r="K167" s="18"/>
      <c r="L167" s="18">
        <v>805.55166150000002</v>
      </c>
      <c r="M167" s="18"/>
      <c r="N167" s="18"/>
      <c r="O167" s="18"/>
      <c r="P167" s="19"/>
      <c r="Q167" s="18"/>
      <c r="R167" s="18">
        <v>805.55166150000002</v>
      </c>
      <c r="S167" s="18"/>
      <c r="T167" s="18"/>
      <c r="U167" s="18"/>
      <c r="V167" s="18"/>
      <c r="X167" s="15" t="s">
        <v>249</v>
      </c>
      <c r="Y167" s="15" t="s">
        <v>325</v>
      </c>
      <c r="Z167" s="15" t="s">
        <v>360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249</v>
      </c>
      <c r="AS167" s="15" t="s">
        <v>369</v>
      </c>
      <c r="AT167" s="15"/>
      <c r="AU167" s="15"/>
      <c r="AV167" s="15" t="s">
        <v>527</v>
      </c>
      <c r="AW167" s="15"/>
      <c r="AX167" s="15"/>
      <c r="AY167" s="15"/>
      <c r="AZ167" s="18"/>
      <c r="BA167" s="18"/>
      <c r="BB167" s="19">
        <v>0.26114456167220301</v>
      </c>
      <c r="BC167" s="19">
        <v>0.27393338314782001</v>
      </c>
      <c r="BD167" s="19">
        <v>0.284279396026971</v>
      </c>
      <c r="BE167" s="19">
        <v>0.30343867913651001</v>
      </c>
      <c r="BF167" s="19">
        <v>0.32068203393509598</v>
      </c>
      <c r="BG167" s="19">
        <v>0.336009460422727</v>
      </c>
      <c r="BH167" s="19">
        <v>0.34942095859940397</v>
      </c>
      <c r="BI167" s="19">
        <v>0.36115601950399701</v>
      </c>
      <c r="BJ167" s="19">
        <v>0.37193311625311298</v>
      </c>
      <c r="BK167" s="18"/>
      <c r="BL167" s="18"/>
      <c r="BM167" s="19">
        <v>0.264970431018139</v>
      </c>
      <c r="BN167" s="19">
        <v>0.29768490692767702</v>
      </c>
      <c r="BO167" s="19">
        <v>0.329489316889512</v>
      </c>
      <c r="BP167" s="19">
        <v>0.34864859999905101</v>
      </c>
      <c r="BQ167" s="19">
        <v>0.35516275625629401</v>
      </c>
      <c r="BR167" s="19">
        <v>0.35976098420258401</v>
      </c>
      <c r="BS167" s="19">
        <v>0.36244328383791902</v>
      </c>
      <c r="BT167" s="19">
        <v>0.36344914620117003</v>
      </c>
      <c r="BU167" s="19">
        <v>0.36349704440894398</v>
      </c>
    </row>
    <row r="168" spans="3:73" x14ac:dyDescent="0.45">
      <c r="C168" s="15" t="s">
        <v>249</v>
      </c>
      <c r="D168" s="15" t="s">
        <v>322</v>
      </c>
      <c r="E168" s="15" t="s">
        <v>279</v>
      </c>
      <c r="F168" s="15"/>
      <c r="G168" s="15"/>
      <c r="H168" s="15"/>
      <c r="I168" s="15" t="s">
        <v>323</v>
      </c>
      <c r="J168" s="19"/>
      <c r="K168" s="18"/>
      <c r="L168" s="18"/>
      <c r="M168" s="18"/>
      <c r="N168" s="18">
        <v>8324.9303490000002</v>
      </c>
      <c r="O168" s="18">
        <v>3100.938658</v>
      </c>
      <c r="P168" s="19">
        <v>2603.4835670000002</v>
      </c>
      <c r="Q168" s="18"/>
      <c r="R168" s="18"/>
      <c r="S168" s="18"/>
      <c r="T168" s="18">
        <v>8412.925432</v>
      </c>
      <c r="U168" s="18">
        <v>4519.7524839999996</v>
      </c>
      <c r="V168" s="18">
        <v>2771.3656569999998</v>
      </c>
      <c r="X168" s="15" t="s">
        <v>249</v>
      </c>
      <c r="Y168" s="15" t="s">
        <v>325</v>
      </c>
      <c r="Z168" s="15" t="s">
        <v>361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249</v>
      </c>
      <c r="AS168" s="15" t="s">
        <v>369</v>
      </c>
      <c r="AT168" s="15"/>
      <c r="AU168" s="15"/>
      <c r="AV168" s="15" t="s">
        <v>528</v>
      </c>
      <c r="AW168" s="15"/>
      <c r="AX168" s="15"/>
      <c r="AY168" s="15"/>
      <c r="AZ168" s="18"/>
      <c r="BA168" s="18"/>
      <c r="BB168" s="19">
        <v>2.7377469150370302</v>
      </c>
      <c r="BC168" s="19">
        <v>2.87182038115722</v>
      </c>
      <c r="BD168" s="19">
        <v>2.9802843088050199</v>
      </c>
      <c r="BE168" s="19">
        <v>3.1811434340787099</v>
      </c>
      <c r="BF168" s="19">
        <v>3.3619166468250401</v>
      </c>
      <c r="BG168" s="19">
        <v>3.5226039470439998</v>
      </c>
      <c r="BH168" s="19">
        <v>3.66320533473559</v>
      </c>
      <c r="BI168" s="19">
        <v>3.7862315489657301</v>
      </c>
      <c r="BJ168" s="19">
        <v>3.8992148069321799</v>
      </c>
      <c r="BK168" s="18"/>
      <c r="BL168" s="18"/>
      <c r="BM168" s="19">
        <v>2.7778559716151201</v>
      </c>
      <c r="BN168" s="19">
        <v>3.12082292801996</v>
      </c>
      <c r="BO168" s="19">
        <v>3.4542490759743001</v>
      </c>
      <c r="BP168" s="19">
        <v>3.6551082012479901</v>
      </c>
      <c r="BQ168" s="19">
        <v>3.7234003038410499</v>
      </c>
      <c r="BR168" s="19">
        <v>3.7716064939067402</v>
      </c>
      <c r="BS168" s="19">
        <v>3.79972677144506</v>
      </c>
      <c r="BT168" s="19">
        <v>3.8102718755219298</v>
      </c>
      <c r="BU168" s="19">
        <v>3.8107740233351102</v>
      </c>
    </row>
    <row r="169" spans="3:73" x14ac:dyDescent="0.45">
      <c r="C169" s="15" t="s">
        <v>249</v>
      </c>
      <c r="D169" s="15" t="s">
        <v>322</v>
      </c>
      <c r="E169" s="15" t="s">
        <v>280</v>
      </c>
      <c r="F169" s="15"/>
      <c r="G169" s="15"/>
      <c r="H169" s="15"/>
      <c r="I169" s="15" t="s">
        <v>323</v>
      </c>
      <c r="J169" s="19"/>
      <c r="K169" s="18"/>
      <c r="L169" s="18"/>
      <c r="M169" s="18"/>
      <c r="N169" s="18">
        <v>2655.8181939999999</v>
      </c>
      <c r="O169" s="18">
        <v>1462.702403</v>
      </c>
      <c r="P169" s="19">
        <v>915.34298969999998</v>
      </c>
      <c r="Q169" s="18"/>
      <c r="R169" s="18"/>
      <c r="S169" s="18"/>
      <c r="T169" s="18">
        <v>2742.3666739999999</v>
      </c>
      <c r="U169" s="18">
        <v>2658.4979920000001</v>
      </c>
      <c r="V169" s="18">
        <v>1086.065515</v>
      </c>
      <c r="X169" s="15" t="s">
        <v>249</v>
      </c>
      <c r="Y169" s="15" t="s">
        <v>325</v>
      </c>
      <c r="Z169" s="15" t="s">
        <v>362</v>
      </c>
      <c r="AA169" s="15"/>
      <c r="AB169" s="15"/>
      <c r="AC169" s="15"/>
      <c r="AD169" s="15"/>
      <c r="AE169" s="19">
        <v>2020</v>
      </c>
      <c r="AF169" s="18"/>
      <c r="AG169" s="18"/>
      <c r="AH169" s="18"/>
      <c r="AI169" s="18"/>
      <c r="AJ169" s="18"/>
      <c r="AK169" s="19">
        <v>2020</v>
      </c>
      <c r="AL169" s="18"/>
      <c r="AM169" s="18"/>
      <c r="AN169" s="18"/>
      <c r="AO169" s="18"/>
      <c r="AP169" s="18"/>
      <c r="AR169" s="15" t="s">
        <v>249</v>
      </c>
      <c r="AS169" s="15" t="s">
        <v>369</v>
      </c>
      <c r="AT169" s="15"/>
      <c r="AU169" s="15"/>
      <c r="AV169" s="15" t="s">
        <v>529</v>
      </c>
      <c r="AW169" s="15"/>
      <c r="AX169" s="15"/>
      <c r="AY169" s="15"/>
      <c r="AZ169" s="18"/>
      <c r="BA169" s="18"/>
      <c r="BB169" s="19">
        <v>2.052E-2</v>
      </c>
      <c r="BC169" s="19">
        <v>2.052E-2</v>
      </c>
      <c r="BD169" s="19">
        <v>2.052E-2</v>
      </c>
      <c r="BE169" s="19">
        <v>2.052E-2</v>
      </c>
      <c r="BF169" s="19">
        <v>2.052E-2</v>
      </c>
      <c r="BG169" s="19">
        <v>2.052E-2</v>
      </c>
      <c r="BH169" s="19">
        <v>2.052E-2</v>
      </c>
      <c r="BI169" s="19">
        <v>2.052E-2</v>
      </c>
      <c r="BJ169" s="19">
        <v>2.052E-2</v>
      </c>
      <c r="BK169" s="18"/>
      <c r="BL169" s="18"/>
      <c r="BM169" s="19">
        <v>2.052E-2</v>
      </c>
      <c r="BN169" s="19">
        <v>2.052E-2</v>
      </c>
      <c r="BO169" s="19">
        <v>2.052E-2</v>
      </c>
      <c r="BP169" s="19">
        <v>2.052E-2</v>
      </c>
      <c r="BQ169" s="19">
        <v>2.052E-2</v>
      </c>
      <c r="BR169" s="19">
        <v>2.052E-2</v>
      </c>
      <c r="BS169" s="19">
        <v>2.052E-2</v>
      </c>
      <c r="BT169" s="19">
        <v>2.052E-2</v>
      </c>
      <c r="BU169" s="19">
        <v>2.052E-2</v>
      </c>
    </row>
    <row r="170" spans="3:73" x14ac:dyDescent="0.45">
      <c r="C170" s="15" t="s">
        <v>249</v>
      </c>
      <c r="D170" s="15" t="s">
        <v>322</v>
      </c>
      <c r="E170" s="15" t="s">
        <v>281</v>
      </c>
      <c r="F170" s="15"/>
      <c r="G170" s="15"/>
      <c r="H170" s="15"/>
      <c r="I170" s="15" t="s">
        <v>323</v>
      </c>
      <c r="J170" s="18"/>
      <c r="K170" s="18"/>
      <c r="L170" s="19">
        <v>1273.6606770000001</v>
      </c>
      <c r="M170" s="18"/>
      <c r="N170" s="18"/>
      <c r="O170" s="18"/>
      <c r="P170" s="18"/>
      <c r="Q170" s="18"/>
      <c r="R170" s="19">
        <v>1273.6606770000001</v>
      </c>
      <c r="S170" s="18"/>
      <c r="T170" s="18"/>
      <c r="U170" s="18"/>
      <c r="V170" s="18"/>
      <c r="X170" s="15" t="s">
        <v>249</v>
      </c>
      <c r="Y170" s="15" t="s">
        <v>326</v>
      </c>
      <c r="Z170" s="15" t="s">
        <v>330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249</v>
      </c>
      <c r="AS170" s="15" t="s">
        <v>369</v>
      </c>
      <c r="AT170" s="15"/>
      <c r="AU170" s="15"/>
      <c r="AV170" s="15" t="s">
        <v>530</v>
      </c>
      <c r="AW170" s="15"/>
      <c r="AX170" s="15"/>
      <c r="AY170" s="15"/>
      <c r="AZ170" s="18"/>
      <c r="BA170" s="18"/>
      <c r="BB170" s="19">
        <v>3.5708811507643801</v>
      </c>
      <c r="BC170" s="19">
        <v>3.7457550261970098</v>
      </c>
      <c r="BD170" s="19">
        <v>3.8872260265469998</v>
      </c>
      <c r="BE170" s="19">
        <v>4.1492093605284603</v>
      </c>
      <c r="BF170" s="19">
        <v>4.3849943611117803</v>
      </c>
      <c r="BG170" s="19">
        <v>4.5945810282969504</v>
      </c>
      <c r="BH170" s="19">
        <v>4.7779693620839803</v>
      </c>
      <c r="BI170" s="19">
        <v>4.9384341541476298</v>
      </c>
      <c r="BJ170" s="19">
        <v>5.0857997795122003</v>
      </c>
      <c r="BK170" s="18"/>
      <c r="BL170" s="18"/>
      <c r="BM170" s="19">
        <v>3.62319594776881</v>
      </c>
      <c r="BN170" s="19">
        <v>4.0705324905421598</v>
      </c>
      <c r="BO170" s="19">
        <v>4.5054248249513904</v>
      </c>
      <c r="BP170" s="19">
        <v>4.7674081589328496</v>
      </c>
      <c r="BQ170" s="19">
        <v>4.85648249248655</v>
      </c>
      <c r="BR170" s="19">
        <v>4.9193584926421003</v>
      </c>
      <c r="BS170" s="19">
        <v>4.9560361593995097</v>
      </c>
      <c r="BT170" s="19">
        <v>4.9697902844335298</v>
      </c>
      <c r="BU170" s="19">
        <v>4.9704452427684904</v>
      </c>
    </row>
    <row r="171" spans="3:73" x14ac:dyDescent="0.45">
      <c r="C171" s="15" t="s">
        <v>249</v>
      </c>
      <c r="D171" s="15" t="s">
        <v>322</v>
      </c>
      <c r="E171" s="15" t="s">
        <v>282</v>
      </c>
      <c r="F171" s="15"/>
      <c r="G171" s="15"/>
      <c r="H171" s="15"/>
      <c r="I171" s="15" t="s">
        <v>323</v>
      </c>
      <c r="J171" s="18"/>
      <c r="K171" s="18"/>
      <c r="L171" s="19"/>
      <c r="M171" s="18"/>
      <c r="N171" s="18">
        <v>3705.3622009999999</v>
      </c>
      <c r="O171" s="18">
        <v>2259.0593899999999</v>
      </c>
      <c r="P171" s="18">
        <v>2192.975156</v>
      </c>
      <c r="Q171" s="18"/>
      <c r="R171" s="19"/>
      <c r="S171" s="18"/>
      <c r="T171" s="18">
        <v>6998.6691650000002</v>
      </c>
      <c r="U171" s="18">
        <v>2677.2720060000001</v>
      </c>
      <c r="V171" s="18">
        <v>2331.8507960000002</v>
      </c>
      <c r="X171" s="15" t="s">
        <v>249</v>
      </c>
      <c r="Y171" s="15" t="s">
        <v>326</v>
      </c>
      <c r="Z171" s="15" t="s">
        <v>331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249</v>
      </c>
      <c r="AS171" s="15" t="s">
        <v>369</v>
      </c>
      <c r="AT171" s="15"/>
      <c r="AU171" s="15"/>
      <c r="AV171" s="15" t="s">
        <v>531</v>
      </c>
      <c r="AW171" s="15"/>
      <c r="AX171" s="15"/>
      <c r="AY171" s="15"/>
      <c r="AZ171" s="18"/>
      <c r="BA171" s="18"/>
      <c r="BB171" s="19">
        <v>0.626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0.70420000000000005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249</v>
      </c>
      <c r="D172" s="15" t="s">
        <v>322</v>
      </c>
      <c r="E172" s="15" t="s">
        <v>283</v>
      </c>
      <c r="F172" s="15"/>
      <c r="G172" s="15"/>
      <c r="H172" s="15"/>
      <c r="I172" s="15" t="s">
        <v>323</v>
      </c>
      <c r="J172" s="18"/>
      <c r="K172" s="18"/>
      <c r="L172" s="19"/>
      <c r="M172" s="18"/>
      <c r="N172" s="18">
        <v>2363.437582</v>
      </c>
      <c r="O172" s="18">
        <v>957.61579400000005</v>
      </c>
      <c r="P172" s="18">
        <v>814.89585390000002</v>
      </c>
      <c r="Q172" s="18"/>
      <c r="R172" s="19"/>
      <c r="S172" s="18"/>
      <c r="T172" s="18">
        <v>2440.4418000000001</v>
      </c>
      <c r="U172" s="18">
        <v>1358.6703199999999</v>
      </c>
      <c r="V172" s="18">
        <v>858.76815669999996</v>
      </c>
      <c r="X172" s="15" t="s">
        <v>249</v>
      </c>
      <c r="Y172" s="15" t="s">
        <v>326</v>
      </c>
      <c r="Z172" s="15" t="s">
        <v>332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249</v>
      </c>
      <c r="AS172" s="15" t="s">
        <v>369</v>
      </c>
      <c r="AT172" s="15"/>
      <c r="AU172" s="15"/>
      <c r="AV172" s="15" t="s">
        <v>532</v>
      </c>
      <c r="AW172" s="15"/>
      <c r="AX172" s="15"/>
      <c r="AY172" s="15"/>
      <c r="AZ172" s="18"/>
      <c r="BA172" s="18"/>
      <c r="BB172" s="19">
        <v>2.3136000000000001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2.6025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249</v>
      </c>
      <c r="D173" s="15" t="s">
        <v>322</v>
      </c>
      <c r="E173" s="15" t="s">
        <v>284</v>
      </c>
      <c r="F173" s="15"/>
      <c r="G173" s="15"/>
      <c r="H173" s="15"/>
      <c r="I173" s="15" t="s">
        <v>323</v>
      </c>
      <c r="J173" s="18"/>
      <c r="K173" s="18"/>
      <c r="L173" s="19">
        <v>174.66122179999999</v>
      </c>
      <c r="M173" s="18"/>
      <c r="N173" s="18"/>
      <c r="O173" s="18"/>
      <c r="P173" s="18"/>
      <c r="Q173" s="18"/>
      <c r="R173" s="19">
        <v>174.66122179999999</v>
      </c>
      <c r="S173" s="18"/>
      <c r="T173" s="18"/>
      <c r="U173" s="18"/>
      <c r="V173" s="18"/>
      <c r="X173" s="15" t="s">
        <v>249</v>
      </c>
      <c r="Y173" s="15" t="s">
        <v>326</v>
      </c>
      <c r="Z173" s="15" t="s">
        <v>333</v>
      </c>
      <c r="AA173" s="15"/>
      <c r="AB173" s="15"/>
      <c r="AC173" s="15"/>
      <c r="AD173" s="15"/>
      <c r="AE173" s="18"/>
      <c r="AF173" s="18"/>
      <c r="AG173" s="19">
        <v>22.051404092999999</v>
      </c>
      <c r="AH173" s="18"/>
      <c r="AI173" s="18"/>
      <c r="AJ173" s="18"/>
      <c r="AK173" s="18"/>
      <c r="AL173" s="18"/>
      <c r="AM173" s="19">
        <v>22.051404092999999</v>
      </c>
      <c r="AN173" s="18"/>
      <c r="AO173" s="18"/>
      <c r="AP173" s="18"/>
      <c r="AR173" s="15" t="s">
        <v>249</v>
      </c>
      <c r="AS173" s="15" t="s">
        <v>369</v>
      </c>
      <c r="AT173" s="15"/>
      <c r="AU173" s="15"/>
      <c r="AV173" s="15" t="s">
        <v>533</v>
      </c>
      <c r="AW173" s="15"/>
      <c r="AX173" s="15"/>
      <c r="AY173" s="15"/>
      <c r="AZ173" s="18"/>
      <c r="BA173" s="18"/>
      <c r="BB173" s="19">
        <v>0.41760000000000003</v>
      </c>
      <c r="BC173" s="19">
        <v>0</v>
      </c>
      <c r="BD173" s="19">
        <v>0</v>
      </c>
      <c r="BE173" s="19">
        <v>0</v>
      </c>
      <c r="BF173" s="19">
        <v>0</v>
      </c>
      <c r="BG173" s="19">
        <v>0</v>
      </c>
      <c r="BH173" s="19">
        <v>0</v>
      </c>
      <c r="BI173" s="19">
        <v>0</v>
      </c>
      <c r="BJ173" s="19">
        <v>0</v>
      </c>
      <c r="BK173" s="18"/>
      <c r="BL173" s="18"/>
      <c r="BM173" s="19">
        <v>0.46970000000000001</v>
      </c>
      <c r="BN173" s="19">
        <v>0</v>
      </c>
      <c r="BO173" s="19">
        <v>0</v>
      </c>
      <c r="BP173" s="19">
        <v>0</v>
      </c>
      <c r="BQ173" s="19">
        <v>0</v>
      </c>
      <c r="BR173" s="19">
        <v>0</v>
      </c>
      <c r="BS173" s="19">
        <v>0</v>
      </c>
      <c r="BT173" s="19">
        <v>0</v>
      </c>
      <c r="BU173" s="19">
        <v>0</v>
      </c>
    </row>
    <row r="174" spans="3:73" x14ac:dyDescent="0.45">
      <c r="C174" s="15" t="s">
        <v>249</v>
      </c>
      <c r="D174" s="15" t="s">
        <v>322</v>
      </c>
      <c r="E174" s="15" t="s">
        <v>285</v>
      </c>
      <c r="F174" s="15"/>
      <c r="G174" s="15"/>
      <c r="H174" s="15"/>
      <c r="I174" s="15" t="s">
        <v>323</v>
      </c>
      <c r="J174" s="18"/>
      <c r="K174" s="18"/>
      <c r="L174" s="19">
        <v>6000</v>
      </c>
      <c r="M174" s="18"/>
      <c r="N174" s="18"/>
      <c r="O174" s="18"/>
      <c r="P174" s="18"/>
      <c r="Q174" s="18"/>
      <c r="R174" s="19">
        <v>6000</v>
      </c>
      <c r="S174" s="18"/>
      <c r="T174" s="18"/>
      <c r="U174" s="18"/>
      <c r="V174" s="18"/>
      <c r="X174" s="15" t="s">
        <v>249</v>
      </c>
      <c r="Y174" s="15" t="s">
        <v>326</v>
      </c>
      <c r="Z174" s="15" t="s">
        <v>334</v>
      </c>
      <c r="AA174" s="15"/>
      <c r="AB174" s="15"/>
      <c r="AC174" s="15"/>
      <c r="AD174" s="15"/>
      <c r="AE174" s="18"/>
      <c r="AF174" s="18"/>
      <c r="AG174" s="19">
        <v>15.784552846</v>
      </c>
      <c r="AH174" s="18"/>
      <c r="AI174" s="18"/>
      <c r="AJ174" s="18"/>
      <c r="AK174" s="18"/>
      <c r="AL174" s="18"/>
      <c r="AM174" s="19">
        <v>15.784552846</v>
      </c>
      <c r="AN174" s="18"/>
      <c r="AO174" s="18"/>
      <c r="AP174" s="18"/>
      <c r="AR174" s="15" t="s">
        <v>249</v>
      </c>
      <c r="AS174" s="15" t="s">
        <v>369</v>
      </c>
      <c r="AT174" s="15"/>
      <c r="AU174" s="15"/>
      <c r="AV174" s="15" t="s">
        <v>534</v>
      </c>
      <c r="AW174" s="15"/>
      <c r="AX174" s="15"/>
      <c r="AY174" s="15"/>
      <c r="AZ174" s="18"/>
      <c r="BA174" s="18"/>
      <c r="BB174" s="19">
        <v>6.7441310592386197</v>
      </c>
      <c r="BC174" s="19">
        <v>7.0292521403961699</v>
      </c>
      <c r="BD174" s="19">
        <v>7.4535280116945399</v>
      </c>
      <c r="BE174" s="19">
        <v>7.8885291604188401</v>
      </c>
      <c r="BF174" s="19">
        <v>8.4331481999141396</v>
      </c>
      <c r="BG174" s="19">
        <v>9.0074101626591307</v>
      </c>
      <c r="BH174" s="19">
        <v>9.6604526182144408</v>
      </c>
      <c r="BI174" s="19">
        <v>10.5787877598523</v>
      </c>
      <c r="BJ174" s="19">
        <v>11.512408021831501</v>
      </c>
      <c r="BK174" s="18"/>
      <c r="BL174" s="18"/>
      <c r="BM174" s="19">
        <v>6.3551124896014901</v>
      </c>
      <c r="BN174" s="19">
        <v>7.0823163278944499</v>
      </c>
      <c r="BO174" s="19">
        <v>7.9394847606035501</v>
      </c>
      <c r="BP174" s="19">
        <v>9.1790740298088505</v>
      </c>
      <c r="BQ174" s="19">
        <v>10.448198193337699</v>
      </c>
      <c r="BR174" s="19">
        <v>11.5638564520568</v>
      </c>
      <c r="BS174" s="19">
        <v>12.854453863247199</v>
      </c>
      <c r="BT174" s="19">
        <v>14.2475284831207</v>
      </c>
      <c r="BU174" s="19">
        <v>15.5790277740908</v>
      </c>
    </row>
    <row r="175" spans="3:73" x14ac:dyDescent="0.45">
      <c r="C175" s="15" t="s">
        <v>249</v>
      </c>
      <c r="D175" s="15" t="s">
        <v>322</v>
      </c>
      <c r="E175" s="15" t="s">
        <v>286</v>
      </c>
      <c r="F175" s="15"/>
      <c r="G175" s="15"/>
      <c r="H175" s="15"/>
      <c r="I175" s="15" t="s">
        <v>323</v>
      </c>
      <c r="J175" s="18"/>
      <c r="K175" s="18"/>
      <c r="L175" s="19">
        <v>6257.14</v>
      </c>
      <c r="M175" s="18"/>
      <c r="N175" s="18"/>
      <c r="O175" s="18"/>
      <c r="P175" s="18"/>
      <c r="Q175" s="18"/>
      <c r="R175" s="19">
        <v>6257.1428569999998</v>
      </c>
      <c r="S175" s="18"/>
      <c r="T175" s="18"/>
      <c r="U175" s="18"/>
      <c r="V175" s="18"/>
      <c r="X175" s="15" t="s">
        <v>249</v>
      </c>
      <c r="Y175" s="15" t="s">
        <v>326</v>
      </c>
      <c r="Z175" s="15" t="s">
        <v>335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249</v>
      </c>
      <c r="AS175" s="15" t="s">
        <v>369</v>
      </c>
      <c r="AT175" s="15"/>
      <c r="AU175" s="15"/>
      <c r="AV175" s="15" t="s">
        <v>535</v>
      </c>
      <c r="AW175" s="15"/>
      <c r="AX175" s="15"/>
      <c r="AY175" s="15"/>
      <c r="AZ175" s="18"/>
      <c r="BA175" s="18"/>
      <c r="BB175" s="19">
        <v>1.2128783045614899</v>
      </c>
      <c r="BC175" s="19">
        <v>1.2406103022992401</v>
      </c>
      <c r="BD175" s="19">
        <v>1.2884677457698399</v>
      </c>
      <c r="BE175" s="19">
        <v>1.3592619740898999</v>
      </c>
      <c r="BF175" s="19">
        <v>1.4453473923095901</v>
      </c>
      <c r="BG175" s="19">
        <v>1.53863087244131</v>
      </c>
      <c r="BH175" s="19">
        <v>1.63671306051437</v>
      </c>
      <c r="BI175" s="19">
        <v>1.7347952485874201</v>
      </c>
      <c r="BJ175" s="19">
        <v>1.8328774366604801</v>
      </c>
      <c r="BK175" s="18"/>
      <c r="BL175" s="18"/>
      <c r="BM175" s="19">
        <v>1.21586335144989</v>
      </c>
      <c r="BN175" s="19">
        <v>1.23077427060973</v>
      </c>
      <c r="BO175" s="19">
        <v>1.29396165600807</v>
      </c>
      <c r="BP175" s="19">
        <v>1.3909692088862</v>
      </c>
      <c r="BQ175" s="19">
        <v>1.49128763355092</v>
      </c>
      <c r="BR175" s="19">
        <v>1.5938133060733499</v>
      </c>
      <c r="BS175" s="19">
        <v>1.6773701416367699</v>
      </c>
      <c r="BT175" s="19">
        <v>1.74828108589416</v>
      </c>
      <c r="BU175" s="19">
        <v>1.8191920301515601</v>
      </c>
    </row>
    <row r="176" spans="3:73" x14ac:dyDescent="0.45">
      <c r="C176" s="15" t="s">
        <v>249</v>
      </c>
      <c r="D176" s="15" t="s">
        <v>322</v>
      </c>
      <c r="E176" s="15" t="s">
        <v>287</v>
      </c>
      <c r="F176" s="15"/>
      <c r="G176" s="15"/>
      <c r="H176" s="15"/>
      <c r="I176" s="15" t="s">
        <v>323</v>
      </c>
      <c r="J176" s="18"/>
      <c r="K176" s="18"/>
      <c r="L176" s="19">
        <v>1076.0899999999999</v>
      </c>
      <c r="M176" s="18"/>
      <c r="N176" s="18"/>
      <c r="O176" s="18"/>
      <c r="P176" s="18"/>
      <c r="Q176" s="18"/>
      <c r="R176" s="19">
        <v>1076.086957</v>
      </c>
      <c r="S176" s="18"/>
      <c r="T176" s="18"/>
      <c r="U176" s="18"/>
      <c r="V176" s="18"/>
      <c r="X176" s="15" t="s">
        <v>249</v>
      </c>
      <c r="Y176" s="15" t="s">
        <v>326</v>
      </c>
      <c r="Z176" s="15" t="s">
        <v>336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249</v>
      </c>
      <c r="AS176" s="15" t="s">
        <v>369</v>
      </c>
      <c r="AT176" s="15"/>
      <c r="AU176" s="15"/>
      <c r="AV176" s="15" t="s">
        <v>536</v>
      </c>
      <c r="AW176" s="15"/>
      <c r="AX176" s="15"/>
      <c r="AY176" s="15"/>
      <c r="AZ176" s="18"/>
      <c r="BA176" s="18"/>
      <c r="BB176" s="19">
        <v>0.48686459739091298</v>
      </c>
      <c r="BC176" s="19">
        <v>0.49919028340081001</v>
      </c>
      <c r="BD176" s="19">
        <v>0.51151596941070598</v>
      </c>
      <c r="BE176" s="19">
        <v>0.51459739091318002</v>
      </c>
      <c r="BF176" s="19">
        <v>0.52076023391812898</v>
      </c>
      <c r="BG176" s="19">
        <v>0.52384165542060301</v>
      </c>
      <c r="BH176" s="19">
        <v>0.53308591992802501</v>
      </c>
      <c r="BI176" s="19">
        <v>0.55465587044534403</v>
      </c>
      <c r="BJ176" s="19">
        <v>0.57622582096266295</v>
      </c>
      <c r="BK176" s="18"/>
      <c r="BL176" s="18"/>
      <c r="BM176" s="19">
        <v>0.49</v>
      </c>
      <c r="BN176" s="19">
        <v>0.52</v>
      </c>
      <c r="BO176" s="19">
        <v>0.56000000000000005</v>
      </c>
      <c r="BP176" s="19">
        <v>0.59</v>
      </c>
      <c r="BQ176" s="19">
        <v>0.6</v>
      </c>
      <c r="BR176" s="19">
        <v>0.61</v>
      </c>
      <c r="BS176" s="19">
        <v>0.62</v>
      </c>
      <c r="BT176" s="19">
        <v>0.63</v>
      </c>
      <c r="BU176" s="19">
        <v>0.63</v>
      </c>
    </row>
    <row r="177" spans="3:73" x14ac:dyDescent="0.45">
      <c r="C177" s="15" t="s">
        <v>249</v>
      </c>
      <c r="D177" s="15" t="s">
        <v>322</v>
      </c>
      <c r="E177" s="15" t="s">
        <v>288</v>
      </c>
      <c r="F177" s="15"/>
      <c r="G177" s="15"/>
      <c r="H177" s="15"/>
      <c r="I177" s="15" t="s">
        <v>323</v>
      </c>
      <c r="J177" s="18"/>
      <c r="K177" s="18"/>
      <c r="L177" s="19">
        <v>1851.87</v>
      </c>
      <c r="M177" s="18">
        <v>1898.16</v>
      </c>
      <c r="N177" s="18">
        <v>1962.98</v>
      </c>
      <c r="O177" s="18">
        <v>2042.5</v>
      </c>
      <c r="P177" s="18">
        <v>2096.9699999999998</v>
      </c>
      <c r="Q177" s="18"/>
      <c r="R177" s="19">
        <v>1851.866667</v>
      </c>
      <c r="S177" s="18">
        <v>1898.163333</v>
      </c>
      <c r="T177" s="18">
        <v>1962.9786670000001</v>
      </c>
      <c r="U177" s="18">
        <v>2042.5</v>
      </c>
      <c r="V177" s="18">
        <v>2096.9666670000001</v>
      </c>
      <c r="X177" s="15" t="s">
        <v>249</v>
      </c>
      <c r="Y177" s="15" t="s">
        <v>326</v>
      </c>
      <c r="Z177" s="15" t="s">
        <v>339</v>
      </c>
      <c r="AA177" s="15"/>
      <c r="AB177" s="15"/>
      <c r="AC177" s="15"/>
      <c r="AD177" s="15"/>
      <c r="AE177" s="18"/>
      <c r="AF177" s="18"/>
      <c r="AG177" s="19">
        <v>22.051404092999999</v>
      </c>
      <c r="AH177" s="18"/>
      <c r="AI177" s="18"/>
      <c r="AJ177" s="18"/>
      <c r="AK177" s="18"/>
      <c r="AL177" s="18"/>
      <c r="AM177" s="19">
        <v>22.051404092999999</v>
      </c>
      <c r="AN177" s="18"/>
      <c r="AO177" s="18"/>
      <c r="AP177" s="18"/>
      <c r="AR177" s="15" t="s">
        <v>249</v>
      </c>
      <c r="AS177" s="15" t="s">
        <v>369</v>
      </c>
      <c r="AT177" s="15"/>
      <c r="AU177" s="15"/>
      <c r="AV177" s="15" t="s">
        <v>537</v>
      </c>
      <c r="AW177" s="15"/>
      <c r="AX177" s="15"/>
      <c r="AY177" s="15"/>
      <c r="AZ177" s="18"/>
      <c r="BA177" s="18"/>
      <c r="BB177" s="19">
        <v>8.8656570606022296</v>
      </c>
      <c r="BC177" s="19">
        <v>8.4321690641780993</v>
      </c>
      <c r="BD177" s="19">
        <v>8.0696666130803099</v>
      </c>
      <c r="BE177" s="19">
        <v>8.3232922082446699</v>
      </c>
      <c r="BF177" s="19">
        <v>8.7105216531582599</v>
      </c>
      <c r="BG177" s="19">
        <v>9.6612002337563805</v>
      </c>
      <c r="BH177" s="19">
        <v>10.7156372113364</v>
      </c>
      <c r="BI177" s="19">
        <v>11.885156923233801</v>
      </c>
      <c r="BJ177" s="19">
        <v>13.1823196608833</v>
      </c>
      <c r="BK177" s="18"/>
      <c r="BL177" s="18"/>
      <c r="BM177" s="19">
        <v>6.18319995559939</v>
      </c>
      <c r="BN177" s="19">
        <v>6.7634398213340203</v>
      </c>
      <c r="BO177" s="19">
        <v>7.6792131784723097</v>
      </c>
      <c r="BP177" s="19">
        <v>9.0337826540969299</v>
      </c>
      <c r="BQ177" s="19">
        <v>10.763383616561899</v>
      </c>
      <c r="BR177" s="19">
        <v>11.852869685353101</v>
      </c>
      <c r="BS177" s="19">
        <v>12.9504093396868</v>
      </c>
      <c r="BT177" s="19">
        <v>13.797262943431599</v>
      </c>
      <c r="BU177" s="19">
        <v>14.6890784670183</v>
      </c>
    </row>
    <row r="178" spans="3:73" x14ac:dyDescent="0.45">
      <c r="C178" s="15" t="s">
        <v>249</v>
      </c>
      <c r="D178" s="15" t="s">
        <v>322</v>
      </c>
      <c r="E178" s="15" t="s">
        <v>289</v>
      </c>
      <c r="F178" s="15"/>
      <c r="G178" s="15"/>
      <c r="H178" s="15"/>
      <c r="I178" s="15" t="s">
        <v>323</v>
      </c>
      <c r="J178" s="18"/>
      <c r="K178" s="18"/>
      <c r="L178" s="19">
        <v>6565.01</v>
      </c>
      <c r="M178" s="18">
        <v>3423.68</v>
      </c>
      <c r="N178" s="18">
        <v>2040.4</v>
      </c>
      <c r="O178" s="18">
        <v>2040.4</v>
      </c>
      <c r="P178" s="18">
        <v>2040.4</v>
      </c>
      <c r="Q178" s="18"/>
      <c r="R178" s="19">
        <v>6565.0101119999999</v>
      </c>
      <c r="S178" s="18">
        <v>3455.2448639999998</v>
      </c>
      <c r="T178" s="18">
        <v>2084.8753830000001</v>
      </c>
      <c r="U178" s="18">
        <v>2084.8753830000001</v>
      </c>
      <c r="V178" s="18">
        <v>2084.8753830000001</v>
      </c>
      <c r="X178" s="15" t="s">
        <v>249</v>
      </c>
      <c r="Y178" s="15" t="s">
        <v>326</v>
      </c>
      <c r="Z178" s="15" t="s">
        <v>341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249</v>
      </c>
      <c r="AS178" s="15" t="s">
        <v>369</v>
      </c>
      <c r="AT178" s="15"/>
      <c r="AU178" s="15"/>
      <c r="AV178" s="15" t="s">
        <v>538</v>
      </c>
      <c r="AW178" s="15"/>
      <c r="AX178" s="15"/>
      <c r="AY178" s="15"/>
      <c r="AZ178" s="18"/>
      <c r="BA178" s="18"/>
      <c r="BB178" s="19">
        <v>0.632176295865301</v>
      </c>
      <c r="BC178" s="19">
        <v>0.64800802728893303</v>
      </c>
      <c r="BD178" s="19">
        <v>0.66084873760766905</v>
      </c>
      <c r="BE178" s="19">
        <v>0.66696923676797204</v>
      </c>
      <c r="BF178" s="19">
        <v>0.67296831552955505</v>
      </c>
      <c r="BG178" s="19">
        <v>0.67891101933979103</v>
      </c>
      <c r="BH178" s="19">
        <v>0.68970263325014802</v>
      </c>
      <c r="BI178" s="19">
        <v>0.71808849845251699</v>
      </c>
      <c r="BJ178" s="19">
        <v>0.74527661619381602</v>
      </c>
      <c r="BK178" s="18"/>
      <c r="BL178" s="18"/>
      <c r="BM178" s="19">
        <v>0.63896521785451099</v>
      </c>
      <c r="BN178" s="19">
        <v>0.63668387556693995</v>
      </c>
      <c r="BO178" s="19">
        <v>0.68003773656662803</v>
      </c>
      <c r="BP178" s="19">
        <v>0.73016513698089103</v>
      </c>
      <c r="BQ178" s="19">
        <v>0.76692966594006995</v>
      </c>
      <c r="BR178" s="19">
        <v>0.776631551298258</v>
      </c>
      <c r="BS178" s="19">
        <v>0.79256640202480999</v>
      </c>
      <c r="BT178" s="19">
        <v>0.80701582294626395</v>
      </c>
      <c r="BU178" s="19">
        <v>0.80782218703173603</v>
      </c>
    </row>
    <row r="179" spans="3:73" x14ac:dyDescent="0.45">
      <c r="C179" s="15" t="s">
        <v>249</v>
      </c>
      <c r="D179" s="15" t="s">
        <v>322</v>
      </c>
      <c r="E179" s="15" t="s">
        <v>290</v>
      </c>
      <c r="F179" s="15"/>
      <c r="G179" s="15"/>
      <c r="H179" s="15"/>
      <c r="I179" s="15" t="s">
        <v>323</v>
      </c>
      <c r="J179" s="18"/>
      <c r="K179" s="18"/>
      <c r="L179" s="19">
        <v>7542.15</v>
      </c>
      <c r="M179" s="18">
        <v>4158.21</v>
      </c>
      <c r="N179" s="18">
        <v>3104.03</v>
      </c>
      <c r="O179" s="18">
        <v>2612.63</v>
      </c>
      <c r="P179" s="18">
        <v>2501.4</v>
      </c>
      <c r="Q179" s="18"/>
      <c r="R179" s="19">
        <v>7542.1452920000002</v>
      </c>
      <c r="S179" s="18">
        <v>4158.2148360000001</v>
      </c>
      <c r="T179" s="18">
        <v>3104.0293999999999</v>
      </c>
      <c r="U179" s="18">
        <v>2612.626886</v>
      </c>
      <c r="V179" s="18">
        <v>2501.4005379999999</v>
      </c>
      <c r="X179" s="15" t="s">
        <v>249</v>
      </c>
      <c r="Y179" s="15" t="s">
        <v>326</v>
      </c>
      <c r="Z179" s="15" t="s">
        <v>342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249</v>
      </c>
      <c r="AS179" s="15" t="s">
        <v>369</v>
      </c>
      <c r="AT179" s="15"/>
      <c r="AU179" s="15"/>
      <c r="AV179" s="15" t="s">
        <v>539</v>
      </c>
      <c r="AW179" s="15"/>
      <c r="AX179" s="15"/>
      <c r="AY179" s="15"/>
      <c r="AZ179" s="18"/>
      <c r="BA179" s="18"/>
      <c r="BB179" s="19">
        <v>1.2364709625133701</v>
      </c>
      <c r="BC179" s="19">
        <v>1.283269221729</v>
      </c>
      <c r="BD179" s="19">
        <v>1.3231361634194501</v>
      </c>
      <c r="BE179" s="19">
        <v>1.3609693608040601</v>
      </c>
      <c r="BF179" s="19">
        <v>1.39744672865146</v>
      </c>
      <c r="BG179" s="19">
        <v>1.45405083821438</v>
      </c>
      <c r="BH179" s="19">
        <v>1.52407277558767</v>
      </c>
      <c r="BI179" s="19">
        <v>1.59409471296095</v>
      </c>
      <c r="BJ179" s="19">
        <v>1.6641166503342399</v>
      </c>
      <c r="BK179" s="18"/>
      <c r="BL179" s="18"/>
      <c r="BM179" s="19">
        <v>1.23068346841534</v>
      </c>
      <c r="BN179" s="19">
        <v>1.2490711204820699</v>
      </c>
      <c r="BO179" s="19">
        <v>1.3227495576499699</v>
      </c>
      <c r="BP179" s="19">
        <v>1.4004167081671399</v>
      </c>
      <c r="BQ179" s="19">
        <v>1.4571547763900901</v>
      </c>
      <c r="BR179" s="19">
        <v>1.4999401230835401</v>
      </c>
      <c r="BS179" s="19">
        <v>1.5441545884699199</v>
      </c>
      <c r="BT179" s="19">
        <v>1.58932179965158</v>
      </c>
      <c r="BU179" s="19">
        <v>1.6344890108332399</v>
      </c>
    </row>
    <row r="180" spans="3:73" x14ac:dyDescent="0.45">
      <c r="C180" s="15" t="s">
        <v>249</v>
      </c>
      <c r="D180" s="15" t="s">
        <v>322</v>
      </c>
      <c r="E180" s="15" t="s">
        <v>291</v>
      </c>
      <c r="F180" s="15"/>
      <c r="G180" s="15"/>
      <c r="H180" s="15"/>
      <c r="I180" s="15" t="s">
        <v>323</v>
      </c>
      <c r="J180" s="18"/>
      <c r="K180" s="18"/>
      <c r="L180" s="19">
        <v>1560.07</v>
      </c>
      <c r="M180" s="18">
        <v>1560.07</v>
      </c>
      <c r="N180" s="18"/>
      <c r="O180" s="18"/>
      <c r="P180" s="18"/>
      <c r="Q180" s="18"/>
      <c r="R180" s="19">
        <v>1560.0712430000001</v>
      </c>
      <c r="S180" s="18">
        <v>1560.0712430000001</v>
      </c>
      <c r="T180" s="18"/>
      <c r="U180" s="18"/>
      <c r="V180" s="18"/>
      <c r="X180" s="15" t="s">
        <v>249</v>
      </c>
      <c r="Y180" s="15" t="s">
        <v>326</v>
      </c>
      <c r="Z180" s="15" t="s">
        <v>343</v>
      </c>
      <c r="AA180" s="15"/>
      <c r="AB180" s="15"/>
      <c r="AC180" s="15"/>
      <c r="AD180" s="15"/>
      <c r="AE180" s="18"/>
      <c r="AF180" s="18"/>
      <c r="AG180" s="19">
        <v>22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249</v>
      </c>
      <c r="AS180" s="15" t="s">
        <v>369</v>
      </c>
      <c r="AT180" s="15"/>
      <c r="AU180" s="15"/>
      <c r="AV180" s="15" t="s">
        <v>540</v>
      </c>
      <c r="AW180" s="15"/>
      <c r="AX180" s="15"/>
      <c r="AY180" s="15"/>
      <c r="AZ180" s="18"/>
      <c r="BA180" s="18"/>
      <c r="BB180" s="19">
        <v>1.09313540260909</v>
      </c>
      <c r="BC180" s="19">
        <v>1.1208097165991899</v>
      </c>
      <c r="BD180" s="19">
        <v>1.1484840305892901</v>
      </c>
      <c r="BE180" s="19">
        <v>1.1554026090868199</v>
      </c>
      <c r="BF180" s="19">
        <v>1.1692397660818701</v>
      </c>
      <c r="BG180" s="19">
        <v>1.1761583445793999</v>
      </c>
      <c r="BH180" s="19">
        <v>1.19691408007197</v>
      </c>
      <c r="BI180" s="19">
        <v>1.2453441295546599</v>
      </c>
      <c r="BJ180" s="19">
        <v>1.29377417903734</v>
      </c>
      <c r="BK180" s="18"/>
      <c r="BL180" s="18"/>
      <c r="BM180" s="19">
        <v>1.1100000000000001</v>
      </c>
      <c r="BN180" s="19">
        <v>1.18</v>
      </c>
      <c r="BO180" s="19">
        <v>1.27</v>
      </c>
      <c r="BP180" s="19">
        <v>1.33</v>
      </c>
      <c r="BQ180" s="19">
        <v>1.35</v>
      </c>
      <c r="BR180" s="19">
        <v>1.38</v>
      </c>
      <c r="BS180" s="19">
        <v>1.4</v>
      </c>
      <c r="BT180" s="19">
        <v>1.4</v>
      </c>
      <c r="BU180" s="19">
        <v>1.4</v>
      </c>
    </row>
    <row r="181" spans="3:73" x14ac:dyDescent="0.45">
      <c r="C181" s="15" t="s">
        <v>249</v>
      </c>
      <c r="D181" s="15" t="s">
        <v>322</v>
      </c>
      <c r="E181" s="15" t="s">
        <v>292</v>
      </c>
      <c r="F181" s="15"/>
      <c r="G181" s="15"/>
      <c r="H181" s="15"/>
      <c r="I181" s="15" t="s">
        <v>323</v>
      </c>
      <c r="J181" s="18"/>
      <c r="K181" s="18"/>
      <c r="L181" s="19"/>
      <c r="M181" s="18">
        <v>10778.63</v>
      </c>
      <c r="N181" s="18">
        <v>4403.3599999999997</v>
      </c>
      <c r="O181" s="18">
        <v>3838.55</v>
      </c>
      <c r="P181" s="18">
        <v>3838.55</v>
      </c>
      <c r="Q181" s="18"/>
      <c r="R181" s="19"/>
      <c r="S181" s="18">
        <v>10961.1096</v>
      </c>
      <c r="T181" s="18">
        <v>5626.2886559999997</v>
      </c>
      <c r="U181" s="18">
        <v>3923.314973</v>
      </c>
      <c r="V181" s="18">
        <v>3923.314973</v>
      </c>
      <c r="X181" s="15" t="s">
        <v>249</v>
      </c>
      <c r="Y181" s="15" t="s">
        <v>326</v>
      </c>
      <c r="Z181" s="15" t="s">
        <v>344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249</v>
      </c>
      <c r="AS181" s="15" t="s">
        <v>369</v>
      </c>
      <c r="AT181" s="15"/>
      <c r="AU181" s="15"/>
      <c r="AV181" s="15" t="s">
        <v>541</v>
      </c>
      <c r="AW181" s="15"/>
      <c r="AX181" s="15"/>
      <c r="AY181" s="15"/>
      <c r="AZ181" s="18"/>
      <c r="BA181" s="18"/>
      <c r="BB181" s="19">
        <v>10.998770340745599</v>
      </c>
      <c r="BC181" s="19">
        <v>11.351898344532801</v>
      </c>
      <c r="BD181" s="19">
        <v>11.839473023703199</v>
      </c>
      <c r="BE181" s="19">
        <v>12.140666250989501</v>
      </c>
      <c r="BF181" s="19">
        <v>13.078680578888299</v>
      </c>
      <c r="BG181" s="19">
        <v>13.576404691623701</v>
      </c>
      <c r="BH181" s="19">
        <v>14.093070263392599</v>
      </c>
      <c r="BI181" s="19">
        <v>14.6293981330316</v>
      </c>
      <c r="BJ181" s="19">
        <v>15.186136571721599</v>
      </c>
      <c r="BK181" s="18"/>
      <c r="BL181" s="18"/>
      <c r="BM181" s="19">
        <v>7.7128814135108898</v>
      </c>
      <c r="BN181" s="19">
        <v>8.7241357793386491</v>
      </c>
      <c r="BO181" s="19">
        <v>10.192750176775</v>
      </c>
      <c r="BP181" s="19">
        <v>12.110094295189</v>
      </c>
      <c r="BQ181" s="19">
        <v>13.946242569945399</v>
      </c>
      <c r="BR181" s="19">
        <v>17.1687154626708</v>
      </c>
      <c r="BS181" s="19">
        <v>19.665890975403698</v>
      </c>
      <c r="BT181" s="19">
        <v>22.472252541801499</v>
      </c>
      <c r="BU181" s="19">
        <v>25.626081818597299</v>
      </c>
    </row>
    <row r="182" spans="3:73" x14ac:dyDescent="0.45">
      <c r="C182" s="15" t="s">
        <v>249</v>
      </c>
      <c r="D182" s="15" t="s">
        <v>322</v>
      </c>
      <c r="E182" s="15" t="s">
        <v>293</v>
      </c>
      <c r="F182" s="15"/>
      <c r="G182" s="15"/>
      <c r="H182" s="15"/>
      <c r="I182" s="15" t="s">
        <v>323</v>
      </c>
      <c r="J182" s="18"/>
      <c r="K182" s="18"/>
      <c r="L182" s="19"/>
      <c r="M182" s="18">
        <v>10787.46</v>
      </c>
      <c r="N182" s="18">
        <v>5195.41</v>
      </c>
      <c r="O182" s="18">
        <v>2947.36</v>
      </c>
      <c r="P182" s="18">
        <v>2793.42</v>
      </c>
      <c r="Q182" s="18"/>
      <c r="R182" s="19"/>
      <c r="S182" s="18">
        <v>10802.64415</v>
      </c>
      <c r="T182" s="18">
        <v>10005.474490000001</v>
      </c>
      <c r="U182" s="18">
        <v>3678.5268190000002</v>
      </c>
      <c r="V182" s="18">
        <v>2988.0727310000002</v>
      </c>
      <c r="X182" s="15" t="s">
        <v>249</v>
      </c>
      <c r="Y182" s="15" t="s">
        <v>326</v>
      </c>
      <c r="Z182" s="15" t="s">
        <v>345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249</v>
      </c>
      <c r="AS182" s="15" t="s">
        <v>369</v>
      </c>
      <c r="AT182" s="15"/>
      <c r="AU182" s="15"/>
      <c r="AV182" s="15" t="s">
        <v>542</v>
      </c>
      <c r="AW182" s="15"/>
      <c r="AX182" s="15"/>
      <c r="AY182" s="15"/>
      <c r="AZ182" s="18"/>
      <c r="BA182" s="18"/>
      <c r="BB182" s="19">
        <v>48.7444553109002</v>
      </c>
      <c r="BC182" s="19">
        <v>53.518675640000403</v>
      </c>
      <c r="BD182" s="19">
        <v>59.407195843117599</v>
      </c>
      <c r="BE182" s="19">
        <v>65.047280063847296</v>
      </c>
      <c r="BF182" s="19">
        <v>69.800488457468205</v>
      </c>
      <c r="BG182" s="19">
        <v>70.8862909555763</v>
      </c>
      <c r="BH182" s="19">
        <v>67.656479476558701</v>
      </c>
      <c r="BI182" s="19">
        <v>64.046805597951703</v>
      </c>
      <c r="BJ182" s="19">
        <v>60.629718528630399</v>
      </c>
      <c r="BK182" s="18"/>
      <c r="BL182" s="18"/>
      <c r="BM182" s="19">
        <v>45.716103195375602</v>
      </c>
      <c r="BN182" s="19">
        <v>49.349502377221</v>
      </c>
      <c r="BO182" s="19">
        <v>55.560462510017501</v>
      </c>
      <c r="BP182" s="19">
        <v>64.451115922226094</v>
      </c>
      <c r="BQ182" s="19">
        <v>73.991377838583205</v>
      </c>
      <c r="BR182" s="19">
        <v>84.892824428526694</v>
      </c>
      <c r="BS182" s="19">
        <v>95.140560468831794</v>
      </c>
      <c r="BT182" s="19">
        <v>102.716497900316</v>
      </c>
      <c r="BU182" s="19">
        <v>110.895698836691</v>
      </c>
    </row>
    <row r="183" spans="3:73" x14ac:dyDescent="0.45">
      <c r="C183" s="15" t="s">
        <v>249</v>
      </c>
      <c r="D183" s="15" t="s">
        <v>322</v>
      </c>
      <c r="E183" s="15" t="s">
        <v>294</v>
      </c>
      <c r="F183" s="15"/>
      <c r="G183" s="15"/>
      <c r="H183" s="15"/>
      <c r="I183" s="15" t="s">
        <v>323</v>
      </c>
      <c r="J183" s="18"/>
      <c r="K183" s="18"/>
      <c r="L183" s="19">
        <v>363.43</v>
      </c>
      <c r="M183" s="18">
        <v>368.42</v>
      </c>
      <c r="N183" s="18">
        <v>375.08</v>
      </c>
      <c r="O183" s="18">
        <v>383.4</v>
      </c>
      <c r="P183" s="18">
        <v>394.6</v>
      </c>
      <c r="Q183" s="18"/>
      <c r="R183" s="19">
        <v>363.4257824</v>
      </c>
      <c r="S183" s="18">
        <v>368.41876059999998</v>
      </c>
      <c r="T183" s="18">
        <v>375.07606479999998</v>
      </c>
      <c r="U183" s="18">
        <v>383.39769510000002</v>
      </c>
      <c r="V183" s="18">
        <v>394.6036532</v>
      </c>
      <c r="X183" s="15" t="s">
        <v>249</v>
      </c>
      <c r="Y183" s="15" t="s">
        <v>326</v>
      </c>
      <c r="Z183" s="15" t="s">
        <v>346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249</v>
      </c>
      <c r="AS183" s="15" t="s">
        <v>369</v>
      </c>
      <c r="AT183" s="15"/>
      <c r="AU183" s="15"/>
      <c r="AV183" s="15" t="s">
        <v>543</v>
      </c>
      <c r="AW183" s="15"/>
      <c r="AX183" s="15"/>
      <c r="AY183" s="15"/>
      <c r="AZ183" s="18"/>
      <c r="BA183" s="18"/>
      <c r="BB183" s="19">
        <v>0.31740783223075297</v>
      </c>
      <c r="BC183" s="19">
        <v>0.378369325096092</v>
      </c>
      <c r="BD183" s="19">
        <v>0.42363308516480502</v>
      </c>
      <c r="BE183" s="19">
        <v>0.46184810011011801</v>
      </c>
      <c r="BF183" s="19">
        <v>0.50340330123328803</v>
      </c>
      <c r="BG183" s="19">
        <v>0.55111071004802303</v>
      </c>
      <c r="BH183" s="19">
        <v>0.60996708546427902</v>
      </c>
      <c r="BI183" s="19">
        <v>0.69018219681053194</v>
      </c>
      <c r="BJ183" s="19">
        <v>0.772731150286186</v>
      </c>
      <c r="BK183" s="18"/>
      <c r="BL183" s="18"/>
      <c r="BM183" s="19">
        <v>0.210125692318755</v>
      </c>
      <c r="BN183" s="19">
        <v>0.238276828849107</v>
      </c>
      <c r="BO183" s="19">
        <v>0.27241939006282001</v>
      </c>
      <c r="BP183" s="19">
        <v>0.31921972483495098</v>
      </c>
      <c r="BQ183" s="19">
        <v>0.36796099371157798</v>
      </c>
      <c r="BR183" s="19">
        <v>0.415272083770242</v>
      </c>
      <c r="BS183" s="19">
        <v>0.46852502220081998</v>
      </c>
      <c r="BT183" s="19">
        <v>0.52304740628379998</v>
      </c>
      <c r="BU183" s="19">
        <v>0.57665349605371796</v>
      </c>
    </row>
    <row r="184" spans="3:73" x14ac:dyDescent="0.45">
      <c r="C184" s="15" t="s">
        <v>249</v>
      </c>
      <c r="D184" s="15" t="s">
        <v>322</v>
      </c>
      <c r="E184" s="15" t="s">
        <v>295</v>
      </c>
      <c r="F184" s="15"/>
      <c r="G184" s="15"/>
      <c r="H184" s="15"/>
      <c r="I184" s="15" t="s">
        <v>323</v>
      </c>
      <c r="J184" s="18"/>
      <c r="K184" s="18"/>
      <c r="L184" s="19">
        <v>563.28</v>
      </c>
      <c r="M184" s="18">
        <v>536.36</v>
      </c>
      <c r="N184" s="18">
        <v>378.82</v>
      </c>
      <c r="O184" s="18">
        <v>378.82</v>
      </c>
      <c r="P184" s="18">
        <v>378.82</v>
      </c>
      <c r="Q184" s="18"/>
      <c r="R184" s="19">
        <v>563.27611109999998</v>
      </c>
      <c r="S184" s="18">
        <v>549.55551390000005</v>
      </c>
      <c r="T184" s="18">
        <v>413.47444419999999</v>
      </c>
      <c r="U184" s="18">
        <v>413.47444419999999</v>
      </c>
      <c r="V184" s="18">
        <v>413.47444419999999</v>
      </c>
      <c r="X184" s="15" t="s">
        <v>249</v>
      </c>
      <c r="Y184" s="15" t="s">
        <v>326</v>
      </c>
      <c r="Z184" s="15" t="s">
        <v>347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249</v>
      </c>
      <c r="AS184" s="15" t="s">
        <v>369</v>
      </c>
      <c r="AT184" s="15"/>
      <c r="AU184" s="15"/>
      <c r="AV184" s="15" t="s">
        <v>544</v>
      </c>
      <c r="AW184" s="15"/>
      <c r="AX184" s="15"/>
      <c r="AY184" s="15"/>
      <c r="AZ184" s="18"/>
      <c r="BA184" s="18"/>
      <c r="BB184" s="19">
        <v>26.423696044773401</v>
      </c>
      <c r="BC184" s="19">
        <v>26.635280255866501</v>
      </c>
      <c r="BD184" s="19">
        <v>27.3608560095015</v>
      </c>
      <c r="BE184" s="19">
        <v>28.0713121736988</v>
      </c>
      <c r="BF184" s="19">
        <v>29.039743585367599</v>
      </c>
      <c r="BG184" s="19">
        <v>29.9847967398679</v>
      </c>
      <c r="BH184" s="19">
        <v>31.1301037316181</v>
      </c>
      <c r="BI184" s="19">
        <v>33.110885747786803</v>
      </c>
      <c r="BJ184" s="19">
        <v>35.080678600257698</v>
      </c>
      <c r="BK184" s="18"/>
      <c r="BL184" s="18"/>
      <c r="BM184" s="19">
        <v>26.712360911112398</v>
      </c>
      <c r="BN184" s="19">
        <v>28.368368862904902</v>
      </c>
      <c r="BO184" s="19">
        <v>30.964349097953701</v>
      </c>
      <c r="BP184" s="19">
        <v>34.546486970487997</v>
      </c>
      <c r="BQ184" s="19">
        <v>37.827381548019403</v>
      </c>
      <c r="BR184" s="19">
        <v>40.077068550355001</v>
      </c>
      <c r="BS184" s="19">
        <v>42.650909483796703</v>
      </c>
      <c r="BT184" s="19">
        <v>45.4063851072573</v>
      </c>
      <c r="BU184" s="19">
        <v>47.817445090650601</v>
      </c>
    </row>
    <row r="185" spans="3:73" x14ac:dyDescent="0.45">
      <c r="C185" s="15" t="s">
        <v>249</v>
      </c>
      <c r="D185" s="15" t="s">
        <v>322</v>
      </c>
      <c r="E185" s="15" t="s">
        <v>296</v>
      </c>
      <c r="F185" s="15"/>
      <c r="G185" s="15"/>
      <c r="H185" s="15"/>
      <c r="I185" s="15" t="s">
        <v>323</v>
      </c>
      <c r="J185" s="18"/>
      <c r="K185" s="18"/>
      <c r="L185" s="19">
        <v>748.66</v>
      </c>
      <c r="M185" s="18">
        <v>644.29999999999995</v>
      </c>
      <c r="N185" s="18">
        <v>537.66999999999996</v>
      </c>
      <c r="O185" s="18">
        <v>431.38</v>
      </c>
      <c r="P185" s="18">
        <v>408.55</v>
      </c>
      <c r="Q185" s="18"/>
      <c r="R185" s="19">
        <v>748.66000750000001</v>
      </c>
      <c r="S185" s="18">
        <v>644.29869440000004</v>
      </c>
      <c r="T185" s="18">
        <v>431.38474459999998</v>
      </c>
      <c r="U185" s="18">
        <v>431.38474459999998</v>
      </c>
      <c r="V185" s="18">
        <v>408.55235640000001</v>
      </c>
      <c r="X185" s="15" t="s">
        <v>249</v>
      </c>
      <c r="Y185" s="15" t="s">
        <v>326</v>
      </c>
      <c r="Z185" s="15" t="s">
        <v>348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249</v>
      </c>
      <c r="AS185" s="15" t="s">
        <v>369</v>
      </c>
      <c r="AT185" s="15"/>
      <c r="AU185" s="15"/>
      <c r="AV185" s="15" t="s">
        <v>545</v>
      </c>
      <c r="AW185" s="15"/>
      <c r="AX185" s="15"/>
      <c r="AY185" s="15"/>
      <c r="AZ185" s="18"/>
      <c r="BA185" s="18"/>
      <c r="BB185" s="19">
        <v>0.30996089317026698</v>
      </c>
      <c r="BC185" s="19">
        <v>0.31288665164045898</v>
      </c>
      <c r="BD185" s="19">
        <v>0.31376298166466099</v>
      </c>
      <c r="BE185" s="19">
        <v>0.31077167797979599</v>
      </c>
      <c r="BF185" s="19">
        <v>0.30762019209712399</v>
      </c>
      <c r="BG185" s="19">
        <v>0.30854873033414498</v>
      </c>
      <c r="BH185" s="19">
        <v>0.31632921156075999</v>
      </c>
      <c r="BI185" s="19">
        <v>0.33185957773937902</v>
      </c>
      <c r="BJ185" s="19">
        <v>0.34699522069741801</v>
      </c>
      <c r="BK185" s="18"/>
      <c r="BL185" s="18"/>
      <c r="BM185" s="19">
        <v>0.30333381069597198</v>
      </c>
      <c r="BN185" s="19">
        <v>0.31799861570744797</v>
      </c>
      <c r="BO185" s="19">
        <v>0.33789090399951899</v>
      </c>
      <c r="BP185" s="19">
        <v>0.35812970747588602</v>
      </c>
      <c r="BQ185" s="19">
        <v>0.36725073513995898</v>
      </c>
      <c r="BR185" s="19">
        <v>0.36054285476463599</v>
      </c>
      <c r="BS185" s="19">
        <v>0.363636476464615</v>
      </c>
      <c r="BT185" s="19">
        <v>0.37594786169877398</v>
      </c>
      <c r="BU185" s="19">
        <v>0.38414578534577698</v>
      </c>
    </row>
    <row r="186" spans="3:73" x14ac:dyDescent="0.45">
      <c r="C186" s="15" t="s">
        <v>249</v>
      </c>
      <c r="D186" s="15" t="s">
        <v>322</v>
      </c>
      <c r="E186" s="15" t="s">
        <v>297</v>
      </c>
      <c r="F186" s="15"/>
      <c r="G186" s="15"/>
      <c r="H186" s="15"/>
      <c r="I186" s="15" t="s">
        <v>323</v>
      </c>
      <c r="J186" s="18"/>
      <c r="K186" s="18"/>
      <c r="L186" s="19">
        <v>2400</v>
      </c>
      <c r="M186" s="18"/>
      <c r="N186" s="18"/>
      <c r="O186" s="18"/>
      <c r="P186" s="18"/>
      <c r="Q186" s="18"/>
      <c r="R186" s="19">
        <v>2400</v>
      </c>
      <c r="S186" s="18"/>
      <c r="T186" s="18"/>
      <c r="U186" s="18"/>
      <c r="V186" s="18"/>
      <c r="X186" s="15" t="s">
        <v>249</v>
      </c>
      <c r="Y186" s="15" t="s">
        <v>326</v>
      </c>
      <c r="Z186" s="15" t="s">
        <v>349</v>
      </c>
      <c r="AA186" s="15"/>
      <c r="AB186" s="15"/>
      <c r="AC186" s="15"/>
      <c r="AD186" s="15"/>
      <c r="AE186" s="18"/>
      <c r="AF186" s="18"/>
      <c r="AG186" s="19">
        <v>21.981385162999999</v>
      </c>
      <c r="AH186" s="18"/>
      <c r="AI186" s="18"/>
      <c r="AJ186" s="18"/>
      <c r="AK186" s="18"/>
      <c r="AL186" s="18"/>
      <c r="AM186" s="19">
        <v>21.981385162999999</v>
      </c>
      <c r="AN186" s="18"/>
      <c r="AO186" s="18"/>
      <c r="AP186" s="18"/>
      <c r="AR186" s="15" t="s">
        <v>249</v>
      </c>
      <c r="AS186" s="15" t="s">
        <v>369</v>
      </c>
      <c r="AT186" s="15"/>
      <c r="AU186" s="15"/>
      <c r="AV186" s="15" t="s">
        <v>546</v>
      </c>
      <c r="AW186" s="15"/>
      <c r="AX186" s="15"/>
      <c r="AY186" s="15"/>
      <c r="AZ186" s="18"/>
      <c r="BA186" s="18"/>
      <c r="BB186" s="19">
        <v>0.42625190399061202</v>
      </c>
      <c r="BC186" s="19">
        <v>0.81519875551201904</v>
      </c>
      <c r="BD186" s="19">
        <v>1.2115048138500799</v>
      </c>
      <c r="BE186" s="19">
        <v>1.3907825278194501</v>
      </c>
      <c r="BF186" s="19">
        <v>1.5136335258801199</v>
      </c>
      <c r="BG186" s="19">
        <v>1.6152298484856</v>
      </c>
      <c r="BH186" s="19">
        <v>1.73903496118915</v>
      </c>
      <c r="BI186" s="19">
        <v>1.9210690617521</v>
      </c>
      <c r="BJ186" s="19">
        <v>2.1068841093538899</v>
      </c>
      <c r="BK186" s="18"/>
      <c r="BL186" s="18"/>
      <c r="BM186" s="19">
        <v>0.256338051282051</v>
      </c>
      <c r="BN186" s="19">
        <v>0.43392555634846802</v>
      </c>
      <c r="BO186" s="19">
        <v>0.63067795666431903</v>
      </c>
      <c r="BP186" s="19">
        <v>0.91168966910318505</v>
      </c>
      <c r="BQ186" s="19">
        <v>1.1035718750591501</v>
      </c>
      <c r="BR186" s="19">
        <v>1.2114293126037099</v>
      </c>
      <c r="BS186" s="19">
        <v>1.3214917602108101</v>
      </c>
      <c r="BT186" s="19">
        <v>1.4506060294940399</v>
      </c>
      <c r="BU186" s="19">
        <v>1.59283275188066</v>
      </c>
    </row>
    <row r="187" spans="3:73" x14ac:dyDescent="0.45">
      <c r="C187" s="15" t="s">
        <v>249</v>
      </c>
      <c r="D187" s="15" t="s">
        <v>322</v>
      </c>
      <c r="E187" s="15" t="s">
        <v>298</v>
      </c>
      <c r="F187" s="15"/>
      <c r="G187" s="15"/>
      <c r="H187" s="15"/>
      <c r="I187" s="15" t="s">
        <v>323</v>
      </c>
      <c r="J187" s="18"/>
      <c r="K187" s="18"/>
      <c r="L187" s="19">
        <v>1076.086957</v>
      </c>
      <c r="M187" s="18"/>
      <c r="N187" s="18"/>
      <c r="O187" s="18"/>
      <c r="P187" s="18"/>
      <c r="Q187" s="18"/>
      <c r="R187" s="19">
        <v>1076.086957</v>
      </c>
      <c r="S187" s="18"/>
      <c r="T187" s="18"/>
      <c r="U187" s="18"/>
      <c r="V187" s="18"/>
      <c r="X187" s="15" t="s">
        <v>249</v>
      </c>
      <c r="Y187" s="15" t="s">
        <v>326</v>
      </c>
      <c r="Z187" s="15" t="s">
        <v>350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249</v>
      </c>
      <c r="AS187" s="15" t="s">
        <v>369</v>
      </c>
      <c r="AT187" s="15"/>
      <c r="AU187" s="15"/>
      <c r="AV187" s="15" t="s">
        <v>547</v>
      </c>
      <c r="AW187" s="15"/>
      <c r="AX187" s="15"/>
      <c r="AY187" s="15"/>
      <c r="AZ187" s="18"/>
      <c r="BA187" s="18"/>
      <c r="BB187" s="19">
        <v>3.9925999999999999</v>
      </c>
      <c r="BC187" s="19">
        <v>3.9925999999999999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4.4912000000000001</v>
      </c>
      <c r="BN187" s="19">
        <v>5.0519999999999996</v>
      </c>
      <c r="BO187" s="19">
        <v>5.6828000000000003</v>
      </c>
      <c r="BP187" s="19">
        <v>6.1196999999999999</v>
      </c>
      <c r="BQ187" s="19">
        <v>6.5903</v>
      </c>
      <c r="BR187" s="19">
        <v>4.7328999999999999</v>
      </c>
      <c r="BS187" s="19">
        <v>3.399</v>
      </c>
      <c r="BT187" s="19">
        <v>2.4411</v>
      </c>
      <c r="BU187" s="19">
        <v>1.7531000000000001</v>
      </c>
    </row>
    <row r="188" spans="3:73" x14ac:dyDescent="0.45">
      <c r="C188" s="15" t="s">
        <v>249</v>
      </c>
      <c r="D188" s="15" t="s">
        <v>322</v>
      </c>
      <c r="E188" s="15" t="s">
        <v>299</v>
      </c>
      <c r="F188" s="15"/>
      <c r="G188" s="15"/>
      <c r="H188" s="15"/>
      <c r="I188" s="15" t="s">
        <v>323</v>
      </c>
      <c r="J188" s="18"/>
      <c r="K188" s="18"/>
      <c r="L188" s="19">
        <v>370.5</v>
      </c>
      <c r="M188" s="18">
        <v>250</v>
      </c>
      <c r="N188" s="18">
        <v>250</v>
      </c>
      <c r="O188" s="18">
        <v>250</v>
      </c>
      <c r="P188" s="18">
        <v>250</v>
      </c>
      <c r="Q188" s="18"/>
      <c r="R188" s="19">
        <v>370.5</v>
      </c>
      <c r="S188" s="18">
        <v>250</v>
      </c>
      <c r="T188" s="18">
        <v>250</v>
      </c>
      <c r="U188" s="18">
        <v>250</v>
      </c>
      <c r="V188" s="18">
        <v>250</v>
      </c>
      <c r="X188" s="15" t="s">
        <v>249</v>
      </c>
      <c r="Y188" s="15" t="s">
        <v>326</v>
      </c>
      <c r="Z188" s="15" t="s">
        <v>351</v>
      </c>
      <c r="AA188" s="15"/>
      <c r="AB188" s="15"/>
      <c r="AC188" s="15"/>
      <c r="AD188" s="15"/>
      <c r="AE188" s="18"/>
      <c r="AF188" s="18"/>
      <c r="AG188" s="19">
        <v>30</v>
      </c>
      <c r="AH188" s="18"/>
      <c r="AI188" s="18"/>
      <c r="AJ188" s="18"/>
      <c r="AK188" s="18"/>
      <c r="AL188" s="18"/>
      <c r="AM188" s="19">
        <v>30</v>
      </c>
      <c r="AN188" s="18"/>
      <c r="AO188" s="18"/>
      <c r="AP188" s="18"/>
      <c r="AR188" s="15" t="s">
        <v>249</v>
      </c>
      <c r="AS188" s="15" t="s">
        <v>369</v>
      </c>
      <c r="AT188" s="15"/>
      <c r="AU188" s="15"/>
      <c r="AV188" s="15" t="s">
        <v>548</v>
      </c>
      <c r="AW188" s="15"/>
      <c r="AX188" s="15"/>
      <c r="AY188" s="15"/>
      <c r="AZ188" s="18"/>
      <c r="BA188" s="18"/>
      <c r="BB188" s="19">
        <v>3.5</v>
      </c>
      <c r="BC188" s="19">
        <v>3.5</v>
      </c>
      <c r="BD188" s="19">
        <v>0</v>
      </c>
      <c r="BE188" s="19">
        <v>0</v>
      </c>
      <c r="BF188" s="19">
        <v>0</v>
      </c>
      <c r="BG188" s="19">
        <v>0</v>
      </c>
      <c r="BH188" s="19">
        <v>0</v>
      </c>
      <c r="BI188" s="19">
        <v>0</v>
      </c>
      <c r="BJ188" s="19">
        <v>0</v>
      </c>
      <c r="BK188" s="18"/>
      <c r="BL188" s="18"/>
      <c r="BM188" s="19">
        <v>3.5</v>
      </c>
      <c r="BN188" s="19">
        <v>3.5</v>
      </c>
      <c r="BO188" s="19">
        <v>3.5</v>
      </c>
      <c r="BP188" s="19">
        <v>3.5</v>
      </c>
      <c r="BQ188" s="19">
        <v>3.5</v>
      </c>
      <c r="BR188" s="19">
        <v>0</v>
      </c>
      <c r="BS188" s="19">
        <v>0</v>
      </c>
      <c r="BT188" s="19">
        <v>0</v>
      </c>
      <c r="BU188" s="19">
        <v>0</v>
      </c>
    </row>
    <row r="189" spans="3:73" x14ac:dyDescent="0.45">
      <c r="C189" s="15" t="s">
        <v>249</v>
      </c>
      <c r="D189" s="15" t="s">
        <v>322</v>
      </c>
      <c r="E189" s="15" t="s">
        <v>300</v>
      </c>
      <c r="F189" s="15"/>
      <c r="G189" s="15"/>
      <c r="H189" s="15"/>
      <c r="I189" s="15" t="s">
        <v>323</v>
      </c>
      <c r="J189" s="18"/>
      <c r="K189" s="18"/>
      <c r="L189" s="19">
        <v>174.82499999999999</v>
      </c>
      <c r="M189" s="18"/>
      <c r="N189" s="18"/>
      <c r="O189" s="18"/>
      <c r="P189" s="18"/>
      <c r="Q189" s="18"/>
      <c r="R189" s="19">
        <v>174.82499999999999</v>
      </c>
      <c r="S189" s="18"/>
      <c r="T189" s="18"/>
      <c r="U189" s="18"/>
      <c r="V189" s="18"/>
      <c r="X189" s="15" t="s">
        <v>249</v>
      </c>
      <c r="Y189" s="15" t="s">
        <v>326</v>
      </c>
      <c r="Z189" s="15" t="s">
        <v>352</v>
      </c>
      <c r="AA189" s="15"/>
      <c r="AB189" s="15"/>
      <c r="AC189" s="15"/>
      <c r="AD189" s="15"/>
      <c r="AE189" s="18"/>
      <c r="AF189" s="18"/>
      <c r="AG189" s="19">
        <v>26.248000000000001</v>
      </c>
      <c r="AH189" s="18"/>
      <c r="AI189" s="18"/>
      <c r="AJ189" s="18"/>
      <c r="AK189" s="18"/>
      <c r="AL189" s="18"/>
      <c r="AM189" s="19">
        <v>26.248000000000001</v>
      </c>
      <c r="AN189" s="18"/>
      <c r="AO189" s="18"/>
      <c r="AP189" s="18"/>
      <c r="AR189" s="15" t="s">
        <v>249</v>
      </c>
      <c r="AS189" s="15" t="s">
        <v>369</v>
      </c>
      <c r="AT189" s="15"/>
      <c r="AU189" s="15"/>
      <c r="AV189" s="15" t="s">
        <v>549</v>
      </c>
      <c r="AW189" s="15"/>
      <c r="AX189" s="15"/>
      <c r="AY189" s="15"/>
      <c r="AZ189" s="18"/>
      <c r="BA189" s="18"/>
      <c r="BB189" s="19">
        <v>0.202792467153285</v>
      </c>
      <c r="BC189" s="19">
        <v>0.21978667315490699</v>
      </c>
      <c r="BD189" s="19">
        <v>0.23822235198702399</v>
      </c>
      <c r="BE189" s="19">
        <v>0.25658216382806198</v>
      </c>
      <c r="BF189" s="19">
        <v>0.27630758150851598</v>
      </c>
      <c r="BG189" s="19">
        <v>0.30187475750202802</v>
      </c>
      <c r="BH189" s="19">
        <v>0.329869677210057</v>
      </c>
      <c r="BI189" s="19">
        <v>0.360519941605839</v>
      </c>
      <c r="BJ189" s="19">
        <v>0.393901417680454</v>
      </c>
      <c r="BK189" s="18"/>
      <c r="BL189" s="18"/>
      <c r="BM189" s="19">
        <v>0.27739999999999998</v>
      </c>
      <c r="BN189" s="19">
        <v>0.312</v>
      </c>
      <c r="BO189" s="19">
        <v>0.35099999999999998</v>
      </c>
      <c r="BP189" s="19">
        <v>0.378</v>
      </c>
      <c r="BQ189" s="19">
        <v>0.40710000000000002</v>
      </c>
      <c r="BR189" s="19">
        <v>0.44119999999999998</v>
      </c>
      <c r="BS189" s="19">
        <v>0.47820000000000001</v>
      </c>
      <c r="BT189" s="19">
        <v>0.51829999999999998</v>
      </c>
      <c r="BU189" s="19">
        <v>0.56179999999999997</v>
      </c>
    </row>
    <row r="190" spans="3:73" x14ac:dyDescent="0.45">
      <c r="C190" s="15" t="s">
        <v>249</v>
      </c>
      <c r="D190" s="15" t="s">
        <v>322</v>
      </c>
      <c r="E190" s="15" t="s">
        <v>301</v>
      </c>
      <c r="F190" s="15"/>
      <c r="G190" s="15"/>
      <c r="H190" s="15"/>
      <c r="I190" s="15" t="s">
        <v>323</v>
      </c>
      <c r="J190" s="18"/>
      <c r="K190" s="18"/>
      <c r="L190" s="19">
        <v>114.9425287</v>
      </c>
      <c r="M190" s="18"/>
      <c r="N190" s="18"/>
      <c r="O190" s="18"/>
      <c r="P190" s="18"/>
      <c r="Q190" s="18"/>
      <c r="R190" s="19">
        <v>114.9425287</v>
      </c>
      <c r="S190" s="18"/>
      <c r="T190" s="18"/>
      <c r="U190" s="18"/>
      <c r="V190" s="18"/>
      <c r="X190" s="15" t="s">
        <v>249</v>
      </c>
      <c r="Y190" s="15" t="s">
        <v>326</v>
      </c>
      <c r="Z190" s="15" t="s">
        <v>353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249</v>
      </c>
      <c r="AS190" s="15" t="s">
        <v>369</v>
      </c>
      <c r="AT190" s="15"/>
      <c r="AU190" s="15"/>
      <c r="AV190" s="15" t="s">
        <v>550</v>
      </c>
      <c r="AW190" s="15"/>
      <c r="AX190" s="15"/>
      <c r="AY190" s="15"/>
      <c r="AZ190" s="18"/>
      <c r="BA190" s="18"/>
      <c r="BB190" s="19">
        <v>78.132662392077194</v>
      </c>
      <c r="BC190" s="19">
        <v>84.686038634644305</v>
      </c>
      <c r="BD190" s="19">
        <v>91.789145882694697</v>
      </c>
      <c r="BE190" s="19">
        <v>98.846884770093794</v>
      </c>
      <c r="BF190" s="19">
        <v>106.447223181536</v>
      </c>
      <c r="BG190" s="19">
        <v>116.317800429313</v>
      </c>
      <c r="BH190" s="19">
        <v>127.103559172969</v>
      </c>
      <c r="BI190" s="19">
        <v>138.88954612201999</v>
      </c>
      <c r="BJ190" s="19">
        <v>151.768318801541</v>
      </c>
      <c r="BK190" s="18"/>
      <c r="BL190" s="18"/>
      <c r="BM190" s="19">
        <v>106.88120000000001</v>
      </c>
      <c r="BN190" s="19">
        <v>120.2269</v>
      </c>
      <c r="BO190" s="19">
        <v>135.2389</v>
      </c>
      <c r="BP190" s="19">
        <v>145.63749999999999</v>
      </c>
      <c r="BQ190" s="19">
        <v>156.8356</v>
      </c>
      <c r="BR190" s="19">
        <v>169.99019999999999</v>
      </c>
      <c r="BS190" s="19">
        <v>184.2482</v>
      </c>
      <c r="BT190" s="19">
        <v>199.7021</v>
      </c>
      <c r="BU190" s="19">
        <v>216.4522</v>
      </c>
    </row>
    <row r="191" spans="3:73" x14ac:dyDescent="0.45">
      <c r="C191" s="15" t="s">
        <v>249</v>
      </c>
      <c r="D191" s="15" t="s">
        <v>322</v>
      </c>
      <c r="E191" s="15" t="s">
        <v>302</v>
      </c>
      <c r="F191" s="15"/>
      <c r="G191" s="15"/>
      <c r="H191" s="15"/>
      <c r="I191" s="15" t="s">
        <v>323</v>
      </c>
      <c r="J191" s="18"/>
      <c r="K191" s="18"/>
      <c r="L191" s="19">
        <v>705.8823529</v>
      </c>
      <c r="M191" s="18"/>
      <c r="N191" s="18"/>
      <c r="O191" s="18"/>
      <c r="P191" s="18"/>
      <c r="Q191" s="18"/>
      <c r="R191" s="19">
        <v>705.8823529</v>
      </c>
      <c r="S191" s="18"/>
      <c r="T191" s="18"/>
      <c r="U191" s="18"/>
      <c r="V191" s="18"/>
      <c r="X191" s="15" t="s">
        <v>249</v>
      </c>
      <c r="Y191" s="15" t="s">
        <v>326</v>
      </c>
      <c r="Z191" s="15" t="s">
        <v>354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249</v>
      </c>
      <c r="AS191" s="15" t="s">
        <v>369</v>
      </c>
      <c r="AT191" s="15"/>
      <c r="AU191" s="15"/>
      <c r="AV191" s="15" t="s">
        <v>551</v>
      </c>
      <c r="AW191" s="15"/>
      <c r="AX191" s="15"/>
      <c r="AY191" s="15"/>
      <c r="AZ191" s="18"/>
      <c r="BA191" s="18"/>
      <c r="BB191" s="19">
        <v>0.81253358971764</v>
      </c>
      <c r="BC191" s="19">
        <v>0.88066198967715803</v>
      </c>
      <c r="BD191" s="19">
        <v>0.95455626758425305</v>
      </c>
      <c r="BE191" s="19">
        <v>1.02791947778565</v>
      </c>
      <c r="BF191" s="19">
        <v>1.1069726991195199</v>
      </c>
      <c r="BG191" s="19">
        <v>1.2096204999494</v>
      </c>
      <c r="BH191" s="19">
        <v>1.3217516526667299</v>
      </c>
      <c r="BI191" s="19">
        <v>1.44435242586783</v>
      </c>
      <c r="BJ191" s="19">
        <v>1.5782573545187699</v>
      </c>
      <c r="BK191" s="18"/>
      <c r="BL191" s="18"/>
      <c r="BM191" s="19">
        <v>1.1114999999999999</v>
      </c>
      <c r="BN191" s="19">
        <v>1.2502</v>
      </c>
      <c r="BO191" s="19">
        <v>1.4064000000000001</v>
      </c>
      <c r="BP191" s="19">
        <v>1.5145</v>
      </c>
      <c r="BQ191" s="19">
        <v>1.6309</v>
      </c>
      <c r="BR191" s="19">
        <v>1.7677</v>
      </c>
      <c r="BS191" s="19">
        <v>1.9159999999999999</v>
      </c>
      <c r="BT191" s="19">
        <v>2.0767000000000002</v>
      </c>
      <c r="BU191" s="19">
        <v>2.2509000000000001</v>
      </c>
    </row>
    <row r="192" spans="3:73" x14ac:dyDescent="0.45">
      <c r="C192" s="15" t="s">
        <v>249</v>
      </c>
      <c r="D192" s="15" t="s">
        <v>322</v>
      </c>
      <c r="E192" s="15" t="s">
        <v>303</v>
      </c>
      <c r="F192" s="15"/>
      <c r="G192" s="15"/>
      <c r="H192" s="15"/>
      <c r="I192" s="15" t="s">
        <v>323</v>
      </c>
      <c r="J192" s="18"/>
      <c r="K192" s="18"/>
      <c r="L192" s="19">
        <v>1071.4285709999999</v>
      </c>
      <c r="M192" s="18"/>
      <c r="N192" s="18"/>
      <c r="O192" s="18"/>
      <c r="P192" s="18"/>
      <c r="Q192" s="18"/>
      <c r="R192" s="19">
        <v>1071.4285709999999</v>
      </c>
      <c r="S192" s="18"/>
      <c r="T192" s="18"/>
      <c r="U192" s="18"/>
      <c r="V192" s="18"/>
      <c r="X192" s="15" t="s">
        <v>249</v>
      </c>
      <c r="Y192" s="15" t="s">
        <v>326</v>
      </c>
      <c r="Z192" s="15" t="s">
        <v>355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249</v>
      </c>
      <c r="AS192" s="15" t="s">
        <v>369</v>
      </c>
      <c r="AT192" s="15"/>
      <c r="AU192" s="15"/>
      <c r="AV192" s="15" t="s">
        <v>552</v>
      </c>
      <c r="AW192" s="15"/>
      <c r="AX192" s="15"/>
      <c r="AY192" s="15"/>
      <c r="AZ192" s="18"/>
      <c r="BA192" s="18"/>
      <c r="BB192" s="19">
        <v>0.23780000000000001</v>
      </c>
      <c r="BC192" s="19">
        <v>0.25769999999999998</v>
      </c>
      <c r="BD192" s="19">
        <v>0.27929999999999999</v>
      </c>
      <c r="BE192" s="19">
        <v>0.30080000000000001</v>
      </c>
      <c r="BF192" s="19">
        <v>0.32390000000000002</v>
      </c>
      <c r="BG192" s="19">
        <v>0.35399999999999998</v>
      </c>
      <c r="BH192" s="19">
        <v>0.38679999999999998</v>
      </c>
      <c r="BI192" s="19">
        <v>0.42270000000000002</v>
      </c>
      <c r="BJ192" s="19">
        <v>0.46179999999999999</v>
      </c>
      <c r="BK192" s="18"/>
      <c r="BL192" s="18"/>
      <c r="BM192" s="19">
        <v>0.24679999999999999</v>
      </c>
      <c r="BN192" s="19">
        <v>0.27760000000000001</v>
      </c>
      <c r="BO192" s="19">
        <v>0.31219999999999998</v>
      </c>
      <c r="BP192" s="19">
        <v>0.3362</v>
      </c>
      <c r="BQ192" s="19">
        <v>0.36209999999999998</v>
      </c>
      <c r="BR192" s="19">
        <v>0.39250000000000002</v>
      </c>
      <c r="BS192" s="19">
        <v>0.4254</v>
      </c>
      <c r="BT192" s="19">
        <v>0.46110000000000001</v>
      </c>
      <c r="BU192" s="19">
        <v>0.49969999999999998</v>
      </c>
    </row>
    <row r="193" spans="3:73" x14ac:dyDescent="0.45">
      <c r="C193" s="15" t="s">
        <v>249</v>
      </c>
      <c r="D193" s="15" t="s">
        <v>322</v>
      </c>
      <c r="E193" s="15" t="s">
        <v>304</v>
      </c>
      <c r="F193" s="15"/>
      <c r="G193" s="15"/>
      <c r="H193" s="15"/>
      <c r="I193" s="15" t="s">
        <v>323</v>
      </c>
      <c r="J193" s="18"/>
      <c r="K193" s="18"/>
      <c r="L193" s="19">
        <v>6000</v>
      </c>
      <c r="M193" s="18"/>
      <c r="N193" s="18"/>
      <c r="O193" s="18"/>
      <c r="P193" s="18"/>
      <c r="Q193" s="18"/>
      <c r="R193" s="19">
        <v>6000</v>
      </c>
      <c r="S193" s="18"/>
      <c r="T193" s="18"/>
      <c r="U193" s="18"/>
      <c r="V193" s="18"/>
      <c r="X193" s="15" t="s">
        <v>249</v>
      </c>
      <c r="Y193" s="15" t="s">
        <v>326</v>
      </c>
      <c r="Z193" s="15" t="s">
        <v>356</v>
      </c>
      <c r="AA193" s="15"/>
      <c r="AB193" s="15"/>
      <c r="AC193" s="15"/>
      <c r="AD193" s="15"/>
      <c r="AE193" s="18"/>
      <c r="AF193" s="18"/>
      <c r="AG193" s="19">
        <v>18.893708932999999</v>
      </c>
      <c r="AH193" s="18"/>
      <c r="AI193" s="18"/>
      <c r="AJ193" s="18"/>
      <c r="AK193" s="18"/>
      <c r="AL193" s="18"/>
      <c r="AM193" s="19">
        <v>18.893708932999999</v>
      </c>
      <c r="AN193" s="18"/>
      <c r="AO193" s="18"/>
      <c r="AP193" s="18"/>
      <c r="AR193" s="15" t="s">
        <v>249</v>
      </c>
      <c r="AS193" s="15" t="s">
        <v>369</v>
      </c>
      <c r="AT193" s="15"/>
      <c r="AU193" s="15"/>
      <c r="AV193" s="15" t="s">
        <v>553</v>
      </c>
      <c r="AW193" s="15"/>
      <c r="AX193" s="15"/>
      <c r="AY193" s="15"/>
      <c r="AZ193" s="18"/>
      <c r="BA193" s="18"/>
      <c r="BB193" s="19">
        <v>11.809730036615701</v>
      </c>
      <c r="BC193" s="19">
        <v>12.800297135926799</v>
      </c>
      <c r="BD193" s="19">
        <v>13.8739160136632</v>
      </c>
      <c r="BE193" s="19">
        <v>14.9407044647627</v>
      </c>
      <c r="BF193" s="19">
        <v>16.0894580355044</v>
      </c>
      <c r="BG193" s="19">
        <v>17.581440544747402</v>
      </c>
      <c r="BH193" s="19">
        <v>19.2116615749019</v>
      </c>
      <c r="BI193" s="19">
        <v>20.993083412880999</v>
      </c>
      <c r="BJ193" s="19">
        <v>22.939755004381102</v>
      </c>
      <c r="BK193" s="18"/>
      <c r="BL193" s="18"/>
      <c r="BM193" s="19">
        <v>15.7905</v>
      </c>
      <c r="BN193" s="19">
        <v>17.7622</v>
      </c>
      <c r="BO193" s="19">
        <v>19.98</v>
      </c>
      <c r="BP193" s="19">
        <v>21.516300000000001</v>
      </c>
      <c r="BQ193" s="19">
        <v>23.1707</v>
      </c>
      <c r="BR193" s="19">
        <v>25.114100000000001</v>
      </c>
      <c r="BS193" s="19">
        <v>27.220600000000001</v>
      </c>
      <c r="BT193" s="19">
        <v>29.503699999999998</v>
      </c>
      <c r="BU193" s="19">
        <v>31.978400000000001</v>
      </c>
    </row>
    <row r="194" spans="3:73" x14ac:dyDescent="0.45">
      <c r="C194" s="15" t="s">
        <v>249</v>
      </c>
      <c r="D194" s="15" t="s">
        <v>322</v>
      </c>
      <c r="E194" s="15" t="s">
        <v>305</v>
      </c>
      <c r="F194" s="15"/>
      <c r="G194" s="15"/>
      <c r="H194" s="15"/>
      <c r="I194" s="15" t="s">
        <v>323</v>
      </c>
      <c r="J194" s="18"/>
      <c r="K194" s="18"/>
      <c r="L194" s="19">
        <v>6257.14</v>
      </c>
      <c r="M194" s="18"/>
      <c r="N194" s="18"/>
      <c r="O194" s="18"/>
      <c r="P194" s="18"/>
      <c r="Q194" s="18"/>
      <c r="R194" s="19">
        <v>6257.1428569999998</v>
      </c>
      <c r="S194" s="18"/>
      <c r="T194" s="18"/>
      <c r="U194" s="18"/>
      <c r="V194" s="18"/>
      <c r="X194" s="15" t="s">
        <v>249</v>
      </c>
      <c r="Y194" s="15" t="s">
        <v>326</v>
      </c>
      <c r="Z194" s="15" t="s">
        <v>357</v>
      </c>
      <c r="AA194" s="15"/>
      <c r="AB194" s="15"/>
      <c r="AC194" s="15"/>
      <c r="AD194" s="15"/>
      <c r="AE194" s="18"/>
      <c r="AF194" s="18"/>
      <c r="AG194" s="19">
        <v>19.957648846000001</v>
      </c>
      <c r="AH194" s="18"/>
      <c r="AI194" s="18"/>
      <c r="AJ194" s="18"/>
      <c r="AK194" s="18"/>
      <c r="AL194" s="18"/>
      <c r="AM194" s="19">
        <v>19.957648846000001</v>
      </c>
      <c r="AN194" s="18"/>
      <c r="AO194" s="18"/>
      <c r="AP194" s="18"/>
      <c r="AR194" s="15" t="s">
        <v>249</v>
      </c>
      <c r="AS194" s="15" t="s">
        <v>369</v>
      </c>
      <c r="AT194" s="15"/>
      <c r="AU194" s="15"/>
      <c r="AV194" s="15" t="s">
        <v>554</v>
      </c>
      <c r="AW194" s="15"/>
      <c r="AX194" s="15"/>
      <c r="AY194" s="15"/>
      <c r="AZ194" s="18"/>
      <c r="BA194" s="18"/>
      <c r="BB194" s="19">
        <v>0.25460954472069702</v>
      </c>
      <c r="BC194" s="19">
        <v>0.276004029706167</v>
      </c>
      <c r="BD194" s="19">
        <v>0.29914345495640898</v>
      </c>
      <c r="BE194" s="19">
        <v>0.32213114627058398</v>
      </c>
      <c r="BF194" s="19">
        <v>0.34693964481756501</v>
      </c>
      <c r="BG194" s="19">
        <v>0.37910723926380402</v>
      </c>
      <c r="BH194" s="19">
        <v>0.41423364546335201</v>
      </c>
      <c r="BI194" s="19">
        <v>0.452622331288344</v>
      </c>
      <c r="BJ194" s="19">
        <v>0.49457676461091399</v>
      </c>
      <c r="BK194" s="18"/>
      <c r="BL194" s="18"/>
      <c r="BM194" s="19">
        <v>0.3483</v>
      </c>
      <c r="BN194" s="19">
        <v>0.39179999999999998</v>
      </c>
      <c r="BO194" s="19">
        <v>0.44069999999999998</v>
      </c>
      <c r="BP194" s="19">
        <v>0.47460000000000002</v>
      </c>
      <c r="BQ194" s="19">
        <v>0.5111</v>
      </c>
      <c r="BR194" s="19">
        <v>0.55400000000000005</v>
      </c>
      <c r="BS194" s="19">
        <v>0.60050000000000003</v>
      </c>
      <c r="BT194" s="19">
        <v>0.65080000000000005</v>
      </c>
      <c r="BU194" s="19">
        <v>0.70540000000000003</v>
      </c>
    </row>
    <row r="195" spans="3:73" x14ac:dyDescent="0.45">
      <c r="C195" s="15" t="s">
        <v>249</v>
      </c>
      <c r="D195" s="15" t="s">
        <v>322</v>
      </c>
      <c r="E195" s="15" t="s">
        <v>306</v>
      </c>
      <c r="F195" s="15"/>
      <c r="G195" s="15"/>
      <c r="H195" s="15"/>
      <c r="I195" s="15" t="s">
        <v>323</v>
      </c>
      <c r="J195" s="18"/>
      <c r="K195" s="18"/>
      <c r="L195" s="19">
        <v>1076.0899999999999</v>
      </c>
      <c r="M195" s="18"/>
      <c r="N195" s="18"/>
      <c r="O195" s="18"/>
      <c r="P195" s="18"/>
      <c r="Q195" s="18"/>
      <c r="R195" s="19">
        <v>1076.086957</v>
      </c>
      <c r="S195" s="18"/>
      <c r="T195" s="18"/>
      <c r="U195" s="18"/>
      <c r="V195" s="18"/>
      <c r="X195" s="15" t="s">
        <v>249</v>
      </c>
      <c r="Y195" s="15" t="s">
        <v>326</v>
      </c>
      <c r="Z195" s="15" t="s">
        <v>358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249</v>
      </c>
      <c r="AS195" s="15" t="s">
        <v>369</v>
      </c>
      <c r="AT195" s="15"/>
      <c r="AU195" s="15"/>
      <c r="AV195" s="15" t="s">
        <v>555</v>
      </c>
      <c r="AW195" s="15"/>
      <c r="AX195" s="15"/>
      <c r="AY195" s="15"/>
      <c r="AZ195" s="18"/>
      <c r="BA195" s="18"/>
      <c r="BB195" s="19">
        <v>0.40072852821670402</v>
      </c>
      <c r="BC195" s="19">
        <v>0.43433752821670402</v>
      </c>
      <c r="BD195" s="19">
        <v>0.47075360045146702</v>
      </c>
      <c r="BE195" s="19">
        <v>0.50694207223476295</v>
      </c>
      <c r="BF195" s="19">
        <v>0.545937616252822</v>
      </c>
      <c r="BG195" s="19">
        <v>0.59654078329571103</v>
      </c>
      <c r="BH195" s="19">
        <v>0.65184769300225698</v>
      </c>
      <c r="BI195" s="19">
        <v>0.712313546275395</v>
      </c>
      <c r="BJ195" s="19">
        <v>0.77831767720090295</v>
      </c>
      <c r="BK195" s="18"/>
      <c r="BL195" s="18"/>
      <c r="BM195" s="19">
        <v>0.54810000000000003</v>
      </c>
      <c r="BN195" s="19">
        <v>0.61660000000000004</v>
      </c>
      <c r="BO195" s="19">
        <v>0.69359999999999999</v>
      </c>
      <c r="BP195" s="19">
        <v>0.74690000000000001</v>
      </c>
      <c r="BQ195" s="19">
        <v>0.80430000000000001</v>
      </c>
      <c r="BR195" s="19">
        <v>0.87180000000000002</v>
      </c>
      <c r="BS195" s="19">
        <v>0.94489999999999996</v>
      </c>
      <c r="BT195" s="19">
        <v>1.0242</v>
      </c>
      <c r="BU195" s="19">
        <v>1.1101000000000001</v>
      </c>
    </row>
    <row r="196" spans="3:73" x14ac:dyDescent="0.45">
      <c r="C196" s="15" t="s">
        <v>249</v>
      </c>
      <c r="D196" s="15" t="s">
        <v>322</v>
      </c>
      <c r="E196" s="15" t="s">
        <v>307</v>
      </c>
      <c r="F196" s="15"/>
      <c r="G196" s="15"/>
      <c r="H196" s="15"/>
      <c r="I196" s="15" t="s">
        <v>323</v>
      </c>
      <c r="J196" s="18"/>
      <c r="K196" s="18"/>
      <c r="L196" s="19">
        <v>483.48</v>
      </c>
      <c r="M196" s="18">
        <v>356.25</v>
      </c>
      <c r="N196" s="18">
        <v>157.77000000000001</v>
      </c>
      <c r="O196" s="18">
        <v>157.77000000000001</v>
      </c>
      <c r="P196" s="18">
        <v>157.77000000000001</v>
      </c>
      <c r="Q196" s="18"/>
      <c r="R196" s="19">
        <v>483.4846187</v>
      </c>
      <c r="S196" s="18">
        <v>378.64479610000001</v>
      </c>
      <c r="T196" s="18">
        <v>287.03718409999999</v>
      </c>
      <c r="U196" s="18">
        <v>189.32239809999999</v>
      </c>
      <c r="V196" s="18">
        <v>189.32239809999999</v>
      </c>
      <c r="X196" s="15" t="s">
        <v>249</v>
      </c>
      <c r="Y196" s="15" t="s">
        <v>326</v>
      </c>
      <c r="Z196" s="15" t="s">
        <v>359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249</v>
      </c>
      <c r="AS196" s="22" t="s">
        <v>1154</v>
      </c>
      <c r="AT196" s="15"/>
      <c r="AU196" s="15"/>
      <c r="AV196" s="15" t="s">
        <v>556</v>
      </c>
      <c r="AW196" s="15"/>
      <c r="AX196" s="15"/>
      <c r="AY196" s="15" t="s">
        <v>323</v>
      </c>
      <c r="AZ196" s="19">
        <v>0</v>
      </c>
      <c r="BA196" s="18"/>
      <c r="BB196" s="19">
        <v>0.04</v>
      </c>
      <c r="BC196" s="19">
        <v>0.06</v>
      </c>
      <c r="BD196" s="19">
        <v>0.105</v>
      </c>
      <c r="BE196" s="19">
        <v>0.12</v>
      </c>
      <c r="BF196" s="19">
        <v>0.14000000000000001</v>
      </c>
      <c r="BG196" s="19">
        <v>0.155</v>
      </c>
      <c r="BH196" s="19">
        <v>0.17</v>
      </c>
      <c r="BI196" s="19">
        <v>0.185</v>
      </c>
      <c r="BJ196" s="19">
        <v>0.20499999999999999</v>
      </c>
      <c r="BK196" s="19">
        <v>5</v>
      </c>
      <c r="BL196" s="18"/>
      <c r="BM196" s="19">
        <v>0.04</v>
      </c>
      <c r="BN196" s="19">
        <v>4.4999999999999998E-2</v>
      </c>
      <c r="BO196" s="19">
        <v>0.05</v>
      </c>
      <c r="BP196" s="19">
        <v>0.06</v>
      </c>
      <c r="BQ196" s="19">
        <v>7.0000000000000007E-2</v>
      </c>
      <c r="BR196" s="19">
        <v>0.08</v>
      </c>
      <c r="BS196" s="19">
        <v>9.5000000000000001E-2</v>
      </c>
      <c r="BT196" s="19">
        <v>0.115</v>
      </c>
      <c r="BU196" s="19">
        <v>0.13</v>
      </c>
    </row>
    <row r="197" spans="3:73" x14ac:dyDescent="0.45">
      <c r="C197" s="15" t="s">
        <v>249</v>
      </c>
      <c r="D197" s="15" t="s">
        <v>322</v>
      </c>
      <c r="E197" s="15" t="s">
        <v>308</v>
      </c>
      <c r="F197" s="15"/>
      <c r="G197" s="15"/>
      <c r="H197" s="15"/>
      <c r="I197" s="15" t="s">
        <v>323</v>
      </c>
      <c r="J197" s="18"/>
      <c r="K197" s="18"/>
      <c r="L197" s="19">
        <v>264.04000000000002</v>
      </c>
      <c r="M197" s="18">
        <v>264.04000000000002</v>
      </c>
      <c r="N197" s="18">
        <v>264.04000000000002</v>
      </c>
      <c r="O197" s="18">
        <v>264.04000000000002</v>
      </c>
      <c r="P197" s="18">
        <v>264.04000000000002</v>
      </c>
      <c r="Q197" s="18"/>
      <c r="R197" s="19">
        <v>264.0430374</v>
      </c>
      <c r="S197" s="18">
        <v>264.0430374</v>
      </c>
      <c r="T197" s="18">
        <v>264.0430374</v>
      </c>
      <c r="U197" s="18">
        <v>264.0430374</v>
      </c>
      <c r="V197" s="18">
        <v>264.0430374</v>
      </c>
      <c r="X197" s="15" t="s">
        <v>249</v>
      </c>
      <c r="Y197" s="15" t="s">
        <v>326</v>
      </c>
      <c r="Z197" s="15" t="s">
        <v>360</v>
      </c>
      <c r="AA197" s="15"/>
      <c r="AB197" s="15"/>
      <c r="AC197" s="15"/>
      <c r="AD197" s="15"/>
      <c r="AE197" s="18"/>
      <c r="AF197" s="18"/>
      <c r="AG197" s="19">
        <v>18.893708932999999</v>
      </c>
      <c r="AH197" s="18"/>
      <c r="AI197" s="18"/>
      <c r="AJ197" s="18"/>
      <c r="AK197" s="18"/>
      <c r="AL197" s="18"/>
      <c r="AM197" s="19">
        <v>18.893708932999999</v>
      </c>
      <c r="AN197" s="18"/>
      <c r="AO197" s="18"/>
      <c r="AP197" s="18"/>
      <c r="AR197" s="15" t="s">
        <v>249</v>
      </c>
      <c r="AS197" s="15" t="s">
        <v>363</v>
      </c>
      <c r="AT197" s="15" t="s">
        <v>557</v>
      </c>
      <c r="AU197" s="15" t="s">
        <v>558</v>
      </c>
      <c r="AV197" s="15" t="s">
        <v>559</v>
      </c>
      <c r="AW197" s="15" t="s">
        <v>320</v>
      </c>
      <c r="AX197" s="15"/>
      <c r="AY197" s="15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9">
        <v>0.15</v>
      </c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</row>
    <row r="198" spans="3:73" x14ac:dyDescent="0.45">
      <c r="C198" s="15" t="s">
        <v>249</v>
      </c>
      <c r="D198" s="15" t="s">
        <v>322</v>
      </c>
      <c r="E198" s="15" t="s">
        <v>309</v>
      </c>
      <c r="F198" s="15"/>
      <c r="G198" s="15"/>
      <c r="H198" s="15"/>
      <c r="I198" s="15" t="s">
        <v>323</v>
      </c>
      <c r="J198" s="18"/>
      <c r="K198" s="18"/>
      <c r="L198" s="19">
        <v>1851.87</v>
      </c>
      <c r="M198" s="18">
        <v>1898.16</v>
      </c>
      <c r="N198" s="18">
        <v>1962.98</v>
      </c>
      <c r="O198" s="18">
        <v>2042.5</v>
      </c>
      <c r="P198" s="18">
        <v>2096.9699999999998</v>
      </c>
      <c r="Q198" s="18"/>
      <c r="R198" s="19">
        <v>1851.866667</v>
      </c>
      <c r="S198" s="18">
        <v>1898.163333</v>
      </c>
      <c r="T198" s="18">
        <v>1962.9786670000001</v>
      </c>
      <c r="U198" s="18">
        <v>2042.5</v>
      </c>
      <c r="V198" s="18">
        <v>2096.9666670000001</v>
      </c>
      <c r="X198" s="15" t="s">
        <v>249</v>
      </c>
      <c r="Y198" s="15" t="s">
        <v>326</v>
      </c>
      <c r="Z198" s="15" t="s">
        <v>361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249</v>
      </c>
      <c r="AS198" s="15" t="s">
        <v>560</v>
      </c>
      <c r="AT198" s="15" t="s">
        <v>561</v>
      </c>
      <c r="AU198" s="15"/>
      <c r="AV198" s="15" t="s">
        <v>562</v>
      </c>
      <c r="AW198" s="15"/>
      <c r="AX198" s="15" t="s">
        <v>1107</v>
      </c>
      <c r="AY198" s="15" t="s">
        <v>323</v>
      </c>
      <c r="AZ198" s="19">
        <v>5</v>
      </c>
      <c r="BA198" s="18"/>
      <c r="BB198" s="19">
        <v>3.71</v>
      </c>
      <c r="BC198" s="19">
        <v>4.0999999999999996</v>
      </c>
      <c r="BD198" s="19">
        <v>4.3499999999999996</v>
      </c>
      <c r="BE198" s="19">
        <v>4.4800000000000004</v>
      </c>
      <c r="BF198" s="19">
        <v>4.6100000000000003</v>
      </c>
      <c r="BG198" s="19">
        <v>0</v>
      </c>
      <c r="BH198" s="19">
        <v>0</v>
      </c>
      <c r="BI198" s="19">
        <v>0</v>
      </c>
      <c r="BJ198" s="19">
        <v>0</v>
      </c>
      <c r="BK198" s="19">
        <v>5</v>
      </c>
      <c r="BL198" s="18"/>
      <c r="BM198" s="19">
        <v>3.71</v>
      </c>
      <c r="BN198" s="19">
        <v>4.0999999999999996</v>
      </c>
      <c r="BO198" s="19">
        <v>4.3499999999999996</v>
      </c>
      <c r="BP198" s="19">
        <v>4.4800000000000004</v>
      </c>
      <c r="BQ198" s="19">
        <v>4.6100000000000003</v>
      </c>
      <c r="BR198" s="19">
        <v>0</v>
      </c>
      <c r="BS198" s="19">
        <v>0</v>
      </c>
      <c r="BT198" s="19">
        <v>0</v>
      </c>
      <c r="BU198" s="19">
        <v>0</v>
      </c>
    </row>
    <row r="199" spans="3:73" x14ac:dyDescent="0.45">
      <c r="C199" s="15" t="s">
        <v>249</v>
      </c>
      <c r="D199" s="15" t="s">
        <v>322</v>
      </c>
      <c r="E199" s="15" t="s">
        <v>310</v>
      </c>
      <c r="F199" s="15"/>
      <c r="G199" s="15"/>
      <c r="H199" s="15"/>
      <c r="I199" s="15" t="s">
        <v>323</v>
      </c>
      <c r="J199" s="18"/>
      <c r="K199" s="18"/>
      <c r="L199" s="19">
        <v>6565.01</v>
      </c>
      <c r="M199" s="18">
        <v>3423.68</v>
      </c>
      <c r="N199" s="18">
        <v>2040.4</v>
      </c>
      <c r="O199" s="18">
        <v>2040.4</v>
      </c>
      <c r="P199" s="18">
        <v>2040.4</v>
      </c>
      <c r="Q199" s="18"/>
      <c r="R199" s="19">
        <v>6565.0101119999999</v>
      </c>
      <c r="S199" s="18">
        <v>3455.2448639999998</v>
      </c>
      <c r="T199" s="18">
        <v>2084.8753830000001</v>
      </c>
      <c r="U199" s="18">
        <v>2084.8753830000001</v>
      </c>
      <c r="V199" s="18">
        <v>2084.8753830000001</v>
      </c>
      <c r="X199" s="15" t="s">
        <v>249</v>
      </c>
      <c r="Y199" s="15" t="s">
        <v>326</v>
      </c>
      <c r="Z199" s="15" t="s">
        <v>362</v>
      </c>
      <c r="AA199" s="15"/>
      <c r="AB199" s="15"/>
      <c r="AC199" s="15"/>
      <c r="AD199" s="15"/>
      <c r="AE199" s="18"/>
      <c r="AF199" s="18"/>
      <c r="AG199" s="19">
        <v>12.147264359999999</v>
      </c>
      <c r="AH199" s="18"/>
      <c r="AI199" s="18"/>
      <c r="AJ199" s="18"/>
      <c r="AK199" s="18"/>
      <c r="AL199" s="18"/>
      <c r="AM199" s="19">
        <v>12.147264359999999</v>
      </c>
      <c r="AN199" s="18"/>
      <c r="AO199" s="18"/>
      <c r="AP199" s="18"/>
      <c r="AR199" s="15" t="s">
        <v>249</v>
      </c>
      <c r="AS199" s="15" t="s">
        <v>321</v>
      </c>
      <c r="AT199" s="15" t="s">
        <v>349</v>
      </c>
      <c r="AU199" s="15"/>
      <c r="AV199" s="15"/>
      <c r="AW199" s="15" t="s">
        <v>563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249</v>
      </c>
      <c r="D200" s="15" t="s">
        <v>322</v>
      </c>
      <c r="E200" s="15" t="s">
        <v>311</v>
      </c>
      <c r="F200" s="15"/>
      <c r="G200" s="15"/>
      <c r="H200" s="15"/>
      <c r="I200" s="15" t="s">
        <v>323</v>
      </c>
      <c r="J200" s="19"/>
      <c r="K200" s="18"/>
      <c r="L200" s="18">
        <v>7542.15</v>
      </c>
      <c r="M200" s="18">
        <v>4158.21</v>
      </c>
      <c r="N200" s="18">
        <v>3104.03</v>
      </c>
      <c r="O200" s="18">
        <v>2612.63</v>
      </c>
      <c r="P200" s="19">
        <v>2501.4</v>
      </c>
      <c r="Q200" s="18"/>
      <c r="R200" s="18">
        <v>7542.1452920000002</v>
      </c>
      <c r="S200" s="18">
        <v>4158.2148360000001</v>
      </c>
      <c r="T200" s="18">
        <v>3104.0293999999999</v>
      </c>
      <c r="U200" s="18">
        <v>2612.626886</v>
      </c>
      <c r="V200" s="18">
        <v>2501.4005379999999</v>
      </c>
      <c r="X200" s="15" t="s">
        <v>249</v>
      </c>
      <c r="Y200" s="15" t="s">
        <v>327</v>
      </c>
      <c r="Z200" s="15" t="s">
        <v>330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249</v>
      </c>
      <c r="AS200" s="15" t="s">
        <v>321</v>
      </c>
      <c r="AT200" s="15" t="s">
        <v>564</v>
      </c>
      <c r="AU200" s="15"/>
      <c r="AV200" s="15"/>
      <c r="AW200" s="15" t="s">
        <v>563</v>
      </c>
      <c r="AX200" s="15"/>
      <c r="AY200" s="15"/>
      <c r="AZ200" s="19">
        <v>5</v>
      </c>
      <c r="BA200" s="18"/>
      <c r="BB200" s="19">
        <v>1.3</v>
      </c>
      <c r="BC200" s="18"/>
      <c r="BD200" s="18"/>
      <c r="BE200" s="18"/>
      <c r="BF200" s="19">
        <v>1.3</v>
      </c>
      <c r="BG200" s="18"/>
      <c r="BH200" s="19">
        <v>0</v>
      </c>
      <c r="BI200" s="18"/>
      <c r="BJ200" s="18"/>
      <c r="BK200" s="19">
        <v>5</v>
      </c>
      <c r="BL200" s="18"/>
      <c r="BM200" s="19">
        <v>1.3</v>
      </c>
      <c r="BN200" s="18"/>
      <c r="BO200" s="18"/>
      <c r="BP200" s="18"/>
      <c r="BQ200" s="19">
        <v>1.3</v>
      </c>
      <c r="BR200" s="18"/>
      <c r="BS200" s="19">
        <v>0</v>
      </c>
      <c r="BT200" s="18"/>
      <c r="BU200" s="18"/>
    </row>
    <row r="201" spans="3:73" x14ac:dyDescent="0.45">
      <c r="C201" s="15" t="s">
        <v>249</v>
      </c>
      <c r="D201" s="15" t="s">
        <v>322</v>
      </c>
      <c r="E201" s="15" t="s">
        <v>312</v>
      </c>
      <c r="F201" s="15"/>
      <c r="G201" s="15"/>
      <c r="H201" s="15"/>
      <c r="I201" s="15" t="s">
        <v>323</v>
      </c>
      <c r="J201" s="19"/>
      <c r="K201" s="18"/>
      <c r="L201" s="18">
        <v>965.29</v>
      </c>
      <c r="M201" s="18"/>
      <c r="N201" s="18"/>
      <c r="O201" s="18"/>
      <c r="P201" s="19"/>
      <c r="Q201" s="18"/>
      <c r="R201" s="18">
        <v>965.29408179999996</v>
      </c>
      <c r="S201" s="18"/>
      <c r="T201" s="18"/>
      <c r="U201" s="18"/>
      <c r="V201" s="18"/>
      <c r="X201" s="15" t="s">
        <v>249</v>
      </c>
      <c r="Y201" s="15" t="s">
        <v>327</v>
      </c>
      <c r="Z201" s="15" t="s">
        <v>331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249</v>
      </c>
      <c r="AS201" s="15" t="s">
        <v>322</v>
      </c>
      <c r="AT201" s="15" t="s">
        <v>565</v>
      </c>
      <c r="AU201" s="15"/>
      <c r="AV201" s="15"/>
      <c r="AW201" s="15"/>
      <c r="AX201" s="15"/>
      <c r="AY201" s="15" t="s">
        <v>323</v>
      </c>
      <c r="AZ201" s="18"/>
      <c r="BA201" s="18"/>
      <c r="BB201" s="18"/>
      <c r="BC201" s="18"/>
      <c r="BD201" s="18"/>
      <c r="BE201" s="19">
        <v>574.75</v>
      </c>
      <c r="BF201" s="18"/>
      <c r="BG201" s="18"/>
      <c r="BH201" s="19">
        <v>503.5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249</v>
      </c>
      <c r="D202" s="15" t="s">
        <v>322</v>
      </c>
      <c r="E202" s="15" t="s">
        <v>313</v>
      </c>
      <c r="F202" s="15"/>
      <c r="G202" s="15"/>
      <c r="H202" s="15"/>
      <c r="I202" s="15" t="s">
        <v>323</v>
      </c>
      <c r="J202" s="19"/>
      <c r="K202" s="18"/>
      <c r="L202" s="18"/>
      <c r="M202" s="18">
        <v>3039.58</v>
      </c>
      <c r="N202" s="18">
        <v>1245.6600000000001</v>
      </c>
      <c r="O202" s="18">
        <v>1072.05</v>
      </c>
      <c r="P202" s="19">
        <v>1072.05</v>
      </c>
      <c r="Q202" s="18"/>
      <c r="R202" s="18"/>
      <c r="S202" s="18">
        <v>3076.969325</v>
      </c>
      <c r="T202" s="18">
        <v>1595.220724</v>
      </c>
      <c r="U202" s="18">
        <v>1071.7593999999999</v>
      </c>
      <c r="V202" s="18">
        <v>1071.7593999999999</v>
      </c>
      <c r="X202" s="15" t="s">
        <v>249</v>
      </c>
      <c r="Y202" s="15" t="s">
        <v>327</v>
      </c>
      <c r="Z202" s="15" t="s">
        <v>332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249</v>
      </c>
      <c r="AS202" s="15" t="s">
        <v>322</v>
      </c>
      <c r="AT202" s="15" t="s">
        <v>566</v>
      </c>
      <c r="AU202" s="15"/>
      <c r="AV202" s="15"/>
      <c r="AW202" s="15"/>
      <c r="AX202" s="15"/>
      <c r="AY202" s="15" t="s">
        <v>323</v>
      </c>
      <c r="AZ202" s="18"/>
      <c r="BA202" s="18"/>
      <c r="BB202" s="18"/>
      <c r="BC202" s="18"/>
      <c r="BD202" s="18"/>
      <c r="BE202" s="19">
        <v>804.65</v>
      </c>
      <c r="BF202" s="18"/>
      <c r="BG202" s="18"/>
      <c r="BH202" s="19">
        <v>704.9</v>
      </c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249</v>
      </c>
      <c r="D203" s="15" t="s">
        <v>322</v>
      </c>
      <c r="E203" s="15" t="s">
        <v>314</v>
      </c>
      <c r="F203" s="15"/>
      <c r="G203" s="15"/>
      <c r="H203" s="15"/>
      <c r="I203" s="15" t="s">
        <v>323</v>
      </c>
      <c r="J203" s="19"/>
      <c r="K203" s="18"/>
      <c r="L203" s="18"/>
      <c r="M203" s="18">
        <v>2304.09</v>
      </c>
      <c r="N203" s="18">
        <v>1136.31</v>
      </c>
      <c r="O203" s="18">
        <v>666.85</v>
      </c>
      <c r="P203" s="19">
        <v>634.71</v>
      </c>
      <c r="Q203" s="18"/>
      <c r="R203" s="18"/>
      <c r="S203" s="18">
        <v>2307.2582419999999</v>
      </c>
      <c r="T203" s="18">
        <v>2140.7867959999999</v>
      </c>
      <c r="U203" s="18">
        <v>819.54217649999998</v>
      </c>
      <c r="V203" s="18">
        <v>675.35594379999998</v>
      </c>
      <c r="X203" s="15" t="s">
        <v>249</v>
      </c>
      <c r="Y203" s="15" t="s">
        <v>327</v>
      </c>
      <c r="Z203" s="15" t="s">
        <v>333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249</v>
      </c>
      <c r="AS203" s="15" t="s">
        <v>567</v>
      </c>
      <c r="AT203" s="15" t="s">
        <v>568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249</v>
      </c>
      <c r="D204" s="15" t="s">
        <v>322</v>
      </c>
      <c r="E204" s="15" t="s">
        <v>315</v>
      </c>
      <c r="F204" s="15"/>
      <c r="G204" s="15"/>
      <c r="H204" s="15"/>
      <c r="I204" s="15" t="s">
        <v>323</v>
      </c>
      <c r="J204" s="19"/>
      <c r="K204" s="18"/>
      <c r="L204" s="18">
        <v>363.43</v>
      </c>
      <c r="M204" s="18">
        <v>368.42</v>
      </c>
      <c r="N204" s="18">
        <v>375.08</v>
      </c>
      <c r="O204" s="18">
        <v>383.4</v>
      </c>
      <c r="P204" s="19">
        <v>394.6</v>
      </c>
      <c r="Q204" s="18"/>
      <c r="R204" s="18">
        <v>363.4257824</v>
      </c>
      <c r="S204" s="18">
        <v>368.41876059999998</v>
      </c>
      <c r="T204" s="18">
        <v>375.07606479999998</v>
      </c>
      <c r="U204" s="18">
        <v>383.39769510000002</v>
      </c>
      <c r="V204" s="18">
        <v>394.6036532</v>
      </c>
      <c r="X204" s="15" t="s">
        <v>249</v>
      </c>
      <c r="Y204" s="15" t="s">
        <v>327</v>
      </c>
      <c r="Z204" s="15" t="s">
        <v>334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249</v>
      </c>
      <c r="AS204" s="15" t="s">
        <v>567</v>
      </c>
      <c r="AT204" s="15" t="s">
        <v>569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249</v>
      </c>
      <c r="D205" s="15" t="s">
        <v>322</v>
      </c>
      <c r="E205" s="15" t="s">
        <v>316</v>
      </c>
      <c r="F205" s="15"/>
      <c r="G205" s="15"/>
      <c r="H205" s="15"/>
      <c r="I205" s="15" t="s">
        <v>323</v>
      </c>
      <c r="J205" s="19"/>
      <c r="K205" s="18"/>
      <c r="L205" s="18">
        <v>563.28</v>
      </c>
      <c r="M205" s="18">
        <v>536.36</v>
      </c>
      <c r="N205" s="18">
        <v>378.82</v>
      </c>
      <c r="O205" s="18">
        <v>378.82</v>
      </c>
      <c r="P205" s="19">
        <v>378.82</v>
      </c>
      <c r="Q205" s="18"/>
      <c r="R205" s="18">
        <v>563.27611109999998</v>
      </c>
      <c r="S205" s="18">
        <v>549.55551390000005</v>
      </c>
      <c r="T205" s="18">
        <v>413.47444419999999</v>
      </c>
      <c r="U205" s="18">
        <v>413.47444419999999</v>
      </c>
      <c r="V205" s="18">
        <v>413.47444419999999</v>
      </c>
      <c r="X205" s="15" t="s">
        <v>249</v>
      </c>
      <c r="Y205" s="15" t="s">
        <v>327</v>
      </c>
      <c r="Z205" s="15" t="s">
        <v>335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249</v>
      </c>
      <c r="AS205" s="15" t="s">
        <v>567</v>
      </c>
      <c r="AT205" s="15" t="s">
        <v>570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249</v>
      </c>
      <c r="D206" s="15" t="s">
        <v>322</v>
      </c>
      <c r="E206" s="15" t="s">
        <v>317</v>
      </c>
      <c r="F206" s="15"/>
      <c r="G206" s="15"/>
      <c r="H206" s="15"/>
      <c r="I206" s="15" t="s">
        <v>323</v>
      </c>
      <c r="J206" s="19"/>
      <c r="K206" s="18"/>
      <c r="L206" s="18">
        <v>748.66</v>
      </c>
      <c r="M206" s="18">
        <v>644.29999999999995</v>
      </c>
      <c r="N206" s="18">
        <v>537.66999999999996</v>
      </c>
      <c r="O206" s="18">
        <v>431.38</v>
      </c>
      <c r="P206" s="19">
        <v>408.55</v>
      </c>
      <c r="Q206" s="18"/>
      <c r="R206" s="18">
        <v>748.66000750000001</v>
      </c>
      <c r="S206" s="18">
        <v>644.29869440000004</v>
      </c>
      <c r="T206" s="18">
        <v>431.38474459999998</v>
      </c>
      <c r="U206" s="18">
        <v>431.38474459999998</v>
      </c>
      <c r="V206" s="18">
        <v>408.55235640000001</v>
      </c>
      <c r="X206" s="15" t="s">
        <v>249</v>
      </c>
      <c r="Y206" s="15" t="s">
        <v>327</v>
      </c>
      <c r="Z206" s="15" t="s">
        <v>336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249</v>
      </c>
      <c r="AS206" s="15" t="s">
        <v>567</v>
      </c>
      <c r="AT206" s="15" t="s">
        <v>571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249</v>
      </c>
      <c r="D207" s="15" t="s">
        <v>324</v>
      </c>
      <c r="E207" s="15" t="s">
        <v>251</v>
      </c>
      <c r="F207" s="15"/>
      <c r="G207" s="15"/>
      <c r="H207" s="15"/>
      <c r="I207" s="15" t="s">
        <v>323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249</v>
      </c>
      <c r="Y207" s="15" t="s">
        <v>327</v>
      </c>
      <c r="Z207" s="15" t="s">
        <v>339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249</v>
      </c>
      <c r="AS207" s="15" t="s">
        <v>567</v>
      </c>
      <c r="AT207" s="15" t="s">
        <v>572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249</v>
      </c>
      <c r="D208" s="15" t="s">
        <v>324</v>
      </c>
      <c r="E208" s="15" t="s">
        <v>253</v>
      </c>
      <c r="F208" s="15"/>
      <c r="G208" s="15"/>
      <c r="H208" s="15"/>
      <c r="I208" s="15" t="s">
        <v>323</v>
      </c>
      <c r="J208" s="19"/>
      <c r="K208" s="18"/>
      <c r="L208" s="18">
        <v>917.19</v>
      </c>
      <c r="M208" s="18"/>
      <c r="N208" s="18"/>
      <c r="O208" s="18"/>
      <c r="P208" s="19"/>
      <c r="Q208" s="18"/>
      <c r="R208" s="18">
        <v>917.19322629999999</v>
      </c>
      <c r="S208" s="18"/>
      <c r="T208" s="18"/>
      <c r="U208" s="18"/>
      <c r="V208" s="18"/>
      <c r="X208" s="15" t="s">
        <v>249</v>
      </c>
      <c r="Y208" s="15" t="s">
        <v>327</v>
      </c>
      <c r="Z208" s="15" t="s">
        <v>341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249</v>
      </c>
      <c r="AS208" s="15" t="s">
        <v>567</v>
      </c>
      <c r="AT208" s="15" t="s">
        <v>573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249</v>
      </c>
      <c r="D209" s="15" t="s">
        <v>324</v>
      </c>
      <c r="E209" s="15" t="s">
        <v>255</v>
      </c>
      <c r="F209" s="15"/>
      <c r="G209" s="15"/>
      <c r="H209" s="15"/>
      <c r="I209" s="15" t="s">
        <v>323</v>
      </c>
      <c r="J209" s="19"/>
      <c r="K209" s="18"/>
      <c r="L209" s="18">
        <v>250</v>
      </c>
      <c r="M209" s="18"/>
      <c r="N209" s="18"/>
      <c r="O209" s="18"/>
      <c r="P209" s="19"/>
      <c r="Q209" s="18"/>
      <c r="R209" s="18">
        <v>250</v>
      </c>
      <c r="S209" s="18"/>
      <c r="T209" s="18"/>
      <c r="U209" s="18"/>
      <c r="V209" s="18"/>
      <c r="X209" s="15" t="s">
        <v>249</v>
      </c>
      <c r="Y209" s="15" t="s">
        <v>327</v>
      </c>
      <c r="Z209" s="15" t="s">
        <v>342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249</v>
      </c>
      <c r="AS209" s="15" t="s">
        <v>567</v>
      </c>
      <c r="AT209" s="15" t="s">
        <v>574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249</v>
      </c>
      <c r="D210" s="15" t="s">
        <v>324</v>
      </c>
      <c r="E210" s="15" t="s">
        <v>256</v>
      </c>
      <c r="F210" s="15"/>
      <c r="G210" s="15"/>
      <c r="H210" s="15"/>
      <c r="I210" s="15" t="s">
        <v>323</v>
      </c>
      <c r="J210" s="19"/>
      <c r="K210" s="18"/>
      <c r="L210" s="18">
        <v>500</v>
      </c>
      <c r="M210" s="18"/>
      <c r="N210" s="18"/>
      <c r="O210" s="18"/>
      <c r="P210" s="19"/>
      <c r="Q210" s="18"/>
      <c r="R210" s="18">
        <v>500</v>
      </c>
      <c r="S210" s="18"/>
      <c r="T210" s="18"/>
      <c r="U210" s="18"/>
      <c r="V210" s="18"/>
      <c r="X210" s="15" t="s">
        <v>249</v>
      </c>
      <c r="Y210" s="15" t="s">
        <v>327</v>
      </c>
      <c r="Z210" s="15" t="s">
        <v>343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249</v>
      </c>
      <c r="AS210" s="15" t="s">
        <v>567</v>
      </c>
      <c r="AT210" s="15" t="s">
        <v>575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249</v>
      </c>
      <c r="D211" s="15" t="s">
        <v>324</v>
      </c>
      <c r="E211" s="15" t="s">
        <v>257</v>
      </c>
      <c r="F211" s="15"/>
      <c r="G211" s="15"/>
      <c r="H211" s="15"/>
      <c r="I211" s="15" t="s">
        <v>323</v>
      </c>
      <c r="J211" s="19"/>
      <c r="K211" s="18"/>
      <c r="L211" s="18">
        <v>70.400000000000006</v>
      </c>
      <c r="M211" s="18"/>
      <c r="N211" s="18"/>
      <c r="O211" s="18"/>
      <c r="P211" s="19"/>
      <c r="Q211" s="18"/>
      <c r="R211" s="18">
        <v>70.396141889999996</v>
      </c>
      <c r="S211" s="18"/>
      <c r="T211" s="18"/>
      <c r="U211" s="18"/>
      <c r="V211" s="18"/>
      <c r="X211" s="15" t="s">
        <v>249</v>
      </c>
      <c r="Y211" s="15" t="s">
        <v>327</v>
      </c>
      <c r="Z211" s="15" t="s">
        <v>344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249</v>
      </c>
      <c r="AS211" s="15" t="s">
        <v>567</v>
      </c>
      <c r="AT211" s="15" t="s">
        <v>576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249</v>
      </c>
      <c r="D212" s="15" t="s">
        <v>324</v>
      </c>
      <c r="E212" s="15" t="s">
        <v>258</v>
      </c>
      <c r="F212" s="15"/>
      <c r="G212" s="15"/>
      <c r="H212" s="15"/>
      <c r="I212" s="15" t="s">
        <v>323</v>
      </c>
      <c r="J212" s="19"/>
      <c r="K212" s="18"/>
      <c r="L212" s="18">
        <v>65.44</v>
      </c>
      <c r="M212" s="18"/>
      <c r="N212" s="18"/>
      <c r="O212" s="18">
        <v>46.49</v>
      </c>
      <c r="P212" s="19"/>
      <c r="Q212" s="18"/>
      <c r="R212" s="18">
        <v>65.43796571</v>
      </c>
      <c r="S212" s="18"/>
      <c r="T212" s="18"/>
      <c r="U212" s="18">
        <v>48.324291950000003</v>
      </c>
      <c r="V212" s="18"/>
      <c r="X212" s="15" t="s">
        <v>249</v>
      </c>
      <c r="Y212" s="15" t="s">
        <v>327</v>
      </c>
      <c r="Z212" s="15" t="s">
        <v>345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249</v>
      </c>
      <c r="AS212" s="15" t="s">
        <v>567</v>
      </c>
      <c r="AT212" s="15" t="s">
        <v>577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249</v>
      </c>
      <c r="D213" s="15" t="s">
        <v>324</v>
      </c>
      <c r="E213" s="15" t="s">
        <v>259</v>
      </c>
      <c r="F213" s="15"/>
      <c r="G213" s="15"/>
      <c r="H213" s="15"/>
      <c r="I213" s="15" t="s">
        <v>323</v>
      </c>
      <c r="J213" s="19"/>
      <c r="K213" s="18"/>
      <c r="L213" s="18">
        <v>71.34</v>
      </c>
      <c r="M213" s="18"/>
      <c r="N213" s="18"/>
      <c r="O213" s="18"/>
      <c r="P213" s="19"/>
      <c r="Q213" s="18"/>
      <c r="R213" s="18">
        <v>71.343269989999996</v>
      </c>
      <c r="S213" s="18"/>
      <c r="T213" s="18"/>
      <c r="U213" s="18"/>
      <c r="V213" s="18"/>
      <c r="X213" s="15" t="s">
        <v>249</v>
      </c>
      <c r="Y213" s="15" t="s">
        <v>327</v>
      </c>
      <c r="Z213" s="15" t="s">
        <v>346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249</v>
      </c>
      <c r="AS213" s="15" t="s">
        <v>567</v>
      </c>
      <c r="AT213" s="15" t="s">
        <v>578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249</v>
      </c>
      <c r="D214" s="15" t="s">
        <v>324</v>
      </c>
      <c r="E214" s="15" t="s">
        <v>260</v>
      </c>
      <c r="F214" s="15"/>
      <c r="G214" s="15"/>
      <c r="H214" s="15"/>
      <c r="I214" s="15" t="s">
        <v>323</v>
      </c>
      <c r="J214" s="19"/>
      <c r="K214" s="18"/>
      <c r="L214" s="18">
        <v>38.61</v>
      </c>
      <c r="M214" s="18"/>
      <c r="N214" s="18"/>
      <c r="O214" s="18"/>
      <c r="P214" s="19"/>
      <c r="Q214" s="18"/>
      <c r="R214" s="18">
        <v>38.611763269999997</v>
      </c>
      <c r="S214" s="18"/>
      <c r="T214" s="18"/>
      <c r="U214" s="18"/>
      <c r="V214" s="18"/>
      <c r="X214" s="15" t="s">
        <v>249</v>
      </c>
      <c r="Y214" s="15" t="s">
        <v>327</v>
      </c>
      <c r="Z214" s="15" t="s">
        <v>347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249</v>
      </c>
      <c r="AS214" s="15" t="s">
        <v>567</v>
      </c>
      <c r="AT214" s="15" t="s">
        <v>579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249</v>
      </c>
      <c r="D215" s="15" t="s">
        <v>324</v>
      </c>
      <c r="E215" s="15" t="s">
        <v>261</v>
      </c>
      <c r="F215" s="15"/>
      <c r="G215" s="15"/>
      <c r="H215" s="15"/>
      <c r="I215" s="15" t="s">
        <v>323</v>
      </c>
      <c r="J215" s="19"/>
      <c r="K215" s="18"/>
      <c r="L215" s="18">
        <v>57.07</v>
      </c>
      <c r="M215" s="18"/>
      <c r="N215" s="18">
        <v>28.54</v>
      </c>
      <c r="O215" s="18"/>
      <c r="P215" s="19"/>
      <c r="Q215" s="18"/>
      <c r="R215" s="18">
        <v>57.071275049999997</v>
      </c>
      <c r="S215" s="18"/>
      <c r="T215" s="18">
        <v>28.535637529999999</v>
      </c>
      <c r="U215" s="18"/>
      <c r="V215" s="18"/>
      <c r="X215" s="15" t="s">
        <v>249</v>
      </c>
      <c r="Y215" s="15" t="s">
        <v>327</v>
      </c>
      <c r="Z215" s="15" t="s">
        <v>348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249</v>
      </c>
      <c r="AS215" s="15" t="s">
        <v>567</v>
      </c>
      <c r="AT215" s="15" t="s">
        <v>580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249</v>
      </c>
      <c r="D216" s="15" t="s">
        <v>324</v>
      </c>
      <c r="E216" s="15" t="s">
        <v>262</v>
      </c>
      <c r="F216" s="15"/>
      <c r="G216" s="15"/>
      <c r="H216" s="15"/>
      <c r="I216" s="15" t="s">
        <v>323</v>
      </c>
      <c r="J216" s="19"/>
      <c r="K216" s="18"/>
      <c r="L216" s="18">
        <v>34.75</v>
      </c>
      <c r="M216" s="18"/>
      <c r="N216" s="18"/>
      <c r="O216" s="18"/>
      <c r="P216" s="19"/>
      <c r="Q216" s="18"/>
      <c r="R216" s="18">
        <v>34.750586939999998</v>
      </c>
      <c r="S216" s="18"/>
      <c r="T216" s="18"/>
      <c r="U216" s="18"/>
      <c r="V216" s="18"/>
      <c r="X216" s="15" t="s">
        <v>249</v>
      </c>
      <c r="Y216" s="15" t="s">
        <v>327</v>
      </c>
      <c r="Z216" s="15" t="s">
        <v>349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249</v>
      </c>
      <c r="AS216" s="15" t="s">
        <v>567</v>
      </c>
      <c r="AT216" s="15" t="s">
        <v>581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249</v>
      </c>
      <c r="D217" s="15" t="s">
        <v>324</v>
      </c>
      <c r="E217" s="15" t="s">
        <v>263</v>
      </c>
      <c r="F217" s="15"/>
      <c r="G217" s="15"/>
      <c r="H217" s="15"/>
      <c r="I217" s="15" t="s">
        <v>323</v>
      </c>
      <c r="J217" s="19"/>
      <c r="K217" s="18"/>
      <c r="L217" s="18">
        <v>11.88</v>
      </c>
      <c r="M217" s="18"/>
      <c r="N217" s="18"/>
      <c r="O217" s="18"/>
      <c r="P217" s="19"/>
      <c r="Q217" s="18"/>
      <c r="R217" s="18">
        <v>11.87981166</v>
      </c>
      <c r="S217" s="18"/>
      <c r="T217" s="18"/>
      <c r="U217" s="18"/>
      <c r="V217" s="18"/>
      <c r="X217" s="15" t="s">
        <v>249</v>
      </c>
      <c r="Y217" s="15" t="s">
        <v>327</v>
      </c>
      <c r="Z217" s="15" t="s">
        <v>350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249</v>
      </c>
      <c r="AS217" s="15" t="s">
        <v>567</v>
      </c>
      <c r="AT217" s="15" t="s">
        <v>582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249</v>
      </c>
      <c r="D218" s="15" t="s">
        <v>324</v>
      </c>
      <c r="E218" s="15" t="s">
        <v>264</v>
      </c>
      <c r="F218" s="15"/>
      <c r="G218" s="15"/>
      <c r="H218" s="15"/>
      <c r="I218" s="15" t="s">
        <v>323</v>
      </c>
      <c r="J218" s="19"/>
      <c r="K218" s="18"/>
      <c r="L218" s="18">
        <v>10.53</v>
      </c>
      <c r="M218" s="18"/>
      <c r="N218" s="18"/>
      <c r="O218" s="18">
        <v>8.43</v>
      </c>
      <c r="P218" s="19"/>
      <c r="Q218" s="18"/>
      <c r="R218" s="18">
        <v>10.52998122</v>
      </c>
      <c r="S218" s="18"/>
      <c r="T218" s="18"/>
      <c r="U218" s="18">
        <v>9.0149809019999996</v>
      </c>
      <c r="V218" s="18"/>
      <c r="X218" s="15" t="s">
        <v>249</v>
      </c>
      <c r="Y218" s="15" t="s">
        <v>327</v>
      </c>
      <c r="Z218" s="15" t="s">
        <v>351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249</v>
      </c>
      <c r="AS218" s="15" t="s">
        <v>567</v>
      </c>
      <c r="AT218" s="15" t="s">
        <v>583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249</v>
      </c>
      <c r="D219" s="15" t="s">
        <v>324</v>
      </c>
      <c r="E219" s="15" t="s">
        <v>265</v>
      </c>
      <c r="F219" s="15"/>
      <c r="G219" s="15"/>
      <c r="H219" s="15"/>
      <c r="I219" s="15" t="s">
        <v>323</v>
      </c>
      <c r="J219" s="19"/>
      <c r="K219" s="18"/>
      <c r="L219" s="18">
        <v>13.06</v>
      </c>
      <c r="M219" s="18"/>
      <c r="N219" s="18"/>
      <c r="O219" s="18"/>
      <c r="P219" s="19"/>
      <c r="Q219" s="18"/>
      <c r="R219" s="18">
        <v>13.06071596</v>
      </c>
      <c r="S219" s="18"/>
      <c r="T219" s="18"/>
      <c r="U219" s="18"/>
      <c r="V219" s="18"/>
      <c r="X219" s="15" t="s">
        <v>249</v>
      </c>
      <c r="Y219" s="15" t="s">
        <v>327</v>
      </c>
      <c r="Z219" s="15" t="s">
        <v>352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249</v>
      </c>
      <c r="AS219" s="15" t="s">
        <v>567</v>
      </c>
      <c r="AT219" s="15" t="s">
        <v>584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249</v>
      </c>
      <c r="D220" s="15" t="s">
        <v>324</v>
      </c>
      <c r="E220" s="15" t="s">
        <v>266</v>
      </c>
      <c r="F220" s="15"/>
      <c r="G220" s="15"/>
      <c r="H220" s="15"/>
      <c r="I220" s="15" t="s">
        <v>323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249</v>
      </c>
      <c r="Y220" s="15" t="s">
        <v>327</v>
      </c>
      <c r="Z220" s="15" t="s">
        <v>353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249</v>
      </c>
      <c r="AS220" s="15" t="s">
        <v>567</v>
      </c>
      <c r="AT220" s="15" t="s">
        <v>585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249</v>
      </c>
      <c r="D221" s="15" t="s">
        <v>324</v>
      </c>
      <c r="E221" s="15" t="s">
        <v>267</v>
      </c>
      <c r="F221" s="15"/>
      <c r="G221" s="15"/>
      <c r="H221" s="15"/>
      <c r="I221" s="15" t="s">
        <v>323</v>
      </c>
      <c r="J221" s="19"/>
      <c r="K221" s="18"/>
      <c r="L221" s="18">
        <v>21.6</v>
      </c>
      <c r="M221" s="18"/>
      <c r="N221" s="18"/>
      <c r="O221" s="18"/>
      <c r="P221" s="19"/>
      <c r="Q221" s="18"/>
      <c r="R221" s="18">
        <v>21.595994860000001</v>
      </c>
      <c r="S221" s="18"/>
      <c r="T221" s="18"/>
      <c r="U221" s="18"/>
      <c r="V221" s="18"/>
      <c r="X221" s="15" t="s">
        <v>249</v>
      </c>
      <c r="Y221" s="15" t="s">
        <v>327</v>
      </c>
      <c r="Z221" s="15" t="s">
        <v>354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249</v>
      </c>
      <c r="AS221" s="15" t="s">
        <v>567</v>
      </c>
      <c r="AT221" s="15" t="s">
        <v>586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249</v>
      </c>
      <c r="D222" s="15" t="s">
        <v>324</v>
      </c>
      <c r="E222" s="15" t="s">
        <v>268</v>
      </c>
      <c r="F222" s="15"/>
      <c r="G222" s="15"/>
      <c r="H222" s="15"/>
      <c r="I222" s="15" t="s">
        <v>323</v>
      </c>
      <c r="J222" s="19"/>
      <c r="K222" s="18"/>
      <c r="L222" s="18">
        <v>46.65</v>
      </c>
      <c r="M222" s="18"/>
      <c r="N222" s="18"/>
      <c r="O222" s="18"/>
      <c r="P222" s="19"/>
      <c r="Q222" s="18"/>
      <c r="R222" s="18">
        <v>46.646350929999997</v>
      </c>
      <c r="S222" s="18"/>
      <c r="T222" s="18"/>
      <c r="U222" s="18"/>
      <c r="V222" s="18"/>
      <c r="X222" s="15" t="s">
        <v>249</v>
      </c>
      <c r="Y222" s="15" t="s">
        <v>327</v>
      </c>
      <c r="Z222" s="15" t="s">
        <v>355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249</v>
      </c>
      <c r="AS222" s="15" t="s">
        <v>567</v>
      </c>
      <c r="AT222" s="15" t="s">
        <v>587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249</v>
      </c>
      <c r="D223" s="15" t="s">
        <v>324</v>
      </c>
      <c r="E223" s="15" t="s">
        <v>269</v>
      </c>
      <c r="F223" s="15"/>
      <c r="G223" s="15"/>
      <c r="H223" s="15"/>
      <c r="I223" s="15" t="s">
        <v>323</v>
      </c>
      <c r="J223" s="19"/>
      <c r="K223" s="18"/>
      <c r="L223" s="18">
        <v>28.71</v>
      </c>
      <c r="M223" s="18"/>
      <c r="N223" s="18"/>
      <c r="O223" s="18"/>
      <c r="P223" s="19"/>
      <c r="Q223" s="18"/>
      <c r="R223" s="18">
        <v>28.705102870000001</v>
      </c>
      <c r="S223" s="18"/>
      <c r="T223" s="18"/>
      <c r="U223" s="18"/>
      <c r="V223" s="18"/>
      <c r="X223" s="15" t="s">
        <v>249</v>
      </c>
      <c r="Y223" s="15" t="s">
        <v>327</v>
      </c>
      <c r="Z223" s="15" t="s">
        <v>356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249</v>
      </c>
      <c r="AS223" s="15" t="s">
        <v>567</v>
      </c>
      <c r="AT223" s="15" t="s">
        <v>588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249</v>
      </c>
      <c r="D224" s="15" t="s">
        <v>324</v>
      </c>
      <c r="E224" s="15" t="s">
        <v>270</v>
      </c>
      <c r="F224" s="15"/>
      <c r="G224" s="15"/>
      <c r="H224" s="15"/>
      <c r="I224" s="15" t="s">
        <v>323</v>
      </c>
      <c r="J224" s="19"/>
      <c r="K224" s="18"/>
      <c r="L224" s="18">
        <v>36</v>
      </c>
      <c r="M224" s="18"/>
      <c r="N224" s="18"/>
      <c r="O224" s="18"/>
      <c r="P224" s="19"/>
      <c r="Q224" s="18"/>
      <c r="R224" s="18">
        <v>35.99820064</v>
      </c>
      <c r="S224" s="18"/>
      <c r="T224" s="18"/>
      <c r="U224" s="18"/>
      <c r="V224" s="18"/>
      <c r="X224" s="15" t="s">
        <v>249</v>
      </c>
      <c r="Y224" s="15" t="s">
        <v>327</v>
      </c>
      <c r="Z224" s="15" t="s">
        <v>357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249</v>
      </c>
      <c r="AS224" s="15" t="s">
        <v>567</v>
      </c>
      <c r="AT224" s="15" t="s">
        <v>589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249</v>
      </c>
      <c r="D225" s="15" t="s">
        <v>324</v>
      </c>
      <c r="E225" s="15" t="s">
        <v>271</v>
      </c>
      <c r="F225" s="15"/>
      <c r="G225" s="15"/>
      <c r="H225" s="15"/>
      <c r="I225" s="15" t="s">
        <v>323</v>
      </c>
      <c r="J225" s="19"/>
      <c r="K225" s="18"/>
      <c r="L225" s="18">
        <v>24.54</v>
      </c>
      <c r="M225" s="18"/>
      <c r="N225" s="18"/>
      <c r="O225" s="18"/>
      <c r="P225" s="19"/>
      <c r="Q225" s="18"/>
      <c r="R225" s="18">
        <v>24.544002819999999</v>
      </c>
      <c r="S225" s="18"/>
      <c r="T225" s="18"/>
      <c r="U225" s="18"/>
      <c r="V225" s="18"/>
      <c r="X225" s="15" t="s">
        <v>249</v>
      </c>
      <c r="Y225" s="15" t="s">
        <v>327</v>
      </c>
      <c r="Z225" s="15" t="s">
        <v>358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249</v>
      </c>
      <c r="AS225" s="15" t="s">
        <v>567</v>
      </c>
      <c r="AT225" s="15" t="s">
        <v>590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249</v>
      </c>
      <c r="D226" s="15" t="s">
        <v>324</v>
      </c>
      <c r="E226" s="15" t="s">
        <v>272</v>
      </c>
      <c r="F226" s="15"/>
      <c r="G226" s="15"/>
      <c r="H226" s="15"/>
      <c r="I226" s="15" t="s">
        <v>323</v>
      </c>
      <c r="J226" s="19"/>
      <c r="K226" s="18"/>
      <c r="L226" s="18">
        <v>22.92</v>
      </c>
      <c r="M226" s="18"/>
      <c r="N226" s="18"/>
      <c r="O226" s="18"/>
      <c r="P226" s="19"/>
      <c r="Q226" s="18"/>
      <c r="R226" s="18">
        <v>22.917236719999998</v>
      </c>
      <c r="S226" s="18"/>
      <c r="T226" s="18"/>
      <c r="U226" s="18"/>
      <c r="V226" s="18"/>
      <c r="X226" s="15" t="s">
        <v>249</v>
      </c>
      <c r="Y226" s="15" t="s">
        <v>327</v>
      </c>
      <c r="Z226" s="15" t="s">
        <v>359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249</v>
      </c>
      <c r="AS226" s="15" t="s">
        <v>567</v>
      </c>
      <c r="AT226" s="15" t="s">
        <v>591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249</v>
      </c>
      <c r="D227" s="15" t="s">
        <v>324</v>
      </c>
      <c r="E227" s="15" t="s">
        <v>274</v>
      </c>
      <c r="F227" s="15"/>
      <c r="G227" s="15"/>
      <c r="H227" s="15"/>
      <c r="I227" s="15" t="s">
        <v>323</v>
      </c>
      <c r="J227" s="19"/>
      <c r="K227" s="18">
        <v>0.1</v>
      </c>
      <c r="L227" s="18"/>
      <c r="M227" s="18"/>
      <c r="N227" s="18"/>
      <c r="O227" s="18"/>
      <c r="P227" s="19"/>
      <c r="Q227" s="18"/>
      <c r="R227" s="18"/>
      <c r="S227" s="18"/>
      <c r="T227" s="18"/>
      <c r="U227" s="18"/>
      <c r="V227" s="18"/>
      <c r="X227" s="15" t="s">
        <v>249</v>
      </c>
      <c r="Y227" s="15" t="s">
        <v>327</v>
      </c>
      <c r="Z227" s="15" t="s">
        <v>360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249</v>
      </c>
      <c r="AS227" s="15" t="s">
        <v>567</v>
      </c>
      <c r="AT227" s="15" t="s">
        <v>592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249</v>
      </c>
      <c r="D228" s="15" t="s">
        <v>324</v>
      </c>
      <c r="E228" s="15" t="s">
        <v>278</v>
      </c>
      <c r="F228" s="15"/>
      <c r="G228" s="15"/>
      <c r="H228" s="15"/>
      <c r="I228" s="15" t="s">
        <v>323</v>
      </c>
      <c r="J228" s="19"/>
      <c r="K228" s="18"/>
      <c r="L228" s="18">
        <v>32.222066460000001</v>
      </c>
      <c r="M228" s="18"/>
      <c r="N228" s="18"/>
      <c r="O228" s="18"/>
      <c r="P228" s="19"/>
      <c r="Q228" s="18"/>
      <c r="R228" s="18">
        <v>32.222066460000001</v>
      </c>
      <c r="S228" s="18"/>
      <c r="T228" s="18"/>
      <c r="U228" s="18"/>
      <c r="V228" s="18"/>
      <c r="X228" s="15" t="s">
        <v>249</v>
      </c>
      <c r="Y228" s="15" t="s">
        <v>327</v>
      </c>
      <c r="Z228" s="15" t="s">
        <v>361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249</v>
      </c>
      <c r="AS228" s="15" t="s">
        <v>567</v>
      </c>
      <c r="AT228" s="15" t="s">
        <v>593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249</v>
      </c>
      <c r="D229" s="15" t="s">
        <v>324</v>
      </c>
      <c r="E229" s="15" t="s">
        <v>279</v>
      </c>
      <c r="F229" s="15"/>
      <c r="G229" s="15"/>
      <c r="H229" s="15"/>
      <c r="I229" s="15" t="s">
        <v>323</v>
      </c>
      <c r="J229" s="19"/>
      <c r="K229" s="18"/>
      <c r="L229" s="18">
        <v>11.906698</v>
      </c>
      <c r="M229" s="18"/>
      <c r="N229" s="18"/>
      <c r="O229" s="18"/>
      <c r="P229" s="19"/>
      <c r="Q229" s="18"/>
      <c r="R229" s="18">
        <v>11.906698</v>
      </c>
      <c r="S229" s="18"/>
      <c r="T229" s="18"/>
      <c r="U229" s="18"/>
      <c r="V229" s="18"/>
      <c r="X229" s="15" t="s">
        <v>249</v>
      </c>
      <c r="Y229" s="15" t="s">
        <v>327</v>
      </c>
      <c r="Z229" s="15" t="s">
        <v>362</v>
      </c>
      <c r="AA229" s="15"/>
      <c r="AB229" s="15"/>
      <c r="AC229" s="15"/>
      <c r="AD229" s="15"/>
      <c r="AE229" s="19">
        <v>0.08</v>
      </c>
      <c r="AF229" s="18"/>
      <c r="AG229" s="18"/>
      <c r="AH229" s="18"/>
      <c r="AI229" s="18"/>
      <c r="AJ229" s="18"/>
      <c r="AK229" s="19">
        <v>0.08</v>
      </c>
      <c r="AL229" s="18"/>
      <c r="AM229" s="18"/>
      <c r="AN229" s="18"/>
      <c r="AO229" s="18"/>
      <c r="AP229" s="18"/>
      <c r="AR229" s="15" t="s">
        <v>249</v>
      </c>
      <c r="AS229" s="15" t="s">
        <v>567</v>
      </c>
      <c r="AT229" s="15" t="s">
        <v>594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249</v>
      </c>
      <c r="D230" s="15" t="s">
        <v>324</v>
      </c>
      <c r="E230" s="15" t="s">
        <v>280</v>
      </c>
      <c r="F230" s="15"/>
      <c r="G230" s="15"/>
      <c r="H230" s="15"/>
      <c r="I230" s="15" t="s">
        <v>323</v>
      </c>
      <c r="J230" s="18"/>
      <c r="K230" s="18"/>
      <c r="L230" s="19">
        <v>28.99985981</v>
      </c>
      <c r="M230" s="19"/>
      <c r="N230" s="18"/>
      <c r="O230" s="19"/>
      <c r="P230" s="18"/>
      <c r="Q230" s="18"/>
      <c r="R230" s="19">
        <v>28.99985981</v>
      </c>
      <c r="S230" s="19"/>
      <c r="T230" s="18"/>
      <c r="U230" s="19"/>
      <c r="V230" s="19"/>
      <c r="X230" s="15" t="s">
        <v>328</v>
      </c>
      <c r="Y230" s="15" t="s">
        <v>250</v>
      </c>
      <c r="Z230" s="15" t="s">
        <v>330</v>
      </c>
      <c r="AA230" s="15" t="s">
        <v>252</v>
      </c>
      <c r="AB230" s="15"/>
      <c r="AC230" s="15"/>
      <c r="AD230" s="15"/>
      <c r="AE230" s="18"/>
      <c r="AF230" s="18"/>
      <c r="AG230" s="19">
        <v>1.3286635932044299</v>
      </c>
      <c r="AH230" s="19">
        <v>1.1547044951380601</v>
      </c>
      <c r="AI230" s="18"/>
      <c r="AJ230" s="19">
        <v>1.2533056480065099</v>
      </c>
      <c r="AK230" s="18"/>
      <c r="AL230" s="18"/>
      <c r="AM230" s="19">
        <v>1.3286635932044299</v>
      </c>
      <c r="AN230" s="19">
        <v>1.15239602964443</v>
      </c>
      <c r="AO230" s="18"/>
      <c r="AP230" s="19">
        <v>1.25227260001938</v>
      </c>
      <c r="AR230" s="15" t="s">
        <v>249</v>
      </c>
      <c r="AS230" s="15" t="s">
        <v>567</v>
      </c>
      <c r="AT230" s="15" t="s">
        <v>595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249</v>
      </c>
      <c r="D231" s="15" t="s">
        <v>324</v>
      </c>
      <c r="E231" s="15" t="s">
        <v>281</v>
      </c>
      <c r="F231" s="15"/>
      <c r="G231" s="15"/>
      <c r="H231" s="15"/>
      <c r="I231" s="15" t="s">
        <v>323</v>
      </c>
      <c r="J231" s="18"/>
      <c r="K231" s="18"/>
      <c r="L231" s="19">
        <v>50.94642709</v>
      </c>
      <c r="M231" s="18"/>
      <c r="N231" s="18"/>
      <c r="O231" s="18"/>
      <c r="P231" s="18"/>
      <c r="Q231" s="18"/>
      <c r="R231" s="19">
        <v>50.94642709</v>
      </c>
      <c r="S231" s="18"/>
      <c r="T231" s="18"/>
      <c r="U231" s="18"/>
      <c r="V231" s="18"/>
      <c r="X231" s="15" t="s">
        <v>328</v>
      </c>
      <c r="Y231" s="15" t="s">
        <v>250</v>
      </c>
      <c r="Z231" s="15" t="s">
        <v>331</v>
      </c>
      <c r="AA231" s="15" t="s">
        <v>252</v>
      </c>
      <c r="AB231" s="15"/>
      <c r="AC231" s="15"/>
      <c r="AD231" s="15"/>
      <c r="AE231" s="18"/>
      <c r="AF231" s="18"/>
      <c r="AG231" s="19">
        <v>0.73529411764705899</v>
      </c>
      <c r="AH231" s="18"/>
      <c r="AI231" s="18"/>
      <c r="AJ231" s="18"/>
      <c r="AK231" s="18"/>
      <c r="AL231" s="18"/>
      <c r="AM231" s="19">
        <v>0.73529411764705899</v>
      </c>
      <c r="AN231" s="18"/>
      <c r="AO231" s="18"/>
      <c r="AP231" s="18"/>
      <c r="AR231" s="15" t="s">
        <v>249</v>
      </c>
      <c r="AS231" s="15" t="s">
        <v>567</v>
      </c>
      <c r="AT231" s="15" t="s">
        <v>596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249</v>
      </c>
      <c r="D232" s="15" t="s">
        <v>324</v>
      </c>
      <c r="E232" s="15" t="s">
        <v>282</v>
      </c>
      <c r="F232" s="15"/>
      <c r="G232" s="15"/>
      <c r="H232" s="15"/>
      <c r="I232" s="15" t="s">
        <v>323</v>
      </c>
      <c r="J232" s="18"/>
      <c r="K232" s="18"/>
      <c r="L232" s="19">
        <v>18.825723740000001</v>
      </c>
      <c r="M232" s="19"/>
      <c r="N232" s="18"/>
      <c r="O232" s="19"/>
      <c r="P232" s="18"/>
      <c r="Q232" s="18"/>
      <c r="R232" s="19">
        <v>18.825723740000001</v>
      </c>
      <c r="S232" s="19"/>
      <c r="T232" s="18"/>
      <c r="U232" s="19"/>
      <c r="V232" s="19"/>
      <c r="X232" s="15" t="s">
        <v>328</v>
      </c>
      <c r="Y232" s="15" t="s">
        <v>250</v>
      </c>
      <c r="Z232" s="15" t="s">
        <v>332</v>
      </c>
      <c r="AA232" s="15" t="s">
        <v>252</v>
      </c>
      <c r="AB232" s="15"/>
      <c r="AC232" s="15"/>
      <c r="AD232" s="15"/>
      <c r="AE232" s="18"/>
      <c r="AF232" s="18"/>
      <c r="AG232" s="19">
        <v>0.34633084121503799</v>
      </c>
      <c r="AH232" s="19">
        <v>0.37718159491337</v>
      </c>
      <c r="AI232" s="18"/>
      <c r="AJ232" s="19">
        <v>0.402522947533137</v>
      </c>
      <c r="AK232" s="18"/>
      <c r="AL232" s="18"/>
      <c r="AM232" s="19">
        <v>0.34633084121503799</v>
      </c>
      <c r="AN232" s="19">
        <v>0.369526030884607</v>
      </c>
      <c r="AO232" s="18"/>
      <c r="AP232" s="19">
        <v>0.36682984733868601</v>
      </c>
      <c r="AR232" s="15" t="s">
        <v>249</v>
      </c>
      <c r="AS232" s="15" t="s">
        <v>567</v>
      </c>
      <c r="AT232" s="15" t="s">
        <v>597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249</v>
      </c>
      <c r="D233" s="15" t="s">
        <v>324</v>
      </c>
      <c r="E233" s="15" t="s">
        <v>283</v>
      </c>
      <c r="F233" s="15"/>
      <c r="G233" s="15"/>
      <c r="H233" s="15"/>
      <c r="I233" s="15" t="s">
        <v>323</v>
      </c>
      <c r="J233" s="18"/>
      <c r="K233" s="18"/>
      <c r="L233" s="19">
        <v>45.851784379999998</v>
      </c>
      <c r="M233" s="19"/>
      <c r="N233" s="18"/>
      <c r="O233" s="19"/>
      <c r="P233" s="18"/>
      <c r="Q233" s="18"/>
      <c r="R233" s="19">
        <v>45.851784379999998</v>
      </c>
      <c r="S233" s="19"/>
      <c r="T233" s="18"/>
      <c r="U233" s="19"/>
      <c r="V233" s="19"/>
      <c r="X233" s="15" t="s">
        <v>328</v>
      </c>
      <c r="Y233" s="15" t="s">
        <v>250</v>
      </c>
      <c r="Z233" s="15" t="s">
        <v>333</v>
      </c>
      <c r="AA233" s="15" t="s">
        <v>252</v>
      </c>
      <c r="AB233" s="15"/>
      <c r="AC233" s="15"/>
      <c r="AD233" s="15"/>
      <c r="AE233" s="18"/>
      <c r="AF233" s="18"/>
      <c r="AG233" s="19">
        <v>0.32080057540766099</v>
      </c>
      <c r="AH233" s="19">
        <v>0.37690023893270203</v>
      </c>
      <c r="AI233" s="18"/>
      <c r="AJ233" s="19">
        <v>0.43089792618613798</v>
      </c>
      <c r="AK233" s="18"/>
      <c r="AL233" s="18"/>
      <c r="AM233" s="19">
        <v>0.32080057540766099</v>
      </c>
      <c r="AN233" s="19">
        <v>0.37015140102341798</v>
      </c>
      <c r="AO233" s="18"/>
      <c r="AP233" s="19">
        <v>0.40522794060224498</v>
      </c>
      <c r="AR233" s="15" t="s">
        <v>249</v>
      </c>
      <c r="AS233" s="15" t="s">
        <v>567</v>
      </c>
      <c r="AT233" s="15" t="s">
        <v>598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249</v>
      </c>
      <c r="D234" s="15" t="s">
        <v>324</v>
      </c>
      <c r="E234" s="15" t="s">
        <v>285</v>
      </c>
      <c r="F234" s="15"/>
      <c r="G234" s="15"/>
      <c r="H234" s="15"/>
      <c r="I234" s="15" t="s">
        <v>323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328</v>
      </c>
      <c r="Y234" s="15" t="s">
        <v>250</v>
      </c>
      <c r="Z234" s="15" t="s">
        <v>334</v>
      </c>
      <c r="AA234" s="15" t="s">
        <v>252</v>
      </c>
      <c r="AB234" s="15"/>
      <c r="AC234" s="15"/>
      <c r="AD234" s="15"/>
      <c r="AE234" s="18"/>
      <c r="AF234" s="18"/>
      <c r="AG234" s="19">
        <v>0.24232912878138699</v>
      </c>
      <c r="AH234" s="19">
        <v>0.26016473235779503</v>
      </c>
      <c r="AI234" s="18"/>
      <c r="AJ234" s="19">
        <v>0.30361984702604999</v>
      </c>
      <c r="AK234" s="18"/>
      <c r="AL234" s="18"/>
      <c r="AM234" s="19">
        <v>0.24232912878138699</v>
      </c>
      <c r="AN234" s="19">
        <v>0.26005135217853298</v>
      </c>
      <c r="AO234" s="18"/>
      <c r="AP234" s="19">
        <v>0.28945346962129198</v>
      </c>
      <c r="AR234" s="15" t="s">
        <v>249</v>
      </c>
      <c r="AS234" s="15" t="s">
        <v>567</v>
      </c>
      <c r="AT234" s="15" t="s">
        <v>599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249</v>
      </c>
      <c r="D235" s="15" t="s">
        <v>324</v>
      </c>
      <c r="E235" s="15" t="s">
        <v>286</v>
      </c>
      <c r="F235" s="15"/>
      <c r="G235" s="15"/>
      <c r="H235" s="15"/>
      <c r="I235" s="15" t="s">
        <v>323</v>
      </c>
      <c r="J235" s="18"/>
      <c r="K235" s="18"/>
      <c r="L235" s="19">
        <v>917.19</v>
      </c>
      <c r="M235" s="19"/>
      <c r="N235" s="18"/>
      <c r="O235" s="19"/>
      <c r="P235" s="18"/>
      <c r="Q235" s="18"/>
      <c r="R235" s="19">
        <v>917.19322629999999</v>
      </c>
      <c r="S235" s="19"/>
      <c r="T235" s="18"/>
      <c r="U235" s="19"/>
      <c r="V235" s="19"/>
      <c r="X235" s="15" t="s">
        <v>328</v>
      </c>
      <c r="Y235" s="15" t="s">
        <v>250</v>
      </c>
      <c r="Z235" s="15" t="s">
        <v>335</v>
      </c>
      <c r="AA235" s="15" t="s">
        <v>252</v>
      </c>
      <c r="AB235" s="15"/>
      <c r="AC235" s="15"/>
      <c r="AD235" s="15"/>
      <c r="AE235" s="18"/>
      <c r="AF235" s="18"/>
      <c r="AG235" s="19">
        <v>0.22446549570454599</v>
      </c>
      <c r="AH235" s="19">
        <v>0.25997066428980098</v>
      </c>
      <c r="AI235" s="18"/>
      <c r="AJ235" s="19">
        <v>0.32502286698004201</v>
      </c>
      <c r="AK235" s="18"/>
      <c r="AL235" s="18"/>
      <c r="AM235" s="19">
        <v>0.22446549570454599</v>
      </c>
      <c r="AN235" s="19">
        <v>0.260491452027035</v>
      </c>
      <c r="AO235" s="18"/>
      <c r="AP235" s="19">
        <v>0.31975215279174202</v>
      </c>
      <c r="AR235" s="15" t="s">
        <v>249</v>
      </c>
      <c r="AS235" s="15" t="s">
        <v>567</v>
      </c>
      <c r="AT235" s="15" t="s">
        <v>600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249</v>
      </c>
      <c r="D236" s="15" t="s">
        <v>324</v>
      </c>
      <c r="E236" s="15" t="s">
        <v>288</v>
      </c>
      <c r="F236" s="15"/>
      <c r="G236" s="15"/>
      <c r="H236" s="15"/>
      <c r="I236" s="15" t="s">
        <v>323</v>
      </c>
      <c r="J236" s="18"/>
      <c r="K236" s="18"/>
      <c r="L236" s="19">
        <v>70.400000000000006</v>
      </c>
      <c r="M236" s="19"/>
      <c r="N236" s="18"/>
      <c r="O236" s="19"/>
      <c r="P236" s="18"/>
      <c r="Q236" s="18"/>
      <c r="R236" s="19">
        <v>70.396141889999996</v>
      </c>
      <c r="S236" s="19"/>
      <c r="T236" s="18"/>
      <c r="U236" s="19"/>
      <c r="V236" s="19"/>
      <c r="X236" s="15" t="s">
        <v>328</v>
      </c>
      <c r="Y236" s="15" t="s">
        <v>250</v>
      </c>
      <c r="Z236" s="15" t="s">
        <v>336</v>
      </c>
      <c r="AA236" s="15" t="s">
        <v>337</v>
      </c>
      <c r="AB236" s="15"/>
      <c r="AC236" s="15"/>
      <c r="AD236" s="15"/>
      <c r="AE236" s="18"/>
      <c r="AF236" s="18"/>
      <c r="AG236" s="19">
        <v>0.24232912878138699</v>
      </c>
      <c r="AH236" s="19">
        <v>0.26016473235779503</v>
      </c>
      <c r="AI236" s="18"/>
      <c r="AJ236" s="19">
        <v>0.30361984702604999</v>
      </c>
      <c r="AK236" s="18"/>
      <c r="AL236" s="18"/>
      <c r="AM236" s="19">
        <v>0.24232912878138699</v>
      </c>
      <c r="AN236" s="19">
        <v>0.26005135217853298</v>
      </c>
      <c r="AO236" s="18"/>
      <c r="AP236" s="19">
        <v>0.28945346962129198</v>
      </c>
      <c r="AR236" s="15" t="s">
        <v>249</v>
      </c>
      <c r="AS236" s="15" t="s">
        <v>567</v>
      </c>
      <c r="AT236" s="15" t="s">
        <v>601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249</v>
      </c>
      <c r="D237" s="15" t="s">
        <v>324</v>
      </c>
      <c r="E237" s="15" t="s">
        <v>289</v>
      </c>
      <c r="F237" s="15"/>
      <c r="G237" s="15"/>
      <c r="H237" s="15"/>
      <c r="I237" s="15" t="s">
        <v>323</v>
      </c>
      <c r="J237" s="18"/>
      <c r="K237" s="18"/>
      <c r="L237" s="19">
        <v>65.44</v>
      </c>
      <c r="M237" s="19"/>
      <c r="N237" s="18"/>
      <c r="O237" s="19">
        <v>46.49</v>
      </c>
      <c r="P237" s="18"/>
      <c r="Q237" s="18"/>
      <c r="R237" s="19">
        <v>65.43796571</v>
      </c>
      <c r="S237" s="19"/>
      <c r="T237" s="18"/>
      <c r="U237" s="19">
        <v>48.324291950000003</v>
      </c>
      <c r="V237" s="19"/>
      <c r="X237" s="15" t="s">
        <v>328</v>
      </c>
      <c r="Y237" s="15" t="s">
        <v>250</v>
      </c>
      <c r="Z237" s="15" t="s">
        <v>336</v>
      </c>
      <c r="AA237" s="15" t="s">
        <v>338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249</v>
      </c>
      <c r="AS237" s="15" t="s">
        <v>567</v>
      </c>
      <c r="AT237" s="15" t="s">
        <v>602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249</v>
      </c>
      <c r="D238" s="15" t="s">
        <v>324</v>
      </c>
      <c r="E238" s="15" t="s">
        <v>290</v>
      </c>
      <c r="F238" s="15"/>
      <c r="G238" s="15"/>
      <c r="H238" s="15"/>
      <c r="I238" s="15" t="s">
        <v>323</v>
      </c>
      <c r="J238" s="18"/>
      <c r="K238" s="18"/>
      <c r="L238" s="19">
        <v>71.34</v>
      </c>
      <c r="M238" s="19"/>
      <c r="N238" s="18"/>
      <c r="O238" s="19"/>
      <c r="P238" s="18"/>
      <c r="Q238" s="18"/>
      <c r="R238" s="19">
        <v>71.343269989999996</v>
      </c>
      <c r="S238" s="19"/>
      <c r="T238" s="18"/>
      <c r="U238" s="19"/>
      <c r="V238" s="19"/>
      <c r="X238" s="15" t="s">
        <v>328</v>
      </c>
      <c r="Y238" s="15" t="s">
        <v>250</v>
      </c>
      <c r="Z238" s="15" t="s">
        <v>339</v>
      </c>
      <c r="AA238" s="15" t="s">
        <v>338</v>
      </c>
      <c r="AB238" s="15"/>
      <c r="AC238" s="15"/>
      <c r="AD238" s="15"/>
      <c r="AE238" s="18"/>
      <c r="AF238" s="18"/>
      <c r="AG238" s="19">
        <v>1.3286635932044299</v>
      </c>
      <c r="AH238" s="19">
        <v>1.1547044951380601</v>
      </c>
      <c r="AI238" s="18"/>
      <c r="AJ238" s="19">
        <v>1.2533056480065099</v>
      </c>
      <c r="AK238" s="18"/>
      <c r="AL238" s="18"/>
      <c r="AM238" s="19">
        <v>1.3286635932044299</v>
      </c>
      <c r="AN238" s="19">
        <v>1.15239602964443</v>
      </c>
      <c r="AO238" s="18"/>
      <c r="AP238" s="19">
        <v>1.25227260001938</v>
      </c>
      <c r="AR238" s="15" t="s">
        <v>249</v>
      </c>
      <c r="AS238" s="15" t="s">
        <v>567</v>
      </c>
      <c r="AT238" s="15" t="s">
        <v>603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249</v>
      </c>
      <c r="D239" s="15" t="s">
        <v>324</v>
      </c>
      <c r="E239" s="15" t="s">
        <v>291</v>
      </c>
      <c r="F239" s="15"/>
      <c r="G239" s="15"/>
      <c r="H239" s="15"/>
      <c r="I239" s="15" t="s">
        <v>323</v>
      </c>
      <c r="J239" s="18"/>
      <c r="K239" s="18"/>
      <c r="L239" s="19">
        <v>62.4</v>
      </c>
      <c r="M239" s="19"/>
      <c r="N239" s="18"/>
      <c r="O239" s="19"/>
      <c r="P239" s="18"/>
      <c r="Q239" s="18"/>
      <c r="R239" s="19">
        <v>62.40284973</v>
      </c>
      <c r="S239" s="19"/>
      <c r="T239" s="18"/>
      <c r="U239" s="19"/>
      <c r="V239" s="19"/>
      <c r="X239" s="15" t="s">
        <v>328</v>
      </c>
      <c r="Y239" s="15" t="s">
        <v>250</v>
      </c>
      <c r="Z239" s="15" t="s">
        <v>339</v>
      </c>
      <c r="AA239" s="15" t="s">
        <v>340</v>
      </c>
      <c r="AB239" s="15"/>
      <c r="AC239" s="15"/>
      <c r="AD239" s="15"/>
      <c r="AE239" s="18"/>
      <c r="AF239" s="18"/>
      <c r="AG239" s="19">
        <v>0.22446549570454599</v>
      </c>
      <c r="AH239" s="19">
        <v>0.25997066428980098</v>
      </c>
      <c r="AI239" s="18"/>
      <c r="AJ239" s="19">
        <v>0.32502286698004201</v>
      </c>
      <c r="AK239" s="18"/>
      <c r="AL239" s="18"/>
      <c r="AM239" s="19">
        <v>0.22446549570454599</v>
      </c>
      <c r="AN239" s="19">
        <v>0.260491452027035</v>
      </c>
      <c r="AO239" s="18"/>
      <c r="AP239" s="19">
        <v>0.31975215279174202</v>
      </c>
      <c r="AR239" s="15" t="s">
        <v>249</v>
      </c>
      <c r="AS239" s="15" t="s">
        <v>567</v>
      </c>
      <c r="AT239" s="15" t="s">
        <v>604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249</v>
      </c>
      <c r="D240" s="15" t="s">
        <v>324</v>
      </c>
      <c r="E240" s="15" t="s">
        <v>292</v>
      </c>
      <c r="F240" s="15"/>
      <c r="G240" s="15"/>
      <c r="H240" s="15"/>
      <c r="I240" s="15" t="s">
        <v>323</v>
      </c>
      <c r="J240" s="18"/>
      <c r="K240" s="18"/>
      <c r="L240" s="19">
        <v>138.35</v>
      </c>
      <c r="M240" s="18"/>
      <c r="N240" s="18">
        <v>69.180000000000007</v>
      </c>
      <c r="O240" s="18"/>
      <c r="P240" s="18"/>
      <c r="Q240" s="18"/>
      <c r="R240" s="19">
        <v>138.35460620000001</v>
      </c>
      <c r="S240" s="18"/>
      <c r="T240" s="18">
        <v>69.177303100000003</v>
      </c>
      <c r="U240" s="18"/>
      <c r="V240" s="18"/>
      <c r="X240" s="15" t="s">
        <v>328</v>
      </c>
      <c r="Y240" s="15" t="s">
        <v>250</v>
      </c>
      <c r="Z240" s="15" t="s">
        <v>341</v>
      </c>
      <c r="AA240" s="15" t="s">
        <v>252</v>
      </c>
      <c r="AB240" s="15"/>
      <c r="AC240" s="15"/>
      <c r="AD240" s="15"/>
      <c r="AE240" s="18"/>
      <c r="AF240" s="18"/>
      <c r="AG240" s="19">
        <v>0.17838799999999999</v>
      </c>
      <c r="AH240" s="18"/>
      <c r="AI240" s="18"/>
      <c r="AJ240" s="18"/>
      <c r="AK240" s="18"/>
      <c r="AL240" s="18"/>
      <c r="AM240" s="19">
        <v>0.17838799999999999</v>
      </c>
      <c r="AN240" s="18"/>
      <c r="AO240" s="18"/>
      <c r="AP240" s="18"/>
      <c r="AR240" s="15" t="s">
        <v>249</v>
      </c>
      <c r="AS240" s="15" t="s">
        <v>567</v>
      </c>
      <c r="AT240" s="15" t="s">
        <v>605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249</v>
      </c>
      <c r="D241" s="15" t="s">
        <v>324</v>
      </c>
      <c r="E241" s="15" t="s">
        <v>293</v>
      </c>
      <c r="F241" s="15"/>
      <c r="G241" s="15"/>
      <c r="H241" s="15"/>
      <c r="I241" s="15" t="s">
        <v>323</v>
      </c>
      <c r="J241" s="18"/>
      <c r="K241" s="18"/>
      <c r="L241" s="19">
        <v>56.16</v>
      </c>
      <c r="M241" s="18"/>
      <c r="N241" s="18"/>
      <c r="O241" s="18"/>
      <c r="P241" s="18"/>
      <c r="Q241" s="18"/>
      <c r="R241" s="19">
        <v>56.162564760000002</v>
      </c>
      <c r="S241" s="18"/>
      <c r="T241" s="18"/>
      <c r="U241" s="18"/>
      <c r="V241" s="18"/>
      <c r="X241" s="15" t="s">
        <v>328</v>
      </c>
      <c r="Y241" s="15" t="s">
        <v>250</v>
      </c>
      <c r="Z241" s="15" t="s">
        <v>342</v>
      </c>
      <c r="AA241" s="15" t="s">
        <v>252</v>
      </c>
      <c r="AB241" s="15"/>
      <c r="AC241" s="15"/>
      <c r="AD241" s="15"/>
      <c r="AE241" s="18"/>
      <c r="AF241" s="18"/>
      <c r="AG241" s="19">
        <v>9.5545000000000005E-2</v>
      </c>
      <c r="AH241" s="18"/>
      <c r="AI241" s="18"/>
      <c r="AJ241" s="18"/>
      <c r="AK241" s="18"/>
      <c r="AL241" s="18"/>
      <c r="AM241" s="19">
        <v>9.5545000000000005E-2</v>
      </c>
      <c r="AN241" s="18"/>
      <c r="AO241" s="18"/>
      <c r="AP241" s="18"/>
      <c r="AR241" s="15" t="s">
        <v>249</v>
      </c>
      <c r="AS241" s="15" t="s">
        <v>567</v>
      </c>
      <c r="AT241" s="15" t="s">
        <v>606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249</v>
      </c>
      <c r="D242" s="15" t="s">
        <v>324</v>
      </c>
      <c r="E242" s="15" t="s">
        <v>294</v>
      </c>
      <c r="F242" s="15"/>
      <c r="G242" s="15"/>
      <c r="H242" s="15"/>
      <c r="I242" s="15" t="s">
        <v>323</v>
      </c>
      <c r="J242" s="18"/>
      <c r="K242" s="18"/>
      <c r="L242" s="19">
        <v>11.88</v>
      </c>
      <c r="M242" s="19"/>
      <c r="N242" s="18"/>
      <c r="O242" s="19"/>
      <c r="P242" s="18"/>
      <c r="Q242" s="18"/>
      <c r="R242" s="19">
        <v>11.87981166</v>
      </c>
      <c r="S242" s="19"/>
      <c r="T242" s="18"/>
      <c r="U242" s="19"/>
      <c r="V242" s="19"/>
      <c r="X242" s="15" t="s">
        <v>328</v>
      </c>
      <c r="Y242" s="15" t="s">
        <v>250</v>
      </c>
      <c r="Z242" s="15" t="s">
        <v>343</v>
      </c>
      <c r="AA242" s="15" t="s">
        <v>252</v>
      </c>
      <c r="AB242" s="15"/>
      <c r="AC242" s="15"/>
      <c r="AD242" s="15"/>
      <c r="AE242" s="18"/>
      <c r="AF242" s="18"/>
      <c r="AG242" s="19">
        <v>5.6500000000000002E-2</v>
      </c>
      <c r="AH242" s="19">
        <v>5.6500000000000002E-2</v>
      </c>
      <c r="AI242" s="18"/>
      <c r="AJ242" s="19">
        <v>5.6500000000000002E-2</v>
      </c>
      <c r="AK242" s="18"/>
      <c r="AL242" s="18"/>
      <c r="AM242" s="19">
        <v>4.9135097190700798E-2</v>
      </c>
      <c r="AN242" s="19">
        <v>4.9404969955021298E-2</v>
      </c>
      <c r="AO242" s="18"/>
      <c r="AP242" s="19">
        <v>5.0577566564981601E-2</v>
      </c>
      <c r="AR242" s="15" t="s">
        <v>249</v>
      </c>
      <c r="AS242" s="15" t="s">
        <v>567</v>
      </c>
      <c r="AT242" s="15" t="s">
        <v>607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249</v>
      </c>
      <c r="D243" s="15" t="s">
        <v>324</v>
      </c>
      <c r="E243" s="15" t="s">
        <v>295</v>
      </c>
      <c r="F243" s="15"/>
      <c r="G243" s="15"/>
      <c r="H243" s="15"/>
      <c r="I243" s="15" t="s">
        <v>323</v>
      </c>
      <c r="J243" s="18"/>
      <c r="K243" s="18"/>
      <c r="L243" s="19">
        <v>10.53</v>
      </c>
      <c r="M243" s="18"/>
      <c r="N243" s="18"/>
      <c r="O243" s="18">
        <v>8.43</v>
      </c>
      <c r="P243" s="18"/>
      <c r="Q243" s="18"/>
      <c r="R243" s="19">
        <v>10.52998122</v>
      </c>
      <c r="S243" s="18"/>
      <c r="T243" s="18"/>
      <c r="U243" s="18">
        <v>9.0149809019999996</v>
      </c>
      <c r="V243" s="18"/>
      <c r="X243" s="15" t="s">
        <v>328</v>
      </c>
      <c r="Y243" s="15" t="s">
        <v>250</v>
      </c>
      <c r="Z243" s="15" t="s">
        <v>344</v>
      </c>
      <c r="AA243" s="15" t="s">
        <v>252</v>
      </c>
      <c r="AB243" s="15"/>
      <c r="AC243" s="15"/>
      <c r="AD243" s="15"/>
      <c r="AE243" s="18"/>
      <c r="AF243" s="18"/>
      <c r="AG243" s="19">
        <v>0.19607843137254899</v>
      </c>
      <c r="AH243" s="18"/>
      <c r="AI243" s="18"/>
      <c r="AJ243" s="18"/>
      <c r="AK243" s="18"/>
      <c r="AL243" s="18"/>
      <c r="AM243" s="19">
        <v>0.19607843137254899</v>
      </c>
      <c r="AN243" s="18"/>
      <c r="AO243" s="18"/>
      <c r="AP243" s="18"/>
      <c r="AR243" s="15" t="s">
        <v>249</v>
      </c>
      <c r="AS243" s="15" t="s">
        <v>567</v>
      </c>
      <c r="AT243" s="15" t="s">
        <v>608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249</v>
      </c>
      <c r="D244" s="15" t="s">
        <v>324</v>
      </c>
      <c r="E244" s="15" t="s">
        <v>296</v>
      </c>
      <c r="F244" s="15"/>
      <c r="G244" s="15"/>
      <c r="H244" s="15"/>
      <c r="I244" s="15" t="s">
        <v>323</v>
      </c>
      <c r="J244" s="18"/>
      <c r="K244" s="18"/>
      <c r="L244" s="19">
        <v>13.06</v>
      </c>
      <c r="M244" s="18"/>
      <c r="N244" s="18"/>
      <c r="O244" s="18"/>
      <c r="P244" s="18"/>
      <c r="Q244" s="18"/>
      <c r="R244" s="19">
        <v>13.06071596</v>
      </c>
      <c r="S244" s="18"/>
      <c r="T244" s="18"/>
      <c r="U244" s="18"/>
      <c r="V244" s="18"/>
      <c r="X244" s="15" t="s">
        <v>328</v>
      </c>
      <c r="Y244" s="15" t="s">
        <v>250</v>
      </c>
      <c r="Z244" s="15" t="s">
        <v>345</v>
      </c>
      <c r="AA244" s="15" t="s">
        <v>252</v>
      </c>
      <c r="AB244" s="15"/>
      <c r="AC244" s="15"/>
      <c r="AD244" s="15"/>
      <c r="AE244" s="18"/>
      <c r="AF244" s="18"/>
      <c r="AG244" s="19">
        <v>0.128205128205128</v>
      </c>
      <c r="AH244" s="18"/>
      <c r="AI244" s="18"/>
      <c r="AJ244" s="18"/>
      <c r="AK244" s="18"/>
      <c r="AL244" s="18"/>
      <c r="AM244" s="19">
        <v>0.128205128205128</v>
      </c>
      <c r="AN244" s="18"/>
      <c r="AO244" s="18"/>
      <c r="AP244" s="18"/>
      <c r="AR244" s="15" t="s">
        <v>249</v>
      </c>
      <c r="AS244" s="15" t="s">
        <v>567</v>
      </c>
      <c r="AT244" s="15" t="s">
        <v>609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249</v>
      </c>
      <c r="D245" s="15" t="s">
        <v>324</v>
      </c>
      <c r="E245" s="15" t="s">
        <v>300</v>
      </c>
      <c r="F245" s="15"/>
      <c r="G245" s="15"/>
      <c r="H245" s="15"/>
      <c r="I245" s="15" t="s">
        <v>323</v>
      </c>
      <c r="J245" s="18"/>
      <c r="K245" s="18"/>
      <c r="L245" s="19">
        <v>6.62</v>
      </c>
      <c r="M245" s="19"/>
      <c r="N245" s="18"/>
      <c r="O245" s="19"/>
      <c r="P245" s="18"/>
      <c r="Q245" s="18"/>
      <c r="R245" s="19">
        <v>6.62</v>
      </c>
      <c r="S245" s="19"/>
      <c r="T245" s="18"/>
      <c r="U245" s="19"/>
      <c r="V245" s="19"/>
      <c r="X245" s="15" t="s">
        <v>328</v>
      </c>
      <c r="Y245" s="15" t="s">
        <v>250</v>
      </c>
      <c r="Z245" s="15" t="s">
        <v>346</v>
      </c>
      <c r="AA245" s="15" t="s">
        <v>252</v>
      </c>
      <c r="AB245" s="15"/>
      <c r="AC245" s="15"/>
      <c r="AD245" s="15"/>
      <c r="AE245" s="18"/>
      <c r="AF245" s="18"/>
      <c r="AG245" s="19">
        <v>0.13187233674282201</v>
      </c>
      <c r="AH245" s="19">
        <v>0.13722673053484899</v>
      </c>
      <c r="AI245" s="18"/>
      <c r="AJ245" s="19">
        <v>0.144488417272193</v>
      </c>
      <c r="AK245" s="18"/>
      <c r="AL245" s="18"/>
      <c r="AM245" s="19">
        <v>0.13187233674282201</v>
      </c>
      <c r="AN245" s="19">
        <v>0.137057123605487</v>
      </c>
      <c r="AO245" s="18"/>
      <c r="AP245" s="19">
        <v>0.13891373157995199</v>
      </c>
      <c r="AR245" s="15" t="s">
        <v>249</v>
      </c>
      <c r="AS245" s="15" t="s">
        <v>567</v>
      </c>
      <c r="AT245" s="15" t="s">
        <v>610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249</v>
      </c>
      <c r="D246" s="15" t="s">
        <v>324</v>
      </c>
      <c r="E246" s="15" t="s">
        <v>301</v>
      </c>
      <c r="F246" s="15"/>
      <c r="G246" s="15"/>
      <c r="H246" s="15"/>
      <c r="I246" s="15" t="s">
        <v>323</v>
      </c>
      <c r="J246" s="18"/>
      <c r="K246" s="18"/>
      <c r="L246" s="19">
        <v>4.41</v>
      </c>
      <c r="M246" s="18"/>
      <c r="N246" s="18"/>
      <c r="O246" s="18"/>
      <c r="P246" s="18"/>
      <c r="Q246" s="18"/>
      <c r="R246" s="19">
        <v>4.41</v>
      </c>
      <c r="S246" s="18"/>
      <c r="T246" s="18"/>
      <c r="U246" s="18"/>
      <c r="V246" s="18"/>
      <c r="X246" s="15" t="s">
        <v>328</v>
      </c>
      <c r="Y246" s="15" t="s">
        <v>250</v>
      </c>
      <c r="Z246" s="15" t="s">
        <v>347</v>
      </c>
      <c r="AA246" s="15" t="s">
        <v>252</v>
      </c>
      <c r="AB246" s="15"/>
      <c r="AC246" s="15"/>
      <c r="AD246" s="15"/>
      <c r="AE246" s="18"/>
      <c r="AF246" s="18"/>
      <c r="AG246" s="19">
        <v>0.16328799999999999</v>
      </c>
      <c r="AH246" s="18"/>
      <c r="AI246" s="18"/>
      <c r="AJ246" s="18"/>
      <c r="AK246" s="18"/>
      <c r="AL246" s="18"/>
      <c r="AM246" s="19">
        <v>0.16328799999999999</v>
      </c>
      <c r="AN246" s="18"/>
      <c r="AO246" s="18"/>
      <c r="AP246" s="18"/>
      <c r="AR246" s="15" t="s">
        <v>249</v>
      </c>
      <c r="AS246" s="15" t="s">
        <v>567</v>
      </c>
      <c r="AT246" s="15" t="s">
        <v>611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249</v>
      </c>
      <c r="D247" s="15" t="s">
        <v>324</v>
      </c>
      <c r="E247" s="15" t="s">
        <v>302</v>
      </c>
      <c r="F247" s="15"/>
      <c r="G247" s="15"/>
      <c r="H247" s="15"/>
      <c r="I247" s="15" t="s">
        <v>323</v>
      </c>
      <c r="J247" s="18"/>
      <c r="K247" s="18"/>
      <c r="L247" s="19">
        <v>6.67</v>
      </c>
      <c r="M247" s="18"/>
      <c r="N247" s="18"/>
      <c r="O247" s="18"/>
      <c r="P247" s="18"/>
      <c r="Q247" s="18"/>
      <c r="R247" s="19">
        <v>11.25</v>
      </c>
      <c r="S247" s="18"/>
      <c r="T247" s="18"/>
      <c r="U247" s="18"/>
      <c r="V247" s="18"/>
      <c r="X247" s="15" t="s">
        <v>328</v>
      </c>
      <c r="Y247" s="15" t="s">
        <v>250</v>
      </c>
      <c r="Z247" s="15" t="s">
        <v>348</v>
      </c>
      <c r="AA247" s="15" t="s">
        <v>252</v>
      </c>
      <c r="AB247" s="15"/>
      <c r="AC247" s="15"/>
      <c r="AD247" s="15"/>
      <c r="AE247" s="18"/>
      <c r="AF247" s="18"/>
      <c r="AG247" s="19">
        <v>9.2196E-2</v>
      </c>
      <c r="AH247" s="18"/>
      <c r="AI247" s="18"/>
      <c r="AJ247" s="18"/>
      <c r="AK247" s="18"/>
      <c r="AL247" s="18"/>
      <c r="AM247" s="19">
        <v>9.2196E-2</v>
      </c>
      <c r="AN247" s="18"/>
      <c r="AO247" s="18"/>
      <c r="AP247" s="18"/>
      <c r="AR247" s="15" t="s">
        <v>249</v>
      </c>
      <c r="AS247" s="15" t="s">
        <v>567</v>
      </c>
      <c r="AT247" s="15" t="s">
        <v>612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249</v>
      </c>
      <c r="D248" s="15" t="s">
        <v>324</v>
      </c>
      <c r="E248" s="15" t="s">
        <v>304</v>
      </c>
      <c r="F248" s="15"/>
      <c r="G248" s="15"/>
      <c r="H248" s="15"/>
      <c r="I248" s="15" t="s">
        <v>323</v>
      </c>
      <c r="J248" s="18"/>
      <c r="K248" s="18"/>
      <c r="L248" s="19">
        <v>917.19</v>
      </c>
      <c r="M248" s="18"/>
      <c r="N248" s="18"/>
      <c r="O248" s="18"/>
      <c r="P248" s="18"/>
      <c r="Q248" s="18"/>
      <c r="R248" s="19">
        <v>917.19322629999999</v>
      </c>
      <c r="S248" s="18"/>
      <c r="T248" s="18"/>
      <c r="U248" s="18"/>
      <c r="V248" s="18"/>
      <c r="X248" s="15" t="s">
        <v>328</v>
      </c>
      <c r="Y248" s="15" t="s">
        <v>250</v>
      </c>
      <c r="Z248" s="15" t="s">
        <v>349</v>
      </c>
      <c r="AA248" s="15" t="s">
        <v>252</v>
      </c>
      <c r="AB248" s="15"/>
      <c r="AC248" s="15"/>
      <c r="AD248" s="15"/>
      <c r="AE248" s="18"/>
      <c r="AF248" s="18"/>
      <c r="AG248" s="19">
        <v>0.05</v>
      </c>
      <c r="AH248" s="18"/>
      <c r="AI248" s="18"/>
      <c r="AJ248" s="18"/>
      <c r="AK248" s="18"/>
      <c r="AL248" s="18"/>
      <c r="AM248" s="19">
        <v>0.05</v>
      </c>
      <c r="AN248" s="18"/>
      <c r="AO248" s="18"/>
      <c r="AP248" s="18"/>
      <c r="AR248" s="15" t="s">
        <v>249</v>
      </c>
      <c r="AS248" s="15" t="s">
        <v>567</v>
      </c>
      <c r="AT248" s="15" t="s">
        <v>613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249</v>
      </c>
      <c r="D249" s="15" t="s">
        <v>324</v>
      </c>
      <c r="E249" s="15" t="s">
        <v>305</v>
      </c>
      <c r="F249" s="15"/>
      <c r="G249" s="15"/>
      <c r="H249" s="15"/>
      <c r="I249" s="15" t="s">
        <v>323</v>
      </c>
      <c r="J249" s="18"/>
      <c r="K249" s="18"/>
      <c r="L249" s="19">
        <v>917.19</v>
      </c>
      <c r="M249" s="19"/>
      <c r="N249" s="18"/>
      <c r="O249" s="19"/>
      <c r="P249" s="18"/>
      <c r="Q249" s="18"/>
      <c r="R249" s="19">
        <v>917.19322629999999</v>
      </c>
      <c r="S249" s="19"/>
      <c r="T249" s="18"/>
      <c r="U249" s="19"/>
      <c r="V249" s="19"/>
      <c r="X249" s="15" t="s">
        <v>328</v>
      </c>
      <c r="Y249" s="15" t="s">
        <v>250</v>
      </c>
      <c r="Z249" s="15" t="s">
        <v>350</v>
      </c>
      <c r="AA249" s="15" t="s">
        <v>252</v>
      </c>
      <c r="AB249" s="15"/>
      <c r="AC249" s="15"/>
      <c r="AD249" s="15"/>
      <c r="AE249" s="18"/>
      <c r="AF249" s="18"/>
      <c r="AG249" s="19">
        <v>0.26548132515092698</v>
      </c>
      <c r="AH249" s="19">
        <v>0.30574531757421303</v>
      </c>
      <c r="AI249" s="18"/>
      <c r="AJ249" s="19">
        <v>0.33634750825931398</v>
      </c>
      <c r="AK249" s="18"/>
      <c r="AL249" s="18"/>
      <c r="AM249" s="19">
        <v>0.26548132515092698</v>
      </c>
      <c r="AN249" s="19">
        <v>0.31138463148104101</v>
      </c>
      <c r="AO249" s="18"/>
      <c r="AP249" s="19">
        <v>0.337359295474851</v>
      </c>
      <c r="AR249" s="15" t="s">
        <v>249</v>
      </c>
      <c r="AS249" s="15" t="s">
        <v>567</v>
      </c>
      <c r="AT249" s="15" t="s">
        <v>614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249</v>
      </c>
      <c r="D250" s="15" t="s">
        <v>324</v>
      </c>
      <c r="E250" s="15" t="s">
        <v>307</v>
      </c>
      <c r="F250" s="15"/>
      <c r="G250" s="15"/>
      <c r="H250" s="15"/>
      <c r="I250" s="15" t="s">
        <v>323</v>
      </c>
      <c r="J250" s="18"/>
      <c r="K250" s="18"/>
      <c r="L250" s="19">
        <v>17.38</v>
      </c>
      <c r="M250" s="19"/>
      <c r="N250" s="18"/>
      <c r="O250" s="19"/>
      <c r="P250" s="18"/>
      <c r="Q250" s="18"/>
      <c r="R250" s="19">
        <v>17.375228480000001</v>
      </c>
      <c r="S250" s="19"/>
      <c r="T250" s="18"/>
      <c r="U250" s="19"/>
      <c r="V250" s="19"/>
      <c r="X250" s="15" t="s">
        <v>328</v>
      </c>
      <c r="Y250" s="15" t="s">
        <v>250</v>
      </c>
      <c r="Z250" s="15" t="s">
        <v>351</v>
      </c>
      <c r="AA250" s="15" t="s">
        <v>252</v>
      </c>
      <c r="AB250" s="15"/>
      <c r="AC250" s="15"/>
      <c r="AD250" s="15"/>
      <c r="AE250" s="18"/>
      <c r="AF250" s="18"/>
      <c r="AG250" s="19">
        <v>0.16129032258064499</v>
      </c>
      <c r="AH250" s="19">
        <v>0.175746924428822</v>
      </c>
      <c r="AI250" s="18"/>
      <c r="AJ250" s="19">
        <v>0.205338809034908</v>
      </c>
      <c r="AK250" s="18"/>
      <c r="AL250" s="18"/>
      <c r="AM250" s="19">
        <v>0.16129032258064499</v>
      </c>
      <c r="AN250" s="19">
        <v>0.175746924428822</v>
      </c>
      <c r="AO250" s="18"/>
      <c r="AP250" s="19">
        <v>0.205338809034908</v>
      </c>
      <c r="AR250" s="15" t="s">
        <v>249</v>
      </c>
      <c r="AS250" s="15" t="s">
        <v>567</v>
      </c>
      <c r="AT250" s="15" t="s">
        <v>615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249</v>
      </c>
      <c r="D251" s="15" t="s">
        <v>324</v>
      </c>
      <c r="E251" s="15" t="s">
        <v>308</v>
      </c>
      <c r="F251" s="15"/>
      <c r="G251" s="15"/>
      <c r="H251" s="15"/>
      <c r="I251" s="15" t="s">
        <v>323</v>
      </c>
      <c r="J251" s="18"/>
      <c r="K251" s="18"/>
      <c r="L251" s="19">
        <v>34.75</v>
      </c>
      <c r="M251" s="19"/>
      <c r="N251" s="18"/>
      <c r="O251" s="19"/>
      <c r="P251" s="18"/>
      <c r="Q251" s="18"/>
      <c r="R251" s="19">
        <v>34.750456970000002</v>
      </c>
      <c r="S251" s="19"/>
      <c r="T251" s="18"/>
      <c r="U251" s="19"/>
      <c r="V251" s="19"/>
      <c r="X251" s="15" t="s">
        <v>328</v>
      </c>
      <c r="Y251" s="15" t="s">
        <v>250</v>
      </c>
      <c r="Z251" s="15" t="s">
        <v>352</v>
      </c>
      <c r="AA251" s="15" t="s">
        <v>252</v>
      </c>
      <c r="AB251" s="15"/>
      <c r="AC251" s="15"/>
      <c r="AD251" s="15"/>
      <c r="AE251" s="18"/>
      <c r="AF251" s="18"/>
      <c r="AG251" s="19">
        <v>7.3200547754531498E-2</v>
      </c>
      <c r="AH251" s="19">
        <v>7.76797171473083E-2</v>
      </c>
      <c r="AI251" s="18"/>
      <c r="AJ251" s="19">
        <v>8.2433931151336001E-2</v>
      </c>
      <c r="AK251" s="18"/>
      <c r="AL251" s="18"/>
      <c r="AM251" s="19">
        <v>7.3200547754531498E-2</v>
      </c>
      <c r="AN251" s="19">
        <v>7.7810538730488696E-2</v>
      </c>
      <c r="AO251" s="18"/>
      <c r="AP251" s="19">
        <v>8.0238361195686503E-2</v>
      </c>
      <c r="AR251" s="15" t="s">
        <v>249</v>
      </c>
      <c r="AS251" s="15" t="s">
        <v>567</v>
      </c>
      <c r="AT251" s="15" t="s">
        <v>616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249</v>
      </c>
      <c r="D252" s="15" t="s">
        <v>324</v>
      </c>
      <c r="E252" s="15" t="s">
        <v>309</v>
      </c>
      <c r="F252" s="15"/>
      <c r="G252" s="15"/>
      <c r="H252" s="15"/>
      <c r="I252" s="15" t="s">
        <v>323</v>
      </c>
      <c r="J252" s="18"/>
      <c r="K252" s="18"/>
      <c r="L252" s="19">
        <v>70.400000000000006</v>
      </c>
      <c r="M252" s="19"/>
      <c r="N252" s="18"/>
      <c r="O252" s="19"/>
      <c r="P252" s="18"/>
      <c r="Q252" s="18"/>
      <c r="R252" s="19">
        <v>70.396141889999996</v>
      </c>
      <c r="S252" s="19"/>
      <c r="T252" s="18"/>
      <c r="U252" s="19"/>
      <c r="V252" s="19"/>
      <c r="X252" s="15" t="s">
        <v>328</v>
      </c>
      <c r="Y252" s="15" t="s">
        <v>250</v>
      </c>
      <c r="Z252" s="15" t="s">
        <v>353</v>
      </c>
      <c r="AA252" s="15" t="s">
        <v>252</v>
      </c>
      <c r="AB252" s="15"/>
      <c r="AC252" s="15"/>
      <c r="AD252" s="15"/>
      <c r="AE252" s="18"/>
      <c r="AF252" s="18"/>
      <c r="AG252" s="19">
        <v>1.40799261532579</v>
      </c>
      <c r="AH252" s="19">
        <v>1.4244365170503801</v>
      </c>
      <c r="AI252" s="18"/>
      <c r="AJ252" s="19">
        <v>1.5685013916117001</v>
      </c>
      <c r="AK252" s="18"/>
      <c r="AL252" s="18"/>
      <c r="AM252" s="19">
        <v>1.40799261532579</v>
      </c>
      <c r="AN252" s="19">
        <v>1.4026374279118099</v>
      </c>
      <c r="AO252" s="18"/>
      <c r="AP252" s="19">
        <v>1.5730133676073199</v>
      </c>
      <c r="AR252" s="15" t="s">
        <v>249</v>
      </c>
      <c r="AS252" s="15" t="s">
        <v>567</v>
      </c>
      <c r="AT252" s="15" t="s">
        <v>617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249</v>
      </c>
      <c r="D253" s="15" t="s">
        <v>324</v>
      </c>
      <c r="E253" s="15" t="s">
        <v>310</v>
      </c>
      <c r="F253" s="15"/>
      <c r="G253" s="15"/>
      <c r="H253" s="15"/>
      <c r="I253" s="15" t="s">
        <v>323</v>
      </c>
      <c r="J253" s="18"/>
      <c r="K253" s="18"/>
      <c r="L253" s="19">
        <v>65.44</v>
      </c>
      <c r="M253" s="18"/>
      <c r="N253" s="18"/>
      <c r="O253" s="18">
        <v>46.49</v>
      </c>
      <c r="P253" s="18"/>
      <c r="Q253" s="18"/>
      <c r="R253" s="19">
        <v>65.43796571</v>
      </c>
      <c r="S253" s="18"/>
      <c r="T253" s="18"/>
      <c r="U253" s="18">
        <v>48.324291950000003</v>
      </c>
      <c r="V253" s="18"/>
      <c r="X253" s="15" t="s">
        <v>328</v>
      </c>
      <c r="Y253" s="15" t="s">
        <v>250</v>
      </c>
      <c r="Z253" s="15" t="s">
        <v>354</v>
      </c>
      <c r="AA253" s="15" t="s">
        <v>252</v>
      </c>
      <c r="AB253" s="15"/>
      <c r="AC253" s="15"/>
      <c r="AD253" s="15"/>
      <c r="AE253" s="18"/>
      <c r="AF253" s="18"/>
      <c r="AG253" s="19">
        <v>0.73529411764705899</v>
      </c>
      <c r="AH253" s="18"/>
      <c r="AI253" s="18"/>
      <c r="AJ253" s="18"/>
      <c r="AK253" s="18"/>
      <c r="AL253" s="18"/>
      <c r="AM253" s="19">
        <v>0.73529411764705899</v>
      </c>
      <c r="AN253" s="18"/>
      <c r="AO253" s="18"/>
      <c r="AP253" s="18"/>
      <c r="AR253" s="15" t="s">
        <v>249</v>
      </c>
      <c r="AS253" s="15" t="s">
        <v>567</v>
      </c>
      <c r="AT253" s="15" t="s">
        <v>618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249</v>
      </c>
      <c r="D254" s="15" t="s">
        <v>324</v>
      </c>
      <c r="E254" s="15" t="s">
        <v>311</v>
      </c>
      <c r="F254" s="15"/>
      <c r="G254" s="15"/>
      <c r="H254" s="15"/>
      <c r="I254" s="15" t="s">
        <v>323</v>
      </c>
      <c r="J254" s="18"/>
      <c r="K254" s="18"/>
      <c r="L254" s="19">
        <v>71.34</v>
      </c>
      <c r="M254" s="19"/>
      <c r="N254" s="18"/>
      <c r="O254" s="19"/>
      <c r="P254" s="18"/>
      <c r="Q254" s="18"/>
      <c r="R254" s="19">
        <v>71.343269989999996</v>
      </c>
      <c r="S254" s="19"/>
      <c r="T254" s="18"/>
      <c r="U254" s="19"/>
      <c r="V254" s="19"/>
      <c r="X254" s="15" t="s">
        <v>328</v>
      </c>
      <c r="Y254" s="15" t="s">
        <v>250</v>
      </c>
      <c r="Z254" s="15" t="s">
        <v>355</v>
      </c>
      <c r="AA254" s="15" t="s">
        <v>252</v>
      </c>
      <c r="AB254" s="15"/>
      <c r="AC254" s="15"/>
      <c r="AD254" s="15"/>
      <c r="AE254" s="18"/>
      <c r="AF254" s="18"/>
      <c r="AG254" s="19">
        <v>0.37549179650919701</v>
      </c>
      <c r="AH254" s="19">
        <v>0.42744335605455303</v>
      </c>
      <c r="AI254" s="18"/>
      <c r="AJ254" s="19">
        <v>0.53509347127268303</v>
      </c>
      <c r="AK254" s="18"/>
      <c r="AL254" s="18"/>
      <c r="AM254" s="19">
        <v>0.37549179650919701</v>
      </c>
      <c r="AN254" s="19">
        <v>0.430137812296155</v>
      </c>
      <c r="AO254" s="18"/>
      <c r="AP254" s="19">
        <v>0.49287453900165201</v>
      </c>
      <c r="AR254" s="15" t="s">
        <v>249</v>
      </c>
      <c r="AS254" s="15" t="s">
        <v>567</v>
      </c>
      <c r="AT254" s="15" t="s">
        <v>619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249</v>
      </c>
      <c r="D255" s="15" t="s">
        <v>324</v>
      </c>
      <c r="E255" s="15" t="s">
        <v>312</v>
      </c>
      <c r="F255" s="15"/>
      <c r="G255" s="15"/>
      <c r="H255" s="15"/>
      <c r="I255" s="15" t="s">
        <v>323</v>
      </c>
      <c r="J255" s="18"/>
      <c r="K255" s="18"/>
      <c r="L255" s="19">
        <v>38.61</v>
      </c>
      <c r="M255" s="19"/>
      <c r="N255" s="18"/>
      <c r="O255" s="19"/>
      <c r="P255" s="18"/>
      <c r="Q255" s="18"/>
      <c r="R255" s="19">
        <v>38.611763269999997</v>
      </c>
      <c r="S255" s="19"/>
      <c r="T255" s="18"/>
      <c r="U255" s="19"/>
      <c r="V255" s="19"/>
      <c r="X255" s="15" t="s">
        <v>328</v>
      </c>
      <c r="Y255" s="15" t="s">
        <v>250</v>
      </c>
      <c r="Z255" s="15" t="s">
        <v>356</v>
      </c>
      <c r="AA255" s="15" t="s">
        <v>252</v>
      </c>
      <c r="AB255" s="15"/>
      <c r="AC255" s="15"/>
      <c r="AD255" s="15"/>
      <c r="AE255" s="18"/>
      <c r="AF255" s="18"/>
      <c r="AG255" s="19">
        <v>0.40973965605281198</v>
      </c>
      <c r="AH255" s="19">
        <v>0.47640355877824703</v>
      </c>
      <c r="AI255" s="18"/>
      <c r="AJ255" s="19">
        <v>0.59501402300457495</v>
      </c>
      <c r="AK255" s="18"/>
      <c r="AL255" s="18"/>
      <c r="AM255" s="19">
        <v>0.40973965605281198</v>
      </c>
      <c r="AN255" s="19">
        <v>0.47187398959136101</v>
      </c>
      <c r="AO255" s="18"/>
      <c r="AP255" s="19">
        <v>0.54536333887958999</v>
      </c>
      <c r="AR255" s="15" t="s">
        <v>249</v>
      </c>
      <c r="AS255" s="15" t="s">
        <v>567</v>
      </c>
      <c r="AT255" s="15" t="s">
        <v>620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249</v>
      </c>
      <c r="D256" s="15" t="s">
        <v>324</v>
      </c>
      <c r="E256" s="15" t="s">
        <v>313</v>
      </c>
      <c r="F256" s="15"/>
      <c r="G256" s="15"/>
      <c r="H256" s="15"/>
      <c r="I256" s="15" t="s">
        <v>323</v>
      </c>
      <c r="J256" s="18"/>
      <c r="K256" s="18"/>
      <c r="L256" s="19">
        <v>57.07</v>
      </c>
      <c r="M256" s="19"/>
      <c r="N256" s="18">
        <v>28.54</v>
      </c>
      <c r="O256" s="19"/>
      <c r="P256" s="18"/>
      <c r="Q256" s="18"/>
      <c r="R256" s="19">
        <v>57.071275049999997</v>
      </c>
      <c r="S256" s="19"/>
      <c r="T256" s="18">
        <v>28.535637529999999</v>
      </c>
      <c r="U256" s="19"/>
      <c r="V256" s="19"/>
      <c r="X256" s="15" t="s">
        <v>328</v>
      </c>
      <c r="Y256" s="15" t="s">
        <v>250</v>
      </c>
      <c r="Z256" s="15" t="s">
        <v>357</v>
      </c>
      <c r="AA256" s="15" t="s">
        <v>252</v>
      </c>
      <c r="AB256" s="15"/>
      <c r="AC256" s="15"/>
      <c r="AD256" s="15"/>
      <c r="AE256" s="18"/>
      <c r="AF256" s="18"/>
      <c r="AG256" s="19">
        <v>0.27102281432564002</v>
      </c>
      <c r="AH256" s="19">
        <v>0.29744977337954598</v>
      </c>
      <c r="AI256" s="18"/>
      <c r="AJ256" s="19">
        <v>0.35497793512336001</v>
      </c>
      <c r="AK256" s="18"/>
      <c r="AL256" s="18"/>
      <c r="AM256" s="19">
        <v>0.27102281432564002</v>
      </c>
      <c r="AN256" s="19">
        <v>0.29880790859002498</v>
      </c>
      <c r="AO256" s="18"/>
      <c r="AP256" s="19">
        <v>0.35338723343685502</v>
      </c>
      <c r="AR256" s="15" t="s">
        <v>249</v>
      </c>
      <c r="AS256" s="15" t="s">
        <v>567</v>
      </c>
      <c r="AT256" s="15" t="s">
        <v>621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249</v>
      </c>
      <c r="D257" s="15" t="s">
        <v>324</v>
      </c>
      <c r="E257" s="15" t="s">
        <v>314</v>
      </c>
      <c r="F257" s="15"/>
      <c r="G257" s="15"/>
      <c r="H257" s="15"/>
      <c r="I257" s="15" t="s">
        <v>323</v>
      </c>
      <c r="J257" s="18"/>
      <c r="K257" s="18"/>
      <c r="L257" s="19">
        <v>34.75</v>
      </c>
      <c r="M257" s="19"/>
      <c r="N257" s="18"/>
      <c r="O257" s="19"/>
      <c r="P257" s="18"/>
      <c r="Q257" s="18"/>
      <c r="R257" s="19">
        <v>34.750586939999998</v>
      </c>
      <c r="S257" s="19"/>
      <c r="T257" s="18"/>
      <c r="U257" s="19"/>
      <c r="V257" s="19"/>
      <c r="X257" s="15" t="s">
        <v>328</v>
      </c>
      <c r="Y257" s="15" t="s">
        <v>250</v>
      </c>
      <c r="Z257" s="15" t="s">
        <v>358</v>
      </c>
      <c r="AA257" s="15" t="s">
        <v>252</v>
      </c>
      <c r="AB257" s="15"/>
      <c r="AC257" s="15"/>
      <c r="AD257" s="15"/>
      <c r="AE257" s="18"/>
      <c r="AF257" s="18"/>
      <c r="AG257" s="19">
        <v>0.29574226589403801</v>
      </c>
      <c r="AH257" s="19">
        <v>0.331520255464477</v>
      </c>
      <c r="AI257" s="18"/>
      <c r="AJ257" s="19">
        <v>0.394728884942742</v>
      </c>
      <c r="AK257" s="18"/>
      <c r="AL257" s="18"/>
      <c r="AM257" s="19">
        <v>0.29574226589403801</v>
      </c>
      <c r="AN257" s="19">
        <v>0.32780117422168398</v>
      </c>
      <c r="AO257" s="18"/>
      <c r="AP257" s="19">
        <v>0.39102129709300798</v>
      </c>
      <c r="AR257" s="15" t="s">
        <v>249</v>
      </c>
      <c r="AS257" s="15" t="s">
        <v>567</v>
      </c>
      <c r="AT257" s="15" t="s">
        <v>622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249</v>
      </c>
      <c r="D258" s="15" t="s">
        <v>324</v>
      </c>
      <c r="E258" s="15" t="s">
        <v>315</v>
      </c>
      <c r="F258" s="15"/>
      <c r="G258" s="15"/>
      <c r="H258" s="15"/>
      <c r="I258" s="15" t="s">
        <v>323</v>
      </c>
      <c r="J258" s="18"/>
      <c r="K258" s="18"/>
      <c r="L258" s="19">
        <v>11.88</v>
      </c>
      <c r="M258" s="19"/>
      <c r="N258" s="18"/>
      <c r="O258" s="19"/>
      <c r="P258" s="18"/>
      <c r="Q258" s="18"/>
      <c r="R258" s="19">
        <v>11.87981166</v>
      </c>
      <c r="S258" s="19"/>
      <c r="T258" s="18"/>
      <c r="U258" s="19"/>
      <c r="V258" s="19"/>
      <c r="X258" s="15" t="s">
        <v>328</v>
      </c>
      <c r="Y258" s="15" t="s">
        <v>250</v>
      </c>
      <c r="Z258" s="15" t="s">
        <v>359</v>
      </c>
      <c r="AA258" s="15" t="s">
        <v>337</v>
      </c>
      <c r="AB258" s="15"/>
      <c r="AC258" s="15"/>
      <c r="AD258" s="15"/>
      <c r="AE258" s="18"/>
      <c r="AF258" s="18"/>
      <c r="AG258" s="19">
        <v>0.27102281432564002</v>
      </c>
      <c r="AH258" s="19">
        <v>0.29744977337954598</v>
      </c>
      <c r="AI258" s="18"/>
      <c r="AJ258" s="19">
        <v>0.35497793512336001</v>
      </c>
      <c r="AK258" s="18"/>
      <c r="AL258" s="18"/>
      <c r="AM258" s="19">
        <v>0.27102281432564002</v>
      </c>
      <c r="AN258" s="19">
        <v>0.29880790859002498</v>
      </c>
      <c r="AO258" s="18"/>
      <c r="AP258" s="19">
        <v>0.35338723343685502</v>
      </c>
      <c r="AR258" s="15" t="s">
        <v>249</v>
      </c>
      <c r="AS258" s="15" t="s">
        <v>567</v>
      </c>
      <c r="AT258" s="15" t="s">
        <v>623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249</v>
      </c>
      <c r="D259" s="15" t="s">
        <v>324</v>
      </c>
      <c r="E259" s="15" t="s">
        <v>316</v>
      </c>
      <c r="F259" s="15"/>
      <c r="G259" s="15"/>
      <c r="H259" s="15"/>
      <c r="I259" s="15" t="s">
        <v>323</v>
      </c>
      <c r="J259" s="18"/>
      <c r="K259" s="18"/>
      <c r="L259" s="19">
        <v>10.53</v>
      </c>
      <c r="M259" s="19"/>
      <c r="N259" s="18"/>
      <c r="O259" s="19">
        <v>8.43</v>
      </c>
      <c r="P259" s="18"/>
      <c r="Q259" s="18"/>
      <c r="R259" s="19">
        <v>10.52998122</v>
      </c>
      <c r="S259" s="19"/>
      <c r="T259" s="18"/>
      <c r="U259" s="19">
        <v>9.0149809019999996</v>
      </c>
      <c r="V259" s="19"/>
      <c r="X259" s="15" t="s">
        <v>328</v>
      </c>
      <c r="Y259" s="15" t="s">
        <v>250</v>
      </c>
      <c r="Z259" s="15" t="s">
        <v>359</v>
      </c>
      <c r="AA259" s="15" t="s">
        <v>338</v>
      </c>
      <c r="AB259" s="15"/>
      <c r="AC259" s="15"/>
      <c r="AD259" s="15"/>
      <c r="AE259" s="18"/>
      <c r="AF259" s="18"/>
      <c r="AG259" s="19">
        <v>1.40799261532579</v>
      </c>
      <c r="AH259" s="19">
        <v>1.4244365170503801</v>
      </c>
      <c r="AI259" s="18"/>
      <c r="AJ259" s="19">
        <v>1.5685013916117001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249</v>
      </c>
      <c r="AS259" s="15" t="s">
        <v>567</v>
      </c>
      <c r="AT259" s="15" t="s">
        <v>624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249</v>
      </c>
      <c r="D260" s="15" t="s">
        <v>324</v>
      </c>
      <c r="E260" s="15" t="s">
        <v>317</v>
      </c>
      <c r="F260" s="15"/>
      <c r="G260" s="15"/>
      <c r="H260" s="15"/>
      <c r="I260" s="15" t="s">
        <v>323</v>
      </c>
      <c r="J260" s="18"/>
      <c r="K260" s="18"/>
      <c r="L260" s="19">
        <v>13.06</v>
      </c>
      <c r="M260" s="19"/>
      <c r="N260" s="18"/>
      <c r="O260" s="19"/>
      <c r="P260" s="18"/>
      <c r="Q260" s="18"/>
      <c r="R260" s="19">
        <v>13.06071596</v>
      </c>
      <c r="S260" s="19"/>
      <c r="T260" s="18"/>
      <c r="U260" s="19"/>
      <c r="V260" s="19"/>
      <c r="X260" s="15" t="s">
        <v>328</v>
      </c>
      <c r="Y260" s="15" t="s">
        <v>250</v>
      </c>
      <c r="Z260" s="15" t="s">
        <v>360</v>
      </c>
      <c r="AA260" s="15" t="s">
        <v>338</v>
      </c>
      <c r="AB260" s="15"/>
      <c r="AC260" s="15"/>
      <c r="AD260" s="15"/>
      <c r="AE260" s="18"/>
      <c r="AF260" s="18"/>
      <c r="AG260" s="19">
        <v>1.4079999999999999</v>
      </c>
      <c r="AH260" s="19">
        <v>1.4239999999999999</v>
      </c>
      <c r="AI260" s="18"/>
      <c r="AJ260" s="19">
        <v>1.569</v>
      </c>
      <c r="AK260" s="18"/>
      <c r="AL260" s="18"/>
      <c r="AM260" s="19">
        <v>1.40799261532579</v>
      </c>
      <c r="AN260" s="19">
        <v>1.4026374279118099</v>
      </c>
      <c r="AO260" s="18"/>
      <c r="AP260" s="19">
        <v>1.5730133676073199</v>
      </c>
      <c r="AR260" s="15" t="s">
        <v>249</v>
      </c>
      <c r="AS260" s="15" t="s">
        <v>567</v>
      </c>
      <c r="AT260" s="15" t="s">
        <v>625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249</v>
      </c>
      <c r="D261" s="15" t="s">
        <v>325</v>
      </c>
      <c r="E261" s="15" t="s">
        <v>251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328</v>
      </c>
      <c r="Y261" s="15" t="s">
        <v>250</v>
      </c>
      <c r="Z261" s="15" t="s">
        <v>360</v>
      </c>
      <c r="AA261" s="15" t="s">
        <v>340</v>
      </c>
      <c r="AB261" s="15"/>
      <c r="AC261" s="15"/>
      <c r="AD261" s="15"/>
      <c r="AE261" s="18"/>
      <c r="AF261" s="18"/>
      <c r="AG261" s="19">
        <v>0.29599999999999999</v>
      </c>
      <c r="AH261" s="19">
        <v>0.33200000000000002</v>
      </c>
      <c r="AI261" s="18"/>
      <c r="AJ261" s="19">
        <v>0.39500000000000002</v>
      </c>
      <c r="AK261" s="18"/>
      <c r="AL261" s="18"/>
      <c r="AM261" s="19">
        <v>0.29574226589403801</v>
      </c>
      <c r="AN261" s="19">
        <v>0.32780117422168398</v>
      </c>
      <c r="AO261" s="18"/>
      <c r="AP261" s="19">
        <v>0.39102129709300798</v>
      </c>
      <c r="AR261" s="15" t="s">
        <v>249</v>
      </c>
      <c r="AS261" s="15" t="s">
        <v>567</v>
      </c>
      <c r="AT261" s="15" t="s">
        <v>626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249</v>
      </c>
      <c r="D262" s="15" t="s">
        <v>325</v>
      </c>
      <c r="E262" s="15" t="s">
        <v>253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328</v>
      </c>
      <c r="Y262" s="15" t="s">
        <v>250</v>
      </c>
      <c r="Z262" s="15" t="s">
        <v>361</v>
      </c>
      <c r="AA262" s="15" t="s">
        <v>252</v>
      </c>
      <c r="AB262" s="15"/>
      <c r="AC262" s="15"/>
      <c r="AD262" s="15"/>
      <c r="AE262" s="18"/>
      <c r="AF262" s="18"/>
      <c r="AG262" s="19">
        <v>5.7874235293832701</v>
      </c>
      <c r="AH262" s="19">
        <v>4.9403706423275402</v>
      </c>
      <c r="AI262" s="18"/>
      <c r="AJ262" s="19">
        <v>4.7287339592516204</v>
      </c>
      <c r="AK262" s="18"/>
      <c r="AL262" s="18"/>
      <c r="AM262" s="19">
        <v>5.7874235293832701</v>
      </c>
      <c r="AN262" s="19">
        <v>4.9866436484538399</v>
      </c>
      <c r="AO262" s="18"/>
      <c r="AP262" s="19">
        <v>4.7639962332593999</v>
      </c>
      <c r="AR262" s="15" t="s">
        <v>249</v>
      </c>
      <c r="AS262" s="15" t="s">
        <v>567</v>
      </c>
      <c r="AT262" s="15" t="s">
        <v>627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249</v>
      </c>
      <c r="D263" s="15" t="s">
        <v>325</v>
      </c>
      <c r="E263" s="15" t="s">
        <v>254</v>
      </c>
      <c r="F263" s="15"/>
      <c r="G263" s="15"/>
      <c r="H263" s="15"/>
      <c r="I263" s="15"/>
      <c r="J263" s="18">
        <v>2020</v>
      </c>
      <c r="K263" s="18"/>
      <c r="L263" s="19"/>
      <c r="M263" s="19"/>
      <c r="N263" s="18"/>
      <c r="O263" s="19"/>
      <c r="P263" s="18"/>
      <c r="Q263" s="18">
        <v>2020</v>
      </c>
      <c r="R263" s="19"/>
      <c r="S263" s="19"/>
      <c r="T263" s="18"/>
      <c r="U263" s="19"/>
      <c r="V263" s="19"/>
      <c r="X263" s="15" t="s">
        <v>328</v>
      </c>
      <c r="Y263" s="15" t="s">
        <v>250</v>
      </c>
      <c r="Z263" s="15" t="s">
        <v>362</v>
      </c>
      <c r="AA263" s="15" t="s">
        <v>252</v>
      </c>
      <c r="AB263" s="15"/>
      <c r="AC263" s="15"/>
      <c r="AD263" s="15"/>
      <c r="AE263" s="18"/>
      <c r="AF263" s="18"/>
      <c r="AG263" s="19">
        <v>0.58602989312730902</v>
      </c>
      <c r="AH263" s="19">
        <v>0.61568558069197798</v>
      </c>
      <c r="AI263" s="18"/>
      <c r="AJ263" s="19">
        <v>0.719166782327331</v>
      </c>
      <c r="AK263" s="18"/>
      <c r="AL263" s="18"/>
      <c r="AM263" s="19">
        <v>0.58602989312730902</v>
      </c>
      <c r="AN263" s="19">
        <v>0.61275424986168503</v>
      </c>
      <c r="AO263" s="18"/>
      <c r="AP263" s="19">
        <v>0.671208334483687</v>
      </c>
      <c r="AR263" s="15" t="s">
        <v>249</v>
      </c>
      <c r="AS263" s="15" t="s">
        <v>567</v>
      </c>
      <c r="AT263" s="15" t="s">
        <v>628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249</v>
      </c>
      <c r="D264" s="15" t="s">
        <v>325</v>
      </c>
      <c r="E264" s="15" t="s">
        <v>255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328</v>
      </c>
      <c r="Y264" s="15" t="s">
        <v>363</v>
      </c>
      <c r="Z264" s="15" t="s">
        <v>336</v>
      </c>
      <c r="AA264" s="15" t="s">
        <v>364</v>
      </c>
      <c r="AB264" s="15" t="s">
        <v>337</v>
      </c>
      <c r="AC264" s="15" t="s">
        <v>13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249</v>
      </c>
      <c r="AS264" s="15" t="s">
        <v>567</v>
      </c>
      <c r="AT264" s="15" t="s">
        <v>629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249</v>
      </c>
      <c r="D265" s="15" t="s">
        <v>325</v>
      </c>
      <c r="E265" s="15" t="s">
        <v>256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328</v>
      </c>
      <c r="Y265" s="15" t="s">
        <v>363</v>
      </c>
      <c r="Z265" s="15" t="s">
        <v>336</v>
      </c>
      <c r="AA265" s="15" t="s">
        <v>364</v>
      </c>
      <c r="AB265" s="15" t="s">
        <v>338</v>
      </c>
      <c r="AC265" s="15" t="s">
        <v>13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249</v>
      </c>
      <c r="AS265" s="15" t="s">
        <v>567</v>
      </c>
      <c r="AT265" s="15" t="s">
        <v>630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249</v>
      </c>
      <c r="D266" s="15" t="s">
        <v>325</v>
      </c>
      <c r="E266" s="15" t="s">
        <v>257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328</v>
      </c>
      <c r="Y266" s="15" t="s">
        <v>363</v>
      </c>
      <c r="Z266" s="15" t="s">
        <v>339</v>
      </c>
      <c r="AA266" s="15" t="s">
        <v>365</v>
      </c>
      <c r="AB266" s="15" t="s">
        <v>338</v>
      </c>
      <c r="AC266" s="15" t="s">
        <v>13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249</v>
      </c>
      <c r="AS266" s="15" t="s">
        <v>567</v>
      </c>
      <c r="AT266" s="15" t="s">
        <v>631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249</v>
      </c>
      <c r="D267" s="15" t="s">
        <v>325</v>
      </c>
      <c r="E267" s="15" t="s">
        <v>258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328</v>
      </c>
      <c r="Y267" s="15" t="s">
        <v>363</v>
      </c>
      <c r="Z267" s="15" t="s">
        <v>339</v>
      </c>
      <c r="AA267" s="15" t="s">
        <v>365</v>
      </c>
      <c r="AB267" s="15" t="s">
        <v>340</v>
      </c>
      <c r="AC267" s="15" t="s">
        <v>13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249</v>
      </c>
      <c r="AS267" s="15" t="s">
        <v>567</v>
      </c>
      <c r="AT267" s="15" t="s">
        <v>632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249</v>
      </c>
      <c r="D268" s="15" t="s">
        <v>325</v>
      </c>
      <c r="E268" s="15" t="s">
        <v>259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328</v>
      </c>
      <c r="Y268" s="15" t="s">
        <v>363</v>
      </c>
      <c r="Z268" s="15" t="s">
        <v>359</v>
      </c>
      <c r="AA268" s="15" t="s">
        <v>366</v>
      </c>
      <c r="AB268" s="15" t="s">
        <v>337</v>
      </c>
      <c r="AC268" s="15" t="s">
        <v>13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249</v>
      </c>
      <c r="AS268" s="15" t="s">
        <v>567</v>
      </c>
      <c r="AT268" s="15" t="s">
        <v>633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249</v>
      </c>
      <c r="D269" s="15" t="s">
        <v>325</v>
      </c>
      <c r="E269" s="15" t="s">
        <v>260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328</v>
      </c>
      <c r="Y269" s="15" t="s">
        <v>363</v>
      </c>
      <c r="Z269" s="15" t="s">
        <v>359</v>
      </c>
      <c r="AA269" s="15" t="s">
        <v>366</v>
      </c>
      <c r="AB269" s="15" t="s">
        <v>338</v>
      </c>
      <c r="AC269" s="15" t="s">
        <v>13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249</v>
      </c>
      <c r="AS269" s="15" t="s">
        <v>567</v>
      </c>
      <c r="AT269" s="15" t="s">
        <v>634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249</v>
      </c>
      <c r="D270" s="15" t="s">
        <v>325</v>
      </c>
      <c r="E270" s="15" t="s">
        <v>261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328</v>
      </c>
      <c r="Y270" s="15" t="s">
        <v>363</v>
      </c>
      <c r="Z270" s="15" t="s">
        <v>360</v>
      </c>
      <c r="AA270" s="15" t="s">
        <v>367</v>
      </c>
      <c r="AB270" s="15" t="s">
        <v>338</v>
      </c>
      <c r="AC270" s="15" t="s">
        <v>13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249</v>
      </c>
      <c r="AS270" s="15" t="s">
        <v>567</v>
      </c>
      <c r="AT270" s="15" t="s">
        <v>635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249</v>
      </c>
      <c r="D271" s="15" t="s">
        <v>325</v>
      </c>
      <c r="E271" s="15" t="s">
        <v>262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8"/>
      <c r="P271" s="18"/>
      <c r="Q271" s="18">
        <v>2020</v>
      </c>
      <c r="R271" s="19"/>
      <c r="S271" s="18"/>
      <c r="T271" s="18"/>
      <c r="U271" s="18"/>
      <c r="V271" s="18"/>
      <c r="X271" s="15" t="s">
        <v>328</v>
      </c>
      <c r="Y271" s="15" t="s">
        <v>363</v>
      </c>
      <c r="Z271" s="15" t="s">
        <v>360</v>
      </c>
      <c r="AA271" s="15" t="s">
        <v>367</v>
      </c>
      <c r="AB271" s="15" t="s">
        <v>340</v>
      </c>
      <c r="AC271" s="15" t="s">
        <v>13</v>
      </c>
      <c r="AD271" s="15"/>
      <c r="AE271" s="18"/>
      <c r="AF271" s="18"/>
      <c r="AG271" s="19">
        <v>0</v>
      </c>
      <c r="AH271" s="18"/>
      <c r="AI271" s="18"/>
      <c r="AJ271" s="18"/>
      <c r="AK271" s="18"/>
      <c r="AL271" s="18"/>
      <c r="AM271" s="19">
        <v>0</v>
      </c>
      <c r="AN271" s="18"/>
      <c r="AO271" s="18"/>
      <c r="AP271" s="18"/>
      <c r="AR271" s="15" t="s">
        <v>249</v>
      </c>
      <c r="AS271" s="15" t="s">
        <v>567</v>
      </c>
      <c r="AT271" s="15" t="s">
        <v>636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249</v>
      </c>
      <c r="D272" s="15" t="s">
        <v>325</v>
      </c>
      <c r="E272" s="15" t="s">
        <v>263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328</v>
      </c>
      <c r="Y272" s="15" t="s">
        <v>321</v>
      </c>
      <c r="Z272" s="15" t="s">
        <v>330</v>
      </c>
      <c r="AA272" s="15"/>
      <c r="AB272" s="15"/>
      <c r="AC272" s="15" t="s">
        <v>320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249</v>
      </c>
      <c r="AS272" s="15" t="s">
        <v>567</v>
      </c>
      <c r="AT272" s="15" t="s">
        <v>637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249</v>
      </c>
      <c r="D273" s="15" t="s">
        <v>325</v>
      </c>
      <c r="E273" s="15" t="s">
        <v>264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328</v>
      </c>
      <c r="Y273" s="15" t="s">
        <v>321</v>
      </c>
      <c r="Z273" s="15" t="s">
        <v>331</v>
      </c>
      <c r="AA273" s="15"/>
      <c r="AB273" s="15"/>
      <c r="AC273" s="15" t="s">
        <v>320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249</v>
      </c>
      <c r="AS273" s="15" t="s">
        <v>567</v>
      </c>
      <c r="AT273" s="15" t="s">
        <v>638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249</v>
      </c>
      <c r="D274" s="15" t="s">
        <v>325</v>
      </c>
      <c r="E274" s="15" t="s">
        <v>265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328</v>
      </c>
      <c r="Y274" s="15" t="s">
        <v>321</v>
      </c>
      <c r="Z274" s="15" t="s">
        <v>332</v>
      </c>
      <c r="AA274" s="15"/>
      <c r="AB274" s="15"/>
      <c r="AC274" s="15" t="s">
        <v>320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249</v>
      </c>
      <c r="AS274" s="15" t="s">
        <v>567</v>
      </c>
      <c r="AT274" s="15" t="s">
        <v>639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249</v>
      </c>
      <c r="D275" s="15" t="s">
        <v>325</v>
      </c>
      <c r="E275" s="15" t="s">
        <v>266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328</v>
      </c>
      <c r="Y275" s="15" t="s">
        <v>321</v>
      </c>
      <c r="Z275" s="15" t="s">
        <v>333</v>
      </c>
      <c r="AA275" s="15"/>
      <c r="AB275" s="15"/>
      <c r="AC275" s="15" t="s">
        <v>320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249</v>
      </c>
      <c r="AS275" s="15" t="s">
        <v>567</v>
      </c>
      <c r="AT275" s="15" t="s">
        <v>640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249</v>
      </c>
      <c r="D276" s="15" t="s">
        <v>325</v>
      </c>
      <c r="E276" s="15" t="s">
        <v>267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328</v>
      </c>
      <c r="Y276" s="15" t="s">
        <v>321</v>
      </c>
      <c r="Z276" s="15" t="s">
        <v>334</v>
      </c>
      <c r="AA276" s="15"/>
      <c r="AB276" s="15"/>
      <c r="AC276" s="15" t="s">
        <v>320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249</v>
      </c>
      <c r="AS276" s="15" t="s">
        <v>567</v>
      </c>
      <c r="AT276" s="15" t="s">
        <v>641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249</v>
      </c>
      <c r="D277" s="15" t="s">
        <v>325</v>
      </c>
      <c r="E277" s="15" t="s">
        <v>268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328</v>
      </c>
      <c r="Y277" s="15" t="s">
        <v>321</v>
      </c>
      <c r="Z277" s="15" t="s">
        <v>335</v>
      </c>
      <c r="AA277" s="15"/>
      <c r="AB277" s="15"/>
      <c r="AC277" s="15" t="s">
        <v>320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249</v>
      </c>
      <c r="AS277" s="15" t="s">
        <v>567</v>
      </c>
      <c r="AT277" s="15" t="s">
        <v>642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249</v>
      </c>
      <c r="D278" s="15" t="s">
        <v>325</v>
      </c>
      <c r="E278" s="15" t="s">
        <v>269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328</v>
      </c>
      <c r="Y278" s="15" t="s">
        <v>321</v>
      </c>
      <c r="Z278" s="15" t="s">
        <v>336</v>
      </c>
      <c r="AA278" s="15"/>
      <c r="AB278" s="15"/>
      <c r="AC278" s="15" t="s">
        <v>320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249</v>
      </c>
      <c r="AS278" s="15" t="s">
        <v>567</v>
      </c>
      <c r="AT278" s="15" t="s">
        <v>643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249</v>
      </c>
      <c r="D279" s="15" t="s">
        <v>325</v>
      </c>
      <c r="E279" s="15" t="s">
        <v>270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328</v>
      </c>
      <c r="Y279" s="15" t="s">
        <v>321</v>
      </c>
      <c r="Z279" s="15" t="s">
        <v>339</v>
      </c>
      <c r="AA279" s="15"/>
      <c r="AB279" s="15"/>
      <c r="AC279" s="15" t="s">
        <v>320</v>
      </c>
      <c r="AD279" s="15"/>
      <c r="AE279" s="18"/>
      <c r="AF279" s="18"/>
      <c r="AG279" s="19">
        <v>0.18299133909599399</v>
      </c>
      <c r="AH279" s="18"/>
      <c r="AI279" s="18"/>
      <c r="AJ279" s="19">
        <v>0.213778816414084</v>
      </c>
      <c r="AK279" s="18"/>
      <c r="AL279" s="18"/>
      <c r="AM279" s="19">
        <v>0.18</v>
      </c>
      <c r="AN279" s="18"/>
      <c r="AO279" s="18"/>
      <c r="AP279" s="19">
        <v>0.21</v>
      </c>
      <c r="AR279" s="15" t="s">
        <v>249</v>
      </c>
      <c r="AS279" s="15" t="s">
        <v>567</v>
      </c>
      <c r="AT279" s="15" t="s">
        <v>644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249</v>
      </c>
      <c r="D280" s="15" t="s">
        <v>325</v>
      </c>
      <c r="E280" s="15" t="s">
        <v>271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328</v>
      </c>
      <c r="Y280" s="15" t="s">
        <v>321</v>
      </c>
      <c r="Z280" s="15" t="s">
        <v>341</v>
      </c>
      <c r="AA280" s="15"/>
      <c r="AB280" s="15"/>
      <c r="AC280" s="15" t="s">
        <v>320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249</v>
      </c>
      <c r="AS280" s="15" t="s">
        <v>567</v>
      </c>
      <c r="AT280" s="15" t="s">
        <v>645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249</v>
      </c>
      <c r="D281" s="15" t="s">
        <v>325</v>
      </c>
      <c r="E281" s="15" t="s">
        <v>272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328</v>
      </c>
      <c r="Y281" s="15" t="s">
        <v>321</v>
      </c>
      <c r="Z281" s="15" t="s">
        <v>342</v>
      </c>
      <c r="AA281" s="15"/>
      <c r="AB281" s="15"/>
      <c r="AC281" s="15" t="s">
        <v>320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249</v>
      </c>
      <c r="AS281" s="15" t="s">
        <v>567</v>
      </c>
      <c r="AT281" s="15" t="s">
        <v>646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249</v>
      </c>
      <c r="D282" s="15" t="s">
        <v>325</v>
      </c>
      <c r="E282" s="15" t="s">
        <v>273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328</v>
      </c>
      <c r="Y282" s="15" t="s">
        <v>321</v>
      </c>
      <c r="Z282" s="15" t="s">
        <v>343</v>
      </c>
      <c r="AA282" s="15"/>
      <c r="AB282" s="15"/>
      <c r="AC282" s="15" t="s">
        <v>320</v>
      </c>
      <c r="AD282" s="15"/>
      <c r="AE282" s="18"/>
      <c r="AF282" s="18"/>
      <c r="AG282" s="19">
        <v>0.2</v>
      </c>
      <c r="AH282" s="18"/>
      <c r="AI282" s="18"/>
      <c r="AJ282" s="19">
        <v>0.22</v>
      </c>
      <c r="AK282" s="18"/>
      <c r="AL282" s="18"/>
      <c r="AM282" s="19">
        <v>0.2</v>
      </c>
      <c r="AN282" s="18"/>
      <c r="AO282" s="18"/>
      <c r="AP282" s="19">
        <v>0.22</v>
      </c>
      <c r="AR282" s="15" t="s">
        <v>249</v>
      </c>
      <c r="AS282" s="15" t="s">
        <v>567</v>
      </c>
      <c r="AT282" s="15" t="s">
        <v>647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249</v>
      </c>
      <c r="D283" s="15" t="s">
        <v>325</v>
      </c>
      <c r="E283" s="15" t="s">
        <v>274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328</v>
      </c>
      <c r="Y283" s="15" t="s">
        <v>321</v>
      </c>
      <c r="Z283" s="15" t="s">
        <v>344</v>
      </c>
      <c r="AA283" s="15"/>
      <c r="AB283" s="15"/>
      <c r="AC283" s="15" t="s">
        <v>320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249</v>
      </c>
      <c r="AS283" s="15" t="s">
        <v>567</v>
      </c>
      <c r="AT283" s="15" t="s">
        <v>648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249</v>
      </c>
      <c r="D284" s="15" t="s">
        <v>325</v>
      </c>
      <c r="E284" s="15" t="s">
        <v>275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328</v>
      </c>
      <c r="Y284" s="15" t="s">
        <v>321</v>
      </c>
      <c r="Z284" s="15" t="s">
        <v>345</v>
      </c>
      <c r="AA284" s="15"/>
      <c r="AB284" s="15"/>
      <c r="AC284" s="15" t="s">
        <v>320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249</v>
      </c>
      <c r="AS284" s="15" t="s">
        <v>567</v>
      </c>
      <c r="AT284" s="15" t="s">
        <v>649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249</v>
      </c>
      <c r="D285" s="15" t="s">
        <v>325</v>
      </c>
      <c r="E285" s="15" t="s">
        <v>276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328</v>
      </c>
      <c r="Y285" s="15" t="s">
        <v>321</v>
      </c>
      <c r="Z285" s="15" t="s">
        <v>346</v>
      </c>
      <c r="AA285" s="15"/>
      <c r="AB285" s="15"/>
      <c r="AC285" s="15" t="s">
        <v>320</v>
      </c>
      <c r="AD285" s="15"/>
      <c r="AE285" s="18"/>
      <c r="AF285" s="18"/>
      <c r="AG285" s="19">
        <v>0.12</v>
      </c>
      <c r="AH285" s="18"/>
      <c r="AI285" s="18"/>
      <c r="AJ285" s="19">
        <v>0.12</v>
      </c>
      <c r="AK285" s="18"/>
      <c r="AL285" s="18"/>
      <c r="AM285" s="19">
        <v>0.12</v>
      </c>
      <c r="AN285" s="18"/>
      <c r="AO285" s="18"/>
      <c r="AP285" s="19">
        <v>0.12</v>
      </c>
      <c r="AR285" s="15" t="s">
        <v>249</v>
      </c>
      <c r="AS285" s="15" t="s">
        <v>567</v>
      </c>
      <c r="AT285" s="15" t="s">
        <v>650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249</v>
      </c>
      <c r="D286" s="15" t="s">
        <v>325</v>
      </c>
      <c r="E286" s="15" t="s">
        <v>277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328</v>
      </c>
      <c r="Y286" s="15" t="s">
        <v>321</v>
      </c>
      <c r="Z286" s="15" t="s">
        <v>347</v>
      </c>
      <c r="AA286" s="15"/>
      <c r="AB286" s="15"/>
      <c r="AC286" s="15" t="s">
        <v>320</v>
      </c>
      <c r="AD286" s="15"/>
      <c r="AE286" s="18"/>
      <c r="AF286" s="18"/>
      <c r="AG286" s="19">
        <v>1.22</v>
      </c>
      <c r="AH286" s="18"/>
      <c r="AI286" s="18"/>
      <c r="AJ286" s="19">
        <v>1.44</v>
      </c>
      <c r="AK286" s="18"/>
      <c r="AL286" s="18"/>
      <c r="AM286" s="19">
        <v>1.22</v>
      </c>
      <c r="AN286" s="18"/>
      <c r="AO286" s="18"/>
      <c r="AP286" s="19">
        <v>1.44</v>
      </c>
      <c r="AR286" s="15" t="s">
        <v>249</v>
      </c>
      <c r="AS286" s="15" t="s">
        <v>567</v>
      </c>
      <c r="AT286" s="15" t="s">
        <v>651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249</v>
      </c>
      <c r="D287" s="15" t="s">
        <v>325</v>
      </c>
      <c r="E287" s="15" t="s">
        <v>278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328</v>
      </c>
      <c r="Y287" s="15" t="s">
        <v>321</v>
      </c>
      <c r="Z287" s="15" t="s">
        <v>348</v>
      </c>
      <c r="AA287" s="15"/>
      <c r="AB287" s="15"/>
      <c r="AC287" s="15" t="s">
        <v>320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249</v>
      </c>
      <c r="AS287" s="15" t="s">
        <v>567</v>
      </c>
      <c r="AT287" s="15" t="s">
        <v>652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249</v>
      </c>
      <c r="D288" s="15" t="s">
        <v>325</v>
      </c>
      <c r="E288" s="15" t="s">
        <v>279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328</v>
      </c>
      <c r="Y288" s="15" t="s">
        <v>321</v>
      </c>
      <c r="Z288" s="15" t="s">
        <v>349</v>
      </c>
      <c r="AA288" s="15"/>
      <c r="AB288" s="15"/>
      <c r="AC288" s="15" t="s">
        <v>320</v>
      </c>
      <c r="AD288" s="15"/>
      <c r="AE288" s="18"/>
      <c r="AF288" s="18"/>
      <c r="AG288" s="19">
        <v>1.4570000000000001</v>
      </c>
      <c r="AH288" s="18"/>
      <c r="AI288" s="18"/>
      <c r="AJ288" s="19">
        <v>1.55</v>
      </c>
      <c r="AK288" s="18"/>
      <c r="AL288" s="18"/>
      <c r="AM288" s="19">
        <v>1.46</v>
      </c>
      <c r="AN288" s="18"/>
      <c r="AO288" s="18"/>
      <c r="AP288" s="19">
        <v>1.55</v>
      </c>
      <c r="AR288" s="15" t="s">
        <v>249</v>
      </c>
      <c r="AS288" s="15" t="s">
        <v>567</v>
      </c>
      <c r="AT288" s="15" t="s">
        <v>653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249</v>
      </c>
      <c r="D289" s="15" t="s">
        <v>325</v>
      </c>
      <c r="E289" s="15" t="s">
        <v>280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328</v>
      </c>
      <c r="Y289" s="15" t="s">
        <v>321</v>
      </c>
      <c r="Z289" s="15" t="s">
        <v>350</v>
      </c>
      <c r="AA289" s="15"/>
      <c r="AB289" s="15"/>
      <c r="AC289" s="15" t="s">
        <v>320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249</v>
      </c>
      <c r="AS289" s="15" t="s">
        <v>567</v>
      </c>
      <c r="AT289" s="15" t="s">
        <v>654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249</v>
      </c>
      <c r="D290" s="15" t="s">
        <v>325</v>
      </c>
      <c r="E290" s="15" t="s">
        <v>281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328</v>
      </c>
      <c r="Y290" s="15" t="s">
        <v>321</v>
      </c>
      <c r="Z290" s="15" t="s">
        <v>351</v>
      </c>
      <c r="AA290" s="15"/>
      <c r="AB290" s="15"/>
      <c r="AC290" s="15" t="s">
        <v>320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249</v>
      </c>
      <c r="AS290" s="15" t="s">
        <v>567</v>
      </c>
      <c r="AT290" s="15" t="s">
        <v>655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249</v>
      </c>
      <c r="D291" s="15" t="s">
        <v>325</v>
      </c>
      <c r="E291" s="15" t="s">
        <v>282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328</v>
      </c>
      <c r="Y291" s="15" t="s">
        <v>321</v>
      </c>
      <c r="Z291" s="15" t="s">
        <v>352</v>
      </c>
      <c r="AA291" s="15"/>
      <c r="AB291" s="15"/>
      <c r="AC291" s="15" t="s">
        <v>320</v>
      </c>
      <c r="AD291" s="15"/>
      <c r="AE291" s="18"/>
      <c r="AF291" s="18"/>
      <c r="AG291" s="19">
        <v>0.34</v>
      </c>
      <c r="AH291" s="18"/>
      <c r="AI291" s="18"/>
      <c r="AJ291" s="19">
        <v>0.34</v>
      </c>
      <c r="AK291" s="18"/>
      <c r="AL291" s="18"/>
      <c r="AM291" s="19">
        <v>0.34</v>
      </c>
      <c r="AN291" s="18"/>
      <c r="AO291" s="18"/>
      <c r="AP291" s="19">
        <v>0.34</v>
      </c>
      <c r="AR291" s="15" t="s">
        <v>249</v>
      </c>
      <c r="AS291" s="15" t="s">
        <v>567</v>
      </c>
      <c r="AT291" s="15" t="s">
        <v>656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249</v>
      </c>
      <c r="D292" s="15" t="s">
        <v>325</v>
      </c>
      <c r="E292" s="15" t="s">
        <v>283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328</v>
      </c>
      <c r="Y292" s="15" t="s">
        <v>321</v>
      </c>
      <c r="Z292" s="15" t="s">
        <v>353</v>
      </c>
      <c r="AA292" s="15"/>
      <c r="AB292" s="15"/>
      <c r="AC292" s="15" t="s">
        <v>320</v>
      </c>
      <c r="AD292" s="15"/>
      <c r="AE292" s="18"/>
      <c r="AF292" s="18"/>
      <c r="AG292" s="19">
        <f t="shared" ref="AG292:AG297" si="8">0.136409892060962*3.6/4.5</f>
        <v>0.10912791364876959</v>
      </c>
      <c r="AH292" s="18"/>
      <c r="AI292" s="18"/>
      <c r="AJ292" s="19">
        <f t="shared" ref="AJ292:AJ299" si="9">0.17231484714245*3.6/4.5</f>
        <v>0.13785187771396001</v>
      </c>
      <c r="AK292" s="18"/>
      <c r="AL292" s="18"/>
      <c r="AM292" s="19">
        <f t="shared" ref="AM292:AM297" si="10">0.14*3.6/4.5</f>
        <v>0.11200000000000003</v>
      </c>
      <c r="AN292" s="18"/>
      <c r="AO292" s="18"/>
      <c r="AP292" s="19">
        <f t="shared" ref="AP292:AP299" si="11">0.17*3.6/4.5</f>
        <v>0.13600000000000001</v>
      </c>
      <c r="AR292" s="15" t="s">
        <v>249</v>
      </c>
      <c r="AS292" s="15" t="s">
        <v>567</v>
      </c>
      <c r="AT292" s="15" t="s">
        <v>657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249</v>
      </c>
      <c r="D293" s="15" t="s">
        <v>325</v>
      </c>
      <c r="E293" s="15" t="s">
        <v>284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328</v>
      </c>
      <c r="Y293" s="15" t="s">
        <v>321</v>
      </c>
      <c r="Z293" s="15" t="s">
        <v>354</v>
      </c>
      <c r="AA293" s="15"/>
      <c r="AB293" s="15"/>
      <c r="AC293" s="15" t="s">
        <v>320</v>
      </c>
      <c r="AD293" s="15"/>
      <c r="AE293" s="18"/>
      <c r="AF293" s="18"/>
      <c r="AG293" s="19">
        <f t="shared" si="8"/>
        <v>0.10912791364876959</v>
      </c>
      <c r="AH293" s="18"/>
      <c r="AI293" s="18"/>
      <c r="AJ293" s="19">
        <f t="shared" si="9"/>
        <v>0.13785187771396001</v>
      </c>
      <c r="AK293" s="18"/>
      <c r="AL293" s="18"/>
      <c r="AM293" s="19">
        <f t="shared" si="10"/>
        <v>0.11200000000000003</v>
      </c>
      <c r="AN293" s="18"/>
      <c r="AO293" s="18"/>
      <c r="AP293" s="19">
        <f t="shared" si="11"/>
        <v>0.13600000000000001</v>
      </c>
      <c r="AR293" s="15" t="s">
        <v>249</v>
      </c>
      <c r="AS293" s="15" t="s">
        <v>567</v>
      </c>
      <c r="AT293" s="15" t="s">
        <v>658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249</v>
      </c>
      <c r="D294" s="15" t="s">
        <v>325</v>
      </c>
      <c r="E294" s="15" t="s">
        <v>285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328</v>
      </c>
      <c r="Y294" s="15" t="s">
        <v>321</v>
      </c>
      <c r="Z294" s="15" t="s">
        <v>355</v>
      </c>
      <c r="AA294" s="15"/>
      <c r="AB294" s="15"/>
      <c r="AC294" s="15" t="s">
        <v>320</v>
      </c>
      <c r="AD294" s="15"/>
      <c r="AE294" s="18"/>
      <c r="AF294" s="18"/>
      <c r="AG294" s="19">
        <f t="shared" si="8"/>
        <v>0.10912791364876959</v>
      </c>
      <c r="AH294" s="18"/>
      <c r="AI294" s="18"/>
      <c r="AJ294" s="19">
        <f t="shared" si="9"/>
        <v>0.13785187771396001</v>
      </c>
      <c r="AK294" s="18"/>
      <c r="AL294" s="18"/>
      <c r="AM294" s="19">
        <f t="shared" si="10"/>
        <v>0.11200000000000003</v>
      </c>
      <c r="AN294" s="18"/>
      <c r="AO294" s="18"/>
      <c r="AP294" s="19">
        <f t="shared" si="11"/>
        <v>0.13600000000000001</v>
      </c>
      <c r="AR294" s="15" t="s">
        <v>249</v>
      </c>
      <c r="AS294" s="15" t="s">
        <v>567</v>
      </c>
      <c r="AT294" s="15" t="s">
        <v>659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249</v>
      </c>
      <c r="D295" s="15" t="s">
        <v>325</v>
      </c>
      <c r="E295" s="15" t="s">
        <v>286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328</v>
      </c>
      <c r="Y295" s="15" t="s">
        <v>321</v>
      </c>
      <c r="Z295" s="15" t="s">
        <v>356</v>
      </c>
      <c r="AA295" s="15"/>
      <c r="AB295" s="15"/>
      <c r="AC295" s="15" t="s">
        <v>320</v>
      </c>
      <c r="AD295" s="15"/>
      <c r="AE295" s="18"/>
      <c r="AF295" s="18"/>
      <c r="AG295" s="19">
        <f t="shared" si="8"/>
        <v>0.10912791364876959</v>
      </c>
      <c r="AH295" s="18"/>
      <c r="AI295" s="18"/>
      <c r="AJ295" s="19">
        <f t="shared" si="9"/>
        <v>0.13785187771396001</v>
      </c>
      <c r="AK295" s="18"/>
      <c r="AL295" s="18"/>
      <c r="AM295" s="19">
        <f t="shared" si="10"/>
        <v>0.11200000000000003</v>
      </c>
      <c r="AN295" s="18"/>
      <c r="AO295" s="18"/>
      <c r="AP295" s="19">
        <f t="shared" si="11"/>
        <v>0.13600000000000001</v>
      </c>
      <c r="AR295" s="15" t="s">
        <v>249</v>
      </c>
      <c r="AS295" s="15" t="s">
        <v>567</v>
      </c>
      <c r="AT295" s="15" t="s">
        <v>660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249</v>
      </c>
      <c r="D296" s="15" t="s">
        <v>325</v>
      </c>
      <c r="E296" s="15" t="s">
        <v>287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328</v>
      </c>
      <c r="Y296" s="15" t="s">
        <v>321</v>
      </c>
      <c r="Z296" s="15" t="s">
        <v>357</v>
      </c>
      <c r="AA296" s="15"/>
      <c r="AB296" s="15"/>
      <c r="AC296" s="15" t="s">
        <v>320</v>
      </c>
      <c r="AD296" s="15"/>
      <c r="AE296" s="18"/>
      <c r="AF296" s="18"/>
      <c r="AG296" s="19">
        <f t="shared" si="8"/>
        <v>0.10912791364876959</v>
      </c>
      <c r="AH296" s="18"/>
      <c r="AI296" s="18"/>
      <c r="AJ296" s="19">
        <f t="shared" si="9"/>
        <v>0.13785187771396001</v>
      </c>
      <c r="AK296" s="18"/>
      <c r="AL296" s="18"/>
      <c r="AM296" s="19">
        <f t="shared" si="10"/>
        <v>0.11200000000000003</v>
      </c>
      <c r="AN296" s="18"/>
      <c r="AO296" s="18"/>
      <c r="AP296" s="19">
        <f t="shared" si="11"/>
        <v>0.13600000000000001</v>
      </c>
      <c r="AR296" s="15" t="s">
        <v>249</v>
      </c>
      <c r="AS296" s="15" t="s">
        <v>567</v>
      </c>
      <c r="AT296" s="15" t="s">
        <v>661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249</v>
      </c>
      <c r="D297" s="15" t="s">
        <v>325</v>
      </c>
      <c r="E297" s="15" t="s">
        <v>288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328</v>
      </c>
      <c r="Y297" s="15" t="s">
        <v>321</v>
      </c>
      <c r="Z297" s="15" t="s">
        <v>358</v>
      </c>
      <c r="AA297" s="15"/>
      <c r="AB297" s="15"/>
      <c r="AC297" s="15" t="s">
        <v>320</v>
      </c>
      <c r="AD297" s="15"/>
      <c r="AE297" s="18"/>
      <c r="AF297" s="18"/>
      <c r="AG297" s="19">
        <f t="shared" si="8"/>
        <v>0.10912791364876959</v>
      </c>
      <c r="AH297" s="18"/>
      <c r="AI297" s="18"/>
      <c r="AJ297" s="19">
        <f t="shared" si="9"/>
        <v>0.13785187771396001</v>
      </c>
      <c r="AK297" s="18"/>
      <c r="AL297" s="18"/>
      <c r="AM297" s="19">
        <f t="shared" si="10"/>
        <v>0.11200000000000003</v>
      </c>
      <c r="AN297" s="18"/>
      <c r="AO297" s="18"/>
      <c r="AP297" s="19">
        <f t="shared" si="11"/>
        <v>0.13600000000000001</v>
      </c>
      <c r="AR297" s="15" t="s">
        <v>249</v>
      </c>
      <c r="AS297" s="15" t="s">
        <v>567</v>
      </c>
      <c r="AT297" s="15" t="s">
        <v>662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249</v>
      </c>
      <c r="D298" s="15" t="s">
        <v>325</v>
      </c>
      <c r="E298" s="15" t="s">
        <v>289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328</v>
      </c>
      <c r="Y298" s="15" t="s">
        <v>321</v>
      </c>
      <c r="Z298" s="15" t="s">
        <v>359</v>
      </c>
      <c r="AA298" s="15"/>
      <c r="AB298" s="15"/>
      <c r="AC298" s="15" t="s">
        <v>320</v>
      </c>
      <c r="AD298" s="15"/>
      <c r="AE298" s="18"/>
      <c r="AF298" s="18"/>
      <c r="AG298" s="19">
        <f>0.136409892060962</f>
        <v>0.13640989206096199</v>
      </c>
      <c r="AH298" s="18"/>
      <c r="AI298" s="18"/>
      <c r="AJ298" s="19">
        <f t="shared" si="9"/>
        <v>0.13785187771396001</v>
      </c>
      <c r="AK298" s="18"/>
      <c r="AL298" s="18"/>
      <c r="AM298" s="19">
        <f>0.136409892060962</f>
        <v>0.13640989206096199</v>
      </c>
      <c r="AN298" s="18"/>
      <c r="AO298" s="18"/>
      <c r="AP298" s="19">
        <f t="shared" si="11"/>
        <v>0.13600000000000001</v>
      </c>
      <c r="AR298" s="15" t="s">
        <v>249</v>
      </c>
      <c r="AS298" s="15" t="s">
        <v>567</v>
      </c>
      <c r="AT298" s="15" t="s">
        <v>663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249</v>
      </c>
      <c r="D299" s="15" t="s">
        <v>325</v>
      </c>
      <c r="E299" s="15" t="s">
        <v>290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328</v>
      </c>
      <c r="Y299" s="15" t="s">
        <v>321</v>
      </c>
      <c r="Z299" s="15" t="s">
        <v>360</v>
      </c>
      <c r="AA299" s="15"/>
      <c r="AB299" s="15"/>
      <c r="AC299" s="15" t="s">
        <v>320</v>
      </c>
      <c r="AD299" s="15"/>
      <c r="AE299" s="18"/>
      <c r="AF299" s="18"/>
      <c r="AG299" s="19">
        <f>0.136409892060962</f>
        <v>0.13640989206096199</v>
      </c>
      <c r="AH299" s="18"/>
      <c r="AI299" s="18"/>
      <c r="AJ299" s="19">
        <f t="shared" si="9"/>
        <v>0.13785187771396001</v>
      </c>
      <c r="AK299" s="18"/>
      <c r="AL299" s="18"/>
      <c r="AM299" s="19">
        <f>0.136409892060962</f>
        <v>0.13640989206096199</v>
      </c>
      <c r="AN299" s="18"/>
      <c r="AO299" s="18"/>
      <c r="AP299" s="19">
        <f t="shared" si="11"/>
        <v>0.13600000000000001</v>
      </c>
      <c r="AR299" s="15" t="s">
        <v>249</v>
      </c>
      <c r="AS299" s="15" t="s">
        <v>567</v>
      </c>
      <c r="AT299" s="15" t="s">
        <v>664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249</v>
      </c>
      <c r="D300" s="15" t="s">
        <v>325</v>
      </c>
      <c r="E300" s="15" t="s">
        <v>291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328</v>
      </c>
      <c r="Y300" s="15" t="s">
        <v>321</v>
      </c>
      <c r="Z300" s="15" t="s">
        <v>361</v>
      </c>
      <c r="AA300" s="15"/>
      <c r="AB300" s="15"/>
      <c r="AC300" s="15" t="s">
        <v>320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249</v>
      </c>
      <c r="AS300" s="15" t="s">
        <v>567</v>
      </c>
      <c r="AT300" s="15" t="s">
        <v>665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249</v>
      </c>
      <c r="D301" s="15" t="s">
        <v>325</v>
      </c>
      <c r="E301" s="15" t="s">
        <v>292</v>
      </c>
      <c r="F301" s="15"/>
      <c r="G301" s="15"/>
      <c r="H301" s="15"/>
      <c r="I301" s="15"/>
      <c r="J301" s="18">
        <v>2020</v>
      </c>
      <c r="K301" s="18"/>
      <c r="L301" s="19"/>
      <c r="M301" s="18"/>
      <c r="N301" s="18"/>
      <c r="O301" s="19"/>
      <c r="P301" s="18"/>
      <c r="Q301" s="18">
        <v>2020</v>
      </c>
      <c r="R301" s="19"/>
      <c r="S301" s="18"/>
      <c r="T301" s="18"/>
      <c r="U301" s="19"/>
      <c r="V301" s="19"/>
      <c r="X301" s="15" t="s">
        <v>328</v>
      </c>
      <c r="Y301" s="15" t="s">
        <v>321</v>
      </c>
      <c r="Z301" s="15" t="s">
        <v>362</v>
      </c>
      <c r="AA301" s="15"/>
      <c r="AB301" s="15"/>
      <c r="AC301" s="15" t="s">
        <v>320</v>
      </c>
      <c r="AD301" s="15"/>
      <c r="AE301" s="18"/>
      <c r="AF301" s="18"/>
      <c r="AG301" s="19">
        <v>3.0007890049087299E-2</v>
      </c>
      <c r="AH301" s="18"/>
      <c r="AI301" s="18"/>
      <c r="AJ301" s="19">
        <v>2.9983436126264001E-2</v>
      </c>
      <c r="AK301" s="18"/>
      <c r="AL301" s="18"/>
      <c r="AM301" s="19">
        <v>0.03</v>
      </c>
      <c r="AN301" s="18"/>
      <c r="AO301" s="18"/>
      <c r="AP301" s="19">
        <v>0.03</v>
      </c>
      <c r="AR301" s="15" t="s">
        <v>249</v>
      </c>
      <c r="AS301" s="15" t="s">
        <v>567</v>
      </c>
      <c r="AT301" s="15" t="s">
        <v>666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249</v>
      </c>
      <c r="D302" s="15" t="s">
        <v>325</v>
      </c>
      <c r="E302" s="15" t="s">
        <v>293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328</v>
      </c>
      <c r="Y302" s="15" t="s">
        <v>322</v>
      </c>
      <c r="Z302" s="15" t="s">
        <v>330</v>
      </c>
      <c r="AA302" s="15"/>
      <c r="AB302" s="15"/>
      <c r="AC302" s="15"/>
      <c r="AD302" s="15" t="s">
        <v>323</v>
      </c>
      <c r="AE302" s="18"/>
      <c r="AF302" s="19">
        <v>5</v>
      </c>
      <c r="AG302" s="19">
        <v>63</v>
      </c>
      <c r="AH302" s="19">
        <v>42.287999999999997</v>
      </c>
      <c r="AI302" s="19">
        <v>42.287999999999997</v>
      </c>
      <c r="AJ302" s="19">
        <v>42.287999999999997</v>
      </c>
      <c r="AK302" s="18"/>
      <c r="AL302" s="19">
        <v>5</v>
      </c>
      <c r="AM302" s="19">
        <v>63</v>
      </c>
      <c r="AN302" s="19">
        <v>46.290999999999997</v>
      </c>
      <c r="AO302" s="19">
        <v>46.290999999999997</v>
      </c>
      <c r="AP302" s="19">
        <v>46.290999999999997</v>
      </c>
      <c r="AR302" s="15" t="s">
        <v>249</v>
      </c>
      <c r="AS302" s="15" t="s">
        <v>567</v>
      </c>
      <c r="AT302" s="15" t="s">
        <v>667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249</v>
      </c>
      <c r="D303" s="15" t="s">
        <v>325</v>
      </c>
      <c r="E303" s="15" t="s">
        <v>294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328</v>
      </c>
      <c r="Y303" s="15" t="s">
        <v>322</v>
      </c>
      <c r="Z303" s="15" t="s">
        <v>331</v>
      </c>
      <c r="AA303" s="15"/>
      <c r="AB303" s="15"/>
      <c r="AC303" s="15"/>
      <c r="AD303" s="15" t="s">
        <v>323</v>
      </c>
      <c r="AE303" s="18"/>
      <c r="AF303" s="19">
        <v>5</v>
      </c>
      <c r="AG303" s="19">
        <v>97.283967328970903</v>
      </c>
      <c r="AH303" s="19">
        <v>65.197195446041405</v>
      </c>
      <c r="AI303" s="19">
        <v>59.842717084595598</v>
      </c>
      <c r="AJ303" s="19">
        <v>56.4270985303787</v>
      </c>
      <c r="AK303" s="18"/>
      <c r="AL303" s="19">
        <v>5</v>
      </c>
      <c r="AM303" s="19">
        <v>97.283967328970903</v>
      </c>
      <c r="AN303" s="19">
        <v>58.8593590627639</v>
      </c>
      <c r="AO303" s="19">
        <v>55.900305231438601</v>
      </c>
      <c r="AP303" s="19">
        <v>54.0127265567398</v>
      </c>
      <c r="AR303" s="15" t="s">
        <v>249</v>
      </c>
      <c r="AS303" s="15" t="s">
        <v>567</v>
      </c>
      <c r="AT303" s="15" t="s">
        <v>668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249</v>
      </c>
      <c r="D304" s="15" t="s">
        <v>325</v>
      </c>
      <c r="E304" s="15" t="s">
        <v>295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328</v>
      </c>
      <c r="Y304" s="15" t="s">
        <v>322</v>
      </c>
      <c r="Z304" s="15" t="s">
        <v>332</v>
      </c>
      <c r="AA304" s="15"/>
      <c r="AB304" s="15"/>
      <c r="AC304" s="15"/>
      <c r="AD304" s="15" t="s">
        <v>323</v>
      </c>
      <c r="AE304" s="18"/>
      <c r="AF304" s="19">
        <v>5</v>
      </c>
      <c r="AG304" s="19">
        <v>57.303146992157899</v>
      </c>
      <c r="AH304" s="19">
        <v>56.971740085556597</v>
      </c>
      <c r="AI304" s="19">
        <v>57.739042784512897</v>
      </c>
      <c r="AJ304" s="19">
        <v>59.435882015026401</v>
      </c>
      <c r="AK304" s="18"/>
      <c r="AL304" s="19">
        <v>5</v>
      </c>
      <c r="AM304" s="19">
        <v>57.303146992157899</v>
      </c>
      <c r="AN304" s="19">
        <v>56.971740085556597</v>
      </c>
      <c r="AO304" s="19">
        <v>57.739042784512897</v>
      </c>
      <c r="AP304" s="19">
        <v>59.435882015026401</v>
      </c>
      <c r="AR304" s="15" t="s">
        <v>249</v>
      </c>
      <c r="AS304" s="15" t="s">
        <v>567</v>
      </c>
      <c r="AT304" s="15" t="s">
        <v>669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249</v>
      </c>
      <c r="D305" s="15" t="s">
        <v>325</v>
      </c>
      <c r="E305" s="15" t="s">
        <v>296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328</v>
      </c>
      <c r="Y305" s="15" t="s">
        <v>322</v>
      </c>
      <c r="Z305" s="15" t="s">
        <v>333</v>
      </c>
      <c r="AA305" s="15"/>
      <c r="AB305" s="15"/>
      <c r="AC305" s="15"/>
      <c r="AD305" s="15" t="s">
        <v>323</v>
      </c>
      <c r="AE305" s="18"/>
      <c r="AF305" s="19">
        <v>5</v>
      </c>
      <c r="AG305" s="19">
        <v>38.539138979341097</v>
      </c>
      <c r="AH305" s="19">
        <v>37.682713668689097</v>
      </c>
      <c r="AI305" s="19">
        <v>38.253663875790402</v>
      </c>
      <c r="AJ305" s="19">
        <v>38.539138979341097</v>
      </c>
      <c r="AK305" s="18"/>
      <c r="AL305" s="19">
        <v>5</v>
      </c>
      <c r="AM305" s="19">
        <v>38.539138979341097</v>
      </c>
      <c r="AN305" s="19">
        <v>37.682713668689097</v>
      </c>
      <c r="AO305" s="19">
        <v>38.253663875790402</v>
      </c>
      <c r="AP305" s="19">
        <v>38.539138979341097</v>
      </c>
      <c r="AR305" s="15" t="s">
        <v>249</v>
      </c>
      <c r="AS305" s="15" t="s">
        <v>567</v>
      </c>
      <c r="AT305" s="15" t="s">
        <v>670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249</v>
      </c>
      <c r="D306" s="15" t="s">
        <v>325</v>
      </c>
      <c r="E306" s="15" t="s">
        <v>297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328</v>
      </c>
      <c r="Y306" s="15" t="s">
        <v>322</v>
      </c>
      <c r="Z306" s="15" t="s">
        <v>334</v>
      </c>
      <c r="AA306" s="15"/>
      <c r="AB306" s="15"/>
      <c r="AC306" s="15"/>
      <c r="AD306" s="15" t="s">
        <v>323</v>
      </c>
      <c r="AE306" s="18"/>
      <c r="AF306" s="19">
        <v>5</v>
      </c>
      <c r="AG306" s="19">
        <v>50.400339083480702</v>
      </c>
      <c r="AH306" s="19">
        <v>53.296910295175003</v>
      </c>
      <c r="AI306" s="19">
        <v>54.841748274745299</v>
      </c>
      <c r="AJ306" s="19">
        <v>56.386586254315503</v>
      </c>
      <c r="AK306" s="18"/>
      <c r="AL306" s="19">
        <v>5</v>
      </c>
      <c r="AM306" s="19">
        <v>50.400339083480702</v>
      </c>
      <c r="AN306" s="19">
        <v>53.296910295175003</v>
      </c>
      <c r="AO306" s="19">
        <v>54.841748274745299</v>
      </c>
      <c r="AP306" s="19">
        <v>56.386586254315503</v>
      </c>
      <c r="AR306" s="15" t="s">
        <v>249</v>
      </c>
      <c r="AS306" s="15" t="s">
        <v>567</v>
      </c>
      <c r="AT306" s="15" t="s">
        <v>671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249</v>
      </c>
      <c r="D307" s="15" t="s">
        <v>325</v>
      </c>
      <c r="E307" s="15" t="s">
        <v>298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328</v>
      </c>
      <c r="Y307" s="15" t="s">
        <v>322</v>
      </c>
      <c r="Z307" s="15" t="s">
        <v>335</v>
      </c>
      <c r="AA307" s="15"/>
      <c r="AB307" s="15"/>
      <c r="AC307" s="15"/>
      <c r="AD307" s="15" t="s">
        <v>323</v>
      </c>
      <c r="AE307" s="18"/>
      <c r="AF307" s="19">
        <v>5</v>
      </c>
      <c r="AG307" s="19">
        <v>33.896666666666697</v>
      </c>
      <c r="AH307" s="19">
        <v>35.252077732974897</v>
      </c>
      <c r="AI307" s="19">
        <v>36.334128584229397</v>
      </c>
      <c r="AJ307" s="19">
        <v>36.561928763440903</v>
      </c>
      <c r="AK307" s="18"/>
      <c r="AL307" s="19">
        <v>5</v>
      </c>
      <c r="AM307" s="19">
        <v>33.896666666666697</v>
      </c>
      <c r="AN307" s="19">
        <v>35.252077732974897</v>
      </c>
      <c r="AO307" s="19">
        <v>36.334128584229397</v>
      </c>
      <c r="AP307" s="19">
        <v>36.561928763440903</v>
      </c>
      <c r="AR307" s="15" t="s">
        <v>249</v>
      </c>
      <c r="AS307" s="15" t="s">
        <v>567</v>
      </c>
      <c r="AT307" s="15" t="s">
        <v>672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249</v>
      </c>
      <c r="D308" s="15" t="s">
        <v>325</v>
      </c>
      <c r="E308" s="15" t="s">
        <v>299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328</v>
      </c>
      <c r="Y308" s="15" t="s">
        <v>322</v>
      </c>
      <c r="Z308" s="15" t="s">
        <v>336</v>
      </c>
      <c r="AA308" s="15"/>
      <c r="AB308" s="15"/>
      <c r="AC308" s="15"/>
      <c r="AD308" s="15" t="s">
        <v>323</v>
      </c>
      <c r="AE308" s="18"/>
      <c r="AF308" s="19">
        <v>5</v>
      </c>
      <c r="AG308" s="19">
        <v>115.04822804859501</v>
      </c>
      <c r="AH308" s="19">
        <v>85.444218043248995</v>
      </c>
      <c r="AI308" s="19">
        <v>85.302529162299507</v>
      </c>
      <c r="AJ308" s="19">
        <v>85.302529162299507</v>
      </c>
      <c r="AK308" s="18"/>
      <c r="AL308" s="19">
        <v>5</v>
      </c>
      <c r="AM308" s="19">
        <v>115.04822804859501</v>
      </c>
      <c r="AN308" s="19">
        <v>89.186507208058103</v>
      </c>
      <c r="AO308" s="19">
        <v>89.0386126320237</v>
      </c>
      <c r="AP308" s="19">
        <v>90.976357876439593</v>
      </c>
      <c r="AR308" s="15" t="s">
        <v>249</v>
      </c>
      <c r="AS308" s="15" t="s">
        <v>567</v>
      </c>
      <c r="AT308" s="15" t="s">
        <v>673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249</v>
      </c>
      <c r="D309" s="15" t="s">
        <v>325</v>
      </c>
      <c r="E309" s="15" t="s">
        <v>300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328</v>
      </c>
      <c r="Y309" s="15" t="s">
        <v>322</v>
      </c>
      <c r="Z309" s="15" t="s">
        <v>339</v>
      </c>
      <c r="AA309" s="15"/>
      <c r="AB309" s="15"/>
      <c r="AC309" s="15"/>
      <c r="AD309" s="15" t="s">
        <v>323</v>
      </c>
      <c r="AE309" s="18"/>
      <c r="AF309" s="19">
        <v>5</v>
      </c>
      <c r="AG309" s="19">
        <v>77.375500000000002</v>
      </c>
      <c r="AH309" s="19">
        <v>56.515212600730401</v>
      </c>
      <c r="AI309" s="19">
        <v>56.515212600730401</v>
      </c>
      <c r="AJ309" s="19">
        <v>56.515212600730401</v>
      </c>
      <c r="AK309" s="18"/>
      <c r="AL309" s="19">
        <v>5</v>
      </c>
      <c r="AM309" s="19">
        <v>77.375500000000002</v>
      </c>
      <c r="AN309" s="19">
        <v>58.990468066882002</v>
      </c>
      <c r="AO309" s="19">
        <v>58.990468066882002</v>
      </c>
      <c r="AP309" s="19">
        <v>58.990468066882002</v>
      </c>
      <c r="AR309" s="15" t="s">
        <v>249</v>
      </c>
      <c r="AS309" s="15" t="s">
        <v>567</v>
      </c>
      <c r="AT309" s="15" t="s">
        <v>674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249</v>
      </c>
      <c r="D310" s="15" t="s">
        <v>325</v>
      </c>
      <c r="E310" s="15" t="s">
        <v>301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328</v>
      </c>
      <c r="Y310" s="15" t="s">
        <v>322</v>
      </c>
      <c r="Z310" s="15" t="s">
        <v>341</v>
      </c>
      <c r="AA310" s="15"/>
      <c r="AB310" s="15"/>
      <c r="AC310" s="15"/>
      <c r="AD310" s="15" t="s">
        <v>323</v>
      </c>
      <c r="AE310" s="18"/>
      <c r="AF310" s="19">
        <v>5</v>
      </c>
      <c r="AG310" s="19">
        <v>470</v>
      </c>
      <c r="AH310" s="19">
        <v>301</v>
      </c>
      <c r="AI310" s="19">
        <v>275</v>
      </c>
      <c r="AJ310" s="19">
        <v>275</v>
      </c>
      <c r="AK310" s="18"/>
      <c r="AL310" s="19">
        <v>5</v>
      </c>
      <c r="AM310" s="19">
        <v>501</v>
      </c>
      <c r="AN310" s="19">
        <v>317</v>
      </c>
      <c r="AO310" s="19">
        <v>286</v>
      </c>
      <c r="AP310" s="19">
        <v>286</v>
      </c>
      <c r="AR310" s="15" t="s">
        <v>249</v>
      </c>
      <c r="AS310" s="15" t="s">
        <v>567</v>
      </c>
      <c r="AT310" s="15" t="s">
        <v>675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249</v>
      </c>
      <c r="D311" s="15" t="s">
        <v>325</v>
      </c>
      <c r="E311" s="15" t="s">
        <v>302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328</v>
      </c>
      <c r="Y311" s="15" t="s">
        <v>322</v>
      </c>
      <c r="Z311" s="15" t="s">
        <v>342</v>
      </c>
      <c r="AA311" s="15"/>
      <c r="AB311" s="15"/>
      <c r="AC311" s="15"/>
      <c r="AD311" s="15" t="s">
        <v>323</v>
      </c>
      <c r="AE311" s="18"/>
      <c r="AF311" s="19">
        <v>5</v>
      </c>
      <c r="AG311" s="19">
        <v>727</v>
      </c>
      <c r="AH311" s="19">
        <v>344</v>
      </c>
      <c r="AI311" s="19">
        <v>292</v>
      </c>
      <c r="AJ311" s="19">
        <v>292</v>
      </c>
      <c r="AK311" s="18"/>
      <c r="AL311" s="19">
        <v>5</v>
      </c>
      <c r="AM311" s="19">
        <v>727</v>
      </c>
      <c r="AN311" s="19">
        <v>361</v>
      </c>
      <c r="AO311" s="19">
        <v>307</v>
      </c>
      <c r="AP311" s="19">
        <v>307</v>
      </c>
      <c r="AR311" s="15" t="s">
        <v>249</v>
      </c>
      <c r="AS311" s="15" t="s">
        <v>567</v>
      </c>
      <c r="AT311" s="15" t="s">
        <v>676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249</v>
      </c>
      <c r="D312" s="15" t="s">
        <v>325</v>
      </c>
      <c r="E312" s="15" t="s">
        <v>303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328</v>
      </c>
      <c r="Y312" s="15" t="s">
        <v>322</v>
      </c>
      <c r="Z312" s="15" t="s">
        <v>343</v>
      </c>
      <c r="AA312" s="15"/>
      <c r="AB312" s="15"/>
      <c r="AC312" s="15"/>
      <c r="AD312" s="15" t="s">
        <v>323</v>
      </c>
      <c r="AE312" s="18"/>
      <c r="AF312" s="19">
        <v>5</v>
      </c>
      <c r="AG312" s="19">
        <v>250</v>
      </c>
      <c r="AH312" s="19">
        <v>250</v>
      </c>
      <c r="AI312" s="19">
        <v>250</v>
      </c>
      <c r="AJ312" s="19">
        <v>250</v>
      </c>
      <c r="AK312" s="18"/>
      <c r="AL312" s="19">
        <v>5</v>
      </c>
      <c r="AM312" s="19">
        <v>250</v>
      </c>
      <c r="AN312" s="19">
        <v>250</v>
      </c>
      <c r="AO312" s="19">
        <v>250</v>
      </c>
      <c r="AP312" s="19">
        <v>250</v>
      </c>
      <c r="AR312" s="15" t="s">
        <v>249</v>
      </c>
      <c r="AS312" s="15" t="s">
        <v>567</v>
      </c>
      <c r="AT312" s="15" t="s">
        <v>677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249</v>
      </c>
      <c r="D313" s="15" t="s">
        <v>325</v>
      </c>
      <c r="E313" s="15" t="s">
        <v>304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328</v>
      </c>
      <c r="Y313" s="15" t="s">
        <v>322</v>
      </c>
      <c r="Z313" s="15" t="s">
        <v>344</v>
      </c>
      <c r="AA313" s="15"/>
      <c r="AB313" s="15"/>
      <c r="AC313" s="15"/>
      <c r="AD313" s="15" t="s">
        <v>323</v>
      </c>
      <c r="AE313" s="18"/>
      <c r="AF313" s="19">
        <v>5</v>
      </c>
      <c r="AG313" s="19">
        <v>188</v>
      </c>
      <c r="AH313" s="19">
        <v>123</v>
      </c>
      <c r="AI313" s="19">
        <v>112</v>
      </c>
      <c r="AJ313" s="19">
        <v>112</v>
      </c>
      <c r="AK313" s="18"/>
      <c r="AL313" s="19">
        <v>5</v>
      </c>
      <c r="AM313" s="19">
        <v>198</v>
      </c>
      <c r="AN313" s="19">
        <v>127</v>
      </c>
      <c r="AO313" s="19">
        <v>116</v>
      </c>
      <c r="AP313" s="19">
        <v>116</v>
      </c>
      <c r="AR313" s="15" t="s">
        <v>249</v>
      </c>
      <c r="AS313" s="15" t="s">
        <v>567</v>
      </c>
      <c r="AT313" s="15" t="s">
        <v>678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249</v>
      </c>
      <c r="D314" s="15" t="s">
        <v>325</v>
      </c>
      <c r="E314" s="15" t="s">
        <v>305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328</v>
      </c>
      <c r="Y314" s="15" t="s">
        <v>322</v>
      </c>
      <c r="Z314" s="15" t="s">
        <v>345</v>
      </c>
      <c r="AA314" s="15"/>
      <c r="AB314" s="15"/>
      <c r="AC314" s="15"/>
      <c r="AD314" s="15" t="s">
        <v>323</v>
      </c>
      <c r="AE314" s="18"/>
      <c r="AF314" s="19">
        <v>5</v>
      </c>
      <c r="AG314" s="19">
        <v>523</v>
      </c>
      <c r="AH314" s="19">
        <v>232</v>
      </c>
      <c r="AI314" s="19">
        <v>195</v>
      </c>
      <c r="AJ314" s="19">
        <v>195</v>
      </c>
      <c r="AK314" s="18"/>
      <c r="AL314" s="19">
        <v>5</v>
      </c>
      <c r="AM314" s="19">
        <v>523</v>
      </c>
      <c r="AN314" s="19">
        <v>244</v>
      </c>
      <c r="AO314" s="19">
        <v>205</v>
      </c>
      <c r="AP314" s="19">
        <v>205</v>
      </c>
      <c r="AR314" s="15" t="s">
        <v>249</v>
      </c>
      <c r="AS314" s="15" t="s">
        <v>567</v>
      </c>
      <c r="AT314" s="15" t="s">
        <v>679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249</v>
      </c>
      <c r="D315" s="15" t="s">
        <v>325</v>
      </c>
      <c r="E315" s="15" t="s">
        <v>306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328</v>
      </c>
      <c r="Y315" s="15" t="s">
        <v>322</v>
      </c>
      <c r="Z315" s="15" t="s">
        <v>346</v>
      </c>
      <c r="AA315" s="15"/>
      <c r="AB315" s="15"/>
      <c r="AC315" s="15"/>
      <c r="AD315" s="15" t="s">
        <v>323</v>
      </c>
      <c r="AE315" s="18"/>
      <c r="AF315" s="19">
        <v>5</v>
      </c>
      <c r="AG315" s="19">
        <v>122</v>
      </c>
      <c r="AH315" s="19">
        <v>122</v>
      </c>
      <c r="AI315" s="19">
        <v>122</v>
      </c>
      <c r="AJ315" s="19">
        <v>122</v>
      </c>
      <c r="AK315" s="18"/>
      <c r="AL315" s="19">
        <v>5</v>
      </c>
      <c r="AM315" s="19">
        <v>122</v>
      </c>
      <c r="AN315" s="19">
        <v>122</v>
      </c>
      <c r="AO315" s="19">
        <v>122</v>
      </c>
      <c r="AP315" s="19">
        <v>122</v>
      </c>
      <c r="AR315" s="15" t="s">
        <v>249</v>
      </c>
      <c r="AS315" s="15" t="s">
        <v>567</v>
      </c>
      <c r="AT315" s="15" t="s">
        <v>680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249</v>
      </c>
      <c r="D316" s="15" t="s">
        <v>325</v>
      </c>
      <c r="E316" s="15" t="s">
        <v>307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328</v>
      </c>
      <c r="Y316" s="15" t="s">
        <v>322</v>
      </c>
      <c r="Z316" s="15" t="s">
        <v>347</v>
      </c>
      <c r="AA316" s="15"/>
      <c r="AB316" s="15"/>
      <c r="AC316" s="15"/>
      <c r="AD316" s="15" t="s">
        <v>323</v>
      </c>
      <c r="AE316" s="18"/>
      <c r="AF316" s="19">
        <v>5</v>
      </c>
      <c r="AG316" s="19">
        <v>875</v>
      </c>
      <c r="AH316" s="19">
        <v>501</v>
      </c>
      <c r="AI316" s="19">
        <v>430</v>
      </c>
      <c r="AJ316" s="19">
        <v>430</v>
      </c>
      <c r="AK316" s="18"/>
      <c r="AL316" s="19">
        <v>5</v>
      </c>
      <c r="AM316" s="19">
        <v>955</v>
      </c>
      <c r="AN316" s="19">
        <v>538</v>
      </c>
      <c r="AO316" s="19">
        <v>455</v>
      </c>
      <c r="AP316" s="19">
        <v>455</v>
      </c>
      <c r="AR316" s="15" t="s">
        <v>249</v>
      </c>
      <c r="AS316" s="15" t="s">
        <v>567</v>
      </c>
      <c r="AT316" s="15" t="s">
        <v>681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249</v>
      </c>
      <c r="D317" s="15" t="s">
        <v>325</v>
      </c>
      <c r="E317" s="15" t="s">
        <v>308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328</v>
      </c>
      <c r="Y317" s="15" t="s">
        <v>322</v>
      </c>
      <c r="Z317" s="15" t="s">
        <v>348</v>
      </c>
      <c r="AA317" s="15"/>
      <c r="AB317" s="15"/>
      <c r="AC317" s="15"/>
      <c r="AD317" s="15" t="s">
        <v>323</v>
      </c>
      <c r="AE317" s="18"/>
      <c r="AF317" s="19">
        <v>5</v>
      </c>
      <c r="AG317" s="19">
        <v>817</v>
      </c>
      <c r="AH317" s="19">
        <v>384</v>
      </c>
      <c r="AI317" s="19">
        <v>323</v>
      </c>
      <c r="AJ317" s="19">
        <v>323</v>
      </c>
      <c r="AK317" s="18"/>
      <c r="AL317" s="19">
        <v>5</v>
      </c>
      <c r="AM317" s="19">
        <v>817</v>
      </c>
      <c r="AN317" s="19">
        <v>404</v>
      </c>
      <c r="AO317" s="19">
        <v>339</v>
      </c>
      <c r="AP317" s="19">
        <v>339</v>
      </c>
      <c r="AR317" s="15" t="s">
        <v>249</v>
      </c>
      <c r="AS317" s="15" t="s">
        <v>567</v>
      </c>
      <c r="AT317" s="15" t="s">
        <v>682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249</v>
      </c>
      <c r="D318" s="15" t="s">
        <v>325</v>
      </c>
      <c r="E318" s="15" t="s">
        <v>309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328</v>
      </c>
      <c r="Y318" s="15" t="s">
        <v>322</v>
      </c>
      <c r="Z318" s="15" t="s">
        <v>349</v>
      </c>
      <c r="AA318" s="15"/>
      <c r="AB318" s="15"/>
      <c r="AC318" s="15"/>
      <c r="AD318" s="15" t="s">
        <v>323</v>
      </c>
      <c r="AE318" s="18"/>
      <c r="AF318" s="19">
        <v>5</v>
      </c>
      <c r="AG318" s="19">
        <v>350</v>
      </c>
      <c r="AH318" s="19">
        <v>350</v>
      </c>
      <c r="AI318" s="19">
        <v>350</v>
      </c>
      <c r="AJ318" s="19">
        <v>350</v>
      </c>
      <c r="AK318" s="18"/>
      <c r="AL318" s="19">
        <v>5</v>
      </c>
      <c r="AM318" s="19">
        <v>350</v>
      </c>
      <c r="AN318" s="19">
        <v>350</v>
      </c>
      <c r="AO318" s="19">
        <v>350</v>
      </c>
      <c r="AP318" s="19">
        <v>350</v>
      </c>
      <c r="AR318" s="15" t="s">
        <v>249</v>
      </c>
      <c r="AS318" s="15" t="s">
        <v>567</v>
      </c>
      <c r="AT318" s="15" t="s">
        <v>683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249</v>
      </c>
      <c r="D319" s="15" t="s">
        <v>325</v>
      </c>
      <c r="E319" s="15" t="s">
        <v>310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328</v>
      </c>
      <c r="Y319" s="15" t="s">
        <v>322</v>
      </c>
      <c r="Z319" s="15" t="s">
        <v>350</v>
      </c>
      <c r="AA319" s="15"/>
      <c r="AB319" s="15"/>
      <c r="AC319" s="15"/>
      <c r="AD319" s="15" t="s">
        <v>323</v>
      </c>
      <c r="AE319" s="18"/>
      <c r="AF319" s="19">
        <v>5</v>
      </c>
      <c r="AG319" s="19">
        <v>725.46645000000001</v>
      </c>
      <c r="AH319" s="19">
        <v>448.43493999999998</v>
      </c>
      <c r="AI319" s="19">
        <v>448.43493999999998</v>
      </c>
      <c r="AJ319" s="19">
        <v>448.43493999999998</v>
      </c>
      <c r="AK319" s="18"/>
      <c r="AL319" s="19">
        <v>5</v>
      </c>
      <c r="AM319" s="19">
        <v>725.46645000000001</v>
      </c>
      <c r="AN319" s="19">
        <v>452.37032799999997</v>
      </c>
      <c r="AO319" s="19">
        <v>452.37032799999997</v>
      </c>
      <c r="AP319" s="19">
        <v>452.37032799999997</v>
      </c>
      <c r="AR319" s="15" t="s">
        <v>249</v>
      </c>
      <c r="AS319" s="15" t="s">
        <v>567</v>
      </c>
      <c r="AT319" s="15" t="s">
        <v>684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249</v>
      </c>
      <c r="D320" s="15" t="s">
        <v>325</v>
      </c>
      <c r="E320" s="15" t="s">
        <v>311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328</v>
      </c>
      <c r="Y320" s="15" t="s">
        <v>322</v>
      </c>
      <c r="Z320" s="15" t="s">
        <v>351</v>
      </c>
      <c r="AA320" s="15"/>
      <c r="AB320" s="15"/>
      <c r="AC320" s="15"/>
      <c r="AD320" s="15" t="s">
        <v>323</v>
      </c>
      <c r="AE320" s="18"/>
      <c r="AF320" s="19">
        <v>5</v>
      </c>
      <c r="AG320" s="19">
        <v>683.90382209999996</v>
      </c>
      <c r="AH320" s="19">
        <v>433.21397739999998</v>
      </c>
      <c r="AI320" s="19">
        <v>430.66590326747001</v>
      </c>
      <c r="AJ320" s="19">
        <v>428.11782913494</v>
      </c>
      <c r="AK320" s="18"/>
      <c r="AL320" s="19">
        <v>5</v>
      </c>
      <c r="AM320" s="19">
        <v>683.90382209999996</v>
      </c>
      <c r="AN320" s="19">
        <v>434.56642060000001</v>
      </c>
      <c r="AO320" s="19">
        <v>432.01834646747</v>
      </c>
      <c r="AP320" s="19">
        <v>429.47027233493998</v>
      </c>
      <c r="AR320" s="15" t="s">
        <v>249</v>
      </c>
      <c r="AS320" s="15" t="s">
        <v>567</v>
      </c>
      <c r="AT320" s="15" t="s">
        <v>685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249</v>
      </c>
      <c r="D321" s="15" t="s">
        <v>325</v>
      </c>
      <c r="E321" s="15" t="s">
        <v>312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328</v>
      </c>
      <c r="Y321" s="15" t="s">
        <v>322</v>
      </c>
      <c r="Z321" s="15" t="s">
        <v>352</v>
      </c>
      <c r="AA321" s="15"/>
      <c r="AB321" s="15"/>
      <c r="AC321" s="15"/>
      <c r="AD321" s="15" t="s">
        <v>323</v>
      </c>
      <c r="AE321" s="18"/>
      <c r="AF321" s="19">
        <v>5</v>
      </c>
      <c r="AG321" s="19">
        <v>437</v>
      </c>
      <c r="AH321" s="19">
        <v>437</v>
      </c>
      <c r="AI321" s="19">
        <v>437</v>
      </c>
      <c r="AJ321" s="19">
        <v>437</v>
      </c>
      <c r="AK321" s="18"/>
      <c r="AL321" s="19">
        <v>5</v>
      </c>
      <c r="AM321" s="19">
        <v>437</v>
      </c>
      <c r="AN321" s="19">
        <v>437</v>
      </c>
      <c r="AO321" s="19">
        <v>437</v>
      </c>
      <c r="AP321" s="19">
        <v>437</v>
      </c>
      <c r="AR321" s="15" t="s">
        <v>249</v>
      </c>
      <c r="AS321" s="15" t="s">
        <v>567</v>
      </c>
      <c r="AT321" s="15" t="s">
        <v>686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249</v>
      </c>
      <c r="D322" s="15" t="s">
        <v>325</v>
      </c>
      <c r="E322" s="15" t="s">
        <v>313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328</v>
      </c>
      <c r="Y322" s="15" t="s">
        <v>322</v>
      </c>
      <c r="Z322" s="15" t="s">
        <v>353</v>
      </c>
      <c r="AA322" s="15"/>
      <c r="AB322" s="15"/>
      <c r="AC322" s="15"/>
      <c r="AD322" s="15" t="s">
        <v>323</v>
      </c>
      <c r="AE322" s="18"/>
      <c r="AF322" s="19">
        <v>5</v>
      </c>
      <c r="AG322" s="19">
        <v>54.284338031358203</v>
      </c>
      <c r="AH322" s="19">
        <v>34.9977333371165</v>
      </c>
      <c r="AI322" s="19">
        <v>34.9977333371165</v>
      </c>
      <c r="AJ322" s="19">
        <v>34.9977333371165</v>
      </c>
      <c r="AK322" s="18"/>
      <c r="AL322" s="19">
        <v>5</v>
      </c>
      <c r="AM322" s="19">
        <v>54.284338031358203</v>
      </c>
      <c r="AN322" s="19">
        <v>38.007863960648301</v>
      </c>
      <c r="AO322" s="19">
        <v>38.007863960648301</v>
      </c>
      <c r="AP322" s="19">
        <v>38.007863960648301</v>
      </c>
      <c r="AR322" s="15" t="s">
        <v>249</v>
      </c>
      <c r="AS322" s="15" t="s">
        <v>567</v>
      </c>
      <c r="AT322" s="15" t="s">
        <v>687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249</v>
      </c>
      <c r="D323" s="15" t="s">
        <v>325</v>
      </c>
      <c r="E323" s="15" t="s">
        <v>314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328</v>
      </c>
      <c r="Y323" s="15" t="s">
        <v>322</v>
      </c>
      <c r="Z323" s="15" t="s">
        <v>354</v>
      </c>
      <c r="AA323" s="15"/>
      <c r="AB323" s="15"/>
      <c r="AC323" s="15"/>
      <c r="AD323" s="15" t="s">
        <v>323</v>
      </c>
      <c r="AE323" s="18"/>
      <c r="AF323" s="19">
        <v>5</v>
      </c>
      <c r="AG323" s="19">
        <v>74.5</v>
      </c>
      <c r="AH323" s="19">
        <v>48.563295206247901</v>
      </c>
      <c r="AI323" s="19">
        <v>44.324333170103301</v>
      </c>
      <c r="AJ323" s="19">
        <v>41.620301814681604</v>
      </c>
      <c r="AK323" s="18"/>
      <c r="AL323" s="19">
        <v>5</v>
      </c>
      <c r="AM323" s="19">
        <v>74.5</v>
      </c>
      <c r="AN323" s="19">
        <v>43.431586824558998</v>
      </c>
      <c r="AO323" s="19">
        <v>41.089002541426503</v>
      </c>
      <c r="AP323" s="19">
        <v>39.594669423956603</v>
      </c>
      <c r="AR323" s="15" t="s">
        <v>249</v>
      </c>
      <c r="AS323" s="15" t="s">
        <v>567</v>
      </c>
      <c r="AT323" s="15" t="s">
        <v>688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249</v>
      </c>
      <c r="D324" s="15" t="s">
        <v>325</v>
      </c>
      <c r="E324" s="15" t="s">
        <v>315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328</v>
      </c>
      <c r="Y324" s="15" t="s">
        <v>322</v>
      </c>
      <c r="Z324" s="15" t="s">
        <v>355</v>
      </c>
      <c r="AA324" s="15"/>
      <c r="AB324" s="15"/>
      <c r="AC324" s="15"/>
      <c r="AD324" s="15" t="s">
        <v>323</v>
      </c>
      <c r="AE324" s="18"/>
      <c r="AF324" s="19">
        <v>5</v>
      </c>
      <c r="AG324" s="19">
        <v>46.5950594809661</v>
      </c>
      <c r="AH324" s="19">
        <v>45.638562658776102</v>
      </c>
      <c r="AI324" s="19">
        <v>45.775205061946103</v>
      </c>
      <c r="AJ324" s="19">
        <v>45.911847465116097</v>
      </c>
      <c r="AK324" s="18"/>
      <c r="AL324" s="19">
        <v>5</v>
      </c>
      <c r="AM324" s="19">
        <v>46.5950594809661</v>
      </c>
      <c r="AN324" s="19">
        <v>45.638562658776102</v>
      </c>
      <c r="AO324" s="19">
        <v>45.775205061946103</v>
      </c>
      <c r="AP324" s="19">
        <v>45.911847465116097</v>
      </c>
      <c r="AR324" s="15" t="s">
        <v>249</v>
      </c>
      <c r="AS324" s="15" t="s">
        <v>567</v>
      </c>
      <c r="AT324" s="15" t="s">
        <v>689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249</v>
      </c>
      <c r="D325" s="15" t="s">
        <v>325</v>
      </c>
      <c r="E325" s="15" t="s">
        <v>316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328</v>
      </c>
      <c r="Y325" s="15" t="s">
        <v>322</v>
      </c>
      <c r="Z325" s="15" t="s">
        <v>356</v>
      </c>
      <c r="AA325" s="15"/>
      <c r="AB325" s="15"/>
      <c r="AC325" s="15"/>
      <c r="AD325" s="15" t="s">
        <v>323</v>
      </c>
      <c r="AE325" s="18"/>
      <c r="AF325" s="19">
        <v>5</v>
      </c>
      <c r="AG325" s="19">
        <v>38.4943273070229</v>
      </c>
      <c r="AH325" s="19">
        <v>37.334859617052302</v>
      </c>
      <c r="AI325" s="19">
        <v>37.334859617052302</v>
      </c>
      <c r="AJ325" s="19">
        <v>37.334859617052302</v>
      </c>
      <c r="AK325" s="18"/>
      <c r="AL325" s="19">
        <v>5</v>
      </c>
      <c r="AM325" s="19">
        <v>38.4943273070229</v>
      </c>
      <c r="AN325" s="19">
        <v>37.334859617052302</v>
      </c>
      <c r="AO325" s="19">
        <v>37.334859617052302</v>
      </c>
      <c r="AP325" s="19">
        <v>37.334859617052302</v>
      </c>
      <c r="AR325" s="15" t="s">
        <v>249</v>
      </c>
      <c r="AS325" s="15" t="s">
        <v>567</v>
      </c>
      <c r="AT325" s="15" t="s">
        <v>690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249</v>
      </c>
      <c r="D326" s="15" t="s">
        <v>325</v>
      </c>
      <c r="E326" s="15" t="s">
        <v>317</v>
      </c>
      <c r="F326" s="15"/>
      <c r="G326" s="15"/>
      <c r="H326" s="15"/>
      <c r="I326" s="15"/>
      <c r="J326" s="18">
        <v>2020</v>
      </c>
      <c r="K326" s="19"/>
      <c r="L326" s="19"/>
      <c r="M326" s="19"/>
      <c r="N326" s="19"/>
      <c r="O326" s="19"/>
      <c r="P326" s="18"/>
      <c r="Q326" s="19">
        <v>2020</v>
      </c>
      <c r="R326" s="19"/>
      <c r="S326" s="19"/>
      <c r="T326" s="19"/>
      <c r="U326" s="19"/>
      <c r="V326" s="19"/>
      <c r="X326" s="15" t="s">
        <v>328</v>
      </c>
      <c r="Y326" s="15" t="s">
        <v>322</v>
      </c>
      <c r="Z326" s="15" t="s">
        <v>357</v>
      </c>
      <c r="AA326" s="15"/>
      <c r="AB326" s="15"/>
      <c r="AC326" s="15"/>
      <c r="AD326" s="15" t="s">
        <v>323</v>
      </c>
      <c r="AE326" s="18"/>
      <c r="AF326" s="19">
        <v>5</v>
      </c>
      <c r="AG326" s="19">
        <v>40.982161028207202</v>
      </c>
      <c r="AH326" s="19">
        <v>42.5384456242151</v>
      </c>
      <c r="AI326" s="19">
        <v>43.8353494542216</v>
      </c>
      <c r="AJ326" s="19">
        <v>44.224420603223599</v>
      </c>
      <c r="AK326" s="18"/>
      <c r="AL326" s="19">
        <v>5</v>
      </c>
      <c r="AM326" s="19">
        <v>40.982161028207202</v>
      </c>
      <c r="AN326" s="19">
        <v>42.5384456242151</v>
      </c>
      <c r="AO326" s="19">
        <v>43.8353494542216</v>
      </c>
      <c r="AP326" s="19">
        <v>44.224420603223599</v>
      </c>
      <c r="AR326" s="15" t="s">
        <v>249</v>
      </c>
      <c r="AS326" s="15" t="s">
        <v>567</v>
      </c>
      <c r="AT326" s="15" t="s">
        <v>691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249</v>
      </c>
      <c r="D327" s="15" t="s">
        <v>326</v>
      </c>
      <c r="E327" s="15" t="s">
        <v>251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328</v>
      </c>
      <c r="Y327" s="15" t="s">
        <v>322</v>
      </c>
      <c r="Z327" s="15" t="s">
        <v>358</v>
      </c>
      <c r="AA327" s="15"/>
      <c r="AB327" s="15"/>
      <c r="AC327" s="15"/>
      <c r="AD327" s="15" t="s">
        <v>323</v>
      </c>
      <c r="AE327" s="18"/>
      <c r="AF327" s="19">
        <v>5</v>
      </c>
      <c r="AG327" s="19">
        <v>33.857253063779503</v>
      </c>
      <c r="AH327" s="19">
        <v>35.211088115724998</v>
      </c>
      <c r="AI327" s="19">
        <v>36.291880804252898</v>
      </c>
      <c r="AJ327" s="19">
        <v>36.519416107100902</v>
      </c>
      <c r="AK327" s="18"/>
      <c r="AL327" s="19">
        <v>5</v>
      </c>
      <c r="AM327" s="19">
        <v>33.857253063779503</v>
      </c>
      <c r="AN327" s="19">
        <v>35.211088115724998</v>
      </c>
      <c r="AO327" s="19">
        <v>36.291880804252898</v>
      </c>
      <c r="AP327" s="19">
        <v>36.519416107100902</v>
      </c>
      <c r="AR327" s="15" t="s">
        <v>249</v>
      </c>
      <c r="AS327" s="15" t="s">
        <v>567</v>
      </c>
      <c r="AT327" s="15" t="s">
        <v>692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249</v>
      </c>
      <c r="D328" s="15" t="s">
        <v>326</v>
      </c>
      <c r="E328" s="15" t="s">
        <v>253</v>
      </c>
      <c r="F328" s="15"/>
      <c r="G328" s="15"/>
      <c r="H328" s="15"/>
      <c r="I328" s="15"/>
      <c r="J328" s="18"/>
      <c r="K328" s="19"/>
      <c r="L328" s="19">
        <v>20</v>
      </c>
      <c r="M328" s="19"/>
      <c r="N328" s="19"/>
      <c r="O328" s="19"/>
      <c r="P328" s="18"/>
      <c r="Q328" s="19"/>
      <c r="R328" s="19">
        <v>20</v>
      </c>
      <c r="S328" s="19"/>
      <c r="T328" s="19"/>
      <c r="U328" s="19"/>
      <c r="V328" s="19"/>
      <c r="X328" s="15" t="s">
        <v>328</v>
      </c>
      <c r="Y328" s="15" t="s">
        <v>322</v>
      </c>
      <c r="Z328" s="15" t="s">
        <v>359</v>
      </c>
      <c r="AA328" s="15"/>
      <c r="AB328" s="15"/>
      <c r="AC328" s="15"/>
      <c r="AD328" s="15" t="s">
        <v>323</v>
      </c>
      <c r="AE328" s="18"/>
      <c r="AF328" s="19">
        <v>5</v>
      </c>
      <c r="AG328" s="19">
        <v>65.388068925916897</v>
      </c>
      <c r="AH328" s="19">
        <v>47.454239946544</v>
      </c>
      <c r="AI328" s="19">
        <v>47.444715718402698</v>
      </c>
      <c r="AJ328" s="19">
        <v>47.5675932379595</v>
      </c>
      <c r="AK328" s="18"/>
      <c r="AL328" s="19">
        <v>5</v>
      </c>
      <c r="AM328" s="19">
        <v>65.388068925916897</v>
      </c>
      <c r="AN328" s="19">
        <v>58.910375541589403</v>
      </c>
      <c r="AO328" s="19">
        <v>50.8408794832837</v>
      </c>
      <c r="AP328" s="19">
        <v>50.141100983333601</v>
      </c>
      <c r="AR328" s="15" t="s">
        <v>249</v>
      </c>
      <c r="AS328" s="15" t="s">
        <v>567</v>
      </c>
      <c r="AT328" s="15" t="s">
        <v>693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249</v>
      </c>
      <c r="D329" s="15" t="s">
        <v>326</v>
      </c>
      <c r="E329" s="15" t="s">
        <v>254</v>
      </c>
      <c r="F329" s="15"/>
      <c r="G329" s="15"/>
      <c r="H329" s="15"/>
      <c r="I329" s="15"/>
      <c r="J329" s="18"/>
      <c r="K329" s="19"/>
      <c r="L329" s="19">
        <v>17.123290000000001</v>
      </c>
      <c r="M329" s="19"/>
      <c r="N329" s="19"/>
      <c r="O329" s="19"/>
      <c r="P329" s="18"/>
      <c r="Q329" s="19"/>
      <c r="R329" s="19">
        <v>17.123290000000001</v>
      </c>
      <c r="S329" s="19"/>
      <c r="T329" s="19"/>
      <c r="U329" s="19"/>
      <c r="V329" s="19"/>
      <c r="X329" s="15" t="s">
        <v>328</v>
      </c>
      <c r="Y329" s="15" t="s">
        <v>322</v>
      </c>
      <c r="Z329" s="15" t="s">
        <v>360</v>
      </c>
      <c r="AA329" s="15"/>
      <c r="AB329" s="15"/>
      <c r="AC329" s="15"/>
      <c r="AD329" s="15" t="s">
        <v>323</v>
      </c>
      <c r="AE329" s="18"/>
      <c r="AF329" s="19">
        <v>5</v>
      </c>
      <c r="AG329" s="19">
        <v>54.020099024374801</v>
      </c>
      <c r="AH329" s="19">
        <v>39.280124125441603</v>
      </c>
      <c r="AI329" s="19">
        <v>39.280124125441603</v>
      </c>
      <c r="AJ329" s="19">
        <v>39.280124125441603</v>
      </c>
      <c r="AK329" s="18"/>
      <c r="AL329" s="19">
        <v>5</v>
      </c>
      <c r="AM329" s="19">
        <v>54.020099024374801</v>
      </c>
      <c r="AN329" s="19">
        <v>48.762910672611802</v>
      </c>
      <c r="AO329" s="19">
        <v>42.0918542035946</v>
      </c>
      <c r="AP329" s="19">
        <v>41.405262203594603</v>
      </c>
      <c r="AR329" s="15" t="s">
        <v>249</v>
      </c>
      <c r="AS329" s="15" t="s">
        <v>567</v>
      </c>
      <c r="AT329" s="15" t="s">
        <v>694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249</v>
      </c>
      <c r="D330" s="15" t="s">
        <v>326</v>
      </c>
      <c r="E330" s="15" t="s">
        <v>255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328</v>
      </c>
      <c r="Y330" s="15" t="s">
        <v>322</v>
      </c>
      <c r="Z330" s="15" t="s">
        <v>361</v>
      </c>
      <c r="AA330" s="15"/>
      <c r="AB330" s="15"/>
      <c r="AC330" s="15"/>
      <c r="AD330" s="15" t="s">
        <v>323</v>
      </c>
      <c r="AE330" s="18"/>
      <c r="AF330" s="19">
        <v>5</v>
      </c>
      <c r="AG330" s="19">
        <v>12.8620998869352</v>
      </c>
      <c r="AH330" s="19">
        <v>11.1739492767749</v>
      </c>
      <c r="AI330" s="19">
        <v>11.1739492767749</v>
      </c>
      <c r="AJ330" s="19">
        <v>11.0935611524816</v>
      </c>
      <c r="AK330" s="18"/>
      <c r="AL330" s="19">
        <v>5</v>
      </c>
      <c r="AM330" s="19">
        <v>12.8620998869352</v>
      </c>
      <c r="AN330" s="19">
        <v>11.1739492767749</v>
      </c>
      <c r="AO330" s="19">
        <v>11.1739492767749</v>
      </c>
      <c r="AP330" s="19">
        <v>11.0935611524816</v>
      </c>
      <c r="AR330" s="15" t="s">
        <v>249</v>
      </c>
      <c r="AS330" s="15" t="s">
        <v>567</v>
      </c>
      <c r="AT330" s="15" t="s">
        <v>695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249</v>
      </c>
      <c r="D331" s="15" t="s">
        <v>326</v>
      </c>
      <c r="E331" s="15" t="s">
        <v>256</v>
      </c>
      <c r="F331" s="15"/>
      <c r="G331" s="15"/>
      <c r="H331" s="15"/>
      <c r="I331" s="15"/>
      <c r="J331" s="18"/>
      <c r="K331" s="19"/>
      <c r="L331" s="19">
        <v>10</v>
      </c>
      <c r="M331" s="19"/>
      <c r="N331" s="19"/>
      <c r="O331" s="19"/>
      <c r="P331" s="18"/>
      <c r="Q331" s="19"/>
      <c r="R331" s="19">
        <v>10</v>
      </c>
      <c r="S331" s="19"/>
      <c r="T331" s="19"/>
      <c r="U331" s="19"/>
      <c r="V331" s="19"/>
      <c r="X331" s="15" t="s">
        <v>328</v>
      </c>
      <c r="Y331" s="15" t="s">
        <v>322</v>
      </c>
      <c r="Z331" s="15" t="s">
        <v>362</v>
      </c>
      <c r="AA331" s="15"/>
      <c r="AB331" s="15"/>
      <c r="AC331" s="15"/>
      <c r="AD331" s="15" t="s">
        <v>323</v>
      </c>
      <c r="AE331" s="18"/>
      <c r="AF331" s="19">
        <v>5</v>
      </c>
      <c r="AG331" s="19">
        <v>10</v>
      </c>
      <c r="AH331" s="19">
        <v>10.2307692307692</v>
      </c>
      <c r="AI331" s="19">
        <v>10.538461538461499</v>
      </c>
      <c r="AJ331" s="19">
        <v>10.7692307692308</v>
      </c>
      <c r="AK331" s="18"/>
      <c r="AL331" s="19">
        <v>5</v>
      </c>
      <c r="AM331" s="19">
        <v>10</v>
      </c>
      <c r="AN331" s="19">
        <v>10.2307692307692</v>
      </c>
      <c r="AO331" s="19">
        <v>10.538461538461499</v>
      </c>
      <c r="AP331" s="19">
        <v>10.7692307692308</v>
      </c>
      <c r="AR331" s="15" t="s">
        <v>249</v>
      </c>
      <c r="AS331" s="15" t="s">
        <v>567</v>
      </c>
      <c r="AT331" s="15" t="s">
        <v>696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249</v>
      </c>
      <c r="D332" s="15" t="s">
        <v>326</v>
      </c>
      <c r="E332" s="15" t="s">
        <v>257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328</v>
      </c>
      <c r="Y332" s="15" t="s">
        <v>324</v>
      </c>
      <c r="Z332" s="15" t="s">
        <v>330</v>
      </c>
      <c r="AA332" s="15"/>
      <c r="AB332" s="15"/>
      <c r="AC332" s="15"/>
      <c r="AD332" s="15" t="s">
        <v>323</v>
      </c>
      <c r="AE332" s="18"/>
      <c r="AF332" s="18"/>
      <c r="AG332" s="19">
        <v>1.3646746492609301</v>
      </c>
      <c r="AH332" s="18"/>
      <c r="AI332" s="18"/>
      <c r="AJ332" s="18"/>
      <c r="AK332" s="18"/>
      <c r="AL332" s="18"/>
      <c r="AM332" s="19">
        <v>1.3646746492609301</v>
      </c>
      <c r="AN332" s="18"/>
      <c r="AO332" s="18"/>
      <c r="AP332" s="18"/>
      <c r="AR332" s="15" t="s">
        <v>249</v>
      </c>
      <c r="AS332" s="15" t="s">
        <v>567</v>
      </c>
      <c r="AT332" s="15" t="s">
        <v>697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249</v>
      </c>
      <c r="D333" s="15" t="s">
        <v>326</v>
      </c>
      <c r="E333" s="15" t="s">
        <v>258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328</v>
      </c>
      <c r="Y333" s="15" t="s">
        <v>324</v>
      </c>
      <c r="Z333" s="15" t="s">
        <v>331</v>
      </c>
      <c r="AA333" s="15"/>
      <c r="AB333" s="15"/>
      <c r="AC333" s="15"/>
      <c r="AD333" s="15" t="s">
        <v>323</v>
      </c>
      <c r="AE333" s="18"/>
      <c r="AF333" s="18"/>
      <c r="AG333" s="19">
        <v>1.6926552473308201</v>
      </c>
      <c r="AH333" s="18"/>
      <c r="AI333" s="18"/>
      <c r="AJ333" s="18"/>
      <c r="AK333" s="18"/>
      <c r="AL333" s="18"/>
      <c r="AM333" s="19">
        <v>1.6926552473308201</v>
      </c>
      <c r="AN333" s="18"/>
      <c r="AO333" s="18"/>
      <c r="AP333" s="18"/>
      <c r="AR333" s="15" t="s">
        <v>249</v>
      </c>
      <c r="AS333" s="15" t="s">
        <v>567</v>
      </c>
      <c r="AT333" s="15" t="s">
        <v>698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249</v>
      </c>
      <c r="D334" s="15" t="s">
        <v>326</v>
      </c>
      <c r="E334" s="15" t="s">
        <v>259</v>
      </c>
      <c r="F334" s="15"/>
      <c r="G334" s="15"/>
      <c r="H334" s="15"/>
      <c r="I334" s="15"/>
      <c r="J334" s="18"/>
      <c r="K334" s="18"/>
      <c r="L334" s="19">
        <v>22</v>
      </c>
      <c r="M334" s="18"/>
      <c r="N334" s="18"/>
      <c r="O334" s="18"/>
      <c r="P334" s="18"/>
      <c r="Q334" s="18"/>
      <c r="R334" s="19">
        <v>22</v>
      </c>
      <c r="S334" s="18"/>
      <c r="T334" s="18"/>
      <c r="U334" s="18"/>
      <c r="V334" s="18"/>
      <c r="X334" s="15" t="s">
        <v>328</v>
      </c>
      <c r="Y334" s="15" t="s">
        <v>324</v>
      </c>
      <c r="Z334" s="15" t="s">
        <v>332</v>
      </c>
      <c r="AA334" s="15"/>
      <c r="AB334" s="15"/>
      <c r="AC334" s="15"/>
      <c r="AD334" s="15" t="s">
        <v>323</v>
      </c>
      <c r="AE334" s="18"/>
      <c r="AF334" s="18"/>
      <c r="AG334" s="19">
        <v>1.26071683809919</v>
      </c>
      <c r="AH334" s="18"/>
      <c r="AI334" s="18"/>
      <c r="AJ334" s="18"/>
      <c r="AK334" s="18"/>
      <c r="AL334" s="18"/>
      <c r="AM334" s="19">
        <v>1.26071683809919</v>
      </c>
      <c r="AN334" s="18"/>
      <c r="AO334" s="18"/>
      <c r="AP334" s="18"/>
      <c r="AR334" s="15" t="s">
        <v>249</v>
      </c>
      <c r="AS334" s="15" t="s">
        <v>567</v>
      </c>
      <c r="AT334" s="15" t="s">
        <v>699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249</v>
      </c>
      <c r="D335" s="15" t="s">
        <v>326</v>
      </c>
      <c r="E335" s="15" t="s">
        <v>260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328</v>
      </c>
      <c r="Y335" s="15" t="s">
        <v>324</v>
      </c>
      <c r="Z335" s="15" t="s">
        <v>333</v>
      </c>
      <c r="AA335" s="15"/>
      <c r="AB335" s="15"/>
      <c r="AC335" s="15"/>
      <c r="AD335" s="15" t="s">
        <v>323</v>
      </c>
      <c r="AE335" s="18"/>
      <c r="AF335" s="18"/>
      <c r="AG335" s="19">
        <v>1.09979187902069</v>
      </c>
      <c r="AH335" s="18"/>
      <c r="AI335" s="18"/>
      <c r="AJ335" s="18"/>
      <c r="AK335" s="18"/>
      <c r="AL335" s="18"/>
      <c r="AM335" s="19">
        <v>1.09979187902069</v>
      </c>
      <c r="AN335" s="18"/>
      <c r="AO335" s="18"/>
      <c r="AP335" s="18"/>
      <c r="AR335" s="15" t="s">
        <v>249</v>
      </c>
      <c r="AS335" s="15" t="s">
        <v>567</v>
      </c>
      <c r="AT335" s="15" t="s">
        <v>700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249</v>
      </c>
      <c r="D336" s="15" t="s">
        <v>326</v>
      </c>
      <c r="E336" s="15" t="s">
        <v>261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328</v>
      </c>
      <c r="Y336" s="15" t="s">
        <v>324</v>
      </c>
      <c r="Z336" s="15" t="s">
        <v>334</v>
      </c>
      <c r="AA336" s="15"/>
      <c r="AB336" s="15"/>
      <c r="AC336" s="15"/>
      <c r="AD336" s="15" t="s">
        <v>323</v>
      </c>
      <c r="AE336" s="18"/>
      <c r="AF336" s="18"/>
      <c r="AG336" s="19">
        <v>1.5396112737265699</v>
      </c>
      <c r="AH336" s="18"/>
      <c r="AI336" s="18"/>
      <c r="AJ336" s="18"/>
      <c r="AK336" s="18"/>
      <c r="AL336" s="18"/>
      <c r="AM336" s="19">
        <v>1.5396112737265699</v>
      </c>
      <c r="AN336" s="18"/>
      <c r="AO336" s="18"/>
      <c r="AP336" s="18"/>
      <c r="AR336" s="15" t="s">
        <v>249</v>
      </c>
      <c r="AS336" s="15" t="s">
        <v>567</v>
      </c>
      <c r="AT336" s="15" t="s">
        <v>701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249</v>
      </c>
      <c r="D337" s="15" t="s">
        <v>326</v>
      </c>
      <c r="E337" s="15" t="s">
        <v>262</v>
      </c>
      <c r="F337" s="15"/>
      <c r="G337" s="15"/>
      <c r="H337" s="15"/>
      <c r="I337" s="15"/>
      <c r="J337" s="18"/>
      <c r="K337" s="18"/>
      <c r="L337" s="19">
        <v>15</v>
      </c>
      <c r="M337" s="18"/>
      <c r="N337" s="18"/>
      <c r="O337" s="18"/>
      <c r="P337" s="18"/>
      <c r="Q337" s="18"/>
      <c r="R337" s="19">
        <v>15</v>
      </c>
      <c r="S337" s="18"/>
      <c r="T337" s="18"/>
      <c r="U337" s="18"/>
      <c r="V337" s="18"/>
      <c r="X337" s="15" t="s">
        <v>328</v>
      </c>
      <c r="Y337" s="15" t="s">
        <v>324</v>
      </c>
      <c r="Z337" s="15" t="s">
        <v>335</v>
      </c>
      <c r="AA337" s="15"/>
      <c r="AB337" s="15"/>
      <c r="AC337" s="15"/>
      <c r="AD337" s="15" t="s">
        <v>323</v>
      </c>
      <c r="AE337" s="18"/>
      <c r="AF337" s="18"/>
      <c r="AG337" s="19">
        <v>1.3430866666666701</v>
      </c>
      <c r="AH337" s="18"/>
      <c r="AI337" s="18"/>
      <c r="AJ337" s="18"/>
      <c r="AK337" s="18"/>
      <c r="AL337" s="18"/>
      <c r="AM337" s="19">
        <v>1.3430866666666701</v>
      </c>
      <c r="AN337" s="18"/>
      <c r="AO337" s="18"/>
      <c r="AP337" s="18"/>
      <c r="AR337" s="15" t="s">
        <v>249</v>
      </c>
      <c r="AS337" s="15" t="s">
        <v>567</v>
      </c>
      <c r="AT337" s="15" t="s">
        <v>702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249</v>
      </c>
      <c r="D338" s="15" t="s">
        <v>326</v>
      </c>
      <c r="E338" s="15" t="s">
        <v>263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328</v>
      </c>
      <c r="Y338" s="15" t="s">
        <v>324</v>
      </c>
      <c r="Z338" s="15" t="s">
        <v>336</v>
      </c>
      <c r="AA338" s="15"/>
      <c r="AB338" s="15"/>
      <c r="AC338" s="15"/>
      <c r="AD338" s="15" t="s">
        <v>323</v>
      </c>
      <c r="AE338" s="18"/>
      <c r="AF338" s="18"/>
      <c r="AG338" s="19">
        <v>1.24308378310627</v>
      </c>
      <c r="AH338" s="18"/>
      <c r="AI338" s="18"/>
      <c r="AJ338" s="18"/>
      <c r="AK338" s="18"/>
      <c r="AL338" s="18"/>
      <c r="AM338" s="19">
        <v>1.24308378310627</v>
      </c>
      <c r="AN338" s="18"/>
      <c r="AO338" s="18"/>
      <c r="AP338" s="18"/>
      <c r="AR338" s="15" t="s">
        <v>249</v>
      </c>
      <c r="AS338" s="15" t="s">
        <v>567</v>
      </c>
      <c r="AT338" s="15" t="s">
        <v>703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249</v>
      </c>
      <c r="D339" s="15" t="s">
        <v>326</v>
      </c>
      <c r="E339" s="15" t="s">
        <v>264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328</v>
      </c>
      <c r="Y339" s="15" t="s">
        <v>324</v>
      </c>
      <c r="Z339" s="15" t="s">
        <v>339</v>
      </c>
      <c r="AA339" s="15"/>
      <c r="AB339" s="15"/>
      <c r="AC339" s="15"/>
      <c r="AD339" s="15" t="s">
        <v>323</v>
      </c>
      <c r="AE339" s="18"/>
      <c r="AF339" s="18"/>
      <c r="AG339" s="19">
        <v>1.2806510350298399</v>
      </c>
      <c r="AH339" s="18"/>
      <c r="AI339" s="18"/>
      <c r="AJ339" s="18"/>
      <c r="AK339" s="18"/>
      <c r="AL339" s="18"/>
      <c r="AM339" s="19">
        <v>1.2806510350298399</v>
      </c>
      <c r="AN339" s="18"/>
      <c r="AO339" s="18"/>
      <c r="AP339" s="18"/>
      <c r="AR339" s="15" t="s">
        <v>249</v>
      </c>
      <c r="AS339" s="15" t="s">
        <v>567</v>
      </c>
      <c r="AT339" s="15" t="s">
        <v>704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249</v>
      </c>
      <c r="D340" s="15" t="s">
        <v>326</v>
      </c>
      <c r="E340" s="15" t="s">
        <v>265</v>
      </c>
      <c r="F340" s="15"/>
      <c r="G340" s="15"/>
      <c r="H340" s="15"/>
      <c r="I340" s="15"/>
      <c r="J340" s="18"/>
      <c r="K340" s="18"/>
      <c r="L340" s="19">
        <v>22</v>
      </c>
      <c r="M340" s="18"/>
      <c r="N340" s="18"/>
      <c r="O340" s="18"/>
      <c r="P340" s="18"/>
      <c r="Q340" s="18"/>
      <c r="R340" s="19">
        <v>22</v>
      </c>
      <c r="S340" s="18"/>
      <c r="T340" s="18"/>
      <c r="U340" s="18"/>
      <c r="V340" s="18"/>
      <c r="X340" s="15" t="s">
        <v>328</v>
      </c>
      <c r="Y340" s="15" t="s">
        <v>324</v>
      </c>
      <c r="Z340" s="15" t="s">
        <v>341</v>
      </c>
      <c r="AA340" s="15"/>
      <c r="AB340" s="15"/>
      <c r="AC340" s="15"/>
      <c r="AD340" s="15" t="s">
        <v>323</v>
      </c>
      <c r="AE340" s="18"/>
      <c r="AF340" s="18"/>
      <c r="AG340" s="19">
        <v>15.1</v>
      </c>
      <c r="AH340" s="18"/>
      <c r="AI340" s="18"/>
      <c r="AJ340" s="18"/>
      <c r="AK340" s="18"/>
      <c r="AL340" s="18"/>
      <c r="AM340" s="19">
        <v>15.141810276128499</v>
      </c>
      <c r="AN340" s="18"/>
      <c r="AO340" s="18"/>
      <c r="AP340" s="18"/>
      <c r="AR340" s="15" t="s">
        <v>249</v>
      </c>
      <c r="AS340" s="15" t="s">
        <v>567</v>
      </c>
      <c r="AT340" s="15" t="s">
        <v>705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249</v>
      </c>
      <c r="D341" s="15" t="s">
        <v>326</v>
      </c>
      <c r="E341" s="15" t="s">
        <v>266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328</v>
      </c>
      <c r="Y341" s="15" t="s">
        <v>324</v>
      </c>
      <c r="Z341" s="15" t="s">
        <v>342</v>
      </c>
      <c r="AA341" s="15"/>
      <c r="AB341" s="15"/>
      <c r="AC341" s="15"/>
      <c r="AD341" s="15" t="s">
        <v>323</v>
      </c>
      <c r="AE341" s="18"/>
      <c r="AF341" s="18"/>
      <c r="AG341" s="19">
        <v>14.9</v>
      </c>
      <c r="AH341" s="18"/>
      <c r="AI341" s="18"/>
      <c r="AJ341" s="18"/>
      <c r="AK341" s="18"/>
      <c r="AL341" s="18"/>
      <c r="AM341" s="19">
        <v>14.9195348626022</v>
      </c>
      <c r="AN341" s="18"/>
      <c r="AO341" s="18"/>
      <c r="AP341" s="18"/>
      <c r="AR341" s="15" t="s">
        <v>249</v>
      </c>
      <c r="AS341" s="15" t="s">
        <v>567</v>
      </c>
      <c r="AT341" s="15" t="s">
        <v>706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249</v>
      </c>
      <c r="D342" s="15" t="s">
        <v>326</v>
      </c>
      <c r="E342" s="15" t="s">
        <v>267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328</v>
      </c>
      <c r="Y342" s="15" t="s">
        <v>324</v>
      </c>
      <c r="Z342" s="15" t="s">
        <v>343</v>
      </c>
      <c r="AA342" s="15"/>
      <c r="AB342" s="15"/>
      <c r="AC342" s="15"/>
      <c r="AD342" s="15" t="s">
        <v>323</v>
      </c>
      <c r="AE342" s="18"/>
      <c r="AF342" s="18"/>
      <c r="AG342" s="19">
        <v>16.399999999999999</v>
      </c>
      <c r="AH342" s="18"/>
      <c r="AI342" s="18"/>
      <c r="AJ342" s="18"/>
      <c r="AK342" s="18"/>
      <c r="AL342" s="18"/>
      <c r="AM342" s="19">
        <v>16.444704017309</v>
      </c>
      <c r="AN342" s="18"/>
      <c r="AO342" s="18"/>
      <c r="AP342" s="18"/>
      <c r="AR342" s="15" t="s">
        <v>249</v>
      </c>
      <c r="AS342" s="15" t="s">
        <v>567</v>
      </c>
      <c r="AT342" s="15" t="s">
        <v>707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249</v>
      </c>
      <c r="D343" s="15" t="s">
        <v>326</v>
      </c>
      <c r="E343" s="15" t="s">
        <v>268</v>
      </c>
      <c r="F343" s="15"/>
      <c r="G343" s="15"/>
      <c r="H343" s="15"/>
      <c r="I343" s="15"/>
      <c r="J343" s="18"/>
      <c r="K343" s="18"/>
      <c r="L343" s="19">
        <v>25</v>
      </c>
      <c r="M343" s="18"/>
      <c r="N343" s="18"/>
      <c r="O343" s="18"/>
      <c r="P343" s="18"/>
      <c r="Q343" s="18"/>
      <c r="R343" s="19">
        <v>25</v>
      </c>
      <c r="S343" s="18"/>
      <c r="T343" s="18"/>
      <c r="U343" s="18"/>
      <c r="V343" s="18"/>
      <c r="X343" s="15" t="s">
        <v>328</v>
      </c>
      <c r="Y343" s="15" t="s">
        <v>324</v>
      </c>
      <c r="Z343" s="15" t="s">
        <v>344</v>
      </c>
      <c r="AA343" s="15"/>
      <c r="AB343" s="15"/>
      <c r="AC343" s="15"/>
      <c r="AD343" s="15" t="s">
        <v>323</v>
      </c>
      <c r="AE343" s="18"/>
      <c r="AF343" s="18"/>
      <c r="AG343" s="19">
        <v>3.5</v>
      </c>
      <c r="AH343" s="18"/>
      <c r="AI343" s="18"/>
      <c r="AJ343" s="18"/>
      <c r="AK343" s="18"/>
      <c r="AL343" s="18"/>
      <c r="AM343" s="19">
        <v>3.5336218795343499</v>
      </c>
      <c r="AN343" s="18"/>
      <c r="AO343" s="18"/>
      <c r="AP343" s="18"/>
      <c r="AR343" s="15" t="s">
        <v>249</v>
      </c>
      <c r="AS343" s="15" t="s">
        <v>567</v>
      </c>
      <c r="AT343" s="15" t="s">
        <v>708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249</v>
      </c>
      <c r="D344" s="15" t="s">
        <v>326</v>
      </c>
      <c r="E344" s="15" t="s">
        <v>269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328</v>
      </c>
      <c r="Y344" s="15" t="s">
        <v>324</v>
      </c>
      <c r="Z344" s="15" t="s">
        <v>345</v>
      </c>
      <c r="AA344" s="15"/>
      <c r="AB344" s="15"/>
      <c r="AC344" s="15"/>
      <c r="AD344" s="15" t="s">
        <v>323</v>
      </c>
      <c r="AE344" s="18"/>
      <c r="AF344" s="18"/>
      <c r="AG344" s="19">
        <v>3.9</v>
      </c>
      <c r="AH344" s="18"/>
      <c r="AI344" s="18"/>
      <c r="AJ344" s="18"/>
      <c r="AK344" s="18"/>
      <c r="AL344" s="18"/>
      <c r="AM344" s="19">
        <v>3.8525057596389098</v>
      </c>
      <c r="AN344" s="18"/>
      <c r="AO344" s="18"/>
      <c r="AP344" s="18"/>
      <c r="AR344" s="15" t="s">
        <v>249</v>
      </c>
      <c r="AS344" s="15" t="s">
        <v>567</v>
      </c>
      <c r="AT344" s="15" t="s">
        <v>709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249</v>
      </c>
      <c r="D345" s="15" t="s">
        <v>326</v>
      </c>
      <c r="E345" s="15" t="s">
        <v>270</v>
      </c>
      <c r="F345" s="15"/>
      <c r="G345" s="15"/>
      <c r="H345" s="15"/>
      <c r="I345" s="15"/>
      <c r="J345" s="18"/>
      <c r="K345" s="18"/>
      <c r="L345" s="19">
        <v>15</v>
      </c>
      <c r="M345" s="18"/>
      <c r="N345" s="18"/>
      <c r="O345" s="18"/>
      <c r="P345" s="18"/>
      <c r="Q345" s="18"/>
      <c r="R345" s="19">
        <v>15</v>
      </c>
      <c r="S345" s="18"/>
      <c r="T345" s="18"/>
      <c r="U345" s="18"/>
      <c r="V345" s="18"/>
      <c r="X345" s="15" t="s">
        <v>328</v>
      </c>
      <c r="Y345" s="15" t="s">
        <v>324</v>
      </c>
      <c r="Z345" s="15" t="s">
        <v>346</v>
      </c>
      <c r="AA345" s="15"/>
      <c r="AB345" s="15"/>
      <c r="AC345" s="15"/>
      <c r="AD345" s="15" t="s">
        <v>323</v>
      </c>
      <c r="AE345" s="18"/>
      <c r="AF345" s="18"/>
      <c r="AG345" s="19">
        <v>3.8</v>
      </c>
      <c r="AH345" s="18"/>
      <c r="AI345" s="18"/>
      <c r="AJ345" s="18"/>
      <c r="AK345" s="18"/>
      <c r="AL345" s="18"/>
      <c r="AM345" s="19">
        <v>3.8013612509083301</v>
      </c>
      <c r="AN345" s="18"/>
      <c r="AO345" s="18"/>
      <c r="AP345" s="18"/>
      <c r="AR345" s="15" t="s">
        <v>249</v>
      </c>
      <c r="AS345" s="15" t="s">
        <v>567</v>
      </c>
      <c r="AT345" s="15" t="s">
        <v>710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249</v>
      </c>
      <c r="D346" s="15" t="s">
        <v>326</v>
      </c>
      <c r="E346" s="15" t="s">
        <v>271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328</v>
      </c>
      <c r="Y346" s="15" t="s">
        <v>324</v>
      </c>
      <c r="Z346" s="15" t="s">
        <v>347</v>
      </c>
      <c r="AA346" s="15"/>
      <c r="AB346" s="15"/>
      <c r="AC346" s="15"/>
      <c r="AD346" s="15" t="s">
        <v>323</v>
      </c>
      <c r="AE346" s="18"/>
      <c r="AF346" s="18"/>
      <c r="AG346" s="19">
        <v>17</v>
      </c>
      <c r="AH346" s="18"/>
      <c r="AI346" s="18"/>
      <c r="AJ346" s="18"/>
      <c r="AK346" s="18"/>
      <c r="AL346" s="18"/>
      <c r="AM346" s="19">
        <v>17</v>
      </c>
      <c r="AN346" s="18"/>
      <c r="AO346" s="18"/>
      <c r="AP346" s="18"/>
      <c r="AR346" s="15" t="s">
        <v>249</v>
      </c>
      <c r="AS346" s="15" t="s">
        <v>567</v>
      </c>
      <c r="AT346" s="15" t="s">
        <v>711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249</v>
      </c>
      <c r="D347" s="15" t="s">
        <v>326</v>
      </c>
      <c r="E347" s="15" t="s">
        <v>272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328</v>
      </c>
      <c r="Y347" s="15" t="s">
        <v>324</v>
      </c>
      <c r="Z347" s="15" t="s">
        <v>348</v>
      </c>
      <c r="AA347" s="15"/>
      <c r="AB347" s="15"/>
      <c r="AC347" s="15"/>
      <c r="AD347" s="15" t="s">
        <v>323</v>
      </c>
      <c r="AE347" s="18"/>
      <c r="AF347" s="18"/>
      <c r="AG347" s="19">
        <v>19</v>
      </c>
      <c r="AH347" s="18"/>
      <c r="AI347" s="18"/>
      <c r="AJ347" s="18"/>
      <c r="AK347" s="18"/>
      <c r="AL347" s="18"/>
      <c r="AM347" s="19">
        <v>19</v>
      </c>
      <c r="AN347" s="18"/>
      <c r="AO347" s="18"/>
      <c r="AP347" s="18"/>
      <c r="AR347" s="15" t="s">
        <v>249</v>
      </c>
      <c r="AS347" s="15" t="s">
        <v>567</v>
      </c>
      <c r="AT347" s="15" t="s">
        <v>712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249</v>
      </c>
      <c r="D348" s="15" t="s">
        <v>326</v>
      </c>
      <c r="E348" s="15" t="s">
        <v>273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328</v>
      </c>
      <c r="Y348" s="15" t="s">
        <v>324</v>
      </c>
      <c r="Z348" s="15" t="s">
        <v>349</v>
      </c>
      <c r="AA348" s="15"/>
      <c r="AB348" s="15"/>
      <c r="AC348" s="15"/>
      <c r="AD348" s="15" t="s">
        <v>323</v>
      </c>
      <c r="AE348" s="18"/>
      <c r="AF348" s="18"/>
      <c r="AG348" s="19">
        <v>25</v>
      </c>
      <c r="AH348" s="18"/>
      <c r="AI348" s="18"/>
      <c r="AJ348" s="18"/>
      <c r="AK348" s="18"/>
      <c r="AL348" s="18"/>
      <c r="AM348" s="19">
        <v>25</v>
      </c>
      <c r="AN348" s="18"/>
      <c r="AO348" s="18"/>
      <c r="AP348" s="18"/>
      <c r="AR348" s="15" t="s">
        <v>249</v>
      </c>
      <c r="AS348" s="15" t="s">
        <v>567</v>
      </c>
      <c r="AT348" s="15" t="s">
        <v>713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249</v>
      </c>
      <c r="D349" s="15" t="s">
        <v>326</v>
      </c>
      <c r="E349" s="15" t="s">
        <v>274</v>
      </c>
      <c r="F349" s="15"/>
      <c r="G349" s="15"/>
      <c r="H349" s="15"/>
      <c r="I349" s="15"/>
      <c r="J349" s="18"/>
      <c r="K349" s="18"/>
      <c r="L349" s="19">
        <v>20</v>
      </c>
      <c r="M349" s="18"/>
      <c r="N349" s="18"/>
      <c r="O349" s="18"/>
      <c r="P349" s="18"/>
      <c r="Q349" s="18"/>
      <c r="R349" s="19">
        <v>20</v>
      </c>
      <c r="S349" s="18"/>
      <c r="T349" s="18"/>
      <c r="U349" s="18"/>
      <c r="V349" s="18"/>
      <c r="X349" s="15" t="s">
        <v>328</v>
      </c>
      <c r="Y349" s="15" t="s">
        <v>324</v>
      </c>
      <c r="Z349" s="15" t="s">
        <v>350</v>
      </c>
      <c r="AA349" s="15"/>
      <c r="AB349" s="15"/>
      <c r="AC349" s="15"/>
      <c r="AD349" s="15" t="s">
        <v>323</v>
      </c>
      <c r="AE349" s="18"/>
      <c r="AF349" s="18"/>
      <c r="AG349" s="19">
        <v>12.5586136683114</v>
      </c>
      <c r="AH349" s="18"/>
      <c r="AI349" s="18"/>
      <c r="AJ349" s="18"/>
      <c r="AK349" s="18"/>
      <c r="AL349" s="18"/>
      <c r="AM349" s="19">
        <v>14.4185060203493</v>
      </c>
      <c r="AN349" s="18"/>
      <c r="AO349" s="18"/>
      <c r="AP349" s="18"/>
      <c r="AR349" s="15" t="s">
        <v>249</v>
      </c>
      <c r="AS349" s="15" t="s">
        <v>567</v>
      </c>
      <c r="AT349" s="15" t="s">
        <v>714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249</v>
      </c>
      <c r="D350" s="15" t="s">
        <v>326</v>
      </c>
      <c r="E350" s="15" t="s">
        <v>275</v>
      </c>
      <c r="F350" s="15"/>
      <c r="G350" s="15"/>
      <c r="H350" s="15"/>
      <c r="I350" s="15"/>
      <c r="J350" s="18"/>
      <c r="K350" s="18"/>
      <c r="L350" s="19">
        <v>17.123290000000001</v>
      </c>
      <c r="M350" s="18"/>
      <c r="N350" s="18"/>
      <c r="O350" s="18"/>
      <c r="P350" s="18"/>
      <c r="Q350" s="18"/>
      <c r="R350" s="19">
        <v>17.123290000000001</v>
      </c>
      <c r="S350" s="18"/>
      <c r="T350" s="18"/>
      <c r="U350" s="18"/>
      <c r="V350" s="18"/>
      <c r="X350" s="15" t="s">
        <v>328</v>
      </c>
      <c r="Y350" s="15" t="s">
        <v>324</v>
      </c>
      <c r="Z350" s="15" t="s">
        <v>351</v>
      </c>
      <c r="AA350" s="15"/>
      <c r="AB350" s="15"/>
      <c r="AC350" s="15"/>
      <c r="AD350" s="15" t="s">
        <v>323</v>
      </c>
      <c r="AE350" s="18"/>
      <c r="AF350" s="18"/>
      <c r="AG350" s="19">
        <v>14.058149628706801</v>
      </c>
      <c r="AH350" s="18"/>
      <c r="AI350" s="18"/>
      <c r="AJ350" s="18"/>
      <c r="AK350" s="18"/>
      <c r="AL350" s="18"/>
      <c r="AM350" s="19">
        <v>29.382799223963701</v>
      </c>
      <c r="AN350" s="18"/>
      <c r="AO350" s="18"/>
      <c r="AP350" s="18"/>
      <c r="AR350" s="15" t="s">
        <v>249</v>
      </c>
      <c r="AS350" s="15" t="s">
        <v>567</v>
      </c>
      <c r="AT350" s="15" t="s">
        <v>715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249</v>
      </c>
      <c r="D351" s="15" t="s">
        <v>326</v>
      </c>
      <c r="E351" s="15" t="s">
        <v>276</v>
      </c>
      <c r="F351" s="15"/>
      <c r="G351" s="15"/>
      <c r="H351" s="15"/>
      <c r="I351" s="15"/>
      <c r="J351" s="18"/>
      <c r="K351" s="18"/>
      <c r="L351" s="19">
        <v>15</v>
      </c>
      <c r="M351" s="18"/>
      <c r="N351" s="18"/>
      <c r="O351" s="18"/>
      <c r="P351" s="18"/>
      <c r="Q351" s="18"/>
      <c r="R351" s="19">
        <v>15</v>
      </c>
      <c r="S351" s="18"/>
      <c r="T351" s="18"/>
      <c r="U351" s="18"/>
      <c r="V351" s="18"/>
      <c r="X351" s="15" t="s">
        <v>328</v>
      </c>
      <c r="Y351" s="15" t="s">
        <v>324</v>
      </c>
      <c r="Z351" s="15" t="s">
        <v>352</v>
      </c>
      <c r="AA351" s="15"/>
      <c r="AB351" s="15"/>
      <c r="AC351" s="15"/>
      <c r="AD351" s="15" t="s">
        <v>323</v>
      </c>
      <c r="AE351" s="18"/>
      <c r="AF351" s="18"/>
      <c r="AG351" s="19">
        <v>18.744199504942301</v>
      </c>
      <c r="AH351" s="18"/>
      <c r="AI351" s="18"/>
      <c r="AJ351" s="18"/>
      <c r="AK351" s="18"/>
      <c r="AL351" s="18"/>
      <c r="AM351" s="19">
        <v>18.744199504942301</v>
      </c>
      <c r="AN351" s="18"/>
      <c r="AO351" s="18"/>
      <c r="AP351" s="18"/>
      <c r="AR351" s="15" t="s">
        <v>249</v>
      </c>
      <c r="AS351" s="15" t="s">
        <v>567</v>
      </c>
      <c r="AT351" s="15" t="s">
        <v>716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249</v>
      </c>
      <c r="D352" s="15" t="s">
        <v>326</v>
      </c>
      <c r="E352" s="15" t="s">
        <v>277</v>
      </c>
      <c r="F352" s="15"/>
      <c r="G352" s="15"/>
      <c r="H352" s="15"/>
      <c r="I352" s="15"/>
      <c r="J352" s="18"/>
      <c r="K352" s="18"/>
      <c r="L352" s="19">
        <v>17.123290000000001</v>
      </c>
      <c r="M352" s="18"/>
      <c r="N352" s="18"/>
      <c r="O352" s="18"/>
      <c r="P352" s="18"/>
      <c r="Q352" s="18"/>
      <c r="R352" s="19">
        <v>17.123290000000001</v>
      </c>
      <c r="S352" s="18"/>
      <c r="T352" s="18"/>
      <c r="U352" s="18"/>
      <c r="V352" s="18"/>
      <c r="X352" s="15" t="s">
        <v>328</v>
      </c>
      <c r="Y352" s="15" t="s">
        <v>324</v>
      </c>
      <c r="Z352" s="15" t="s">
        <v>353</v>
      </c>
      <c r="AA352" s="15"/>
      <c r="AB352" s="15"/>
      <c r="AC352" s="15"/>
      <c r="AD352" s="15" t="s">
        <v>323</v>
      </c>
      <c r="AE352" s="18"/>
      <c r="AF352" s="18"/>
      <c r="AG352" s="19">
        <v>1.2391652495566501</v>
      </c>
      <c r="AH352" s="18"/>
      <c r="AI352" s="18"/>
      <c r="AJ352" s="18"/>
      <c r="AK352" s="18"/>
      <c r="AL352" s="18"/>
      <c r="AM352" s="19">
        <v>1.2391652495566501</v>
      </c>
      <c r="AN352" s="18"/>
      <c r="AO352" s="18"/>
      <c r="AP352" s="18"/>
      <c r="AR352" s="15" t="s">
        <v>249</v>
      </c>
      <c r="AS352" s="15" t="s">
        <v>567</v>
      </c>
      <c r="AT352" s="15" t="s">
        <v>717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249</v>
      </c>
      <c r="D353" s="15" t="s">
        <v>326</v>
      </c>
      <c r="E353" s="15" t="s">
        <v>278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328</v>
      </c>
      <c r="Y353" s="15" t="s">
        <v>324</v>
      </c>
      <c r="Z353" s="15" t="s">
        <v>354</v>
      </c>
      <c r="AA353" s="15"/>
      <c r="AB353" s="15"/>
      <c r="AC353" s="15"/>
      <c r="AD353" s="15" t="s">
        <v>323</v>
      </c>
      <c r="AE353" s="18"/>
      <c r="AF353" s="18"/>
      <c r="AG353" s="19">
        <v>1.26178058877254</v>
      </c>
      <c r="AH353" s="18"/>
      <c r="AI353" s="18"/>
      <c r="AJ353" s="18"/>
      <c r="AK353" s="18"/>
      <c r="AL353" s="18"/>
      <c r="AM353" s="19">
        <v>1.26178058877254</v>
      </c>
      <c r="AN353" s="18"/>
      <c r="AO353" s="18"/>
      <c r="AP353" s="18"/>
      <c r="AR353" s="15" t="s">
        <v>249</v>
      </c>
      <c r="AS353" s="15" t="s">
        <v>567</v>
      </c>
      <c r="AT353" s="15" t="s">
        <v>718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249</v>
      </c>
      <c r="D354" s="15" t="s">
        <v>326</v>
      </c>
      <c r="E354" s="15" t="s">
        <v>279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328</v>
      </c>
      <c r="Y354" s="15" t="s">
        <v>324</v>
      </c>
      <c r="Z354" s="15" t="s">
        <v>355</v>
      </c>
      <c r="AA354" s="15"/>
      <c r="AB354" s="15"/>
      <c r="AC354" s="15"/>
      <c r="AD354" s="15" t="s">
        <v>323</v>
      </c>
      <c r="AE354" s="18"/>
      <c r="AF354" s="18"/>
      <c r="AG354" s="19">
        <v>1.09979187902069</v>
      </c>
      <c r="AH354" s="18"/>
      <c r="AI354" s="18"/>
      <c r="AJ354" s="18"/>
      <c r="AK354" s="18"/>
      <c r="AL354" s="18"/>
      <c r="AM354" s="19">
        <v>1.09979187902069</v>
      </c>
      <c r="AN354" s="18"/>
      <c r="AO354" s="18"/>
      <c r="AP354" s="18"/>
      <c r="AR354" s="15" t="s">
        <v>249</v>
      </c>
      <c r="AS354" s="15" t="s">
        <v>567</v>
      </c>
      <c r="AT354" s="15" t="s">
        <v>719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249</v>
      </c>
      <c r="D355" s="15" t="s">
        <v>326</v>
      </c>
      <c r="E355" s="15" t="s">
        <v>280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328</v>
      </c>
      <c r="Y355" s="15" t="s">
        <v>324</v>
      </c>
      <c r="Z355" s="15" t="s">
        <v>356</v>
      </c>
      <c r="AA355" s="15"/>
      <c r="AB355" s="15"/>
      <c r="AC355" s="15"/>
      <c r="AD355" s="15" t="s">
        <v>323</v>
      </c>
      <c r="AE355" s="18"/>
      <c r="AF355" s="18"/>
      <c r="AG355" s="19">
        <v>1.13302870436116</v>
      </c>
      <c r="AH355" s="18"/>
      <c r="AI355" s="18"/>
      <c r="AJ355" s="18"/>
      <c r="AK355" s="18"/>
      <c r="AL355" s="18"/>
      <c r="AM355" s="19">
        <v>1.13302870436116</v>
      </c>
      <c r="AN355" s="18"/>
      <c r="AO355" s="18"/>
      <c r="AP355" s="18"/>
      <c r="AR355" s="15" t="s">
        <v>249</v>
      </c>
      <c r="AS355" s="15" t="s">
        <v>567</v>
      </c>
      <c r="AT355" s="15" t="s">
        <v>720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249</v>
      </c>
      <c r="D356" s="15" t="s">
        <v>326</v>
      </c>
      <c r="E356" s="15" t="s">
        <v>281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328</v>
      </c>
      <c r="Y356" s="15" t="s">
        <v>324</v>
      </c>
      <c r="Z356" s="15" t="s">
        <v>357</v>
      </c>
      <c r="AA356" s="15"/>
      <c r="AB356" s="15"/>
      <c r="AC356" s="15"/>
      <c r="AD356" s="15" t="s">
        <v>323</v>
      </c>
      <c r="AE356" s="18"/>
      <c r="AF356" s="18"/>
      <c r="AG356" s="19">
        <v>1.3430866666666701</v>
      </c>
      <c r="AH356" s="18"/>
      <c r="AI356" s="18"/>
      <c r="AJ356" s="18"/>
      <c r="AK356" s="18"/>
      <c r="AL356" s="18"/>
      <c r="AM356" s="19">
        <v>1.3430866666666701</v>
      </c>
      <c r="AN356" s="18"/>
      <c r="AO356" s="18"/>
      <c r="AP356" s="18"/>
      <c r="AR356" s="15" t="s">
        <v>249</v>
      </c>
      <c r="AS356" s="15" t="s">
        <v>567</v>
      </c>
      <c r="AT356" s="15" t="s">
        <v>721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249</v>
      </c>
      <c r="D357" s="15" t="s">
        <v>326</v>
      </c>
      <c r="E357" s="15" t="s">
        <v>282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328</v>
      </c>
      <c r="Y357" s="15" t="s">
        <v>324</v>
      </c>
      <c r="Z357" s="15" t="s">
        <v>358</v>
      </c>
      <c r="AA357" s="15"/>
      <c r="AB357" s="15"/>
      <c r="AC357" s="15"/>
      <c r="AD357" s="15" t="s">
        <v>323</v>
      </c>
      <c r="AE357" s="18"/>
      <c r="AF357" s="18"/>
      <c r="AG357" s="19">
        <v>1.3836761070950301</v>
      </c>
      <c r="AH357" s="18"/>
      <c r="AI357" s="18"/>
      <c r="AJ357" s="18"/>
      <c r="AK357" s="18"/>
      <c r="AL357" s="18"/>
      <c r="AM357" s="19">
        <v>1.3836761070950301</v>
      </c>
      <c r="AN357" s="18"/>
      <c r="AO357" s="18"/>
      <c r="AP357" s="18"/>
      <c r="AR357" s="15" t="s">
        <v>249</v>
      </c>
      <c r="AS357" s="15" t="s">
        <v>567</v>
      </c>
      <c r="AT357" s="15" t="s">
        <v>722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249</v>
      </c>
      <c r="D358" s="15" t="s">
        <v>326</v>
      </c>
      <c r="E358" s="15" t="s">
        <v>283</v>
      </c>
      <c r="F358" s="15"/>
      <c r="G358" s="15"/>
      <c r="H358" s="15"/>
      <c r="I358" s="15"/>
      <c r="J358" s="18"/>
      <c r="K358" s="18"/>
      <c r="L358" s="19">
        <v>15</v>
      </c>
      <c r="M358" s="18"/>
      <c r="N358" s="18"/>
      <c r="O358" s="18"/>
      <c r="P358" s="18"/>
      <c r="Q358" s="18"/>
      <c r="R358" s="19">
        <v>15</v>
      </c>
      <c r="S358" s="18"/>
      <c r="T358" s="18"/>
      <c r="U358" s="18"/>
      <c r="V358" s="18"/>
      <c r="X358" s="15" t="s">
        <v>328</v>
      </c>
      <c r="Y358" s="15" t="s">
        <v>324</v>
      </c>
      <c r="Z358" s="15" t="s">
        <v>359</v>
      </c>
      <c r="AA358" s="15"/>
      <c r="AB358" s="15"/>
      <c r="AC358" s="15"/>
      <c r="AD358" s="15" t="s">
        <v>323</v>
      </c>
      <c r="AE358" s="18"/>
      <c r="AF358" s="18"/>
      <c r="AG358" s="19">
        <v>1.17948765247058</v>
      </c>
      <c r="AH358" s="18"/>
      <c r="AI358" s="18"/>
      <c r="AJ358" s="18"/>
      <c r="AK358" s="18"/>
      <c r="AL358" s="18"/>
      <c r="AM358" s="19">
        <v>1.17948765247058</v>
      </c>
      <c r="AN358" s="18"/>
      <c r="AO358" s="18"/>
      <c r="AP358" s="18"/>
      <c r="AR358" s="15" t="s">
        <v>249</v>
      </c>
      <c r="AS358" s="15" t="s">
        <v>567</v>
      </c>
      <c r="AT358" s="15" t="s">
        <v>723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249</v>
      </c>
      <c r="D359" s="15" t="s">
        <v>326</v>
      </c>
      <c r="E359" s="15" t="s">
        <v>284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328</v>
      </c>
      <c r="Y359" s="15" t="s">
        <v>324</v>
      </c>
      <c r="Z359" s="15" t="s">
        <v>360</v>
      </c>
      <c r="AA359" s="15"/>
      <c r="AB359" s="15"/>
      <c r="AC359" s="15"/>
      <c r="AD359" s="15" t="s">
        <v>323</v>
      </c>
      <c r="AE359" s="18"/>
      <c r="AF359" s="18"/>
      <c r="AG359" s="19">
        <v>1.2151329648648701</v>
      </c>
      <c r="AH359" s="18"/>
      <c r="AI359" s="18"/>
      <c r="AJ359" s="18"/>
      <c r="AK359" s="18"/>
      <c r="AL359" s="18"/>
      <c r="AM359" s="19">
        <v>1.2151329648648701</v>
      </c>
      <c r="AN359" s="18"/>
      <c r="AO359" s="18"/>
      <c r="AP359" s="18"/>
      <c r="AR359" s="15" t="s">
        <v>249</v>
      </c>
      <c r="AS359" s="15" t="s">
        <v>567</v>
      </c>
      <c r="AT359" s="15" t="s">
        <v>724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249</v>
      </c>
      <c r="D360" s="15" t="s">
        <v>326</v>
      </c>
      <c r="E360" s="15" t="s">
        <v>285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328</v>
      </c>
      <c r="Y360" s="15" t="s">
        <v>324</v>
      </c>
      <c r="Z360" s="15" t="s">
        <v>361</v>
      </c>
      <c r="AA360" s="15"/>
      <c r="AB360" s="15"/>
      <c r="AC360" s="15"/>
      <c r="AD360" s="15" t="s">
        <v>323</v>
      </c>
      <c r="AE360" s="18"/>
      <c r="AF360" s="18"/>
      <c r="AG360" s="19">
        <v>0.25</v>
      </c>
      <c r="AH360" s="18"/>
      <c r="AI360" s="18"/>
      <c r="AJ360" s="18"/>
      <c r="AK360" s="18"/>
      <c r="AL360" s="18"/>
      <c r="AM360" s="19">
        <v>0.25</v>
      </c>
      <c r="AN360" s="18"/>
      <c r="AO360" s="18"/>
      <c r="AP360" s="18"/>
      <c r="AR360" s="15" t="s">
        <v>249</v>
      </c>
      <c r="AS360" s="15" t="s">
        <v>567</v>
      </c>
      <c r="AT360" s="15" t="s">
        <v>725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249</v>
      </c>
      <c r="D361" s="15" t="s">
        <v>326</v>
      </c>
      <c r="E361" s="15" t="s">
        <v>286</v>
      </c>
      <c r="F361" s="15"/>
      <c r="G361" s="15"/>
      <c r="H361" s="15"/>
      <c r="I361" s="15"/>
      <c r="J361" s="18"/>
      <c r="K361" s="18"/>
      <c r="L361" s="19">
        <v>20</v>
      </c>
      <c r="M361" s="18"/>
      <c r="N361" s="18"/>
      <c r="O361" s="18"/>
      <c r="P361" s="18"/>
      <c r="Q361" s="18"/>
      <c r="R361" s="19">
        <v>20</v>
      </c>
      <c r="S361" s="18"/>
      <c r="T361" s="18"/>
      <c r="U361" s="18"/>
      <c r="V361" s="18"/>
      <c r="X361" s="15" t="s">
        <v>328</v>
      </c>
      <c r="Y361" s="15" t="s">
        <v>324</v>
      </c>
      <c r="Z361" s="15" t="s">
        <v>362</v>
      </c>
      <c r="AA361" s="15"/>
      <c r="AB361" s="15"/>
      <c r="AC361" s="15"/>
      <c r="AD361" s="15" t="s">
        <v>323</v>
      </c>
      <c r="AE361" s="18"/>
      <c r="AF361" s="18"/>
      <c r="AG361" s="19">
        <v>0.5</v>
      </c>
      <c r="AH361" s="18"/>
      <c r="AI361" s="18"/>
      <c r="AJ361" s="18"/>
      <c r="AK361" s="18"/>
      <c r="AL361" s="18"/>
      <c r="AM361" s="19">
        <v>0.5</v>
      </c>
      <c r="AN361" s="18"/>
      <c r="AO361" s="18"/>
      <c r="AP361" s="18"/>
      <c r="AR361" s="15" t="s">
        <v>249</v>
      </c>
      <c r="AS361" s="15" t="s">
        <v>567</v>
      </c>
      <c r="AT361" s="15" t="s">
        <v>726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249</v>
      </c>
      <c r="D362" s="15" t="s">
        <v>326</v>
      </c>
      <c r="E362" s="15" t="s">
        <v>287</v>
      </c>
      <c r="F362" s="15"/>
      <c r="G362" s="15"/>
      <c r="H362" s="15"/>
      <c r="I362" s="15"/>
      <c r="J362" s="19"/>
      <c r="K362" s="18"/>
      <c r="L362" s="18">
        <v>17.123290000000001</v>
      </c>
      <c r="M362" s="18"/>
      <c r="N362" s="18"/>
      <c r="O362" s="18"/>
      <c r="P362" s="19"/>
      <c r="Q362" s="18"/>
      <c r="R362" s="18">
        <v>17.123290000000001</v>
      </c>
      <c r="S362" s="18"/>
      <c r="T362" s="18"/>
      <c r="U362" s="18"/>
      <c r="V362" s="18"/>
      <c r="X362" s="15" t="s">
        <v>328</v>
      </c>
      <c r="Y362" s="15" t="s">
        <v>325</v>
      </c>
      <c r="Z362" s="15" t="s">
        <v>330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249</v>
      </c>
      <c r="AS362" s="15" t="s">
        <v>567</v>
      </c>
      <c r="AT362" s="15" t="s">
        <v>727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249</v>
      </c>
      <c r="D363" s="15" t="s">
        <v>326</v>
      </c>
      <c r="E363" s="15" t="s">
        <v>288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328</v>
      </c>
      <c r="Y363" s="15" t="s">
        <v>325</v>
      </c>
      <c r="Z363" s="15" t="s">
        <v>331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249</v>
      </c>
      <c r="AS363" s="15" t="s">
        <v>567</v>
      </c>
      <c r="AT363" s="15" t="s">
        <v>728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249</v>
      </c>
      <c r="D364" s="15" t="s">
        <v>326</v>
      </c>
      <c r="E364" s="15" t="s">
        <v>289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328</v>
      </c>
      <c r="Y364" s="15" t="s">
        <v>325</v>
      </c>
      <c r="Z364" s="15" t="s">
        <v>332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249</v>
      </c>
      <c r="AS364" s="15" t="s">
        <v>567</v>
      </c>
      <c r="AT364" s="15" t="s">
        <v>729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249</v>
      </c>
      <c r="D365" s="15" t="s">
        <v>326</v>
      </c>
      <c r="E365" s="15" t="s">
        <v>290</v>
      </c>
      <c r="F365" s="15"/>
      <c r="G365" s="15"/>
      <c r="H365" s="15"/>
      <c r="I365" s="15"/>
      <c r="J365" s="19"/>
      <c r="K365" s="18"/>
      <c r="L365" s="18">
        <v>22</v>
      </c>
      <c r="M365" s="18"/>
      <c r="N365" s="18"/>
      <c r="O365" s="18"/>
      <c r="P365" s="19"/>
      <c r="Q365" s="18"/>
      <c r="R365" s="18">
        <v>22</v>
      </c>
      <c r="S365" s="18"/>
      <c r="T365" s="18"/>
      <c r="U365" s="18"/>
      <c r="V365" s="18"/>
      <c r="X365" s="15" t="s">
        <v>328</v>
      </c>
      <c r="Y365" s="15" t="s">
        <v>325</v>
      </c>
      <c r="Z365" s="15" t="s">
        <v>333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249</v>
      </c>
      <c r="AS365" s="15" t="s">
        <v>567</v>
      </c>
      <c r="AT365" s="15" t="s">
        <v>730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249</v>
      </c>
      <c r="D366" s="15" t="s">
        <v>326</v>
      </c>
      <c r="E366" s="15" t="s">
        <v>291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328</v>
      </c>
      <c r="Y366" s="15" t="s">
        <v>325</v>
      </c>
      <c r="Z366" s="15" t="s">
        <v>334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249</v>
      </c>
      <c r="AS366" s="15" t="s">
        <v>567</v>
      </c>
      <c r="AT366" s="15" t="s">
        <v>731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249</v>
      </c>
      <c r="D367" s="15" t="s">
        <v>326</v>
      </c>
      <c r="E367" s="15" t="s">
        <v>292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328</v>
      </c>
      <c r="Y367" s="15" t="s">
        <v>325</v>
      </c>
      <c r="Z367" s="15" t="s">
        <v>335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249</v>
      </c>
      <c r="AS367" s="15" t="s">
        <v>567</v>
      </c>
      <c r="AT367" s="15" t="s">
        <v>732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249</v>
      </c>
      <c r="D368" s="15" t="s">
        <v>326</v>
      </c>
      <c r="E368" s="15" t="s">
        <v>293</v>
      </c>
      <c r="F368" s="15"/>
      <c r="G368" s="15"/>
      <c r="H368" s="15"/>
      <c r="I368" s="15"/>
      <c r="J368" s="19"/>
      <c r="K368" s="18"/>
      <c r="L368" s="18">
        <v>12</v>
      </c>
      <c r="M368" s="18"/>
      <c r="N368" s="18"/>
      <c r="O368" s="18"/>
      <c r="P368" s="19"/>
      <c r="Q368" s="18"/>
      <c r="R368" s="18">
        <v>12</v>
      </c>
      <c r="S368" s="18"/>
      <c r="T368" s="18"/>
      <c r="U368" s="18"/>
      <c r="V368" s="18"/>
      <c r="X368" s="15" t="s">
        <v>328</v>
      </c>
      <c r="Y368" s="15" t="s">
        <v>325</v>
      </c>
      <c r="Z368" s="15" t="s">
        <v>336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249</v>
      </c>
      <c r="AS368" s="15" t="s">
        <v>567</v>
      </c>
      <c r="AT368" s="15" t="s">
        <v>733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249</v>
      </c>
      <c r="D369" s="15" t="s">
        <v>326</v>
      </c>
      <c r="E369" s="15" t="s">
        <v>294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328</v>
      </c>
      <c r="Y369" s="15" t="s">
        <v>325</v>
      </c>
      <c r="Z369" s="15" t="s">
        <v>339</v>
      </c>
      <c r="AA369" s="15"/>
      <c r="AB369" s="15"/>
      <c r="AC369" s="15"/>
      <c r="AD369" s="15"/>
      <c r="AE369" s="19">
        <v>2020</v>
      </c>
      <c r="AF369" s="18"/>
      <c r="AG369" s="18"/>
      <c r="AH369" s="18"/>
      <c r="AI369" s="18"/>
      <c r="AJ369" s="18"/>
      <c r="AK369" s="19">
        <v>2020</v>
      </c>
      <c r="AL369" s="18"/>
      <c r="AM369" s="18"/>
      <c r="AN369" s="18"/>
      <c r="AO369" s="18"/>
      <c r="AP369" s="18"/>
      <c r="AR369" s="15" t="s">
        <v>249</v>
      </c>
      <c r="AS369" s="15" t="s">
        <v>567</v>
      </c>
      <c r="AT369" s="15" t="s">
        <v>734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249</v>
      </c>
      <c r="D370" s="15" t="s">
        <v>326</v>
      </c>
      <c r="E370" s="15" t="s">
        <v>295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328</v>
      </c>
      <c r="Y370" s="15" t="s">
        <v>325</v>
      </c>
      <c r="Z370" s="15" t="s">
        <v>341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249</v>
      </c>
      <c r="AS370" s="15" t="s">
        <v>567</v>
      </c>
      <c r="AT370" s="15" t="s">
        <v>735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249</v>
      </c>
      <c r="D371" s="15" t="s">
        <v>326</v>
      </c>
      <c r="E371" s="15" t="s">
        <v>296</v>
      </c>
      <c r="F371" s="15"/>
      <c r="G371" s="15"/>
      <c r="H371" s="15"/>
      <c r="I371" s="15"/>
      <c r="J371" s="19"/>
      <c r="K371" s="18"/>
      <c r="L371" s="18">
        <v>22</v>
      </c>
      <c r="M371" s="18"/>
      <c r="N371" s="18"/>
      <c r="O371" s="18"/>
      <c r="P371" s="19"/>
      <c r="Q371" s="18"/>
      <c r="R371" s="18">
        <v>22</v>
      </c>
      <c r="S371" s="18"/>
      <c r="T371" s="18"/>
      <c r="U371" s="18"/>
      <c r="V371" s="18"/>
      <c r="X371" s="15" t="s">
        <v>328</v>
      </c>
      <c r="Y371" s="15" t="s">
        <v>325</v>
      </c>
      <c r="Z371" s="15" t="s">
        <v>342</v>
      </c>
      <c r="AA371" s="15"/>
      <c r="AB371" s="15"/>
      <c r="AC371" s="15"/>
      <c r="AD371" s="15"/>
      <c r="AE371" s="19">
        <v>2023</v>
      </c>
      <c r="AF371" s="18"/>
      <c r="AG371" s="18"/>
      <c r="AH371" s="18"/>
      <c r="AI371" s="18"/>
      <c r="AJ371" s="18"/>
      <c r="AK371" s="19">
        <v>2023</v>
      </c>
      <c r="AL371" s="18"/>
      <c r="AM371" s="18"/>
      <c r="AN371" s="18"/>
      <c r="AO371" s="18"/>
      <c r="AP371" s="18"/>
      <c r="AR371" s="15" t="s">
        <v>249</v>
      </c>
      <c r="AS371" s="15" t="s">
        <v>567</v>
      </c>
      <c r="AT371" s="15" t="s">
        <v>736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249</v>
      </c>
      <c r="D372" s="15" t="s">
        <v>326</v>
      </c>
      <c r="E372" s="15" t="s">
        <v>297</v>
      </c>
      <c r="F372" s="15"/>
      <c r="G372" s="15"/>
      <c r="H372" s="15"/>
      <c r="I372" s="15"/>
      <c r="J372" s="19"/>
      <c r="K372" s="18"/>
      <c r="L372" s="18">
        <v>20</v>
      </c>
      <c r="M372" s="18"/>
      <c r="N372" s="18"/>
      <c r="O372" s="18"/>
      <c r="P372" s="19"/>
      <c r="Q372" s="18"/>
      <c r="R372" s="18">
        <v>20</v>
      </c>
      <c r="S372" s="18"/>
      <c r="T372" s="18"/>
      <c r="U372" s="18"/>
      <c r="V372" s="18"/>
      <c r="X372" s="15" t="s">
        <v>328</v>
      </c>
      <c r="Y372" s="15" t="s">
        <v>325</v>
      </c>
      <c r="Z372" s="15" t="s">
        <v>343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249</v>
      </c>
      <c r="AS372" s="15" t="s">
        <v>567</v>
      </c>
      <c r="AT372" s="15" t="s">
        <v>737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249</v>
      </c>
      <c r="D373" s="15" t="s">
        <v>326</v>
      </c>
      <c r="E373" s="15" t="s">
        <v>298</v>
      </c>
      <c r="F373" s="15"/>
      <c r="G373" s="15"/>
      <c r="H373" s="15"/>
      <c r="I373" s="15"/>
      <c r="J373" s="19"/>
      <c r="K373" s="18"/>
      <c r="L373" s="18">
        <v>17.123290000000001</v>
      </c>
      <c r="M373" s="18"/>
      <c r="N373" s="18"/>
      <c r="O373" s="18"/>
      <c r="P373" s="19"/>
      <c r="Q373" s="18"/>
      <c r="R373" s="18">
        <v>17.123290000000001</v>
      </c>
      <c r="S373" s="18"/>
      <c r="T373" s="18"/>
      <c r="U373" s="18"/>
      <c r="V373" s="18"/>
      <c r="X373" s="15" t="s">
        <v>328</v>
      </c>
      <c r="Y373" s="15" t="s">
        <v>325</v>
      </c>
      <c r="Z373" s="15" t="s">
        <v>344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249</v>
      </c>
      <c r="AS373" s="15" t="s">
        <v>567</v>
      </c>
      <c r="AT373" s="15" t="s">
        <v>738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249</v>
      </c>
      <c r="D374" s="15" t="s">
        <v>326</v>
      </c>
      <c r="E374" s="15" t="s">
        <v>299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328</v>
      </c>
      <c r="Y374" s="15" t="s">
        <v>325</v>
      </c>
      <c r="Z374" s="15" t="s">
        <v>345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249</v>
      </c>
      <c r="AS374" s="15" t="s">
        <v>567</v>
      </c>
      <c r="AT374" s="15" t="s">
        <v>739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249</v>
      </c>
      <c r="D375" s="15" t="s">
        <v>326</v>
      </c>
      <c r="E375" s="15" t="s">
        <v>300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328</v>
      </c>
      <c r="Y375" s="15" t="s">
        <v>325</v>
      </c>
      <c r="Z375" s="15" t="s">
        <v>346</v>
      </c>
      <c r="AA375" s="15"/>
      <c r="AB375" s="15"/>
      <c r="AC375" s="15"/>
      <c r="AD375" s="15"/>
      <c r="AE375" s="19">
        <v>2020</v>
      </c>
      <c r="AF375" s="18"/>
      <c r="AG375" s="18"/>
      <c r="AH375" s="18"/>
      <c r="AI375" s="18"/>
      <c r="AJ375" s="18"/>
      <c r="AK375" s="19">
        <v>2020</v>
      </c>
      <c r="AL375" s="18"/>
      <c r="AM375" s="18"/>
      <c r="AN375" s="18"/>
      <c r="AO375" s="18"/>
      <c r="AP375" s="18"/>
      <c r="AR375" s="15" t="s">
        <v>249</v>
      </c>
      <c r="AS375" s="15" t="s">
        <v>567</v>
      </c>
      <c r="AT375" s="15" t="s">
        <v>740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249</v>
      </c>
      <c r="D376" s="15" t="s">
        <v>326</v>
      </c>
      <c r="E376" s="15" t="s">
        <v>301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328</v>
      </c>
      <c r="Y376" s="15" t="s">
        <v>325</v>
      </c>
      <c r="Z376" s="15" t="s">
        <v>347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249</v>
      </c>
      <c r="AS376" s="15" t="s">
        <v>567</v>
      </c>
      <c r="AT376" s="15" t="s">
        <v>741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249</v>
      </c>
      <c r="D377" s="15" t="s">
        <v>326</v>
      </c>
      <c r="E377" s="15" t="s">
        <v>302</v>
      </c>
      <c r="F377" s="15"/>
      <c r="G377" s="15"/>
      <c r="H377" s="15"/>
      <c r="I377" s="15"/>
      <c r="J377" s="19"/>
      <c r="K377" s="18"/>
      <c r="L377" s="18">
        <v>25</v>
      </c>
      <c r="M377" s="18"/>
      <c r="N377" s="18"/>
      <c r="O377" s="18"/>
      <c r="P377" s="19"/>
      <c r="Q377" s="18"/>
      <c r="R377" s="18">
        <v>25</v>
      </c>
      <c r="S377" s="18"/>
      <c r="T377" s="18"/>
      <c r="U377" s="18"/>
      <c r="V377" s="18"/>
      <c r="X377" s="15" t="s">
        <v>328</v>
      </c>
      <c r="Y377" s="15" t="s">
        <v>325</v>
      </c>
      <c r="Z377" s="15" t="s">
        <v>348</v>
      </c>
      <c r="AA377" s="15"/>
      <c r="AB377" s="15"/>
      <c r="AC377" s="15"/>
      <c r="AD377" s="15"/>
      <c r="AE377" s="19">
        <v>2023</v>
      </c>
      <c r="AF377" s="18"/>
      <c r="AG377" s="18"/>
      <c r="AH377" s="18"/>
      <c r="AI377" s="18"/>
      <c r="AJ377" s="18"/>
      <c r="AK377" s="19">
        <v>2023</v>
      </c>
      <c r="AL377" s="18"/>
      <c r="AM377" s="18"/>
      <c r="AN377" s="18"/>
      <c r="AO377" s="18"/>
      <c r="AP377" s="18"/>
      <c r="AR377" s="15" t="s">
        <v>249</v>
      </c>
      <c r="AS377" s="15" t="s">
        <v>567</v>
      </c>
      <c r="AT377" s="15" t="s">
        <v>742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249</v>
      </c>
      <c r="D378" s="15" t="s">
        <v>326</v>
      </c>
      <c r="E378" s="15" t="s">
        <v>303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328</v>
      </c>
      <c r="Y378" s="15" t="s">
        <v>325</v>
      </c>
      <c r="Z378" s="15" t="s">
        <v>349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249</v>
      </c>
      <c r="AS378" s="15" t="s">
        <v>567</v>
      </c>
      <c r="AT378" s="15" t="s">
        <v>743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249</v>
      </c>
      <c r="D379" s="15" t="s">
        <v>326</v>
      </c>
      <c r="E379" s="15" t="s">
        <v>304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328</v>
      </c>
      <c r="Y379" s="15" t="s">
        <v>325</v>
      </c>
      <c r="Z379" s="15" t="s">
        <v>350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249</v>
      </c>
      <c r="AS379" s="15" t="s">
        <v>567</v>
      </c>
      <c r="AT379" s="15" t="s">
        <v>744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249</v>
      </c>
      <c r="D380" s="15" t="s">
        <v>326</v>
      </c>
      <c r="E380" s="15" t="s">
        <v>305</v>
      </c>
      <c r="F380" s="15"/>
      <c r="G380" s="15"/>
      <c r="H380" s="15"/>
      <c r="I380" s="15"/>
      <c r="J380" s="19"/>
      <c r="K380" s="18"/>
      <c r="L380" s="18">
        <v>20</v>
      </c>
      <c r="M380" s="18"/>
      <c r="N380" s="18"/>
      <c r="O380" s="18"/>
      <c r="P380" s="19"/>
      <c r="Q380" s="18"/>
      <c r="R380" s="18">
        <v>20</v>
      </c>
      <c r="S380" s="18"/>
      <c r="T380" s="18"/>
      <c r="U380" s="18"/>
      <c r="V380" s="18"/>
      <c r="X380" s="15" t="s">
        <v>328</v>
      </c>
      <c r="Y380" s="15" t="s">
        <v>325</v>
      </c>
      <c r="Z380" s="15" t="s">
        <v>351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249</v>
      </c>
      <c r="AS380" s="15" t="s">
        <v>567</v>
      </c>
      <c r="AT380" s="15" t="s">
        <v>745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249</v>
      </c>
      <c r="D381" s="15" t="s">
        <v>326</v>
      </c>
      <c r="E381" s="15" t="s">
        <v>306</v>
      </c>
      <c r="F381" s="15"/>
      <c r="G381" s="15"/>
      <c r="H381" s="15"/>
      <c r="I381" s="15"/>
      <c r="J381" s="19"/>
      <c r="K381" s="18"/>
      <c r="L381" s="18">
        <v>17.123290000000001</v>
      </c>
      <c r="M381" s="18"/>
      <c r="N381" s="18"/>
      <c r="O381" s="18"/>
      <c r="P381" s="19"/>
      <c r="Q381" s="18"/>
      <c r="R381" s="18">
        <v>17.123290000000001</v>
      </c>
      <c r="S381" s="18"/>
      <c r="T381" s="18"/>
      <c r="U381" s="18"/>
      <c r="V381" s="18"/>
      <c r="X381" s="15" t="s">
        <v>328</v>
      </c>
      <c r="Y381" s="15" t="s">
        <v>325</v>
      </c>
      <c r="Z381" s="15" t="s">
        <v>352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249</v>
      </c>
      <c r="AS381" s="15" t="s">
        <v>567</v>
      </c>
      <c r="AT381" s="15" t="s">
        <v>746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249</v>
      </c>
      <c r="D382" s="15" t="s">
        <v>326</v>
      </c>
      <c r="E382" s="15" t="s">
        <v>307</v>
      </c>
      <c r="F382" s="15"/>
      <c r="G382" s="15"/>
      <c r="H382" s="15"/>
      <c r="I382" s="15"/>
      <c r="J382" s="19"/>
      <c r="K382" s="18"/>
      <c r="L382" s="18">
        <v>12</v>
      </c>
      <c r="M382" s="18"/>
      <c r="N382" s="18"/>
      <c r="O382" s="18"/>
      <c r="P382" s="19"/>
      <c r="Q382" s="18"/>
      <c r="R382" s="18">
        <v>12</v>
      </c>
      <c r="S382" s="18"/>
      <c r="T382" s="18"/>
      <c r="U382" s="18"/>
      <c r="V382" s="18"/>
      <c r="X382" s="15" t="s">
        <v>328</v>
      </c>
      <c r="Y382" s="15" t="s">
        <v>325</v>
      </c>
      <c r="Z382" s="15" t="s">
        <v>353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249</v>
      </c>
      <c r="AS382" s="15" t="s">
        <v>567</v>
      </c>
      <c r="AT382" s="15" t="s">
        <v>747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249</v>
      </c>
      <c r="D383" s="15" t="s">
        <v>326</v>
      </c>
      <c r="E383" s="15" t="s">
        <v>308</v>
      </c>
      <c r="F383" s="15"/>
      <c r="G383" s="15"/>
      <c r="H383" s="15"/>
      <c r="I383" s="15"/>
      <c r="J383" s="19"/>
      <c r="K383" s="18"/>
      <c r="L383" s="18">
        <v>10</v>
      </c>
      <c r="M383" s="18"/>
      <c r="N383" s="18"/>
      <c r="O383" s="18"/>
      <c r="P383" s="19"/>
      <c r="Q383" s="18"/>
      <c r="R383" s="18">
        <v>10</v>
      </c>
      <c r="S383" s="18"/>
      <c r="T383" s="18"/>
      <c r="U383" s="18"/>
      <c r="V383" s="18"/>
      <c r="X383" s="15" t="s">
        <v>328</v>
      </c>
      <c r="Y383" s="15" t="s">
        <v>325</v>
      </c>
      <c r="Z383" s="15" t="s">
        <v>354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249</v>
      </c>
      <c r="AS383" s="15" t="s">
        <v>567</v>
      </c>
      <c r="AT383" s="15" t="s">
        <v>748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249</v>
      </c>
      <c r="D384" s="15" t="s">
        <v>326</v>
      </c>
      <c r="E384" s="15" t="s">
        <v>309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328</v>
      </c>
      <c r="Y384" s="15" t="s">
        <v>325</v>
      </c>
      <c r="Z384" s="15" t="s">
        <v>355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249</v>
      </c>
      <c r="AS384" s="15" t="s">
        <v>567</v>
      </c>
      <c r="AT384" s="15" t="s">
        <v>749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249</v>
      </c>
      <c r="D385" s="15" t="s">
        <v>326</v>
      </c>
      <c r="E385" s="15" t="s">
        <v>310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328</v>
      </c>
      <c r="Y385" s="15" t="s">
        <v>325</v>
      </c>
      <c r="Z385" s="15" t="s">
        <v>356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249</v>
      </c>
      <c r="AS385" s="15" t="s">
        <v>567</v>
      </c>
      <c r="AT385" s="15" t="s">
        <v>750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249</v>
      </c>
      <c r="D386" s="15" t="s">
        <v>326</v>
      </c>
      <c r="E386" s="15" t="s">
        <v>311</v>
      </c>
      <c r="F386" s="15"/>
      <c r="G386" s="15"/>
      <c r="H386" s="15"/>
      <c r="I386" s="15"/>
      <c r="J386" s="19"/>
      <c r="K386" s="18"/>
      <c r="L386" s="18">
        <v>22</v>
      </c>
      <c r="M386" s="18"/>
      <c r="N386" s="18"/>
      <c r="O386" s="18"/>
      <c r="P386" s="19"/>
      <c r="Q386" s="18"/>
      <c r="R386" s="18">
        <v>22</v>
      </c>
      <c r="S386" s="18"/>
      <c r="T386" s="18"/>
      <c r="U386" s="18"/>
      <c r="V386" s="18"/>
      <c r="X386" s="15" t="s">
        <v>328</v>
      </c>
      <c r="Y386" s="15" t="s">
        <v>325</v>
      </c>
      <c r="Z386" s="15" t="s">
        <v>357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249</v>
      </c>
      <c r="AS386" s="15" t="s">
        <v>567</v>
      </c>
      <c r="AT386" s="15" t="s">
        <v>751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249</v>
      </c>
      <c r="D387" s="15" t="s">
        <v>326</v>
      </c>
      <c r="E387" s="15" t="s">
        <v>312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328</v>
      </c>
      <c r="Y387" s="15" t="s">
        <v>325</v>
      </c>
      <c r="Z387" s="15" t="s">
        <v>358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249</v>
      </c>
      <c r="AS387" s="15" t="s">
        <v>567</v>
      </c>
      <c r="AT387" s="15" t="s">
        <v>752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249</v>
      </c>
      <c r="D388" s="15" t="s">
        <v>326</v>
      </c>
      <c r="E388" s="15" t="s">
        <v>313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328</v>
      </c>
      <c r="Y388" s="15" t="s">
        <v>325</v>
      </c>
      <c r="Z388" s="15" t="s">
        <v>359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249</v>
      </c>
      <c r="AS388" s="15" t="s">
        <v>567</v>
      </c>
      <c r="AT388" s="15" t="s">
        <v>753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249</v>
      </c>
      <c r="D389" s="15" t="s">
        <v>326</v>
      </c>
      <c r="E389" s="15" t="s">
        <v>314</v>
      </c>
      <c r="F389" s="15"/>
      <c r="G389" s="15"/>
      <c r="H389" s="15"/>
      <c r="I389" s="15"/>
      <c r="J389" s="19"/>
      <c r="K389" s="18"/>
      <c r="L389" s="18">
        <v>15</v>
      </c>
      <c r="M389" s="18"/>
      <c r="N389" s="18"/>
      <c r="O389" s="18"/>
      <c r="P389" s="19"/>
      <c r="Q389" s="18"/>
      <c r="R389" s="18">
        <v>15</v>
      </c>
      <c r="S389" s="18"/>
      <c r="T389" s="18"/>
      <c r="U389" s="18"/>
      <c r="V389" s="18"/>
      <c r="X389" s="15" t="s">
        <v>328</v>
      </c>
      <c r="Y389" s="15" t="s">
        <v>325</v>
      </c>
      <c r="Z389" s="15" t="s">
        <v>360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249</v>
      </c>
      <c r="AS389" s="15" t="s">
        <v>567</v>
      </c>
      <c r="AT389" s="15" t="s">
        <v>754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249</v>
      </c>
      <c r="D390" s="15" t="s">
        <v>326</v>
      </c>
      <c r="E390" s="15" t="s">
        <v>315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328</v>
      </c>
      <c r="Y390" s="15" t="s">
        <v>325</v>
      </c>
      <c r="Z390" s="15" t="s">
        <v>361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249</v>
      </c>
      <c r="AS390" s="15" t="s">
        <v>567</v>
      </c>
      <c r="AT390" s="15" t="s">
        <v>755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249</v>
      </c>
      <c r="D391" s="15" t="s">
        <v>326</v>
      </c>
      <c r="E391" s="15" t="s">
        <v>316</v>
      </c>
      <c r="F391" s="15"/>
      <c r="G391" s="15"/>
      <c r="H391" s="15"/>
      <c r="I391" s="15"/>
      <c r="J391" s="19"/>
      <c r="K391" s="18"/>
      <c r="L391" s="18">
        <v>22</v>
      </c>
      <c r="M391" s="18"/>
      <c r="N391" s="18"/>
      <c r="O391" s="18"/>
      <c r="P391" s="19"/>
      <c r="Q391" s="18"/>
      <c r="R391" s="18">
        <v>22</v>
      </c>
      <c r="S391" s="18"/>
      <c r="T391" s="18"/>
      <c r="U391" s="18"/>
      <c r="V391" s="18"/>
      <c r="X391" s="15" t="s">
        <v>328</v>
      </c>
      <c r="Y391" s="15" t="s">
        <v>325</v>
      </c>
      <c r="Z391" s="15" t="s">
        <v>362</v>
      </c>
      <c r="AA391" s="15"/>
      <c r="AB391" s="15"/>
      <c r="AC391" s="15"/>
      <c r="AD391" s="15"/>
      <c r="AE391" s="19">
        <v>2020</v>
      </c>
      <c r="AF391" s="18"/>
      <c r="AG391" s="18"/>
      <c r="AH391" s="18"/>
      <c r="AI391" s="18"/>
      <c r="AJ391" s="18"/>
      <c r="AK391" s="19">
        <v>2020</v>
      </c>
      <c r="AL391" s="18"/>
      <c r="AM391" s="18"/>
      <c r="AN391" s="18"/>
      <c r="AO391" s="18"/>
      <c r="AP391" s="18"/>
      <c r="AR391" s="15" t="s">
        <v>249</v>
      </c>
      <c r="AS391" s="15" t="s">
        <v>567</v>
      </c>
      <c r="AT391" s="15" t="s">
        <v>756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249</v>
      </c>
      <c r="D392" s="15" t="s">
        <v>326</v>
      </c>
      <c r="E392" s="15" t="s">
        <v>317</v>
      </c>
      <c r="F392" s="15"/>
      <c r="G392" s="15"/>
      <c r="H392" s="15"/>
      <c r="I392" s="15"/>
      <c r="J392" s="18"/>
      <c r="K392" s="18"/>
      <c r="L392" s="19">
        <v>22</v>
      </c>
      <c r="M392" s="18"/>
      <c r="N392" s="18"/>
      <c r="O392" s="18"/>
      <c r="P392" s="18"/>
      <c r="Q392" s="18"/>
      <c r="R392" s="19">
        <v>22</v>
      </c>
      <c r="S392" s="18"/>
      <c r="T392" s="18"/>
      <c r="U392" s="18"/>
      <c r="V392" s="18"/>
      <c r="X392" s="15" t="s">
        <v>328</v>
      </c>
      <c r="Y392" s="15" t="s">
        <v>326</v>
      </c>
      <c r="Z392" s="15" t="s">
        <v>330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249</v>
      </c>
      <c r="AS392" s="15" t="s">
        <v>567</v>
      </c>
      <c r="AT392" s="15" t="s">
        <v>757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249</v>
      </c>
      <c r="D393" s="15" t="s">
        <v>327</v>
      </c>
      <c r="E393" s="15" t="s">
        <v>251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328</v>
      </c>
      <c r="Y393" s="15" t="s">
        <v>326</v>
      </c>
      <c r="Z393" s="15" t="s">
        <v>331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249</v>
      </c>
      <c r="AS393" s="15" t="s">
        <v>567</v>
      </c>
      <c r="AT393" s="15" t="s">
        <v>758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249</v>
      </c>
      <c r="D394" s="15" t="s">
        <v>327</v>
      </c>
      <c r="E394" s="15" t="s">
        <v>253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328</v>
      </c>
      <c r="Y394" s="15" t="s">
        <v>326</v>
      </c>
      <c r="Z394" s="15" t="s">
        <v>332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249</v>
      </c>
      <c r="AS394" s="15" t="s">
        <v>567</v>
      </c>
      <c r="AT394" s="15" t="s">
        <v>759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249</v>
      </c>
      <c r="D395" s="15" t="s">
        <v>327</v>
      </c>
      <c r="E395" s="15" t="s">
        <v>254</v>
      </c>
      <c r="F395" s="15"/>
      <c r="G395" s="15"/>
      <c r="H395" s="15"/>
      <c r="I395" s="15"/>
      <c r="J395" s="18">
        <v>31.536000000000001</v>
      </c>
      <c r="K395" s="18"/>
      <c r="L395" s="19"/>
      <c r="M395" s="18"/>
      <c r="N395" s="18"/>
      <c r="O395" s="18"/>
      <c r="P395" s="18"/>
      <c r="Q395" s="18">
        <v>31.536000000000001</v>
      </c>
      <c r="R395" s="19"/>
      <c r="S395" s="18"/>
      <c r="T395" s="18"/>
      <c r="U395" s="18"/>
      <c r="V395" s="18"/>
      <c r="X395" s="15" t="s">
        <v>328</v>
      </c>
      <c r="Y395" s="15" t="s">
        <v>326</v>
      </c>
      <c r="Z395" s="15" t="s">
        <v>333</v>
      </c>
      <c r="AA395" s="15"/>
      <c r="AB395" s="15"/>
      <c r="AC395" s="15"/>
      <c r="AD395" s="15"/>
      <c r="AE395" s="18"/>
      <c r="AF395" s="18"/>
      <c r="AG395" s="19">
        <v>22.051404092999999</v>
      </c>
      <c r="AH395" s="18"/>
      <c r="AI395" s="18"/>
      <c r="AJ395" s="18"/>
      <c r="AK395" s="18"/>
      <c r="AL395" s="18"/>
      <c r="AM395" s="19">
        <v>22.051404092999999</v>
      </c>
      <c r="AN395" s="18"/>
      <c r="AO395" s="18"/>
      <c r="AP395" s="18"/>
      <c r="AR395" s="15" t="s">
        <v>249</v>
      </c>
      <c r="AS395" s="15" t="s">
        <v>567</v>
      </c>
      <c r="AT395" s="15" t="s">
        <v>760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249</v>
      </c>
      <c r="D396" s="15" t="s">
        <v>327</v>
      </c>
      <c r="E396" s="15" t="s">
        <v>255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328</v>
      </c>
      <c r="Y396" s="15" t="s">
        <v>326</v>
      </c>
      <c r="Z396" s="15" t="s">
        <v>334</v>
      </c>
      <c r="AA396" s="15"/>
      <c r="AB396" s="15"/>
      <c r="AC396" s="15"/>
      <c r="AD396" s="15"/>
      <c r="AE396" s="18"/>
      <c r="AF396" s="18"/>
      <c r="AG396" s="19">
        <v>15.784552846</v>
      </c>
      <c r="AH396" s="18"/>
      <c r="AI396" s="18"/>
      <c r="AJ396" s="18"/>
      <c r="AK396" s="18"/>
      <c r="AL396" s="18"/>
      <c r="AM396" s="19">
        <v>15.784552846</v>
      </c>
      <c r="AN396" s="18"/>
      <c r="AO396" s="18"/>
      <c r="AP396" s="18"/>
      <c r="AR396" s="15" t="s">
        <v>249</v>
      </c>
      <c r="AS396" s="15" t="s">
        <v>567</v>
      </c>
      <c r="AT396" s="15" t="s">
        <v>761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249</v>
      </c>
      <c r="D397" s="15" t="s">
        <v>327</v>
      </c>
      <c r="E397" s="15" t="s">
        <v>256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328</v>
      </c>
      <c r="Y397" s="15" t="s">
        <v>326</v>
      </c>
      <c r="Z397" s="15" t="s">
        <v>335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249</v>
      </c>
      <c r="AS397" s="15" t="s">
        <v>567</v>
      </c>
      <c r="AT397" s="15" t="s">
        <v>762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249</v>
      </c>
      <c r="D398" s="15" t="s">
        <v>327</v>
      </c>
      <c r="E398" s="15" t="s">
        <v>257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328</v>
      </c>
      <c r="Y398" s="15" t="s">
        <v>326</v>
      </c>
      <c r="Z398" s="15" t="s">
        <v>336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249</v>
      </c>
      <c r="AS398" s="15" t="s">
        <v>567</v>
      </c>
      <c r="AT398" s="15" t="s">
        <v>763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249</v>
      </c>
      <c r="D399" s="15" t="s">
        <v>327</v>
      </c>
      <c r="E399" s="15" t="s">
        <v>258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328</v>
      </c>
      <c r="Y399" s="15" t="s">
        <v>326</v>
      </c>
      <c r="Z399" s="15" t="s">
        <v>339</v>
      </c>
      <c r="AA399" s="15"/>
      <c r="AB399" s="15"/>
      <c r="AC399" s="15"/>
      <c r="AD399" s="15"/>
      <c r="AE399" s="18"/>
      <c r="AF399" s="18"/>
      <c r="AG399" s="19">
        <v>22.051404092999999</v>
      </c>
      <c r="AH399" s="18"/>
      <c r="AI399" s="18"/>
      <c r="AJ399" s="18"/>
      <c r="AK399" s="18"/>
      <c r="AL399" s="18"/>
      <c r="AM399" s="19">
        <v>22.051404092999999</v>
      </c>
      <c r="AN399" s="18"/>
      <c r="AO399" s="18"/>
      <c r="AP399" s="18"/>
      <c r="AR399" s="15" t="s">
        <v>249</v>
      </c>
      <c r="AS399" s="15" t="s">
        <v>567</v>
      </c>
      <c r="AT399" s="15" t="s">
        <v>764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249</v>
      </c>
      <c r="D400" s="15" t="s">
        <v>327</v>
      </c>
      <c r="E400" s="15" t="s">
        <v>259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328</v>
      </c>
      <c r="Y400" s="15" t="s">
        <v>326</v>
      </c>
      <c r="Z400" s="15" t="s">
        <v>341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249</v>
      </c>
      <c r="AS400" s="15" t="s">
        <v>567</v>
      </c>
      <c r="AT400" s="15" t="s">
        <v>765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249</v>
      </c>
      <c r="D401" s="15" t="s">
        <v>327</v>
      </c>
      <c r="E401" s="15" t="s">
        <v>260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328</v>
      </c>
      <c r="Y401" s="15" t="s">
        <v>326</v>
      </c>
      <c r="Z401" s="15" t="s">
        <v>342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249</v>
      </c>
      <c r="AS401" s="15" t="s">
        <v>567</v>
      </c>
      <c r="AT401" s="15" t="s">
        <v>766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249</v>
      </c>
      <c r="D402" s="15" t="s">
        <v>327</v>
      </c>
      <c r="E402" s="15" t="s">
        <v>261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328</v>
      </c>
      <c r="Y402" s="15" t="s">
        <v>326</v>
      </c>
      <c r="Z402" s="15" t="s">
        <v>343</v>
      </c>
      <c r="AA402" s="15"/>
      <c r="AB402" s="15"/>
      <c r="AC402" s="15"/>
      <c r="AD402" s="15"/>
      <c r="AE402" s="18"/>
      <c r="AF402" s="18"/>
      <c r="AG402" s="19">
        <v>22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249</v>
      </c>
      <c r="AS402" s="15" t="s">
        <v>567</v>
      </c>
      <c r="AT402" s="15" t="s">
        <v>767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249</v>
      </c>
      <c r="D403" s="15" t="s">
        <v>327</v>
      </c>
      <c r="E403" s="15" t="s">
        <v>262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328</v>
      </c>
      <c r="Y403" s="15" t="s">
        <v>326</v>
      </c>
      <c r="Z403" s="15" t="s">
        <v>344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249</v>
      </c>
      <c r="AS403" s="15" t="s">
        <v>567</v>
      </c>
      <c r="AT403" s="15" t="s">
        <v>768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249</v>
      </c>
      <c r="D404" s="15" t="s">
        <v>327</v>
      </c>
      <c r="E404" s="15" t="s">
        <v>263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328</v>
      </c>
      <c r="Y404" s="15" t="s">
        <v>326</v>
      </c>
      <c r="Z404" s="15" t="s">
        <v>345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249</v>
      </c>
      <c r="AS404" s="15" t="s">
        <v>567</v>
      </c>
      <c r="AT404" s="15" t="s">
        <v>769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249</v>
      </c>
      <c r="D405" s="15" t="s">
        <v>327</v>
      </c>
      <c r="E405" s="15" t="s">
        <v>264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328</v>
      </c>
      <c r="Y405" s="15" t="s">
        <v>326</v>
      </c>
      <c r="Z405" s="15" t="s">
        <v>346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249</v>
      </c>
      <c r="AS405" s="15" t="s">
        <v>567</v>
      </c>
      <c r="AT405" s="15" t="s">
        <v>770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249</v>
      </c>
      <c r="D406" s="15" t="s">
        <v>327</v>
      </c>
      <c r="E406" s="15" t="s">
        <v>265</v>
      </c>
      <c r="F406" s="15"/>
      <c r="G406" s="15"/>
      <c r="H406" s="15"/>
      <c r="I406" s="15"/>
      <c r="J406" s="18">
        <v>1</v>
      </c>
      <c r="K406" s="18"/>
      <c r="L406" s="19"/>
      <c r="M406" s="18"/>
      <c r="N406" s="18"/>
      <c r="O406" s="18"/>
      <c r="P406" s="18"/>
      <c r="Q406" s="18">
        <v>1</v>
      </c>
      <c r="R406" s="19"/>
      <c r="S406" s="18"/>
      <c r="T406" s="18"/>
      <c r="U406" s="18"/>
      <c r="V406" s="18"/>
      <c r="X406" s="15" t="s">
        <v>328</v>
      </c>
      <c r="Y406" s="15" t="s">
        <v>326</v>
      </c>
      <c r="Z406" s="15" t="s">
        <v>347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249</v>
      </c>
      <c r="AS406" s="15" t="s">
        <v>567</v>
      </c>
      <c r="AT406" s="15" t="s">
        <v>771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249</v>
      </c>
      <c r="D407" s="15" t="s">
        <v>327</v>
      </c>
      <c r="E407" s="15" t="s">
        <v>266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328</v>
      </c>
      <c r="Y407" s="15" t="s">
        <v>326</v>
      </c>
      <c r="Z407" s="15" t="s">
        <v>348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249</v>
      </c>
      <c r="AS407" s="15" t="s">
        <v>567</v>
      </c>
      <c r="AT407" s="15" t="s">
        <v>772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249</v>
      </c>
      <c r="D408" s="15" t="s">
        <v>327</v>
      </c>
      <c r="E408" s="15" t="s">
        <v>267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328</v>
      </c>
      <c r="Y408" s="15" t="s">
        <v>326</v>
      </c>
      <c r="Z408" s="15" t="s">
        <v>349</v>
      </c>
      <c r="AA408" s="15"/>
      <c r="AB408" s="15"/>
      <c r="AC408" s="15"/>
      <c r="AD408" s="15"/>
      <c r="AE408" s="18"/>
      <c r="AF408" s="18"/>
      <c r="AG408" s="19">
        <v>21.981385162999999</v>
      </c>
      <c r="AH408" s="18"/>
      <c r="AI408" s="18"/>
      <c r="AJ408" s="18"/>
      <c r="AK408" s="18"/>
      <c r="AL408" s="18"/>
      <c r="AM408" s="19">
        <v>21.981385162999999</v>
      </c>
      <c r="AN408" s="18"/>
      <c r="AO408" s="18"/>
      <c r="AP408" s="18"/>
      <c r="AR408" s="15" t="s">
        <v>249</v>
      </c>
      <c r="AS408" s="15" t="s">
        <v>567</v>
      </c>
      <c r="AT408" s="15" t="s">
        <v>773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249</v>
      </c>
      <c r="D409" s="15" t="s">
        <v>327</v>
      </c>
      <c r="E409" s="15" t="s">
        <v>268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328</v>
      </c>
      <c r="Y409" s="15" t="s">
        <v>326</v>
      </c>
      <c r="Z409" s="15" t="s">
        <v>350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249</v>
      </c>
      <c r="AS409" s="15" t="s">
        <v>567</v>
      </c>
      <c r="AT409" s="15" t="s">
        <v>774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249</v>
      </c>
      <c r="D410" s="15" t="s">
        <v>327</v>
      </c>
      <c r="E410" s="15" t="s">
        <v>269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328</v>
      </c>
      <c r="Y410" s="15" t="s">
        <v>326</v>
      </c>
      <c r="Z410" s="15" t="s">
        <v>351</v>
      </c>
      <c r="AA410" s="15"/>
      <c r="AB410" s="15"/>
      <c r="AC410" s="15"/>
      <c r="AD410" s="15"/>
      <c r="AE410" s="18"/>
      <c r="AF410" s="18"/>
      <c r="AG410" s="19">
        <v>30</v>
      </c>
      <c r="AH410" s="18"/>
      <c r="AI410" s="18"/>
      <c r="AJ410" s="18"/>
      <c r="AK410" s="18"/>
      <c r="AL410" s="18"/>
      <c r="AM410" s="19">
        <v>30</v>
      </c>
      <c r="AN410" s="18"/>
      <c r="AO410" s="18"/>
      <c r="AP410" s="18"/>
      <c r="AR410" s="15" t="s">
        <v>249</v>
      </c>
      <c r="AS410" s="15" t="s">
        <v>567</v>
      </c>
      <c r="AT410" s="15" t="s">
        <v>775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249</v>
      </c>
      <c r="D411" s="15" t="s">
        <v>327</v>
      </c>
      <c r="E411" s="15" t="s">
        <v>270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328</v>
      </c>
      <c r="Y411" s="15" t="s">
        <v>326</v>
      </c>
      <c r="Z411" s="15" t="s">
        <v>352</v>
      </c>
      <c r="AA411" s="15"/>
      <c r="AB411" s="15"/>
      <c r="AC411" s="15"/>
      <c r="AD411" s="15"/>
      <c r="AE411" s="18"/>
      <c r="AF411" s="18"/>
      <c r="AG411" s="19">
        <v>26.248000000000001</v>
      </c>
      <c r="AH411" s="18"/>
      <c r="AI411" s="18"/>
      <c r="AJ411" s="18"/>
      <c r="AK411" s="18"/>
      <c r="AL411" s="18"/>
      <c r="AM411" s="19">
        <v>26.248000000000001</v>
      </c>
      <c r="AN411" s="18"/>
      <c r="AO411" s="18"/>
      <c r="AP411" s="18"/>
      <c r="AR411" s="15" t="s">
        <v>249</v>
      </c>
      <c r="AS411" s="15" t="s">
        <v>567</v>
      </c>
      <c r="AT411" s="15" t="s">
        <v>776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249</v>
      </c>
      <c r="D412" s="15" t="s">
        <v>327</v>
      </c>
      <c r="E412" s="15" t="s">
        <v>271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328</v>
      </c>
      <c r="Y412" s="15" t="s">
        <v>326</v>
      </c>
      <c r="Z412" s="15" t="s">
        <v>353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249</v>
      </c>
      <c r="AS412" s="15" t="s">
        <v>567</v>
      </c>
      <c r="AT412" s="15" t="s">
        <v>777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249</v>
      </c>
      <c r="D413" s="15" t="s">
        <v>327</v>
      </c>
      <c r="E413" s="15" t="s">
        <v>272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328</v>
      </c>
      <c r="Y413" s="15" t="s">
        <v>326</v>
      </c>
      <c r="Z413" s="15" t="s">
        <v>354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249</v>
      </c>
      <c r="AS413" s="15" t="s">
        <v>567</v>
      </c>
      <c r="AT413" s="15" t="s">
        <v>778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249</v>
      </c>
      <c r="D414" s="15" t="s">
        <v>327</v>
      </c>
      <c r="E414" s="15" t="s">
        <v>273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328</v>
      </c>
      <c r="Y414" s="15" t="s">
        <v>326</v>
      </c>
      <c r="Z414" s="15" t="s">
        <v>355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249</v>
      </c>
      <c r="AS414" s="15" t="s">
        <v>567</v>
      </c>
      <c r="AT414" s="15" t="s">
        <v>779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249</v>
      </c>
      <c r="D415" s="15" t="s">
        <v>327</v>
      </c>
      <c r="E415" s="15" t="s">
        <v>274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328</v>
      </c>
      <c r="Y415" s="15" t="s">
        <v>326</v>
      </c>
      <c r="Z415" s="15" t="s">
        <v>356</v>
      </c>
      <c r="AA415" s="15"/>
      <c r="AB415" s="15"/>
      <c r="AC415" s="15"/>
      <c r="AD415" s="15"/>
      <c r="AE415" s="18"/>
      <c r="AF415" s="18"/>
      <c r="AG415" s="19">
        <v>18.893708932999999</v>
      </c>
      <c r="AH415" s="18"/>
      <c r="AI415" s="18"/>
      <c r="AJ415" s="18"/>
      <c r="AK415" s="18"/>
      <c r="AL415" s="18"/>
      <c r="AM415" s="19">
        <v>18.893708932999999</v>
      </c>
      <c r="AN415" s="18"/>
      <c r="AO415" s="18"/>
      <c r="AP415" s="18"/>
      <c r="AR415" s="15" t="s">
        <v>249</v>
      </c>
      <c r="AS415" s="15" t="s">
        <v>567</v>
      </c>
      <c r="AT415" s="15" t="s">
        <v>780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249</v>
      </c>
      <c r="D416" s="15" t="s">
        <v>327</v>
      </c>
      <c r="E416" s="15" t="s">
        <v>275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328</v>
      </c>
      <c r="Y416" s="15" t="s">
        <v>326</v>
      </c>
      <c r="Z416" s="15" t="s">
        <v>357</v>
      </c>
      <c r="AA416" s="15"/>
      <c r="AB416" s="15"/>
      <c r="AC416" s="15"/>
      <c r="AD416" s="15"/>
      <c r="AE416" s="18"/>
      <c r="AF416" s="18"/>
      <c r="AG416" s="19">
        <v>19.957648846000001</v>
      </c>
      <c r="AH416" s="18"/>
      <c r="AI416" s="18"/>
      <c r="AJ416" s="18"/>
      <c r="AK416" s="18"/>
      <c r="AL416" s="18"/>
      <c r="AM416" s="19">
        <v>19.957648846000001</v>
      </c>
      <c r="AN416" s="18"/>
      <c r="AO416" s="18"/>
      <c r="AP416" s="18"/>
      <c r="AR416" s="15" t="s">
        <v>249</v>
      </c>
      <c r="AS416" s="15" t="s">
        <v>567</v>
      </c>
      <c r="AT416" s="15" t="s">
        <v>781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249</v>
      </c>
      <c r="D417" s="15" t="s">
        <v>327</v>
      </c>
      <c r="E417" s="15" t="s">
        <v>276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328</v>
      </c>
      <c r="Y417" s="15" t="s">
        <v>326</v>
      </c>
      <c r="Z417" s="15" t="s">
        <v>358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249</v>
      </c>
      <c r="AS417" s="15" t="s">
        <v>567</v>
      </c>
      <c r="AT417" s="15" t="s">
        <v>782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249</v>
      </c>
      <c r="D418" s="15" t="s">
        <v>327</v>
      </c>
      <c r="E418" s="15" t="s">
        <v>277</v>
      </c>
      <c r="F418" s="15"/>
      <c r="G418" s="15"/>
      <c r="H418" s="15"/>
      <c r="I418" s="15"/>
      <c r="J418" s="18">
        <v>31.536000000000001</v>
      </c>
      <c r="K418" s="18"/>
      <c r="L418" s="19"/>
      <c r="M418" s="18"/>
      <c r="N418" s="18"/>
      <c r="O418" s="18"/>
      <c r="P418" s="18"/>
      <c r="Q418" s="18">
        <v>31.536000000000001</v>
      </c>
      <c r="R418" s="19"/>
      <c r="S418" s="18"/>
      <c r="T418" s="18"/>
      <c r="U418" s="18"/>
      <c r="V418" s="18"/>
      <c r="X418" s="15" t="s">
        <v>328</v>
      </c>
      <c r="Y418" s="15" t="s">
        <v>326</v>
      </c>
      <c r="Z418" s="15" t="s">
        <v>359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249</v>
      </c>
      <c r="AS418" s="15" t="s">
        <v>567</v>
      </c>
      <c r="AT418" s="15" t="s">
        <v>783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249</v>
      </c>
      <c r="D419" s="15" t="s">
        <v>327</v>
      </c>
      <c r="E419" s="15" t="s">
        <v>278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328</v>
      </c>
      <c r="Y419" s="15" t="s">
        <v>326</v>
      </c>
      <c r="Z419" s="15" t="s">
        <v>360</v>
      </c>
      <c r="AA419" s="15"/>
      <c r="AB419" s="15"/>
      <c r="AC419" s="15"/>
      <c r="AD419" s="15"/>
      <c r="AE419" s="18"/>
      <c r="AF419" s="18"/>
      <c r="AG419" s="19">
        <v>18.893708932999999</v>
      </c>
      <c r="AH419" s="18"/>
      <c r="AI419" s="18"/>
      <c r="AJ419" s="18"/>
      <c r="AK419" s="18"/>
      <c r="AL419" s="18"/>
      <c r="AM419" s="19">
        <v>18.893708932999999</v>
      </c>
      <c r="AN419" s="18"/>
      <c r="AO419" s="18"/>
      <c r="AP419" s="18"/>
      <c r="AR419" s="15" t="s">
        <v>249</v>
      </c>
      <c r="AS419" s="15" t="s">
        <v>567</v>
      </c>
      <c r="AT419" s="15" t="s">
        <v>784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249</v>
      </c>
      <c r="D420" s="15" t="s">
        <v>327</v>
      </c>
      <c r="E420" s="15" t="s">
        <v>279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328</v>
      </c>
      <c r="Y420" s="15" t="s">
        <v>326</v>
      </c>
      <c r="Z420" s="15" t="s">
        <v>361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249</v>
      </c>
      <c r="AS420" s="15" t="s">
        <v>567</v>
      </c>
      <c r="AT420" s="15" t="s">
        <v>785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249</v>
      </c>
      <c r="D421" s="15" t="s">
        <v>327</v>
      </c>
      <c r="E421" s="15" t="s">
        <v>280</v>
      </c>
      <c r="F421" s="15"/>
      <c r="G421" s="15"/>
      <c r="H421" s="15"/>
      <c r="I421" s="15"/>
      <c r="J421" s="18">
        <v>1</v>
      </c>
      <c r="K421" s="18"/>
      <c r="L421" s="19"/>
      <c r="M421" s="18"/>
      <c r="N421" s="18"/>
      <c r="O421" s="18"/>
      <c r="P421" s="18"/>
      <c r="Q421" s="18">
        <v>1</v>
      </c>
      <c r="R421" s="19"/>
      <c r="S421" s="18"/>
      <c r="T421" s="18"/>
      <c r="U421" s="18"/>
      <c r="V421" s="18"/>
      <c r="X421" s="15" t="s">
        <v>328</v>
      </c>
      <c r="Y421" s="15" t="s">
        <v>326</v>
      </c>
      <c r="Z421" s="15" t="s">
        <v>362</v>
      </c>
      <c r="AA421" s="15"/>
      <c r="AB421" s="15"/>
      <c r="AC421" s="15"/>
      <c r="AD421" s="15"/>
      <c r="AE421" s="18"/>
      <c r="AF421" s="18"/>
      <c r="AG421" s="19">
        <v>12.147264359999999</v>
      </c>
      <c r="AH421" s="18"/>
      <c r="AI421" s="18"/>
      <c r="AJ421" s="18"/>
      <c r="AK421" s="18"/>
      <c r="AL421" s="18"/>
      <c r="AM421" s="19">
        <v>12.147264359999999</v>
      </c>
      <c r="AN421" s="18"/>
      <c r="AO421" s="18"/>
      <c r="AP421" s="18"/>
      <c r="AR421" s="15" t="s">
        <v>249</v>
      </c>
      <c r="AS421" s="15" t="s">
        <v>567</v>
      </c>
      <c r="AT421" s="15" t="s">
        <v>786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249</v>
      </c>
      <c r="D422" s="15" t="s">
        <v>327</v>
      </c>
      <c r="E422" s="15" t="s">
        <v>281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328</v>
      </c>
      <c r="Y422" s="15" t="s">
        <v>327</v>
      </c>
      <c r="Z422" s="15" t="s">
        <v>330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249</v>
      </c>
      <c r="AS422" s="15" t="s">
        <v>567</v>
      </c>
      <c r="AT422" s="15" t="s">
        <v>787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249</v>
      </c>
      <c r="D423" s="15" t="s">
        <v>327</v>
      </c>
      <c r="E423" s="15" t="s">
        <v>282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328</v>
      </c>
      <c r="Y423" s="15" t="s">
        <v>327</v>
      </c>
      <c r="Z423" s="15" t="s">
        <v>331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249</v>
      </c>
      <c r="AS423" s="15" t="s">
        <v>567</v>
      </c>
      <c r="AT423" s="15" t="s">
        <v>788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249</v>
      </c>
      <c r="D424" s="15" t="s">
        <v>327</v>
      </c>
      <c r="E424" s="15" t="s">
        <v>283</v>
      </c>
      <c r="F424" s="15"/>
      <c r="G424" s="15"/>
      <c r="H424" s="15"/>
      <c r="I424" s="15"/>
      <c r="J424" s="19">
        <v>1</v>
      </c>
      <c r="K424" s="18"/>
      <c r="L424" s="18"/>
      <c r="M424" s="18"/>
      <c r="N424" s="18"/>
      <c r="O424" s="18"/>
      <c r="P424" s="19"/>
      <c r="Q424" s="18">
        <v>1</v>
      </c>
      <c r="R424" s="18"/>
      <c r="S424" s="18"/>
      <c r="T424" s="18"/>
      <c r="U424" s="18"/>
      <c r="V424" s="18"/>
      <c r="X424" s="15" t="s">
        <v>328</v>
      </c>
      <c r="Y424" s="15" t="s">
        <v>327</v>
      </c>
      <c r="Z424" s="15" t="s">
        <v>332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249</v>
      </c>
      <c r="AS424" s="15" t="s">
        <v>567</v>
      </c>
      <c r="AT424" s="15" t="s">
        <v>789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249</v>
      </c>
      <c r="D425" s="15" t="s">
        <v>327</v>
      </c>
      <c r="E425" s="15" t="s">
        <v>284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328</v>
      </c>
      <c r="Y425" s="15" t="s">
        <v>327</v>
      </c>
      <c r="Z425" s="15" t="s">
        <v>333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249</v>
      </c>
      <c r="AS425" s="15" t="s">
        <v>567</v>
      </c>
      <c r="AT425" s="15" t="s">
        <v>790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249</v>
      </c>
      <c r="D426" s="15" t="s">
        <v>327</v>
      </c>
      <c r="E426" s="15" t="s">
        <v>285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328</v>
      </c>
      <c r="Y426" s="15" t="s">
        <v>327</v>
      </c>
      <c r="Z426" s="15" t="s">
        <v>334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249</v>
      </c>
      <c r="AS426" s="15" t="s">
        <v>567</v>
      </c>
      <c r="AT426" s="15" t="s">
        <v>791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249</v>
      </c>
      <c r="D427" s="15" t="s">
        <v>327</v>
      </c>
      <c r="E427" s="15" t="s">
        <v>286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328</v>
      </c>
      <c r="Y427" s="15" t="s">
        <v>327</v>
      </c>
      <c r="Z427" s="15" t="s">
        <v>335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249</v>
      </c>
      <c r="AS427" s="15" t="s">
        <v>567</v>
      </c>
      <c r="AT427" s="15" t="s">
        <v>792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249</v>
      </c>
      <c r="D428" s="15" t="s">
        <v>327</v>
      </c>
      <c r="E428" s="15" t="s">
        <v>287</v>
      </c>
      <c r="F428" s="15"/>
      <c r="G428" s="15"/>
      <c r="H428" s="15"/>
      <c r="I428" s="15"/>
      <c r="J428" s="19">
        <v>31.536000000000001</v>
      </c>
      <c r="K428" s="18"/>
      <c r="L428" s="18"/>
      <c r="M428" s="18"/>
      <c r="N428" s="18"/>
      <c r="O428" s="18"/>
      <c r="P428" s="19"/>
      <c r="Q428" s="18">
        <v>31.536000000000001</v>
      </c>
      <c r="R428" s="18"/>
      <c r="S428" s="18"/>
      <c r="T428" s="18"/>
      <c r="U428" s="18"/>
      <c r="V428" s="18"/>
      <c r="X428" s="15" t="s">
        <v>328</v>
      </c>
      <c r="Y428" s="15" t="s">
        <v>327</v>
      </c>
      <c r="Z428" s="15" t="s">
        <v>336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249</v>
      </c>
      <c r="AS428" s="15" t="s">
        <v>567</v>
      </c>
      <c r="AT428" s="15" t="s">
        <v>793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249</v>
      </c>
      <c r="D429" s="15" t="s">
        <v>327</v>
      </c>
      <c r="E429" s="15" t="s">
        <v>288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328</v>
      </c>
      <c r="Y429" s="15" t="s">
        <v>327</v>
      </c>
      <c r="Z429" s="15" t="s">
        <v>339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249</v>
      </c>
      <c r="AS429" s="15" t="s">
        <v>567</v>
      </c>
      <c r="AT429" s="15" t="s">
        <v>794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249</v>
      </c>
      <c r="D430" s="15" t="s">
        <v>327</v>
      </c>
      <c r="E430" s="15" t="s">
        <v>289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328</v>
      </c>
      <c r="Y430" s="15" t="s">
        <v>327</v>
      </c>
      <c r="Z430" s="15" t="s">
        <v>341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249</v>
      </c>
      <c r="AS430" s="15" t="s">
        <v>567</v>
      </c>
      <c r="AT430" s="15" t="s">
        <v>795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249</v>
      </c>
      <c r="D431" s="15" t="s">
        <v>327</v>
      </c>
      <c r="E431" s="15" t="s">
        <v>290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328</v>
      </c>
      <c r="Y431" s="15" t="s">
        <v>327</v>
      </c>
      <c r="Z431" s="15" t="s">
        <v>342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249</v>
      </c>
      <c r="AS431" s="15" t="s">
        <v>567</v>
      </c>
      <c r="AT431" s="15" t="s">
        <v>796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249</v>
      </c>
      <c r="D432" s="15" t="s">
        <v>327</v>
      </c>
      <c r="E432" s="15" t="s">
        <v>291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328</v>
      </c>
      <c r="Y432" s="15" t="s">
        <v>327</v>
      </c>
      <c r="Z432" s="15" t="s">
        <v>343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249</v>
      </c>
      <c r="AS432" s="15" t="s">
        <v>567</v>
      </c>
      <c r="AT432" s="15" t="s">
        <v>797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249</v>
      </c>
      <c r="D433" s="15" t="s">
        <v>327</v>
      </c>
      <c r="E433" s="15" t="s">
        <v>292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328</v>
      </c>
      <c r="Y433" s="15" t="s">
        <v>327</v>
      </c>
      <c r="Z433" s="15" t="s">
        <v>344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249</v>
      </c>
      <c r="AS433" s="15" t="s">
        <v>567</v>
      </c>
      <c r="AT433" s="15" t="s">
        <v>798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249</v>
      </c>
      <c r="D434" s="15" t="s">
        <v>327</v>
      </c>
      <c r="E434" s="15" t="s">
        <v>293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328</v>
      </c>
      <c r="Y434" s="15" t="s">
        <v>327</v>
      </c>
      <c r="Z434" s="15" t="s">
        <v>345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249</v>
      </c>
      <c r="AS434" s="15" t="s">
        <v>567</v>
      </c>
      <c r="AT434" s="15" t="s">
        <v>799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249</v>
      </c>
      <c r="D435" s="15" t="s">
        <v>327</v>
      </c>
      <c r="E435" s="15" t="s">
        <v>294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328</v>
      </c>
      <c r="Y435" s="15" t="s">
        <v>327</v>
      </c>
      <c r="Z435" s="15" t="s">
        <v>346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249</v>
      </c>
      <c r="AS435" s="15" t="s">
        <v>567</v>
      </c>
      <c r="AT435" s="15" t="s">
        <v>800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249</v>
      </c>
      <c r="D436" s="15" t="s">
        <v>327</v>
      </c>
      <c r="E436" s="15" t="s">
        <v>295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328</v>
      </c>
      <c r="Y436" s="15" t="s">
        <v>327</v>
      </c>
      <c r="Z436" s="15" t="s">
        <v>347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249</v>
      </c>
      <c r="AS436" s="15" t="s">
        <v>567</v>
      </c>
      <c r="AT436" s="15" t="s">
        <v>801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249</v>
      </c>
      <c r="D437" s="15" t="s">
        <v>327</v>
      </c>
      <c r="E437" s="15" t="s">
        <v>296</v>
      </c>
      <c r="F437" s="15"/>
      <c r="G437" s="15"/>
      <c r="H437" s="15"/>
      <c r="I437" s="15"/>
      <c r="J437" s="19">
        <v>1</v>
      </c>
      <c r="K437" s="18"/>
      <c r="L437" s="18"/>
      <c r="M437" s="18"/>
      <c r="N437" s="18"/>
      <c r="O437" s="18"/>
      <c r="P437" s="19"/>
      <c r="Q437" s="18">
        <v>1</v>
      </c>
      <c r="R437" s="18"/>
      <c r="S437" s="18"/>
      <c r="T437" s="18"/>
      <c r="U437" s="18"/>
      <c r="V437" s="18"/>
      <c r="X437" s="15" t="s">
        <v>328</v>
      </c>
      <c r="Y437" s="15" t="s">
        <v>327</v>
      </c>
      <c r="Z437" s="15" t="s">
        <v>348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249</v>
      </c>
      <c r="AS437" s="15" t="s">
        <v>567</v>
      </c>
      <c r="AT437" s="15" t="s">
        <v>802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249</v>
      </c>
      <c r="D438" s="15" t="s">
        <v>327</v>
      </c>
      <c r="E438" s="15" t="s">
        <v>297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328</v>
      </c>
      <c r="Y438" s="15" t="s">
        <v>327</v>
      </c>
      <c r="Z438" s="15" t="s">
        <v>349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249</v>
      </c>
      <c r="AS438" s="15" t="s">
        <v>567</v>
      </c>
      <c r="AT438" s="15" t="s">
        <v>803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249</v>
      </c>
      <c r="D439" s="15" t="s">
        <v>327</v>
      </c>
      <c r="E439" s="15" t="s">
        <v>298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328</v>
      </c>
      <c r="Y439" s="15" t="s">
        <v>327</v>
      </c>
      <c r="Z439" s="15" t="s">
        <v>350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249</v>
      </c>
      <c r="AS439" s="15" t="s">
        <v>567</v>
      </c>
      <c r="AT439" s="15" t="s">
        <v>804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249</v>
      </c>
      <c r="D440" s="15" t="s">
        <v>327</v>
      </c>
      <c r="E440" s="15" t="s">
        <v>299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328</v>
      </c>
      <c r="Y440" s="15" t="s">
        <v>327</v>
      </c>
      <c r="Z440" s="15" t="s">
        <v>351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249</v>
      </c>
      <c r="AS440" s="15" t="s">
        <v>567</v>
      </c>
      <c r="AT440" s="15" t="s">
        <v>805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249</v>
      </c>
      <c r="D441" s="15" t="s">
        <v>327</v>
      </c>
      <c r="E441" s="15" t="s">
        <v>300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328</v>
      </c>
      <c r="Y441" s="15" t="s">
        <v>327</v>
      </c>
      <c r="Z441" s="15" t="s">
        <v>352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249</v>
      </c>
      <c r="AS441" s="15" t="s">
        <v>567</v>
      </c>
      <c r="AT441" s="15" t="s">
        <v>806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249</v>
      </c>
      <c r="D442" s="15" t="s">
        <v>327</v>
      </c>
      <c r="E442" s="15" t="s">
        <v>301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328</v>
      </c>
      <c r="Y442" s="15" t="s">
        <v>327</v>
      </c>
      <c r="Z442" s="15" t="s">
        <v>353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249</v>
      </c>
      <c r="AS442" s="15" t="s">
        <v>567</v>
      </c>
      <c r="AT442" s="15" t="s">
        <v>807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249</v>
      </c>
      <c r="D443" s="15" t="s">
        <v>327</v>
      </c>
      <c r="E443" s="15" t="s">
        <v>302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328</v>
      </c>
      <c r="Y443" s="15" t="s">
        <v>327</v>
      </c>
      <c r="Z443" s="15" t="s">
        <v>354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249</v>
      </c>
      <c r="AS443" s="15" t="s">
        <v>567</v>
      </c>
      <c r="AT443" s="15" t="s">
        <v>808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249</v>
      </c>
      <c r="D444" s="15" t="s">
        <v>327</v>
      </c>
      <c r="E444" s="15" t="s">
        <v>303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328</v>
      </c>
      <c r="Y444" s="15" t="s">
        <v>327</v>
      </c>
      <c r="Z444" s="15" t="s">
        <v>355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249</v>
      </c>
      <c r="AS444" s="15" t="s">
        <v>567</v>
      </c>
      <c r="AT444" s="15" t="s">
        <v>809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249</v>
      </c>
      <c r="D445" s="15" t="s">
        <v>327</v>
      </c>
      <c r="E445" s="15" t="s">
        <v>304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328</v>
      </c>
      <c r="Y445" s="15" t="s">
        <v>327</v>
      </c>
      <c r="Z445" s="15" t="s">
        <v>356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249</v>
      </c>
      <c r="AS445" s="15" t="s">
        <v>567</v>
      </c>
      <c r="AT445" s="15" t="s">
        <v>810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249</v>
      </c>
      <c r="D446" s="15" t="s">
        <v>327</v>
      </c>
      <c r="E446" s="15" t="s">
        <v>305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328</v>
      </c>
      <c r="Y446" s="15" t="s">
        <v>327</v>
      </c>
      <c r="Z446" s="15" t="s">
        <v>357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249</v>
      </c>
      <c r="AS446" s="15" t="s">
        <v>567</v>
      </c>
      <c r="AT446" s="15" t="s">
        <v>811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249</v>
      </c>
      <c r="D447" s="15" t="s">
        <v>327</v>
      </c>
      <c r="E447" s="15" t="s">
        <v>306</v>
      </c>
      <c r="F447" s="15"/>
      <c r="G447" s="15"/>
      <c r="H447" s="15"/>
      <c r="I447" s="15"/>
      <c r="J447" s="19">
        <v>31.536000000000001</v>
      </c>
      <c r="K447" s="18"/>
      <c r="L447" s="18"/>
      <c r="M447" s="18"/>
      <c r="N447" s="18"/>
      <c r="O447" s="18"/>
      <c r="P447" s="19"/>
      <c r="Q447" s="18">
        <v>31.536000000000001</v>
      </c>
      <c r="R447" s="18"/>
      <c r="S447" s="18"/>
      <c r="T447" s="18"/>
      <c r="U447" s="18"/>
      <c r="V447" s="18"/>
      <c r="X447" s="15" t="s">
        <v>328</v>
      </c>
      <c r="Y447" s="15" t="s">
        <v>327</v>
      </c>
      <c r="Z447" s="15" t="s">
        <v>358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249</v>
      </c>
      <c r="AS447" s="15" t="s">
        <v>567</v>
      </c>
      <c r="AT447" s="15" t="s">
        <v>812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249</v>
      </c>
      <c r="D448" s="15" t="s">
        <v>327</v>
      </c>
      <c r="E448" s="15" t="s">
        <v>307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328</v>
      </c>
      <c r="Y448" s="15" t="s">
        <v>327</v>
      </c>
      <c r="Z448" s="15" t="s">
        <v>359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249</v>
      </c>
      <c r="AS448" s="15" t="s">
        <v>567</v>
      </c>
      <c r="AT448" s="15" t="s">
        <v>813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249</v>
      </c>
      <c r="D449" s="15" t="s">
        <v>327</v>
      </c>
      <c r="E449" s="15" t="s">
        <v>308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328</v>
      </c>
      <c r="Y449" s="15" t="s">
        <v>327</v>
      </c>
      <c r="Z449" s="15" t="s">
        <v>360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249</v>
      </c>
      <c r="AS449" s="15" t="s">
        <v>567</v>
      </c>
      <c r="AT449" s="15" t="s">
        <v>814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249</v>
      </c>
      <c r="D450" s="15" t="s">
        <v>327</v>
      </c>
      <c r="E450" s="15" t="s">
        <v>309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328</v>
      </c>
      <c r="Y450" s="15" t="s">
        <v>327</v>
      </c>
      <c r="Z450" s="15" t="s">
        <v>361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249</v>
      </c>
      <c r="AS450" s="15" t="s">
        <v>567</v>
      </c>
      <c r="AT450" s="15" t="s">
        <v>815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s="15" t="s">
        <v>249</v>
      </c>
      <c r="D451" s="15" t="s">
        <v>327</v>
      </c>
      <c r="E451" s="15" t="s">
        <v>310</v>
      </c>
      <c r="F451" s="15"/>
      <c r="G451" s="15"/>
      <c r="H451" s="15"/>
      <c r="I451" s="15"/>
      <c r="J451" s="19">
        <v>1</v>
      </c>
      <c r="K451" s="18"/>
      <c r="L451" s="18"/>
      <c r="M451" s="18"/>
      <c r="N451" s="18"/>
      <c r="O451" s="18"/>
      <c r="P451" s="19"/>
      <c r="Q451" s="18">
        <v>1</v>
      </c>
      <c r="R451" s="18"/>
      <c r="S451" s="18"/>
      <c r="T451" s="18"/>
      <c r="U451" s="18"/>
      <c r="V451" s="18"/>
      <c r="X451" s="15" t="s">
        <v>328</v>
      </c>
      <c r="Y451" s="15" t="s">
        <v>327</v>
      </c>
      <c r="Z451" s="15" t="s">
        <v>362</v>
      </c>
      <c r="AA451" s="15"/>
      <c r="AB451" s="15"/>
      <c r="AC451" s="15"/>
      <c r="AD451" s="15"/>
      <c r="AE451" s="19">
        <v>0.08</v>
      </c>
      <c r="AF451" s="18"/>
      <c r="AG451" s="18"/>
      <c r="AH451" s="18"/>
      <c r="AI451" s="18"/>
      <c r="AJ451" s="18"/>
      <c r="AK451" s="19">
        <v>0.08</v>
      </c>
      <c r="AL451" s="18"/>
      <c r="AM451" s="18"/>
      <c r="AN451" s="18"/>
      <c r="AO451" s="18"/>
      <c r="AP451" s="18"/>
      <c r="AR451" s="15" t="s">
        <v>249</v>
      </c>
      <c r="AS451" s="15" t="s">
        <v>567</v>
      </c>
      <c r="AT451" s="15" t="s">
        <v>816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249</v>
      </c>
      <c r="D452" t="s">
        <v>327</v>
      </c>
      <c r="E452" t="s">
        <v>311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249</v>
      </c>
      <c r="AS452" s="15" t="s">
        <v>567</v>
      </c>
      <c r="AT452" s="15" t="s">
        <v>817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249</v>
      </c>
      <c r="D453" t="s">
        <v>327</v>
      </c>
      <c r="E453" t="s">
        <v>312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249</v>
      </c>
      <c r="AS453" s="15" t="s">
        <v>567</v>
      </c>
      <c r="AT453" s="15" t="s">
        <v>818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249</v>
      </c>
      <c r="D454" t="s">
        <v>327</v>
      </c>
      <c r="E454" t="s">
        <v>313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249</v>
      </c>
      <c r="AS454" s="15" t="s">
        <v>567</v>
      </c>
      <c r="AT454" s="15" t="s">
        <v>819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249</v>
      </c>
      <c r="D455" t="s">
        <v>327</v>
      </c>
      <c r="E455" t="s">
        <v>314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249</v>
      </c>
      <c r="AS455" s="15" t="s">
        <v>567</v>
      </c>
      <c r="AT455" s="15" t="s">
        <v>820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249</v>
      </c>
      <c r="D456" t="s">
        <v>327</v>
      </c>
      <c r="E456" t="s">
        <v>315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249</v>
      </c>
      <c r="AS456" s="15" t="s">
        <v>567</v>
      </c>
      <c r="AT456" s="15" t="s">
        <v>821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249</v>
      </c>
      <c r="D457" t="s">
        <v>327</v>
      </c>
      <c r="E457" t="s">
        <v>316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249</v>
      </c>
      <c r="AS457" s="15" t="s">
        <v>567</v>
      </c>
      <c r="AT457" s="15" t="s">
        <v>822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249</v>
      </c>
      <c r="D458" t="s">
        <v>327</v>
      </c>
      <c r="E458" t="s">
        <v>317</v>
      </c>
      <c r="J458" s="7">
        <v>1</v>
      </c>
      <c r="K458" s="7"/>
      <c r="L458" s="7"/>
      <c r="M458" s="7"/>
      <c r="N458" s="7"/>
      <c r="O458" s="7"/>
      <c r="P458" s="7"/>
      <c r="Q458" s="7">
        <v>1</v>
      </c>
      <c r="R458" s="7"/>
      <c r="S458" s="7"/>
      <c r="T458" s="7"/>
      <c r="U458" s="7"/>
      <c r="V458" s="7"/>
      <c r="AR458" s="15" t="s">
        <v>249</v>
      </c>
      <c r="AS458" s="15" t="s">
        <v>567</v>
      </c>
      <c r="AT458" s="15" t="s">
        <v>823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328</v>
      </c>
      <c r="D459" t="s">
        <v>250</v>
      </c>
      <c r="E459" t="s">
        <v>251</v>
      </c>
      <c r="F459" t="s">
        <v>252</v>
      </c>
      <c r="J459" s="7"/>
      <c r="K459" s="7"/>
      <c r="L459" s="7">
        <v>0.7</v>
      </c>
      <c r="M459" s="7"/>
      <c r="N459" s="7"/>
      <c r="O459" s="7"/>
      <c r="P459" s="7"/>
      <c r="Q459" s="7"/>
      <c r="R459" s="7">
        <v>0.7</v>
      </c>
      <c r="S459" s="7"/>
      <c r="T459" s="7"/>
      <c r="U459" s="7"/>
      <c r="V459" s="7"/>
      <c r="AR459" s="15" t="s">
        <v>249</v>
      </c>
      <c r="AS459" s="15" t="s">
        <v>567</v>
      </c>
      <c r="AT459" s="15" t="s">
        <v>824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328</v>
      </c>
      <c r="D460" t="s">
        <v>250</v>
      </c>
      <c r="E460" t="s">
        <v>253</v>
      </c>
      <c r="F460" t="s">
        <v>252</v>
      </c>
      <c r="J460" s="7"/>
      <c r="K460" s="7"/>
      <c r="L460" s="7">
        <v>0.83</v>
      </c>
      <c r="M460" s="7"/>
      <c r="N460" s="7"/>
      <c r="O460" s="7"/>
      <c r="P460" s="7"/>
      <c r="Q460" s="7"/>
      <c r="R460" s="7">
        <v>0.83</v>
      </c>
      <c r="S460" s="7"/>
      <c r="T460" s="7"/>
      <c r="U460" s="7"/>
      <c r="V460" s="7"/>
      <c r="AR460" s="15" t="s">
        <v>249</v>
      </c>
      <c r="AS460" s="15" t="s">
        <v>567</v>
      </c>
      <c r="AT460" s="15" t="s">
        <v>825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328</v>
      </c>
      <c r="D461" t="s">
        <v>250</v>
      </c>
      <c r="E461" t="s">
        <v>254</v>
      </c>
      <c r="F461" t="s">
        <v>252</v>
      </c>
      <c r="J461" s="7"/>
      <c r="K461" s="7"/>
      <c r="L461" s="7">
        <v>0.45</v>
      </c>
      <c r="M461" s="7"/>
      <c r="N461" s="7"/>
      <c r="O461" s="7"/>
      <c r="P461" s="7"/>
      <c r="Q461" s="7"/>
      <c r="R461" s="7">
        <v>0.45</v>
      </c>
      <c r="S461" s="7"/>
      <c r="T461" s="7"/>
      <c r="U461" s="7"/>
      <c r="V461" s="7"/>
      <c r="AR461" s="15" t="s">
        <v>249</v>
      </c>
      <c r="AS461" s="15" t="s">
        <v>567</v>
      </c>
      <c r="AT461" s="15" t="s">
        <v>826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328</v>
      </c>
      <c r="D462" t="s">
        <v>250</v>
      </c>
      <c r="E462" t="s">
        <v>255</v>
      </c>
      <c r="F462" t="s">
        <v>252</v>
      </c>
      <c r="J462" s="7"/>
      <c r="K462" s="7"/>
      <c r="L462" s="7">
        <v>0.35</v>
      </c>
      <c r="M462" s="7"/>
      <c r="N462" s="7"/>
      <c r="O462" s="7"/>
      <c r="P462" s="7"/>
      <c r="Q462" s="7"/>
      <c r="R462" s="7">
        <v>0.35</v>
      </c>
      <c r="S462" s="7"/>
      <c r="T462" s="7"/>
      <c r="U462" s="7"/>
      <c r="V462" s="7"/>
      <c r="AR462" s="15" t="s">
        <v>249</v>
      </c>
      <c r="AS462" s="15" t="s">
        <v>567</v>
      </c>
      <c r="AT462" s="15" t="s">
        <v>827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328</v>
      </c>
      <c r="D463" t="s">
        <v>250</v>
      </c>
      <c r="E463" t="s">
        <v>256</v>
      </c>
      <c r="F463" t="s">
        <v>252</v>
      </c>
      <c r="J463" s="7"/>
      <c r="K463" s="7"/>
      <c r="L463" s="7">
        <v>0.1</v>
      </c>
      <c r="M463" s="7"/>
      <c r="N463" s="7"/>
      <c r="O463" s="7"/>
      <c r="P463" s="7"/>
      <c r="Q463" s="7"/>
      <c r="R463" s="7">
        <v>0.1</v>
      </c>
      <c r="S463" s="7"/>
      <c r="T463" s="7"/>
      <c r="U463" s="7"/>
      <c r="V463" s="7"/>
      <c r="AR463" s="15" t="s">
        <v>249</v>
      </c>
      <c r="AS463" s="15" t="s">
        <v>567</v>
      </c>
      <c r="AT463" s="15" t="s">
        <v>828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328</v>
      </c>
      <c r="D464" t="s">
        <v>250</v>
      </c>
      <c r="E464" t="s">
        <v>257</v>
      </c>
      <c r="F464" t="s">
        <v>252</v>
      </c>
      <c r="J464" s="7"/>
      <c r="K464" s="7"/>
      <c r="L464" s="7">
        <v>0.13</v>
      </c>
      <c r="M464" s="7"/>
      <c r="N464" s="7"/>
      <c r="O464" s="7"/>
      <c r="P464" s="7"/>
      <c r="Q464" s="7"/>
      <c r="R464" s="7">
        <v>0.13</v>
      </c>
      <c r="S464" s="7"/>
      <c r="T464" s="7"/>
      <c r="U464" s="7"/>
      <c r="V464" s="7"/>
      <c r="AR464" s="15" t="s">
        <v>249</v>
      </c>
      <c r="AS464" s="15" t="s">
        <v>567</v>
      </c>
      <c r="AT464" s="15" t="s">
        <v>829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328</v>
      </c>
      <c r="D465" t="s">
        <v>250</v>
      </c>
      <c r="E465" t="s">
        <v>258</v>
      </c>
      <c r="F465" t="s">
        <v>252</v>
      </c>
      <c r="J465" s="7"/>
      <c r="K465" s="7"/>
      <c r="L465" s="7">
        <v>0.44</v>
      </c>
      <c r="M465" s="7"/>
      <c r="N465" s="7"/>
      <c r="O465" s="7"/>
      <c r="P465" s="7"/>
      <c r="Q465" s="7"/>
      <c r="R465" s="7">
        <v>0.44</v>
      </c>
      <c r="S465" s="7"/>
      <c r="T465" s="7"/>
      <c r="U465" s="7"/>
      <c r="V465" s="7"/>
      <c r="AR465" s="15" t="s">
        <v>249</v>
      </c>
      <c r="AS465" s="15" t="s">
        <v>567</v>
      </c>
      <c r="AT465" s="15" t="s">
        <v>830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328</v>
      </c>
      <c r="D466" t="s">
        <v>250</v>
      </c>
      <c r="E466" t="s">
        <v>259</v>
      </c>
      <c r="F466" t="s">
        <v>252</v>
      </c>
      <c r="J466" s="7"/>
      <c r="K466" s="7"/>
      <c r="L466" s="7">
        <v>0.27</v>
      </c>
      <c r="M466" s="7"/>
      <c r="N466" s="7"/>
      <c r="O466" s="7"/>
      <c r="P466" s="7"/>
      <c r="Q466" s="7"/>
      <c r="R466" s="7">
        <v>0.27</v>
      </c>
      <c r="S466" s="7"/>
      <c r="T466" s="7"/>
      <c r="U466" s="7"/>
      <c r="V466" s="7"/>
      <c r="AR466" s="15" t="s">
        <v>249</v>
      </c>
      <c r="AS466" s="15" t="s">
        <v>567</v>
      </c>
      <c r="AT466" s="15" t="s">
        <v>831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328</v>
      </c>
      <c r="D467" t="s">
        <v>250</v>
      </c>
      <c r="E467" t="s">
        <v>260</v>
      </c>
      <c r="F467" t="s">
        <v>252</v>
      </c>
      <c r="J467" s="7"/>
      <c r="K467" s="7"/>
      <c r="L467" s="7">
        <v>0.11</v>
      </c>
      <c r="M467" s="7"/>
      <c r="N467" s="7"/>
      <c r="O467" s="7"/>
      <c r="P467" s="7"/>
      <c r="Q467" s="7"/>
      <c r="R467" s="7">
        <v>0.11</v>
      </c>
      <c r="S467" s="7"/>
      <c r="T467" s="7"/>
      <c r="U467" s="7"/>
      <c r="V467" s="7"/>
      <c r="AR467" s="15" t="s">
        <v>249</v>
      </c>
      <c r="AS467" s="15" t="s">
        <v>567</v>
      </c>
      <c r="AT467" s="15" t="s">
        <v>832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328</v>
      </c>
      <c r="D468" t="s">
        <v>250</v>
      </c>
      <c r="E468" t="s">
        <v>261</v>
      </c>
      <c r="F468" t="s">
        <v>252</v>
      </c>
      <c r="J468" s="7"/>
      <c r="K468" s="7"/>
      <c r="L468" s="7">
        <v>0.39</v>
      </c>
      <c r="M468" s="7"/>
      <c r="N468" s="7"/>
      <c r="O468" s="7"/>
      <c r="P468" s="7"/>
      <c r="Q468" s="7"/>
      <c r="R468" s="7">
        <v>0.39</v>
      </c>
      <c r="S468" s="7"/>
      <c r="T468" s="7"/>
      <c r="U468" s="7"/>
      <c r="V468" s="7"/>
      <c r="AR468" s="15" t="s">
        <v>249</v>
      </c>
      <c r="AS468" s="15" t="s">
        <v>567</v>
      </c>
      <c r="AT468" s="15" t="s">
        <v>833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328</v>
      </c>
      <c r="D469" t="s">
        <v>250</v>
      </c>
      <c r="E469" t="s">
        <v>262</v>
      </c>
      <c r="F469" t="s">
        <v>252</v>
      </c>
      <c r="J469" s="7"/>
      <c r="K469" s="7"/>
      <c r="L469" s="7">
        <v>0.24</v>
      </c>
      <c r="M469" s="7"/>
      <c r="N469" s="7"/>
      <c r="O469" s="7"/>
      <c r="P469" s="7"/>
      <c r="Q469" s="7"/>
      <c r="R469" s="7">
        <v>0.24</v>
      </c>
      <c r="S469" s="7"/>
      <c r="T469" s="7"/>
      <c r="U469" s="7"/>
      <c r="V469" s="7"/>
      <c r="AR469" s="15" t="s">
        <v>249</v>
      </c>
      <c r="AS469" s="15" t="s">
        <v>567</v>
      </c>
      <c r="AT469" s="15" t="s">
        <v>834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328</v>
      </c>
      <c r="D470" t="s">
        <v>250</v>
      </c>
      <c r="E470" t="s">
        <v>263</v>
      </c>
      <c r="F470" t="s">
        <v>252</v>
      </c>
      <c r="J470" s="7"/>
      <c r="K470" s="7"/>
      <c r="L470" s="7">
        <v>0.23</v>
      </c>
      <c r="M470" s="7"/>
      <c r="N470" s="7"/>
      <c r="O470" s="7"/>
      <c r="P470" s="7"/>
      <c r="Q470" s="7"/>
      <c r="R470" s="7">
        <v>0.23</v>
      </c>
      <c r="S470" s="7"/>
      <c r="T470" s="7"/>
      <c r="U470" s="7"/>
      <c r="V470" s="7"/>
      <c r="AR470" s="15" t="s">
        <v>249</v>
      </c>
      <c r="AS470" s="15" t="s">
        <v>567</v>
      </c>
      <c r="AT470" s="15" t="s">
        <v>835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328</v>
      </c>
      <c r="D471" t="s">
        <v>250</v>
      </c>
      <c r="E471" t="s">
        <v>264</v>
      </c>
      <c r="F471" t="s">
        <v>252</v>
      </c>
      <c r="J471" s="7"/>
      <c r="K471" s="7"/>
      <c r="L471" s="7">
        <v>0.8</v>
      </c>
      <c r="M471" s="7"/>
      <c r="N471" s="7"/>
      <c r="O471" s="7"/>
      <c r="P471" s="7"/>
      <c r="Q471" s="7"/>
      <c r="R471" s="7">
        <v>0.8</v>
      </c>
      <c r="S471" s="7"/>
      <c r="T471" s="7"/>
      <c r="U471" s="7"/>
      <c r="V471" s="7"/>
      <c r="AR471" s="15" t="s">
        <v>249</v>
      </c>
      <c r="AS471" s="15" t="s">
        <v>567</v>
      </c>
      <c r="AT471" s="15" t="s">
        <v>836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328</v>
      </c>
      <c r="D472" t="s">
        <v>250</v>
      </c>
      <c r="E472" t="s">
        <v>265</v>
      </c>
      <c r="F472" t="s">
        <v>252</v>
      </c>
      <c r="J472" s="7"/>
      <c r="K472" s="7"/>
      <c r="L472" s="7">
        <v>0.5</v>
      </c>
      <c r="M472" s="7"/>
      <c r="N472" s="7"/>
      <c r="O472" s="7"/>
      <c r="P472" s="7"/>
      <c r="Q472" s="7"/>
      <c r="R472" s="7">
        <v>0.5</v>
      </c>
      <c r="S472" s="7"/>
      <c r="T472" s="7"/>
      <c r="U472" s="7"/>
      <c r="V472" s="7"/>
      <c r="AR472" s="15" t="s">
        <v>249</v>
      </c>
      <c r="AS472" s="15" t="s">
        <v>567</v>
      </c>
      <c r="AT472" s="15" t="s">
        <v>837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328</v>
      </c>
      <c r="D473" t="s">
        <v>250</v>
      </c>
      <c r="E473" t="s">
        <v>266</v>
      </c>
      <c r="F473" t="s">
        <v>252</v>
      </c>
      <c r="J473" s="7"/>
      <c r="K473" s="7"/>
      <c r="L473" s="7">
        <v>0.84</v>
      </c>
      <c r="M473" s="7"/>
      <c r="N473" s="7"/>
      <c r="O473" s="7"/>
      <c r="P473" s="7"/>
      <c r="Q473" s="7"/>
      <c r="R473" s="7">
        <v>0.84</v>
      </c>
      <c r="S473" s="7"/>
      <c r="T473" s="7"/>
      <c r="U473" s="7"/>
      <c r="V473" s="7"/>
      <c r="AR473" s="15" t="s">
        <v>249</v>
      </c>
      <c r="AS473" s="15" t="s">
        <v>567</v>
      </c>
      <c r="AT473" s="15" t="s">
        <v>838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328</v>
      </c>
      <c r="D474" t="s">
        <v>250</v>
      </c>
      <c r="E474" t="s">
        <v>267</v>
      </c>
      <c r="F474" t="s">
        <v>252</v>
      </c>
      <c r="J474" s="7"/>
      <c r="K474" s="7"/>
      <c r="L474" s="7">
        <v>0.95</v>
      </c>
      <c r="M474" s="7"/>
      <c r="N474" s="7"/>
      <c r="O474" s="7"/>
      <c r="P474" s="7"/>
      <c r="Q474" s="7"/>
      <c r="R474" s="7">
        <v>0.95</v>
      </c>
      <c r="S474" s="7"/>
      <c r="T474" s="7"/>
      <c r="U474" s="7"/>
      <c r="V474" s="7"/>
      <c r="AR474" s="15" t="s">
        <v>249</v>
      </c>
      <c r="AS474" s="15" t="s">
        <v>567</v>
      </c>
      <c r="AT474" s="15" t="s">
        <v>839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328</v>
      </c>
      <c r="D475" t="s">
        <v>250</v>
      </c>
      <c r="E475" t="s">
        <v>268</v>
      </c>
      <c r="F475" t="s">
        <v>252</v>
      </c>
      <c r="J475" s="7"/>
      <c r="K475" s="7"/>
      <c r="L475" s="7">
        <v>0.7</v>
      </c>
      <c r="M475" s="7"/>
      <c r="N475" s="7"/>
      <c r="O475" s="7"/>
      <c r="P475" s="7"/>
      <c r="Q475" s="7"/>
      <c r="R475" s="7">
        <v>0.7</v>
      </c>
      <c r="S475" s="7"/>
      <c r="T475" s="7"/>
      <c r="U475" s="7"/>
      <c r="V475" s="7"/>
      <c r="AR475" s="15" t="s">
        <v>249</v>
      </c>
      <c r="AS475" s="15" t="s">
        <v>567</v>
      </c>
      <c r="AT475" s="15" t="s">
        <v>840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328</v>
      </c>
      <c r="D476" t="s">
        <v>250</v>
      </c>
      <c r="E476" t="s">
        <v>269</v>
      </c>
      <c r="F476" t="s">
        <v>252</v>
      </c>
      <c r="J476" s="7"/>
      <c r="K476" s="7"/>
      <c r="L476" s="7">
        <v>2.95</v>
      </c>
      <c r="M476" s="7"/>
      <c r="N476" s="7"/>
      <c r="O476" s="7"/>
      <c r="P476" s="7"/>
      <c r="Q476" s="7"/>
      <c r="R476" s="7">
        <v>2.9515940000000001</v>
      </c>
      <c r="S476" s="7"/>
      <c r="T476" s="7"/>
      <c r="U476" s="7"/>
      <c r="V476" s="7"/>
      <c r="AR476" s="15" t="s">
        <v>249</v>
      </c>
      <c r="AS476" s="15" t="s">
        <v>567</v>
      </c>
      <c r="AT476" s="15" t="s">
        <v>841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328</v>
      </c>
      <c r="D477" t="s">
        <v>250</v>
      </c>
      <c r="E477" t="s">
        <v>270</v>
      </c>
      <c r="F477" t="s">
        <v>252</v>
      </c>
      <c r="J477" s="7"/>
      <c r="K477" s="7"/>
      <c r="L477" s="7">
        <v>3.5</v>
      </c>
      <c r="M477" s="7"/>
      <c r="N477" s="7"/>
      <c r="O477" s="7"/>
      <c r="P477" s="7"/>
      <c r="Q477" s="7"/>
      <c r="R477" s="7">
        <v>3.5</v>
      </c>
      <c r="S477" s="7"/>
      <c r="T477" s="7"/>
      <c r="U477" s="7"/>
      <c r="V477" s="7"/>
      <c r="AR477" s="15" t="s">
        <v>249</v>
      </c>
      <c r="AS477" s="15" t="s">
        <v>567</v>
      </c>
      <c r="AT477" s="15" t="s">
        <v>842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328</v>
      </c>
      <c r="D478" t="s">
        <v>250</v>
      </c>
      <c r="E478" t="s">
        <v>271</v>
      </c>
      <c r="F478" t="s">
        <v>252</v>
      </c>
      <c r="J478" s="7"/>
      <c r="K478" s="7"/>
      <c r="L478" s="7">
        <v>0.9</v>
      </c>
      <c r="M478" s="7"/>
      <c r="N478" s="7"/>
      <c r="O478" s="7"/>
      <c r="P478" s="7"/>
      <c r="Q478" s="7"/>
      <c r="R478" s="7">
        <v>0.9</v>
      </c>
      <c r="S478" s="7"/>
      <c r="T478" s="7"/>
      <c r="U478" s="7"/>
      <c r="V478" s="7"/>
      <c r="AR478" s="15" t="s">
        <v>249</v>
      </c>
      <c r="AS478" s="15" t="s">
        <v>567</v>
      </c>
      <c r="AT478" s="15" t="s">
        <v>843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328</v>
      </c>
      <c r="D479" t="s">
        <v>250</v>
      </c>
      <c r="E479" t="s">
        <v>272</v>
      </c>
      <c r="F479" t="s">
        <v>252</v>
      </c>
      <c r="J479" s="7"/>
      <c r="K479" s="7"/>
      <c r="L479" s="7">
        <v>3.5</v>
      </c>
      <c r="M479" s="7"/>
      <c r="N479" s="7"/>
      <c r="O479" s="7"/>
      <c r="P479" s="7"/>
      <c r="Q479" s="7"/>
      <c r="R479" s="7">
        <v>3.5</v>
      </c>
      <c r="S479" s="7"/>
      <c r="T479" s="7"/>
      <c r="U479" s="7"/>
      <c r="V479" s="7"/>
      <c r="AR479" s="15" t="s">
        <v>249</v>
      </c>
      <c r="AS479" s="15" t="s">
        <v>567</v>
      </c>
      <c r="AT479" s="15" t="s">
        <v>844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328</v>
      </c>
      <c r="D480" t="s">
        <v>250</v>
      </c>
      <c r="E480" t="s">
        <v>273</v>
      </c>
      <c r="F480" t="s">
        <v>252</v>
      </c>
      <c r="J480" s="7"/>
      <c r="K480" s="7"/>
      <c r="L480" s="7">
        <v>0.18</v>
      </c>
      <c r="M480" s="7"/>
      <c r="N480" s="7"/>
      <c r="O480" s="7"/>
      <c r="P480" s="7"/>
      <c r="Q480" s="7"/>
      <c r="R480" s="7">
        <v>0.18</v>
      </c>
      <c r="S480" s="7"/>
      <c r="T480" s="7"/>
      <c r="U480" s="7"/>
      <c r="V480" s="7"/>
      <c r="AR480" s="15" t="s">
        <v>249</v>
      </c>
      <c r="AS480" s="15" t="s">
        <v>567</v>
      </c>
      <c r="AT480" s="15" t="s">
        <v>845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328</v>
      </c>
      <c r="D481" t="s">
        <v>250</v>
      </c>
      <c r="E481" t="s">
        <v>274</v>
      </c>
      <c r="F481" t="s">
        <v>252</v>
      </c>
      <c r="J481" s="7"/>
      <c r="K481" s="7"/>
      <c r="L481" s="7">
        <v>0.19</v>
      </c>
      <c r="M481" s="7"/>
      <c r="N481" s="7"/>
      <c r="O481" s="7"/>
      <c r="P481" s="7"/>
      <c r="Q481" s="7"/>
      <c r="R481" s="7">
        <v>0.193823</v>
      </c>
      <c r="S481" s="7"/>
      <c r="T481" s="7"/>
      <c r="U481" s="7"/>
      <c r="V481" s="7"/>
      <c r="AR481" s="15" t="s">
        <v>249</v>
      </c>
      <c r="AS481" s="15" t="s">
        <v>567</v>
      </c>
      <c r="AT481" s="15" t="s">
        <v>846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328</v>
      </c>
      <c r="D482" t="s">
        <v>250</v>
      </c>
      <c r="E482" t="s">
        <v>275</v>
      </c>
      <c r="F482" t="s">
        <v>252</v>
      </c>
      <c r="J482" s="7"/>
      <c r="K482" s="7"/>
      <c r="L482" s="7">
        <v>0.45</v>
      </c>
      <c r="M482" s="7"/>
      <c r="N482" s="7"/>
      <c r="O482" s="7"/>
      <c r="P482" s="7"/>
      <c r="Q482" s="7"/>
      <c r="R482" s="7">
        <v>0.45</v>
      </c>
      <c r="S482" s="7"/>
      <c r="T482" s="7"/>
      <c r="U482" s="7"/>
      <c r="V482" s="7"/>
      <c r="AR482" s="15" t="s">
        <v>249</v>
      </c>
      <c r="AS482" s="15" t="s">
        <v>567</v>
      </c>
      <c r="AT482" s="15" t="s">
        <v>847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328</v>
      </c>
      <c r="D483" t="s">
        <v>250</v>
      </c>
      <c r="E483" t="s">
        <v>276</v>
      </c>
      <c r="F483" t="s">
        <v>252</v>
      </c>
      <c r="J483" s="7"/>
      <c r="K483" s="7"/>
      <c r="L483" s="7">
        <v>2.95</v>
      </c>
      <c r="M483" s="7"/>
      <c r="N483" s="7"/>
      <c r="O483" s="7"/>
      <c r="P483" s="7"/>
      <c r="Q483" s="7"/>
      <c r="R483" s="7">
        <v>2.9515940000000001</v>
      </c>
      <c r="S483" s="7"/>
      <c r="T483" s="7"/>
      <c r="U483" s="7"/>
      <c r="V483" s="7"/>
      <c r="AR483" s="15" t="s">
        <v>249</v>
      </c>
      <c r="AS483" s="15" t="s">
        <v>567</v>
      </c>
      <c r="AT483" s="15" t="s">
        <v>848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328</v>
      </c>
      <c r="D484" t="s">
        <v>250</v>
      </c>
      <c r="E484" t="s">
        <v>277</v>
      </c>
      <c r="F484" t="s">
        <v>252</v>
      </c>
      <c r="J484" s="7"/>
      <c r="K484" s="7"/>
      <c r="L484" s="7">
        <v>0.45</v>
      </c>
      <c r="M484" s="7"/>
      <c r="N484" s="7"/>
      <c r="O484" s="7"/>
      <c r="P484" s="7"/>
      <c r="Q484" s="7"/>
      <c r="R484" s="7">
        <v>0.45</v>
      </c>
      <c r="S484" s="7"/>
      <c r="T484" s="7"/>
      <c r="U484" s="7"/>
      <c r="V484" s="7"/>
      <c r="AR484" s="15" t="s">
        <v>249</v>
      </c>
      <c r="AS484" s="15" t="s">
        <v>567</v>
      </c>
      <c r="AT484" s="15" t="s">
        <v>849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328</v>
      </c>
      <c r="D485" t="s">
        <v>250</v>
      </c>
      <c r="E485" t="s">
        <v>278</v>
      </c>
      <c r="F485" t="s">
        <v>252</v>
      </c>
      <c r="J485" s="7"/>
      <c r="K485" s="7"/>
      <c r="L485" s="7">
        <v>0.11</v>
      </c>
      <c r="M485" s="7"/>
      <c r="N485" s="7"/>
      <c r="O485" s="7"/>
      <c r="P485" s="7"/>
      <c r="Q485" s="7"/>
      <c r="R485" s="7">
        <v>0.111111</v>
      </c>
      <c r="S485" s="7"/>
      <c r="T485" s="7"/>
      <c r="U485" s="7"/>
      <c r="V485" s="7"/>
      <c r="AR485" s="15" t="s">
        <v>249</v>
      </c>
      <c r="AS485" s="15" t="s">
        <v>567</v>
      </c>
      <c r="AT485" s="15" t="s">
        <v>850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328</v>
      </c>
      <c r="D486" t="s">
        <v>250</v>
      </c>
      <c r="E486" t="s">
        <v>279</v>
      </c>
      <c r="F486" t="s">
        <v>252</v>
      </c>
      <c r="J486" s="7"/>
      <c r="K486" s="7"/>
      <c r="L486" s="7">
        <v>0.39</v>
      </c>
      <c r="M486" s="7"/>
      <c r="N486" s="7"/>
      <c r="O486" s="7"/>
      <c r="P486" s="7"/>
      <c r="Q486" s="7"/>
      <c r="R486" s="7">
        <v>0.38647300000000001</v>
      </c>
      <c r="S486" s="7"/>
      <c r="T486" s="7"/>
      <c r="U486" s="7"/>
      <c r="V486" s="7"/>
      <c r="AR486" s="15" t="s">
        <v>249</v>
      </c>
      <c r="AS486" s="15" t="s">
        <v>567</v>
      </c>
      <c r="AT486" s="15" t="s">
        <v>851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328</v>
      </c>
      <c r="D487" t="s">
        <v>250</v>
      </c>
      <c r="E487" t="s">
        <v>280</v>
      </c>
      <c r="F487" t="s">
        <v>252</v>
      </c>
      <c r="J487" s="7"/>
      <c r="K487" s="7"/>
      <c r="L487" s="7">
        <v>0.24</v>
      </c>
      <c r="M487" s="7"/>
      <c r="N487" s="7"/>
      <c r="O487" s="7"/>
      <c r="P487" s="7"/>
      <c r="Q487" s="7"/>
      <c r="R487" s="7">
        <v>0.24154600000000001</v>
      </c>
      <c r="S487" s="7"/>
      <c r="T487" s="7"/>
      <c r="U487" s="7"/>
      <c r="V487" s="7"/>
      <c r="AR487" s="15" t="s">
        <v>249</v>
      </c>
      <c r="AS487" s="15" t="s">
        <v>567</v>
      </c>
      <c r="AT487" s="15" t="s">
        <v>852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328</v>
      </c>
      <c r="D488" t="s">
        <v>250</v>
      </c>
      <c r="E488" t="s">
        <v>281</v>
      </c>
      <c r="F488" t="s">
        <v>252</v>
      </c>
      <c r="J488" s="7"/>
      <c r="K488" s="7"/>
      <c r="L488" s="7">
        <v>0.11</v>
      </c>
      <c r="M488" s="7"/>
      <c r="N488" s="7"/>
      <c r="O488" s="7"/>
      <c r="P488" s="7"/>
      <c r="Q488" s="7"/>
      <c r="R488" s="7">
        <v>0.111111</v>
      </c>
      <c r="S488" s="7"/>
      <c r="T488" s="7"/>
      <c r="U488" s="7"/>
      <c r="V488" s="7"/>
      <c r="AR488" s="15" t="s">
        <v>249</v>
      </c>
      <c r="AS488" s="15" t="s">
        <v>567</v>
      </c>
      <c r="AT488" s="15" t="s">
        <v>853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328</v>
      </c>
      <c r="D489" t="s">
        <v>250</v>
      </c>
      <c r="E489" t="s">
        <v>282</v>
      </c>
      <c r="F489" t="s">
        <v>252</v>
      </c>
      <c r="J489" s="7"/>
      <c r="K489" s="7"/>
      <c r="L489" s="7">
        <v>0.39</v>
      </c>
      <c r="M489" s="7"/>
      <c r="N489" s="7"/>
      <c r="O489" s="7"/>
      <c r="P489" s="7"/>
      <c r="Q489" s="7"/>
      <c r="R489" s="7">
        <v>0.38647300000000001</v>
      </c>
      <c r="S489" s="7"/>
      <c r="T489" s="7"/>
      <c r="U489" s="7"/>
      <c r="V489" s="7"/>
      <c r="AR489" s="15" t="s">
        <v>249</v>
      </c>
      <c r="AS489" s="15" t="s">
        <v>567</v>
      </c>
      <c r="AT489" s="15" t="s">
        <v>854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328</v>
      </c>
      <c r="D490" t="s">
        <v>250</v>
      </c>
      <c r="E490" t="s">
        <v>283</v>
      </c>
      <c r="F490" t="s">
        <v>252</v>
      </c>
      <c r="J490" s="7"/>
      <c r="K490" s="7"/>
      <c r="L490" s="7">
        <v>0.24</v>
      </c>
      <c r="M490" s="7"/>
      <c r="N490" s="7"/>
      <c r="O490" s="7"/>
      <c r="P490" s="7"/>
      <c r="Q490" s="7"/>
      <c r="R490" s="7">
        <v>0.24154600000000001</v>
      </c>
      <c r="S490" s="7"/>
      <c r="T490" s="7"/>
      <c r="U490" s="7"/>
      <c r="V490" s="7"/>
      <c r="AR490" s="15" t="s">
        <v>249</v>
      </c>
      <c r="AS490" s="15" t="s">
        <v>567</v>
      </c>
      <c r="AT490" s="15" t="s">
        <v>855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328</v>
      </c>
      <c r="D491" t="s">
        <v>250</v>
      </c>
      <c r="E491" t="s">
        <v>284</v>
      </c>
      <c r="F491" t="s">
        <v>252</v>
      </c>
      <c r="J491" s="7"/>
      <c r="K491" s="7"/>
      <c r="L491" s="7">
        <v>0.9</v>
      </c>
      <c r="M491" s="7"/>
      <c r="N491" s="7"/>
      <c r="O491" s="7"/>
      <c r="P491" s="7"/>
      <c r="Q491" s="7"/>
      <c r="R491" s="7">
        <v>0.9</v>
      </c>
      <c r="S491" s="7"/>
      <c r="T491" s="7"/>
      <c r="U491" s="7"/>
      <c r="V491" s="7"/>
      <c r="AR491" s="15" t="s">
        <v>249</v>
      </c>
      <c r="AS491" s="15" t="s">
        <v>567</v>
      </c>
      <c r="AT491" s="15" t="s">
        <v>856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328</v>
      </c>
      <c r="D492" t="s">
        <v>250</v>
      </c>
      <c r="E492" t="s">
        <v>285</v>
      </c>
      <c r="F492" t="s">
        <v>252</v>
      </c>
      <c r="J492" s="7"/>
      <c r="K492" s="7"/>
      <c r="L492" s="7">
        <v>0.7</v>
      </c>
      <c r="M492" s="7"/>
      <c r="N492" s="7"/>
      <c r="O492" s="7"/>
      <c r="P492" s="7"/>
      <c r="Q492" s="7"/>
      <c r="R492" s="7">
        <v>0.7</v>
      </c>
      <c r="S492" s="7"/>
      <c r="T492" s="7"/>
      <c r="U492" s="7"/>
      <c r="V492" s="7"/>
      <c r="AR492" s="15" t="s">
        <v>249</v>
      </c>
      <c r="AS492" s="15" t="s">
        <v>567</v>
      </c>
      <c r="AT492" s="15" t="s">
        <v>857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328</v>
      </c>
      <c r="D493" t="s">
        <v>250</v>
      </c>
      <c r="E493" t="s">
        <v>286</v>
      </c>
      <c r="F493" t="s">
        <v>252</v>
      </c>
      <c r="J493" s="7"/>
      <c r="K493" s="7"/>
      <c r="L493" s="7">
        <v>0.83</v>
      </c>
      <c r="M493" s="7"/>
      <c r="N493" s="7"/>
      <c r="O493" s="7"/>
      <c r="P493" s="7"/>
      <c r="Q493" s="7"/>
      <c r="R493" s="7">
        <v>0.83125000000000004</v>
      </c>
      <c r="S493" s="7"/>
      <c r="T493" s="7"/>
      <c r="U493" s="7"/>
      <c r="V493" s="7"/>
      <c r="AR493" s="15" t="s">
        <v>249</v>
      </c>
      <c r="AS493" s="15" t="s">
        <v>567</v>
      </c>
      <c r="AT493" s="15" t="s">
        <v>858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328</v>
      </c>
      <c r="D494" t="s">
        <v>250</v>
      </c>
      <c r="E494" t="s">
        <v>287</v>
      </c>
      <c r="F494" t="s">
        <v>252</v>
      </c>
      <c r="J494" s="7"/>
      <c r="K494" s="7"/>
      <c r="L494" s="7">
        <v>0.45</v>
      </c>
      <c r="M494" s="7"/>
      <c r="N494" s="7"/>
      <c r="O494" s="7"/>
      <c r="P494" s="7"/>
      <c r="Q494" s="7"/>
      <c r="R494" s="7">
        <v>0.45</v>
      </c>
      <c r="S494" s="7"/>
      <c r="T494" s="7"/>
      <c r="U494" s="7"/>
      <c r="V494" s="7"/>
      <c r="AR494" s="15" t="s">
        <v>249</v>
      </c>
      <c r="AS494" s="15" t="s">
        <v>567</v>
      </c>
      <c r="AT494" s="15" t="s">
        <v>859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328</v>
      </c>
      <c r="D495" t="s">
        <v>250</v>
      </c>
      <c r="E495" t="s">
        <v>288</v>
      </c>
      <c r="F495" t="s">
        <v>252</v>
      </c>
      <c r="J495" s="7"/>
      <c r="K495" s="7"/>
      <c r="L495" s="7">
        <v>0.13</v>
      </c>
      <c r="M495" s="7"/>
      <c r="N495" s="7"/>
      <c r="O495" s="7"/>
      <c r="P495" s="7"/>
      <c r="Q495" s="7"/>
      <c r="R495" s="7">
        <v>0.125163</v>
      </c>
      <c r="S495" s="7"/>
      <c r="T495" s="7"/>
      <c r="U495" s="7"/>
      <c r="V495" s="7"/>
      <c r="AR495" s="15" t="s">
        <v>249</v>
      </c>
      <c r="AS495" s="15" t="s">
        <v>567</v>
      </c>
      <c r="AT495" s="15" t="s">
        <v>860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328</v>
      </c>
      <c r="D496" t="s">
        <v>250</v>
      </c>
      <c r="E496" t="s">
        <v>289</v>
      </c>
      <c r="F496" t="s">
        <v>252</v>
      </c>
      <c r="J496" s="7"/>
      <c r="K496" s="7"/>
      <c r="L496" s="7">
        <v>0.44</v>
      </c>
      <c r="M496" s="7"/>
      <c r="N496" s="7"/>
      <c r="O496" s="7"/>
      <c r="P496" s="7"/>
      <c r="Q496" s="7"/>
      <c r="R496" s="7">
        <v>0.43535000000000001</v>
      </c>
      <c r="S496" s="7"/>
      <c r="T496" s="7"/>
      <c r="U496" s="7"/>
      <c r="V496" s="7"/>
      <c r="AR496" s="15" t="s">
        <v>249</v>
      </c>
      <c r="AS496" s="15" t="s">
        <v>567</v>
      </c>
      <c r="AT496" s="15" t="s">
        <v>861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328</v>
      </c>
      <c r="D497" t="s">
        <v>250</v>
      </c>
      <c r="E497" t="s">
        <v>290</v>
      </c>
      <c r="F497" t="s">
        <v>252</v>
      </c>
      <c r="J497" s="7"/>
      <c r="K497" s="7"/>
      <c r="L497" s="7">
        <v>0.27</v>
      </c>
      <c r="M497" s="7"/>
      <c r="N497" s="7"/>
      <c r="O497" s="7"/>
      <c r="P497" s="7"/>
      <c r="Q497" s="7"/>
      <c r="R497" s="7">
        <v>0.27209299999999997</v>
      </c>
      <c r="S497" s="7"/>
      <c r="T497" s="7"/>
      <c r="U497" s="7"/>
      <c r="V497" s="7"/>
      <c r="AR497" s="15" t="s">
        <v>249</v>
      </c>
      <c r="AS497" s="15" t="s">
        <v>567</v>
      </c>
      <c r="AT497" s="15" t="s">
        <v>862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328</v>
      </c>
      <c r="D498" t="s">
        <v>250</v>
      </c>
      <c r="E498" t="s">
        <v>291</v>
      </c>
      <c r="F498" t="s">
        <v>252</v>
      </c>
      <c r="J498" s="7"/>
      <c r="K498" s="7"/>
      <c r="L498" s="7">
        <v>0.11</v>
      </c>
      <c r="M498" s="7"/>
      <c r="N498" s="7"/>
      <c r="O498" s="7"/>
      <c r="P498" s="7"/>
      <c r="Q498" s="7"/>
      <c r="R498" s="7">
        <v>0.111111</v>
      </c>
      <c r="S498" s="7"/>
      <c r="T498" s="7"/>
      <c r="U498" s="7"/>
      <c r="V498" s="7"/>
      <c r="AR498" s="15" t="s">
        <v>249</v>
      </c>
      <c r="AS498" s="15" t="s">
        <v>567</v>
      </c>
      <c r="AT498" s="15" t="s">
        <v>863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328</v>
      </c>
      <c r="D499" t="s">
        <v>250</v>
      </c>
      <c r="E499" t="s">
        <v>292</v>
      </c>
      <c r="F499" t="s">
        <v>252</v>
      </c>
      <c r="J499" s="7"/>
      <c r="K499" s="7"/>
      <c r="L499" s="7">
        <v>0.39</v>
      </c>
      <c r="M499" s="7"/>
      <c r="N499" s="7"/>
      <c r="O499" s="7"/>
      <c r="P499" s="7"/>
      <c r="Q499" s="7"/>
      <c r="R499" s="7">
        <v>0.38647300000000001</v>
      </c>
      <c r="S499" s="7"/>
      <c r="T499" s="7"/>
      <c r="U499" s="7"/>
      <c r="V499" s="7"/>
      <c r="AR499" s="15" t="s">
        <v>249</v>
      </c>
      <c r="AS499" s="15" t="s">
        <v>567</v>
      </c>
      <c r="AT499" s="15" t="s">
        <v>864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328</v>
      </c>
      <c r="D500" t="s">
        <v>250</v>
      </c>
      <c r="E500" t="s">
        <v>293</v>
      </c>
      <c r="F500" t="s">
        <v>252</v>
      </c>
      <c r="J500" s="7"/>
      <c r="K500" s="7"/>
      <c r="L500" s="7">
        <v>0.24</v>
      </c>
      <c r="M500" s="7"/>
      <c r="N500" s="7"/>
      <c r="O500" s="7"/>
      <c r="P500" s="7"/>
      <c r="Q500" s="7"/>
      <c r="R500" s="7">
        <v>0.24154600000000001</v>
      </c>
      <c r="S500" s="7"/>
      <c r="T500" s="7"/>
      <c r="U500" s="7"/>
      <c r="V500" s="7"/>
      <c r="AR500" s="15" t="s">
        <v>249</v>
      </c>
      <c r="AS500" s="15" t="s">
        <v>567</v>
      </c>
      <c r="AT500" s="15" t="s">
        <v>865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328</v>
      </c>
      <c r="D501" t="s">
        <v>250</v>
      </c>
      <c r="E501" t="s">
        <v>294</v>
      </c>
      <c r="F501" t="s">
        <v>252</v>
      </c>
      <c r="J501" s="7"/>
      <c r="K501" s="7"/>
      <c r="L501" s="7">
        <v>0.23</v>
      </c>
      <c r="M501" s="7"/>
      <c r="N501" s="7"/>
      <c r="O501" s="7"/>
      <c r="P501" s="7"/>
      <c r="Q501" s="7"/>
      <c r="R501" s="7">
        <v>0.23</v>
      </c>
      <c r="S501" s="7"/>
      <c r="T501" s="7"/>
      <c r="U501" s="7"/>
      <c r="V501" s="7"/>
      <c r="AR501" s="15" t="s">
        <v>249</v>
      </c>
      <c r="AS501" s="15" t="s">
        <v>567</v>
      </c>
      <c r="AT501" s="15" t="s">
        <v>866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328</v>
      </c>
      <c r="D502" t="s">
        <v>250</v>
      </c>
      <c r="E502" t="s">
        <v>295</v>
      </c>
      <c r="F502" t="s">
        <v>252</v>
      </c>
      <c r="J502" s="7"/>
      <c r="K502" s="7"/>
      <c r="L502" s="7">
        <v>0.8</v>
      </c>
      <c r="M502" s="7"/>
      <c r="N502" s="7"/>
      <c r="O502" s="7"/>
      <c r="P502" s="7"/>
      <c r="Q502" s="7"/>
      <c r="R502" s="7">
        <v>0.8</v>
      </c>
      <c r="S502" s="7"/>
      <c r="T502" s="7"/>
      <c r="U502" s="7"/>
      <c r="V502" s="7"/>
      <c r="AR502" s="15" t="s">
        <v>249</v>
      </c>
      <c r="AS502" s="15" t="s">
        <v>567</v>
      </c>
      <c r="AT502" s="15" t="s">
        <v>867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328</v>
      </c>
      <c r="D503" t="s">
        <v>250</v>
      </c>
      <c r="E503" t="s">
        <v>296</v>
      </c>
      <c r="F503" t="s">
        <v>252</v>
      </c>
      <c r="J503" s="7"/>
      <c r="K503" s="7"/>
      <c r="L503" s="7">
        <v>0.5</v>
      </c>
      <c r="M503" s="7"/>
      <c r="N503" s="7"/>
      <c r="O503" s="7"/>
      <c r="P503" s="7"/>
      <c r="Q503" s="7"/>
      <c r="R503" s="7">
        <v>0.5</v>
      </c>
      <c r="S503" s="7"/>
      <c r="T503" s="7"/>
      <c r="U503" s="7"/>
      <c r="V503" s="7"/>
      <c r="AR503" s="15" t="s">
        <v>249</v>
      </c>
      <c r="AS503" s="15" t="s">
        <v>567</v>
      </c>
      <c r="AT503" s="15" t="s">
        <v>868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328</v>
      </c>
      <c r="D504" t="s">
        <v>250</v>
      </c>
      <c r="E504" t="s">
        <v>297</v>
      </c>
      <c r="F504" t="s">
        <v>252</v>
      </c>
      <c r="J504" s="7"/>
      <c r="K504" s="7"/>
      <c r="L504" s="7">
        <v>0.9</v>
      </c>
      <c r="M504" s="7"/>
      <c r="N504" s="7"/>
      <c r="O504" s="7"/>
      <c r="P504" s="7"/>
      <c r="Q504" s="7"/>
      <c r="R504" s="7">
        <v>0.9</v>
      </c>
      <c r="S504" s="7"/>
      <c r="T504" s="7"/>
      <c r="U504" s="7"/>
      <c r="V504" s="7"/>
      <c r="AR504" s="15" t="s">
        <v>249</v>
      </c>
      <c r="AS504" s="15" t="s">
        <v>567</v>
      </c>
      <c r="AT504" s="15" t="s">
        <v>869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328</v>
      </c>
      <c r="D505" t="s">
        <v>250</v>
      </c>
      <c r="E505" t="s">
        <v>298</v>
      </c>
      <c r="F505" t="s">
        <v>252</v>
      </c>
      <c r="J505" s="7"/>
      <c r="K505" s="7"/>
      <c r="L505" s="7">
        <v>0.45</v>
      </c>
      <c r="M505" s="7"/>
      <c r="N505" s="7"/>
      <c r="O505" s="7"/>
      <c r="P505" s="7"/>
      <c r="Q505" s="7"/>
      <c r="R505" s="7">
        <v>0.45</v>
      </c>
      <c r="S505" s="7"/>
      <c r="T505" s="7"/>
      <c r="U505" s="7"/>
      <c r="V505" s="7"/>
      <c r="AR505" s="15" t="s">
        <v>249</v>
      </c>
      <c r="AS505" s="15" t="s">
        <v>567</v>
      </c>
      <c r="AT505" s="15" t="s">
        <v>870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328</v>
      </c>
      <c r="D506" t="s">
        <v>250</v>
      </c>
      <c r="E506" t="s">
        <v>299</v>
      </c>
      <c r="F506" t="s">
        <v>252</v>
      </c>
      <c r="J506" s="7"/>
      <c r="K506" s="7"/>
      <c r="L506" s="7">
        <v>0.99</v>
      </c>
      <c r="M506" s="7"/>
      <c r="N506" s="7"/>
      <c r="O506" s="7"/>
      <c r="P506" s="7"/>
      <c r="Q506" s="7"/>
      <c r="R506" s="7">
        <v>0.99</v>
      </c>
      <c r="S506" s="7"/>
      <c r="T506" s="7"/>
      <c r="U506" s="7"/>
      <c r="V506" s="7"/>
      <c r="AR506" s="15" t="s">
        <v>249</v>
      </c>
      <c r="AS506" s="15" t="s">
        <v>567</v>
      </c>
      <c r="AT506" s="15" t="s">
        <v>871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328</v>
      </c>
      <c r="D507" t="s">
        <v>250</v>
      </c>
      <c r="E507" t="s">
        <v>300</v>
      </c>
      <c r="F507" t="s">
        <v>252</v>
      </c>
      <c r="J507" s="7"/>
      <c r="K507" s="7"/>
      <c r="L507" s="7">
        <v>0.87</v>
      </c>
      <c r="M507" s="7"/>
      <c r="N507" s="7"/>
      <c r="O507" s="7"/>
      <c r="P507" s="7"/>
      <c r="Q507" s="7"/>
      <c r="R507" s="7">
        <v>0.87</v>
      </c>
      <c r="S507" s="7"/>
      <c r="T507" s="7"/>
      <c r="U507" s="7"/>
      <c r="V507" s="7"/>
      <c r="AR507" s="15" t="s">
        <v>249</v>
      </c>
      <c r="AS507" s="15" t="s">
        <v>567</v>
      </c>
      <c r="AT507" s="15" t="s">
        <v>872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328</v>
      </c>
      <c r="D508" t="s">
        <v>250</v>
      </c>
      <c r="E508" t="s">
        <v>302</v>
      </c>
      <c r="F508" t="s">
        <v>252</v>
      </c>
      <c r="J508" s="7"/>
      <c r="K508" s="7"/>
      <c r="L508" s="7">
        <v>0.85</v>
      </c>
      <c r="M508" s="7"/>
      <c r="N508" s="7"/>
      <c r="O508" s="7"/>
      <c r="P508" s="7"/>
      <c r="Q508" s="7"/>
      <c r="R508" s="7">
        <v>0.85</v>
      </c>
      <c r="S508" s="7"/>
      <c r="T508" s="7"/>
      <c r="U508" s="7"/>
      <c r="V508" s="7"/>
      <c r="AR508" s="15" t="s">
        <v>249</v>
      </c>
      <c r="AS508" s="15" t="s">
        <v>567</v>
      </c>
      <c r="AT508" s="15" t="s">
        <v>873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328</v>
      </c>
      <c r="D509" t="s">
        <v>250</v>
      </c>
      <c r="E509" t="s">
        <v>303</v>
      </c>
      <c r="F509" t="s">
        <v>252</v>
      </c>
      <c r="J509" s="7"/>
      <c r="K509" s="7"/>
      <c r="L509" s="7">
        <v>3.5</v>
      </c>
      <c r="M509" s="7"/>
      <c r="N509" s="7"/>
      <c r="O509" s="7"/>
      <c r="P509" s="7"/>
      <c r="Q509" s="7"/>
      <c r="R509" s="7">
        <v>3.5</v>
      </c>
      <c r="S509" s="7"/>
      <c r="T509" s="7"/>
      <c r="U509" s="7"/>
      <c r="V509" s="7"/>
      <c r="AR509" s="15" t="s">
        <v>249</v>
      </c>
      <c r="AS509" s="15" t="s">
        <v>567</v>
      </c>
      <c r="AT509" s="15" t="s">
        <v>874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328</v>
      </c>
      <c r="D510" t="s">
        <v>250</v>
      </c>
      <c r="E510" t="s">
        <v>304</v>
      </c>
      <c r="F510" t="s">
        <v>252</v>
      </c>
      <c r="J510" s="7"/>
      <c r="K510" s="7"/>
      <c r="L510" s="7">
        <v>0.7</v>
      </c>
      <c r="M510" s="7"/>
      <c r="N510" s="7"/>
      <c r="O510" s="7"/>
      <c r="P510" s="7"/>
      <c r="Q510" s="7"/>
      <c r="R510" s="7">
        <v>0.7</v>
      </c>
      <c r="S510" s="7"/>
      <c r="T510" s="7"/>
      <c r="U510" s="7"/>
      <c r="V510" s="7"/>
      <c r="AR510" s="15" t="s">
        <v>249</v>
      </c>
      <c r="AS510" s="15" t="s">
        <v>567</v>
      </c>
      <c r="AT510" s="15" t="s">
        <v>875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328</v>
      </c>
      <c r="D511" t="s">
        <v>250</v>
      </c>
      <c r="E511" t="s">
        <v>305</v>
      </c>
      <c r="F511" t="s">
        <v>252</v>
      </c>
      <c r="J511" s="7"/>
      <c r="K511" s="7"/>
      <c r="L511" s="7">
        <v>0.83</v>
      </c>
      <c r="M511" s="7"/>
      <c r="N511" s="7"/>
      <c r="O511" s="7"/>
      <c r="P511" s="7"/>
      <c r="Q511" s="7"/>
      <c r="R511" s="7">
        <v>0.83125000000000004</v>
      </c>
      <c r="S511" s="7"/>
      <c r="T511" s="7"/>
      <c r="U511" s="7"/>
      <c r="V511" s="7"/>
      <c r="AR511" s="15" t="s">
        <v>249</v>
      </c>
      <c r="AS511" s="15" t="s">
        <v>567</v>
      </c>
      <c r="AT511" s="15" t="s">
        <v>876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328</v>
      </c>
      <c r="D512" t="s">
        <v>250</v>
      </c>
      <c r="E512" t="s">
        <v>306</v>
      </c>
      <c r="F512" t="s">
        <v>252</v>
      </c>
      <c r="J512" s="7"/>
      <c r="K512" s="7"/>
      <c r="L512" s="7">
        <v>0.45</v>
      </c>
      <c r="M512" s="7"/>
      <c r="N512" s="7"/>
      <c r="O512" s="7"/>
      <c r="P512" s="7"/>
      <c r="Q512" s="7"/>
      <c r="R512" s="7">
        <v>0.45</v>
      </c>
      <c r="S512" s="7"/>
      <c r="T512" s="7"/>
      <c r="U512" s="7"/>
      <c r="V512" s="7"/>
      <c r="AR512" s="15" t="s">
        <v>249</v>
      </c>
      <c r="AS512" s="15" t="s">
        <v>567</v>
      </c>
      <c r="AT512" s="15" t="s">
        <v>877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328</v>
      </c>
      <c r="D513" t="s">
        <v>250</v>
      </c>
      <c r="E513" t="s">
        <v>307</v>
      </c>
      <c r="F513" t="s">
        <v>252</v>
      </c>
      <c r="J513" s="7"/>
      <c r="K513" s="7"/>
      <c r="L513" s="7">
        <v>0.35</v>
      </c>
      <c r="M513" s="7"/>
      <c r="N513" s="7"/>
      <c r="O513" s="7"/>
      <c r="P513" s="7"/>
      <c r="Q513" s="7"/>
      <c r="R513" s="7">
        <v>0.34782600000000002</v>
      </c>
      <c r="S513" s="7"/>
      <c r="T513" s="7"/>
      <c r="U513" s="7"/>
      <c r="V513" s="7"/>
      <c r="AR513" s="15" t="s">
        <v>249</v>
      </c>
      <c r="AS513" s="15" t="s">
        <v>567</v>
      </c>
      <c r="AT513" s="15" t="s">
        <v>878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328</v>
      </c>
      <c r="D514" t="s">
        <v>250</v>
      </c>
      <c r="E514" t="s">
        <v>308</v>
      </c>
      <c r="F514" t="s">
        <v>252</v>
      </c>
      <c r="J514" s="7"/>
      <c r="K514" s="7"/>
      <c r="L514" s="7">
        <v>0.1</v>
      </c>
      <c r="M514" s="7"/>
      <c r="N514" s="7"/>
      <c r="O514" s="7"/>
      <c r="P514" s="7"/>
      <c r="Q514" s="7"/>
      <c r="R514" s="7">
        <v>0.1</v>
      </c>
      <c r="S514" s="7"/>
      <c r="T514" s="7"/>
      <c r="U514" s="7"/>
      <c r="V514" s="7"/>
      <c r="AR514" s="15" t="s">
        <v>249</v>
      </c>
      <c r="AS514" s="15" t="s">
        <v>567</v>
      </c>
      <c r="AT514" s="15" t="s">
        <v>879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328</v>
      </c>
      <c r="D515" t="s">
        <v>250</v>
      </c>
      <c r="E515" t="s">
        <v>309</v>
      </c>
      <c r="F515" t="s">
        <v>252</v>
      </c>
      <c r="J515" s="7"/>
      <c r="K515" s="7"/>
      <c r="L515" s="7">
        <v>0.13</v>
      </c>
      <c r="M515" s="7"/>
      <c r="N515" s="7"/>
      <c r="O515" s="7"/>
      <c r="P515" s="7"/>
      <c r="Q515" s="7"/>
      <c r="R515" s="7">
        <v>0.125163</v>
      </c>
      <c r="S515" s="7"/>
      <c r="T515" s="7"/>
      <c r="U515" s="7"/>
      <c r="V515" s="7"/>
      <c r="AR515" s="15" t="s">
        <v>249</v>
      </c>
      <c r="AS515" s="15" t="s">
        <v>567</v>
      </c>
      <c r="AT515" s="15" t="s">
        <v>880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328</v>
      </c>
      <c r="D516" t="s">
        <v>250</v>
      </c>
      <c r="E516" t="s">
        <v>310</v>
      </c>
      <c r="F516" t="s">
        <v>252</v>
      </c>
      <c r="J516" s="7"/>
      <c r="K516" s="7"/>
      <c r="L516" s="7">
        <v>0.44</v>
      </c>
      <c r="M516" s="7"/>
      <c r="N516" s="7"/>
      <c r="O516" s="7"/>
      <c r="P516" s="7"/>
      <c r="Q516" s="7"/>
      <c r="R516" s="7">
        <v>0.43535000000000001</v>
      </c>
      <c r="S516" s="7"/>
      <c r="T516" s="7"/>
      <c r="U516" s="7"/>
      <c r="V516" s="7"/>
      <c r="AR516" s="15" t="s">
        <v>249</v>
      </c>
      <c r="AS516" s="15" t="s">
        <v>567</v>
      </c>
      <c r="AT516" s="15" t="s">
        <v>881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328</v>
      </c>
      <c r="D517" t="s">
        <v>250</v>
      </c>
      <c r="E517" t="s">
        <v>311</v>
      </c>
      <c r="F517" t="s">
        <v>252</v>
      </c>
      <c r="J517" s="7"/>
      <c r="K517" s="7"/>
      <c r="L517" s="7">
        <v>0.27</v>
      </c>
      <c r="M517" s="7"/>
      <c r="N517" s="7"/>
      <c r="O517" s="7"/>
      <c r="P517" s="7"/>
      <c r="Q517" s="7"/>
      <c r="R517" s="7">
        <v>0.27209299999999997</v>
      </c>
      <c r="S517" s="7"/>
      <c r="T517" s="7"/>
      <c r="U517" s="7"/>
      <c r="V517" s="7"/>
      <c r="AR517" s="15" t="s">
        <v>249</v>
      </c>
      <c r="AS517" s="15" t="s">
        <v>567</v>
      </c>
      <c r="AT517" s="15" t="s">
        <v>882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328</v>
      </c>
      <c r="D518" t="s">
        <v>250</v>
      </c>
      <c r="E518" t="s">
        <v>312</v>
      </c>
      <c r="F518" t="s">
        <v>252</v>
      </c>
      <c r="J518" s="7"/>
      <c r="K518" s="7"/>
      <c r="L518" s="7">
        <v>0.11</v>
      </c>
      <c r="M518" s="7"/>
      <c r="N518" s="7"/>
      <c r="O518" s="7"/>
      <c r="P518" s="7"/>
      <c r="Q518" s="7"/>
      <c r="R518" s="7">
        <v>0.111111</v>
      </c>
      <c r="S518" s="7"/>
      <c r="T518" s="7"/>
      <c r="U518" s="7"/>
      <c r="V518" s="7"/>
      <c r="AR518" s="15" t="s">
        <v>249</v>
      </c>
      <c r="AS518" s="15" t="s">
        <v>567</v>
      </c>
      <c r="AT518" s="15" t="s">
        <v>883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328</v>
      </c>
      <c r="D519" t="s">
        <v>250</v>
      </c>
      <c r="E519" t="s">
        <v>313</v>
      </c>
      <c r="F519" t="s">
        <v>252</v>
      </c>
      <c r="J519" s="7"/>
      <c r="K519" s="7"/>
      <c r="L519" s="7">
        <v>0.39</v>
      </c>
      <c r="M519" s="7"/>
      <c r="N519" s="7"/>
      <c r="O519" s="7"/>
      <c r="P519" s="7"/>
      <c r="Q519" s="7"/>
      <c r="R519" s="7">
        <v>0.38647300000000001</v>
      </c>
      <c r="S519" s="7"/>
      <c r="T519" s="7"/>
      <c r="U519" s="7"/>
      <c r="V519" s="7"/>
      <c r="AR519" s="15" t="s">
        <v>249</v>
      </c>
      <c r="AS519" s="15" t="s">
        <v>567</v>
      </c>
      <c r="AT519" s="15" t="s">
        <v>884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328</v>
      </c>
      <c r="D520" t="s">
        <v>250</v>
      </c>
      <c r="E520" t="s">
        <v>314</v>
      </c>
      <c r="F520" t="s">
        <v>252</v>
      </c>
      <c r="J520" s="7"/>
      <c r="K520" s="7"/>
      <c r="L520" s="7">
        <v>0.24</v>
      </c>
      <c r="M520" s="7"/>
      <c r="N520" s="7"/>
      <c r="O520" s="7"/>
      <c r="P520" s="7"/>
      <c r="Q520" s="7"/>
      <c r="R520" s="7">
        <v>0.24154600000000001</v>
      </c>
      <c r="S520" s="7"/>
      <c r="T520" s="7"/>
      <c r="U520" s="7"/>
      <c r="V520" s="7"/>
      <c r="AR520" s="15" t="s">
        <v>249</v>
      </c>
      <c r="AS520" s="15" t="s">
        <v>567</v>
      </c>
      <c r="AT520" s="15" t="s">
        <v>885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328</v>
      </c>
      <c r="D521" t="s">
        <v>250</v>
      </c>
      <c r="E521" t="s">
        <v>315</v>
      </c>
      <c r="F521" t="s">
        <v>252</v>
      </c>
      <c r="J521" s="7"/>
      <c r="K521" s="7"/>
      <c r="L521" s="7">
        <v>0.23</v>
      </c>
      <c r="M521" s="7"/>
      <c r="N521" s="7"/>
      <c r="O521" s="7"/>
      <c r="P521" s="7"/>
      <c r="Q521" s="7"/>
      <c r="R521" s="7">
        <v>0.23</v>
      </c>
      <c r="S521" s="7"/>
      <c r="T521" s="7"/>
      <c r="U521" s="7"/>
      <c r="V521" s="7"/>
      <c r="AR521" s="15" t="s">
        <v>249</v>
      </c>
      <c r="AS521" s="15" t="s">
        <v>567</v>
      </c>
      <c r="AT521" s="15" t="s">
        <v>886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328</v>
      </c>
      <c r="D522" t="s">
        <v>250</v>
      </c>
      <c r="E522" t="s">
        <v>316</v>
      </c>
      <c r="F522" t="s">
        <v>252</v>
      </c>
      <c r="J522" s="7"/>
      <c r="K522" s="7"/>
      <c r="L522" s="7">
        <v>0.8</v>
      </c>
      <c r="M522" s="7"/>
      <c r="N522" s="7"/>
      <c r="O522" s="7"/>
      <c r="P522" s="7"/>
      <c r="Q522" s="7"/>
      <c r="R522" s="7">
        <v>0.8</v>
      </c>
      <c r="S522" s="7"/>
      <c r="T522" s="7"/>
      <c r="U522" s="7"/>
      <c r="V522" s="7"/>
      <c r="AR522" s="15" t="s">
        <v>249</v>
      </c>
      <c r="AS522" s="15" t="s">
        <v>567</v>
      </c>
      <c r="AT522" s="15" t="s">
        <v>887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328</v>
      </c>
      <c r="D523" t="s">
        <v>250</v>
      </c>
      <c r="E523" t="s">
        <v>317</v>
      </c>
      <c r="F523" t="s">
        <v>252</v>
      </c>
      <c r="J523" s="7"/>
      <c r="K523" s="7"/>
      <c r="L523" s="7">
        <v>0.5</v>
      </c>
      <c r="M523" s="7"/>
      <c r="N523" s="7"/>
      <c r="O523" s="7"/>
      <c r="P523" s="7"/>
      <c r="Q523" s="7"/>
      <c r="R523" s="7">
        <v>0.5</v>
      </c>
      <c r="S523" s="7"/>
      <c r="T523" s="7"/>
      <c r="U523" s="7"/>
      <c r="V523" s="7"/>
      <c r="AR523" s="15" t="s">
        <v>249</v>
      </c>
      <c r="AS523" s="15" t="s">
        <v>567</v>
      </c>
      <c r="AT523" s="15" t="s">
        <v>888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328</v>
      </c>
      <c r="D524" t="s">
        <v>318</v>
      </c>
      <c r="E524" t="s">
        <v>274</v>
      </c>
      <c r="G524" t="s">
        <v>319</v>
      </c>
      <c r="H524" t="s">
        <v>320</v>
      </c>
      <c r="J524" s="7"/>
      <c r="K524" s="7"/>
      <c r="L524" s="7">
        <v>1</v>
      </c>
      <c r="M524" s="7"/>
      <c r="N524" s="7"/>
      <c r="O524" s="7"/>
      <c r="P524" s="7"/>
      <c r="Q524" s="7"/>
      <c r="R524" s="7">
        <v>0.1</v>
      </c>
      <c r="S524" s="7"/>
      <c r="T524" s="7"/>
      <c r="U524" s="7">
        <v>1</v>
      </c>
      <c r="V524" s="7"/>
      <c r="AR524" s="15" t="s">
        <v>249</v>
      </c>
      <c r="AS524" s="15" t="s">
        <v>567</v>
      </c>
      <c r="AT524" s="15" t="s">
        <v>889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328</v>
      </c>
      <c r="D525" t="s">
        <v>321</v>
      </c>
      <c r="E525" t="s">
        <v>251</v>
      </c>
      <c r="H525" t="s">
        <v>320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249</v>
      </c>
      <c r="AS525" s="15" t="s">
        <v>567</v>
      </c>
      <c r="AT525" s="15" t="s">
        <v>890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328</v>
      </c>
      <c r="D526" t="s">
        <v>321</v>
      </c>
      <c r="E526" t="s">
        <v>253</v>
      </c>
      <c r="H526" t="s">
        <v>320</v>
      </c>
      <c r="J526" s="7"/>
      <c r="K526" s="7"/>
      <c r="L526" s="7">
        <v>0.16</v>
      </c>
      <c r="M526" s="7"/>
      <c r="N526" s="7"/>
      <c r="O526" s="7"/>
      <c r="P526" s="7"/>
      <c r="Q526" s="7"/>
      <c r="R526" s="7">
        <v>0.16</v>
      </c>
      <c r="S526" s="7"/>
      <c r="T526" s="7"/>
      <c r="U526" s="7"/>
      <c r="V526" s="7"/>
      <c r="AR526" s="15" t="s">
        <v>249</v>
      </c>
      <c r="AS526" s="15" t="s">
        <v>567</v>
      </c>
      <c r="AT526" s="15" t="s">
        <v>891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328</v>
      </c>
      <c r="D527" t="s">
        <v>321</v>
      </c>
      <c r="E527" t="s">
        <v>254</v>
      </c>
      <c r="H527" t="s">
        <v>320</v>
      </c>
      <c r="J527" s="7"/>
      <c r="K527" s="7"/>
      <c r="L527" s="7">
        <v>0.23</v>
      </c>
      <c r="M527" s="7"/>
      <c r="N527" s="7"/>
      <c r="O527" s="7"/>
      <c r="P527" s="7"/>
      <c r="Q527" s="7"/>
      <c r="R527" s="7">
        <v>0.23</v>
      </c>
      <c r="S527" s="7"/>
      <c r="T527" s="7"/>
      <c r="U527" s="7"/>
      <c r="V527" s="7"/>
      <c r="AR527" s="15" t="s">
        <v>249</v>
      </c>
      <c r="AS527" s="15" t="s">
        <v>567</v>
      </c>
      <c r="AT527" s="15" t="s">
        <v>892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328</v>
      </c>
      <c r="D528" t="s">
        <v>321</v>
      </c>
      <c r="E528" t="s">
        <v>255</v>
      </c>
      <c r="H528" t="s">
        <v>320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249</v>
      </c>
      <c r="AS528" s="15" t="s">
        <v>567</v>
      </c>
      <c r="AT528" s="15" t="s">
        <v>893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328</v>
      </c>
      <c r="D529" t="s">
        <v>321</v>
      </c>
      <c r="E529" t="s">
        <v>256</v>
      </c>
      <c r="H529" t="s">
        <v>320</v>
      </c>
      <c r="J529" s="7"/>
      <c r="K529" s="7"/>
      <c r="L529" s="7">
        <v>0.25</v>
      </c>
      <c r="M529" s="7"/>
      <c r="N529" s="7"/>
      <c r="O529" s="7"/>
      <c r="P529" s="7"/>
      <c r="Q529" s="7"/>
      <c r="R529" s="7">
        <v>0.25</v>
      </c>
      <c r="S529" s="7"/>
      <c r="T529" s="7"/>
      <c r="U529" s="7"/>
      <c r="V529" s="7"/>
      <c r="AR529" s="15" t="s">
        <v>249</v>
      </c>
      <c r="AS529" s="15" t="s">
        <v>567</v>
      </c>
      <c r="AT529" s="15" t="s">
        <v>894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328</v>
      </c>
      <c r="D530" t="s">
        <v>321</v>
      </c>
      <c r="E530" t="s">
        <v>257</v>
      </c>
      <c r="H530" t="s">
        <v>320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249</v>
      </c>
      <c r="AS530" s="15" t="s">
        <v>567</v>
      </c>
      <c r="AT530" s="15" t="s">
        <v>895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328</v>
      </c>
      <c r="D531" t="s">
        <v>321</v>
      </c>
      <c r="E531" t="s">
        <v>258</v>
      </c>
      <c r="H531" t="s">
        <v>320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249</v>
      </c>
      <c r="AS531" s="15" t="s">
        <v>567</v>
      </c>
      <c r="AT531" s="15" t="s">
        <v>896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328</v>
      </c>
      <c r="D532" t="s">
        <v>321</v>
      </c>
      <c r="E532" t="s">
        <v>259</v>
      </c>
      <c r="H532" t="s">
        <v>320</v>
      </c>
      <c r="J532" s="7"/>
      <c r="K532" s="7"/>
      <c r="L532" s="7">
        <v>0.02</v>
      </c>
      <c r="M532" s="7"/>
      <c r="N532" s="7"/>
      <c r="O532" s="7"/>
      <c r="P532" s="7"/>
      <c r="Q532" s="7"/>
      <c r="R532" s="7">
        <v>0.02</v>
      </c>
      <c r="S532" s="7"/>
      <c r="T532" s="7"/>
      <c r="U532" s="7"/>
      <c r="V532" s="7"/>
      <c r="AR532" s="15" t="s">
        <v>249</v>
      </c>
      <c r="AS532" s="15" t="s">
        <v>567</v>
      </c>
      <c r="AT532" s="15" t="s">
        <v>897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328</v>
      </c>
      <c r="D533" t="s">
        <v>321</v>
      </c>
      <c r="E533" t="s">
        <v>260</v>
      </c>
      <c r="H533" t="s">
        <v>320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249</v>
      </c>
      <c r="AS533" s="15" t="s">
        <v>567</v>
      </c>
      <c r="AT533" s="15" t="s">
        <v>898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328</v>
      </c>
      <c r="D534" t="s">
        <v>321</v>
      </c>
      <c r="E534" t="s">
        <v>261</v>
      </c>
      <c r="H534" t="s">
        <v>320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249</v>
      </c>
      <c r="AS534" s="15" t="s">
        <v>567</v>
      </c>
      <c r="AT534" s="15" t="s">
        <v>899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328</v>
      </c>
      <c r="D535" t="s">
        <v>321</v>
      </c>
      <c r="E535" t="s">
        <v>262</v>
      </c>
      <c r="H535" t="s">
        <v>320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249</v>
      </c>
      <c r="AS535" s="15" t="s">
        <v>567</v>
      </c>
      <c r="AT535" s="15" t="s">
        <v>900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328</v>
      </c>
      <c r="D536" t="s">
        <v>321</v>
      </c>
      <c r="E536" t="s">
        <v>263</v>
      </c>
      <c r="H536" t="s">
        <v>320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249</v>
      </c>
      <c r="AS536" s="15" t="s">
        <v>567</v>
      </c>
      <c r="AT536" s="15" t="s">
        <v>901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328</v>
      </c>
      <c r="D537" t="s">
        <v>321</v>
      </c>
      <c r="E537" t="s">
        <v>264</v>
      </c>
      <c r="H537" t="s">
        <v>320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249</v>
      </c>
      <c r="AS537" s="15" t="s">
        <v>567</v>
      </c>
      <c r="AT537" s="15" t="s">
        <v>902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328</v>
      </c>
      <c r="D538" t="s">
        <v>321</v>
      </c>
      <c r="E538" t="s">
        <v>265</v>
      </c>
      <c r="H538" t="s">
        <v>320</v>
      </c>
      <c r="J538" s="7"/>
      <c r="K538" s="7"/>
      <c r="L538" s="7">
        <v>0.09</v>
      </c>
      <c r="M538" s="7"/>
      <c r="N538" s="7"/>
      <c r="O538" s="7"/>
      <c r="P538" s="7"/>
      <c r="Q538" s="7"/>
      <c r="R538" s="7">
        <v>0.09</v>
      </c>
      <c r="S538" s="7"/>
      <c r="T538" s="7"/>
      <c r="U538" s="7"/>
      <c r="V538" s="7"/>
      <c r="AR538" s="15" t="s">
        <v>249</v>
      </c>
      <c r="AS538" s="15" t="s">
        <v>567</v>
      </c>
      <c r="AT538" s="15" t="s">
        <v>903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328</v>
      </c>
      <c r="D539" t="s">
        <v>321</v>
      </c>
      <c r="E539" t="s">
        <v>266</v>
      </c>
      <c r="H539" t="s">
        <v>320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249</v>
      </c>
      <c r="AS539" s="15" t="s">
        <v>567</v>
      </c>
      <c r="AT539" s="15" t="s">
        <v>904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328</v>
      </c>
      <c r="D540" t="s">
        <v>321</v>
      </c>
      <c r="E540" t="s">
        <v>267</v>
      </c>
      <c r="H540" t="s">
        <v>320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249</v>
      </c>
      <c r="AS540" s="15" t="s">
        <v>567</v>
      </c>
      <c r="AT540" s="15" t="s">
        <v>905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328</v>
      </c>
      <c r="D541" t="s">
        <v>321</v>
      </c>
      <c r="E541" t="s">
        <v>268</v>
      </c>
      <c r="H541" t="s">
        <v>320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249</v>
      </c>
      <c r="AS541" s="15" t="s">
        <v>567</v>
      </c>
      <c r="AT541" s="15" t="s">
        <v>906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328</v>
      </c>
      <c r="D542" t="s">
        <v>321</v>
      </c>
      <c r="E542" t="s">
        <v>269</v>
      </c>
      <c r="H542" t="s">
        <v>320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249</v>
      </c>
      <c r="AS542" s="15" t="s">
        <v>567</v>
      </c>
      <c r="AT542" s="15" t="s">
        <v>907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328</v>
      </c>
      <c r="D543" t="s">
        <v>321</v>
      </c>
      <c r="E543" t="s">
        <v>270</v>
      </c>
      <c r="H543" t="s">
        <v>320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249</v>
      </c>
      <c r="AS543" s="15" t="s">
        <v>567</v>
      </c>
      <c r="AT543" s="15" t="s">
        <v>908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328</v>
      </c>
      <c r="D544" t="s">
        <v>321</v>
      </c>
      <c r="E544" t="s">
        <v>271</v>
      </c>
      <c r="H544" t="s">
        <v>320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249</v>
      </c>
      <c r="AS544" s="15" t="s">
        <v>567</v>
      </c>
      <c r="AT544" s="15" t="s">
        <v>909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328</v>
      </c>
      <c r="D545" t="s">
        <v>321</v>
      </c>
      <c r="E545" t="s">
        <v>272</v>
      </c>
      <c r="H545" t="s">
        <v>320</v>
      </c>
      <c r="J545" s="7"/>
      <c r="K545" s="7"/>
      <c r="L545" s="7">
        <v>0.23</v>
      </c>
      <c r="M545" s="7"/>
      <c r="N545" s="7"/>
      <c r="O545" s="7"/>
      <c r="P545" s="7"/>
      <c r="Q545" s="7"/>
      <c r="R545" s="7">
        <v>0.23</v>
      </c>
      <c r="S545" s="7"/>
      <c r="T545" s="7"/>
      <c r="U545" s="7"/>
      <c r="V545" s="7"/>
      <c r="AR545" s="15" t="s">
        <v>249</v>
      </c>
      <c r="AS545" s="15" t="s">
        <v>567</v>
      </c>
      <c r="AT545" s="15" t="s">
        <v>910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328</v>
      </c>
      <c r="D546" t="s">
        <v>321</v>
      </c>
      <c r="E546" t="s">
        <v>273</v>
      </c>
      <c r="H546" t="s">
        <v>320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249</v>
      </c>
      <c r="AS546" s="15" t="s">
        <v>567</v>
      </c>
      <c r="AT546" s="15" t="s">
        <v>911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328</v>
      </c>
      <c r="D547" t="s">
        <v>321</v>
      </c>
      <c r="E547" t="s">
        <v>274</v>
      </c>
      <c r="H547" t="s">
        <v>320</v>
      </c>
      <c r="J547" s="7"/>
      <c r="K547" s="7"/>
      <c r="L547" s="7">
        <v>1</v>
      </c>
      <c r="M547" s="7"/>
      <c r="N547" s="7"/>
      <c r="O547" s="7"/>
      <c r="P547" s="7"/>
      <c r="Q547" s="7"/>
      <c r="R547" s="7">
        <v>1</v>
      </c>
      <c r="S547" s="7"/>
      <c r="T547" s="7"/>
      <c r="U547" s="7"/>
      <c r="V547" s="7"/>
      <c r="AR547" s="15" t="s">
        <v>249</v>
      </c>
      <c r="AS547" s="15" t="s">
        <v>567</v>
      </c>
      <c r="AT547" s="15" t="s">
        <v>912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328</v>
      </c>
      <c r="D548" t="s">
        <v>321</v>
      </c>
      <c r="E548" t="s">
        <v>275</v>
      </c>
      <c r="H548" t="s">
        <v>320</v>
      </c>
      <c r="J548" s="7"/>
      <c r="K548" s="7"/>
      <c r="L548" s="7">
        <v>0.23</v>
      </c>
      <c r="M548" s="7"/>
      <c r="N548" s="7"/>
      <c r="O548" s="7"/>
      <c r="P548" s="7"/>
      <c r="Q548" s="7"/>
      <c r="R548" s="7">
        <v>0.23</v>
      </c>
      <c r="S548" s="7"/>
      <c r="T548" s="7"/>
      <c r="U548" s="7"/>
      <c r="V548" s="7"/>
      <c r="AR548" s="15" t="s">
        <v>249</v>
      </c>
      <c r="AS548" s="15" t="s">
        <v>567</v>
      </c>
      <c r="AT548" s="15" t="s">
        <v>913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328</v>
      </c>
      <c r="D549" t="s">
        <v>321</v>
      </c>
      <c r="E549" t="s">
        <v>276</v>
      </c>
      <c r="H549" t="s">
        <v>320</v>
      </c>
      <c r="J549" s="7"/>
      <c r="K549" s="7"/>
      <c r="L549" s="7">
        <v>1</v>
      </c>
      <c r="M549" s="7"/>
      <c r="N549" s="7"/>
      <c r="O549" s="7"/>
      <c r="P549" s="7"/>
      <c r="Q549" s="7"/>
      <c r="R549" s="7">
        <v>1</v>
      </c>
      <c r="S549" s="7"/>
      <c r="T549" s="7"/>
      <c r="U549" s="7"/>
      <c r="V549" s="7"/>
      <c r="AR549" s="15" t="s">
        <v>249</v>
      </c>
      <c r="AS549" s="15" t="s">
        <v>567</v>
      </c>
      <c r="AT549" s="15" t="s">
        <v>914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328</v>
      </c>
      <c r="D550" t="s">
        <v>321</v>
      </c>
      <c r="E550" t="s">
        <v>277</v>
      </c>
      <c r="H550" t="s">
        <v>320</v>
      </c>
      <c r="J550" s="7"/>
      <c r="K550" s="7"/>
      <c r="L550" s="7">
        <v>0.23</v>
      </c>
      <c r="M550" s="7"/>
      <c r="N550" s="7"/>
      <c r="O550" s="7"/>
      <c r="P550" s="7"/>
      <c r="Q550" s="7"/>
      <c r="R550" s="7">
        <v>0.23</v>
      </c>
      <c r="S550" s="7"/>
      <c r="T550" s="7"/>
      <c r="U550" s="7"/>
      <c r="V550" s="7"/>
      <c r="AR550" s="15" t="s">
        <v>249</v>
      </c>
      <c r="AS550" s="15" t="s">
        <v>567</v>
      </c>
      <c r="AT550" s="15" t="s">
        <v>915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328</v>
      </c>
      <c r="D551" t="s">
        <v>321</v>
      </c>
      <c r="E551" t="s">
        <v>278</v>
      </c>
      <c r="H551" t="s">
        <v>320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249</v>
      </c>
      <c r="AS551" s="15" t="s">
        <v>567</v>
      </c>
      <c r="AT551" s="15" t="s">
        <v>916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328</v>
      </c>
      <c r="D552" t="s">
        <v>321</v>
      </c>
      <c r="E552" t="s">
        <v>279</v>
      </c>
      <c r="H552" t="s">
        <v>320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249</v>
      </c>
      <c r="AS552" s="15" t="s">
        <v>567</v>
      </c>
      <c r="AT552" s="15" t="s">
        <v>917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328</v>
      </c>
      <c r="D553" t="s">
        <v>321</v>
      </c>
      <c r="E553" t="s">
        <v>280</v>
      </c>
      <c r="H553" t="s">
        <v>320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249</v>
      </c>
      <c r="AS553" s="15" t="s">
        <v>567</v>
      </c>
      <c r="AT553" s="15" t="s">
        <v>918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328</v>
      </c>
      <c r="D554" t="s">
        <v>321</v>
      </c>
      <c r="E554" t="s">
        <v>281</v>
      </c>
      <c r="H554" t="s">
        <v>320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249</v>
      </c>
      <c r="AS554" s="15" t="s">
        <v>567</v>
      </c>
      <c r="AT554" s="15" t="s">
        <v>919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328</v>
      </c>
      <c r="D555" t="s">
        <v>321</v>
      </c>
      <c r="E555" t="s">
        <v>282</v>
      </c>
      <c r="H555" t="s">
        <v>320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249</v>
      </c>
      <c r="AS555" s="15" t="s">
        <v>567</v>
      </c>
      <c r="AT555" s="15" t="s">
        <v>920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328</v>
      </c>
      <c r="D556" t="s">
        <v>321</v>
      </c>
      <c r="E556" t="s">
        <v>283</v>
      </c>
      <c r="H556" t="s">
        <v>320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249</v>
      </c>
      <c r="AS556" s="15" t="s">
        <v>567</v>
      </c>
      <c r="AT556" s="15" t="s">
        <v>921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328</v>
      </c>
      <c r="D557" t="s">
        <v>321</v>
      </c>
      <c r="E557" t="s">
        <v>284</v>
      </c>
      <c r="H557" t="s">
        <v>320</v>
      </c>
      <c r="J557" s="7"/>
      <c r="K557" s="7"/>
      <c r="L557" s="7">
        <v>0.15</v>
      </c>
      <c r="M557" s="7"/>
      <c r="N557" s="7"/>
      <c r="O557" s="7"/>
      <c r="P557" s="7"/>
      <c r="Q557" s="7"/>
      <c r="R557" s="7">
        <v>0.15</v>
      </c>
      <c r="S557" s="7"/>
      <c r="T557" s="7"/>
      <c r="U557" s="7"/>
      <c r="V557" s="7"/>
      <c r="AR557" s="15" t="s">
        <v>249</v>
      </c>
      <c r="AS557" s="15" t="s">
        <v>567</v>
      </c>
      <c r="AT557" s="15" t="s">
        <v>922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328</v>
      </c>
      <c r="D558" t="s">
        <v>321</v>
      </c>
      <c r="E558" t="s">
        <v>285</v>
      </c>
      <c r="H558" t="s">
        <v>320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249</v>
      </c>
      <c r="AS558" s="15" t="s">
        <v>567</v>
      </c>
      <c r="AT558" s="15" t="s">
        <v>923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328</v>
      </c>
      <c r="D559" t="s">
        <v>321</v>
      </c>
      <c r="E559" t="s">
        <v>286</v>
      </c>
      <c r="H559" t="s">
        <v>320</v>
      </c>
      <c r="J559" s="7"/>
      <c r="K559" s="7"/>
      <c r="L559" s="7">
        <v>0.16</v>
      </c>
      <c r="M559" s="7"/>
      <c r="N559" s="7"/>
      <c r="O559" s="7"/>
      <c r="P559" s="7"/>
      <c r="Q559" s="7"/>
      <c r="R559" s="7">
        <v>0.16</v>
      </c>
      <c r="S559" s="7"/>
      <c r="T559" s="7"/>
      <c r="U559" s="7"/>
      <c r="V559" s="7"/>
      <c r="AR559" s="15" t="s">
        <v>249</v>
      </c>
      <c r="AS559" s="15" t="s">
        <v>567</v>
      </c>
      <c r="AT559" s="15" t="s">
        <v>924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328</v>
      </c>
      <c r="D560" t="s">
        <v>321</v>
      </c>
      <c r="E560" t="s">
        <v>287</v>
      </c>
      <c r="H560" t="s">
        <v>320</v>
      </c>
      <c r="J560" s="7"/>
      <c r="K560" s="7"/>
      <c r="L560" s="7">
        <v>0.23</v>
      </c>
      <c r="M560" s="7"/>
      <c r="N560" s="7"/>
      <c r="O560" s="7"/>
      <c r="P560" s="7"/>
      <c r="Q560" s="7"/>
      <c r="R560" s="7">
        <v>0.23</v>
      </c>
      <c r="S560" s="7"/>
      <c r="T560" s="7"/>
      <c r="U560" s="7"/>
      <c r="V560" s="7"/>
      <c r="AR560" s="15" t="s">
        <v>249</v>
      </c>
      <c r="AS560" s="15" t="s">
        <v>567</v>
      </c>
      <c r="AT560" s="15" t="s">
        <v>925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328</v>
      </c>
      <c r="D561" t="s">
        <v>321</v>
      </c>
      <c r="E561" t="s">
        <v>288</v>
      </c>
      <c r="H561" t="s">
        <v>320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249</v>
      </c>
      <c r="AS561" s="15" t="s">
        <v>567</v>
      </c>
      <c r="AT561" s="15" t="s">
        <v>926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328</v>
      </c>
      <c r="D562" t="s">
        <v>321</v>
      </c>
      <c r="E562" t="s">
        <v>289</v>
      </c>
      <c r="H562" t="s">
        <v>320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249</v>
      </c>
      <c r="AS562" s="15" t="s">
        <v>567</v>
      </c>
      <c r="AT562" s="15" t="s">
        <v>927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328</v>
      </c>
      <c r="D563" t="s">
        <v>321</v>
      </c>
      <c r="E563" t="s">
        <v>290</v>
      </c>
      <c r="H563" t="s">
        <v>320</v>
      </c>
      <c r="J563" s="7"/>
      <c r="K563" s="7"/>
      <c r="L563" s="7">
        <v>0.02</v>
      </c>
      <c r="M563" s="7"/>
      <c r="N563" s="7"/>
      <c r="O563" s="7"/>
      <c r="P563" s="7"/>
      <c r="Q563" s="7"/>
      <c r="R563" s="7">
        <v>0.02</v>
      </c>
      <c r="S563" s="7"/>
      <c r="T563" s="7"/>
      <c r="U563" s="7"/>
      <c r="V563" s="7"/>
      <c r="AR563" s="15" t="s">
        <v>249</v>
      </c>
      <c r="AS563" s="15" t="s">
        <v>567</v>
      </c>
      <c r="AT563" s="15" t="s">
        <v>928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328</v>
      </c>
      <c r="D564" t="s">
        <v>321</v>
      </c>
      <c r="E564" t="s">
        <v>291</v>
      </c>
      <c r="H564" t="s">
        <v>320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249</v>
      </c>
      <c r="AS564" s="15" t="s">
        <v>567</v>
      </c>
      <c r="AT564" s="15" t="s">
        <v>929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328</v>
      </c>
      <c r="D565" t="s">
        <v>321</v>
      </c>
      <c r="E565" t="s">
        <v>292</v>
      </c>
      <c r="H565" t="s">
        <v>320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249</v>
      </c>
      <c r="AS565" s="15" t="s">
        <v>567</v>
      </c>
      <c r="AT565" s="15" t="s">
        <v>930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328</v>
      </c>
      <c r="D566" t="s">
        <v>321</v>
      </c>
      <c r="E566" t="s">
        <v>293</v>
      </c>
      <c r="H566" t="s">
        <v>320</v>
      </c>
      <c r="J566" s="7"/>
      <c r="K566" s="7"/>
      <c r="L566" s="7">
        <v>0.06</v>
      </c>
      <c r="M566" s="7"/>
      <c r="N566" s="7"/>
      <c r="O566" s="7"/>
      <c r="P566" s="7"/>
      <c r="Q566" s="7"/>
      <c r="R566" s="7">
        <v>0.06</v>
      </c>
      <c r="S566" s="7"/>
      <c r="T566" s="7"/>
      <c r="U566" s="7"/>
      <c r="V566" s="7"/>
      <c r="AR566" s="15" t="s">
        <v>249</v>
      </c>
      <c r="AS566" s="15" t="s">
        <v>567</v>
      </c>
      <c r="AT566" s="15" t="s">
        <v>931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328</v>
      </c>
      <c r="D567" t="s">
        <v>321</v>
      </c>
      <c r="E567" t="s">
        <v>294</v>
      </c>
      <c r="H567" t="s">
        <v>320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249</v>
      </c>
      <c r="AS567" s="15" t="s">
        <v>567</v>
      </c>
      <c r="AT567" s="15" t="s">
        <v>932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328</v>
      </c>
      <c r="D568" t="s">
        <v>321</v>
      </c>
      <c r="E568" t="s">
        <v>295</v>
      </c>
      <c r="H568" t="s">
        <v>320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249</v>
      </c>
      <c r="AS568" s="15" t="s">
        <v>567</v>
      </c>
      <c r="AT568" s="15" t="s">
        <v>933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328</v>
      </c>
      <c r="D569" t="s">
        <v>321</v>
      </c>
      <c r="E569" t="s">
        <v>296</v>
      </c>
      <c r="H569" t="s">
        <v>320</v>
      </c>
      <c r="J569" s="7"/>
      <c r="K569" s="7"/>
      <c r="L569" s="7">
        <v>0.09</v>
      </c>
      <c r="M569" s="7"/>
      <c r="N569" s="7"/>
      <c r="O569" s="7"/>
      <c r="P569" s="7"/>
      <c r="Q569" s="7"/>
      <c r="R569" s="7">
        <v>0.09</v>
      </c>
      <c r="S569" s="7"/>
      <c r="T569" s="7"/>
      <c r="U569" s="7"/>
      <c r="V569" s="7"/>
      <c r="AR569" s="15" t="s">
        <v>249</v>
      </c>
      <c r="AS569" s="15" t="s">
        <v>567</v>
      </c>
      <c r="AT569" s="15" t="s">
        <v>934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328</v>
      </c>
      <c r="D570" t="s">
        <v>321</v>
      </c>
      <c r="E570" t="s">
        <v>297</v>
      </c>
      <c r="H570" t="s">
        <v>320</v>
      </c>
      <c r="J570" s="7"/>
      <c r="K570" s="7"/>
      <c r="L570" s="7">
        <v>0.17</v>
      </c>
      <c r="M570" s="7"/>
      <c r="N570" s="7"/>
      <c r="O570" s="7"/>
      <c r="P570" s="7"/>
      <c r="Q570" s="7"/>
      <c r="R570" s="7">
        <v>0.17</v>
      </c>
      <c r="S570" s="7"/>
      <c r="T570" s="7"/>
      <c r="U570" s="7"/>
      <c r="V570" s="7"/>
      <c r="AR570" s="15" t="s">
        <v>249</v>
      </c>
      <c r="AS570" s="15" t="s">
        <v>567</v>
      </c>
      <c r="AT570" s="15" t="s">
        <v>935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328</v>
      </c>
      <c r="D571" t="s">
        <v>321</v>
      </c>
      <c r="E571" t="s">
        <v>298</v>
      </c>
      <c r="H571" t="s">
        <v>320</v>
      </c>
      <c r="J571" s="7"/>
      <c r="K571" s="7"/>
      <c r="L571" s="7">
        <v>0.23</v>
      </c>
      <c r="M571" s="7"/>
      <c r="N571" s="7"/>
      <c r="O571" s="7"/>
      <c r="P571" s="7"/>
      <c r="Q571" s="7"/>
      <c r="R571" s="7">
        <v>0.23</v>
      </c>
      <c r="S571" s="7"/>
      <c r="T571" s="7"/>
      <c r="U571" s="7"/>
      <c r="V571" s="7"/>
      <c r="AR571" s="15" t="s">
        <v>249</v>
      </c>
      <c r="AS571" s="15" t="s">
        <v>567</v>
      </c>
      <c r="AT571" s="15" t="s">
        <v>936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328</v>
      </c>
      <c r="D572" t="s">
        <v>321</v>
      </c>
      <c r="E572" t="s">
        <v>299</v>
      </c>
      <c r="H572" t="s">
        <v>320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249</v>
      </c>
      <c r="AS572" s="15" t="s">
        <v>567</v>
      </c>
      <c r="AT572" s="15" t="s">
        <v>937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328</v>
      </c>
      <c r="D573" t="s">
        <v>321</v>
      </c>
      <c r="E573" t="s">
        <v>300</v>
      </c>
      <c r="H573" t="s">
        <v>320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249</v>
      </c>
      <c r="AS573" s="15" t="s">
        <v>567</v>
      </c>
      <c r="AT573" s="15" t="s">
        <v>938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328</v>
      </c>
      <c r="D574" t="s">
        <v>321</v>
      </c>
      <c r="E574" t="s">
        <v>302</v>
      </c>
      <c r="H574" t="s">
        <v>320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249</v>
      </c>
      <c r="AS574" s="15" t="s">
        <v>567</v>
      </c>
      <c r="AT574" s="15" t="s">
        <v>939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328</v>
      </c>
      <c r="D575" t="s">
        <v>321</v>
      </c>
      <c r="E575" t="s">
        <v>303</v>
      </c>
      <c r="H575" t="s">
        <v>320</v>
      </c>
      <c r="J575" s="7"/>
      <c r="K575" s="7"/>
      <c r="L575" s="7">
        <v>0.27</v>
      </c>
      <c r="M575" s="7"/>
      <c r="N575" s="7"/>
      <c r="O575" s="7"/>
      <c r="P575" s="7"/>
      <c r="Q575" s="7"/>
      <c r="R575" s="7">
        <v>0.27</v>
      </c>
      <c r="S575" s="7"/>
      <c r="T575" s="7"/>
      <c r="U575" s="7"/>
      <c r="V575" s="7"/>
      <c r="AR575" s="15" t="s">
        <v>249</v>
      </c>
      <c r="AS575" s="15" t="s">
        <v>567</v>
      </c>
      <c r="AT575" s="15" t="s">
        <v>940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328</v>
      </c>
      <c r="D576" t="s">
        <v>321</v>
      </c>
      <c r="E576" t="s">
        <v>304</v>
      </c>
      <c r="H576" t="s">
        <v>320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249</v>
      </c>
      <c r="AS576" s="15" t="s">
        <v>567</v>
      </c>
      <c r="AT576" s="15" t="s">
        <v>941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328</v>
      </c>
      <c r="D577" t="s">
        <v>321</v>
      </c>
      <c r="E577" t="s">
        <v>305</v>
      </c>
      <c r="H577" t="s">
        <v>320</v>
      </c>
      <c r="J577" s="7"/>
      <c r="K577" s="7"/>
      <c r="L577" s="7">
        <v>0.16</v>
      </c>
      <c r="M577" s="7"/>
      <c r="N577" s="7"/>
      <c r="O577" s="7"/>
      <c r="P577" s="7"/>
      <c r="Q577" s="7"/>
      <c r="R577" s="7">
        <v>0.16</v>
      </c>
      <c r="S577" s="7"/>
      <c r="T577" s="7"/>
      <c r="U577" s="7"/>
      <c r="V577" s="7"/>
      <c r="AR577" s="15" t="s">
        <v>249</v>
      </c>
      <c r="AS577" s="15" t="s">
        <v>567</v>
      </c>
      <c r="AT577" s="15" t="s">
        <v>942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328</v>
      </c>
      <c r="D578" t="s">
        <v>321</v>
      </c>
      <c r="E578" t="s">
        <v>306</v>
      </c>
      <c r="H578" t="s">
        <v>320</v>
      </c>
      <c r="J578" s="7"/>
      <c r="K578" s="7"/>
      <c r="L578" s="7">
        <v>0.23</v>
      </c>
      <c r="M578" s="7"/>
      <c r="N578" s="7"/>
      <c r="O578" s="7"/>
      <c r="P578" s="7"/>
      <c r="Q578" s="7"/>
      <c r="R578" s="7">
        <v>0.23</v>
      </c>
      <c r="S578" s="7"/>
      <c r="T578" s="7"/>
      <c r="U578" s="7"/>
      <c r="V578" s="7"/>
      <c r="AR578" s="15" t="s">
        <v>249</v>
      </c>
      <c r="AS578" s="15" t="s">
        <v>567</v>
      </c>
      <c r="AT578" s="15" t="s">
        <v>943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328</v>
      </c>
      <c r="D579" t="s">
        <v>321</v>
      </c>
      <c r="E579" t="s">
        <v>307</v>
      </c>
      <c r="H579" t="s">
        <v>320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249</v>
      </c>
      <c r="AS579" s="15" t="s">
        <v>567</v>
      </c>
      <c r="AT579" s="15" t="s">
        <v>944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328</v>
      </c>
      <c r="D580" t="s">
        <v>321</v>
      </c>
      <c r="E580" t="s">
        <v>308</v>
      </c>
      <c r="H580" t="s">
        <v>320</v>
      </c>
      <c r="J580" s="7"/>
      <c r="K580" s="7"/>
      <c r="L580" s="7">
        <v>0.25</v>
      </c>
      <c r="M580" s="7"/>
      <c r="N580" s="7"/>
      <c r="O580" s="7"/>
      <c r="P580" s="7"/>
      <c r="Q580" s="7"/>
      <c r="R580" s="7">
        <v>0.25</v>
      </c>
      <c r="S580" s="7"/>
      <c r="T580" s="7"/>
      <c r="U580" s="7"/>
      <c r="V580" s="7"/>
      <c r="AR580" s="15" t="s">
        <v>249</v>
      </c>
      <c r="AS580" s="15" t="s">
        <v>567</v>
      </c>
      <c r="AT580" s="15" t="s">
        <v>945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328</v>
      </c>
      <c r="D581" t="s">
        <v>321</v>
      </c>
      <c r="E581" t="s">
        <v>309</v>
      </c>
      <c r="H581" t="s">
        <v>320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249</v>
      </c>
      <c r="AS581" s="15" t="s">
        <v>567</v>
      </c>
      <c r="AT581" s="15" t="s">
        <v>946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328</v>
      </c>
      <c r="D582" t="s">
        <v>321</v>
      </c>
      <c r="E582" t="s">
        <v>310</v>
      </c>
      <c r="H582" t="s">
        <v>320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249</v>
      </c>
      <c r="AS582" s="15" t="s">
        <v>567</v>
      </c>
      <c r="AT582" s="15" t="s">
        <v>947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328</v>
      </c>
      <c r="D583" t="s">
        <v>321</v>
      </c>
      <c r="E583" t="s">
        <v>311</v>
      </c>
      <c r="H583" t="s">
        <v>320</v>
      </c>
      <c r="J583" s="7"/>
      <c r="K583" s="7"/>
      <c r="L583" s="7">
        <v>0.02</v>
      </c>
      <c r="M583" s="7"/>
      <c r="N583" s="7"/>
      <c r="O583" s="7"/>
      <c r="P583" s="7"/>
      <c r="Q583" s="7"/>
      <c r="R583" s="7">
        <v>0.02</v>
      </c>
      <c r="S583" s="7"/>
      <c r="T583" s="7"/>
      <c r="U583" s="7"/>
      <c r="V583" s="7"/>
      <c r="AR583" s="15" t="s">
        <v>249</v>
      </c>
      <c r="AS583" s="15" t="s">
        <v>567</v>
      </c>
      <c r="AT583" s="15" t="s">
        <v>948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328</v>
      </c>
      <c r="D584" t="s">
        <v>321</v>
      </c>
      <c r="E584" t="s">
        <v>312</v>
      </c>
      <c r="H584" t="s">
        <v>320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249</v>
      </c>
      <c r="AS584" s="15" t="s">
        <v>567</v>
      </c>
      <c r="AT584" s="15" t="s">
        <v>949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328</v>
      </c>
      <c r="D585" t="s">
        <v>321</v>
      </c>
      <c r="E585" t="s">
        <v>313</v>
      </c>
      <c r="H585" t="s">
        <v>320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249</v>
      </c>
      <c r="AS585" s="15" t="s">
        <v>567</v>
      </c>
      <c r="AT585" s="15" t="s">
        <v>950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328</v>
      </c>
      <c r="D586" t="s">
        <v>321</v>
      </c>
      <c r="E586" t="s">
        <v>314</v>
      </c>
      <c r="H586" t="s">
        <v>320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249</v>
      </c>
      <c r="AS586" s="15" t="s">
        <v>567</v>
      </c>
      <c r="AT586" s="15" t="s">
        <v>951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328</v>
      </c>
      <c r="D587" t="s">
        <v>321</v>
      </c>
      <c r="E587" t="s">
        <v>315</v>
      </c>
      <c r="H587" t="s">
        <v>320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249</v>
      </c>
      <c r="AS587" s="15" t="s">
        <v>567</v>
      </c>
      <c r="AT587" s="15" t="s">
        <v>952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328</v>
      </c>
      <c r="D588" t="s">
        <v>321</v>
      </c>
      <c r="E588" t="s">
        <v>316</v>
      </c>
      <c r="H588" t="s">
        <v>320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249</v>
      </c>
      <c r="AS588" s="15" t="s">
        <v>567</v>
      </c>
      <c r="AT588" s="15" t="s">
        <v>953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328</v>
      </c>
      <c r="D589" t="s">
        <v>321</v>
      </c>
      <c r="E589" t="s">
        <v>317</v>
      </c>
      <c r="H589" t="s">
        <v>320</v>
      </c>
      <c r="J589" s="7"/>
      <c r="K589" s="7"/>
      <c r="L589" s="7">
        <v>0.09</v>
      </c>
      <c r="M589" s="7"/>
      <c r="N589" s="7"/>
      <c r="O589" s="7"/>
      <c r="P589" s="7"/>
      <c r="Q589" s="7"/>
      <c r="R589" s="7">
        <v>0.09</v>
      </c>
      <c r="S589" s="7"/>
      <c r="T589" s="7"/>
      <c r="U589" s="7"/>
      <c r="V589" s="7"/>
      <c r="AR589" s="15" t="s">
        <v>249</v>
      </c>
      <c r="AS589" s="15" t="s">
        <v>567</v>
      </c>
      <c r="AT589" s="15" t="s">
        <v>954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328</v>
      </c>
      <c r="D590" t="s">
        <v>322</v>
      </c>
      <c r="E590" t="s">
        <v>251</v>
      </c>
      <c r="I590" t="s">
        <v>323</v>
      </c>
      <c r="J590" s="7"/>
      <c r="K590" s="7"/>
      <c r="L590" s="7">
        <v>6000</v>
      </c>
      <c r="M590" s="7"/>
      <c r="N590" s="7"/>
      <c r="O590" s="7"/>
      <c r="P590" s="7"/>
      <c r="Q590" s="7"/>
      <c r="R590" s="7">
        <v>6000</v>
      </c>
      <c r="S590" s="7"/>
      <c r="T590" s="7"/>
      <c r="U590" s="7"/>
      <c r="V590" s="7"/>
      <c r="AR590" s="15" t="s">
        <v>249</v>
      </c>
      <c r="AS590" s="15" t="s">
        <v>567</v>
      </c>
      <c r="AT590" s="15" t="s">
        <v>955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328</v>
      </c>
      <c r="D591" t="s">
        <v>322</v>
      </c>
      <c r="E591" t="s">
        <v>253</v>
      </c>
      <c r="I591" t="s">
        <v>323</v>
      </c>
      <c r="J591" s="7"/>
      <c r="K591" s="7"/>
      <c r="L591" s="7">
        <v>6257.14</v>
      </c>
      <c r="M591" s="7"/>
      <c r="N591" s="7"/>
      <c r="O591" s="7"/>
      <c r="P591" s="7"/>
      <c r="Q591" s="7"/>
      <c r="R591" s="7">
        <v>6257.1428569999998</v>
      </c>
      <c r="S591" s="7"/>
      <c r="T591" s="7"/>
      <c r="U591" s="7"/>
      <c r="V591" s="7"/>
      <c r="AR591" s="15" t="s">
        <v>249</v>
      </c>
      <c r="AS591" s="15" t="s">
        <v>567</v>
      </c>
      <c r="AT591" s="15" t="s">
        <v>956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328</v>
      </c>
      <c r="D592" t="s">
        <v>322</v>
      </c>
      <c r="E592" t="s">
        <v>254</v>
      </c>
      <c r="I592" t="s">
        <v>323</v>
      </c>
      <c r="J592" s="7"/>
      <c r="K592" s="7"/>
      <c r="L592" s="7">
        <v>1076.0899999999999</v>
      </c>
      <c r="M592" s="7"/>
      <c r="N592" s="7"/>
      <c r="O592" s="7"/>
      <c r="P592" s="7"/>
      <c r="Q592" s="7"/>
      <c r="R592" s="7">
        <v>1076.086957</v>
      </c>
      <c r="S592" s="7"/>
      <c r="T592" s="7"/>
      <c r="U592" s="7"/>
      <c r="V592" s="7"/>
      <c r="AR592" s="15" t="s">
        <v>249</v>
      </c>
      <c r="AS592" s="15" t="s">
        <v>567</v>
      </c>
      <c r="AT592" s="15" t="s">
        <v>957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328</v>
      </c>
      <c r="D593" t="s">
        <v>322</v>
      </c>
      <c r="E593" t="s">
        <v>255</v>
      </c>
      <c r="I593" t="s">
        <v>323</v>
      </c>
      <c r="J593" s="7"/>
      <c r="K593" s="7"/>
      <c r="L593" s="7">
        <v>483.48</v>
      </c>
      <c r="M593" s="7">
        <v>356.25</v>
      </c>
      <c r="N593" s="7">
        <v>157.77000000000001</v>
      </c>
      <c r="O593" s="7">
        <v>157.77000000000001</v>
      </c>
      <c r="P593" s="7">
        <v>157.77000000000001</v>
      </c>
      <c r="Q593" s="7"/>
      <c r="R593" s="7">
        <v>483</v>
      </c>
      <c r="S593" s="7">
        <v>379</v>
      </c>
      <c r="T593" s="7">
        <v>287</v>
      </c>
      <c r="U593" s="7">
        <v>189</v>
      </c>
      <c r="V593" s="7">
        <v>189</v>
      </c>
      <c r="AR593" s="15" t="s">
        <v>249</v>
      </c>
      <c r="AS593" s="15" t="s">
        <v>567</v>
      </c>
      <c r="AT593" s="15" t="s">
        <v>958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328</v>
      </c>
      <c r="D594" t="s">
        <v>322</v>
      </c>
      <c r="E594" t="s">
        <v>256</v>
      </c>
      <c r="I594" t="s">
        <v>323</v>
      </c>
      <c r="J594" s="7"/>
      <c r="K594" s="7"/>
      <c r="L594" s="7">
        <v>264.04000000000002</v>
      </c>
      <c r="M594" s="7">
        <v>264.04000000000002</v>
      </c>
      <c r="N594" s="7">
        <v>264.04000000000002</v>
      </c>
      <c r="O594" s="7">
        <v>264.04000000000002</v>
      </c>
      <c r="P594" s="7">
        <v>264.04000000000002</v>
      </c>
      <c r="Q594" s="7"/>
      <c r="R594" s="7">
        <v>264</v>
      </c>
      <c r="S594" s="7">
        <v>264</v>
      </c>
      <c r="T594" s="7">
        <v>264</v>
      </c>
      <c r="U594" s="7">
        <v>264</v>
      </c>
      <c r="V594" s="7">
        <v>264</v>
      </c>
      <c r="AR594" s="15" t="s">
        <v>249</v>
      </c>
      <c r="AS594" s="15" t="s">
        <v>567</v>
      </c>
      <c r="AT594" s="15" t="s">
        <v>959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328</v>
      </c>
      <c r="D595" t="s">
        <v>322</v>
      </c>
      <c r="E595" t="s">
        <v>257</v>
      </c>
      <c r="I595" t="s">
        <v>323</v>
      </c>
      <c r="J595" s="7"/>
      <c r="K595" s="7"/>
      <c r="L595" s="7">
        <v>1851.87</v>
      </c>
      <c r="M595" s="7">
        <v>1898.16</v>
      </c>
      <c r="N595" s="7">
        <v>1962.98</v>
      </c>
      <c r="O595" s="7">
        <v>2042.5</v>
      </c>
      <c r="P595" s="7">
        <v>2096.9699999999998</v>
      </c>
      <c r="Q595" s="7"/>
      <c r="R595" s="7">
        <v>1851.866667</v>
      </c>
      <c r="S595" s="7">
        <v>1898.163333</v>
      </c>
      <c r="T595" s="7">
        <v>1962.9786670000001</v>
      </c>
      <c r="U595" s="7">
        <v>2042.5</v>
      </c>
      <c r="V595" s="7">
        <v>2096.9666670000001</v>
      </c>
      <c r="AR595" s="15" t="s">
        <v>249</v>
      </c>
      <c r="AS595" s="15" t="s">
        <v>567</v>
      </c>
      <c r="AT595" s="15" t="s">
        <v>960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328</v>
      </c>
      <c r="D596" t="s">
        <v>322</v>
      </c>
      <c r="E596" t="s">
        <v>258</v>
      </c>
      <c r="I596" t="s">
        <v>323</v>
      </c>
      <c r="J596" s="7"/>
      <c r="K596" s="7"/>
      <c r="L596" s="7">
        <v>6565.01</v>
      </c>
      <c r="M596" s="7">
        <v>3423.68</v>
      </c>
      <c r="N596" s="7">
        <v>2040.4</v>
      </c>
      <c r="O596" s="7">
        <v>2040.4</v>
      </c>
      <c r="P596" s="7">
        <v>2040.4</v>
      </c>
      <c r="Q596" s="7"/>
      <c r="R596" s="7">
        <v>6565.0101119999999</v>
      </c>
      <c r="S596" s="7">
        <v>3455.2448639999998</v>
      </c>
      <c r="T596" s="7">
        <v>2084.8753830000001</v>
      </c>
      <c r="U596" s="7">
        <v>2084.8753830000001</v>
      </c>
      <c r="V596" s="7">
        <v>2084.8753830000001</v>
      </c>
      <c r="AR596" s="15" t="s">
        <v>249</v>
      </c>
      <c r="AS596" s="15" t="s">
        <v>567</v>
      </c>
      <c r="AT596" s="15" t="s">
        <v>961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328</v>
      </c>
      <c r="D597" t="s">
        <v>322</v>
      </c>
      <c r="E597" t="s">
        <v>259</v>
      </c>
      <c r="I597" t="s">
        <v>323</v>
      </c>
      <c r="J597" s="7"/>
      <c r="K597" s="7"/>
      <c r="L597" s="7">
        <v>7542.15</v>
      </c>
      <c r="M597" s="7">
        <v>4158.21</v>
      </c>
      <c r="N597" s="7">
        <v>3104.03</v>
      </c>
      <c r="O597" s="7">
        <v>2612.63</v>
      </c>
      <c r="P597" s="7">
        <v>2501.4</v>
      </c>
      <c r="Q597" s="7"/>
      <c r="R597" s="7">
        <v>7542.1452920000002</v>
      </c>
      <c r="S597" s="7">
        <v>4158.2148360000001</v>
      </c>
      <c r="T597" s="7">
        <v>3104.0293999999999</v>
      </c>
      <c r="U597" s="7">
        <v>2612.626886</v>
      </c>
      <c r="V597" s="7">
        <v>2501.4005379999999</v>
      </c>
      <c r="AR597" s="15" t="s">
        <v>249</v>
      </c>
      <c r="AS597" s="15" t="s">
        <v>567</v>
      </c>
      <c r="AT597" s="15" t="s">
        <v>962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328</v>
      </c>
      <c r="D598" t="s">
        <v>322</v>
      </c>
      <c r="E598" t="s">
        <v>260</v>
      </c>
      <c r="I598" t="s">
        <v>323</v>
      </c>
      <c r="J598" s="7"/>
      <c r="K598" s="7"/>
      <c r="L598" s="7">
        <v>965.29</v>
      </c>
      <c r="M598" s="7"/>
      <c r="N598" s="7"/>
      <c r="O598" s="7"/>
      <c r="P598" s="7"/>
      <c r="Q598" s="7"/>
      <c r="R598" s="7">
        <v>965.29408179999996</v>
      </c>
      <c r="S598" s="7"/>
      <c r="T598" s="7"/>
      <c r="U598" s="7"/>
      <c r="V598" s="7"/>
      <c r="AR598" s="15" t="s">
        <v>249</v>
      </c>
      <c r="AS598" s="15" t="s">
        <v>567</v>
      </c>
      <c r="AT598" s="15" t="s">
        <v>963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328</v>
      </c>
      <c r="D599" t="s">
        <v>322</v>
      </c>
      <c r="E599" t="s">
        <v>261</v>
      </c>
      <c r="I599" t="s">
        <v>323</v>
      </c>
      <c r="J599" s="7"/>
      <c r="K599" s="7"/>
      <c r="L599" s="7"/>
      <c r="M599" s="7">
        <v>3039.58</v>
      </c>
      <c r="N599" s="7">
        <v>1245.6600000000001</v>
      </c>
      <c r="O599" s="7">
        <v>1072.05</v>
      </c>
      <c r="P599" s="7">
        <v>1072.05</v>
      </c>
      <c r="Q599" s="7"/>
      <c r="R599" s="7"/>
      <c r="S599" s="7">
        <v>3076.969325</v>
      </c>
      <c r="T599" s="7">
        <v>1595.220724</v>
      </c>
      <c r="U599" s="7">
        <v>1071.7593999999999</v>
      </c>
      <c r="V599" s="7">
        <v>1071.7593999999999</v>
      </c>
      <c r="AR599" s="15" t="s">
        <v>249</v>
      </c>
      <c r="AS599" s="15" t="s">
        <v>567</v>
      </c>
      <c r="AT599" s="15" t="s">
        <v>964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328</v>
      </c>
      <c r="D600" t="s">
        <v>322</v>
      </c>
      <c r="E600" t="s">
        <v>262</v>
      </c>
      <c r="I600" t="s">
        <v>323</v>
      </c>
      <c r="J600" s="7"/>
      <c r="K600" s="7"/>
      <c r="L600" s="7"/>
      <c r="M600" s="7">
        <v>2304.09</v>
      </c>
      <c r="N600" s="7">
        <v>1136.31</v>
      </c>
      <c r="O600" s="7">
        <v>666.85</v>
      </c>
      <c r="P600" s="7">
        <v>634.71</v>
      </c>
      <c r="Q600" s="7"/>
      <c r="R600" s="7"/>
      <c r="S600" s="7">
        <v>2307.2582419999999</v>
      </c>
      <c r="T600" s="7">
        <v>2140.7867959999999</v>
      </c>
      <c r="U600" s="7">
        <v>819.54217649999998</v>
      </c>
      <c r="V600" s="7">
        <v>675.35594379999998</v>
      </c>
      <c r="AR600" s="15" t="s">
        <v>249</v>
      </c>
      <c r="AS600" s="15" t="s">
        <v>567</v>
      </c>
      <c r="AT600" s="15" t="s">
        <v>965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328</v>
      </c>
      <c r="D601" t="s">
        <v>322</v>
      </c>
      <c r="E601" t="s">
        <v>263</v>
      </c>
      <c r="I601" t="s">
        <v>323</v>
      </c>
      <c r="J601" s="7"/>
      <c r="K601" s="7"/>
      <c r="L601" s="7">
        <v>363.43</v>
      </c>
      <c r="M601" s="7">
        <v>368.42</v>
      </c>
      <c r="N601" s="7">
        <v>375.08</v>
      </c>
      <c r="O601" s="7">
        <v>383.4</v>
      </c>
      <c r="P601" s="7">
        <v>394.6</v>
      </c>
      <c r="Q601" s="7"/>
      <c r="R601" s="7">
        <v>363.43</v>
      </c>
      <c r="S601" s="7">
        <v>368.42</v>
      </c>
      <c r="T601" s="7">
        <v>375.08</v>
      </c>
      <c r="U601" s="7">
        <v>383.4</v>
      </c>
      <c r="V601" s="7">
        <v>394.6</v>
      </c>
      <c r="AR601" s="15" t="s">
        <v>249</v>
      </c>
      <c r="AS601" s="15" t="s">
        <v>567</v>
      </c>
      <c r="AT601" s="15" t="s">
        <v>966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328</v>
      </c>
      <c r="D602" t="s">
        <v>322</v>
      </c>
      <c r="E602" t="s">
        <v>264</v>
      </c>
      <c r="I602" t="s">
        <v>323</v>
      </c>
      <c r="J602" s="7"/>
      <c r="K602" s="7"/>
      <c r="L602" s="7">
        <v>563.28</v>
      </c>
      <c r="M602" s="7">
        <v>536.36</v>
      </c>
      <c r="N602" s="7">
        <v>378.82</v>
      </c>
      <c r="O602" s="7">
        <v>378.82</v>
      </c>
      <c r="P602" s="7">
        <v>378.82</v>
      </c>
      <c r="Q602" s="7"/>
      <c r="R602" s="7">
        <v>563.28</v>
      </c>
      <c r="S602" s="7">
        <v>549.55999999999995</v>
      </c>
      <c r="T602" s="7">
        <v>413.47</v>
      </c>
      <c r="U602" s="7">
        <v>413.47</v>
      </c>
      <c r="V602" s="7">
        <v>413.47</v>
      </c>
      <c r="AR602" s="15" t="s">
        <v>249</v>
      </c>
      <c r="AS602" s="15" t="s">
        <v>567</v>
      </c>
      <c r="AT602" s="15" t="s">
        <v>967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328</v>
      </c>
      <c r="D603" t="s">
        <v>322</v>
      </c>
      <c r="E603" t="s">
        <v>265</v>
      </c>
      <c r="I603" t="s">
        <v>323</v>
      </c>
      <c r="J603" s="7"/>
      <c r="K603" s="7"/>
      <c r="L603" s="7">
        <v>748.66</v>
      </c>
      <c r="M603" s="7">
        <v>644.29999999999995</v>
      </c>
      <c r="N603" s="7">
        <v>537.66999999999996</v>
      </c>
      <c r="O603" s="7">
        <v>431.38</v>
      </c>
      <c r="P603" s="7">
        <v>408.55</v>
      </c>
      <c r="Q603" s="7"/>
      <c r="R603" s="7">
        <v>748.66</v>
      </c>
      <c r="S603" s="7">
        <v>644.29999999999995</v>
      </c>
      <c r="T603" s="7">
        <v>431.38</v>
      </c>
      <c r="U603" s="7">
        <v>431.38</v>
      </c>
      <c r="V603" s="7">
        <v>408.55</v>
      </c>
      <c r="AR603" s="15" t="s">
        <v>249</v>
      </c>
      <c r="AS603" s="15" t="s">
        <v>567</v>
      </c>
      <c r="AT603" s="15" t="s">
        <v>968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328</v>
      </c>
      <c r="D604" t="s">
        <v>322</v>
      </c>
      <c r="E604" t="s">
        <v>266</v>
      </c>
      <c r="I604" t="s">
        <v>323</v>
      </c>
      <c r="J604" s="7"/>
      <c r="K604" s="7"/>
      <c r="L604" s="7">
        <v>410.61</v>
      </c>
      <c r="M604" s="7"/>
      <c r="N604" s="7"/>
      <c r="O604" s="7"/>
      <c r="P604" s="7"/>
      <c r="Q604" s="7"/>
      <c r="R604" s="7">
        <v>410.6135299</v>
      </c>
      <c r="S604" s="7"/>
      <c r="T604" s="7"/>
      <c r="U604" s="7"/>
      <c r="V604" s="7"/>
      <c r="AR604" s="15" t="s">
        <v>249</v>
      </c>
      <c r="AS604" s="15" t="s">
        <v>567</v>
      </c>
      <c r="AT604" s="15" t="s">
        <v>969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328</v>
      </c>
      <c r="D605" t="s">
        <v>322</v>
      </c>
      <c r="E605" t="s">
        <v>267</v>
      </c>
      <c r="I605" t="s">
        <v>323</v>
      </c>
      <c r="J605" s="7"/>
      <c r="K605" s="7"/>
      <c r="L605" s="7">
        <v>643.41</v>
      </c>
      <c r="M605" s="7"/>
      <c r="N605" s="7"/>
      <c r="O605" s="7"/>
      <c r="P605" s="7"/>
      <c r="Q605" s="7"/>
      <c r="R605" s="7">
        <v>643.41352989999996</v>
      </c>
      <c r="S605" s="7"/>
      <c r="T605" s="7"/>
      <c r="U605" s="7"/>
      <c r="V605" s="7"/>
      <c r="AR605" s="15" t="s">
        <v>249</v>
      </c>
      <c r="AS605" s="15" t="s">
        <v>567</v>
      </c>
      <c r="AT605" s="15" t="s">
        <v>970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328</v>
      </c>
      <c r="D606" t="s">
        <v>322</v>
      </c>
      <c r="E606" t="s">
        <v>268</v>
      </c>
      <c r="I606" t="s">
        <v>323</v>
      </c>
      <c r="J606" s="7"/>
      <c r="K606" s="7"/>
      <c r="L606" s="7">
        <v>886.91</v>
      </c>
      <c r="M606" s="7"/>
      <c r="N606" s="7"/>
      <c r="O606" s="7"/>
      <c r="P606" s="7"/>
      <c r="Q606" s="7"/>
      <c r="R606" s="7">
        <v>886.90625</v>
      </c>
      <c r="S606" s="7"/>
      <c r="T606" s="7"/>
      <c r="U606" s="7"/>
      <c r="V606" s="7"/>
      <c r="AR606" s="15" t="s">
        <v>249</v>
      </c>
      <c r="AS606" s="15" t="s">
        <v>567</v>
      </c>
      <c r="AT606" s="15" t="s">
        <v>971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328</v>
      </c>
      <c r="D607" t="s">
        <v>322</v>
      </c>
      <c r="E607" t="s">
        <v>269</v>
      </c>
      <c r="I607" t="s">
        <v>323</v>
      </c>
      <c r="J607" s="7"/>
      <c r="K607" s="7"/>
      <c r="L607" s="7">
        <v>545.78</v>
      </c>
      <c r="M607" s="7"/>
      <c r="N607" s="7"/>
      <c r="O607" s="7"/>
      <c r="P607" s="7"/>
      <c r="Q607" s="7"/>
      <c r="R607" s="7">
        <v>545.78192360000003</v>
      </c>
      <c r="S607" s="7"/>
      <c r="T607" s="7"/>
      <c r="U607" s="7"/>
      <c r="V607" s="7"/>
      <c r="AR607" s="15" t="s">
        <v>249</v>
      </c>
      <c r="AS607" s="15" t="s">
        <v>567</v>
      </c>
      <c r="AT607" s="15" t="s">
        <v>972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328</v>
      </c>
      <c r="D608" t="s">
        <v>322</v>
      </c>
      <c r="E608" t="s">
        <v>270</v>
      </c>
      <c r="I608" t="s">
        <v>323</v>
      </c>
      <c r="J608" s="7"/>
      <c r="K608" s="7"/>
      <c r="L608" s="7">
        <v>684.45</v>
      </c>
      <c r="M608" s="7"/>
      <c r="N608" s="7"/>
      <c r="O608" s="7"/>
      <c r="P608" s="7"/>
      <c r="Q608" s="7"/>
      <c r="R608" s="7">
        <v>684.44859020000001</v>
      </c>
      <c r="S608" s="7"/>
      <c r="T608" s="7"/>
      <c r="U608" s="7"/>
      <c r="V608" s="7"/>
      <c r="AR608" s="15" t="s">
        <v>249</v>
      </c>
      <c r="AS608" s="15" t="s">
        <v>567</v>
      </c>
      <c r="AT608" s="15" t="s">
        <v>973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328</v>
      </c>
      <c r="D609" t="s">
        <v>322</v>
      </c>
      <c r="E609" t="s">
        <v>271</v>
      </c>
      <c r="I609" t="s">
        <v>323</v>
      </c>
      <c r="J609" s="7"/>
      <c r="K609" s="7"/>
      <c r="L609" s="7">
        <v>466.67</v>
      </c>
      <c r="M609" s="7"/>
      <c r="N609" s="7"/>
      <c r="O609" s="7"/>
      <c r="P609" s="7"/>
      <c r="Q609" s="7"/>
      <c r="R609" s="7">
        <v>466.66521740000002</v>
      </c>
      <c r="S609" s="7"/>
      <c r="T609" s="7"/>
      <c r="U609" s="7"/>
      <c r="V609" s="7"/>
      <c r="AR609" s="15" t="s">
        <v>249</v>
      </c>
      <c r="AS609" s="15" t="s">
        <v>567</v>
      </c>
      <c r="AT609" s="15" t="s">
        <v>974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328</v>
      </c>
      <c r="D610" t="s">
        <v>322</v>
      </c>
      <c r="E610" t="s">
        <v>272</v>
      </c>
      <c r="I610" t="s">
        <v>323</v>
      </c>
      <c r="J610" s="7"/>
      <c r="K610" s="7"/>
      <c r="L610" s="7">
        <v>435.73</v>
      </c>
      <c r="M610" s="7"/>
      <c r="N610" s="7"/>
      <c r="O610" s="7"/>
      <c r="P610" s="7"/>
      <c r="Q610" s="7"/>
      <c r="R610" s="7">
        <v>435.7348447</v>
      </c>
      <c r="S610" s="7"/>
      <c r="T610" s="7"/>
      <c r="U610" s="7"/>
      <c r="V610" s="7"/>
      <c r="AR610" s="15" t="s">
        <v>249</v>
      </c>
      <c r="AS610" s="15" t="s">
        <v>567</v>
      </c>
      <c r="AT610" s="15" t="s">
        <v>975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328</v>
      </c>
      <c r="D611" t="s">
        <v>322</v>
      </c>
      <c r="E611" t="s">
        <v>273</v>
      </c>
      <c r="I611" t="s">
        <v>323</v>
      </c>
      <c r="J611" s="7"/>
      <c r="K611" s="7"/>
      <c r="L611" s="7">
        <v>986.67560319999995</v>
      </c>
      <c r="M611" s="7"/>
      <c r="N611" s="7"/>
      <c r="O611" s="7"/>
      <c r="P611" s="7"/>
      <c r="Q611" s="7"/>
      <c r="R611" s="7">
        <v>986.67560319999995</v>
      </c>
      <c r="S611" s="7"/>
      <c r="T611" s="7"/>
      <c r="U611" s="7"/>
      <c r="V611" s="7"/>
      <c r="AR611" s="15" t="s">
        <v>249</v>
      </c>
      <c r="AS611" s="15" t="s">
        <v>567</v>
      </c>
      <c r="AT611" s="15" t="s">
        <v>976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328</v>
      </c>
      <c r="D612" t="s">
        <v>322</v>
      </c>
      <c r="E612" t="s">
        <v>274</v>
      </c>
      <c r="I612" t="s">
        <v>323</v>
      </c>
      <c r="J612" s="7"/>
      <c r="K612" s="7"/>
      <c r="L612" s="7">
        <v>1480.0134048</v>
      </c>
      <c r="M612" s="7"/>
      <c r="N612" s="7"/>
      <c r="O612" s="7"/>
      <c r="P612" s="7"/>
      <c r="Q612" s="7"/>
      <c r="R612" s="7">
        <v>1480.0134048</v>
      </c>
      <c r="S612" s="7"/>
      <c r="T612" s="7"/>
      <c r="U612" s="7"/>
      <c r="V612" s="7"/>
      <c r="AR612" s="15" t="s">
        <v>249</v>
      </c>
      <c r="AS612" s="15" t="s">
        <v>567</v>
      </c>
      <c r="AT612" s="15" t="s">
        <v>977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328</v>
      </c>
      <c r="D613" t="s">
        <v>322</v>
      </c>
      <c r="E613" t="s">
        <v>275</v>
      </c>
      <c r="I613" t="s">
        <v>323</v>
      </c>
      <c r="J613" s="7"/>
      <c r="K613" s="7"/>
      <c r="L613" s="7">
        <v>1076.086957</v>
      </c>
      <c r="M613" s="7"/>
      <c r="N613" s="7"/>
      <c r="O613" s="7"/>
      <c r="P613" s="7"/>
      <c r="Q613" s="7"/>
      <c r="R613" s="7">
        <v>1076.086957</v>
      </c>
      <c r="S613" s="7"/>
      <c r="T613" s="7"/>
      <c r="U613" s="7"/>
      <c r="V613" s="7"/>
      <c r="AR613" s="15" t="s">
        <v>249</v>
      </c>
      <c r="AS613" s="15" t="s">
        <v>567</v>
      </c>
      <c r="AT613" s="15" t="s">
        <v>978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328</v>
      </c>
      <c r="D614" t="s">
        <v>322</v>
      </c>
      <c r="E614" t="s">
        <v>276</v>
      </c>
      <c r="I614" t="s">
        <v>323</v>
      </c>
      <c r="J614" s="7"/>
      <c r="K614" s="7"/>
      <c r="L614" s="7">
        <v>545.78192360000003</v>
      </c>
      <c r="M614" s="7"/>
      <c r="N614" s="7"/>
      <c r="O614" s="7"/>
      <c r="P614" s="7"/>
      <c r="Q614" s="7"/>
      <c r="R614" s="7">
        <v>545.78192360000003</v>
      </c>
      <c r="S614" s="7"/>
      <c r="T614" s="7"/>
      <c r="U614" s="7"/>
      <c r="V614" s="7"/>
      <c r="AR614" s="15" t="s">
        <v>249</v>
      </c>
      <c r="AS614" s="15" t="s">
        <v>567</v>
      </c>
      <c r="AT614" s="15" t="s">
        <v>979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328</v>
      </c>
      <c r="D615" t="s">
        <v>322</v>
      </c>
      <c r="E615" t="s">
        <v>277</v>
      </c>
      <c r="I615" t="s">
        <v>323</v>
      </c>
      <c r="J615" s="7"/>
      <c r="K615" s="7"/>
      <c r="L615" s="7">
        <v>1076.086957</v>
      </c>
      <c r="M615" s="7"/>
      <c r="N615" s="7"/>
      <c r="O615" s="7"/>
      <c r="P615" s="7"/>
      <c r="Q615" s="7"/>
      <c r="R615" s="7">
        <v>1076.086957</v>
      </c>
      <c r="S615" s="7"/>
      <c r="T615" s="7"/>
      <c r="U615" s="7"/>
      <c r="V615" s="7"/>
      <c r="AR615" s="15" t="s">
        <v>249</v>
      </c>
      <c r="AS615" s="15" t="s">
        <v>567</v>
      </c>
      <c r="AT615" s="15" t="s">
        <v>980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328</v>
      </c>
      <c r="D616" t="s">
        <v>322</v>
      </c>
      <c r="E616" t="s">
        <v>278</v>
      </c>
      <c r="I616" t="s">
        <v>323</v>
      </c>
      <c r="J616" s="7"/>
      <c r="K616" s="7"/>
      <c r="L616" s="7">
        <v>805.55166150000002</v>
      </c>
      <c r="M616" s="7"/>
      <c r="N616" s="7"/>
      <c r="O616" s="7"/>
      <c r="P616" s="7"/>
      <c r="Q616" s="7"/>
      <c r="R616" s="7">
        <v>805.55166150000002</v>
      </c>
      <c r="S616" s="7"/>
      <c r="T616" s="7"/>
      <c r="U616" s="7"/>
      <c r="V616" s="7"/>
      <c r="AR616" s="15" t="s">
        <v>249</v>
      </c>
      <c r="AS616" s="15" t="s">
        <v>567</v>
      </c>
      <c r="AT616" s="15" t="s">
        <v>981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328</v>
      </c>
      <c r="D617" t="s">
        <v>322</v>
      </c>
      <c r="E617" t="s">
        <v>279</v>
      </c>
      <c r="I617" t="s">
        <v>323</v>
      </c>
      <c r="J617" s="7"/>
      <c r="K617" s="7"/>
      <c r="L617" s="7"/>
      <c r="M617" s="7"/>
      <c r="N617" s="7">
        <v>8324.9303490000002</v>
      </c>
      <c r="O617" s="7">
        <v>3100.938658</v>
      </c>
      <c r="P617" s="7">
        <v>2603.4835670000002</v>
      </c>
      <c r="Q617" s="7"/>
      <c r="R617" s="7"/>
      <c r="S617" s="7"/>
      <c r="T617" s="7">
        <v>8412.925432</v>
      </c>
      <c r="U617" s="7">
        <v>4519.7524839999996</v>
      </c>
      <c r="V617" s="7">
        <v>2771.3656569999998</v>
      </c>
      <c r="AR617" s="15" t="s">
        <v>249</v>
      </c>
      <c r="AS617" s="15" t="s">
        <v>567</v>
      </c>
      <c r="AT617" s="15" t="s">
        <v>982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328</v>
      </c>
      <c r="D618" t="s">
        <v>322</v>
      </c>
      <c r="E618" t="s">
        <v>280</v>
      </c>
      <c r="I618" t="s">
        <v>323</v>
      </c>
      <c r="J618" s="7"/>
      <c r="K618" s="7"/>
      <c r="L618" s="7"/>
      <c r="M618" s="7"/>
      <c r="N618" s="7">
        <v>2655.8181939999999</v>
      </c>
      <c r="O618" s="7">
        <v>1462.702403</v>
      </c>
      <c r="P618" s="7">
        <v>915.34298969999998</v>
      </c>
      <c r="Q618" s="7"/>
      <c r="R618" s="7"/>
      <c r="S618" s="7"/>
      <c r="T618" s="7">
        <v>2742.3666739999999</v>
      </c>
      <c r="U618" s="7">
        <v>2658.4979920000001</v>
      </c>
      <c r="V618" s="7">
        <v>1086.065515</v>
      </c>
      <c r="AR618" s="15" t="s">
        <v>249</v>
      </c>
      <c r="AS618" s="15" t="s">
        <v>567</v>
      </c>
      <c r="AT618" s="15" t="s">
        <v>983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328</v>
      </c>
      <c r="D619" t="s">
        <v>322</v>
      </c>
      <c r="E619" t="s">
        <v>281</v>
      </c>
      <c r="I619" t="s">
        <v>323</v>
      </c>
      <c r="J619" s="7"/>
      <c r="K619" s="7"/>
      <c r="L619" s="7">
        <v>1273.6606770000001</v>
      </c>
      <c r="M619" s="7"/>
      <c r="N619" s="7"/>
      <c r="O619" s="7"/>
      <c r="P619" s="7"/>
      <c r="Q619" s="7"/>
      <c r="R619" s="7">
        <v>1273.6606770000001</v>
      </c>
      <c r="S619" s="7"/>
      <c r="T619" s="7"/>
      <c r="U619" s="7"/>
      <c r="V619" s="7"/>
      <c r="AR619" s="15" t="s">
        <v>249</v>
      </c>
      <c r="AS619" s="15" t="s">
        <v>567</v>
      </c>
      <c r="AT619" s="15" t="s">
        <v>984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328</v>
      </c>
      <c r="D620" t="s">
        <v>322</v>
      </c>
      <c r="E620" t="s">
        <v>282</v>
      </c>
      <c r="I620" t="s">
        <v>323</v>
      </c>
      <c r="J620" s="7"/>
      <c r="K620" s="7"/>
      <c r="L620" s="7"/>
      <c r="M620" s="7"/>
      <c r="N620" s="7">
        <v>3705.3622009999999</v>
      </c>
      <c r="O620" s="7">
        <v>2259.0593899999999</v>
      </c>
      <c r="P620" s="7">
        <v>2192.975156</v>
      </c>
      <c r="Q620" s="7"/>
      <c r="R620" s="7"/>
      <c r="S620" s="7"/>
      <c r="T620" s="7">
        <v>6998.6691650000002</v>
      </c>
      <c r="U620" s="7">
        <v>2677.2720060000001</v>
      </c>
      <c r="V620" s="7">
        <v>2331.8507960000002</v>
      </c>
      <c r="AR620" s="15" t="s">
        <v>249</v>
      </c>
      <c r="AS620" s="15" t="s">
        <v>567</v>
      </c>
      <c r="AT620" s="15" t="s">
        <v>985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328</v>
      </c>
      <c r="D621" t="s">
        <v>322</v>
      </c>
      <c r="E621" t="s">
        <v>283</v>
      </c>
      <c r="I621" t="s">
        <v>323</v>
      </c>
      <c r="J621" s="7"/>
      <c r="K621" s="7"/>
      <c r="L621" s="7"/>
      <c r="M621" s="7"/>
      <c r="N621" s="7">
        <v>2363.437582</v>
      </c>
      <c r="O621" s="7">
        <v>957.61579400000005</v>
      </c>
      <c r="P621" s="7">
        <v>814.89585390000002</v>
      </c>
      <c r="Q621" s="7"/>
      <c r="R621" s="7"/>
      <c r="S621" s="7"/>
      <c r="T621" s="7">
        <v>2440.4418000000001</v>
      </c>
      <c r="U621" s="7">
        <v>1358.6703199999999</v>
      </c>
      <c r="V621" s="7">
        <v>858.76815669999996</v>
      </c>
      <c r="AR621" s="15" t="s">
        <v>249</v>
      </c>
      <c r="AS621" s="15" t="s">
        <v>567</v>
      </c>
      <c r="AT621" s="15" t="s">
        <v>986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328</v>
      </c>
      <c r="D622" t="s">
        <v>322</v>
      </c>
      <c r="E622" t="s">
        <v>284</v>
      </c>
      <c r="I622" t="s">
        <v>323</v>
      </c>
      <c r="J622" s="7"/>
      <c r="K622" s="7"/>
      <c r="L622" s="7">
        <v>174.66122179999999</v>
      </c>
      <c r="M622" s="7"/>
      <c r="N622" s="7"/>
      <c r="O622" s="7"/>
      <c r="P622" s="7"/>
      <c r="Q622" s="7"/>
      <c r="R622" s="7">
        <v>174.66122179999999</v>
      </c>
      <c r="S622" s="7"/>
      <c r="T622" s="7"/>
      <c r="U622" s="7"/>
      <c r="V622" s="7"/>
      <c r="AR622" s="15" t="s">
        <v>249</v>
      </c>
      <c r="AS622" s="15" t="s">
        <v>567</v>
      </c>
      <c r="AT622" s="15" t="s">
        <v>987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328</v>
      </c>
      <c r="D623" t="s">
        <v>322</v>
      </c>
      <c r="E623" t="s">
        <v>285</v>
      </c>
      <c r="I623" t="s">
        <v>323</v>
      </c>
      <c r="J623" s="7"/>
      <c r="K623" s="7"/>
      <c r="L623" s="7">
        <v>6000</v>
      </c>
      <c r="M623" s="7"/>
      <c r="N623" s="7"/>
      <c r="O623" s="7"/>
      <c r="P623" s="7"/>
      <c r="Q623" s="7"/>
      <c r="R623" s="7">
        <v>6000</v>
      </c>
      <c r="S623" s="7"/>
      <c r="T623" s="7"/>
      <c r="U623" s="7"/>
      <c r="V623" s="7"/>
      <c r="AR623" s="15" t="s">
        <v>249</v>
      </c>
      <c r="AS623" s="15" t="s">
        <v>567</v>
      </c>
      <c r="AT623" s="15" t="s">
        <v>988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328</v>
      </c>
      <c r="D624" t="s">
        <v>322</v>
      </c>
      <c r="E624" t="s">
        <v>286</v>
      </c>
      <c r="I624" t="s">
        <v>323</v>
      </c>
      <c r="J624" s="7"/>
      <c r="K624" s="7"/>
      <c r="L624" s="7">
        <v>6257.14</v>
      </c>
      <c r="M624" s="7"/>
      <c r="N624" s="7"/>
      <c r="O624" s="7"/>
      <c r="P624" s="7"/>
      <c r="Q624" s="7"/>
      <c r="R624" s="7">
        <v>6257.1428569999998</v>
      </c>
      <c r="S624" s="7"/>
      <c r="T624" s="7"/>
      <c r="U624" s="7"/>
      <c r="V624" s="7"/>
      <c r="AR624" s="15" t="s">
        <v>249</v>
      </c>
      <c r="AS624" s="15" t="s">
        <v>567</v>
      </c>
      <c r="AT624" s="15" t="s">
        <v>989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328</v>
      </c>
      <c r="D625" t="s">
        <v>322</v>
      </c>
      <c r="E625" t="s">
        <v>287</v>
      </c>
      <c r="I625" t="s">
        <v>323</v>
      </c>
      <c r="J625" s="7"/>
      <c r="K625" s="7"/>
      <c r="L625" s="7">
        <v>1076.0899999999999</v>
      </c>
      <c r="M625" s="7"/>
      <c r="N625" s="7"/>
      <c r="O625" s="7"/>
      <c r="P625" s="7"/>
      <c r="Q625" s="7"/>
      <c r="R625" s="7">
        <v>1076.086957</v>
      </c>
      <c r="S625" s="7"/>
      <c r="T625" s="7"/>
      <c r="U625" s="7"/>
      <c r="V625" s="7"/>
      <c r="AR625" s="15" t="s">
        <v>249</v>
      </c>
      <c r="AS625" s="15" t="s">
        <v>567</v>
      </c>
      <c r="AT625" s="15" t="s">
        <v>990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328</v>
      </c>
      <c r="D626" t="s">
        <v>322</v>
      </c>
      <c r="E626" t="s">
        <v>288</v>
      </c>
      <c r="I626" t="s">
        <v>323</v>
      </c>
      <c r="J626" s="7"/>
      <c r="K626" s="7"/>
      <c r="L626" s="7">
        <v>1851.87</v>
      </c>
      <c r="M626" s="7">
        <v>1898.16</v>
      </c>
      <c r="N626" s="7">
        <v>1962.98</v>
      </c>
      <c r="O626" s="7">
        <v>2042.5</v>
      </c>
      <c r="P626" s="7">
        <v>2096.9699999999998</v>
      </c>
      <c r="Q626" s="7"/>
      <c r="R626" s="7">
        <v>1851.866667</v>
      </c>
      <c r="S626" s="7">
        <v>1898.163333</v>
      </c>
      <c r="T626" s="7">
        <v>1962.9786670000001</v>
      </c>
      <c r="U626" s="7">
        <v>2042.5</v>
      </c>
      <c r="V626" s="7">
        <v>2096.9666670000001</v>
      </c>
      <c r="AR626" s="15" t="s">
        <v>249</v>
      </c>
      <c r="AS626" s="15" t="s">
        <v>567</v>
      </c>
      <c r="AT626" s="15" t="s">
        <v>991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328</v>
      </c>
      <c r="D627" t="s">
        <v>322</v>
      </c>
      <c r="E627" t="s">
        <v>289</v>
      </c>
      <c r="I627" t="s">
        <v>323</v>
      </c>
      <c r="J627" s="7"/>
      <c r="K627" s="7"/>
      <c r="L627" s="7">
        <v>6565.01</v>
      </c>
      <c r="M627" s="7">
        <v>3423.68</v>
      </c>
      <c r="N627" s="7">
        <v>2040.4</v>
      </c>
      <c r="O627" s="7">
        <v>2040.4</v>
      </c>
      <c r="P627" s="7">
        <v>2040.4</v>
      </c>
      <c r="Q627" s="7"/>
      <c r="R627" s="7">
        <v>6565.0101119999999</v>
      </c>
      <c r="S627" s="7">
        <v>3455.2448639999998</v>
      </c>
      <c r="T627" s="7">
        <v>2084.8753830000001</v>
      </c>
      <c r="U627" s="7">
        <v>2084.8753830000001</v>
      </c>
      <c r="V627" s="7">
        <v>2084.8753830000001</v>
      </c>
      <c r="AR627" s="15" t="s">
        <v>249</v>
      </c>
      <c r="AS627" s="15" t="s">
        <v>567</v>
      </c>
      <c r="AT627" s="15" t="s">
        <v>992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328</v>
      </c>
      <c r="D628" t="s">
        <v>322</v>
      </c>
      <c r="E628" t="s">
        <v>290</v>
      </c>
      <c r="I628" t="s">
        <v>323</v>
      </c>
      <c r="J628" s="7"/>
      <c r="K628" s="7"/>
      <c r="L628" s="7">
        <v>7542.15</v>
      </c>
      <c r="M628" s="7">
        <v>4158.21</v>
      </c>
      <c r="N628" s="7">
        <v>3104.03</v>
      </c>
      <c r="O628" s="7">
        <v>2612.63</v>
      </c>
      <c r="P628" s="7">
        <v>2501.4</v>
      </c>
      <c r="Q628" s="7"/>
      <c r="R628" s="7">
        <v>7542.1452920000002</v>
      </c>
      <c r="S628" s="7">
        <v>4158.2148360000001</v>
      </c>
      <c r="T628" s="7">
        <v>3104.0293999999999</v>
      </c>
      <c r="U628" s="7">
        <v>2612.626886</v>
      </c>
      <c r="V628" s="7">
        <v>2501.4005379999999</v>
      </c>
      <c r="AR628" s="15" t="s">
        <v>249</v>
      </c>
      <c r="AS628" s="15" t="s">
        <v>567</v>
      </c>
      <c r="AT628" s="15" t="s">
        <v>993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328</v>
      </c>
      <c r="D629" t="s">
        <v>322</v>
      </c>
      <c r="E629" t="s">
        <v>291</v>
      </c>
      <c r="I629" t="s">
        <v>323</v>
      </c>
      <c r="J629" s="7"/>
      <c r="K629" s="7"/>
      <c r="L629" s="7">
        <v>1560.07</v>
      </c>
      <c r="M629" s="7">
        <v>1560.07</v>
      </c>
      <c r="N629" s="7"/>
      <c r="O629" s="7"/>
      <c r="P629" s="7"/>
      <c r="Q629" s="7"/>
      <c r="R629" s="7">
        <v>1560.0712430000001</v>
      </c>
      <c r="S629" s="7">
        <v>1560.0712430000001</v>
      </c>
      <c r="T629" s="7"/>
      <c r="U629" s="7"/>
      <c r="V629" s="7"/>
      <c r="AR629" s="15" t="s">
        <v>249</v>
      </c>
      <c r="AS629" s="15" t="s">
        <v>567</v>
      </c>
      <c r="AT629" s="15" t="s">
        <v>994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328</v>
      </c>
      <c r="D630" t="s">
        <v>322</v>
      </c>
      <c r="E630" t="s">
        <v>292</v>
      </c>
      <c r="I630" t="s">
        <v>323</v>
      </c>
      <c r="J630" s="7"/>
      <c r="K630" s="7"/>
      <c r="L630" s="7"/>
      <c r="M630" s="7">
        <v>10778.63</v>
      </c>
      <c r="N630" s="7">
        <v>4403.3599999999997</v>
      </c>
      <c r="O630" s="7">
        <v>3838.55</v>
      </c>
      <c r="P630" s="7">
        <v>3838.55</v>
      </c>
      <c r="Q630" s="7"/>
      <c r="R630" s="7"/>
      <c r="S630" s="7">
        <v>10961.1096</v>
      </c>
      <c r="T630" s="7">
        <v>5626.2886559999997</v>
      </c>
      <c r="U630" s="7">
        <v>3923.314973</v>
      </c>
      <c r="V630" s="7">
        <v>3923.314973</v>
      </c>
      <c r="AR630" s="15" t="s">
        <v>249</v>
      </c>
      <c r="AS630" s="15" t="s">
        <v>567</v>
      </c>
      <c r="AT630" s="15" t="s">
        <v>995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328</v>
      </c>
      <c r="D631" t="s">
        <v>322</v>
      </c>
      <c r="E631" t="s">
        <v>293</v>
      </c>
      <c r="I631" t="s">
        <v>323</v>
      </c>
      <c r="J631" s="7"/>
      <c r="K631" s="7"/>
      <c r="L631" s="7"/>
      <c r="M631" s="7">
        <v>10787.46</v>
      </c>
      <c r="N631" s="7">
        <v>5195.41</v>
      </c>
      <c r="O631" s="7">
        <v>2947.36</v>
      </c>
      <c r="P631" s="7">
        <v>2793.42</v>
      </c>
      <c r="Q631" s="7"/>
      <c r="R631" s="7"/>
      <c r="S631" s="7">
        <v>10802.64415</v>
      </c>
      <c r="T631" s="7">
        <v>10005.474490000001</v>
      </c>
      <c r="U631" s="7">
        <v>3678.5268190000002</v>
      </c>
      <c r="V631" s="7">
        <v>2988.0727310000002</v>
      </c>
      <c r="AR631" s="15" t="s">
        <v>249</v>
      </c>
      <c r="AS631" s="15" t="s">
        <v>567</v>
      </c>
      <c r="AT631" s="15" t="s">
        <v>996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328</v>
      </c>
      <c r="D632" t="s">
        <v>322</v>
      </c>
      <c r="E632" t="s">
        <v>294</v>
      </c>
      <c r="I632" t="s">
        <v>323</v>
      </c>
      <c r="J632" s="7"/>
      <c r="K632" s="7"/>
      <c r="L632" s="7">
        <v>363.43</v>
      </c>
      <c r="M632" s="7">
        <v>368.42</v>
      </c>
      <c r="N632" s="7">
        <v>375.08</v>
      </c>
      <c r="O632" s="7">
        <v>383.4</v>
      </c>
      <c r="P632" s="7">
        <v>394.6</v>
      </c>
      <c r="Q632" s="7"/>
      <c r="R632" s="7">
        <v>363.4257824</v>
      </c>
      <c r="S632" s="7">
        <v>368.41876059999998</v>
      </c>
      <c r="T632" s="7">
        <v>375.07606479999998</v>
      </c>
      <c r="U632" s="7">
        <v>383.39769510000002</v>
      </c>
      <c r="V632" s="7">
        <v>394.6036532</v>
      </c>
      <c r="AR632" s="15" t="s">
        <v>249</v>
      </c>
      <c r="AS632" s="15" t="s">
        <v>567</v>
      </c>
      <c r="AT632" s="15" t="s">
        <v>997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328</v>
      </c>
      <c r="D633" t="s">
        <v>322</v>
      </c>
      <c r="E633" t="s">
        <v>295</v>
      </c>
      <c r="I633" t="s">
        <v>323</v>
      </c>
      <c r="J633" s="7"/>
      <c r="K633" s="7"/>
      <c r="L633" s="7">
        <v>563.28</v>
      </c>
      <c r="M633" s="7">
        <v>536.36</v>
      </c>
      <c r="N633" s="7">
        <v>378.82</v>
      </c>
      <c r="O633" s="7">
        <v>378.82</v>
      </c>
      <c r="P633" s="7">
        <v>378.82</v>
      </c>
      <c r="Q633" s="7"/>
      <c r="R633" s="7">
        <v>563.27611109999998</v>
      </c>
      <c r="S633" s="7">
        <v>549.55551390000005</v>
      </c>
      <c r="T633" s="7">
        <v>413.47444419999999</v>
      </c>
      <c r="U633" s="7">
        <v>413.47444419999999</v>
      </c>
      <c r="V633" s="7">
        <v>413.47444419999999</v>
      </c>
      <c r="AR633" s="15" t="s">
        <v>249</v>
      </c>
      <c r="AS633" s="15" t="s">
        <v>567</v>
      </c>
      <c r="AT633" s="15" t="s">
        <v>998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328</v>
      </c>
      <c r="D634" t="s">
        <v>322</v>
      </c>
      <c r="E634" t="s">
        <v>296</v>
      </c>
      <c r="I634" t="s">
        <v>323</v>
      </c>
      <c r="J634" s="7"/>
      <c r="K634" s="7"/>
      <c r="L634" s="7">
        <v>748.66</v>
      </c>
      <c r="M634" s="7">
        <v>644.29999999999995</v>
      </c>
      <c r="N634" s="7">
        <v>537.66999999999996</v>
      </c>
      <c r="O634" s="7">
        <v>431.38</v>
      </c>
      <c r="P634" s="7">
        <v>408.55</v>
      </c>
      <c r="Q634" s="7"/>
      <c r="R634" s="7">
        <v>748.66000750000001</v>
      </c>
      <c r="S634" s="7">
        <v>644.29869440000004</v>
      </c>
      <c r="T634" s="7">
        <v>431.38474459999998</v>
      </c>
      <c r="U634" s="7">
        <v>431.38474459999998</v>
      </c>
      <c r="V634" s="7">
        <v>408.55235640000001</v>
      </c>
      <c r="AR634" s="15" t="s">
        <v>249</v>
      </c>
      <c r="AS634" s="15" t="s">
        <v>567</v>
      </c>
      <c r="AT634" s="15" t="s">
        <v>999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328</v>
      </c>
      <c r="D635" t="s">
        <v>322</v>
      </c>
      <c r="E635" t="s">
        <v>297</v>
      </c>
      <c r="I635" t="s">
        <v>323</v>
      </c>
      <c r="J635" s="7"/>
      <c r="K635" s="7"/>
      <c r="L635" s="7">
        <v>2400</v>
      </c>
      <c r="M635" s="7"/>
      <c r="N635" s="7"/>
      <c r="O635" s="7"/>
      <c r="P635" s="7"/>
      <c r="Q635" s="7"/>
      <c r="R635" s="7">
        <v>2400</v>
      </c>
      <c r="S635" s="7"/>
      <c r="T635" s="7"/>
      <c r="U635" s="7"/>
      <c r="V635" s="7"/>
      <c r="AR635" s="15" t="s">
        <v>249</v>
      </c>
      <c r="AS635" s="15" t="s">
        <v>567</v>
      </c>
      <c r="AT635" s="15" t="s">
        <v>1000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328</v>
      </c>
      <c r="D636" t="s">
        <v>322</v>
      </c>
      <c r="E636" t="s">
        <v>298</v>
      </c>
      <c r="I636" t="s">
        <v>323</v>
      </c>
      <c r="J636" s="7"/>
      <c r="K636" s="7"/>
      <c r="L636" s="7">
        <v>1076.086957</v>
      </c>
      <c r="M636" s="7"/>
      <c r="N636" s="7"/>
      <c r="O636" s="7"/>
      <c r="P636" s="7"/>
      <c r="Q636" s="7"/>
      <c r="R636" s="7">
        <v>1076.086957</v>
      </c>
      <c r="S636" s="7"/>
      <c r="T636" s="7"/>
      <c r="U636" s="7"/>
      <c r="V636" s="7"/>
      <c r="AR636" s="15" t="s">
        <v>249</v>
      </c>
      <c r="AS636" s="15" t="s">
        <v>567</v>
      </c>
      <c r="AT636" s="15" t="s">
        <v>1001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328</v>
      </c>
      <c r="D637" t="s">
        <v>322</v>
      </c>
      <c r="E637" t="s">
        <v>299</v>
      </c>
      <c r="I637" t="s">
        <v>323</v>
      </c>
      <c r="J637" s="7"/>
      <c r="K637" s="7"/>
      <c r="L637" s="7">
        <v>370.5</v>
      </c>
      <c r="M637" s="7">
        <v>250</v>
      </c>
      <c r="N637" s="7">
        <v>250</v>
      </c>
      <c r="O637" s="7">
        <v>250</v>
      </c>
      <c r="P637" s="7">
        <v>250</v>
      </c>
      <c r="Q637" s="7"/>
      <c r="R637" s="7">
        <v>370.5</v>
      </c>
      <c r="S637" s="7">
        <v>250</v>
      </c>
      <c r="T637" s="7">
        <v>250</v>
      </c>
      <c r="U637" s="7">
        <v>250</v>
      </c>
      <c r="V637" s="7">
        <v>250</v>
      </c>
      <c r="AR637" s="15" t="s">
        <v>249</v>
      </c>
      <c r="AS637" s="15" t="s">
        <v>567</v>
      </c>
      <c r="AT637" s="15" t="s">
        <v>1002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328</v>
      </c>
      <c r="D638" t="s">
        <v>322</v>
      </c>
      <c r="E638" t="s">
        <v>300</v>
      </c>
      <c r="I638" t="s">
        <v>323</v>
      </c>
      <c r="J638" s="7"/>
      <c r="K638" s="7"/>
      <c r="L638" s="7">
        <v>174.82499999999999</v>
      </c>
      <c r="M638" s="7"/>
      <c r="N638" s="7"/>
      <c r="O638" s="7"/>
      <c r="P638" s="7"/>
      <c r="Q638" s="7"/>
      <c r="R638" s="7">
        <v>174.82499999999999</v>
      </c>
      <c r="S638" s="7"/>
      <c r="T638" s="7"/>
      <c r="U638" s="7"/>
      <c r="V638" s="7"/>
      <c r="AR638" s="15" t="s">
        <v>249</v>
      </c>
      <c r="AS638" s="15" t="s">
        <v>567</v>
      </c>
      <c r="AT638" s="15" t="s">
        <v>1003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328</v>
      </c>
      <c r="D639" t="s">
        <v>322</v>
      </c>
      <c r="E639" t="s">
        <v>302</v>
      </c>
      <c r="I639" t="s">
        <v>323</v>
      </c>
      <c r="J639" s="7"/>
      <c r="K639" s="7"/>
      <c r="L639" s="7">
        <v>705.8823529</v>
      </c>
      <c r="M639" s="7"/>
      <c r="N639" s="7"/>
      <c r="O639" s="7"/>
      <c r="P639" s="7"/>
      <c r="Q639" s="7"/>
      <c r="R639" s="7">
        <v>705.8823529</v>
      </c>
      <c r="S639" s="7"/>
      <c r="T639" s="7"/>
      <c r="U639" s="7"/>
      <c r="V639" s="7"/>
      <c r="AR639" s="15" t="s">
        <v>249</v>
      </c>
      <c r="AS639" s="15" t="s">
        <v>567</v>
      </c>
      <c r="AT639" s="15" t="s">
        <v>1004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328</v>
      </c>
      <c r="D640" t="s">
        <v>322</v>
      </c>
      <c r="E640" t="s">
        <v>303</v>
      </c>
      <c r="I640" t="s">
        <v>323</v>
      </c>
      <c r="J640" s="7"/>
      <c r="K640" s="7"/>
      <c r="L640" s="7">
        <v>1071.4285709999999</v>
      </c>
      <c r="M640" s="7"/>
      <c r="N640" s="7"/>
      <c r="O640" s="7"/>
      <c r="P640" s="7"/>
      <c r="Q640" s="7"/>
      <c r="R640" s="7">
        <v>1071.4285709999999</v>
      </c>
      <c r="S640" s="7"/>
      <c r="T640" s="7"/>
      <c r="U640" s="7"/>
      <c r="V640" s="7"/>
      <c r="AR640" s="15" t="s">
        <v>249</v>
      </c>
      <c r="AS640" s="15" t="s">
        <v>567</v>
      </c>
      <c r="AT640" s="15" t="s">
        <v>1005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328</v>
      </c>
      <c r="D641" t="s">
        <v>322</v>
      </c>
      <c r="E641" t="s">
        <v>304</v>
      </c>
      <c r="I641" t="s">
        <v>323</v>
      </c>
      <c r="J641" s="7"/>
      <c r="K641" s="7"/>
      <c r="L641" s="7">
        <v>6000</v>
      </c>
      <c r="M641" s="7"/>
      <c r="N641" s="7"/>
      <c r="O641" s="7"/>
      <c r="P641" s="7"/>
      <c r="Q641" s="7"/>
      <c r="R641" s="7">
        <v>6000</v>
      </c>
      <c r="S641" s="7"/>
      <c r="T641" s="7"/>
      <c r="U641" s="7"/>
      <c r="V641" s="7"/>
      <c r="AR641" s="15" t="s">
        <v>249</v>
      </c>
      <c r="AS641" s="15" t="s">
        <v>567</v>
      </c>
      <c r="AT641" s="15" t="s">
        <v>1006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328</v>
      </c>
      <c r="D642" t="s">
        <v>322</v>
      </c>
      <c r="E642" t="s">
        <v>305</v>
      </c>
      <c r="I642" t="s">
        <v>323</v>
      </c>
      <c r="J642" s="7"/>
      <c r="K642" s="7"/>
      <c r="L642" s="7">
        <v>6257.14</v>
      </c>
      <c r="M642" s="7"/>
      <c r="N642" s="7"/>
      <c r="O642" s="7"/>
      <c r="P642" s="7"/>
      <c r="Q642" s="7"/>
      <c r="R642" s="7">
        <v>6257.1428569999998</v>
      </c>
      <c r="S642" s="7"/>
      <c r="T642" s="7"/>
      <c r="U642" s="7"/>
      <c r="V642" s="7"/>
      <c r="AR642" s="15" t="s">
        <v>249</v>
      </c>
      <c r="AS642" s="15" t="s">
        <v>567</v>
      </c>
      <c r="AT642" s="15" t="s">
        <v>1007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328</v>
      </c>
      <c r="D643" t="s">
        <v>322</v>
      </c>
      <c r="E643" t="s">
        <v>306</v>
      </c>
      <c r="I643" t="s">
        <v>323</v>
      </c>
      <c r="J643" s="7"/>
      <c r="K643" s="7"/>
      <c r="L643" s="7">
        <v>1076.0899999999999</v>
      </c>
      <c r="M643" s="7"/>
      <c r="N643" s="7"/>
      <c r="O643" s="7"/>
      <c r="P643" s="7"/>
      <c r="Q643" s="7"/>
      <c r="R643" s="7">
        <v>1076.086957</v>
      </c>
      <c r="S643" s="7"/>
      <c r="T643" s="7"/>
      <c r="U643" s="7"/>
      <c r="V643" s="7"/>
      <c r="AR643" s="15" t="s">
        <v>249</v>
      </c>
      <c r="AS643" s="15" t="s">
        <v>567</v>
      </c>
      <c r="AT643" s="15" t="s">
        <v>1008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328</v>
      </c>
      <c r="D644" t="s">
        <v>322</v>
      </c>
      <c r="E644" t="s">
        <v>307</v>
      </c>
      <c r="I644" t="s">
        <v>323</v>
      </c>
      <c r="J644" s="7"/>
      <c r="K644" s="7"/>
      <c r="L644" s="7">
        <v>483.48</v>
      </c>
      <c r="M644" s="7">
        <v>356.25</v>
      </c>
      <c r="N644" s="7">
        <v>157.77000000000001</v>
      </c>
      <c r="O644" s="7">
        <v>157.77000000000001</v>
      </c>
      <c r="P644" s="7">
        <v>157.77000000000001</v>
      </c>
      <c r="Q644" s="7"/>
      <c r="R644" s="7">
        <v>483.4846187</v>
      </c>
      <c r="S644" s="7">
        <v>378.64479610000001</v>
      </c>
      <c r="T644" s="7">
        <v>287.03718409999999</v>
      </c>
      <c r="U644" s="7">
        <v>189.32239809999999</v>
      </c>
      <c r="V644" s="7">
        <v>189.32239809999999</v>
      </c>
      <c r="AR644" s="15" t="s">
        <v>249</v>
      </c>
      <c r="AS644" s="15" t="s">
        <v>567</v>
      </c>
      <c r="AT644" s="15" t="s">
        <v>1009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328</v>
      </c>
      <c r="D645" t="s">
        <v>322</v>
      </c>
      <c r="E645" t="s">
        <v>308</v>
      </c>
      <c r="I645" t="s">
        <v>323</v>
      </c>
      <c r="J645" s="7"/>
      <c r="K645" s="7"/>
      <c r="L645" s="7">
        <v>264.04000000000002</v>
      </c>
      <c r="M645" s="7">
        <v>264.04000000000002</v>
      </c>
      <c r="N645" s="7">
        <v>264.04000000000002</v>
      </c>
      <c r="O645" s="7">
        <v>264.04000000000002</v>
      </c>
      <c r="P645" s="7">
        <v>264.04000000000002</v>
      </c>
      <c r="Q645" s="7"/>
      <c r="R645" s="7">
        <v>264.0430374</v>
      </c>
      <c r="S645" s="7">
        <v>264.0430374</v>
      </c>
      <c r="T645" s="7">
        <v>264.0430374</v>
      </c>
      <c r="U645" s="7">
        <v>264.0430374</v>
      </c>
      <c r="V645" s="7">
        <v>264.0430374</v>
      </c>
      <c r="AR645" s="15" t="s">
        <v>249</v>
      </c>
      <c r="AS645" s="15" t="s">
        <v>567</v>
      </c>
      <c r="AT645" s="15" t="s">
        <v>1010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328</v>
      </c>
      <c r="D646" t="s">
        <v>322</v>
      </c>
      <c r="E646" t="s">
        <v>309</v>
      </c>
      <c r="I646" t="s">
        <v>323</v>
      </c>
      <c r="J646" s="7"/>
      <c r="K646" s="7"/>
      <c r="L646" s="7">
        <v>1851.87</v>
      </c>
      <c r="M646" s="7">
        <v>1898.16</v>
      </c>
      <c r="N646" s="7">
        <v>1962.98</v>
      </c>
      <c r="O646" s="7">
        <v>2042.5</v>
      </c>
      <c r="P646" s="7">
        <v>2096.9699999999998</v>
      </c>
      <c r="Q646" s="7"/>
      <c r="R646" s="7">
        <v>1851.866667</v>
      </c>
      <c r="S646" s="7">
        <v>1898.163333</v>
      </c>
      <c r="T646" s="7">
        <v>1962.9786670000001</v>
      </c>
      <c r="U646" s="7">
        <v>2042.5</v>
      </c>
      <c r="V646" s="7">
        <v>2096.9666670000001</v>
      </c>
      <c r="AR646" s="15" t="s">
        <v>249</v>
      </c>
      <c r="AS646" s="15" t="s">
        <v>567</v>
      </c>
      <c r="AT646" s="15" t="s">
        <v>1011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328</v>
      </c>
      <c r="D647" t="s">
        <v>322</v>
      </c>
      <c r="E647" t="s">
        <v>310</v>
      </c>
      <c r="I647" t="s">
        <v>323</v>
      </c>
      <c r="J647" s="7"/>
      <c r="K647" s="7"/>
      <c r="L647" s="7">
        <v>6565.01</v>
      </c>
      <c r="M647" s="7">
        <v>3423.68</v>
      </c>
      <c r="N647" s="7">
        <v>2040.4</v>
      </c>
      <c r="O647" s="7">
        <v>2040.4</v>
      </c>
      <c r="P647" s="7">
        <v>2040.4</v>
      </c>
      <c r="Q647" s="7"/>
      <c r="R647" s="7">
        <v>6565.0101119999999</v>
      </c>
      <c r="S647" s="7">
        <v>3455.2448639999998</v>
      </c>
      <c r="T647" s="7">
        <v>2084.8753830000001</v>
      </c>
      <c r="U647" s="7">
        <v>2084.8753830000001</v>
      </c>
      <c r="V647" s="7">
        <v>2084.8753830000001</v>
      </c>
      <c r="AR647" s="15" t="s">
        <v>249</v>
      </c>
      <c r="AS647" s="15" t="s">
        <v>567</v>
      </c>
      <c r="AT647" s="15" t="s">
        <v>1012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328</v>
      </c>
      <c r="D648" t="s">
        <v>322</v>
      </c>
      <c r="E648" t="s">
        <v>311</v>
      </c>
      <c r="I648" t="s">
        <v>323</v>
      </c>
      <c r="J648" s="7"/>
      <c r="K648" s="7"/>
      <c r="L648" s="7">
        <v>7542.15</v>
      </c>
      <c r="M648" s="7">
        <v>4158.21</v>
      </c>
      <c r="N648" s="7">
        <v>3104.03</v>
      </c>
      <c r="O648" s="7">
        <v>2612.63</v>
      </c>
      <c r="P648" s="7">
        <v>2501.4</v>
      </c>
      <c r="Q648" s="7"/>
      <c r="R648" s="7">
        <v>7542.1452920000002</v>
      </c>
      <c r="S648" s="7">
        <v>4158.2148360000001</v>
      </c>
      <c r="T648" s="7">
        <v>3104.0293999999999</v>
      </c>
      <c r="U648" s="7">
        <v>2612.626886</v>
      </c>
      <c r="V648" s="7">
        <v>2501.4005379999999</v>
      </c>
      <c r="AR648" s="15" t="s">
        <v>249</v>
      </c>
      <c r="AS648" s="15" t="s">
        <v>567</v>
      </c>
      <c r="AT648" s="15" t="s">
        <v>1013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328</v>
      </c>
      <c r="D649" t="s">
        <v>322</v>
      </c>
      <c r="E649" t="s">
        <v>312</v>
      </c>
      <c r="I649" t="s">
        <v>323</v>
      </c>
      <c r="J649" s="7"/>
      <c r="K649" s="7"/>
      <c r="L649" s="7">
        <v>965.29</v>
      </c>
      <c r="M649" s="7"/>
      <c r="N649" s="7"/>
      <c r="O649" s="7"/>
      <c r="P649" s="7"/>
      <c r="Q649" s="7"/>
      <c r="R649" s="7">
        <v>965.29408179999996</v>
      </c>
      <c r="S649" s="7"/>
      <c r="T649" s="7"/>
      <c r="U649" s="7"/>
      <c r="V649" s="7"/>
      <c r="AR649" s="15" t="s">
        <v>249</v>
      </c>
      <c r="AS649" s="15" t="s">
        <v>567</v>
      </c>
      <c r="AT649" s="15" t="s">
        <v>1014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328</v>
      </c>
      <c r="D650" t="s">
        <v>322</v>
      </c>
      <c r="E650" t="s">
        <v>313</v>
      </c>
      <c r="I650" t="s">
        <v>323</v>
      </c>
      <c r="J650" s="7"/>
      <c r="K650" s="7"/>
      <c r="L650" s="7"/>
      <c r="M650" s="7">
        <v>3039.58</v>
      </c>
      <c r="N650" s="7">
        <v>1245.6600000000001</v>
      </c>
      <c r="O650" s="7">
        <v>1072.05</v>
      </c>
      <c r="P650" s="7">
        <v>1072.05</v>
      </c>
      <c r="Q650" s="7"/>
      <c r="R650" s="7"/>
      <c r="S650" s="7">
        <v>3076.969325</v>
      </c>
      <c r="T650" s="7">
        <v>1595.220724</v>
      </c>
      <c r="U650" s="7">
        <v>1071.7593999999999</v>
      </c>
      <c r="V650" s="7">
        <v>1071.7593999999999</v>
      </c>
      <c r="AR650" s="15" t="s">
        <v>249</v>
      </c>
      <c r="AS650" s="15" t="s">
        <v>567</v>
      </c>
      <c r="AT650" s="15" t="s">
        <v>1015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328</v>
      </c>
      <c r="D651" t="s">
        <v>322</v>
      </c>
      <c r="E651" t="s">
        <v>314</v>
      </c>
      <c r="I651" t="s">
        <v>323</v>
      </c>
      <c r="J651" s="7"/>
      <c r="K651" s="7"/>
      <c r="L651" s="7"/>
      <c r="M651" s="7">
        <v>2304.09</v>
      </c>
      <c r="N651" s="7">
        <v>1136.31</v>
      </c>
      <c r="O651" s="7">
        <v>666.85</v>
      </c>
      <c r="P651" s="7">
        <v>634.71</v>
      </c>
      <c r="Q651" s="7"/>
      <c r="R651" s="7"/>
      <c r="S651" s="7">
        <v>2307.2582419999999</v>
      </c>
      <c r="T651" s="7">
        <v>2140.7867959999999</v>
      </c>
      <c r="U651" s="7">
        <v>819.54217649999998</v>
      </c>
      <c r="V651" s="7">
        <v>675.35594379999998</v>
      </c>
      <c r="AR651" s="15" t="s">
        <v>249</v>
      </c>
      <c r="AS651" s="15" t="s">
        <v>567</v>
      </c>
      <c r="AT651" s="15" t="s">
        <v>1016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328</v>
      </c>
      <c r="D652" t="s">
        <v>322</v>
      </c>
      <c r="E652" t="s">
        <v>315</v>
      </c>
      <c r="I652" t="s">
        <v>323</v>
      </c>
      <c r="J652" s="7"/>
      <c r="K652" s="7"/>
      <c r="L652" s="7">
        <v>363.43</v>
      </c>
      <c r="M652" s="7">
        <v>368.42</v>
      </c>
      <c r="N652" s="7">
        <v>375.08</v>
      </c>
      <c r="O652" s="7">
        <v>383.4</v>
      </c>
      <c r="P652" s="7">
        <v>394.6</v>
      </c>
      <c r="Q652" s="7"/>
      <c r="R652" s="7">
        <v>363.4257824</v>
      </c>
      <c r="S652" s="7">
        <v>368.41876059999998</v>
      </c>
      <c r="T652" s="7">
        <v>375.07606479999998</v>
      </c>
      <c r="U652" s="7">
        <v>383.39769510000002</v>
      </c>
      <c r="V652" s="7">
        <v>394.6036532</v>
      </c>
      <c r="AR652" s="15" t="s">
        <v>249</v>
      </c>
      <c r="AS652" s="15" t="s">
        <v>567</v>
      </c>
      <c r="AT652" s="15" t="s">
        <v>1017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328</v>
      </c>
      <c r="D653" t="s">
        <v>322</v>
      </c>
      <c r="E653" t="s">
        <v>316</v>
      </c>
      <c r="I653" t="s">
        <v>323</v>
      </c>
      <c r="J653" s="7"/>
      <c r="K653" s="7"/>
      <c r="L653" s="7">
        <v>563.28</v>
      </c>
      <c r="M653" s="7">
        <v>536.36</v>
      </c>
      <c r="N653" s="7">
        <v>378.82</v>
      </c>
      <c r="O653" s="7">
        <v>378.82</v>
      </c>
      <c r="P653" s="7">
        <v>378.82</v>
      </c>
      <c r="Q653" s="7"/>
      <c r="R653" s="7">
        <v>563.27611109999998</v>
      </c>
      <c r="S653" s="7">
        <v>549.55551390000005</v>
      </c>
      <c r="T653" s="7">
        <v>413.47444419999999</v>
      </c>
      <c r="U653" s="7">
        <v>413.47444419999999</v>
      </c>
      <c r="V653" s="7">
        <v>413.47444419999999</v>
      </c>
      <c r="AR653" s="15" t="s">
        <v>249</v>
      </c>
      <c r="AS653" s="15" t="s">
        <v>567</v>
      </c>
      <c r="AT653" s="15" t="s">
        <v>1018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328</v>
      </c>
      <c r="D654" t="s">
        <v>322</v>
      </c>
      <c r="E654" t="s">
        <v>317</v>
      </c>
      <c r="I654" t="s">
        <v>323</v>
      </c>
      <c r="J654" s="7"/>
      <c r="K654" s="7"/>
      <c r="L654" s="7">
        <v>748.66</v>
      </c>
      <c r="M654" s="7">
        <v>644.29999999999995</v>
      </c>
      <c r="N654" s="7">
        <v>537.66999999999996</v>
      </c>
      <c r="O654" s="7">
        <v>431.38</v>
      </c>
      <c r="P654" s="7">
        <v>408.55</v>
      </c>
      <c r="Q654" s="7"/>
      <c r="R654" s="7">
        <v>748.66000750000001</v>
      </c>
      <c r="S654" s="7">
        <v>644.29869440000004</v>
      </c>
      <c r="T654" s="7">
        <v>431.38474459999998</v>
      </c>
      <c r="U654" s="7">
        <v>431.38474459999998</v>
      </c>
      <c r="V654" s="7">
        <v>408.55235640000001</v>
      </c>
      <c r="AR654" s="15" t="s">
        <v>249</v>
      </c>
      <c r="AS654" s="15" t="s">
        <v>567</v>
      </c>
      <c r="AT654" s="15" t="s">
        <v>1019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328</v>
      </c>
      <c r="D655" t="s">
        <v>324</v>
      </c>
      <c r="E655" t="s">
        <v>251</v>
      </c>
      <c r="I655" t="s">
        <v>323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249</v>
      </c>
      <c r="AS655" s="15" t="s">
        <v>567</v>
      </c>
      <c r="AT655" s="15" t="s">
        <v>1020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328</v>
      </c>
      <c r="D656" t="s">
        <v>324</v>
      </c>
      <c r="E656" t="s">
        <v>253</v>
      </c>
      <c r="I656" t="s">
        <v>323</v>
      </c>
      <c r="J656" s="7"/>
      <c r="K656" s="7"/>
      <c r="L656" s="7">
        <v>917.19</v>
      </c>
      <c r="M656" s="7"/>
      <c r="N656" s="7"/>
      <c r="O656" s="7"/>
      <c r="P656" s="7"/>
      <c r="Q656" s="7"/>
      <c r="R656" s="7">
        <v>917.19322629999999</v>
      </c>
      <c r="S656" s="7"/>
      <c r="T656" s="7"/>
      <c r="U656" s="7"/>
      <c r="V656" s="7"/>
      <c r="AR656" s="15" t="s">
        <v>249</v>
      </c>
      <c r="AS656" s="15" t="s">
        <v>567</v>
      </c>
      <c r="AT656" s="15" t="s">
        <v>1021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328</v>
      </c>
      <c r="D657" t="s">
        <v>324</v>
      </c>
      <c r="E657" t="s">
        <v>255</v>
      </c>
      <c r="I657" t="s">
        <v>323</v>
      </c>
      <c r="J657" s="7"/>
      <c r="K657" s="7"/>
      <c r="L657" s="7">
        <v>250</v>
      </c>
      <c r="M657" s="7"/>
      <c r="N657" s="7"/>
      <c r="O657" s="7"/>
      <c r="P657" s="7"/>
      <c r="Q657" s="7"/>
      <c r="R657" s="7">
        <v>250</v>
      </c>
      <c r="S657" s="7"/>
      <c r="T657" s="7"/>
      <c r="U657" s="7"/>
      <c r="V657" s="7"/>
      <c r="AR657" s="15" t="s">
        <v>249</v>
      </c>
      <c r="AS657" s="15" t="s">
        <v>567</v>
      </c>
      <c r="AT657" s="15" t="s">
        <v>1022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328</v>
      </c>
      <c r="D658" t="s">
        <v>324</v>
      </c>
      <c r="E658" t="s">
        <v>256</v>
      </c>
      <c r="I658" t="s">
        <v>323</v>
      </c>
      <c r="J658" s="7"/>
      <c r="K658" s="7"/>
      <c r="L658" s="7">
        <v>500</v>
      </c>
      <c r="M658" s="7"/>
      <c r="N658" s="7"/>
      <c r="O658" s="7"/>
      <c r="P658" s="7"/>
      <c r="Q658" s="7"/>
      <c r="R658" s="7">
        <v>500</v>
      </c>
      <c r="S658" s="7"/>
      <c r="T658" s="7"/>
      <c r="U658" s="7"/>
      <c r="V658" s="7"/>
      <c r="AR658" s="15" t="s">
        <v>249</v>
      </c>
      <c r="AS658" s="15" t="s">
        <v>567</v>
      </c>
      <c r="AT658" s="15" t="s">
        <v>1023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328</v>
      </c>
      <c r="D659" t="s">
        <v>324</v>
      </c>
      <c r="E659" t="s">
        <v>257</v>
      </c>
      <c r="I659" t="s">
        <v>323</v>
      </c>
      <c r="J659" s="7"/>
      <c r="K659" s="7"/>
      <c r="L659" s="7">
        <v>70.400000000000006</v>
      </c>
      <c r="M659" s="7"/>
      <c r="N659" s="7"/>
      <c r="O659" s="7"/>
      <c r="P659" s="7"/>
      <c r="Q659" s="7"/>
      <c r="R659" s="7">
        <v>70.396141889999996</v>
      </c>
      <c r="S659" s="7"/>
      <c r="T659" s="7"/>
      <c r="U659" s="7"/>
      <c r="V659" s="7"/>
      <c r="AR659" s="15" t="s">
        <v>249</v>
      </c>
      <c r="AS659" s="15" t="s">
        <v>567</v>
      </c>
      <c r="AT659" s="15" t="s">
        <v>1024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328</v>
      </c>
      <c r="D660" t="s">
        <v>324</v>
      </c>
      <c r="E660" t="s">
        <v>258</v>
      </c>
      <c r="I660" t="s">
        <v>323</v>
      </c>
      <c r="J660" s="7"/>
      <c r="K660" s="7"/>
      <c r="L660" s="7">
        <v>65.44</v>
      </c>
      <c r="M660" s="7"/>
      <c r="N660" s="7"/>
      <c r="O660" s="7">
        <v>46.49</v>
      </c>
      <c r="P660" s="7"/>
      <c r="Q660" s="7"/>
      <c r="R660" s="7">
        <v>65.43796571</v>
      </c>
      <c r="S660" s="7"/>
      <c r="T660" s="7"/>
      <c r="U660" s="7">
        <v>48.324291950000003</v>
      </c>
      <c r="V660" s="7"/>
      <c r="AR660" s="15" t="s">
        <v>249</v>
      </c>
      <c r="AS660" s="15" t="s">
        <v>567</v>
      </c>
      <c r="AT660" s="15" t="s">
        <v>1025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328</v>
      </c>
      <c r="D661" t="s">
        <v>324</v>
      </c>
      <c r="E661" t="s">
        <v>259</v>
      </c>
      <c r="I661" t="s">
        <v>323</v>
      </c>
      <c r="J661" s="7"/>
      <c r="K661" s="7"/>
      <c r="L661" s="7">
        <v>71.34</v>
      </c>
      <c r="M661" s="7"/>
      <c r="N661" s="7"/>
      <c r="O661" s="7"/>
      <c r="P661" s="7"/>
      <c r="Q661" s="7"/>
      <c r="R661" s="7">
        <v>71.343269989999996</v>
      </c>
      <c r="S661" s="7"/>
      <c r="T661" s="7"/>
      <c r="U661" s="7"/>
      <c r="V661" s="7"/>
      <c r="AR661" s="15" t="s">
        <v>249</v>
      </c>
      <c r="AS661" s="15" t="s">
        <v>567</v>
      </c>
      <c r="AT661" s="15" t="s">
        <v>1026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328</v>
      </c>
      <c r="D662" t="s">
        <v>324</v>
      </c>
      <c r="E662" t="s">
        <v>260</v>
      </c>
      <c r="I662" t="s">
        <v>323</v>
      </c>
      <c r="J662" s="7"/>
      <c r="K662" s="7"/>
      <c r="L662" s="7">
        <v>38.61</v>
      </c>
      <c r="M662" s="7"/>
      <c r="N662" s="7"/>
      <c r="O662" s="7"/>
      <c r="P662" s="7"/>
      <c r="Q662" s="7"/>
      <c r="R662" s="7">
        <v>38.611763269999997</v>
      </c>
      <c r="S662" s="7"/>
      <c r="T662" s="7"/>
      <c r="U662" s="7"/>
      <c r="V662" s="7"/>
      <c r="AR662" s="15" t="s">
        <v>249</v>
      </c>
      <c r="AS662" s="15" t="s">
        <v>567</v>
      </c>
      <c r="AT662" s="15" t="s">
        <v>1027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328</v>
      </c>
      <c r="D663" t="s">
        <v>324</v>
      </c>
      <c r="E663" t="s">
        <v>261</v>
      </c>
      <c r="I663" t="s">
        <v>323</v>
      </c>
      <c r="J663" s="7"/>
      <c r="K663" s="7"/>
      <c r="L663" s="7">
        <v>57.07</v>
      </c>
      <c r="M663" s="7"/>
      <c r="N663" s="7">
        <v>28.54</v>
      </c>
      <c r="O663" s="7"/>
      <c r="P663" s="7"/>
      <c r="Q663" s="7"/>
      <c r="R663" s="7">
        <v>57.071275049999997</v>
      </c>
      <c r="S663" s="7"/>
      <c r="T663" s="7">
        <v>28.535637529999999</v>
      </c>
      <c r="U663" s="7"/>
      <c r="V663" s="7"/>
      <c r="AR663" s="15" t="s">
        <v>249</v>
      </c>
      <c r="AS663" s="15" t="s">
        <v>567</v>
      </c>
      <c r="AT663" s="15" t="s">
        <v>1028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328</v>
      </c>
      <c r="D664" t="s">
        <v>324</v>
      </c>
      <c r="E664" t="s">
        <v>262</v>
      </c>
      <c r="I664" t="s">
        <v>323</v>
      </c>
      <c r="J664" s="7"/>
      <c r="K664" s="7"/>
      <c r="L664" s="7">
        <v>34.75</v>
      </c>
      <c r="M664" s="7"/>
      <c r="N664" s="7"/>
      <c r="O664" s="7"/>
      <c r="P664" s="7"/>
      <c r="Q664" s="7"/>
      <c r="R664" s="7">
        <v>34.750586939999998</v>
      </c>
      <c r="S664" s="7"/>
      <c r="T664" s="7"/>
      <c r="U664" s="7"/>
      <c r="V664" s="7"/>
      <c r="AR664" s="15" t="s">
        <v>249</v>
      </c>
      <c r="AS664" s="15" t="s">
        <v>567</v>
      </c>
      <c r="AT664" s="15" t="s">
        <v>1029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328</v>
      </c>
      <c r="D665" t="s">
        <v>324</v>
      </c>
      <c r="E665" t="s">
        <v>263</v>
      </c>
      <c r="I665" t="s">
        <v>323</v>
      </c>
      <c r="J665" s="7"/>
      <c r="K665" s="7"/>
      <c r="L665" s="7">
        <v>11.88</v>
      </c>
      <c r="M665" s="7"/>
      <c r="N665" s="7"/>
      <c r="O665" s="7"/>
      <c r="P665" s="7"/>
      <c r="Q665" s="7"/>
      <c r="R665" s="7">
        <v>11.87981166</v>
      </c>
      <c r="S665" s="7"/>
      <c r="T665" s="7"/>
      <c r="U665" s="7"/>
      <c r="V665" s="7"/>
      <c r="AR665" s="15" t="s">
        <v>249</v>
      </c>
      <c r="AS665" s="15" t="s">
        <v>567</v>
      </c>
      <c r="AT665" s="15" t="s">
        <v>1030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328</v>
      </c>
      <c r="D666" t="s">
        <v>324</v>
      </c>
      <c r="E666" t="s">
        <v>264</v>
      </c>
      <c r="I666" t="s">
        <v>323</v>
      </c>
      <c r="J666" s="7"/>
      <c r="K666" s="7"/>
      <c r="L666" s="7">
        <v>10.53</v>
      </c>
      <c r="M666" s="7"/>
      <c r="N666" s="7"/>
      <c r="O666" s="7">
        <v>8.43</v>
      </c>
      <c r="P666" s="7"/>
      <c r="Q666" s="7"/>
      <c r="R666" s="7">
        <v>10.52998122</v>
      </c>
      <c r="S666" s="7"/>
      <c r="T666" s="7"/>
      <c r="U666" s="7">
        <v>9.0149809019999996</v>
      </c>
      <c r="V666" s="7"/>
      <c r="AR666" s="15" t="s">
        <v>249</v>
      </c>
      <c r="AS666" s="15" t="s">
        <v>567</v>
      </c>
      <c r="AT666" s="15" t="s">
        <v>1031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328</v>
      </c>
      <c r="D667" t="s">
        <v>324</v>
      </c>
      <c r="E667" t="s">
        <v>265</v>
      </c>
      <c r="I667" t="s">
        <v>323</v>
      </c>
      <c r="J667" s="7"/>
      <c r="K667" s="7"/>
      <c r="L667" s="7">
        <v>13.06</v>
      </c>
      <c r="M667" s="7"/>
      <c r="N667" s="7"/>
      <c r="O667" s="7"/>
      <c r="P667" s="7"/>
      <c r="Q667" s="7"/>
      <c r="R667" s="7">
        <v>13.06071596</v>
      </c>
      <c r="S667" s="7"/>
      <c r="T667" s="7"/>
      <c r="U667" s="7"/>
      <c r="V667" s="7"/>
      <c r="AR667" s="15" t="s">
        <v>249</v>
      </c>
      <c r="AS667" s="15" t="s">
        <v>567</v>
      </c>
      <c r="AT667" s="15" t="s">
        <v>1032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328</v>
      </c>
      <c r="D668" t="s">
        <v>324</v>
      </c>
      <c r="E668" t="s">
        <v>266</v>
      </c>
      <c r="I668" t="s">
        <v>323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249</v>
      </c>
      <c r="AS668" s="15" t="s">
        <v>567</v>
      </c>
      <c r="AT668" s="15" t="s">
        <v>1033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328</v>
      </c>
      <c r="D669" t="s">
        <v>324</v>
      </c>
      <c r="E669" t="s">
        <v>267</v>
      </c>
      <c r="I669" t="s">
        <v>323</v>
      </c>
      <c r="J669" s="7"/>
      <c r="K669" s="7"/>
      <c r="L669" s="7">
        <v>21.6</v>
      </c>
      <c r="M669" s="7"/>
      <c r="N669" s="7"/>
      <c r="O669" s="7"/>
      <c r="P669" s="7"/>
      <c r="Q669" s="7"/>
      <c r="R669" s="7">
        <v>21.595994860000001</v>
      </c>
      <c r="S669" s="7"/>
      <c r="T669" s="7"/>
      <c r="U669" s="7"/>
      <c r="V669" s="7"/>
      <c r="AR669" s="15" t="s">
        <v>249</v>
      </c>
      <c r="AS669" s="15" t="s">
        <v>567</v>
      </c>
      <c r="AT669" s="15" t="s">
        <v>1034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328</v>
      </c>
      <c r="D670" t="s">
        <v>324</v>
      </c>
      <c r="E670" t="s">
        <v>268</v>
      </c>
      <c r="I670" t="s">
        <v>323</v>
      </c>
      <c r="J670" s="7"/>
      <c r="K670" s="7"/>
      <c r="L670" s="7">
        <v>46.65</v>
      </c>
      <c r="M670" s="7"/>
      <c r="N670" s="7"/>
      <c r="O670" s="7"/>
      <c r="P670" s="7"/>
      <c r="Q670" s="7"/>
      <c r="R670" s="7">
        <v>46.646350929999997</v>
      </c>
      <c r="S670" s="7"/>
      <c r="T670" s="7"/>
      <c r="U670" s="7"/>
      <c r="V670" s="7"/>
      <c r="AR670" s="15" t="s">
        <v>249</v>
      </c>
      <c r="AS670" s="15" t="s">
        <v>567</v>
      </c>
      <c r="AT670" s="15" t="s">
        <v>1035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328</v>
      </c>
      <c r="D671" t="s">
        <v>324</v>
      </c>
      <c r="E671" t="s">
        <v>269</v>
      </c>
      <c r="I671" t="s">
        <v>323</v>
      </c>
      <c r="J671" s="7"/>
      <c r="K671" s="7"/>
      <c r="L671" s="7">
        <v>28.71</v>
      </c>
      <c r="M671" s="7"/>
      <c r="N671" s="7"/>
      <c r="O671" s="7"/>
      <c r="P671" s="7"/>
      <c r="Q671" s="7"/>
      <c r="R671" s="7">
        <v>28.705102870000001</v>
      </c>
      <c r="S671" s="7"/>
      <c r="T671" s="7"/>
      <c r="U671" s="7"/>
      <c r="V671" s="7"/>
      <c r="AR671" s="15" t="s">
        <v>249</v>
      </c>
      <c r="AS671" s="15" t="s">
        <v>567</v>
      </c>
      <c r="AT671" s="15" t="s">
        <v>1036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328</v>
      </c>
      <c r="D672" t="s">
        <v>324</v>
      </c>
      <c r="E672" t="s">
        <v>270</v>
      </c>
      <c r="I672" t="s">
        <v>323</v>
      </c>
      <c r="J672" s="7"/>
      <c r="K672" s="7"/>
      <c r="L672" s="7">
        <v>36</v>
      </c>
      <c r="M672" s="7"/>
      <c r="N672" s="7"/>
      <c r="O672" s="7"/>
      <c r="P672" s="7"/>
      <c r="Q672" s="7"/>
      <c r="R672" s="7">
        <v>35.99820064</v>
      </c>
      <c r="S672" s="7"/>
      <c r="T672" s="7"/>
      <c r="U672" s="7"/>
      <c r="V672" s="7"/>
      <c r="AR672" s="15" t="s">
        <v>249</v>
      </c>
      <c r="AS672" s="15" t="s">
        <v>567</v>
      </c>
      <c r="AT672" s="15" t="s">
        <v>1037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328</v>
      </c>
      <c r="D673" t="s">
        <v>324</v>
      </c>
      <c r="E673" t="s">
        <v>271</v>
      </c>
      <c r="I673" t="s">
        <v>323</v>
      </c>
      <c r="J673" s="7"/>
      <c r="K673" s="7"/>
      <c r="L673" s="7">
        <v>24.54</v>
      </c>
      <c r="M673" s="7"/>
      <c r="N673" s="7"/>
      <c r="O673" s="7"/>
      <c r="P673" s="7"/>
      <c r="Q673" s="7"/>
      <c r="R673" s="7">
        <v>24.544002819999999</v>
      </c>
      <c r="S673" s="7"/>
      <c r="T673" s="7"/>
      <c r="U673" s="7"/>
      <c r="V673" s="7"/>
      <c r="AR673" s="15" t="s">
        <v>249</v>
      </c>
      <c r="AS673" s="15" t="s">
        <v>567</v>
      </c>
      <c r="AT673" s="15" t="s">
        <v>1038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328</v>
      </c>
      <c r="D674" t="s">
        <v>324</v>
      </c>
      <c r="E674" t="s">
        <v>272</v>
      </c>
      <c r="I674" t="s">
        <v>323</v>
      </c>
      <c r="J674" s="7"/>
      <c r="K674" s="7"/>
      <c r="L674" s="7">
        <v>22.92</v>
      </c>
      <c r="M674" s="7"/>
      <c r="N674" s="7"/>
      <c r="O674" s="7"/>
      <c r="P674" s="7"/>
      <c r="Q674" s="7"/>
      <c r="R674" s="7">
        <v>22.917236719999998</v>
      </c>
      <c r="S674" s="7"/>
      <c r="T674" s="7"/>
      <c r="U674" s="7"/>
      <c r="V674" s="7"/>
      <c r="AR674" s="15" t="s">
        <v>249</v>
      </c>
      <c r="AS674" s="15" t="s">
        <v>567</v>
      </c>
      <c r="AT674" s="15" t="s">
        <v>1039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328</v>
      </c>
      <c r="D675" t="s">
        <v>324</v>
      </c>
      <c r="E675" t="s">
        <v>274</v>
      </c>
      <c r="I675" t="s">
        <v>323</v>
      </c>
      <c r="J675" s="7"/>
      <c r="K675" s="7">
        <v>0.1</v>
      </c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AR675" s="15" t="s">
        <v>249</v>
      </c>
      <c r="AS675" s="15" t="s">
        <v>567</v>
      </c>
      <c r="AT675" s="15" t="s">
        <v>1040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328</v>
      </c>
      <c r="D676" t="s">
        <v>324</v>
      </c>
      <c r="E676" t="s">
        <v>278</v>
      </c>
      <c r="I676" t="s">
        <v>323</v>
      </c>
      <c r="J676" s="7"/>
      <c r="K676" s="7"/>
      <c r="L676" s="7">
        <v>32.222066460000001</v>
      </c>
      <c r="M676" s="7"/>
      <c r="N676" s="7"/>
      <c r="O676" s="7"/>
      <c r="P676" s="7"/>
      <c r="Q676" s="7"/>
      <c r="R676" s="7">
        <v>32.222066460000001</v>
      </c>
      <c r="S676" s="7"/>
      <c r="T676" s="7"/>
      <c r="U676" s="7"/>
      <c r="V676" s="7"/>
      <c r="AR676" s="15" t="s">
        <v>249</v>
      </c>
      <c r="AS676" s="15" t="s">
        <v>567</v>
      </c>
      <c r="AT676" s="15" t="s">
        <v>1041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328</v>
      </c>
      <c r="D677" t="s">
        <v>324</v>
      </c>
      <c r="E677" t="s">
        <v>279</v>
      </c>
      <c r="I677" t="s">
        <v>323</v>
      </c>
      <c r="J677" s="7"/>
      <c r="K677" s="7"/>
      <c r="L677" s="7">
        <v>11.906698</v>
      </c>
      <c r="M677" s="7"/>
      <c r="N677" s="7"/>
      <c r="O677" s="7"/>
      <c r="P677" s="7"/>
      <c r="Q677" s="7"/>
      <c r="R677" s="7">
        <v>11.906698</v>
      </c>
      <c r="S677" s="7"/>
      <c r="T677" s="7"/>
      <c r="U677" s="7"/>
      <c r="V677" s="7"/>
      <c r="AR677" s="15" t="s">
        <v>249</v>
      </c>
      <c r="AS677" s="15" t="s">
        <v>567</v>
      </c>
      <c r="AT677" s="15" t="s">
        <v>1042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328</v>
      </c>
      <c r="D678" t="s">
        <v>324</v>
      </c>
      <c r="E678" t="s">
        <v>280</v>
      </c>
      <c r="I678" t="s">
        <v>323</v>
      </c>
      <c r="J678" s="7"/>
      <c r="K678" s="7"/>
      <c r="L678" s="7">
        <v>28.99985981</v>
      </c>
      <c r="M678" s="7"/>
      <c r="N678" s="7"/>
      <c r="O678" s="7"/>
      <c r="P678" s="7"/>
      <c r="Q678" s="7"/>
      <c r="R678" s="7">
        <v>28.99985981</v>
      </c>
      <c r="S678" s="7"/>
      <c r="T678" s="7"/>
      <c r="U678" s="7"/>
      <c r="V678" s="7"/>
      <c r="AR678" s="15" t="s">
        <v>249</v>
      </c>
      <c r="AS678" s="15" t="s">
        <v>567</v>
      </c>
      <c r="AT678" s="15" t="s">
        <v>1043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328</v>
      </c>
      <c r="D679" t="s">
        <v>324</v>
      </c>
      <c r="E679" t="s">
        <v>281</v>
      </c>
      <c r="I679" t="s">
        <v>323</v>
      </c>
      <c r="J679" s="7"/>
      <c r="K679" s="7"/>
      <c r="L679" s="7">
        <v>50.94642709</v>
      </c>
      <c r="M679" s="7"/>
      <c r="N679" s="7"/>
      <c r="O679" s="7"/>
      <c r="P679" s="7"/>
      <c r="Q679" s="7"/>
      <c r="R679" s="7">
        <v>50.94642709</v>
      </c>
      <c r="S679" s="7"/>
      <c r="T679" s="7"/>
      <c r="U679" s="7"/>
      <c r="V679" s="7"/>
      <c r="AR679" s="15" t="s">
        <v>249</v>
      </c>
      <c r="AS679" s="15" t="s">
        <v>567</v>
      </c>
      <c r="AT679" s="15" t="s">
        <v>1044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328</v>
      </c>
      <c r="D680" t="s">
        <v>324</v>
      </c>
      <c r="E680" t="s">
        <v>282</v>
      </c>
      <c r="I680" t="s">
        <v>323</v>
      </c>
      <c r="J680" s="7"/>
      <c r="K680" s="7"/>
      <c r="L680" s="7">
        <v>18.825723740000001</v>
      </c>
      <c r="M680" s="7"/>
      <c r="N680" s="7"/>
      <c r="O680" s="7"/>
      <c r="P680" s="7"/>
      <c r="Q680" s="7"/>
      <c r="R680" s="7">
        <v>18.825723740000001</v>
      </c>
      <c r="S680" s="7"/>
      <c r="T680" s="7"/>
      <c r="U680" s="7"/>
      <c r="V680" s="7"/>
      <c r="AR680" s="15" t="s">
        <v>249</v>
      </c>
      <c r="AS680" s="15" t="s">
        <v>567</v>
      </c>
      <c r="AT680" s="15" t="s">
        <v>1045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328</v>
      </c>
      <c r="D681" t="s">
        <v>324</v>
      </c>
      <c r="E681" t="s">
        <v>283</v>
      </c>
      <c r="I681" t="s">
        <v>323</v>
      </c>
      <c r="J681" s="7"/>
      <c r="K681" s="7"/>
      <c r="L681" s="7">
        <v>45.851784379999998</v>
      </c>
      <c r="M681" s="7"/>
      <c r="N681" s="7"/>
      <c r="O681" s="7"/>
      <c r="P681" s="7"/>
      <c r="Q681" s="7"/>
      <c r="R681" s="7">
        <v>45.851784379999998</v>
      </c>
      <c r="S681" s="7"/>
      <c r="T681" s="7"/>
      <c r="U681" s="7"/>
      <c r="V681" s="7"/>
      <c r="AR681" s="15" t="s">
        <v>249</v>
      </c>
      <c r="AS681" s="15" t="s">
        <v>567</v>
      </c>
      <c r="AT681" s="15" t="s">
        <v>1046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328</v>
      </c>
      <c r="D682" t="s">
        <v>324</v>
      </c>
      <c r="E682" t="s">
        <v>285</v>
      </c>
      <c r="I682" t="s">
        <v>323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249</v>
      </c>
      <c r="AS682" s="15" t="s">
        <v>567</v>
      </c>
      <c r="AT682" s="15" t="s">
        <v>1047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328</v>
      </c>
      <c r="D683" t="s">
        <v>324</v>
      </c>
      <c r="E683" t="s">
        <v>286</v>
      </c>
      <c r="I683" t="s">
        <v>323</v>
      </c>
      <c r="J683" s="7"/>
      <c r="K683" s="7"/>
      <c r="L683" s="7">
        <v>917.19</v>
      </c>
      <c r="M683" s="7"/>
      <c r="N683" s="7"/>
      <c r="O683" s="7"/>
      <c r="P683" s="7"/>
      <c r="Q683" s="7"/>
      <c r="R683" s="7">
        <v>917.19322629999999</v>
      </c>
      <c r="S683" s="7"/>
      <c r="T683" s="7"/>
      <c r="U683" s="7"/>
      <c r="V683" s="7"/>
      <c r="AR683" s="15" t="s">
        <v>249</v>
      </c>
      <c r="AS683" s="15" t="s">
        <v>567</v>
      </c>
      <c r="AT683" s="15" t="s">
        <v>1048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328</v>
      </c>
      <c r="D684" t="s">
        <v>324</v>
      </c>
      <c r="E684" t="s">
        <v>288</v>
      </c>
      <c r="I684" t="s">
        <v>323</v>
      </c>
      <c r="J684" s="7"/>
      <c r="K684" s="7"/>
      <c r="L684" s="7">
        <v>70.400000000000006</v>
      </c>
      <c r="M684" s="7"/>
      <c r="N684" s="7"/>
      <c r="O684" s="7"/>
      <c r="P684" s="7"/>
      <c r="Q684" s="7"/>
      <c r="R684" s="7">
        <v>70.396141889999996</v>
      </c>
      <c r="S684" s="7"/>
      <c r="T684" s="7"/>
      <c r="U684" s="7"/>
      <c r="V684" s="7"/>
      <c r="AR684" s="15" t="s">
        <v>249</v>
      </c>
      <c r="AS684" s="15" t="s">
        <v>567</v>
      </c>
      <c r="AT684" s="15" t="s">
        <v>1049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328</v>
      </c>
      <c r="D685" t="s">
        <v>324</v>
      </c>
      <c r="E685" t="s">
        <v>289</v>
      </c>
      <c r="I685" t="s">
        <v>323</v>
      </c>
      <c r="J685" s="7"/>
      <c r="K685" s="7"/>
      <c r="L685" s="7">
        <v>65.44</v>
      </c>
      <c r="M685" s="7"/>
      <c r="N685" s="7"/>
      <c r="O685" s="7">
        <v>46.49</v>
      </c>
      <c r="P685" s="7"/>
      <c r="Q685" s="7"/>
      <c r="R685" s="7">
        <v>65.43796571</v>
      </c>
      <c r="S685" s="7"/>
      <c r="T685" s="7"/>
      <c r="U685" s="7">
        <v>48.324291950000003</v>
      </c>
      <c r="V685" s="7"/>
      <c r="AR685" s="15" t="s">
        <v>249</v>
      </c>
      <c r="AS685" s="15" t="s">
        <v>567</v>
      </c>
      <c r="AT685" s="15" t="s">
        <v>1050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328</v>
      </c>
      <c r="D686" t="s">
        <v>324</v>
      </c>
      <c r="E686" t="s">
        <v>290</v>
      </c>
      <c r="I686" t="s">
        <v>323</v>
      </c>
      <c r="J686" s="7"/>
      <c r="K686" s="7"/>
      <c r="L686" s="7">
        <v>71.34</v>
      </c>
      <c r="M686" s="7"/>
      <c r="N686" s="7"/>
      <c r="O686" s="7"/>
      <c r="P686" s="7"/>
      <c r="Q686" s="7"/>
      <c r="R686" s="7">
        <v>71.343269989999996</v>
      </c>
      <c r="S686" s="7"/>
      <c r="T686" s="7"/>
      <c r="U686" s="7"/>
      <c r="V686" s="7"/>
      <c r="AR686" s="15" t="s">
        <v>249</v>
      </c>
      <c r="AS686" s="15" t="s">
        <v>567</v>
      </c>
      <c r="AT686" s="15" t="s">
        <v>1051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328</v>
      </c>
      <c r="D687" t="s">
        <v>324</v>
      </c>
      <c r="E687" t="s">
        <v>291</v>
      </c>
      <c r="I687" t="s">
        <v>323</v>
      </c>
      <c r="J687" s="7"/>
      <c r="K687" s="7"/>
      <c r="L687" s="7">
        <v>62.4</v>
      </c>
      <c r="M687" s="7"/>
      <c r="N687" s="7"/>
      <c r="O687" s="7"/>
      <c r="P687" s="7"/>
      <c r="Q687" s="7"/>
      <c r="R687" s="7">
        <v>62.40284973</v>
      </c>
      <c r="S687" s="7"/>
      <c r="T687" s="7"/>
      <c r="U687" s="7"/>
      <c r="V687" s="7"/>
      <c r="AR687" s="15" t="s">
        <v>249</v>
      </c>
      <c r="AS687" s="15" t="s">
        <v>567</v>
      </c>
      <c r="AT687" s="15" t="s">
        <v>1052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328</v>
      </c>
      <c r="D688" t="s">
        <v>324</v>
      </c>
      <c r="E688" t="s">
        <v>292</v>
      </c>
      <c r="I688" t="s">
        <v>323</v>
      </c>
      <c r="J688" s="7"/>
      <c r="K688" s="7"/>
      <c r="L688" s="7">
        <v>138.35</v>
      </c>
      <c r="M688" s="7"/>
      <c r="N688" s="7">
        <v>69.180000000000007</v>
      </c>
      <c r="O688" s="7"/>
      <c r="P688" s="7"/>
      <c r="Q688" s="7"/>
      <c r="R688" s="7">
        <v>138.35460620000001</v>
      </c>
      <c r="S688" s="7"/>
      <c r="T688" s="7">
        <v>69.177303100000003</v>
      </c>
      <c r="U688" s="7"/>
      <c r="V688" s="7"/>
      <c r="AR688" s="15" t="s">
        <v>249</v>
      </c>
      <c r="AS688" s="15" t="s">
        <v>567</v>
      </c>
      <c r="AT688" s="15" t="s">
        <v>1053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328</v>
      </c>
      <c r="D689" t="s">
        <v>324</v>
      </c>
      <c r="E689" t="s">
        <v>293</v>
      </c>
      <c r="I689" t="s">
        <v>323</v>
      </c>
      <c r="J689" s="7"/>
      <c r="K689" s="7"/>
      <c r="L689" s="7">
        <v>56.16</v>
      </c>
      <c r="M689" s="7"/>
      <c r="N689" s="7"/>
      <c r="O689" s="7"/>
      <c r="P689" s="7"/>
      <c r="Q689" s="7"/>
      <c r="R689" s="7">
        <v>56.162564760000002</v>
      </c>
      <c r="S689" s="7"/>
      <c r="T689" s="7"/>
      <c r="U689" s="7"/>
      <c r="V689" s="7"/>
      <c r="AR689" s="15" t="s">
        <v>249</v>
      </c>
      <c r="AS689" s="15" t="s">
        <v>567</v>
      </c>
      <c r="AT689" s="15" t="s">
        <v>1054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328</v>
      </c>
      <c r="D690" t="s">
        <v>324</v>
      </c>
      <c r="E690" t="s">
        <v>294</v>
      </c>
      <c r="I690" t="s">
        <v>323</v>
      </c>
      <c r="J690" s="7"/>
      <c r="K690" s="7"/>
      <c r="L690" s="7">
        <v>11.88</v>
      </c>
      <c r="M690" s="7"/>
      <c r="N690" s="7"/>
      <c r="O690" s="7"/>
      <c r="P690" s="7"/>
      <c r="Q690" s="7"/>
      <c r="R690" s="7">
        <v>11.87981166</v>
      </c>
      <c r="S690" s="7"/>
      <c r="T690" s="7"/>
      <c r="U690" s="7"/>
      <c r="V690" s="7"/>
      <c r="AR690" s="15" t="s">
        <v>249</v>
      </c>
      <c r="AS690" s="15" t="s">
        <v>567</v>
      </c>
      <c r="AT690" s="15" t="s">
        <v>1055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328</v>
      </c>
      <c r="D691" t="s">
        <v>324</v>
      </c>
      <c r="E691" t="s">
        <v>295</v>
      </c>
      <c r="I691" t="s">
        <v>323</v>
      </c>
      <c r="J691" s="7"/>
      <c r="K691" s="7"/>
      <c r="L691" s="7">
        <v>10.53</v>
      </c>
      <c r="M691" s="7"/>
      <c r="N691" s="7"/>
      <c r="O691" s="7">
        <v>8.43</v>
      </c>
      <c r="P691" s="7"/>
      <c r="Q691" s="7"/>
      <c r="R691" s="7">
        <v>10.52998122</v>
      </c>
      <c r="S691" s="7"/>
      <c r="T691" s="7"/>
      <c r="U691" s="7">
        <v>9.0149809019999996</v>
      </c>
      <c r="V691" s="7"/>
      <c r="AR691" s="15" t="s">
        <v>249</v>
      </c>
      <c r="AS691" s="15" t="s">
        <v>567</v>
      </c>
      <c r="AT691" s="15" t="s">
        <v>1056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328</v>
      </c>
      <c r="D692" t="s">
        <v>324</v>
      </c>
      <c r="E692" t="s">
        <v>296</v>
      </c>
      <c r="I692" t="s">
        <v>323</v>
      </c>
      <c r="J692" s="7"/>
      <c r="K692" s="7"/>
      <c r="L692" s="7">
        <v>13.06</v>
      </c>
      <c r="M692" s="7"/>
      <c r="N692" s="7"/>
      <c r="O692" s="7"/>
      <c r="P692" s="7"/>
      <c r="Q692" s="7"/>
      <c r="R692" s="7">
        <v>13.06071596</v>
      </c>
      <c r="S692" s="7"/>
      <c r="T692" s="7"/>
      <c r="U692" s="7"/>
      <c r="V692" s="7"/>
      <c r="AR692" s="15" t="s">
        <v>249</v>
      </c>
      <c r="AS692" s="15" t="s">
        <v>567</v>
      </c>
      <c r="AT692" s="15" t="s">
        <v>1057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328</v>
      </c>
      <c r="D693" t="s">
        <v>324</v>
      </c>
      <c r="E693" t="s">
        <v>300</v>
      </c>
      <c r="I693" t="s">
        <v>323</v>
      </c>
      <c r="J693" s="7"/>
      <c r="K693" s="7"/>
      <c r="L693" s="7">
        <v>6.62</v>
      </c>
      <c r="M693" s="7"/>
      <c r="N693" s="7"/>
      <c r="O693" s="7"/>
      <c r="P693" s="7"/>
      <c r="Q693" s="7"/>
      <c r="R693" s="7">
        <v>6.62</v>
      </c>
      <c r="S693" s="7"/>
      <c r="T693" s="7"/>
      <c r="U693" s="7"/>
      <c r="V693" s="7"/>
      <c r="AR693" s="15" t="s">
        <v>249</v>
      </c>
      <c r="AS693" s="15" t="s">
        <v>567</v>
      </c>
      <c r="AT693" s="15" t="s">
        <v>1058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328</v>
      </c>
      <c r="D694" t="s">
        <v>324</v>
      </c>
      <c r="E694" t="s">
        <v>302</v>
      </c>
      <c r="I694" t="s">
        <v>323</v>
      </c>
      <c r="J694" s="7"/>
      <c r="K694" s="7"/>
      <c r="L694" s="7">
        <v>6.67</v>
      </c>
      <c r="M694" s="7"/>
      <c r="N694" s="7"/>
      <c r="O694" s="7"/>
      <c r="P694" s="7"/>
      <c r="Q694" s="7"/>
      <c r="R694" s="7">
        <v>11.25</v>
      </c>
      <c r="S694" s="7"/>
      <c r="T694" s="7"/>
      <c r="U694" s="7"/>
      <c r="V694" s="7"/>
      <c r="AR694" s="15" t="s">
        <v>249</v>
      </c>
      <c r="AS694" s="15" t="s">
        <v>567</v>
      </c>
      <c r="AT694" s="15" t="s">
        <v>1059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328</v>
      </c>
      <c r="D695" t="s">
        <v>324</v>
      </c>
      <c r="E695" t="s">
        <v>304</v>
      </c>
      <c r="I695" t="s">
        <v>323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249</v>
      </c>
      <c r="AS695" s="15" t="s">
        <v>567</v>
      </c>
      <c r="AT695" s="15" t="s">
        <v>1060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328</v>
      </c>
      <c r="D696" t="s">
        <v>324</v>
      </c>
      <c r="E696" t="s">
        <v>305</v>
      </c>
      <c r="I696" t="s">
        <v>323</v>
      </c>
      <c r="J696" s="7"/>
      <c r="K696" s="7"/>
      <c r="L696" s="7">
        <v>917.19</v>
      </c>
      <c r="M696" s="7"/>
      <c r="N696" s="7"/>
      <c r="O696" s="7"/>
      <c r="P696" s="7"/>
      <c r="Q696" s="7"/>
      <c r="R696" s="7">
        <v>917.19322629999999</v>
      </c>
      <c r="S696" s="7"/>
      <c r="T696" s="7"/>
      <c r="U696" s="7"/>
      <c r="V696" s="7"/>
      <c r="AR696" s="15" t="s">
        <v>249</v>
      </c>
      <c r="AS696" s="15" t="s">
        <v>567</v>
      </c>
      <c r="AT696" s="15" t="s">
        <v>1061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328</v>
      </c>
      <c r="D697" t="s">
        <v>324</v>
      </c>
      <c r="E697" t="s">
        <v>307</v>
      </c>
      <c r="I697" t="s">
        <v>323</v>
      </c>
      <c r="J697" s="7"/>
      <c r="K697" s="7"/>
      <c r="L697" s="7">
        <v>17.38</v>
      </c>
      <c r="M697" s="7"/>
      <c r="N697" s="7"/>
      <c r="O697" s="7"/>
      <c r="P697" s="7"/>
      <c r="Q697" s="7"/>
      <c r="R697" s="7">
        <v>17.375228480000001</v>
      </c>
      <c r="S697" s="7"/>
      <c r="T697" s="7"/>
      <c r="U697" s="7"/>
      <c r="V697" s="7"/>
      <c r="AR697" s="15" t="s">
        <v>249</v>
      </c>
      <c r="AS697" s="15" t="s">
        <v>567</v>
      </c>
      <c r="AT697" s="15" t="s">
        <v>1062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328</v>
      </c>
      <c r="D698" t="s">
        <v>324</v>
      </c>
      <c r="E698" t="s">
        <v>308</v>
      </c>
      <c r="I698" t="s">
        <v>323</v>
      </c>
      <c r="J698" s="7"/>
      <c r="K698" s="7"/>
      <c r="L698" s="7">
        <v>34.75</v>
      </c>
      <c r="M698" s="7"/>
      <c r="N698" s="7"/>
      <c r="O698" s="7"/>
      <c r="P698" s="7"/>
      <c r="Q698" s="7"/>
      <c r="R698" s="7">
        <v>34.750456970000002</v>
      </c>
      <c r="S698" s="7"/>
      <c r="T698" s="7"/>
      <c r="U698" s="7"/>
      <c r="V698" s="7"/>
      <c r="AR698" s="15" t="s">
        <v>249</v>
      </c>
      <c r="AS698" s="15" t="s">
        <v>567</v>
      </c>
      <c r="AT698" s="15" t="s">
        <v>1063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328</v>
      </c>
      <c r="D699" t="s">
        <v>324</v>
      </c>
      <c r="E699" t="s">
        <v>309</v>
      </c>
      <c r="I699" t="s">
        <v>323</v>
      </c>
      <c r="J699" s="7"/>
      <c r="K699" s="7"/>
      <c r="L699" s="7">
        <v>70.400000000000006</v>
      </c>
      <c r="M699" s="7"/>
      <c r="N699" s="7"/>
      <c r="O699" s="7"/>
      <c r="P699" s="7"/>
      <c r="Q699" s="7"/>
      <c r="R699" s="7">
        <v>70.396141889999996</v>
      </c>
      <c r="S699" s="7"/>
      <c r="T699" s="7"/>
      <c r="U699" s="7"/>
      <c r="V699" s="7"/>
      <c r="AR699" s="15" t="s">
        <v>249</v>
      </c>
      <c r="AS699" s="15" t="s">
        <v>567</v>
      </c>
      <c r="AT699" s="15" t="s">
        <v>1064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328</v>
      </c>
      <c r="D700" t="s">
        <v>324</v>
      </c>
      <c r="E700" t="s">
        <v>310</v>
      </c>
      <c r="I700" t="s">
        <v>323</v>
      </c>
      <c r="J700" s="7"/>
      <c r="K700" s="7"/>
      <c r="L700" s="7">
        <v>65.44</v>
      </c>
      <c r="M700" s="7"/>
      <c r="N700" s="7"/>
      <c r="O700" s="7">
        <v>46.49</v>
      </c>
      <c r="P700" s="7"/>
      <c r="Q700" s="7"/>
      <c r="R700" s="7">
        <v>65.43796571</v>
      </c>
      <c r="S700" s="7"/>
      <c r="T700" s="7"/>
      <c r="U700" s="7">
        <v>48.324291950000003</v>
      </c>
      <c r="V700" s="7"/>
      <c r="AR700" s="15" t="s">
        <v>249</v>
      </c>
      <c r="AS700" s="15" t="s">
        <v>567</v>
      </c>
      <c r="AT700" s="15" t="s">
        <v>1065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328</v>
      </c>
      <c r="D701" t="s">
        <v>324</v>
      </c>
      <c r="E701" t="s">
        <v>311</v>
      </c>
      <c r="I701" t="s">
        <v>323</v>
      </c>
      <c r="J701" s="7"/>
      <c r="K701" s="7"/>
      <c r="L701" s="7">
        <v>71.34</v>
      </c>
      <c r="M701" s="7"/>
      <c r="N701" s="7"/>
      <c r="O701" s="7"/>
      <c r="P701" s="7"/>
      <c r="Q701" s="7"/>
      <c r="R701" s="7">
        <v>71.343269989999996</v>
      </c>
      <c r="S701" s="7"/>
      <c r="T701" s="7"/>
      <c r="U701" s="7"/>
      <c r="V701" s="7"/>
      <c r="AR701" s="15" t="s">
        <v>249</v>
      </c>
      <c r="AS701" s="15" t="s">
        <v>567</v>
      </c>
      <c r="AT701" s="15" t="s">
        <v>1066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328</v>
      </c>
      <c r="D702" t="s">
        <v>324</v>
      </c>
      <c r="E702" t="s">
        <v>312</v>
      </c>
      <c r="I702" t="s">
        <v>323</v>
      </c>
      <c r="J702" s="7"/>
      <c r="K702" s="7"/>
      <c r="L702" s="7">
        <v>38.61</v>
      </c>
      <c r="M702" s="7"/>
      <c r="N702" s="7"/>
      <c r="O702" s="7"/>
      <c r="P702" s="7"/>
      <c r="Q702" s="7"/>
      <c r="R702" s="7">
        <v>38.611763269999997</v>
      </c>
      <c r="S702" s="7"/>
      <c r="T702" s="7"/>
      <c r="U702" s="7"/>
      <c r="V702" s="7"/>
      <c r="AR702" s="15" t="s">
        <v>249</v>
      </c>
      <c r="AS702" s="15" t="s">
        <v>567</v>
      </c>
      <c r="AT702" s="15" t="s">
        <v>1067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328</v>
      </c>
      <c r="D703" t="s">
        <v>324</v>
      </c>
      <c r="E703" t="s">
        <v>313</v>
      </c>
      <c r="I703" t="s">
        <v>323</v>
      </c>
      <c r="J703" s="7"/>
      <c r="K703" s="7"/>
      <c r="L703" s="7">
        <v>57.07</v>
      </c>
      <c r="M703" s="7"/>
      <c r="N703" s="7">
        <v>28.54</v>
      </c>
      <c r="O703" s="7"/>
      <c r="P703" s="7"/>
      <c r="Q703" s="7"/>
      <c r="R703" s="7">
        <v>57.071275049999997</v>
      </c>
      <c r="S703" s="7"/>
      <c r="T703" s="7">
        <v>28.535637529999999</v>
      </c>
      <c r="U703" s="7"/>
      <c r="V703" s="7"/>
      <c r="AR703" s="15" t="s">
        <v>249</v>
      </c>
      <c r="AS703" s="15" t="s">
        <v>567</v>
      </c>
      <c r="AT703" s="15" t="s">
        <v>1068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328</v>
      </c>
      <c r="D704" t="s">
        <v>324</v>
      </c>
      <c r="E704" t="s">
        <v>314</v>
      </c>
      <c r="I704" t="s">
        <v>323</v>
      </c>
      <c r="J704" s="7"/>
      <c r="K704" s="7"/>
      <c r="L704" s="7">
        <v>34.75</v>
      </c>
      <c r="M704" s="7"/>
      <c r="N704" s="7"/>
      <c r="O704" s="7"/>
      <c r="P704" s="7"/>
      <c r="Q704" s="7"/>
      <c r="R704" s="7">
        <v>34.750586939999998</v>
      </c>
      <c r="S704" s="7"/>
      <c r="T704" s="7"/>
      <c r="U704" s="7"/>
      <c r="V704" s="7"/>
      <c r="AR704" s="15" t="s">
        <v>249</v>
      </c>
      <c r="AS704" s="15" t="s">
        <v>567</v>
      </c>
      <c r="AT704" s="15" t="s">
        <v>1069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328</v>
      </c>
      <c r="D705" t="s">
        <v>324</v>
      </c>
      <c r="E705" t="s">
        <v>315</v>
      </c>
      <c r="I705" t="s">
        <v>323</v>
      </c>
      <c r="J705" s="7"/>
      <c r="K705" s="7"/>
      <c r="L705" s="7">
        <v>11.88</v>
      </c>
      <c r="M705" s="7"/>
      <c r="N705" s="7"/>
      <c r="O705" s="7"/>
      <c r="P705" s="7"/>
      <c r="Q705" s="7"/>
      <c r="R705" s="7">
        <v>11.87981166</v>
      </c>
      <c r="S705" s="7"/>
      <c r="T705" s="7"/>
      <c r="U705" s="7"/>
      <c r="V705" s="7"/>
      <c r="AR705" s="15" t="s">
        <v>249</v>
      </c>
      <c r="AS705" s="15" t="s">
        <v>567</v>
      </c>
      <c r="AT705" s="15" t="s">
        <v>1070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328</v>
      </c>
      <c r="D706" t="s">
        <v>324</v>
      </c>
      <c r="E706" t="s">
        <v>316</v>
      </c>
      <c r="I706" t="s">
        <v>323</v>
      </c>
      <c r="J706" s="7"/>
      <c r="K706" s="7"/>
      <c r="L706" s="7">
        <v>10.53</v>
      </c>
      <c r="M706" s="7"/>
      <c r="N706" s="7"/>
      <c r="O706" s="7">
        <v>8.43</v>
      </c>
      <c r="P706" s="7"/>
      <c r="Q706" s="7"/>
      <c r="R706" s="7">
        <v>10.52998122</v>
      </c>
      <c r="S706" s="7"/>
      <c r="T706" s="7"/>
      <c r="U706" s="7">
        <v>9.0149809019999996</v>
      </c>
      <c r="V706" s="7"/>
      <c r="AR706" s="15" t="s">
        <v>249</v>
      </c>
      <c r="AS706" s="15" t="s">
        <v>567</v>
      </c>
      <c r="AT706" s="15" t="s">
        <v>1071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328</v>
      </c>
      <c r="D707" t="s">
        <v>324</v>
      </c>
      <c r="E707" t="s">
        <v>317</v>
      </c>
      <c r="I707" t="s">
        <v>323</v>
      </c>
      <c r="J707" s="7"/>
      <c r="K707" s="7"/>
      <c r="L707" s="7">
        <v>13.06</v>
      </c>
      <c r="M707" s="7"/>
      <c r="N707" s="7"/>
      <c r="O707" s="7"/>
      <c r="P707" s="7"/>
      <c r="Q707" s="7"/>
      <c r="R707" s="7">
        <v>13.06071596</v>
      </c>
      <c r="S707" s="7"/>
      <c r="T707" s="7"/>
      <c r="U707" s="7"/>
      <c r="V707" s="7"/>
      <c r="AR707" s="15" t="s">
        <v>249</v>
      </c>
      <c r="AS707" s="15" t="s">
        <v>567</v>
      </c>
      <c r="AT707" s="15" t="s">
        <v>1072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328</v>
      </c>
      <c r="D708" t="s">
        <v>325</v>
      </c>
      <c r="E708" t="s">
        <v>251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249</v>
      </c>
      <c r="AS708" s="15" t="s">
        <v>567</v>
      </c>
      <c r="AT708" s="15" t="s">
        <v>1073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328</v>
      </c>
      <c r="D709" t="s">
        <v>325</v>
      </c>
      <c r="E709" t="s">
        <v>253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249</v>
      </c>
      <c r="AS709" s="15" t="s">
        <v>567</v>
      </c>
      <c r="AT709" s="15" t="s">
        <v>1074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328</v>
      </c>
      <c r="D710" t="s">
        <v>325</v>
      </c>
      <c r="E710" t="s">
        <v>254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249</v>
      </c>
      <c r="AS710" s="15" t="s">
        <v>567</v>
      </c>
      <c r="AT710" s="15" t="s">
        <v>1075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328</v>
      </c>
      <c r="D711" t="s">
        <v>325</v>
      </c>
      <c r="E711" t="s">
        <v>255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249</v>
      </c>
      <c r="AS711" s="15" t="s">
        <v>567</v>
      </c>
      <c r="AT711" s="15" t="s">
        <v>1076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328</v>
      </c>
      <c r="D712" t="s">
        <v>325</v>
      </c>
      <c r="E712" t="s">
        <v>256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249</v>
      </c>
      <c r="AS712" s="15" t="s">
        <v>567</v>
      </c>
      <c r="AT712" s="15" t="s">
        <v>1077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328</v>
      </c>
      <c r="D713" t="s">
        <v>325</v>
      </c>
      <c r="E713" t="s">
        <v>257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249</v>
      </c>
      <c r="AS713" s="15" t="s">
        <v>567</v>
      </c>
      <c r="AT713" s="15" t="s">
        <v>1078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328</v>
      </c>
      <c r="D714" t="s">
        <v>325</v>
      </c>
      <c r="E714" t="s">
        <v>258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249</v>
      </c>
      <c r="AS714" s="15" t="s">
        <v>567</v>
      </c>
      <c r="AT714" s="15" t="s">
        <v>1079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328</v>
      </c>
      <c r="D715" t="s">
        <v>325</v>
      </c>
      <c r="E715" t="s">
        <v>259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249</v>
      </c>
      <c r="AS715" s="15" t="s">
        <v>567</v>
      </c>
      <c r="AT715" s="15" t="s">
        <v>1080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328</v>
      </c>
      <c r="D716" t="s">
        <v>325</v>
      </c>
      <c r="E716" t="s">
        <v>260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249</v>
      </c>
      <c r="AS716" s="15" t="s">
        <v>567</v>
      </c>
      <c r="AT716" s="15" t="s">
        <v>1081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328</v>
      </c>
      <c r="D717" t="s">
        <v>325</v>
      </c>
      <c r="E717" t="s">
        <v>261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249</v>
      </c>
      <c r="AS717" s="15" t="s">
        <v>567</v>
      </c>
      <c r="AT717" s="15" t="s">
        <v>1082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328</v>
      </c>
      <c r="D718" t="s">
        <v>325</v>
      </c>
      <c r="E718" t="s">
        <v>262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249</v>
      </c>
      <c r="AS718" s="15" t="s">
        <v>567</v>
      </c>
      <c r="AT718" s="15" t="s">
        <v>1083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328</v>
      </c>
      <c r="D719" t="s">
        <v>325</v>
      </c>
      <c r="E719" t="s">
        <v>263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249</v>
      </c>
      <c r="AS719" s="15" t="s">
        <v>567</v>
      </c>
      <c r="AT719" s="15" t="s">
        <v>1084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328</v>
      </c>
      <c r="D720" t="s">
        <v>325</v>
      </c>
      <c r="E720" t="s">
        <v>264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249</v>
      </c>
      <c r="AS720" s="15" t="s">
        <v>567</v>
      </c>
      <c r="AT720" s="15" t="s">
        <v>1085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328</v>
      </c>
      <c r="D721" t="s">
        <v>325</v>
      </c>
      <c r="E721" t="s">
        <v>265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249</v>
      </c>
      <c r="AS721" s="15" t="s">
        <v>567</v>
      </c>
      <c r="AT721" s="15" t="s">
        <v>1086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328</v>
      </c>
      <c r="D722" t="s">
        <v>325</v>
      </c>
      <c r="E722" t="s">
        <v>266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249</v>
      </c>
      <c r="AS722" s="15" t="s">
        <v>567</v>
      </c>
      <c r="AT722" s="15" t="s">
        <v>1087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328</v>
      </c>
      <c r="D723" t="s">
        <v>325</v>
      </c>
      <c r="E723" t="s">
        <v>267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249</v>
      </c>
      <c r="AS723" s="15" t="s">
        <v>567</v>
      </c>
      <c r="AT723" s="15" t="s">
        <v>1088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328</v>
      </c>
      <c r="D724" t="s">
        <v>325</v>
      </c>
      <c r="E724" t="s">
        <v>268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249</v>
      </c>
      <c r="AS724" s="15" t="s">
        <v>567</v>
      </c>
      <c r="AT724" s="15" t="s">
        <v>1089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328</v>
      </c>
      <c r="D725" t="s">
        <v>325</v>
      </c>
      <c r="E725" t="s">
        <v>269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249</v>
      </c>
      <c r="AS725" s="15" t="s">
        <v>567</v>
      </c>
      <c r="AT725" s="15" t="s">
        <v>1090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328</v>
      </c>
      <c r="D726" t="s">
        <v>325</v>
      </c>
      <c r="E726" t="s">
        <v>270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249</v>
      </c>
      <c r="AS726" s="15" t="s">
        <v>567</v>
      </c>
      <c r="AT726" s="15" t="s">
        <v>1091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328</v>
      </c>
      <c r="D727" t="s">
        <v>325</v>
      </c>
      <c r="E727" t="s">
        <v>271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249</v>
      </c>
      <c r="AS727" s="15" t="s">
        <v>567</v>
      </c>
      <c r="AT727" s="15" t="s">
        <v>1092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328</v>
      </c>
      <c r="D728" t="s">
        <v>325</v>
      </c>
      <c r="E728" t="s">
        <v>272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249</v>
      </c>
      <c r="AS728" s="15" t="s">
        <v>567</v>
      </c>
      <c r="AT728" s="15" t="s">
        <v>1093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328</v>
      </c>
      <c r="D729" t="s">
        <v>325</v>
      </c>
      <c r="E729" t="s">
        <v>273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249</v>
      </c>
      <c r="AS729" s="15" t="s">
        <v>567</v>
      </c>
      <c r="AT729" s="15" t="s">
        <v>1094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328</v>
      </c>
      <c r="D730" t="s">
        <v>325</v>
      </c>
      <c r="E730" t="s">
        <v>274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249</v>
      </c>
      <c r="AS730" s="15" t="s">
        <v>567</v>
      </c>
      <c r="AT730" s="15" t="s">
        <v>330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328</v>
      </c>
      <c r="D731" t="s">
        <v>325</v>
      </c>
      <c r="E731" t="s">
        <v>275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249</v>
      </c>
      <c r="AS731" s="15" t="s">
        <v>567</v>
      </c>
      <c r="AT731" s="15" t="s">
        <v>1095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328</v>
      </c>
      <c r="D732" t="s">
        <v>325</v>
      </c>
      <c r="E732" t="s">
        <v>276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249</v>
      </c>
      <c r="AS732" s="15" t="s">
        <v>567</v>
      </c>
      <c r="AT732" s="15" t="s">
        <v>331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328</v>
      </c>
      <c r="D733" t="s">
        <v>325</v>
      </c>
      <c r="E733" t="s">
        <v>277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249</v>
      </c>
      <c r="AS733" s="15" t="s">
        <v>567</v>
      </c>
      <c r="AT733" s="15" t="s">
        <v>341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328</v>
      </c>
      <c r="D734" t="s">
        <v>325</v>
      </c>
      <c r="E734" t="s">
        <v>278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249</v>
      </c>
      <c r="AS734" s="15" t="s">
        <v>567</v>
      </c>
      <c r="AT734" s="15" t="s">
        <v>342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328</v>
      </c>
      <c r="D735" t="s">
        <v>325</v>
      </c>
      <c r="E735" t="s">
        <v>279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249</v>
      </c>
      <c r="AS735" s="15" t="s">
        <v>567</v>
      </c>
      <c r="AT735" s="15" t="s">
        <v>1096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328</v>
      </c>
      <c r="D736" t="s">
        <v>325</v>
      </c>
      <c r="E736" t="s">
        <v>280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249</v>
      </c>
      <c r="AS736" s="15" t="s">
        <v>567</v>
      </c>
      <c r="AT736" s="15" t="s">
        <v>344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328</v>
      </c>
      <c r="D737" t="s">
        <v>325</v>
      </c>
      <c r="E737" t="s">
        <v>281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249</v>
      </c>
      <c r="AS737" s="15" t="s">
        <v>567</v>
      </c>
      <c r="AT737" s="15" t="s">
        <v>345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328</v>
      </c>
      <c r="D738" t="s">
        <v>325</v>
      </c>
      <c r="E738" t="s">
        <v>282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249</v>
      </c>
      <c r="AS738" s="15" t="s">
        <v>567</v>
      </c>
      <c r="AT738" s="15" t="s">
        <v>347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328</v>
      </c>
      <c r="D739" t="s">
        <v>325</v>
      </c>
      <c r="E739" t="s">
        <v>283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249</v>
      </c>
      <c r="AS739" s="15" t="s">
        <v>567</v>
      </c>
      <c r="AT739" s="15" t="s">
        <v>348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328</v>
      </c>
      <c r="D740" t="s">
        <v>325</v>
      </c>
      <c r="E740" t="s">
        <v>284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249</v>
      </c>
      <c r="AS740" s="15" t="s">
        <v>567</v>
      </c>
      <c r="AT740" s="15" t="s">
        <v>1097</v>
      </c>
      <c r="AU740" s="15"/>
      <c r="AV740" s="15"/>
      <c r="AW740" s="15"/>
      <c r="AX740" s="15"/>
      <c r="AY740" s="15"/>
      <c r="AZ740" s="18"/>
      <c r="BA740" s="19">
        <v>0.02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0.02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328</v>
      </c>
      <c r="D741" t="s">
        <v>325</v>
      </c>
      <c r="E741" t="s">
        <v>285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249</v>
      </c>
      <c r="AS741" s="15" t="s">
        <v>567</v>
      </c>
      <c r="AT741" s="15" t="s">
        <v>350</v>
      </c>
      <c r="AU741" s="15"/>
      <c r="AV741" s="15"/>
      <c r="AW741" s="15"/>
      <c r="AX741" s="15"/>
      <c r="AY741" s="15"/>
      <c r="AZ741" s="18"/>
      <c r="BA741" s="19">
        <v>0.02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0.02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328</v>
      </c>
      <c r="D742" t="s">
        <v>325</v>
      </c>
      <c r="E742" t="s">
        <v>286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249</v>
      </c>
      <c r="AS742" s="15" t="s">
        <v>567</v>
      </c>
      <c r="AT742" s="15" t="s">
        <v>351</v>
      </c>
      <c r="AU742" s="15"/>
      <c r="AV742" s="15"/>
      <c r="AW742" s="15"/>
      <c r="AX742" s="15"/>
      <c r="AY742" s="15"/>
      <c r="AZ742" s="18"/>
      <c r="BA742" s="19">
        <v>0.02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0.02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328</v>
      </c>
      <c r="D743" t="s">
        <v>325</v>
      </c>
      <c r="E743" t="s">
        <v>287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249</v>
      </c>
      <c r="AS743" s="15" t="s">
        <v>567</v>
      </c>
      <c r="AT743" s="15" t="s">
        <v>353</v>
      </c>
      <c r="AU743" s="15"/>
      <c r="AV743" s="15"/>
      <c r="AW743" s="15"/>
      <c r="AX743" s="15"/>
      <c r="AY743" s="15"/>
      <c r="AZ743" s="18"/>
      <c r="BA743" s="19">
        <v>0.02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0.02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328</v>
      </c>
      <c r="D744" t="s">
        <v>325</v>
      </c>
      <c r="E744" t="s">
        <v>288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249</v>
      </c>
      <c r="AS744" s="15" t="s">
        <v>567</v>
      </c>
      <c r="AT744" s="15" t="s">
        <v>1098</v>
      </c>
      <c r="AU744" s="15"/>
      <c r="AV744" s="15"/>
      <c r="AW744" s="15"/>
      <c r="AX744" s="15"/>
      <c r="AY744" s="15"/>
      <c r="AZ744" s="18"/>
      <c r="BA744" s="19">
        <v>0.02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0.02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328</v>
      </c>
      <c r="D745" t="s">
        <v>325</v>
      </c>
      <c r="E745" t="s">
        <v>289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249</v>
      </c>
      <c r="AS745" s="15" t="s">
        <v>567</v>
      </c>
      <c r="AT745" s="15" t="s">
        <v>1099</v>
      </c>
      <c r="AU745" s="15"/>
      <c r="AV745" s="15"/>
      <c r="AW745" s="15"/>
      <c r="AX745" s="15"/>
      <c r="AY745" s="15"/>
      <c r="AZ745" s="18"/>
      <c r="BA745" s="19">
        <v>0.02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0.02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328</v>
      </c>
      <c r="D746" t="s">
        <v>325</v>
      </c>
      <c r="E746" t="s">
        <v>290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249</v>
      </c>
      <c r="AS746" s="15" t="s">
        <v>567</v>
      </c>
      <c r="AT746" s="15" t="s">
        <v>354</v>
      </c>
      <c r="AU746" s="15"/>
      <c r="AV746" s="15"/>
      <c r="AW746" s="15"/>
      <c r="AX746" s="15"/>
      <c r="AY746" s="15"/>
      <c r="AZ746" s="18"/>
      <c r="BA746" s="19">
        <v>0.02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0.02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328</v>
      </c>
      <c r="D747" t="s">
        <v>325</v>
      </c>
      <c r="E747" t="s">
        <v>291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249</v>
      </c>
      <c r="AS747" s="15" t="s">
        <v>567</v>
      </c>
      <c r="AT747" s="15" t="s">
        <v>361</v>
      </c>
      <c r="AU747" s="15"/>
      <c r="AV747" s="15"/>
      <c r="AW747" s="15"/>
      <c r="AX747" s="15"/>
      <c r="AY747" s="15"/>
      <c r="AZ747" s="18"/>
      <c r="BA747" s="19">
        <v>0.02</v>
      </c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9">
        <v>0.02</v>
      </c>
      <c r="BM747" s="18"/>
      <c r="BN747" s="18"/>
      <c r="BO747" s="18"/>
      <c r="BP747" s="18"/>
      <c r="BQ747" s="18"/>
      <c r="BR747" s="18"/>
      <c r="BS747" s="18"/>
      <c r="BT747" s="18"/>
      <c r="BU747" s="18"/>
    </row>
    <row r="748" spans="3:73" x14ac:dyDescent="0.45">
      <c r="C748" t="s">
        <v>328</v>
      </c>
      <c r="D748" t="s">
        <v>325</v>
      </c>
      <c r="E748" t="s">
        <v>292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249</v>
      </c>
      <c r="AS748" s="15" t="s">
        <v>324</v>
      </c>
      <c r="AT748" s="15" t="s">
        <v>1100</v>
      </c>
      <c r="AU748" s="15"/>
      <c r="AV748" s="15"/>
      <c r="AW748" s="15"/>
      <c r="AX748" s="15"/>
      <c r="AY748" s="15" t="s">
        <v>323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328</v>
      </c>
      <c r="D749" t="s">
        <v>325</v>
      </c>
      <c r="E749" t="s">
        <v>293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249</v>
      </c>
      <c r="AS749" s="15" t="s">
        <v>324</v>
      </c>
      <c r="AT749" s="15" t="s">
        <v>1101</v>
      </c>
      <c r="AU749" s="15"/>
      <c r="AV749" s="15"/>
      <c r="AW749" s="15"/>
      <c r="AX749" s="15"/>
      <c r="AY749" s="15" t="s">
        <v>323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328</v>
      </c>
      <c r="D750" t="s">
        <v>325</v>
      </c>
      <c r="E750" t="s">
        <v>294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249</v>
      </c>
      <c r="AS750" s="15" t="s">
        <v>324</v>
      </c>
      <c r="AT750" s="15" t="s">
        <v>1102</v>
      </c>
      <c r="AU750" s="15"/>
      <c r="AV750" s="15"/>
      <c r="AW750" s="15"/>
      <c r="AX750" s="15"/>
      <c r="AY750" s="15" t="s">
        <v>323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328</v>
      </c>
      <c r="D751" t="s">
        <v>325</v>
      </c>
      <c r="E751" t="s">
        <v>295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249</v>
      </c>
      <c r="AS751" s="15" t="s">
        <v>324</v>
      </c>
      <c r="AT751" s="15" t="s">
        <v>1103</v>
      </c>
      <c r="AU751" s="15"/>
      <c r="AV751" s="15"/>
      <c r="AW751" s="15"/>
      <c r="AX751" s="15"/>
      <c r="AY751" s="15" t="s">
        <v>323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328</v>
      </c>
      <c r="D752" t="s">
        <v>325</v>
      </c>
      <c r="E752" t="s">
        <v>296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249</v>
      </c>
      <c r="AS752" s="15" t="s">
        <v>324</v>
      </c>
      <c r="AT752" s="15" t="s">
        <v>1104</v>
      </c>
      <c r="AU752" s="15"/>
      <c r="AV752" s="15"/>
      <c r="AW752" s="15"/>
      <c r="AX752" s="15"/>
      <c r="AY752" s="15" t="s">
        <v>323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328</v>
      </c>
      <c r="D753" t="s">
        <v>325</v>
      </c>
      <c r="E753" t="s">
        <v>297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249</v>
      </c>
      <c r="AS753" s="15" t="s">
        <v>324</v>
      </c>
      <c r="AT753" s="15" t="s">
        <v>1105</v>
      </c>
      <c r="AU753" s="15"/>
      <c r="AV753" s="15"/>
      <c r="AW753" s="15"/>
      <c r="AX753" s="15"/>
      <c r="AY753" s="15" t="s">
        <v>323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328</v>
      </c>
      <c r="D754" t="s">
        <v>325</v>
      </c>
      <c r="E754" t="s">
        <v>298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249</v>
      </c>
      <c r="AS754" s="15" t="s">
        <v>324</v>
      </c>
      <c r="AT754" s="15" t="s">
        <v>1106</v>
      </c>
      <c r="AU754" s="15"/>
      <c r="AV754" s="15"/>
      <c r="AW754" s="15"/>
      <c r="AX754" s="15"/>
      <c r="AY754" s="15" t="s">
        <v>323</v>
      </c>
      <c r="AZ754" s="18"/>
      <c r="BA754" s="18"/>
      <c r="BB754" s="18"/>
      <c r="BC754" s="18"/>
      <c r="BD754" s="18"/>
      <c r="BE754" s="18"/>
      <c r="BF754" s="19">
        <v>5</v>
      </c>
      <c r="BG754" s="18"/>
      <c r="BH754" s="19">
        <v>5</v>
      </c>
      <c r="BI754" s="18"/>
      <c r="BJ754" s="18"/>
      <c r="BK754" s="18"/>
      <c r="BL754" s="18"/>
      <c r="BM754" s="18"/>
      <c r="BN754" s="18"/>
      <c r="BO754" s="18"/>
      <c r="BP754" s="18"/>
      <c r="BQ754" s="19">
        <v>10</v>
      </c>
      <c r="BR754" s="18"/>
      <c r="BS754" s="18"/>
      <c r="BT754" s="18"/>
      <c r="BU754" s="18"/>
    </row>
    <row r="755" spans="3:73" x14ac:dyDescent="0.45">
      <c r="C755" t="s">
        <v>328</v>
      </c>
      <c r="D755" t="s">
        <v>325</v>
      </c>
      <c r="E755" t="s">
        <v>299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328</v>
      </c>
      <c r="AS755" s="15" t="s">
        <v>12</v>
      </c>
      <c r="AT755" s="15" t="s">
        <v>368</v>
      </c>
      <c r="AU755" s="15"/>
      <c r="AV755" s="15"/>
      <c r="AW755" s="15" t="s">
        <v>320</v>
      </c>
      <c r="AX755" s="15"/>
      <c r="AY755" s="15"/>
      <c r="AZ755" s="19">
        <v>5</v>
      </c>
      <c r="BA755" s="18"/>
      <c r="BB755" s="18"/>
      <c r="BC755" s="18"/>
      <c r="BD755" s="18"/>
      <c r="BE755" s="18"/>
      <c r="BF755" s="19">
        <v>0</v>
      </c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</row>
    <row r="756" spans="3:73" x14ac:dyDescent="0.45">
      <c r="C756" t="s">
        <v>328</v>
      </c>
      <c r="D756" t="s">
        <v>325</v>
      </c>
      <c r="E756" t="s">
        <v>300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328</v>
      </c>
      <c r="AS756" s="15" t="s">
        <v>369</v>
      </c>
      <c r="AT756" s="15"/>
      <c r="AU756" s="15"/>
      <c r="AV756" s="15" t="s">
        <v>370</v>
      </c>
      <c r="AW756" s="15"/>
      <c r="AX756" s="15"/>
      <c r="AY756" s="15"/>
      <c r="AZ756" s="18"/>
      <c r="BA756" s="18"/>
      <c r="BB756" s="19">
        <v>0.89095872226570405</v>
      </c>
      <c r="BC756" s="19">
        <v>0.83151818253560095</v>
      </c>
      <c r="BD756" s="19">
        <v>0.76538325828599796</v>
      </c>
      <c r="BE756" s="19">
        <v>0.70209213602006004</v>
      </c>
      <c r="BF756" s="19">
        <v>0.64182432835071501</v>
      </c>
      <c r="BG756" s="19">
        <v>0.586729928066132</v>
      </c>
      <c r="BH756" s="19">
        <v>0.53636484826480002</v>
      </c>
      <c r="BI756" s="19">
        <v>0.49032312260317501</v>
      </c>
      <c r="BJ756" s="19">
        <v>0.44823363301510699</v>
      </c>
      <c r="BK756" s="18"/>
      <c r="BL756" s="18"/>
      <c r="BM756" s="19">
        <v>0.91003199999999995</v>
      </c>
      <c r="BN756" s="19">
        <v>0.88757699999999995</v>
      </c>
      <c r="BO756" s="19">
        <v>0.83226800000000001</v>
      </c>
      <c r="BP756" s="19">
        <v>0.78040600000000004</v>
      </c>
      <c r="BQ756" s="19">
        <v>0.74093699999999996</v>
      </c>
      <c r="BR756" s="19">
        <v>0.71225000000000005</v>
      </c>
      <c r="BS756" s="19">
        <v>0.68467299999999998</v>
      </c>
      <c r="BT756" s="19">
        <v>0.65816300000000005</v>
      </c>
      <c r="BU756" s="19">
        <v>0.63268100000000005</v>
      </c>
    </row>
    <row r="757" spans="3:73" x14ac:dyDescent="0.45">
      <c r="C757" t="s">
        <v>328</v>
      </c>
      <c r="D757" t="s">
        <v>325</v>
      </c>
      <c r="E757" t="s">
        <v>302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328</v>
      </c>
      <c r="AS757" s="15" t="s">
        <v>369</v>
      </c>
      <c r="AT757" s="15"/>
      <c r="AU757" s="15"/>
      <c r="AV757" s="15" t="s">
        <v>371</v>
      </c>
      <c r="AW757" s="15"/>
      <c r="AX757" s="15"/>
      <c r="AY757" s="15"/>
      <c r="AZ757" s="18"/>
      <c r="BA757" s="18"/>
      <c r="BB757" s="19">
        <v>4.7016325814268796E-3</v>
      </c>
      <c r="BC757" s="19">
        <v>4.5688852925220499E-3</v>
      </c>
      <c r="BD757" s="19">
        <v>4.4233541715989503E-3</v>
      </c>
      <c r="BE757" s="19">
        <v>4.2677710742663102E-3</v>
      </c>
      <c r="BF757" s="19">
        <v>4.1035283028680999E-3</v>
      </c>
      <c r="BG757" s="19">
        <v>3.9456063222262604E-3</v>
      </c>
      <c r="BH757" s="19">
        <v>3.7937618802606999E-3</v>
      </c>
      <c r="BI757" s="19">
        <v>3.6477610863108901E-3</v>
      </c>
      <c r="BJ757" s="19">
        <v>3.5073790508669501E-3</v>
      </c>
      <c r="BK757" s="18"/>
      <c r="BL757" s="18"/>
      <c r="BM757" s="19">
        <v>4.7299999999999998E-3</v>
      </c>
      <c r="BN757" s="19">
        <v>4.7070000000000002E-3</v>
      </c>
      <c r="BO757" s="19">
        <v>4.5259999999999996E-3</v>
      </c>
      <c r="BP757" s="19">
        <v>4.352E-3</v>
      </c>
      <c r="BQ757" s="19">
        <v>4.2370000000000003E-3</v>
      </c>
      <c r="BR757" s="19">
        <v>4.176E-3</v>
      </c>
      <c r="BS757" s="19">
        <v>4.117E-3</v>
      </c>
      <c r="BT757" s="19">
        <v>4.058E-3</v>
      </c>
      <c r="BU757" s="19">
        <v>4.0000000000000001E-3</v>
      </c>
    </row>
    <row r="758" spans="3:73" x14ac:dyDescent="0.45">
      <c r="C758" t="s">
        <v>328</v>
      </c>
      <c r="D758" t="s">
        <v>325</v>
      </c>
      <c r="E758" t="s">
        <v>303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328</v>
      </c>
      <c r="AS758" s="15" t="s">
        <v>369</v>
      </c>
      <c r="AT758" s="15"/>
      <c r="AU758" s="15"/>
      <c r="AV758" s="15" t="s">
        <v>372</v>
      </c>
      <c r="AW758" s="15"/>
      <c r="AX758" s="15"/>
      <c r="AY758" s="15"/>
      <c r="AZ758" s="18"/>
      <c r="BA758" s="18"/>
      <c r="BB758" s="19">
        <v>2.77523065743117E-2</v>
      </c>
      <c r="BC758" s="19">
        <v>2.6430726896137E-2</v>
      </c>
      <c r="BD758" s="19">
        <v>2.4952331750480099E-2</v>
      </c>
      <c r="BE758" s="19">
        <v>2.3475838146683099E-2</v>
      </c>
      <c r="BF758" s="19">
        <v>2.2010909771084199E-2</v>
      </c>
      <c r="BG758" s="19">
        <v>2.0637395177273501E-2</v>
      </c>
      <c r="BH758" s="19">
        <v>1.9349590004792101E-2</v>
      </c>
      <c r="BI758" s="19">
        <v>1.8142145854039698E-2</v>
      </c>
      <c r="BJ758" s="19">
        <v>1.7010048073769799E-2</v>
      </c>
      <c r="BK758" s="18"/>
      <c r="BL758" s="18"/>
      <c r="BM758" s="19">
        <v>2.8131E-2</v>
      </c>
      <c r="BN758" s="19">
        <v>2.7713999999999999E-2</v>
      </c>
      <c r="BO758" s="19">
        <v>2.6315999999999999E-2</v>
      </c>
      <c r="BP758" s="19">
        <v>2.4988E-2</v>
      </c>
      <c r="BQ758" s="19">
        <v>2.4025000000000001E-2</v>
      </c>
      <c r="BR758" s="19">
        <v>2.3387000000000002E-2</v>
      </c>
      <c r="BS758" s="19">
        <v>2.2766000000000002E-2</v>
      </c>
      <c r="BT758" s="19">
        <v>2.2162000000000001E-2</v>
      </c>
      <c r="BU758" s="19">
        <v>2.1572999999999998E-2</v>
      </c>
    </row>
    <row r="759" spans="3:73" x14ac:dyDescent="0.45">
      <c r="C759" t="s">
        <v>328</v>
      </c>
      <c r="D759" t="s">
        <v>325</v>
      </c>
      <c r="E759" t="s">
        <v>304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328</v>
      </c>
      <c r="AS759" s="15" t="s">
        <v>369</v>
      </c>
      <c r="AT759" s="15"/>
      <c r="AU759" s="15"/>
      <c r="AV759" s="15" t="s">
        <v>373</v>
      </c>
      <c r="AW759" s="15"/>
      <c r="AX759" s="15"/>
      <c r="AY759" s="15"/>
      <c r="AZ759" s="18"/>
      <c r="BA759" s="18"/>
      <c r="BB759" s="19">
        <v>4.8410608091660798E-2</v>
      </c>
      <c r="BC759" s="19">
        <v>4.6105269049275102E-2</v>
      </c>
      <c r="BD759" s="19">
        <v>4.3526384018246503E-2</v>
      </c>
      <c r="BE759" s="19">
        <v>4.0950816001517301E-2</v>
      </c>
      <c r="BF759" s="19">
        <v>3.8395422154033902E-2</v>
      </c>
      <c r="BG759" s="19">
        <v>3.5999488809499103E-2</v>
      </c>
      <c r="BH759" s="19">
        <v>3.3753065387486403E-2</v>
      </c>
      <c r="BI759" s="19">
        <v>3.1646822239078998E-2</v>
      </c>
      <c r="BJ759" s="19">
        <v>2.9672011899789401E-2</v>
      </c>
      <c r="BK759" s="18"/>
      <c r="BL759" s="18"/>
      <c r="BM759" s="19">
        <v>4.9070000000000003E-2</v>
      </c>
      <c r="BN759" s="19">
        <v>4.8343999999999998E-2</v>
      </c>
      <c r="BO759" s="19">
        <v>4.5905000000000001E-2</v>
      </c>
      <c r="BP759" s="19">
        <v>4.3589000000000003E-2</v>
      </c>
      <c r="BQ759" s="19">
        <v>4.1909000000000002E-2</v>
      </c>
      <c r="BR759" s="19">
        <v>4.0795999999999999E-2</v>
      </c>
      <c r="BS759" s="19">
        <v>3.9712999999999998E-2</v>
      </c>
      <c r="BT759" s="19">
        <v>3.8657999999999998E-2</v>
      </c>
      <c r="BU759" s="19">
        <v>3.7631999999999999E-2</v>
      </c>
    </row>
    <row r="760" spans="3:73" x14ac:dyDescent="0.45">
      <c r="C760" t="s">
        <v>328</v>
      </c>
      <c r="D760" t="s">
        <v>325</v>
      </c>
      <c r="E760" t="s">
        <v>305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328</v>
      </c>
      <c r="AS760" s="15" t="s">
        <v>369</v>
      </c>
      <c r="AT760" s="15"/>
      <c r="AU760" s="15"/>
      <c r="AV760" s="15" t="s">
        <v>374</v>
      </c>
      <c r="AW760" s="15"/>
      <c r="AX760" s="15"/>
      <c r="AY760" s="15"/>
      <c r="AZ760" s="18"/>
      <c r="BA760" s="18"/>
      <c r="BB760" s="19">
        <v>0.15041465637853499</v>
      </c>
      <c r="BC760" s="19">
        <v>0.14325183001535599</v>
      </c>
      <c r="BD760" s="19">
        <v>0.13523907989564199</v>
      </c>
      <c r="BE760" s="19">
        <v>0.127236635937855</v>
      </c>
      <c r="BF760" s="19">
        <v>0.1192968743312</v>
      </c>
      <c r="BG760" s="19">
        <v>0.11185256604980499</v>
      </c>
      <c r="BH760" s="19">
        <v>0.104872794044815</v>
      </c>
      <c r="BI760" s="19">
        <v>9.8328570538729398E-2</v>
      </c>
      <c r="BJ760" s="19">
        <v>9.2192716635910998E-2</v>
      </c>
      <c r="BK760" s="18"/>
      <c r="BL760" s="18"/>
      <c r="BM760" s="19">
        <v>0.15246499999999999</v>
      </c>
      <c r="BN760" s="19">
        <v>0.15020700000000001</v>
      </c>
      <c r="BO760" s="19">
        <v>0.14263000000000001</v>
      </c>
      <c r="BP760" s="19">
        <v>0.135435</v>
      </c>
      <c r="BQ760" s="19">
        <v>0.130213</v>
      </c>
      <c r="BR760" s="19">
        <v>0.12675600000000001</v>
      </c>
      <c r="BS760" s="19">
        <v>0.12339</v>
      </c>
      <c r="BT760" s="19">
        <v>0.120114</v>
      </c>
      <c r="BU760" s="19">
        <v>0.116925</v>
      </c>
    </row>
    <row r="761" spans="3:73" x14ac:dyDescent="0.45">
      <c r="C761" t="s">
        <v>328</v>
      </c>
      <c r="D761" t="s">
        <v>325</v>
      </c>
      <c r="E761" t="s">
        <v>306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328</v>
      </c>
      <c r="AS761" s="15" t="s">
        <v>369</v>
      </c>
      <c r="AT761" s="15"/>
      <c r="AU761" s="15"/>
      <c r="AV761" s="15" t="s">
        <v>375</v>
      </c>
      <c r="AW761" s="15"/>
      <c r="AX761" s="15"/>
      <c r="AY761" s="15"/>
      <c r="AZ761" s="18"/>
      <c r="BA761" s="18"/>
      <c r="BB761" s="19">
        <v>4.4479762671938303E-2</v>
      </c>
      <c r="BC761" s="19">
        <v>4.23616125902554E-2</v>
      </c>
      <c r="BD761" s="19">
        <v>3.9992127911996897E-2</v>
      </c>
      <c r="BE761" s="19">
        <v>3.7625690913051603E-2</v>
      </c>
      <c r="BF761" s="19">
        <v>3.52777899807976E-2</v>
      </c>
      <c r="BG761" s="19">
        <v>3.3076401674728098E-2</v>
      </c>
      <c r="BH761" s="19">
        <v>3.1012383381823799E-2</v>
      </c>
      <c r="BI761" s="19">
        <v>2.9077163002167099E-2</v>
      </c>
      <c r="BJ761" s="19">
        <v>2.7262703348047999E-2</v>
      </c>
      <c r="BK761" s="18"/>
      <c r="BL761" s="18"/>
      <c r="BM761" s="19">
        <v>4.5086000000000001E-2</v>
      </c>
      <c r="BN761" s="19">
        <v>4.4417999999999999E-2</v>
      </c>
      <c r="BO761" s="19">
        <v>4.2178E-2</v>
      </c>
      <c r="BP761" s="19">
        <v>4.0050000000000002E-2</v>
      </c>
      <c r="BQ761" s="19">
        <v>3.8505999999999999E-2</v>
      </c>
      <c r="BR761" s="19">
        <v>3.7483000000000002E-2</v>
      </c>
      <c r="BS761" s="19">
        <v>3.6488E-2</v>
      </c>
      <c r="BT761" s="19">
        <v>3.5519000000000002E-2</v>
      </c>
      <c r="BU761" s="19">
        <v>3.4576000000000003E-2</v>
      </c>
    </row>
    <row r="762" spans="3:73" x14ac:dyDescent="0.45">
      <c r="C762" t="s">
        <v>328</v>
      </c>
      <c r="D762" t="s">
        <v>325</v>
      </c>
      <c r="E762" t="s">
        <v>307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328</v>
      </c>
      <c r="AS762" s="15" t="s">
        <v>369</v>
      </c>
      <c r="AT762" s="15"/>
      <c r="AU762" s="15"/>
      <c r="AV762" s="15" t="s">
        <v>376</v>
      </c>
      <c r="AW762" s="15"/>
      <c r="AX762" s="15"/>
      <c r="AY762" s="15"/>
      <c r="AZ762" s="18"/>
      <c r="BA762" s="18"/>
      <c r="BB762" s="19">
        <v>0.40471828747621602</v>
      </c>
      <c r="BC762" s="19">
        <v>0.39329135129985399</v>
      </c>
      <c r="BD762" s="19">
        <v>0.38076397809183998</v>
      </c>
      <c r="BE762" s="19">
        <v>0.36737132700262998</v>
      </c>
      <c r="BF762" s="19">
        <v>0.35323324793766397</v>
      </c>
      <c r="BG762" s="19">
        <v>0.33963926490021901</v>
      </c>
      <c r="BH762" s="19">
        <v>0.32656843866044599</v>
      </c>
      <c r="BI762" s="19">
        <v>0.31400063582298998</v>
      </c>
      <c r="BJ762" s="19">
        <v>0.30191649781489999</v>
      </c>
      <c r="BK762" s="18"/>
      <c r="BL762" s="18"/>
      <c r="BM762" s="19">
        <v>0.40713500000000002</v>
      </c>
      <c r="BN762" s="19">
        <v>0.40515099999999998</v>
      </c>
      <c r="BO762" s="19">
        <v>0.389571</v>
      </c>
      <c r="BP762" s="19">
        <v>0.37458999999999998</v>
      </c>
      <c r="BQ762" s="19">
        <v>0.36469400000000002</v>
      </c>
      <c r="BR762" s="19">
        <v>0.35949399999999998</v>
      </c>
      <c r="BS762" s="19">
        <v>0.35436800000000002</v>
      </c>
      <c r="BT762" s="19">
        <v>0.34931499999999999</v>
      </c>
      <c r="BU762" s="19">
        <v>0.34433399999999997</v>
      </c>
    </row>
    <row r="763" spans="3:73" x14ac:dyDescent="0.45">
      <c r="C763" t="s">
        <v>328</v>
      </c>
      <c r="D763" t="s">
        <v>325</v>
      </c>
      <c r="E763" t="s">
        <v>308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328</v>
      </c>
      <c r="AS763" s="15" t="s">
        <v>369</v>
      </c>
      <c r="AT763" s="15"/>
      <c r="AU763" s="15"/>
      <c r="AV763" s="15" t="s">
        <v>377</v>
      </c>
      <c r="AW763" s="15"/>
      <c r="AX763" s="15"/>
      <c r="AY763" s="15"/>
      <c r="AZ763" s="18"/>
      <c r="BA763" s="18"/>
      <c r="BB763" s="19">
        <v>0.35582783072368601</v>
      </c>
      <c r="BC763" s="19">
        <v>0.345781282205189</v>
      </c>
      <c r="BD763" s="19">
        <v>0.33476723077432602</v>
      </c>
      <c r="BE763" s="19">
        <v>0.322992428072848</v>
      </c>
      <c r="BF763" s="19">
        <v>0.31056224599321403</v>
      </c>
      <c r="BG763" s="19">
        <v>0.29861043248542202</v>
      </c>
      <c r="BH763" s="19">
        <v>0.287118577803818</v>
      </c>
      <c r="BI763" s="19">
        <v>0.27606898069146102</v>
      </c>
      <c r="BJ763" s="19">
        <v>0.26544462111433897</v>
      </c>
      <c r="BK763" s="18"/>
      <c r="BL763" s="18"/>
      <c r="BM763" s="19">
        <v>0.35795300000000002</v>
      </c>
      <c r="BN763" s="19">
        <v>0.356209</v>
      </c>
      <c r="BO763" s="19">
        <v>0.34250999999999998</v>
      </c>
      <c r="BP763" s="19">
        <v>0.32933899999999999</v>
      </c>
      <c r="BQ763" s="19">
        <v>0.32063900000000001</v>
      </c>
      <c r="BR763" s="19">
        <v>0.31606699999999999</v>
      </c>
      <c r="BS763" s="19">
        <v>0.31156</v>
      </c>
      <c r="BT763" s="19">
        <v>0.30711699999999997</v>
      </c>
      <c r="BU763" s="19">
        <v>0.30273800000000001</v>
      </c>
    </row>
    <row r="764" spans="3:73" x14ac:dyDescent="0.45">
      <c r="C764" t="s">
        <v>328</v>
      </c>
      <c r="D764" t="s">
        <v>325</v>
      </c>
      <c r="E764" t="s">
        <v>309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328</v>
      </c>
      <c r="AS764" s="15" t="s">
        <v>369</v>
      </c>
      <c r="AT764" s="15"/>
      <c r="AU764" s="15"/>
      <c r="AV764" s="15" t="s">
        <v>378</v>
      </c>
      <c r="AW764" s="15"/>
      <c r="AX764" s="15"/>
      <c r="AY764" s="15"/>
      <c r="AZ764" s="18"/>
      <c r="BA764" s="18"/>
      <c r="BB764" s="19">
        <v>1.3428741046024799</v>
      </c>
      <c r="BC764" s="19">
        <v>1.3049589988090899</v>
      </c>
      <c r="BD764" s="19">
        <v>1.26339259175435</v>
      </c>
      <c r="BE764" s="19">
        <v>1.2189551524386599</v>
      </c>
      <c r="BF764" s="19">
        <v>1.17204434842345</v>
      </c>
      <c r="BG764" s="19">
        <v>1.1269388803379199</v>
      </c>
      <c r="BH764" s="19">
        <v>1.08356927084336</v>
      </c>
      <c r="BI764" s="19">
        <v>1.0418687163974201</v>
      </c>
      <c r="BJ764" s="19">
        <v>1.00177298435452</v>
      </c>
      <c r="BK764" s="18"/>
      <c r="BL764" s="18"/>
      <c r="BM764" s="19">
        <v>1.3508929999999999</v>
      </c>
      <c r="BN764" s="19">
        <v>1.344311</v>
      </c>
      <c r="BO764" s="19">
        <v>1.2926150000000001</v>
      </c>
      <c r="BP764" s="19">
        <v>1.242907</v>
      </c>
      <c r="BQ764" s="19">
        <v>1.210072</v>
      </c>
      <c r="BR764" s="19">
        <v>1.192817</v>
      </c>
      <c r="BS764" s="19">
        <v>1.175808</v>
      </c>
      <c r="BT764" s="19">
        <v>1.1590419999999999</v>
      </c>
      <c r="BU764" s="19">
        <v>1.1425149999999999</v>
      </c>
    </row>
    <row r="765" spans="3:73" x14ac:dyDescent="0.45">
      <c r="C765" t="s">
        <v>328</v>
      </c>
      <c r="D765" t="s">
        <v>325</v>
      </c>
      <c r="E765" t="s">
        <v>310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328</v>
      </c>
      <c r="AS765" s="15" t="s">
        <v>369</v>
      </c>
      <c r="AT765" s="15"/>
      <c r="AU765" s="15"/>
      <c r="AV765" s="15" t="s">
        <v>379</v>
      </c>
      <c r="AW765" s="15"/>
      <c r="AX765" s="15"/>
      <c r="AY765" s="15"/>
      <c r="AZ765" s="18"/>
      <c r="BA765" s="18"/>
      <c r="BB765" s="19">
        <v>0.82623562527493299</v>
      </c>
      <c r="BC765" s="19">
        <v>0.80290744355246002</v>
      </c>
      <c r="BD765" s="19">
        <v>0.77733271081645905</v>
      </c>
      <c r="BE765" s="19">
        <v>0.74999150635598</v>
      </c>
      <c r="BF765" s="19">
        <v>0.72112850471285606</v>
      </c>
      <c r="BG765" s="19">
        <v>0.69337627946758496</v>
      </c>
      <c r="BH765" s="19">
        <v>0.66669208301472904</v>
      </c>
      <c r="BI765" s="19">
        <v>0.64103481286642106</v>
      </c>
      <c r="BJ765" s="19">
        <v>0.61636494834094002</v>
      </c>
      <c r="BK765" s="18"/>
      <c r="BL765" s="18"/>
      <c r="BM765" s="19">
        <v>0.83116900000000005</v>
      </c>
      <c r="BN765" s="19">
        <v>0.82711999999999997</v>
      </c>
      <c r="BO765" s="19">
        <v>0.79531200000000002</v>
      </c>
      <c r="BP765" s="19">
        <v>0.76472799999999996</v>
      </c>
      <c r="BQ765" s="19">
        <v>0.74452600000000002</v>
      </c>
      <c r="BR765" s="19">
        <v>0.73390999999999995</v>
      </c>
      <c r="BS765" s="19">
        <v>0.72344399999999998</v>
      </c>
      <c r="BT765" s="19">
        <v>0.71312900000000001</v>
      </c>
      <c r="BU765" s="19">
        <v>0.70296000000000003</v>
      </c>
    </row>
    <row r="766" spans="3:73" x14ac:dyDescent="0.45">
      <c r="C766" t="s">
        <v>328</v>
      </c>
      <c r="D766" t="s">
        <v>325</v>
      </c>
      <c r="E766" t="s">
        <v>311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328</v>
      </c>
      <c r="AS766" s="15" t="s">
        <v>369</v>
      </c>
      <c r="AT766" s="15"/>
      <c r="AU766" s="15"/>
      <c r="AV766" s="15" t="s">
        <v>319</v>
      </c>
      <c r="AW766" s="15"/>
      <c r="AX766" s="15"/>
      <c r="AY766" s="15"/>
      <c r="AZ766" s="18"/>
      <c r="BA766" s="18"/>
      <c r="BB766" s="19">
        <v>0.32243923968340199</v>
      </c>
      <c r="BC766" s="19">
        <v>0.303827486945212</v>
      </c>
      <c r="BD766" s="19">
        <v>0.28199568633572802</v>
      </c>
      <c r="BE766" s="19">
        <v>0.26179805624413399</v>
      </c>
      <c r="BF766" s="19">
        <v>0.24310781178854099</v>
      </c>
      <c r="BG766" s="19">
        <v>0.22575189823983699</v>
      </c>
      <c r="BH766" s="19">
        <v>0.20963505526189599</v>
      </c>
      <c r="BI766" s="19">
        <v>0.19466882332909399</v>
      </c>
      <c r="BJ766" s="19">
        <v>0.18077105820393799</v>
      </c>
      <c r="BK766" s="18"/>
      <c r="BL766" s="18"/>
      <c r="BM766" s="19">
        <v>0.32986100000000002</v>
      </c>
      <c r="BN766" s="19">
        <v>0.320716</v>
      </c>
      <c r="BO766" s="19">
        <v>0.30948700000000001</v>
      </c>
      <c r="BP766" s="19">
        <v>0.298427</v>
      </c>
      <c r="BQ766" s="19">
        <v>0.28754600000000002</v>
      </c>
      <c r="BR766" s="19">
        <v>0.27706199999999997</v>
      </c>
      <c r="BS766" s="19">
        <v>0.26695999999999998</v>
      </c>
      <c r="BT766" s="19">
        <v>0.25722699999999998</v>
      </c>
      <c r="BU766" s="19">
        <v>0.24784800000000001</v>
      </c>
    </row>
    <row r="767" spans="3:73" x14ac:dyDescent="0.45">
      <c r="C767" t="s">
        <v>328</v>
      </c>
      <c r="D767" t="s">
        <v>325</v>
      </c>
      <c r="E767" t="s">
        <v>312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328</v>
      </c>
      <c r="AS767" s="15" t="s">
        <v>369</v>
      </c>
      <c r="AT767" s="15"/>
      <c r="AU767" s="15"/>
      <c r="AV767" s="15" t="s">
        <v>380</v>
      </c>
      <c r="AW767" s="15"/>
      <c r="AX767" s="15"/>
      <c r="AY767" s="15"/>
      <c r="AZ767" s="18"/>
      <c r="BA767" s="18"/>
      <c r="BB767" s="19">
        <v>1.94029636170744E-3</v>
      </c>
      <c r="BC767" s="19">
        <v>1.9036830513664E-3</v>
      </c>
      <c r="BD767" s="19">
        <v>1.8584218294808599E-3</v>
      </c>
      <c r="BE767" s="19">
        <v>1.81469023448861E-3</v>
      </c>
      <c r="BF767" s="19">
        <v>1.7724306433450499E-3</v>
      </c>
      <c r="BG767" s="19">
        <v>1.7311551722511199E-3</v>
      </c>
      <c r="BH767" s="19">
        <v>1.6908409035153299E-3</v>
      </c>
      <c r="BI767" s="19">
        <v>1.65146545314184E-3</v>
      </c>
      <c r="BJ767" s="19">
        <v>1.61300695840202E-3</v>
      </c>
      <c r="BK767" s="18"/>
      <c r="BL767" s="18"/>
      <c r="BM767" s="19">
        <v>1.9550000000000001E-3</v>
      </c>
      <c r="BN767" s="19">
        <v>1.939E-3</v>
      </c>
      <c r="BO767" s="19">
        <v>1.9189999999999999E-3</v>
      </c>
      <c r="BP767" s="19">
        <v>1.8979999999999999E-3</v>
      </c>
      <c r="BQ767" s="19">
        <v>1.8749999999999999E-3</v>
      </c>
      <c r="BR767" s="19">
        <v>1.853E-3</v>
      </c>
      <c r="BS767" s="19">
        <v>1.83E-3</v>
      </c>
      <c r="BT767" s="19">
        <v>1.8090000000000001E-3</v>
      </c>
      <c r="BU767" s="19">
        <v>1.787E-3</v>
      </c>
    </row>
    <row r="768" spans="3:73" x14ac:dyDescent="0.45">
      <c r="C768" t="s">
        <v>328</v>
      </c>
      <c r="D768" t="s">
        <v>325</v>
      </c>
      <c r="E768" t="s">
        <v>313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328</v>
      </c>
      <c r="AS768" s="15" t="s">
        <v>369</v>
      </c>
      <c r="AT768" s="15"/>
      <c r="AU768" s="15"/>
      <c r="AV768" s="15" t="s">
        <v>381</v>
      </c>
      <c r="AW768" s="15"/>
      <c r="AX768" s="15"/>
      <c r="AY768" s="15"/>
      <c r="AZ768" s="18"/>
      <c r="BA768" s="18"/>
      <c r="BB768" s="19">
        <v>0.159067674724504</v>
      </c>
      <c r="BC768" s="19">
        <v>0.15606607442526399</v>
      </c>
      <c r="BD768" s="19">
        <v>0.152355508625828</v>
      </c>
      <c r="BE768" s="19">
        <v>0.148770343356905</v>
      </c>
      <c r="BF768" s="19">
        <v>0.14530585461658799</v>
      </c>
      <c r="BG768" s="19">
        <v>0.14192204514312501</v>
      </c>
      <c r="BH768" s="19">
        <v>0.13861703611843301</v>
      </c>
      <c r="BI768" s="19">
        <v>0.135388992477393</v>
      </c>
      <c r="BJ768" s="19">
        <v>0.132236121888962</v>
      </c>
      <c r="BK768" s="18"/>
      <c r="BL768" s="18"/>
      <c r="BM768" s="19">
        <v>0.16027</v>
      </c>
      <c r="BN768" s="19">
        <v>0.15899099999999999</v>
      </c>
      <c r="BO768" s="19">
        <v>0.15732699999999999</v>
      </c>
      <c r="BP768" s="19">
        <v>0.15556500000000001</v>
      </c>
      <c r="BQ768" s="19">
        <v>0.15370700000000001</v>
      </c>
      <c r="BR768" s="19">
        <v>0.15187100000000001</v>
      </c>
      <c r="BS768" s="19">
        <v>0.150057</v>
      </c>
      <c r="BT768" s="19">
        <v>0.14826500000000001</v>
      </c>
      <c r="BU768" s="19">
        <v>0.14649400000000001</v>
      </c>
    </row>
    <row r="769" spans="3:73" x14ac:dyDescent="0.45">
      <c r="C769" t="s">
        <v>328</v>
      </c>
      <c r="D769" t="s">
        <v>325</v>
      </c>
      <c r="E769" t="s">
        <v>314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328</v>
      </c>
      <c r="AS769" s="15" t="s">
        <v>369</v>
      </c>
      <c r="AT769" s="15"/>
      <c r="AU769" s="15"/>
      <c r="AV769" s="15" t="s">
        <v>382</v>
      </c>
      <c r="AW769" s="15"/>
      <c r="AX769" s="15"/>
      <c r="AY769" s="15"/>
      <c r="AZ769" s="18"/>
      <c r="BA769" s="18"/>
      <c r="BB769" s="19">
        <v>2.0809564217117E-3</v>
      </c>
      <c r="BC769" s="19">
        <v>2.1569328692652599E-3</v>
      </c>
      <c r="BD769" s="19">
        <v>2.2047529550088098E-3</v>
      </c>
      <c r="BE769" s="19">
        <v>2.2760498684605301E-3</v>
      </c>
      <c r="BF769" s="19">
        <v>2.3677403526991899E-3</v>
      </c>
      <c r="BG769" s="19">
        <v>2.4753629039052402E-3</v>
      </c>
      <c r="BH769" s="19">
        <v>2.5942805885786299E-3</v>
      </c>
      <c r="BI769" s="19">
        <v>2.4671350263869899E-3</v>
      </c>
      <c r="BJ769" s="19">
        <v>2.3462208618538101E-3</v>
      </c>
      <c r="BK769" s="18"/>
      <c r="BL769" s="18"/>
      <c r="BM769" s="19">
        <v>2.1129999999999999E-3</v>
      </c>
      <c r="BN769" s="19">
        <v>2.2339999999999999E-3</v>
      </c>
      <c r="BO769" s="19">
        <v>2.3419999999999999E-3</v>
      </c>
      <c r="BP769" s="19">
        <v>2.48E-3</v>
      </c>
      <c r="BQ769" s="19">
        <v>2.6450000000000002E-3</v>
      </c>
      <c r="BR769" s="19">
        <v>2.836E-3</v>
      </c>
      <c r="BS769" s="19">
        <v>3.0479999999999999E-3</v>
      </c>
      <c r="BT769" s="19">
        <v>2.9729999999999999E-3</v>
      </c>
      <c r="BU769" s="19">
        <v>2.8990000000000001E-3</v>
      </c>
    </row>
    <row r="770" spans="3:73" x14ac:dyDescent="0.45">
      <c r="C770" t="s">
        <v>328</v>
      </c>
      <c r="D770" t="s">
        <v>325</v>
      </c>
      <c r="E770" t="s">
        <v>315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328</v>
      </c>
      <c r="AS770" s="15" t="s">
        <v>369</v>
      </c>
      <c r="AT770" s="15"/>
      <c r="AU770" s="15"/>
      <c r="AV770" s="15" t="s">
        <v>383</v>
      </c>
      <c r="AW770" s="15"/>
      <c r="AX770" s="15"/>
      <c r="AY770" s="15"/>
      <c r="AZ770" s="18"/>
      <c r="BA770" s="18"/>
      <c r="BB770" s="19">
        <v>1.8335362329028E-2</v>
      </c>
      <c r="BC770" s="19">
        <v>1.93916464416772E-2</v>
      </c>
      <c r="BD770" s="19">
        <v>2.0327193423367099E-2</v>
      </c>
      <c r="BE770" s="19">
        <v>2.151982277265E-2</v>
      </c>
      <c r="BF770" s="19">
        <v>2.29578082178328E-2</v>
      </c>
      <c r="BG770" s="19">
        <v>2.46135727010834E-2</v>
      </c>
      <c r="BH770" s="19">
        <v>2.6454049108875301E-2</v>
      </c>
      <c r="BI770" s="19">
        <v>2.57992784084555E-2</v>
      </c>
      <c r="BJ770" s="19">
        <v>2.51607140992904E-2</v>
      </c>
      <c r="BK770" s="18"/>
      <c r="BL770" s="18"/>
      <c r="BM770" s="19">
        <v>1.8474000000000001E-2</v>
      </c>
      <c r="BN770" s="19">
        <v>1.9734999999999999E-2</v>
      </c>
      <c r="BO770" s="19">
        <v>2.0948999999999999E-2</v>
      </c>
      <c r="BP770" s="19">
        <v>2.2457999999999999E-2</v>
      </c>
      <c r="BQ770" s="19">
        <v>2.4261000000000001E-2</v>
      </c>
      <c r="BR770" s="19">
        <v>2.6339000000000001E-2</v>
      </c>
      <c r="BS770" s="19">
        <v>2.8666000000000001E-2</v>
      </c>
      <c r="BT770" s="19">
        <v>2.8309000000000001E-2</v>
      </c>
      <c r="BU770" s="19">
        <v>2.7956999999999999E-2</v>
      </c>
    </row>
    <row r="771" spans="3:73" x14ac:dyDescent="0.45">
      <c r="C771" t="s">
        <v>328</v>
      </c>
      <c r="D771" t="s">
        <v>325</v>
      </c>
      <c r="E771" t="s">
        <v>316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328</v>
      </c>
      <c r="AS771" s="15" t="s">
        <v>369</v>
      </c>
      <c r="AT771" s="15"/>
      <c r="AU771" s="15"/>
      <c r="AV771" s="15" t="s">
        <v>384</v>
      </c>
      <c r="AW771" s="15"/>
      <c r="AX771" s="15"/>
      <c r="AY771" s="15"/>
      <c r="AZ771" s="18"/>
      <c r="BA771" s="18"/>
      <c r="BB771" s="19">
        <v>2.3309580261087599E-2</v>
      </c>
      <c r="BC771" s="19">
        <v>2.4652424698000101E-2</v>
      </c>
      <c r="BD771" s="19">
        <v>2.58417771125522E-2</v>
      </c>
      <c r="BE771" s="19">
        <v>2.7357956015372598E-2</v>
      </c>
      <c r="BF771" s="19">
        <v>2.9186053903337301E-2</v>
      </c>
      <c r="BG771" s="19">
        <v>3.12910123122958E-2</v>
      </c>
      <c r="BH771" s="19">
        <v>3.3630793319957997E-2</v>
      </c>
      <c r="BI771" s="19">
        <v>3.2798389251788497E-2</v>
      </c>
      <c r="BJ771" s="19">
        <v>3.1986588222212703E-2</v>
      </c>
      <c r="BK771" s="18"/>
      <c r="BL771" s="18"/>
      <c r="BM771" s="19">
        <v>2.3486E-2</v>
      </c>
      <c r="BN771" s="19">
        <v>2.5089E-2</v>
      </c>
      <c r="BO771" s="19">
        <v>2.6631999999999999E-2</v>
      </c>
      <c r="BP771" s="19">
        <v>2.8549999999999999E-2</v>
      </c>
      <c r="BQ771" s="19">
        <v>3.0842999999999999E-2</v>
      </c>
      <c r="BR771" s="19">
        <v>3.3485000000000001E-2</v>
      </c>
      <c r="BS771" s="19">
        <v>3.6443000000000003E-2</v>
      </c>
      <c r="BT771" s="19">
        <v>3.5990000000000001E-2</v>
      </c>
      <c r="BU771" s="19">
        <v>3.5541999999999997E-2</v>
      </c>
    </row>
    <row r="772" spans="3:73" x14ac:dyDescent="0.45">
      <c r="C772" t="s">
        <v>328</v>
      </c>
      <c r="D772" t="s">
        <v>325</v>
      </c>
      <c r="E772" t="s">
        <v>317</v>
      </c>
      <c r="J772" s="7">
        <v>2020</v>
      </c>
      <c r="K772" s="7"/>
      <c r="L772" s="7"/>
      <c r="M772" s="7"/>
      <c r="N772" s="7"/>
      <c r="O772" s="7"/>
      <c r="P772" s="7"/>
      <c r="Q772" s="7">
        <v>2020</v>
      </c>
      <c r="R772" s="7"/>
      <c r="S772" s="7"/>
      <c r="T772" s="7"/>
      <c r="U772" s="7"/>
      <c r="V772" s="7"/>
      <c r="AR772" s="15" t="s">
        <v>328</v>
      </c>
      <c r="AS772" s="15" t="s">
        <v>369</v>
      </c>
      <c r="AT772" s="15"/>
      <c r="AU772" s="15"/>
      <c r="AV772" s="15" t="s">
        <v>385</v>
      </c>
      <c r="AW772" s="15"/>
      <c r="AX772" s="15"/>
      <c r="AY772" s="15"/>
      <c r="AZ772" s="18"/>
      <c r="BA772" s="18"/>
      <c r="BB772" s="19">
        <v>5.4150624844947599E-2</v>
      </c>
      <c r="BC772" s="19">
        <v>5.72701947605741E-2</v>
      </c>
      <c r="BD772" s="19">
        <v>6.00331864441421E-2</v>
      </c>
      <c r="BE772" s="19">
        <v>6.3555430690706599E-2</v>
      </c>
      <c r="BF772" s="19">
        <v>6.7802295790901995E-2</v>
      </c>
      <c r="BG772" s="19">
        <v>7.2692337217688904E-2</v>
      </c>
      <c r="BH772" s="19">
        <v>7.8127896423221099E-2</v>
      </c>
      <c r="BI772" s="19">
        <v>7.6194133570781405E-2</v>
      </c>
      <c r="BJ772" s="19">
        <v>7.4308233760106202E-2</v>
      </c>
      <c r="BK772" s="18"/>
      <c r="BL772" s="18"/>
      <c r="BM772" s="19">
        <v>5.4559999999999997E-2</v>
      </c>
      <c r="BN772" s="19">
        <v>5.8285000000000003E-2</v>
      </c>
      <c r="BO772" s="19">
        <v>6.1867999999999999E-2</v>
      </c>
      <c r="BP772" s="19">
        <v>6.6324999999999995E-2</v>
      </c>
      <c r="BQ772" s="19">
        <v>7.1651000000000006E-2</v>
      </c>
      <c r="BR772" s="19">
        <v>7.7787999999999996E-2</v>
      </c>
      <c r="BS772" s="19">
        <v>8.4659999999999999E-2</v>
      </c>
      <c r="BT772" s="19">
        <v>8.3607000000000001E-2</v>
      </c>
      <c r="BU772" s="19">
        <v>8.2568000000000003E-2</v>
      </c>
    </row>
    <row r="773" spans="3:73" x14ac:dyDescent="0.45">
      <c r="C773" t="s">
        <v>328</v>
      </c>
      <c r="D773" t="s">
        <v>326</v>
      </c>
      <c r="E773" t="s">
        <v>251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328</v>
      </c>
      <c r="AS773" s="15" t="s">
        <v>369</v>
      </c>
      <c r="AT773" s="15"/>
      <c r="AU773" s="15"/>
      <c r="AV773" s="15" t="s">
        <v>386</v>
      </c>
      <c r="AW773" s="15"/>
      <c r="AX773" s="15"/>
      <c r="AY773" s="15"/>
      <c r="AZ773" s="18"/>
      <c r="BA773" s="18"/>
      <c r="BB773" s="19">
        <v>0.46819873262118</v>
      </c>
      <c r="BC773" s="19">
        <v>0.44578201288746</v>
      </c>
      <c r="BD773" s="19">
        <v>0.39187577509559701</v>
      </c>
      <c r="BE773" s="19">
        <v>0.36766680262067297</v>
      </c>
      <c r="BF773" s="19">
        <v>0.34500690473324602</v>
      </c>
      <c r="BG773" s="19">
        <v>0.32379384719561899</v>
      </c>
      <c r="BH773" s="19">
        <v>0.30393231771588203</v>
      </c>
      <c r="BI773" s="19">
        <v>0.281811060588398</v>
      </c>
      <c r="BJ773" s="19">
        <v>0.261299865926721</v>
      </c>
      <c r="BK773" s="18"/>
      <c r="BL773" s="18"/>
      <c r="BM773" s="19">
        <v>0.47897499999999998</v>
      </c>
      <c r="BN773" s="19">
        <v>0.47009200000000001</v>
      </c>
      <c r="BO773" s="19">
        <v>0.42921999999999999</v>
      </c>
      <c r="BP773" s="19">
        <v>0.418271</v>
      </c>
      <c r="BQ773" s="19">
        <v>0.40766400000000003</v>
      </c>
      <c r="BR773" s="19">
        <v>0.39738800000000002</v>
      </c>
      <c r="BS773" s="19">
        <v>0.38743100000000003</v>
      </c>
      <c r="BT773" s="19">
        <v>0.37311800000000001</v>
      </c>
      <c r="BU773" s="19">
        <v>0.35933500000000002</v>
      </c>
    </row>
    <row r="774" spans="3:73" x14ac:dyDescent="0.45">
      <c r="C774" t="s">
        <v>328</v>
      </c>
      <c r="D774" t="s">
        <v>326</v>
      </c>
      <c r="E774" t="s">
        <v>253</v>
      </c>
      <c r="J774" s="7"/>
      <c r="K774" s="7"/>
      <c r="L774" s="7">
        <v>20</v>
      </c>
      <c r="M774" s="7"/>
      <c r="N774" s="7"/>
      <c r="O774" s="7"/>
      <c r="P774" s="7"/>
      <c r="Q774" s="7"/>
      <c r="R774" s="7">
        <v>20</v>
      </c>
      <c r="S774" s="7"/>
      <c r="T774" s="7"/>
      <c r="U774" s="7"/>
      <c r="V774" s="7"/>
      <c r="AR774" s="15" t="s">
        <v>328</v>
      </c>
      <c r="AS774" s="15" t="s">
        <v>369</v>
      </c>
      <c r="AT774" s="15"/>
      <c r="AU774" s="15"/>
      <c r="AV774" s="15" t="s">
        <v>387</v>
      </c>
      <c r="AW774" s="15"/>
      <c r="AX774" s="15"/>
      <c r="AY774" s="15"/>
      <c r="AZ774" s="18"/>
      <c r="BA774" s="18"/>
      <c r="BB774" s="19">
        <v>2.2928850437912802E-3</v>
      </c>
      <c r="BC774" s="19">
        <v>2.2731180449880699E-3</v>
      </c>
      <c r="BD774" s="19">
        <v>2.10175513476802E-3</v>
      </c>
      <c r="BE774" s="19">
        <v>2.0740650319263799E-3</v>
      </c>
      <c r="BF774" s="19">
        <v>2.04705725243865E-3</v>
      </c>
      <c r="BG774" s="19">
        <v>2.0207149083311801E-3</v>
      </c>
      <c r="BH774" s="19">
        <v>1.9950215296286699E-3</v>
      </c>
      <c r="BI774" s="19">
        <v>1.94564225922166E-3</v>
      </c>
      <c r="BJ774" s="19">
        <v>1.8974851873271501E-3</v>
      </c>
      <c r="BK774" s="18"/>
      <c r="BL774" s="18"/>
      <c r="BM774" s="19">
        <v>2.31E-3</v>
      </c>
      <c r="BN774" s="19">
        <v>2.313E-3</v>
      </c>
      <c r="BO774" s="19">
        <v>2.166E-3</v>
      </c>
      <c r="BP774" s="19">
        <v>2.1640000000000001E-3</v>
      </c>
      <c r="BQ774" s="19">
        <v>2.163E-3</v>
      </c>
      <c r="BR774" s="19">
        <v>2.1619999999999999E-3</v>
      </c>
      <c r="BS774" s="19">
        <v>2.1619999999999999E-3</v>
      </c>
      <c r="BT774" s="19">
        <v>2.1350000000000002E-3</v>
      </c>
      <c r="BU774" s="19">
        <v>2.1080000000000001E-3</v>
      </c>
    </row>
    <row r="775" spans="3:73" x14ac:dyDescent="0.45">
      <c r="C775" t="s">
        <v>328</v>
      </c>
      <c r="D775" t="s">
        <v>326</v>
      </c>
      <c r="E775" t="s">
        <v>254</v>
      </c>
      <c r="J775" s="7"/>
      <c r="K775" s="7"/>
      <c r="L775" s="7">
        <v>17.123290000000001</v>
      </c>
      <c r="M775" s="7"/>
      <c r="N775" s="7"/>
      <c r="O775" s="7"/>
      <c r="P775" s="7"/>
      <c r="Q775" s="7"/>
      <c r="R775" s="7">
        <v>17.123290000000001</v>
      </c>
      <c r="S775" s="7"/>
      <c r="T775" s="7"/>
      <c r="U775" s="7"/>
      <c r="V775" s="7"/>
      <c r="AR775" s="15" t="s">
        <v>328</v>
      </c>
      <c r="AS775" s="15" t="s">
        <v>369</v>
      </c>
      <c r="AT775" s="15"/>
      <c r="AU775" s="15"/>
      <c r="AV775" s="15" t="s">
        <v>388</v>
      </c>
      <c r="AW775" s="15"/>
      <c r="AX775" s="15"/>
      <c r="AY775" s="15"/>
      <c r="AZ775" s="18"/>
      <c r="BA775" s="18"/>
      <c r="BB775" s="19">
        <v>8.1957675625299806E-3</v>
      </c>
      <c r="BC775" s="19">
        <v>7.9630198176908803E-3</v>
      </c>
      <c r="BD775" s="19">
        <v>7.1795709778154403E-3</v>
      </c>
      <c r="BE775" s="19">
        <v>6.9087474130795998E-3</v>
      </c>
      <c r="BF775" s="19">
        <v>6.6491710296171097E-3</v>
      </c>
      <c r="BG775" s="19">
        <v>6.4003412427605004E-3</v>
      </c>
      <c r="BH775" s="19">
        <v>6.1617807356831597E-3</v>
      </c>
      <c r="BI775" s="19">
        <v>5.8597921693001797E-3</v>
      </c>
      <c r="BJ775" s="19">
        <v>5.5726040474864099E-3</v>
      </c>
      <c r="BK775" s="18"/>
      <c r="BL775" s="18"/>
      <c r="BM775" s="19">
        <v>8.3210000000000003E-3</v>
      </c>
      <c r="BN775" s="19">
        <v>8.2489999999999994E-3</v>
      </c>
      <c r="BO775" s="19">
        <v>7.6270000000000001E-3</v>
      </c>
      <c r="BP775" s="19">
        <v>7.5269999999999998E-3</v>
      </c>
      <c r="BQ775" s="19">
        <v>7.4279999999999997E-3</v>
      </c>
      <c r="BR775" s="19">
        <v>7.3330000000000001E-3</v>
      </c>
      <c r="BS775" s="19">
        <v>7.2399999999999999E-3</v>
      </c>
      <c r="BT775" s="19">
        <v>7.0600000000000003E-3</v>
      </c>
      <c r="BU775" s="19">
        <v>6.8859999999999998E-3</v>
      </c>
    </row>
    <row r="776" spans="3:73" x14ac:dyDescent="0.45">
      <c r="C776" t="s">
        <v>328</v>
      </c>
      <c r="D776" t="s">
        <v>326</v>
      </c>
      <c r="E776" t="s">
        <v>255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328</v>
      </c>
      <c r="AS776" s="15" t="s">
        <v>369</v>
      </c>
      <c r="AT776" s="15"/>
      <c r="AU776" s="15"/>
      <c r="AV776" s="15" t="s">
        <v>389</v>
      </c>
      <c r="AW776" s="15"/>
      <c r="AX776" s="15"/>
      <c r="AY776" s="15"/>
      <c r="AZ776" s="18"/>
      <c r="BA776" s="18"/>
      <c r="BB776" s="19">
        <v>0.13096152142143899</v>
      </c>
      <c r="BC776" s="19">
        <v>0.127242406824913</v>
      </c>
      <c r="BD776" s="19">
        <v>0.11472354861631399</v>
      </c>
      <c r="BE776" s="19">
        <v>0.110396014214688</v>
      </c>
      <c r="BF776" s="19">
        <v>0.106248200377367</v>
      </c>
      <c r="BG776" s="19">
        <v>0.10227210817940199</v>
      </c>
      <c r="BH776" s="19">
        <v>9.8460110496505895E-2</v>
      </c>
      <c r="BI776" s="19">
        <v>9.3634585394231695E-2</v>
      </c>
      <c r="BJ776" s="19">
        <v>8.9045559036426206E-2</v>
      </c>
      <c r="BK776" s="18"/>
      <c r="BL776" s="18"/>
      <c r="BM776" s="19">
        <v>0.13295599999999999</v>
      </c>
      <c r="BN776" s="19">
        <v>0.13181000000000001</v>
      </c>
      <c r="BO776" s="19">
        <v>0.121873</v>
      </c>
      <c r="BP776" s="19">
        <v>0.120267</v>
      </c>
      <c r="BQ776" s="19">
        <v>0.118701</v>
      </c>
      <c r="BR776" s="19">
        <v>0.117174</v>
      </c>
      <c r="BS776" s="19">
        <v>0.115684</v>
      </c>
      <c r="BT776" s="19">
        <v>0.112821</v>
      </c>
      <c r="BU776" s="19">
        <v>0.110028</v>
      </c>
    </row>
    <row r="777" spans="3:73" x14ac:dyDescent="0.45">
      <c r="C777" t="s">
        <v>328</v>
      </c>
      <c r="D777" t="s">
        <v>326</v>
      </c>
      <c r="E777" t="s">
        <v>256</v>
      </c>
      <c r="J777" s="7"/>
      <c r="K777" s="7"/>
      <c r="L777" s="7">
        <v>10</v>
      </c>
      <c r="M777" s="7"/>
      <c r="N777" s="7"/>
      <c r="O777" s="7"/>
      <c r="P777" s="7"/>
      <c r="Q777" s="7"/>
      <c r="R777" s="7">
        <v>10</v>
      </c>
      <c r="S777" s="7"/>
      <c r="T777" s="7"/>
      <c r="U777" s="7"/>
      <c r="V777" s="7"/>
      <c r="AR777" s="15" t="s">
        <v>328</v>
      </c>
      <c r="AS777" s="15" t="s">
        <v>369</v>
      </c>
      <c r="AT777" s="15"/>
      <c r="AU777" s="15"/>
      <c r="AV777" s="15" t="s">
        <v>390</v>
      </c>
      <c r="AW777" s="15"/>
      <c r="AX777" s="15"/>
      <c r="AY777" s="15"/>
      <c r="AZ777" s="18"/>
      <c r="BA777" s="18"/>
      <c r="BB777" s="19">
        <v>1.50605749634655E-2</v>
      </c>
      <c r="BC777" s="19">
        <v>1.4632876784865001E-2</v>
      </c>
      <c r="BD777" s="19">
        <v>1.31932080908761E-2</v>
      </c>
      <c r="BE777" s="19">
        <v>1.2695541634689099E-2</v>
      </c>
      <c r="BF777" s="19">
        <v>1.22185430433973E-2</v>
      </c>
      <c r="BG777" s="19">
        <v>1.17612924406312E-2</v>
      </c>
      <c r="BH777" s="19">
        <v>1.13229127070982E-2</v>
      </c>
      <c r="BI777" s="19">
        <v>1.0767977320336601E-2</v>
      </c>
      <c r="BJ777" s="19">
        <v>1.0240239289189001E-2</v>
      </c>
      <c r="BK777" s="18"/>
      <c r="BL777" s="18"/>
      <c r="BM777" s="19">
        <v>1.529E-2</v>
      </c>
      <c r="BN777" s="19">
        <v>1.5158E-2</v>
      </c>
      <c r="BO777" s="19">
        <v>1.4015E-2</v>
      </c>
      <c r="BP777" s="19">
        <v>1.3831E-2</v>
      </c>
      <c r="BQ777" s="19">
        <v>1.3651E-2</v>
      </c>
      <c r="BR777" s="19">
        <v>1.3475000000000001E-2</v>
      </c>
      <c r="BS777" s="19">
        <v>1.3304E-2</v>
      </c>
      <c r="BT777" s="19">
        <v>1.2973999999999999E-2</v>
      </c>
      <c r="BU777" s="19">
        <v>1.2652999999999999E-2</v>
      </c>
    </row>
    <row r="778" spans="3:73" x14ac:dyDescent="0.45">
      <c r="C778" t="s">
        <v>328</v>
      </c>
      <c r="D778" t="s">
        <v>326</v>
      </c>
      <c r="E778" t="s">
        <v>257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328</v>
      </c>
      <c r="AS778" s="15" t="s">
        <v>369</v>
      </c>
      <c r="AT778" s="15"/>
      <c r="AU778" s="15"/>
      <c r="AV778" s="15" t="s">
        <v>391</v>
      </c>
      <c r="AW778" s="15"/>
      <c r="AX778" s="15"/>
      <c r="AY778" s="15"/>
      <c r="AZ778" s="18"/>
      <c r="BA778" s="18"/>
      <c r="BB778" s="19">
        <v>6.9010783020328204E-2</v>
      </c>
      <c r="BC778" s="19">
        <v>6.70509782802578E-2</v>
      </c>
      <c r="BD778" s="19">
        <v>6.0454107702405301E-2</v>
      </c>
      <c r="BE778" s="19">
        <v>5.8173693315322898E-2</v>
      </c>
      <c r="BF778" s="19">
        <v>5.5987983515763701E-2</v>
      </c>
      <c r="BG778" s="19">
        <v>5.3892763233008997E-2</v>
      </c>
      <c r="BH778" s="19">
        <v>5.1884013318430802E-2</v>
      </c>
      <c r="BI778" s="19">
        <v>4.9341180414706802E-2</v>
      </c>
      <c r="BJ778" s="19">
        <v>4.6922971624706898E-2</v>
      </c>
      <c r="BK778" s="18"/>
      <c r="BL778" s="18"/>
      <c r="BM778" s="19">
        <v>7.0061999999999999E-2</v>
      </c>
      <c r="BN778" s="19">
        <v>6.9458000000000006E-2</v>
      </c>
      <c r="BO778" s="19">
        <v>6.4222000000000001E-2</v>
      </c>
      <c r="BP778" s="19">
        <v>6.3375000000000001E-2</v>
      </c>
      <c r="BQ778" s="19">
        <v>6.2549999999999994E-2</v>
      </c>
      <c r="BR778" s="19">
        <v>6.1745000000000001E-2</v>
      </c>
      <c r="BS778" s="19">
        <v>6.096E-2</v>
      </c>
      <c r="BT778" s="19">
        <v>5.9450999999999997E-2</v>
      </c>
      <c r="BU778" s="19">
        <v>5.7979999999999997E-2</v>
      </c>
    </row>
    <row r="779" spans="3:73" x14ac:dyDescent="0.45">
      <c r="C779" t="s">
        <v>328</v>
      </c>
      <c r="D779" t="s">
        <v>326</v>
      </c>
      <c r="E779" t="s">
        <v>258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328</v>
      </c>
      <c r="AS779" s="15" t="s">
        <v>369</v>
      </c>
      <c r="AT779" s="15"/>
      <c r="AU779" s="15"/>
      <c r="AV779" s="15" t="s">
        <v>392</v>
      </c>
      <c r="AW779" s="15"/>
      <c r="AX779" s="15"/>
      <c r="AY779" s="15"/>
      <c r="AZ779" s="18"/>
      <c r="BA779" s="18"/>
      <c r="BB779" s="19">
        <v>1.07706386189922E-3</v>
      </c>
      <c r="BC779" s="19">
        <v>1.08296085682364E-3</v>
      </c>
      <c r="BD779" s="19">
        <v>1.0776770289229801E-3</v>
      </c>
      <c r="BE779" s="19">
        <v>1.08987009891478E-3</v>
      </c>
      <c r="BF779" s="19">
        <v>1.0970088789387499E-3</v>
      </c>
      <c r="BG779" s="19">
        <v>1.09942991857448E-3</v>
      </c>
      <c r="BH779" s="19">
        <v>1.09745388159161E-3</v>
      </c>
      <c r="BI779" s="19">
        <v>1.0918256764264099E-3</v>
      </c>
      <c r="BJ779" s="19">
        <v>1.0840892954332201E-3</v>
      </c>
      <c r="BK779" s="18"/>
      <c r="BL779" s="18"/>
      <c r="BM779" s="19">
        <v>1.0939999999999999E-3</v>
      </c>
      <c r="BN779" s="19">
        <v>1.1540000000000001E-3</v>
      </c>
      <c r="BO779" s="19">
        <v>1.2080000000000001E-3</v>
      </c>
      <c r="BP779" s="19">
        <v>1.2329999999999999E-3</v>
      </c>
      <c r="BQ779" s="19">
        <v>1.2310000000000001E-3</v>
      </c>
      <c r="BR779" s="19">
        <v>1.2260000000000001E-3</v>
      </c>
      <c r="BS779" s="19">
        <v>1.2160000000000001E-3</v>
      </c>
      <c r="BT779" s="19">
        <v>1.2030000000000001E-3</v>
      </c>
      <c r="BU779" s="19">
        <v>1.188E-3</v>
      </c>
    </row>
    <row r="780" spans="3:73" x14ac:dyDescent="0.45">
      <c r="C780" t="s">
        <v>328</v>
      </c>
      <c r="D780" t="s">
        <v>326</v>
      </c>
      <c r="E780" t="s">
        <v>259</v>
      </c>
      <c r="J780" s="7"/>
      <c r="K780" s="7"/>
      <c r="L780" s="7">
        <v>22</v>
      </c>
      <c r="M780" s="7"/>
      <c r="N780" s="7"/>
      <c r="O780" s="7"/>
      <c r="P780" s="7"/>
      <c r="Q780" s="7"/>
      <c r="R780" s="7">
        <v>22</v>
      </c>
      <c r="S780" s="7"/>
      <c r="T780" s="7"/>
      <c r="U780" s="7"/>
      <c r="V780" s="7"/>
      <c r="AR780" s="15" t="s">
        <v>328</v>
      </c>
      <c r="AS780" s="15" t="s">
        <v>369</v>
      </c>
      <c r="AT780" s="15"/>
      <c r="AU780" s="15"/>
      <c r="AV780" s="15" t="s">
        <v>393</v>
      </c>
      <c r="AW780" s="15"/>
      <c r="AX780" s="15"/>
      <c r="AY780" s="15"/>
      <c r="AZ780" s="18"/>
      <c r="BA780" s="18"/>
      <c r="BB780" s="19">
        <v>1.2321152155046899</v>
      </c>
      <c r="BC780" s="19">
        <v>1.2141464689830399</v>
      </c>
      <c r="BD780" s="19">
        <v>1.17816879744875</v>
      </c>
      <c r="BE780" s="19">
        <v>1.1618610636484701</v>
      </c>
      <c r="BF780" s="19">
        <v>1.1403815231296599</v>
      </c>
      <c r="BG780" s="19">
        <v>1.1144694033388001</v>
      </c>
      <c r="BH780" s="19">
        <v>1.08479443063374</v>
      </c>
      <c r="BI780" s="19">
        <v>1.0523859481396001</v>
      </c>
      <c r="BJ780" s="19">
        <v>1.0189370699075</v>
      </c>
      <c r="BK780" s="18"/>
      <c r="BL780" s="18"/>
      <c r="BM780" s="19">
        <v>1.2605470000000001</v>
      </c>
      <c r="BN780" s="19">
        <v>1.316562</v>
      </c>
      <c r="BO780" s="19">
        <v>1.360808</v>
      </c>
      <c r="BP780" s="19">
        <v>1.3722650000000001</v>
      </c>
      <c r="BQ780" s="19">
        <v>1.353267</v>
      </c>
      <c r="BR780" s="19">
        <v>1.330076</v>
      </c>
      <c r="BS780" s="19">
        <v>1.3030170000000001</v>
      </c>
      <c r="BT780" s="19">
        <v>1.2729090000000001</v>
      </c>
      <c r="BU780" s="19">
        <v>1.241503</v>
      </c>
    </row>
    <row r="781" spans="3:73" x14ac:dyDescent="0.45">
      <c r="C781" t="s">
        <v>328</v>
      </c>
      <c r="D781" t="s">
        <v>326</v>
      </c>
      <c r="E781" t="s">
        <v>260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328</v>
      </c>
      <c r="AS781" s="15" t="s">
        <v>369</v>
      </c>
      <c r="AT781" s="15"/>
      <c r="AU781" s="15"/>
      <c r="AV781" s="15" t="s">
        <v>394</v>
      </c>
      <c r="AW781" s="15"/>
      <c r="AX781" s="15"/>
      <c r="AY781" s="15"/>
      <c r="AZ781" s="18"/>
      <c r="BA781" s="18"/>
      <c r="BB781" s="19">
        <v>0.45184740382638799</v>
      </c>
      <c r="BC781" s="19">
        <v>0.43378510629253902</v>
      </c>
      <c r="BD781" s="19">
        <v>0.38964623327447001</v>
      </c>
      <c r="BE781" s="19">
        <v>0.34999861660209802</v>
      </c>
      <c r="BF781" s="19">
        <v>0.309959148579463</v>
      </c>
      <c r="BG781" s="19">
        <v>0.27062465836818</v>
      </c>
      <c r="BH781" s="19">
        <v>0.23628180052933101</v>
      </c>
      <c r="BI781" s="19">
        <v>0.20629712605651801</v>
      </c>
      <c r="BJ781" s="19">
        <v>0.18011757200020101</v>
      </c>
      <c r="BK781" s="18"/>
      <c r="BL781" s="18"/>
      <c r="BM781" s="19">
        <v>0.46224799999999999</v>
      </c>
      <c r="BN781" s="19">
        <v>0.45744099999999999</v>
      </c>
      <c r="BO781" s="19">
        <v>0.40314899999999998</v>
      </c>
      <c r="BP781" s="19">
        <v>0.35530099999999998</v>
      </c>
      <c r="BQ781" s="19">
        <v>0.326818</v>
      </c>
      <c r="BR781" s="19">
        <v>0.31364399999999998</v>
      </c>
      <c r="BS781" s="19">
        <v>0.30099999999999999</v>
      </c>
      <c r="BT781" s="19">
        <v>0.28886699999999998</v>
      </c>
      <c r="BU781" s="19">
        <v>0.27722200000000002</v>
      </c>
    </row>
    <row r="782" spans="3:73" x14ac:dyDescent="0.45">
      <c r="C782" t="s">
        <v>328</v>
      </c>
      <c r="D782" t="s">
        <v>326</v>
      </c>
      <c r="E782" t="s">
        <v>261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328</v>
      </c>
      <c r="AS782" s="15" t="s">
        <v>369</v>
      </c>
      <c r="AT782" s="15"/>
      <c r="AU782" s="15"/>
      <c r="AV782" s="15" t="s">
        <v>395</v>
      </c>
      <c r="AW782" s="15"/>
      <c r="AX782" s="15"/>
      <c r="AY782" s="15"/>
      <c r="AZ782" s="18"/>
      <c r="BA782" s="18"/>
      <c r="BB782" s="19">
        <v>3.13439953069879E-2</v>
      </c>
      <c r="BC782" s="19">
        <v>3.1331746209407998E-2</v>
      </c>
      <c r="BD782" s="19">
        <v>2.9601566670112101E-2</v>
      </c>
      <c r="BE782" s="19">
        <v>2.79669298821901E-2</v>
      </c>
      <c r="BF782" s="19">
        <v>2.6050566759402E-2</v>
      </c>
      <c r="BG782" s="19">
        <v>2.3922928029464201E-2</v>
      </c>
      <c r="BH782" s="19">
        <v>2.1969060818854198E-2</v>
      </c>
      <c r="BI782" s="19">
        <v>2.01747726142921E-2</v>
      </c>
      <c r="BJ782" s="19">
        <v>1.8527030053513999E-2</v>
      </c>
      <c r="BK782" s="18"/>
      <c r="BL782" s="18"/>
      <c r="BM782" s="19">
        <v>3.1580999999999998E-2</v>
      </c>
      <c r="BN782" s="19">
        <v>3.1886999999999999E-2</v>
      </c>
      <c r="BO782" s="19">
        <v>2.8816999999999999E-2</v>
      </c>
      <c r="BP782" s="19">
        <v>2.6043E-2</v>
      </c>
      <c r="BQ782" s="19">
        <v>2.4565E-2</v>
      </c>
      <c r="BR782" s="19">
        <v>2.4174999999999999E-2</v>
      </c>
      <c r="BS782" s="19">
        <v>2.3791E-2</v>
      </c>
      <c r="BT782" s="19">
        <v>2.3413E-2</v>
      </c>
      <c r="BU782" s="19">
        <v>2.3040000000000001E-2</v>
      </c>
    </row>
    <row r="783" spans="3:73" x14ac:dyDescent="0.45">
      <c r="C783" t="s">
        <v>328</v>
      </c>
      <c r="D783" t="s">
        <v>326</v>
      </c>
      <c r="E783" t="s">
        <v>262</v>
      </c>
      <c r="J783" s="7"/>
      <c r="K783" s="7"/>
      <c r="L783" s="7">
        <v>15</v>
      </c>
      <c r="M783" s="7"/>
      <c r="N783" s="7"/>
      <c r="O783" s="7"/>
      <c r="P783" s="7"/>
      <c r="Q783" s="7"/>
      <c r="R783" s="7">
        <v>15</v>
      </c>
      <c r="S783" s="7"/>
      <c r="T783" s="7"/>
      <c r="U783" s="7"/>
      <c r="V783" s="7"/>
      <c r="AR783" s="15" t="s">
        <v>328</v>
      </c>
      <c r="AS783" s="15" t="s">
        <v>369</v>
      </c>
      <c r="AT783" s="15"/>
      <c r="AU783" s="15"/>
      <c r="AV783" s="15" t="s">
        <v>396</v>
      </c>
      <c r="AW783" s="15"/>
      <c r="AX783" s="15"/>
      <c r="AY783" s="15"/>
      <c r="AZ783" s="18"/>
      <c r="BA783" s="18"/>
      <c r="BB783" s="19">
        <v>2.0337203030097301E-2</v>
      </c>
      <c r="BC783" s="19">
        <v>1.9923696897981898E-2</v>
      </c>
      <c r="BD783" s="19">
        <v>1.8355262177950998E-2</v>
      </c>
      <c r="BE783" s="19">
        <v>1.6910297890319899E-2</v>
      </c>
      <c r="BF783" s="19">
        <v>1.5359752232147699E-2</v>
      </c>
      <c r="BG783" s="19">
        <v>1.37544090790695E-2</v>
      </c>
      <c r="BH783" s="19">
        <v>1.23168503147097E-2</v>
      </c>
      <c r="BI783" s="19">
        <v>1.10295397499713E-2</v>
      </c>
      <c r="BJ783" s="19">
        <v>9.8767740118521196E-3</v>
      </c>
      <c r="BK783" s="18"/>
      <c r="BL783" s="18"/>
      <c r="BM783" s="19">
        <v>2.0646999999999999E-2</v>
      </c>
      <c r="BN783" s="19">
        <v>2.0639000000000001E-2</v>
      </c>
      <c r="BO783" s="19">
        <v>1.8419999999999999E-2</v>
      </c>
      <c r="BP783" s="19">
        <v>1.6438999999999999E-2</v>
      </c>
      <c r="BQ783" s="19">
        <v>1.5311999999999999E-2</v>
      </c>
      <c r="BR783" s="19">
        <v>1.4881E-2</v>
      </c>
      <c r="BS783" s="19">
        <v>1.4461999999999999E-2</v>
      </c>
      <c r="BT783" s="19">
        <v>1.4055E-2</v>
      </c>
      <c r="BU783" s="19">
        <v>1.3658999999999999E-2</v>
      </c>
    </row>
    <row r="784" spans="3:73" x14ac:dyDescent="0.45">
      <c r="C784" t="s">
        <v>328</v>
      </c>
      <c r="D784" t="s">
        <v>326</v>
      </c>
      <c r="E784" t="s">
        <v>263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328</v>
      </c>
      <c r="AS784" s="15" t="s">
        <v>369</v>
      </c>
      <c r="AT784" s="15"/>
      <c r="AU784" s="15"/>
      <c r="AV784" s="15" t="s">
        <v>397</v>
      </c>
      <c r="AW784" s="15"/>
      <c r="AX784" s="15"/>
      <c r="AY784" s="15"/>
      <c r="AZ784" s="18"/>
      <c r="BA784" s="18"/>
      <c r="BB784" s="19">
        <v>6.9101953595680698E-3</v>
      </c>
      <c r="BC784" s="19">
        <v>6.7696938288970502E-3</v>
      </c>
      <c r="BD784" s="19">
        <v>6.23676949765523E-3</v>
      </c>
      <c r="BE784" s="19">
        <v>5.7457980744780599E-3</v>
      </c>
      <c r="BF784" s="19">
        <v>5.2189521067192097E-3</v>
      </c>
      <c r="BG784" s="19">
        <v>4.6734869908673397E-3</v>
      </c>
      <c r="BH784" s="19">
        <v>4.1850318238571696E-3</v>
      </c>
      <c r="BI784" s="19">
        <v>3.7476281416687499E-3</v>
      </c>
      <c r="BJ784" s="19">
        <v>3.3559402363834601E-3</v>
      </c>
      <c r="BK784" s="18"/>
      <c r="BL784" s="18"/>
      <c r="BM784" s="19">
        <v>7.0150000000000004E-3</v>
      </c>
      <c r="BN784" s="19">
        <v>7.0130000000000001E-3</v>
      </c>
      <c r="BO784" s="19">
        <v>6.2589999999999998E-3</v>
      </c>
      <c r="BP784" s="19">
        <v>5.5859999999999998E-3</v>
      </c>
      <c r="BQ784" s="19">
        <v>5.2030000000000002E-3</v>
      </c>
      <c r="BR784" s="19">
        <v>5.0559999999999997E-3</v>
      </c>
      <c r="BS784" s="19">
        <v>4.914E-3</v>
      </c>
      <c r="BT784" s="19">
        <v>4.7759999999999999E-3</v>
      </c>
      <c r="BU784" s="19">
        <v>4.6410000000000002E-3</v>
      </c>
    </row>
    <row r="785" spans="3:73" x14ac:dyDescent="0.45">
      <c r="C785" t="s">
        <v>328</v>
      </c>
      <c r="D785" t="s">
        <v>326</v>
      </c>
      <c r="E785" t="s">
        <v>264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328</v>
      </c>
      <c r="AS785" s="15" t="s">
        <v>369</v>
      </c>
      <c r="AT785" s="15"/>
      <c r="AU785" s="15"/>
      <c r="AV785" s="15" t="s">
        <v>398</v>
      </c>
      <c r="AW785" s="15"/>
      <c r="AX785" s="15"/>
      <c r="AY785" s="15"/>
      <c r="AZ785" s="18"/>
      <c r="BA785" s="18"/>
      <c r="BB785" s="19">
        <v>0.11041915119040401</v>
      </c>
      <c r="BC785" s="19">
        <v>0.10817405406212</v>
      </c>
      <c r="BD785" s="19">
        <v>9.9658368290232405E-2</v>
      </c>
      <c r="BE785" s="19">
        <v>9.1813054954640205E-2</v>
      </c>
      <c r="BF785" s="19">
        <v>8.3394496355212094E-2</v>
      </c>
      <c r="BG785" s="19">
        <v>7.4678419317977293E-2</v>
      </c>
      <c r="BH785" s="19">
        <v>6.6873313654625705E-2</v>
      </c>
      <c r="BI785" s="19">
        <v>5.9883968085990197E-2</v>
      </c>
      <c r="BJ785" s="19">
        <v>5.3625122455343503E-2</v>
      </c>
      <c r="BK785" s="18"/>
      <c r="BL785" s="18"/>
      <c r="BM785" s="19">
        <v>0.11210100000000001</v>
      </c>
      <c r="BN785" s="19">
        <v>0.112057</v>
      </c>
      <c r="BO785" s="19">
        <v>0.100007</v>
      </c>
      <c r="BP785" s="19">
        <v>8.9254E-2</v>
      </c>
      <c r="BQ785" s="19">
        <v>8.3138000000000004E-2</v>
      </c>
      <c r="BR785" s="19">
        <v>8.0796000000000007E-2</v>
      </c>
      <c r="BS785" s="19">
        <v>7.8520999999999994E-2</v>
      </c>
      <c r="BT785" s="19">
        <v>7.6309000000000002E-2</v>
      </c>
      <c r="BU785" s="19">
        <v>7.4160000000000004E-2</v>
      </c>
    </row>
    <row r="786" spans="3:73" x14ac:dyDescent="0.45">
      <c r="C786" t="s">
        <v>328</v>
      </c>
      <c r="D786" t="s">
        <v>326</v>
      </c>
      <c r="E786" t="s">
        <v>265</v>
      </c>
      <c r="J786" s="7"/>
      <c r="K786" s="7"/>
      <c r="L786" s="7">
        <v>22</v>
      </c>
      <c r="M786" s="7"/>
      <c r="N786" s="7"/>
      <c r="O786" s="7"/>
      <c r="P786" s="7"/>
      <c r="Q786" s="7"/>
      <c r="R786" s="7">
        <v>22</v>
      </c>
      <c r="S786" s="7"/>
      <c r="T786" s="7"/>
      <c r="U786" s="7"/>
      <c r="V786" s="7"/>
      <c r="AR786" s="15" t="s">
        <v>328</v>
      </c>
      <c r="AS786" s="15" t="s">
        <v>369</v>
      </c>
      <c r="AT786" s="15"/>
      <c r="AU786" s="15"/>
      <c r="AV786" s="15" t="s">
        <v>399</v>
      </c>
      <c r="AW786" s="15"/>
      <c r="AX786" s="15"/>
      <c r="AY786" s="15"/>
      <c r="AZ786" s="18"/>
      <c r="BA786" s="18"/>
      <c r="BB786" s="19">
        <v>1.2698202386896401E-2</v>
      </c>
      <c r="BC786" s="19">
        <v>1.2440016217143799E-2</v>
      </c>
      <c r="BD786" s="19">
        <v>1.1460712353376701E-2</v>
      </c>
      <c r="BE786" s="19">
        <v>1.05585013197836E-2</v>
      </c>
      <c r="BF786" s="19">
        <v>9.5903670808494008E-3</v>
      </c>
      <c r="BG786" s="19">
        <v>8.5880182215673905E-3</v>
      </c>
      <c r="BH786" s="19">
        <v>7.6904310702819601E-3</v>
      </c>
      <c r="BI786" s="19">
        <v>6.8866563298888798E-3</v>
      </c>
      <c r="BJ786" s="19">
        <v>6.1668890823644998E-3</v>
      </c>
      <c r="BK786" s="18"/>
      <c r="BL786" s="18"/>
      <c r="BM786" s="19">
        <v>1.2892000000000001E-2</v>
      </c>
      <c r="BN786" s="19">
        <v>1.2886999999999999E-2</v>
      </c>
      <c r="BO786" s="19">
        <v>1.1501000000000001E-2</v>
      </c>
      <c r="BP786" s="19">
        <v>1.0264000000000001E-2</v>
      </c>
      <c r="BQ786" s="19">
        <v>9.5610000000000001E-3</v>
      </c>
      <c r="BR786" s="19">
        <v>9.2919999999999999E-3</v>
      </c>
      <c r="BS786" s="19">
        <v>9.0299999999999998E-3</v>
      </c>
      <c r="BT786" s="19">
        <v>8.7760000000000008E-3</v>
      </c>
      <c r="BU786" s="19">
        <v>8.5280000000000009E-3</v>
      </c>
    </row>
    <row r="787" spans="3:73" x14ac:dyDescent="0.45">
      <c r="C787" t="s">
        <v>328</v>
      </c>
      <c r="D787" t="s">
        <v>326</v>
      </c>
      <c r="E787" t="s">
        <v>266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328</v>
      </c>
      <c r="AS787" s="15" t="s">
        <v>369</v>
      </c>
      <c r="AT787" s="15"/>
      <c r="AU787" s="15"/>
      <c r="AV787" s="15" t="s">
        <v>400</v>
      </c>
      <c r="AW787" s="15"/>
      <c r="AX787" s="15"/>
      <c r="AY787" s="15"/>
      <c r="AZ787" s="18"/>
      <c r="BA787" s="18"/>
      <c r="BB787" s="19">
        <v>14.6282</v>
      </c>
      <c r="BC787" s="19">
        <v>14.6282</v>
      </c>
      <c r="BD787" s="19">
        <v>0</v>
      </c>
      <c r="BE787" s="19">
        <v>0</v>
      </c>
      <c r="BF787" s="19">
        <v>0</v>
      </c>
      <c r="BG787" s="19">
        <v>0</v>
      </c>
      <c r="BH787" s="19">
        <v>0</v>
      </c>
      <c r="BI787" s="19">
        <v>0</v>
      </c>
      <c r="BJ787" s="19">
        <v>0</v>
      </c>
      <c r="BK787" s="18"/>
      <c r="BL787" s="18"/>
      <c r="BM787" s="19">
        <v>14.6282</v>
      </c>
      <c r="BN787" s="19">
        <v>14.6282</v>
      </c>
      <c r="BO787" s="19">
        <v>14.6282</v>
      </c>
      <c r="BP787" s="19">
        <v>14.6282</v>
      </c>
      <c r="BQ787" s="19">
        <v>14.6282</v>
      </c>
      <c r="BR787" s="19">
        <v>14.6282</v>
      </c>
      <c r="BS787" s="19">
        <v>14.6282</v>
      </c>
      <c r="BT787" s="19">
        <v>14.6282</v>
      </c>
      <c r="BU787" s="19">
        <v>14.6282</v>
      </c>
    </row>
    <row r="788" spans="3:73" x14ac:dyDescent="0.45">
      <c r="C788" t="s">
        <v>328</v>
      </c>
      <c r="D788" t="s">
        <v>326</v>
      </c>
      <c r="E788" t="s">
        <v>267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328</v>
      </c>
      <c r="AS788" s="15" t="s">
        <v>369</v>
      </c>
      <c r="AT788" s="15"/>
      <c r="AU788" s="15"/>
      <c r="AV788" s="15" t="s">
        <v>401</v>
      </c>
      <c r="AW788" s="15"/>
      <c r="AX788" s="15"/>
      <c r="AY788" s="15"/>
      <c r="AZ788" s="18"/>
      <c r="BA788" s="18"/>
      <c r="BB788" s="19">
        <v>1.1299595657923E-2</v>
      </c>
      <c r="BC788" s="19">
        <v>1.08543465036142E-2</v>
      </c>
      <c r="BD788" s="19">
        <v>1.03223755231039E-2</v>
      </c>
      <c r="BE788" s="19">
        <v>9.8164764138031404E-3</v>
      </c>
      <c r="BF788" s="19">
        <v>9.3353713946048196E-3</v>
      </c>
      <c r="BG788" s="19">
        <v>8.8778453083902704E-3</v>
      </c>
      <c r="BH788" s="19">
        <v>8.4427425528305396E-3</v>
      </c>
      <c r="BI788" s="19">
        <v>8.02896416160917E-3</v>
      </c>
      <c r="BJ788" s="19">
        <v>7.6354650286940204E-3</v>
      </c>
      <c r="BK788" s="18"/>
      <c r="BL788" s="18"/>
      <c r="BM788" s="19">
        <v>1.1472E-2</v>
      </c>
      <c r="BN788" s="19">
        <v>1.1244000000000001E-2</v>
      </c>
      <c r="BO788" s="19">
        <v>1.0966E-2</v>
      </c>
      <c r="BP788" s="19">
        <v>1.0694E-2</v>
      </c>
      <c r="BQ788" s="19">
        <v>1.043E-2</v>
      </c>
      <c r="BR788" s="19">
        <v>1.0170999999999999E-2</v>
      </c>
      <c r="BS788" s="19">
        <v>9.92E-3</v>
      </c>
      <c r="BT788" s="19">
        <v>9.6740000000000003E-3</v>
      </c>
      <c r="BU788" s="19">
        <v>9.4350000000000007E-3</v>
      </c>
    </row>
    <row r="789" spans="3:73" x14ac:dyDescent="0.45">
      <c r="C789" t="s">
        <v>328</v>
      </c>
      <c r="D789" t="s">
        <v>326</v>
      </c>
      <c r="E789" t="s">
        <v>268</v>
      </c>
      <c r="J789" s="7"/>
      <c r="K789" s="7"/>
      <c r="L789" s="7">
        <v>25</v>
      </c>
      <c r="M789" s="7"/>
      <c r="N789" s="7"/>
      <c r="O789" s="7"/>
      <c r="P789" s="7"/>
      <c r="Q789" s="7"/>
      <c r="R789" s="7">
        <v>25</v>
      </c>
      <c r="S789" s="7"/>
      <c r="T789" s="7"/>
      <c r="U789" s="7"/>
      <c r="V789" s="7"/>
      <c r="AR789" s="15" t="s">
        <v>328</v>
      </c>
      <c r="AS789" s="15" t="s">
        <v>369</v>
      </c>
      <c r="AT789" s="15"/>
      <c r="AU789" s="15"/>
      <c r="AV789" s="15" t="s">
        <v>402</v>
      </c>
      <c r="AW789" s="15"/>
      <c r="AX789" s="15"/>
      <c r="AY789" s="15"/>
      <c r="AZ789" s="18"/>
      <c r="BA789" s="18"/>
      <c r="BB789" s="19">
        <v>1.54688224903246E-2</v>
      </c>
      <c r="BC789" s="19">
        <v>1.4859289163604E-2</v>
      </c>
      <c r="BD789" s="19">
        <v>1.41310361431743E-2</v>
      </c>
      <c r="BE789" s="19">
        <v>1.34384747669361E-2</v>
      </c>
      <c r="BF789" s="19">
        <v>1.27798557891884E-2</v>
      </c>
      <c r="BG789" s="19">
        <v>1.2153515694675101E-2</v>
      </c>
      <c r="BH789" s="19">
        <v>1.15578724969395E-2</v>
      </c>
      <c r="BI789" s="19">
        <v>1.09914217426023E-2</v>
      </c>
      <c r="BJ789" s="19">
        <v>1.0452732711469299E-2</v>
      </c>
      <c r="BK789" s="18"/>
      <c r="BL789" s="18"/>
      <c r="BM789" s="19">
        <v>1.5703999999999999E-2</v>
      </c>
      <c r="BN789" s="19">
        <v>1.5393E-2</v>
      </c>
      <c r="BO789" s="19">
        <v>1.5011999999999999E-2</v>
      </c>
      <c r="BP789" s="19">
        <v>1.464E-2</v>
      </c>
      <c r="BQ789" s="19">
        <v>1.4278000000000001E-2</v>
      </c>
      <c r="BR789" s="19">
        <v>1.3924000000000001E-2</v>
      </c>
      <c r="BS789" s="19">
        <v>1.358E-2</v>
      </c>
      <c r="BT789" s="19">
        <v>1.3244000000000001E-2</v>
      </c>
      <c r="BU789" s="19">
        <v>1.2916E-2</v>
      </c>
    </row>
    <row r="790" spans="3:73" x14ac:dyDescent="0.45">
      <c r="C790" t="s">
        <v>328</v>
      </c>
      <c r="D790" t="s">
        <v>326</v>
      </c>
      <c r="E790" t="s">
        <v>269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328</v>
      </c>
      <c r="AS790" s="15" t="s">
        <v>369</v>
      </c>
      <c r="AT790" s="15"/>
      <c r="AU790" s="15"/>
      <c r="AV790" s="15" t="s">
        <v>403</v>
      </c>
      <c r="AW790" s="15"/>
      <c r="AX790" s="15"/>
      <c r="AY790" s="15"/>
      <c r="AZ790" s="18"/>
      <c r="BA790" s="18"/>
      <c r="BB790" s="19">
        <v>5.37816975560865E-2</v>
      </c>
      <c r="BC790" s="19">
        <v>5.1662484083403397E-2</v>
      </c>
      <c r="BD790" s="19">
        <v>4.9130508316433799E-2</v>
      </c>
      <c r="BE790" s="19">
        <v>4.6722624555457698E-2</v>
      </c>
      <c r="BF790" s="19">
        <v>4.4432751057453701E-2</v>
      </c>
      <c r="BG790" s="19">
        <v>4.22551041453222E-2</v>
      </c>
      <c r="BH790" s="19">
        <v>4.0184183599689602E-2</v>
      </c>
      <c r="BI790" s="19">
        <v>3.8214758766659598E-2</v>
      </c>
      <c r="BJ790" s="19">
        <v>3.6341855346422099E-2</v>
      </c>
      <c r="BK790" s="18"/>
      <c r="BL790" s="18"/>
      <c r="BM790" s="19">
        <v>5.4600999999999997E-2</v>
      </c>
      <c r="BN790" s="19">
        <v>5.3517000000000002E-2</v>
      </c>
      <c r="BO790" s="19">
        <v>5.2192000000000002E-2</v>
      </c>
      <c r="BP790" s="19">
        <v>5.0900000000000001E-2</v>
      </c>
      <c r="BQ790" s="19">
        <v>4.9640999999999998E-2</v>
      </c>
      <c r="BR790" s="19">
        <v>4.8411999999999997E-2</v>
      </c>
      <c r="BS790" s="19">
        <v>4.7213999999999999E-2</v>
      </c>
      <c r="BT790" s="19">
        <v>4.6045000000000003E-2</v>
      </c>
      <c r="BU790" s="19">
        <v>4.4905E-2</v>
      </c>
    </row>
    <row r="791" spans="3:73" x14ac:dyDescent="0.45">
      <c r="C791" t="s">
        <v>328</v>
      </c>
      <c r="D791" t="s">
        <v>326</v>
      </c>
      <c r="E791" t="s">
        <v>270</v>
      </c>
      <c r="J791" s="7"/>
      <c r="K791" s="7"/>
      <c r="L791" s="7">
        <v>15</v>
      </c>
      <c r="M791" s="7"/>
      <c r="N791" s="7"/>
      <c r="O791" s="7"/>
      <c r="P791" s="7"/>
      <c r="Q791" s="7"/>
      <c r="R791" s="7">
        <v>15</v>
      </c>
      <c r="S791" s="7"/>
      <c r="T791" s="7"/>
      <c r="U791" s="7"/>
      <c r="V791" s="7"/>
      <c r="AR791" s="15" t="s">
        <v>328</v>
      </c>
      <c r="AS791" s="15" t="s">
        <v>369</v>
      </c>
      <c r="AT791" s="15"/>
      <c r="AU791" s="15"/>
      <c r="AV791" s="15" t="s">
        <v>405</v>
      </c>
      <c r="AW791" s="15"/>
      <c r="AX791" s="15"/>
      <c r="AY791" s="15"/>
      <c r="AZ791" s="18"/>
      <c r="BA791" s="18"/>
      <c r="BB791" s="19">
        <v>6.7362547182976398E-3</v>
      </c>
      <c r="BC791" s="19">
        <v>6.4708194047403801E-3</v>
      </c>
      <c r="BD791" s="19">
        <v>6.1536848686079403E-3</v>
      </c>
      <c r="BE791" s="19">
        <v>5.8520930802663396E-3</v>
      </c>
      <c r="BF791" s="19">
        <v>5.5652822904219299E-3</v>
      </c>
      <c r="BG791" s="19">
        <v>5.2925280830759397E-3</v>
      </c>
      <c r="BH791" s="19">
        <v>5.0331415458215404E-3</v>
      </c>
      <c r="BI791" s="19">
        <v>4.7864675298145897E-3</v>
      </c>
      <c r="BJ791" s="19">
        <v>4.5518829950230997E-3</v>
      </c>
      <c r="BK791" s="18"/>
      <c r="BL791" s="18"/>
      <c r="BM791" s="19">
        <v>6.8389999999999996E-3</v>
      </c>
      <c r="BN791" s="19">
        <v>6.7029999999999998E-3</v>
      </c>
      <c r="BO791" s="19">
        <v>6.5370000000000003E-3</v>
      </c>
      <c r="BP791" s="19">
        <v>6.3749999999999996E-3</v>
      </c>
      <c r="BQ791" s="19">
        <v>6.2179999999999996E-3</v>
      </c>
      <c r="BR791" s="19">
        <v>6.0639999999999999E-3</v>
      </c>
      <c r="BS791" s="19">
        <v>5.914E-3</v>
      </c>
      <c r="BT791" s="19">
        <v>5.7670000000000004E-3</v>
      </c>
      <c r="BU791" s="19">
        <v>5.6239999999999997E-3</v>
      </c>
    </row>
    <row r="792" spans="3:73" x14ac:dyDescent="0.45">
      <c r="C792" t="s">
        <v>328</v>
      </c>
      <c r="D792" t="s">
        <v>326</v>
      </c>
      <c r="E792" t="s">
        <v>271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328</v>
      </c>
      <c r="AS792" s="15" t="s">
        <v>369</v>
      </c>
      <c r="AT792" s="15"/>
      <c r="AU792" s="15"/>
      <c r="AV792" s="15" t="s">
        <v>406</v>
      </c>
      <c r="AW792" s="15"/>
      <c r="AX792" s="15"/>
      <c r="AY792" s="15"/>
      <c r="AZ792" s="18"/>
      <c r="BA792" s="18"/>
      <c r="BB792" s="19">
        <v>2.28363440579459E-2</v>
      </c>
      <c r="BC792" s="19">
        <v>2.38012226802258E-2</v>
      </c>
      <c r="BD792" s="19">
        <v>2.4711217771705801E-2</v>
      </c>
      <c r="BE792" s="19">
        <v>2.5945371171182102E-2</v>
      </c>
      <c r="BF792" s="19">
        <v>2.6978943841009899E-2</v>
      </c>
      <c r="BG792" s="19">
        <v>2.7794017726842798E-2</v>
      </c>
      <c r="BH792" s="19">
        <v>2.8462415032762901E-2</v>
      </c>
      <c r="BI792" s="19">
        <v>2.9049620344083898E-2</v>
      </c>
      <c r="BJ792" s="19">
        <v>2.9590608962185402E-2</v>
      </c>
      <c r="BK792" s="18"/>
      <c r="BL792" s="18"/>
      <c r="BM792" s="19">
        <v>2.3012863684920101E-2</v>
      </c>
      <c r="BN792" s="19">
        <v>2.4914614564373001E-2</v>
      </c>
      <c r="BO792" s="19">
        <v>2.6867595009983199E-2</v>
      </c>
      <c r="BP792" s="19">
        <v>2.8128703124937999E-2</v>
      </c>
      <c r="BQ792" s="19">
        <v>2.8656617299769399E-2</v>
      </c>
      <c r="BR792" s="19">
        <v>2.89525468008879E-2</v>
      </c>
      <c r="BS792" s="19">
        <v>2.9097923133699698E-2</v>
      </c>
      <c r="BT792" s="19">
        <v>2.9161584161307E-2</v>
      </c>
      <c r="BU792" s="19">
        <v>2.9178504792534001E-2</v>
      </c>
    </row>
    <row r="793" spans="3:73" x14ac:dyDescent="0.45">
      <c r="C793" t="s">
        <v>328</v>
      </c>
      <c r="D793" t="s">
        <v>326</v>
      </c>
      <c r="E793" t="s">
        <v>272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328</v>
      </c>
      <c r="AS793" s="15" t="s">
        <v>369</v>
      </c>
      <c r="AT793" s="15"/>
      <c r="AU793" s="15"/>
      <c r="AV793" s="15" t="s">
        <v>407</v>
      </c>
      <c r="AW793" s="15"/>
      <c r="AX793" s="15"/>
      <c r="AY793" s="15"/>
      <c r="AZ793" s="18"/>
      <c r="BA793" s="18"/>
      <c r="BB793" s="19">
        <v>2.2311099928141401E-2</v>
      </c>
      <c r="BC793" s="19">
        <v>2.3253785994947498E-2</v>
      </c>
      <c r="BD793" s="19">
        <v>2.4142850871909E-2</v>
      </c>
      <c r="BE793" s="19">
        <v>2.5348618299151401E-2</v>
      </c>
      <c r="BF793" s="19">
        <v>2.63584184256958E-2</v>
      </c>
      <c r="BG793" s="19">
        <v>2.71547453188925E-2</v>
      </c>
      <c r="BH793" s="19">
        <v>2.7807769246288399E-2</v>
      </c>
      <c r="BI793" s="19">
        <v>2.8381468624173699E-2</v>
      </c>
      <c r="BJ793" s="19">
        <v>2.8910014309412198E-2</v>
      </c>
      <c r="BK793" s="18"/>
      <c r="BL793" s="18"/>
      <c r="BM793" s="19">
        <v>2.2483559540183801E-2</v>
      </c>
      <c r="BN793" s="19">
        <v>2.4341569465163099E-2</v>
      </c>
      <c r="BO793" s="19">
        <v>2.6249630657845701E-2</v>
      </c>
      <c r="BP793" s="19">
        <v>2.7481732832412301E-2</v>
      </c>
      <c r="BQ793" s="19">
        <v>2.7997504791280201E-2</v>
      </c>
      <c r="BR793" s="19">
        <v>2.8286627807398101E-2</v>
      </c>
      <c r="BS793" s="19">
        <v>2.8428660432249099E-2</v>
      </c>
      <c r="BT793" s="19">
        <v>2.8490857233316302E-2</v>
      </c>
      <c r="BU793" s="19">
        <v>2.8507388683936999E-2</v>
      </c>
    </row>
    <row r="794" spans="3:73" x14ac:dyDescent="0.45">
      <c r="C794" t="s">
        <v>328</v>
      </c>
      <c r="D794" t="s">
        <v>326</v>
      </c>
      <c r="E794" t="s">
        <v>273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328</v>
      </c>
      <c r="AS794" s="15" t="s">
        <v>369</v>
      </c>
      <c r="AT794" s="15"/>
      <c r="AU794" s="15"/>
      <c r="AV794" s="15" t="s">
        <v>408</v>
      </c>
      <c r="AW794" s="15"/>
      <c r="AX794" s="15"/>
      <c r="AY794" s="15"/>
      <c r="AZ794" s="18"/>
      <c r="BA794" s="18"/>
      <c r="BB794" s="19">
        <v>2.38556350753858E-3</v>
      </c>
      <c r="BC794" s="19">
        <v>2.4863580666271302E-3</v>
      </c>
      <c r="BD794" s="19">
        <v>2.5814193022069302E-3</v>
      </c>
      <c r="BE794" s="19">
        <v>2.7103432361354398E-3</v>
      </c>
      <c r="BF794" s="19">
        <v>2.8183138130926902E-3</v>
      </c>
      <c r="BG794" s="19">
        <v>2.90345925113026E-3</v>
      </c>
      <c r="BH794" s="19">
        <v>2.9732823461709598E-3</v>
      </c>
      <c r="BI794" s="19">
        <v>3.0346238445546699E-3</v>
      </c>
      <c r="BJ794" s="19">
        <v>3.0911373872680699E-3</v>
      </c>
      <c r="BK794" s="18"/>
      <c r="BL794" s="18"/>
      <c r="BM794" s="19">
        <v>2.4040033584799298E-3</v>
      </c>
      <c r="BN794" s="19">
        <v>2.6026668348639202E-3</v>
      </c>
      <c r="BO794" s="19">
        <v>2.8066819289684001E-3</v>
      </c>
      <c r="BP794" s="19">
        <v>2.9384216457314298E-3</v>
      </c>
      <c r="BQ794" s="19">
        <v>2.99356938686699E-3</v>
      </c>
      <c r="BR794" s="19">
        <v>3.0244832063856101E-3</v>
      </c>
      <c r="BS794" s="19">
        <v>3.0396697210718299E-3</v>
      </c>
      <c r="BT794" s="19">
        <v>3.0463199722647002E-3</v>
      </c>
      <c r="BU794" s="19">
        <v>3.0480875599432399E-3</v>
      </c>
    </row>
    <row r="795" spans="3:73" x14ac:dyDescent="0.45">
      <c r="C795" t="s">
        <v>328</v>
      </c>
      <c r="D795" t="s">
        <v>326</v>
      </c>
      <c r="E795" t="s">
        <v>274</v>
      </c>
      <c r="J795" s="7"/>
      <c r="K795" s="7"/>
      <c r="L795" s="7">
        <v>20</v>
      </c>
      <c r="M795" s="7"/>
      <c r="N795" s="7"/>
      <c r="O795" s="7"/>
      <c r="P795" s="7"/>
      <c r="Q795" s="7"/>
      <c r="R795" s="7">
        <v>20</v>
      </c>
      <c r="S795" s="7"/>
      <c r="T795" s="7"/>
      <c r="U795" s="7"/>
      <c r="V795" s="7"/>
      <c r="AR795" s="15" t="s">
        <v>328</v>
      </c>
      <c r="AS795" s="15" t="s">
        <v>369</v>
      </c>
      <c r="AT795" s="15"/>
      <c r="AU795" s="15"/>
      <c r="AV795" s="15" t="s">
        <v>409</v>
      </c>
      <c r="AW795" s="15"/>
      <c r="AX795" s="15"/>
      <c r="AY795" s="15"/>
      <c r="AZ795" s="18"/>
      <c r="BA795" s="18"/>
      <c r="BB795" s="19">
        <v>2.4147225293910401E-2</v>
      </c>
      <c r="BC795" s="19">
        <v>2.5167491121678199E-2</v>
      </c>
      <c r="BD795" s="19">
        <v>2.6129722923518301E-2</v>
      </c>
      <c r="BE795" s="19">
        <v>2.7434720786082601E-2</v>
      </c>
      <c r="BF795" s="19">
        <v>2.8527623925597E-2</v>
      </c>
      <c r="BG795" s="19">
        <v>2.9389485732480299E-2</v>
      </c>
      <c r="BH795" s="19">
        <v>3.00962512414839E-2</v>
      </c>
      <c r="BI795" s="19">
        <v>3.07171640684351E-2</v>
      </c>
      <c r="BJ795" s="19">
        <v>3.1289207212013198E-2</v>
      </c>
      <c r="BK795" s="18"/>
      <c r="BL795" s="18"/>
      <c r="BM795" s="19">
        <v>2.43338777278783E-2</v>
      </c>
      <c r="BN795" s="19">
        <v>2.63447953608635E-2</v>
      </c>
      <c r="BO795" s="19">
        <v>2.8409883305548798E-2</v>
      </c>
      <c r="BP795" s="19">
        <v>2.97433831728884E-2</v>
      </c>
      <c r="BQ795" s="19">
        <v>3.03016013571633E-2</v>
      </c>
      <c r="BR795" s="19">
        <v>3.0614518184677E-2</v>
      </c>
      <c r="BS795" s="19">
        <v>3.0768239596996799E-2</v>
      </c>
      <c r="BT795" s="19">
        <v>3.0835554976909402E-2</v>
      </c>
      <c r="BU795" s="19">
        <v>3.0853446908004699E-2</v>
      </c>
    </row>
    <row r="796" spans="3:73" x14ac:dyDescent="0.45">
      <c r="C796" t="s">
        <v>328</v>
      </c>
      <c r="D796" t="s">
        <v>326</v>
      </c>
      <c r="E796" t="s">
        <v>275</v>
      </c>
      <c r="J796" s="7"/>
      <c r="K796" s="7"/>
      <c r="L796" s="7">
        <v>17.123290000000001</v>
      </c>
      <c r="M796" s="7"/>
      <c r="N796" s="7"/>
      <c r="O796" s="7"/>
      <c r="P796" s="7"/>
      <c r="Q796" s="7"/>
      <c r="R796" s="7">
        <v>17.123290000000001</v>
      </c>
      <c r="S796" s="7"/>
      <c r="T796" s="7"/>
      <c r="U796" s="7"/>
      <c r="V796" s="7"/>
      <c r="AR796" s="15" t="s">
        <v>328</v>
      </c>
      <c r="AS796" s="15" t="s">
        <v>369</v>
      </c>
      <c r="AT796" s="15"/>
      <c r="AU796" s="15"/>
      <c r="AV796" s="15" t="s">
        <v>410</v>
      </c>
      <c r="AW796" s="15"/>
      <c r="AX796" s="15"/>
      <c r="AY796" s="15"/>
      <c r="AZ796" s="18"/>
      <c r="BA796" s="18"/>
      <c r="BB796" s="19">
        <v>8.6510352302485995E-4</v>
      </c>
      <c r="BC796" s="19">
        <v>9.0165577908246999E-4</v>
      </c>
      <c r="BD796" s="19">
        <v>9.3612889603924198E-4</v>
      </c>
      <c r="BE796" s="19">
        <v>9.8288202128253501E-4</v>
      </c>
      <c r="BF796" s="19">
        <v>1.02203659680047E-3</v>
      </c>
      <c r="BG796" s="19">
        <v>1.0529138374117601E-3</v>
      </c>
      <c r="BH796" s="19">
        <v>1.07823456575009E-3</v>
      </c>
      <c r="BI796" s="19">
        <v>1.1004795180188801E-3</v>
      </c>
      <c r="BJ796" s="19">
        <v>1.1209736548320401E-3</v>
      </c>
      <c r="BK796" s="18"/>
      <c r="BL796" s="18"/>
      <c r="BM796" s="19">
        <v>8.7179057200218097E-4</v>
      </c>
      <c r="BN796" s="19">
        <v>9.4383412597718295E-4</v>
      </c>
      <c r="BO796" s="19">
        <v>1.01781839682233E-3</v>
      </c>
      <c r="BP796" s="19">
        <v>1.0655926408254101E-3</v>
      </c>
      <c r="BQ796" s="19">
        <v>1.08559148176696E-3</v>
      </c>
      <c r="BR796" s="19">
        <v>1.09680210520717E-3</v>
      </c>
      <c r="BS796" s="19">
        <v>1.1023093605437E-3</v>
      </c>
      <c r="BT796" s="19">
        <v>1.1047210153656199E-3</v>
      </c>
      <c r="BU796" s="19">
        <v>1.1053620154157699E-3</v>
      </c>
    </row>
    <row r="797" spans="3:73" x14ac:dyDescent="0.45">
      <c r="C797" t="s">
        <v>328</v>
      </c>
      <c r="D797" t="s">
        <v>326</v>
      </c>
      <c r="E797" t="s">
        <v>276</v>
      </c>
      <c r="J797" s="7"/>
      <c r="K797" s="7"/>
      <c r="L797" s="7">
        <v>15</v>
      </c>
      <c r="M797" s="7"/>
      <c r="N797" s="7"/>
      <c r="O797" s="7"/>
      <c r="P797" s="7"/>
      <c r="Q797" s="7"/>
      <c r="R797" s="7">
        <v>15</v>
      </c>
      <c r="S797" s="7"/>
      <c r="T797" s="7"/>
      <c r="U797" s="7"/>
      <c r="V797" s="7"/>
      <c r="AR797" s="15" t="s">
        <v>328</v>
      </c>
      <c r="AS797" s="15" t="s">
        <v>369</v>
      </c>
      <c r="AT797" s="15"/>
      <c r="AU797" s="15"/>
      <c r="AV797" s="15" t="s">
        <v>411</v>
      </c>
      <c r="AW797" s="15"/>
      <c r="AX797" s="15"/>
      <c r="AY797" s="15"/>
      <c r="AZ797" s="18"/>
      <c r="BA797" s="18"/>
      <c r="BB797" s="19">
        <v>0.107367534492427</v>
      </c>
      <c r="BC797" s="19">
        <v>0.111904015397417</v>
      </c>
      <c r="BD797" s="19">
        <v>0.11618245546315099</v>
      </c>
      <c r="BE797" s="19">
        <v>0.121984960774465</v>
      </c>
      <c r="BF797" s="19">
        <v>0.12684441415266701</v>
      </c>
      <c r="BG797" s="19">
        <v>0.13067657193278201</v>
      </c>
      <c r="BH797" s="19">
        <v>0.13381911395334001</v>
      </c>
      <c r="BI797" s="19">
        <v>0.136579923054719</v>
      </c>
      <c r="BJ797" s="19">
        <v>0.13912343938844701</v>
      </c>
      <c r="BK797" s="18"/>
      <c r="BL797" s="18"/>
      <c r="BM797" s="19">
        <v>0.108197460556321</v>
      </c>
      <c r="BN797" s="19">
        <v>0.117138747420259</v>
      </c>
      <c r="BO797" s="19">
        <v>0.126320895614603</v>
      </c>
      <c r="BP797" s="19">
        <v>0.13225013142781</v>
      </c>
      <c r="BQ797" s="19">
        <v>0.134732176856422</v>
      </c>
      <c r="BR797" s="19">
        <v>0.13612352132198299</v>
      </c>
      <c r="BS797" s="19">
        <v>0.136807023829563</v>
      </c>
      <c r="BT797" s="19">
        <v>0.13710633301671199</v>
      </c>
      <c r="BU797" s="19">
        <v>0.13718588718931901</v>
      </c>
    </row>
    <row r="798" spans="3:73" x14ac:dyDescent="0.45">
      <c r="C798" t="s">
        <v>328</v>
      </c>
      <c r="D798" t="s">
        <v>326</v>
      </c>
      <c r="E798" t="s">
        <v>277</v>
      </c>
      <c r="J798" s="7"/>
      <c r="K798" s="7"/>
      <c r="L798" s="7">
        <v>17.123290000000001</v>
      </c>
      <c r="M798" s="7"/>
      <c r="N798" s="7"/>
      <c r="O798" s="7"/>
      <c r="P798" s="7"/>
      <c r="Q798" s="7"/>
      <c r="R798" s="7">
        <v>17.123290000000001</v>
      </c>
      <c r="S798" s="7"/>
      <c r="T798" s="7"/>
      <c r="U798" s="7"/>
      <c r="V798" s="7"/>
      <c r="AR798" s="15" t="s">
        <v>328</v>
      </c>
      <c r="AS798" s="15" t="s">
        <v>369</v>
      </c>
      <c r="AT798" s="15"/>
      <c r="AU798" s="15"/>
      <c r="AV798" s="15" t="s">
        <v>412</v>
      </c>
      <c r="AW798" s="15"/>
      <c r="AX798" s="15"/>
      <c r="AY798" s="15"/>
      <c r="AZ798" s="18"/>
      <c r="BA798" s="18"/>
      <c r="BB798" s="19">
        <v>0.363902670595601</v>
      </c>
      <c r="BC798" s="19">
        <v>0.37927824501142299</v>
      </c>
      <c r="BD798" s="19">
        <v>0.39377923707820001</v>
      </c>
      <c r="BE798" s="19">
        <v>0.413445770252445</v>
      </c>
      <c r="BF798" s="19">
        <v>0.42991600094482701</v>
      </c>
      <c r="BG798" s="19">
        <v>0.44290440062188102</v>
      </c>
      <c r="BH798" s="19">
        <v>0.45355547349177899</v>
      </c>
      <c r="BI798" s="19">
        <v>0.46291273227345697</v>
      </c>
      <c r="BJ798" s="19">
        <v>0.47153351686092898</v>
      </c>
      <c r="BK798" s="18"/>
      <c r="BL798" s="18"/>
      <c r="BM798" s="19">
        <v>0.36671555358183899</v>
      </c>
      <c r="BN798" s="19">
        <v>0.39702041420595602</v>
      </c>
      <c r="BO798" s="19">
        <v>0.428141630368017</v>
      </c>
      <c r="BP798" s="19">
        <v>0.44823769345838599</v>
      </c>
      <c r="BQ798" s="19">
        <v>0.45665013362739698</v>
      </c>
      <c r="BR798" s="19">
        <v>0.46136584186387303</v>
      </c>
      <c r="BS798" s="19">
        <v>0.46368244891872201</v>
      </c>
      <c r="BT798" s="19">
        <v>0.46469690280417603</v>
      </c>
      <c r="BU798" s="19">
        <v>0.464966537158784</v>
      </c>
    </row>
    <row r="799" spans="3:73" x14ac:dyDescent="0.45">
      <c r="C799" t="s">
        <v>328</v>
      </c>
      <c r="D799" t="s">
        <v>326</v>
      </c>
      <c r="E799" t="s">
        <v>278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328</v>
      </c>
      <c r="AS799" s="15" t="s">
        <v>369</v>
      </c>
      <c r="AT799" s="15"/>
      <c r="AU799" s="15"/>
      <c r="AV799" s="15" t="s">
        <v>413</v>
      </c>
      <c r="AW799" s="15"/>
      <c r="AX799" s="15"/>
      <c r="AY799" s="15"/>
      <c r="AZ799" s="18"/>
      <c r="BA799" s="18"/>
      <c r="BB799" s="19">
        <v>2.9260592404175299E-2</v>
      </c>
      <c r="BC799" s="19">
        <v>3.0496907639853701E-2</v>
      </c>
      <c r="BD799" s="19">
        <v>3.1662899682802101E-2</v>
      </c>
      <c r="BE799" s="19">
        <v>3.3244241227432497E-2</v>
      </c>
      <c r="BF799" s="19">
        <v>3.4568575303639597E-2</v>
      </c>
      <c r="BG799" s="19">
        <v>3.5612943206493303E-2</v>
      </c>
      <c r="BH799" s="19">
        <v>3.6469371936194997E-2</v>
      </c>
      <c r="BI799" s="19">
        <v>3.7221767995237201E-2</v>
      </c>
      <c r="BJ799" s="19">
        <v>3.7914945826566099E-2</v>
      </c>
      <c r="BK799" s="18"/>
      <c r="BL799" s="18"/>
      <c r="BM799" s="19">
        <v>2.94867699763437E-2</v>
      </c>
      <c r="BN799" s="19">
        <v>3.1923515420218297E-2</v>
      </c>
      <c r="BO799" s="19">
        <v>3.4425902170361899E-2</v>
      </c>
      <c r="BP799" s="19">
        <v>3.6041781246086903E-2</v>
      </c>
      <c r="BQ799" s="19">
        <v>3.67182065729664E-2</v>
      </c>
      <c r="BR799" s="19">
        <v>3.7097386028777199E-2</v>
      </c>
      <c r="BS799" s="19">
        <v>3.7283659173411199E-2</v>
      </c>
      <c r="BT799" s="19">
        <v>3.7365229120689999E-2</v>
      </c>
      <c r="BU799" s="19">
        <v>3.73869098105718E-2</v>
      </c>
    </row>
    <row r="800" spans="3:73" x14ac:dyDescent="0.45">
      <c r="C800" t="s">
        <v>328</v>
      </c>
      <c r="D800" t="s">
        <v>326</v>
      </c>
      <c r="E800" t="s">
        <v>279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328</v>
      </c>
      <c r="AS800" s="15" t="s">
        <v>369</v>
      </c>
      <c r="AT800" s="15"/>
      <c r="AU800" s="15"/>
      <c r="AV800" s="15" t="s">
        <v>414</v>
      </c>
      <c r="AW800" s="15"/>
      <c r="AX800" s="15"/>
      <c r="AY800" s="15"/>
      <c r="AZ800" s="18"/>
      <c r="BA800" s="18"/>
      <c r="BB800" s="19">
        <v>1.9756799301953398E-2</v>
      </c>
      <c r="BC800" s="19">
        <v>2.0591561348047901E-2</v>
      </c>
      <c r="BD800" s="19">
        <v>2.13788410607074E-2</v>
      </c>
      <c r="BE800" s="19">
        <v>2.24465654284699E-2</v>
      </c>
      <c r="BF800" s="19">
        <v>2.3340757938004601E-2</v>
      </c>
      <c r="BG800" s="19">
        <v>2.40459168346214E-2</v>
      </c>
      <c r="BH800" s="19">
        <v>2.46241788976523E-2</v>
      </c>
      <c r="BI800" s="19">
        <v>2.5132197933246302E-2</v>
      </c>
      <c r="BJ800" s="19">
        <v>2.5600232725739799E-2</v>
      </c>
      <c r="BK800" s="18"/>
      <c r="BL800" s="18"/>
      <c r="BM800" s="19">
        <v>1.9909514764381901E-2</v>
      </c>
      <c r="BN800" s="19">
        <v>2.1554809227993299E-2</v>
      </c>
      <c r="BO800" s="19">
        <v>2.3244424807731201E-2</v>
      </c>
      <c r="BP800" s="19">
        <v>2.4335468972331499E-2</v>
      </c>
      <c r="BQ800" s="19">
        <v>2.4792192446734199E-2</v>
      </c>
      <c r="BR800" s="19">
        <v>2.50482150283826E-2</v>
      </c>
      <c r="BS800" s="19">
        <v>2.5173986956819501E-2</v>
      </c>
      <c r="BT800" s="19">
        <v>2.52290631171103E-2</v>
      </c>
      <c r="BU800" s="19">
        <v>2.5243701953973501E-2</v>
      </c>
    </row>
    <row r="801" spans="3:73" x14ac:dyDescent="0.45">
      <c r="C801" t="s">
        <v>328</v>
      </c>
      <c r="D801" t="s">
        <v>326</v>
      </c>
      <c r="E801" t="s">
        <v>280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328</v>
      </c>
      <c r="AS801" s="15" t="s">
        <v>369</v>
      </c>
      <c r="AT801" s="15"/>
      <c r="AU801" s="15"/>
      <c r="AV801" s="15" t="s">
        <v>415</v>
      </c>
      <c r="AW801" s="15"/>
      <c r="AX801" s="15"/>
      <c r="AY801" s="15"/>
      <c r="AZ801" s="18"/>
      <c r="BA801" s="18"/>
      <c r="BB801" s="19">
        <v>3.4479166883405799E-3</v>
      </c>
      <c r="BC801" s="19">
        <v>3.5935976736830898E-3</v>
      </c>
      <c r="BD801" s="19">
        <v>3.7309921381499201E-3</v>
      </c>
      <c r="BE801" s="19">
        <v>3.9173292370843701E-3</v>
      </c>
      <c r="BF801" s="19">
        <v>4.0733819068054797E-3</v>
      </c>
      <c r="BG801" s="19">
        <v>4.1964448124116698E-3</v>
      </c>
      <c r="BH801" s="19">
        <v>4.2973619390619102E-3</v>
      </c>
      <c r="BI801" s="19">
        <v>4.3860203945155704E-3</v>
      </c>
      <c r="BJ801" s="19">
        <v>4.4677008806661301E-3</v>
      </c>
      <c r="BK801" s="18"/>
      <c r="BL801" s="18"/>
      <c r="BM801" s="19">
        <v>3.4745682822261799E-3</v>
      </c>
      <c r="BN801" s="19">
        <v>3.7617017470966399E-3</v>
      </c>
      <c r="BO801" s="19">
        <v>4.0565700435864702E-3</v>
      </c>
      <c r="BP801" s="19">
        <v>4.2469768663388804E-3</v>
      </c>
      <c r="BQ801" s="19">
        <v>4.3266833241148803E-3</v>
      </c>
      <c r="BR801" s="19">
        <v>4.3713638676769204E-3</v>
      </c>
      <c r="BS801" s="19">
        <v>4.3933133304595697E-3</v>
      </c>
      <c r="BT801" s="19">
        <v>4.4029251106520104E-3</v>
      </c>
      <c r="BU801" s="19">
        <v>4.4054798508782397E-3</v>
      </c>
    </row>
    <row r="802" spans="3:73" x14ac:dyDescent="0.45">
      <c r="C802" t="s">
        <v>328</v>
      </c>
      <c r="D802" t="s">
        <v>326</v>
      </c>
      <c r="E802" t="s">
        <v>281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328</v>
      </c>
      <c r="AS802" s="15" t="s">
        <v>369</v>
      </c>
      <c r="AT802" s="15"/>
      <c r="AU802" s="15"/>
      <c r="AV802" s="15" t="s">
        <v>416</v>
      </c>
      <c r="AW802" s="15"/>
      <c r="AX802" s="15"/>
      <c r="AY802" s="15"/>
      <c r="AZ802" s="18"/>
      <c r="BA802" s="18"/>
      <c r="BB802" s="19">
        <v>1.7175330159371099E-2</v>
      </c>
      <c r="BC802" s="19">
        <v>1.7901020263677E-2</v>
      </c>
      <c r="BD802" s="19">
        <v>1.8585432186177201E-2</v>
      </c>
      <c r="BE802" s="19">
        <v>1.9513645215790399E-2</v>
      </c>
      <c r="BF802" s="19">
        <v>2.02910004615755E-2</v>
      </c>
      <c r="BG802" s="19">
        <v>2.0904021664003399E-2</v>
      </c>
      <c r="BH802" s="19">
        <v>2.1406726666944501E-2</v>
      </c>
      <c r="BI802" s="19">
        <v>2.1848366759057401E-2</v>
      </c>
      <c r="BJ802" s="19">
        <v>2.22552470418548E-2</v>
      </c>
      <c r="BK802" s="18"/>
      <c r="BL802" s="18"/>
      <c r="BM802" s="19">
        <v>1.7308091465874299E-2</v>
      </c>
      <c r="BN802" s="19">
        <v>1.8738407945280901E-2</v>
      </c>
      <c r="BO802" s="19">
        <v>2.0207254441157702E-2</v>
      </c>
      <c r="BP802" s="19">
        <v>2.1155740248958201E-2</v>
      </c>
      <c r="BQ802" s="19">
        <v>2.1552787176677201E-2</v>
      </c>
      <c r="BR802" s="19">
        <v>2.1775357255001099E-2</v>
      </c>
      <c r="BS802" s="19">
        <v>2.1884695532050399E-2</v>
      </c>
      <c r="BT802" s="19">
        <v>2.1932575313711799E-2</v>
      </c>
      <c r="BU802" s="19">
        <v>2.1945301406254902E-2</v>
      </c>
    </row>
    <row r="803" spans="3:73" x14ac:dyDescent="0.45">
      <c r="C803" t="s">
        <v>328</v>
      </c>
      <c r="D803" t="s">
        <v>326</v>
      </c>
      <c r="E803" t="s">
        <v>282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328</v>
      </c>
      <c r="AS803" s="15" t="s">
        <v>369</v>
      </c>
      <c r="AT803" s="15"/>
      <c r="AU803" s="15"/>
      <c r="AV803" s="15" t="s">
        <v>417</v>
      </c>
      <c r="AW803" s="15"/>
      <c r="AX803" s="15"/>
      <c r="AY803" s="15"/>
      <c r="AZ803" s="18"/>
      <c r="BA803" s="18"/>
      <c r="BB803" s="19">
        <v>6.1089593550214302E-2</v>
      </c>
      <c r="BC803" s="19">
        <v>6.3670744136788193E-2</v>
      </c>
      <c r="BD803" s="19">
        <v>6.6105075574873898E-2</v>
      </c>
      <c r="BE803" s="19">
        <v>6.9406564173982305E-2</v>
      </c>
      <c r="BF803" s="19">
        <v>7.2171478476559706E-2</v>
      </c>
      <c r="BG803" s="19">
        <v>7.4351885825151703E-2</v>
      </c>
      <c r="BH803" s="19">
        <v>7.6139918079575306E-2</v>
      </c>
      <c r="BI803" s="19">
        <v>7.7710753310823499E-2</v>
      </c>
      <c r="BJ803" s="19">
        <v>7.9157954084785098E-2</v>
      </c>
      <c r="BK803" s="18"/>
      <c r="BL803" s="18"/>
      <c r="BM803" s="19">
        <v>6.1561801896617203E-2</v>
      </c>
      <c r="BN803" s="19">
        <v>6.6649183132630602E-2</v>
      </c>
      <c r="BO803" s="19">
        <v>7.1873608781986204E-2</v>
      </c>
      <c r="BP803" s="19">
        <v>7.52472040461835E-2</v>
      </c>
      <c r="BQ803" s="19">
        <v>7.6659429325677306E-2</v>
      </c>
      <c r="BR803" s="19">
        <v>7.7451071494711698E-2</v>
      </c>
      <c r="BS803" s="19">
        <v>7.78399682927612E-2</v>
      </c>
      <c r="BT803" s="19">
        <v>7.8010268157382601E-2</v>
      </c>
      <c r="BU803" s="19">
        <v>7.8055532604338201E-2</v>
      </c>
    </row>
    <row r="804" spans="3:73" x14ac:dyDescent="0.45">
      <c r="C804" t="s">
        <v>328</v>
      </c>
      <c r="D804" t="s">
        <v>326</v>
      </c>
      <c r="E804" t="s">
        <v>283</v>
      </c>
      <c r="J804" s="7"/>
      <c r="K804" s="7"/>
      <c r="L804" s="7">
        <v>15</v>
      </c>
      <c r="M804" s="7"/>
      <c r="N804" s="7"/>
      <c r="O804" s="7"/>
      <c r="P804" s="7"/>
      <c r="Q804" s="7"/>
      <c r="R804" s="7">
        <v>15</v>
      </c>
      <c r="S804" s="7"/>
      <c r="T804" s="7"/>
      <c r="U804" s="7"/>
      <c r="V804" s="7"/>
      <c r="AR804" s="15" t="s">
        <v>328</v>
      </c>
      <c r="AS804" s="15" t="s">
        <v>369</v>
      </c>
      <c r="AT804" s="15"/>
      <c r="AU804" s="15"/>
      <c r="AV804" s="15" t="s">
        <v>418</v>
      </c>
      <c r="AW804" s="15"/>
      <c r="AX804" s="15"/>
      <c r="AY804" s="15"/>
      <c r="AZ804" s="18"/>
      <c r="BA804" s="18"/>
      <c r="BB804" s="19">
        <v>8.2200181146361698E-2</v>
      </c>
      <c r="BC804" s="19">
        <v>8.5673293888681806E-2</v>
      </c>
      <c r="BD804" s="19">
        <v>8.8948851533642306E-2</v>
      </c>
      <c r="BE804" s="19">
        <v>9.3391227806391405E-2</v>
      </c>
      <c r="BF804" s="19">
        <v>9.7111607061152905E-2</v>
      </c>
      <c r="BG804" s="19">
        <v>0.100045492664432</v>
      </c>
      <c r="BH804" s="19">
        <v>0.102451411032318</v>
      </c>
      <c r="BI804" s="19">
        <v>0.104565076111028</v>
      </c>
      <c r="BJ804" s="19">
        <v>0.106512382662953</v>
      </c>
      <c r="BK804" s="18"/>
      <c r="BL804" s="18"/>
      <c r="BM804" s="19">
        <v>8.2835569423764993E-2</v>
      </c>
      <c r="BN804" s="19">
        <v>8.9680985064272897E-2</v>
      </c>
      <c r="BO804" s="19">
        <v>9.6710803234690598E-2</v>
      </c>
      <c r="BP804" s="19">
        <v>0.101250203903703</v>
      </c>
      <c r="BQ804" s="19">
        <v>0.10315044856155001</v>
      </c>
      <c r="BR804" s="19">
        <v>0.10421565665864201</v>
      </c>
      <c r="BS804" s="19">
        <v>0.104738943611282</v>
      </c>
      <c r="BT804" s="19">
        <v>0.10496809360079</v>
      </c>
      <c r="BU804" s="19">
        <v>0.105028999976541</v>
      </c>
    </row>
    <row r="805" spans="3:73" x14ac:dyDescent="0.45">
      <c r="C805" t="s">
        <v>328</v>
      </c>
      <c r="D805" t="s">
        <v>326</v>
      </c>
      <c r="E805" t="s">
        <v>284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328</v>
      </c>
      <c r="AS805" s="15" t="s">
        <v>369</v>
      </c>
      <c r="AT805" s="15"/>
      <c r="AU805" s="15"/>
      <c r="AV805" s="15" t="s">
        <v>419</v>
      </c>
      <c r="AW805" s="15"/>
      <c r="AX805" s="15"/>
      <c r="AY805" s="15"/>
      <c r="AZ805" s="18"/>
      <c r="BA805" s="18"/>
      <c r="BB805" s="19">
        <v>3.3913551701942997E-2</v>
      </c>
      <c r="BC805" s="19">
        <v>3.5346463246792602E-2</v>
      </c>
      <c r="BD805" s="19">
        <v>3.66978689492602E-2</v>
      </c>
      <c r="BE805" s="19">
        <v>3.8530672177967303E-2</v>
      </c>
      <c r="BF805" s="19">
        <v>4.0065599138560497E-2</v>
      </c>
      <c r="BG805" s="19">
        <v>4.12760402800127E-2</v>
      </c>
      <c r="BH805" s="19">
        <v>4.2268656547058102E-2</v>
      </c>
      <c r="BI805" s="19">
        <v>4.3140697081856902E-2</v>
      </c>
      <c r="BJ805" s="19">
        <v>4.3944102628015798E-2</v>
      </c>
      <c r="BK805" s="18"/>
      <c r="BL805" s="18"/>
      <c r="BM805" s="19">
        <v>3.4175695567029603E-2</v>
      </c>
      <c r="BN805" s="19">
        <v>3.6999927265890402E-2</v>
      </c>
      <c r="BO805" s="19">
        <v>3.9900238416704398E-2</v>
      </c>
      <c r="BP805" s="19">
        <v>4.1773071263754499E-2</v>
      </c>
      <c r="BQ805" s="19">
        <v>4.25570603566192E-2</v>
      </c>
      <c r="BR805" s="19">
        <v>4.2996536150592499E-2</v>
      </c>
      <c r="BS805" s="19">
        <v>4.3212430068048799E-2</v>
      </c>
      <c r="BT805" s="19">
        <v>4.3306971100784998E-2</v>
      </c>
      <c r="BU805" s="19">
        <v>4.3332099409435901E-2</v>
      </c>
    </row>
    <row r="806" spans="3:73" x14ac:dyDescent="0.45">
      <c r="C806" t="s">
        <v>328</v>
      </c>
      <c r="D806" t="s">
        <v>326</v>
      </c>
      <c r="E806" t="s">
        <v>285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328</v>
      </c>
      <c r="AS806" s="15" t="s">
        <v>369</v>
      </c>
      <c r="AT806" s="15"/>
      <c r="AU806" s="15"/>
      <c r="AV806" s="15" t="s">
        <v>420</v>
      </c>
      <c r="AW806" s="15"/>
      <c r="AX806" s="15"/>
      <c r="AY806" s="15"/>
      <c r="AZ806" s="18"/>
      <c r="BA806" s="18"/>
      <c r="BB806" s="19">
        <v>0.20897145287496299</v>
      </c>
      <c r="BC806" s="19">
        <v>0.217800891029958</v>
      </c>
      <c r="BD806" s="19">
        <v>0.22612809944357901</v>
      </c>
      <c r="BE806" s="19">
        <v>0.237421624725241</v>
      </c>
      <c r="BF806" s="19">
        <v>0.246879670282696</v>
      </c>
      <c r="BG806" s="19">
        <v>0.25433827108546597</v>
      </c>
      <c r="BH806" s="19">
        <v>0.260454659757901</v>
      </c>
      <c r="BI806" s="19">
        <v>0.26582807446610801</v>
      </c>
      <c r="BJ806" s="19">
        <v>0.27077856817152002</v>
      </c>
      <c r="BK806" s="18"/>
      <c r="BL806" s="18"/>
      <c r="BM806" s="19">
        <v>0.210586753591056</v>
      </c>
      <c r="BN806" s="19">
        <v>0.227989348475645</v>
      </c>
      <c r="BO806" s="19">
        <v>0.24586073630024499</v>
      </c>
      <c r="BP806" s="19">
        <v>0.25740091954261501</v>
      </c>
      <c r="BQ806" s="19">
        <v>0.26223177126861302</v>
      </c>
      <c r="BR806" s="19">
        <v>0.26493977118490403</v>
      </c>
      <c r="BS806" s="19">
        <v>0.26627008497787502</v>
      </c>
      <c r="BT806" s="19">
        <v>0.266852636081363</v>
      </c>
      <c r="BU806" s="19">
        <v>0.267007473864596</v>
      </c>
    </row>
    <row r="807" spans="3:73" x14ac:dyDescent="0.45">
      <c r="C807" t="s">
        <v>328</v>
      </c>
      <c r="D807" t="s">
        <v>326</v>
      </c>
      <c r="E807" t="s">
        <v>286</v>
      </c>
      <c r="J807" s="7"/>
      <c r="K807" s="7"/>
      <c r="L807" s="7">
        <v>20</v>
      </c>
      <c r="M807" s="7"/>
      <c r="N807" s="7"/>
      <c r="O807" s="7"/>
      <c r="P807" s="7"/>
      <c r="Q807" s="7"/>
      <c r="R807" s="7">
        <v>20</v>
      </c>
      <c r="S807" s="7"/>
      <c r="T807" s="7"/>
      <c r="U807" s="7"/>
      <c r="V807" s="7"/>
      <c r="AR807" s="15" t="s">
        <v>328</v>
      </c>
      <c r="AS807" s="15" t="s">
        <v>369</v>
      </c>
      <c r="AT807" s="15"/>
      <c r="AU807" s="15"/>
      <c r="AV807" s="15" t="s">
        <v>421</v>
      </c>
      <c r="AW807" s="15"/>
      <c r="AX807" s="15"/>
      <c r="AY807" s="15"/>
      <c r="AZ807" s="18"/>
      <c r="BA807" s="18"/>
      <c r="BB807" s="19">
        <v>0.264851067904953</v>
      </c>
      <c r="BC807" s="19">
        <v>0.27604152522426101</v>
      </c>
      <c r="BD807" s="19">
        <v>0.28659545501070999</v>
      </c>
      <c r="BE807" s="19">
        <v>0.30090890400151199</v>
      </c>
      <c r="BF807" s="19">
        <v>0.312896060293547</v>
      </c>
      <c r="BG807" s="19">
        <v>0.322349114098329</v>
      </c>
      <c r="BH807" s="19">
        <v>0.33010104408364299</v>
      </c>
      <c r="BI807" s="19">
        <v>0.33691132656091699</v>
      </c>
      <c r="BJ807" s="19">
        <v>0.34318559764673701</v>
      </c>
      <c r="BK807" s="18"/>
      <c r="BL807" s="18"/>
      <c r="BM807" s="19">
        <v>0.26689830504552498</v>
      </c>
      <c r="BN807" s="19">
        <v>0.28895440781023302</v>
      </c>
      <c r="BO807" s="19">
        <v>0.31160466020198402</v>
      </c>
      <c r="BP807" s="19">
        <v>0.32623072425767802</v>
      </c>
      <c r="BQ807" s="19">
        <v>0.332353360727486</v>
      </c>
      <c r="BR807" s="19">
        <v>0.33578548822551901</v>
      </c>
      <c r="BS807" s="19">
        <v>0.33747153205528502</v>
      </c>
      <c r="BT807" s="19">
        <v>0.33820985913176099</v>
      </c>
      <c r="BU807" s="19">
        <v>0.33840610101876001</v>
      </c>
    </row>
    <row r="808" spans="3:73" x14ac:dyDescent="0.45">
      <c r="C808" t="s">
        <v>328</v>
      </c>
      <c r="D808" t="s">
        <v>326</v>
      </c>
      <c r="E808" t="s">
        <v>287</v>
      </c>
      <c r="J808" s="7"/>
      <c r="K808" s="7"/>
      <c r="L808" s="7">
        <v>17.123290000000001</v>
      </c>
      <c r="M808" s="7"/>
      <c r="N808" s="7"/>
      <c r="O808" s="7"/>
      <c r="P808" s="7"/>
      <c r="Q808" s="7"/>
      <c r="R808" s="7">
        <v>17.123290000000001</v>
      </c>
      <c r="S808" s="7"/>
      <c r="T808" s="7"/>
      <c r="U808" s="7"/>
      <c r="V808" s="7"/>
      <c r="AR808" s="15" t="s">
        <v>328</v>
      </c>
      <c r="AS808" s="15" t="s">
        <v>369</v>
      </c>
      <c r="AT808" s="15"/>
      <c r="AU808" s="15"/>
      <c r="AV808" s="15" t="s">
        <v>422</v>
      </c>
      <c r="AW808" s="15"/>
      <c r="AX808" s="15"/>
      <c r="AY808" s="15"/>
      <c r="AZ808" s="18"/>
      <c r="BA808" s="18"/>
      <c r="BB808" s="19">
        <v>0.15974047676630099</v>
      </c>
      <c r="BC808" s="19">
        <v>0.16648981329554199</v>
      </c>
      <c r="BD808" s="19">
        <v>0.17285523892580701</v>
      </c>
      <c r="BE808" s="19">
        <v>0.18148815547036701</v>
      </c>
      <c r="BF808" s="19">
        <v>0.18871800761447499</v>
      </c>
      <c r="BG808" s="19">
        <v>0.19441945837175501</v>
      </c>
      <c r="BH808" s="19">
        <v>0.199094904846291</v>
      </c>
      <c r="BI808" s="19">
        <v>0.20320241242947101</v>
      </c>
      <c r="BJ808" s="19">
        <v>0.20698663373746101</v>
      </c>
      <c r="BK808" s="18"/>
      <c r="BL808" s="18"/>
      <c r="BM808" s="19">
        <v>0.16097523349005399</v>
      </c>
      <c r="BN808" s="19">
        <v>0.17427800171791499</v>
      </c>
      <c r="BO808" s="19">
        <v>0.187939121322061</v>
      </c>
      <c r="BP808" s="19">
        <v>0.19676058639657401</v>
      </c>
      <c r="BQ808" s="19">
        <v>0.200453351830712</v>
      </c>
      <c r="BR808" s="19">
        <v>0.202523381931762</v>
      </c>
      <c r="BS808" s="19">
        <v>0.20354029097179799</v>
      </c>
      <c r="BT808" s="19">
        <v>0.203985600557063</v>
      </c>
      <c r="BU808" s="19">
        <v>0.20410396055779301</v>
      </c>
    </row>
    <row r="809" spans="3:73" x14ac:dyDescent="0.45">
      <c r="C809" t="s">
        <v>328</v>
      </c>
      <c r="D809" t="s">
        <v>326</v>
      </c>
      <c r="E809" t="s">
        <v>288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328</v>
      </c>
      <c r="AS809" s="15" t="s">
        <v>369</v>
      </c>
      <c r="AT809" s="15"/>
      <c r="AU809" s="15"/>
      <c r="AV809" s="15" t="s">
        <v>423</v>
      </c>
      <c r="AW809" s="15"/>
      <c r="AX809" s="15"/>
      <c r="AY809" s="15"/>
      <c r="AZ809" s="18"/>
      <c r="BA809" s="18"/>
      <c r="BB809" s="19">
        <v>0.132907990302704</v>
      </c>
      <c r="BC809" s="19">
        <v>0.13852360365341701</v>
      </c>
      <c r="BD809" s="19">
        <v>0.143819793730385</v>
      </c>
      <c r="BE809" s="19">
        <v>0.15100259180145301</v>
      </c>
      <c r="BF809" s="19">
        <v>0.15701800591634099</v>
      </c>
      <c r="BG809" s="19">
        <v>0.161761752631638</v>
      </c>
      <c r="BH809" s="19">
        <v>0.16565183864663999</v>
      </c>
      <c r="BI809" s="19">
        <v>0.169069385589562</v>
      </c>
      <c r="BJ809" s="19">
        <v>0.172217950431029</v>
      </c>
      <c r="BK809" s="18"/>
      <c r="BL809" s="18"/>
      <c r="BM809" s="19">
        <v>0.13393533814833999</v>
      </c>
      <c r="BN809" s="19">
        <v>0.145003567231031</v>
      </c>
      <c r="BO809" s="19">
        <v>0.15636995343838</v>
      </c>
      <c r="BP809" s="19">
        <v>0.16370962850579801</v>
      </c>
      <c r="BQ809" s="19">
        <v>0.166782099819556</v>
      </c>
      <c r="BR809" s="19">
        <v>0.16850441557925699</v>
      </c>
      <c r="BS809" s="19">
        <v>0.169350508814784</v>
      </c>
      <c r="BT809" s="19">
        <v>0.169721017299785</v>
      </c>
      <c r="BU809" s="19">
        <v>0.16981949572020699</v>
      </c>
    </row>
    <row r="810" spans="3:73" x14ac:dyDescent="0.45">
      <c r="C810" t="s">
        <v>328</v>
      </c>
      <c r="D810" t="s">
        <v>326</v>
      </c>
      <c r="E810" t="s">
        <v>289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328</v>
      </c>
      <c r="AS810" s="15" t="s">
        <v>369</v>
      </c>
      <c r="AT810" s="15"/>
      <c r="AU810" s="15"/>
      <c r="AV810" s="15" t="s">
        <v>424</v>
      </c>
      <c r="AW810" s="15"/>
      <c r="AX810" s="15"/>
      <c r="AY810" s="15"/>
      <c r="AZ810" s="18"/>
      <c r="BA810" s="18"/>
      <c r="BB810" s="19">
        <v>7.1121582126324606E-2</v>
      </c>
      <c r="BC810" s="19">
        <v>7.4126603157812193E-2</v>
      </c>
      <c r="BD810" s="19">
        <v>7.6960694747473898E-2</v>
      </c>
      <c r="BE810" s="19">
        <v>8.0804345996317098E-2</v>
      </c>
      <c r="BF810" s="19">
        <v>8.4023307986649795E-2</v>
      </c>
      <c r="BG810" s="19">
        <v>8.6561776673370699E-2</v>
      </c>
      <c r="BH810" s="19">
        <v>8.8643435355924796E-2</v>
      </c>
      <c r="BI810" s="19">
        <v>9.0472229433827905E-2</v>
      </c>
      <c r="BJ810" s="19">
        <v>9.2157086096263996E-2</v>
      </c>
      <c r="BK810" s="18"/>
      <c r="BL810" s="18"/>
      <c r="BM810" s="19">
        <v>7.1671335410602499E-2</v>
      </c>
      <c r="BN810" s="19">
        <v>7.7594154361552606E-2</v>
      </c>
      <c r="BO810" s="19">
        <v>8.3676522835294406E-2</v>
      </c>
      <c r="BP810" s="19">
        <v>8.7604121935235396E-2</v>
      </c>
      <c r="BQ810" s="19">
        <v>8.92482595102191E-2</v>
      </c>
      <c r="BR810" s="19">
        <v>9.0169903284020997E-2</v>
      </c>
      <c r="BS810" s="19">
        <v>9.0622663794506494E-2</v>
      </c>
      <c r="BT810" s="19">
        <v>9.0820929900137307E-2</v>
      </c>
      <c r="BU810" s="19">
        <v>9.0873627567521695E-2</v>
      </c>
    </row>
    <row r="811" spans="3:73" x14ac:dyDescent="0.45">
      <c r="C811" t="s">
        <v>328</v>
      </c>
      <c r="D811" t="s">
        <v>326</v>
      </c>
      <c r="E811" t="s">
        <v>290</v>
      </c>
      <c r="J811" s="7"/>
      <c r="K811" s="7"/>
      <c r="L811" s="7">
        <v>22</v>
      </c>
      <c r="M811" s="7"/>
      <c r="N811" s="7"/>
      <c r="O811" s="7"/>
      <c r="P811" s="7"/>
      <c r="Q811" s="7"/>
      <c r="R811" s="7">
        <v>22</v>
      </c>
      <c r="S811" s="7"/>
      <c r="T811" s="7"/>
      <c r="U811" s="7"/>
      <c r="V811" s="7"/>
      <c r="AR811" s="15" t="s">
        <v>328</v>
      </c>
      <c r="AS811" s="15" t="s">
        <v>369</v>
      </c>
      <c r="AT811" s="15"/>
      <c r="AU811" s="15"/>
      <c r="AV811" s="15" t="s">
        <v>425</v>
      </c>
      <c r="AW811" s="15"/>
      <c r="AX811" s="15"/>
      <c r="AY811" s="15"/>
      <c r="AZ811" s="18"/>
      <c r="BA811" s="18"/>
      <c r="BB811" s="19">
        <v>0.15108807236211699</v>
      </c>
      <c r="BC811" s="19">
        <v>0.15747182848060001</v>
      </c>
      <c r="BD811" s="19">
        <v>0.163492468381708</v>
      </c>
      <c r="BE811" s="19">
        <v>0.171657779679037</v>
      </c>
      <c r="BF811" s="19">
        <v>0.17849602409916801</v>
      </c>
      <c r="BG811" s="19">
        <v>0.18388865358183401</v>
      </c>
      <c r="BH811" s="19">
        <v>0.188310852698613</v>
      </c>
      <c r="BI811" s="19">
        <v>0.19219587555267301</v>
      </c>
      <c r="BJ811" s="19">
        <v>0.19577512305706299</v>
      </c>
      <c r="BK811" s="18"/>
      <c r="BL811" s="18"/>
      <c r="BM811" s="19">
        <v>0.15225594801270101</v>
      </c>
      <c r="BN811" s="19">
        <v>0.164838166679595</v>
      </c>
      <c r="BO811" s="19">
        <v>0.17775932648255699</v>
      </c>
      <c r="BP811" s="19">
        <v>0.18610297350614599</v>
      </c>
      <c r="BQ811" s="19">
        <v>0.189595718879291</v>
      </c>
      <c r="BR811" s="19">
        <v>0.19155362500321399</v>
      </c>
      <c r="BS811" s="19">
        <v>0.19251545277371401</v>
      </c>
      <c r="BT811" s="19">
        <v>0.19293664199390401</v>
      </c>
      <c r="BU811" s="19">
        <v>0.193048590979642</v>
      </c>
    </row>
    <row r="812" spans="3:73" x14ac:dyDescent="0.45">
      <c r="C812" t="s">
        <v>328</v>
      </c>
      <c r="D812" t="s">
        <v>326</v>
      </c>
      <c r="E812" t="s">
        <v>291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328</v>
      </c>
      <c r="AS812" s="15" t="s">
        <v>369</v>
      </c>
      <c r="AT812" s="15"/>
      <c r="AU812" s="15"/>
      <c r="AV812" s="15" t="s">
        <v>426</v>
      </c>
      <c r="AW812" s="15"/>
      <c r="AX812" s="15"/>
      <c r="AY812" s="15"/>
      <c r="AZ812" s="18"/>
      <c r="BA812" s="18"/>
      <c r="BB812" s="19">
        <v>0.51475989307598702</v>
      </c>
      <c r="BC812" s="19">
        <v>0.53650946976723901</v>
      </c>
      <c r="BD812" s="19">
        <v>0.557021902703145</v>
      </c>
      <c r="BE812" s="19">
        <v>0.58484127126502095</v>
      </c>
      <c r="BF812" s="19">
        <v>0.60813929811453904</v>
      </c>
      <c r="BG812" s="19">
        <v>0.62651208778944101</v>
      </c>
      <c r="BH812" s="19">
        <v>0.64157860302737502</v>
      </c>
      <c r="BI812" s="19">
        <v>0.65481494867457002</v>
      </c>
      <c r="BJ812" s="19">
        <v>0.66700951197693703</v>
      </c>
      <c r="BK812" s="18"/>
      <c r="BL812" s="18"/>
      <c r="BM812" s="19">
        <v>0.51873886729692598</v>
      </c>
      <c r="BN812" s="19">
        <v>0.56160672201484096</v>
      </c>
      <c r="BO812" s="19">
        <v>0.60562935553318598</v>
      </c>
      <c r="BP812" s="19">
        <v>0.63405631725543798</v>
      </c>
      <c r="BQ812" s="19">
        <v>0.64595616617608698</v>
      </c>
      <c r="BR812" s="19">
        <v>0.65262678902041205</v>
      </c>
      <c r="BS812" s="19">
        <v>0.65590375425373004</v>
      </c>
      <c r="BT812" s="19">
        <v>0.65733875381762896</v>
      </c>
      <c r="BU812" s="19">
        <v>0.65772016610932904</v>
      </c>
    </row>
    <row r="813" spans="3:73" x14ac:dyDescent="0.45">
      <c r="C813" t="s">
        <v>328</v>
      </c>
      <c r="D813" t="s">
        <v>326</v>
      </c>
      <c r="E813" t="s">
        <v>292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328</v>
      </c>
      <c r="AS813" s="15" t="s">
        <v>369</v>
      </c>
      <c r="AT813" s="15"/>
      <c r="AU813" s="15"/>
      <c r="AV813" s="15" t="s">
        <v>427</v>
      </c>
      <c r="AW813" s="15"/>
      <c r="AX813" s="15"/>
      <c r="AY813" s="15"/>
      <c r="AZ813" s="18"/>
      <c r="BA813" s="18"/>
      <c r="BB813" s="19">
        <v>1.4322928887303401</v>
      </c>
      <c r="BC813" s="19">
        <v>1.4928099656176399</v>
      </c>
      <c r="BD813" s="19">
        <v>1.54988475372728</v>
      </c>
      <c r="BE813" s="19">
        <v>1.62729071385764</v>
      </c>
      <c r="BF813" s="19">
        <v>1.6921162735542401</v>
      </c>
      <c r="BG813" s="19">
        <v>1.74323761449681</v>
      </c>
      <c r="BH813" s="19">
        <v>1.7851594171148999</v>
      </c>
      <c r="BI813" s="19">
        <v>1.8219888671133599</v>
      </c>
      <c r="BJ813" s="19">
        <v>1.85591961139645</v>
      </c>
      <c r="BK813" s="18"/>
      <c r="BL813" s="18"/>
      <c r="BM813" s="19">
        <v>1.4433641795549601</v>
      </c>
      <c r="BN813" s="19">
        <v>1.5626417773116501</v>
      </c>
      <c r="BO813" s="19">
        <v>1.6851324876013101</v>
      </c>
      <c r="BP813" s="19">
        <v>1.7642290444050901</v>
      </c>
      <c r="BQ813" s="19">
        <v>1.7973397611009101</v>
      </c>
      <c r="BR813" s="19">
        <v>1.8159004255812701</v>
      </c>
      <c r="BS813" s="19">
        <v>1.8250184125562301</v>
      </c>
      <c r="BT813" s="19">
        <v>1.82901122493021</v>
      </c>
      <c r="BU813" s="19">
        <v>1.83007248498645</v>
      </c>
    </row>
    <row r="814" spans="3:73" x14ac:dyDescent="0.45">
      <c r="C814" t="s">
        <v>328</v>
      </c>
      <c r="D814" t="s">
        <v>326</v>
      </c>
      <c r="E814" t="s">
        <v>293</v>
      </c>
      <c r="J814" s="7"/>
      <c r="K814" s="7"/>
      <c r="L814" s="7">
        <v>12</v>
      </c>
      <c r="M814" s="7"/>
      <c r="N814" s="7"/>
      <c r="O814" s="7"/>
      <c r="P814" s="7"/>
      <c r="Q814" s="7"/>
      <c r="R814" s="7">
        <v>12</v>
      </c>
      <c r="S814" s="7"/>
      <c r="T814" s="7"/>
      <c r="U814" s="7"/>
      <c r="V814" s="7"/>
      <c r="AR814" s="15" t="s">
        <v>328</v>
      </c>
      <c r="AS814" s="15" t="s">
        <v>369</v>
      </c>
      <c r="AT814" s="15"/>
      <c r="AU814" s="15"/>
      <c r="AV814" s="15" t="s">
        <v>428</v>
      </c>
      <c r="AW814" s="15"/>
      <c r="AX814" s="15"/>
      <c r="AY814" s="15"/>
      <c r="AZ814" s="18"/>
      <c r="BA814" s="18"/>
      <c r="BB814" s="19">
        <v>1.58060862031505</v>
      </c>
      <c r="BC814" s="19">
        <v>1.6473923166923401</v>
      </c>
      <c r="BD814" s="19">
        <v>1.7103772709559399</v>
      </c>
      <c r="BE814" s="19">
        <v>1.7957987156956801</v>
      </c>
      <c r="BF814" s="19">
        <v>1.86733704370066</v>
      </c>
      <c r="BG814" s="19">
        <v>1.9237520638489001</v>
      </c>
      <c r="BH814" s="19">
        <v>1.9700149218988501</v>
      </c>
      <c r="BI814" s="19">
        <v>2.0106581078052201</v>
      </c>
      <c r="BJ814" s="19">
        <v>2.0481024233705201</v>
      </c>
      <c r="BK814" s="18"/>
      <c r="BL814" s="18"/>
      <c r="BM814" s="19">
        <v>1.59282635724099</v>
      </c>
      <c r="BN814" s="19">
        <v>1.72445530039089</v>
      </c>
      <c r="BO814" s="19">
        <v>1.8596300779211901</v>
      </c>
      <c r="BP814" s="19">
        <v>1.9469171827479901</v>
      </c>
      <c r="BQ814" s="19">
        <v>1.98345655583712</v>
      </c>
      <c r="BR814" s="19">
        <v>2.0039392004884098</v>
      </c>
      <c r="BS814" s="19">
        <v>2.01400136649226</v>
      </c>
      <c r="BT814" s="19">
        <v>2.0184076396136801</v>
      </c>
      <c r="BU814" s="19">
        <v>2.0195787944846502</v>
      </c>
    </row>
    <row r="815" spans="3:73" x14ac:dyDescent="0.45">
      <c r="C815" t="s">
        <v>328</v>
      </c>
      <c r="D815" t="s">
        <v>326</v>
      </c>
      <c r="E815" t="s">
        <v>294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328</v>
      </c>
      <c r="AS815" s="15" t="s">
        <v>369</v>
      </c>
      <c r="AT815" s="15"/>
      <c r="AU815" s="15"/>
      <c r="AV815" s="15" t="s">
        <v>429</v>
      </c>
      <c r="AW815" s="15"/>
      <c r="AX815" s="15"/>
      <c r="AY815" s="15"/>
      <c r="AZ815" s="18"/>
      <c r="BA815" s="18"/>
      <c r="BB815" s="19">
        <v>0.18630784212735099</v>
      </c>
      <c r="BC815" s="19">
        <v>0.19417969996832801</v>
      </c>
      <c r="BD815" s="19">
        <v>0.201603796461616</v>
      </c>
      <c r="BE815" s="19">
        <v>0.21167250343708999</v>
      </c>
      <c r="BF815" s="19">
        <v>0.22010479423236001</v>
      </c>
      <c r="BG815" s="19">
        <v>0.22675448633975501</v>
      </c>
      <c r="BH815" s="19">
        <v>0.23220753344018999</v>
      </c>
      <c r="BI815" s="19">
        <v>0.23699818443758</v>
      </c>
      <c r="BJ815" s="19">
        <v>0.241411781543938</v>
      </c>
      <c r="BK815" s="18"/>
      <c r="BL815" s="18"/>
      <c r="BM815" s="19">
        <v>0.18774795840477501</v>
      </c>
      <c r="BN815" s="19">
        <v>0.20326318718726399</v>
      </c>
      <c r="BO815" s="19">
        <v>0.21919636684225999</v>
      </c>
      <c r="BP815" s="19">
        <v>0.22948498094749201</v>
      </c>
      <c r="BQ815" s="19">
        <v>0.233791911623073</v>
      </c>
      <c r="BR815" s="19">
        <v>0.23620622043867501</v>
      </c>
      <c r="BS815" s="19">
        <v>0.23739225752034701</v>
      </c>
      <c r="BT815" s="19">
        <v>0.23791162912602201</v>
      </c>
      <c r="BU815" s="19">
        <v>0.23804967426509199</v>
      </c>
    </row>
    <row r="816" spans="3:73" x14ac:dyDescent="0.45">
      <c r="C816" t="s">
        <v>328</v>
      </c>
      <c r="D816" t="s">
        <v>326</v>
      </c>
      <c r="E816" t="s">
        <v>295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328</v>
      </c>
      <c r="AS816" s="15" t="s">
        <v>369</v>
      </c>
      <c r="AT816" s="15"/>
      <c r="AU816" s="15"/>
      <c r="AV816" s="15" t="s">
        <v>430</v>
      </c>
      <c r="AW816" s="15"/>
      <c r="AX816" s="15"/>
      <c r="AY816" s="15"/>
      <c r="AZ816" s="18"/>
      <c r="BA816" s="18"/>
      <c r="BB816" s="19">
        <v>3.5715594794283601E-2</v>
      </c>
      <c r="BC816" s="19">
        <v>3.7224646059738901E-2</v>
      </c>
      <c r="BD816" s="19">
        <v>3.8647860558067397E-2</v>
      </c>
      <c r="BE816" s="19">
        <v>4.0578052300573902E-2</v>
      </c>
      <c r="BF816" s="19">
        <v>4.2194539710833097E-2</v>
      </c>
      <c r="BG816" s="19">
        <v>4.3469299302821202E-2</v>
      </c>
      <c r="BH816" s="19">
        <v>4.4514659596888502E-2</v>
      </c>
      <c r="BI816" s="19">
        <v>4.54330372017702E-2</v>
      </c>
      <c r="BJ816" s="19">
        <v>4.6279132803737202E-2</v>
      </c>
      <c r="BK816" s="18"/>
      <c r="BL816" s="18"/>
      <c r="BM816" s="19">
        <v>3.5991668033250997E-2</v>
      </c>
      <c r="BN816" s="19">
        <v>3.8965969157715698E-2</v>
      </c>
      <c r="BO816" s="19">
        <v>4.2020392320179102E-2</v>
      </c>
      <c r="BP816" s="19">
        <v>4.3992740709712E-2</v>
      </c>
      <c r="BQ816" s="19">
        <v>4.48183881385033E-2</v>
      </c>
      <c r="BR816" s="19">
        <v>4.5281216081662898E-2</v>
      </c>
      <c r="BS816" s="19">
        <v>4.5508581818586899E-2</v>
      </c>
      <c r="BT816" s="19">
        <v>4.5608146418788999E-2</v>
      </c>
      <c r="BU816" s="19">
        <v>4.5634609954591197E-2</v>
      </c>
    </row>
    <row r="817" spans="3:73" x14ac:dyDescent="0.45">
      <c r="C817" t="s">
        <v>328</v>
      </c>
      <c r="D817" t="s">
        <v>326</v>
      </c>
      <c r="E817" t="s">
        <v>296</v>
      </c>
      <c r="J817" s="7"/>
      <c r="K817" s="7"/>
      <c r="L817" s="7">
        <v>22</v>
      </c>
      <c r="M817" s="7"/>
      <c r="N817" s="7"/>
      <c r="O817" s="7"/>
      <c r="P817" s="7"/>
      <c r="Q817" s="7"/>
      <c r="R817" s="7">
        <v>22</v>
      </c>
      <c r="S817" s="7"/>
      <c r="T817" s="7"/>
      <c r="U817" s="7"/>
      <c r="V817" s="7"/>
      <c r="AR817" s="15" t="s">
        <v>328</v>
      </c>
      <c r="AS817" s="15" t="s">
        <v>369</v>
      </c>
      <c r="AT817" s="15"/>
      <c r="AU817" s="15"/>
      <c r="AV817" s="15" t="s">
        <v>431</v>
      </c>
      <c r="AW817" s="15"/>
      <c r="AX817" s="15"/>
      <c r="AY817" s="15"/>
      <c r="AZ817" s="18"/>
      <c r="BA817" s="18"/>
      <c r="BB817" s="19">
        <v>4.1466016344024199E-2</v>
      </c>
      <c r="BC817" s="19">
        <v>4.32180337694026E-2</v>
      </c>
      <c r="BD817" s="19">
        <v>4.4870394201551499E-2</v>
      </c>
      <c r="BE817" s="19">
        <v>4.7111358206291698E-2</v>
      </c>
      <c r="BF817" s="19">
        <v>4.8988109629858799E-2</v>
      </c>
      <c r="BG817" s="19">
        <v>5.0468113039589001E-2</v>
      </c>
      <c r="BH817" s="19">
        <v>5.1681782510554199E-2</v>
      </c>
      <c r="BI817" s="19">
        <v>5.2748024329943098E-2</v>
      </c>
      <c r="BJ817" s="19">
        <v>5.3730346317350797E-2</v>
      </c>
      <c r="BK817" s="18"/>
      <c r="BL817" s="18"/>
      <c r="BM817" s="19">
        <v>4.17865390038063E-2</v>
      </c>
      <c r="BN817" s="19">
        <v>4.5239720163170502E-2</v>
      </c>
      <c r="BO817" s="19">
        <v>4.8785923481518799E-2</v>
      </c>
      <c r="BP817" s="19">
        <v>5.1075831602258599E-2</v>
      </c>
      <c r="BQ817" s="19">
        <v>5.2034413139927502E-2</v>
      </c>
      <c r="BR817" s="19">
        <v>5.2571759113473997E-2</v>
      </c>
      <c r="BS817" s="19">
        <v>5.2835732075919802E-2</v>
      </c>
      <c r="BT817" s="19">
        <v>5.2951327164369198E-2</v>
      </c>
      <c r="BU817" s="19">
        <v>5.2982051485619103E-2</v>
      </c>
    </row>
    <row r="818" spans="3:73" x14ac:dyDescent="0.45">
      <c r="C818" t="s">
        <v>328</v>
      </c>
      <c r="D818" t="s">
        <v>326</v>
      </c>
      <c r="E818" t="s">
        <v>297</v>
      </c>
      <c r="J818" s="7"/>
      <c r="K818" s="7"/>
      <c r="L818" s="7">
        <v>20</v>
      </c>
      <c r="M818" s="7"/>
      <c r="N818" s="7"/>
      <c r="O818" s="7"/>
      <c r="P818" s="7"/>
      <c r="Q818" s="7"/>
      <c r="R818" s="7">
        <v>20</v>
      </c>
      <c r="S818" s="7"/>
      <c r="T818" s="7"/>
      <c r="U818" s="7"/>
      <c r="V818" s="7"/>
      <c r="AR818" s="15" t="s">
        <v>328</v>
      </c>
      <c r="AS818" s="15" t="s">
        <v>369</v>
      </c>
      <c r="AT818" s="15"/>
      <c r="AU818" s="15"/>
      <c r="AV818" s="15" t="s">
        <v>432</v>
      </c>
      <c r="AW818" s="15"/>
      <c r="AX818" s="15"/>
      <c r="AY818" s="15"/>
      <c r="AZ818" s="18"/>
      <c r="BA818" s="18"/>
      <c r="BB818" s="19">
        <v>8.3270692178418301E-2</v>
      </c>
      <c r="BC818" s="19">
        <v>8.6789036031599501E-2</v>
      </c>
      <c r="BD818" s="19">
        <v>9.0107251983952599E-2</v>
      </c>
      <c r="BE818" s="19">
        <v>9.4607482299627094E-2</v>
      </c>
      <c r="BF818" s="19">
        <v>9.8376312871406593E-2</v>
      </c>
      <c r="BG818" s="19">
        <v>0.101348407111957</v>
      </c>
      <c r="BH818" s="19">
        <v>0.103785658283727</v>
      </c>
      <c r="BI818" s="19">
        <v>0.105926850087479</v>
      </c>
      <c r="BJ818" s="19">
        <v>0.10789951684077601</v>
      </c>
      <c r="BK818" s="18"/>
      <c r="BL818" s="18"/>
      <c r="BM818" s="19">
        <v>8.3914355257058301E-2</v>
      </c>
      <c r="BN818" s="19">
        <v>9.0848920250523504E-2</v>
      </c>
      <c r="BO818" s="19">
        <v>9.7970289288589404E-2</v>
      </c>
      <c r="BP818" s="19">
        <v>0.102568807570572</v>
      </c>
      <c r="BQ818" s="19">
        <v>0.104493799532397</v>
      </c>
      <c r="BR818" s="19">
        <v>0.10557288006873899</v>
      </c>
      <c r="BS818" s="19">
        <v>0.106102981902416</v>
      </c>
      <c r="BT818" s="19">
        <v>0.10633511616261999</v>
      </c>
      <c r="BU818" s="19">
        <v>0.10639681573549301</v>
      </c>
    </row>
    <row r="819" spans="3:73" x14ac:dyDescent="0.45">
      <c r="C819" t="s">
        <v>328</v>
      </c>
      <c r="D819" t="s">
        <v>326</v>
      </c>
      <c r="E819" t="s">
        <v>298</v>
      </c>
      <c r="J819" s="7"/>
      <c r="K819" s="7"/>
      <c r="L819" s="7">
        <v>17.123290000000001</v>
      </c>
      <c r="M819" s="7"/>
      <c r="N819" s="7"/>
      <c r="O819" s="7"/>
      <c r="P819" s="7"/>
      <c r="Q819" s="7"/>
      <c r="R819" s="7">
        <v>17.123290000000001</v>
      </c>
      <c r="S819" s="7"/>
      <c r="T819" s="7"/>
      <c r="U819" s="7"/>
      <c r="V819" s="7"/>
      <c r="AR819" s="15" t="s">
        <v>328</v>
      </c>
      <c r="AS819" s="15" t="s">
        <v>369</v>
      </c>
      <c r="AT819" s="15"/>
      <c r="AU819" s="15"/>
      <c r="AV819" s="15" t="s">
        <v>433</v>
      </c>
      <c r="AW819" s="15"/>
      <c r="AX819" s="15"/>
      <c r="AY819" s="15"/>
      <c r="AZ819" s="18"/>
      <c r="BA819" s="18"/>
      <c r="BB819" s="19">
        <v>8.0280328884215699E-2</v>
      </c>
      <c r="BC819" s="19">
        <v>8.3672324246232804E-2</v>
      </c>
      <c r="BD819" s="19">
        <v>8.6871378571288502E-2</v>
      </c>
      <c r="BE819" s="19">
        <v>9.1209999523579693E-2</v>
      </c>
      <c r="BF819" s="19">
        <v>9.4843486287002496E-2</v>
      </c>
      <c r="BG819" s="19">
        <v>9.7708848599531994E-2</v>
      </c>
      <c r="BH819" s="19">
        <v>0.100058574781991</v>
      </c>
      <c r="BI819" s="19">
        <v>0.102122873489165</v>
      </c>
      <c r="BJ819" s="19">
        <v>0.104024699108608</v>
      </c>
      <c r="BK819" s="18"/>
      <c r="BL819" s="18"/>
      <c r="BM819" s="19">
        <v>8.0900877150262604E-2</v>
      </c>
      <c r="BN819" s="19">
        <v>8.7586412526280993E-2</v>
      </c>
      <c r="BO819" s="19">
        <v>9.4452043560749196E-2</v>
      </c>
      <c r="BP819" s="19">
        <v>9.8885422825408603E-2</v>
      </c>
      <c r="BQ819" s="19">
        <v>0.100741285719687</v>
      </c>
      <c r="BR819" s="19">
        <v>0.101781615013029</v>
      </c>
      <c r="BS819" s="19">
        <v>0.102292680172168</v>
      </c>
      <c r="BT819" s="19">
        <v>0.10251647817680699</v>
      </c>
      <c r="BU819" s="19">
        <v>0.102575962034485</v>
      </c>
    </row>
    <row r="820" spans="3:73" x14ac:dyDescent="0.45">
      <c r="C820" t="s">
        <v>328</v>
      </c>
      <c r="D820" t="s">
        <v>326</v>
      </c>
      <c r="E820" t="s">
        <v>299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328</v>
      </c>
      <c r="AS820" s="15" t="s">
        <v>369</v>
      </c>
      <c r="AT820" s="15"/>
      <c r="AU820" s="15"/>
      <c r="AV820" s="15" t="s">
        <v>434</v>
      </c>
      <c r="AW820" s="15"/>
      <c r="AX820" s="15"/>
      <c r="AY820" s="15"/>
      <c r="AZ820" s="18"/>
      <c r="BA820" s="18"/>
      <c r="BB820" s="19">
        <v>0.34219709029557199</v>
      </c>
      <c r="BC820" s="19">
        <v>0.35665556299132201</v>
      </c>
      <c r="BD820" s="19">
        <v>0.37029161925748899</v>
      </c>
      <c r="BE820" s="19">
        <v>0.38878510933661797</v>
      </c>
      <c r="BF820" s="19">
        <v>0.40427294571387101</v>
      </c>
      <c r="BG820" s="19">
        <v>0.41648663068026298</v>
      </c>
      <c r="BH820" s="19">
        <v>0.42650240258608602</v>
      </c>
      <c r="BI820" s="19">
        <v>0.43530153209780997</v>
      </c>
      <c r="BJ820" s="19">
        <v>0.44340811564409099</v>
      </c>
      <c r="BK820" s="18"/>
      <c r="BL820" s="18"/>
      <c r="BM820" s="19">
        <v>0.34484219419562501</v>
      </c>
      <c r="BN820" s="19">
        <v>0.373339470982335</v>
      </c>
      <c r="BO820" s="19">
        <v>0.40260441042256101</v>
      </c>
      <c r="BP820" s="19">
        <v>0.42150181039125301</v>
      </c>
      <c r="BQ820" s="19">
        <v>0.429412476568585</v>
      </c>
      <c r="BR820" s="19">
        <v>0.43384690854063901</v>
      </c>
      <c r="BS820" s="19">
        <v>0.436025337713006</v>
      </c>
      <c r="BT820" s="19">
        <v>0.43697928280847098</v>
      </c>
      <c r="BU820" s="19">
        <v>0.43723283437334198</v>
      </c>
    </row>
    <row r="821" spans="3:73" x14ac:dyDescent="0.45">
      <c r="C821" t="s">
        <v>328</v>
      </c>
      <c r="D821" t="s">
        <v>326</v>
      </c>
      <c r="E821" t="s">
        <v>300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328</v>
      </c>
      <c r="AS821" s="15" t="s">
        <v>369</v>
      </c>
      <c r="AT821" s="15"/>
      <c r="AU821" s="15"/>
      <c r="AV821" s="15" t="s">
        <v>435</v>
      </c>
      <c r="AW821" s="15"/>
      <c r="AX821" s="15"/>
      <c r="AY821" s="15"/>
      <c r="AZ821" s="18"/>
      <c r="BA821" s="18"/>
      <c r="BB821" s="19">
        <v>0.37587851440653902</v>
      </c>
      <c r="BC821" s="19">
        <v>0.39176009081846003</v>
      </c>
      <c r="BD821" s="19">
        <v>0.40673830284026202</v>
      </c>
      <c r="BE821" s="19">
        <v>0.42705205118666301</v>
      </c>
      <c r="BF821" s="19">
        <v>0.44406430843240702</v>
      </c>
      <c r="BG821" s="19">
        <v>0.45748014945148702</v>
      </c>
      <c r="BH821" s="19">
        <v>0.46848174347832</v>
      </c>
      <c r="BI821" s="19">
        <v>0.478146944681757</v>
      </c>
      <c r="BJ821" s="19">
        <v>0.48705143471601398</v>
      </c>
      <c r="BK821" s="18"/>
      <c r="BL821" s="18"/>
      <c r="BM821" s="19">
        <v>0.37878396787940199</v>
      </c>
      <c r="BN821" s="19">
        <v>0.41008614538759902</v>
      </c>
      <c r="BO821" s="19">
        <v>0.44223154426135403</v>
      </c>
      <c r="BP821" s="19">
        <v>0.46298895812551899</v>
      </c>
      <c r="BQ821" s="19">
        <v>0.47167824723704599</v>
      </c>
      <c r="BR821" s="19">
        <v>0.47654914692953798</v>
      </c>
      <c r="BS821" s="19">
        <v>0.47894199229342399</v>
      </c>
      <c r="BT821" s="19">
        <v>0.47998983131800199</v>
      </c>
      <c r="BU821" s="19">
        <v>0.48026833919615902</v>
      </c>
    </row>
    <row r="822" spans="3:73" x14ac:dyDescent="0.45">
      <c r="C822" t="s">
        <v>328</v>
      </c>
      <c r="D822" t="s">
        <v>326</v>
      </c>
      <c r="E822" t="s">
        <v>302</v>
      </c>
      <c r="J822" s="7"/>
      <c r="K822" s="7"/>
      <c r="L822" s="7">
        <v>25</v>
      </c>
      <c r="M822" s="7"/>
      <c r="N822" s="7"/>
      <c r="O822" s="7"/>
      <c r="P822" s="7"/>
      <c r="Q822" s="7"/>
      <c r="R822" s="7">
        <v>25</v>
      </c>
      <c r="S822" s="7"/>
      <c r="T822" s="7"/>
      <c r="U822" s="7"/>
      <c r="V822" s="7"/>
      <c r="AR822" s="15" t="s">
        <v>328</v>
      </c>
      <c r="AS822" s="15" t="s">
        <v>369</v>
      </c>
      <c r="AT822" s="15"/>
      <c r="AU822" s="15"/>
      <c r="AV822" s="15" t="s">
        <v>436</v>
      </c>
      <c r="AW822" s="15"/>
      <c r="AX822" s="15"/>
      <c r="AY822" s="15"/>
      <c r="AZ822" s="18"/>
      <c r="BA822" s="18"/>
      <c r="BB822" s="19">
        <v>2.81642256458291E-2</v>
      </c>
      <c r="BC822" s="19">
        <v>2.93542173174282E-2</v>
      </c>
      <c r="BD822" s="19">
        <v>3.0476520739902702E-2</v>
      </c>
      <c r="BE822" s="19">
        <v>3.1998610910563101E-2</v>
      </c>
      <c r="BF822" s="19">
        <v>3.3273323439877399E-2</v>
      </c>
      <c r="BG822" s="19">
        <v>3.4278559863902498E-2</v>
      </c>
      <c r="BH822" s="19">
        <v>3.5102899018069803E-2</v>
      </c>
      <c r="BI822" s="19">
        <v>3.5827103507479703E-2</v>
      </c>
      <c r="BJ822" s="19">
        <v>3.6494308620232202E-2</v>
      </c>
      <c r="BK822" s="18"/>
      <c r="BL822" s="18"/>
      <c r="BM822" s="19">
        <v>2.83819285580117E-2</v>
      </c>
      <c r="BN822" s="19">
        <v>3.0727371451811099E-2</v>
      </c>
      <c r="BO822" s="19">
        <v>3.3135996134137001E-2</v>
      </c>
      <c r="BP822" s="19">
        <v>3.46913297472254E-2</v>
      </c>
      <c r="BQ822" s="19">
        <v>3.5342410056046103E-2</v>
      </c>
      <c r="BR822" s="19">
        <v>3.5707382015813902E-2</v>
      </c>
      <c r="BS822" s="19">
        <v>3.5886675681668798E-2</v>
      </c>
      <c r="BT822" s="19">
        <v>3.5965189280072599E-2</v>
      </c>
      <c r="BU822" s="19">
        <v>3.5986057614983698E-2</v>
      </c>
    </row>
    <row r="823" spans="3:73" x14ac:dyDescent="0.45">
      <c r="C823" t="s">
        <v>328</v>
      </c>
      <c r="D823" t="s">
        <v>326</v>
      </c>
      <c r="E823" t="s">
        <v>303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328</v>
      </c>
      <c r="AS823" s="15" t="s">
        <v>369</v>
      </c>
      <c r="AT823" s="15"/>
      <c r="AU823" s="15"/>
      <c r="AV823" s="15" t="s">
        <v>437</v>
      </c>
      <c r="AW823" s="15"/>
      <c r="AX823" s="15"/>
      <c r="AY823" s="15"/>
      <c r="AZ823" s="18"/>
      <c r="BA823" s="18"/>
      <c r="BB823" s="19">
        <v>0.26797816222631998</v>
      </c>
      <c r="BC823" s="19">
        <v>0.279300745180664</v>
      </c>
      <c r="BD823" s="19">
        <v>0.28997928512694399</v>
      </c>
      <c r="BE823" s="19">
        <v>0.30446173288906597</v>
      </c>
      <c r="BF823" s="19">
        <v>0.31659042143417698</v>
      </c>
      <c r="BG823" s="19">
        <v>0.32615508736537402</v>
      </c>
      <c r="BH823" s="19">
        <v>0.333998544322539</v>
      </c>
      <c r="BI823" s="19">
        <v>0.34088923574749103</v>
      </c>
      <c r="BJ823" s="19">
        <v>0.34723758709901797</v>
      </c>
      <c r="BK823" s="18"/>
      <c r="BL823" s="18"/>
      <c r="BM823" s="19">
        <v>0</v>
      </c>
      <c r="BN823" s="19">
        <v>0</v>
      </c>
      <c r="BO823" s="19">
        <v>0</v>
      </c>
      <c r="BP823" s="19">
        <v>0</v>
      </c>
      <c r="BQ823" s="19">
        <v>0</v>
      </c>
      <c r="BR823" s="19">
        <v>0</v>
      </c>
      <c r="BS823" s="19">
        <v>0</v>
      </c>
      <c r="BT823" s="19">
        <v>0</v>
      </c>
      <c r="BU823" s="19">
        <v>0</v>
      </c>
    </row>
    <row r="824" spans="3:73" x14ac:dyDescent="0.45">
      <c r="C824" t="s">
        <v>328</v>
      </c>
      <c r="D824" t="s">
        <v>326</v>
      </c>
      <c r="E824" t="s">
        <v>304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328</v>
      </c>
      <c r="AS824" s="15" t="s">
        <v>369</v>
      </c>
      <c r="AT824" s="15"/>
      <c r="AU824" s="15"/>
      <c r="AV824" s="15" t="s">
        <v>438</v>
      </c>
      <c r="AW824" s="15"/>
      <c r="AX824" s="15"/>
      <c r="AY824" s="15"/>
      <c r="AZ824" s="18"/>
      <c r="BA824" s="18"/>
      <c r="BB824" s="19">
        <v>0.102364518721013</v>
      </c>
      <c r="BC824" s="19">
        <v>0.106689612770361</v>
      </c>
      <c r="BD824" s="19">
        <v>0.11076868993531599</v>
      </c>
      <c r="BE824" s="19">
        <v>0.116300815324772</v>
      </c>
      <c r="BF824" s="19">
        <v>0.12093383226661</v>
      </c>
      <c r="BG824" s="19">
        <v>0.12458742260636101</v>
      </c>
      <c r="BH824" s="19">
        <v>0.12758353128125799</v>
      </c>
      <c r="BI824" s="19">
        <v>0.13021569468409</v>
      </c>
      <c r="BJ824" s="19">
        <v>0.13264069053215499</v>
      </c>
      <c r="BK824" s="18"/>
      <c r="BL824" s="18"/>
      <c r="BM824" s="19">
        <v>0.103155772636884</v>
      </c>
      <c r="BN824" s="19">
        <v>0.111680421460203</v>
      </c>
      <c r="BO824" s="19">
        <v>0.120434708174362</v>
      </c>
      <c r="BP824" s="19">
        <v>0.126087658791805</v>
      </c>
      <c r="BQ824" s="19">
        <v>0.128454048100685</v>
      </c>
      <c r="BR824" s="19">
        <v>0.129780559948662</v>
      </c>
      <c r="BS824" s="19">
        <v>0.13043221322135501</v>
      </c>
      <c r="BT824" s="19">
        <v>0.13071757546829599</v>
      </c>
      <c r="BU824" s="19">
        <v>0.130793422647144</v>
      </c>
    </row>
    <row r="825" spans="3:73" x14ac:dyDescent="0.45">
      <c r="C825" t="s">
        <v>328</v>
      </c>
      <c r="D825" t="s">
        <v>326</v>
      </c>
      <c r="E825" t="s">
        <v>305</v>
      </c>
      <c r="J825" s="7"/>
      <c r="K825" s="7"/>
      <c r="L825" s="7">
        <v>20</v>
      </c>
      <c r="M825" s="7"/>
      <c r="N825" s="7"/>
      <c r="O825" s="7"/>
      <c r="P825" s="7"/>
      <c r="Q825" s="7"/>
      <c r="R825" s="7">
        <v>20</v>
      </c>
      <c r="S825" s="7"/>
      <c r="T825" s="7"/>
      <c r="U825" s="7"/>
      <c r="V825" s="7"/>
      <c r="AR825" s="15" t="s">
        <v>328</v>
      </c>
      <c r="AS825" s="15" t="s">
        <v>369</v>
      </c>
      <c r="AT825" s="15"/>
      <c r="AU825" s="15"/>
      <c r="AV825" s="15" t="s">
        <v>439</v>
      </c>
      <c r="AW825" s="15"/>
      <c r="AX825" s="15"/>
      <c r="AY825" s="15"/>
      <c r="AZ825" s="18"/>
      <c r="BA825" s="18"/>
      <c r="BB825" s="19">
        <v>1.4277356186254401E-2</v>
      </c>
      <c r="BC825" s="19">
        <v>1.4880601422525E-2</v>
      </c>
      <c r="BD825" s="19">
        <v>1.54495332977777E-2</v>
      </c>
      <c r="BE825" s="19">
        <v>1.6221129995922099E-2</v>
      </c>
      <c r="BF825" s="19">
        <v>1.6867322972961899E-2</v>
      </c>
      <c r="BG825" s="19">
        <v>1.73769098033504E-2</v>
      </c>
      <c r="BH825" s="19">
        <v>1.7794793961442502E-2</v>
      </c>
      <c r="BI825" s="19">
        <v>1.81619166218349E-2</v>
      </c>
      <c r="BJ825" s="19">
        <v>1.8500144456104099E-2</v>
      </c>
      <c r="BK825" s="18"/>
      <c r="BL825" s="18"/>
      <c r="BM825" s="19">
        <v>1.43877168281234E-2</v>
      </c>
      <c r="BN825" s="19">
        <v>1.5576697630592299E-2</v>
      </c>
      <c r="BO825" s="19">
        <v>1.6797707323563001E-2</v>
      </c>
      <c r="BP825" s="19">
        <v>1.75861561970297E-2</v>
      </c>
      <c r="BQ825" s="19">
        <v>1.7916209847067301E-2</v>
      </c>
      <c r="BR825" s="19">
        <v>1.8101225928571801E-2</v>
      </c>
      <c r="BS825" s="19">
        <v>1.8192115682174201E-2</v>
      </c>
      <c r="BT825" s="19">
        <v>1.8231916762593399E-2</v>
      </c>
      <c r="BU825" s="19">
        <v>1.8242495595979E-2</v>
      </c>
    </row>
    <row r="826" spans="3:73" x14ac:dyDescent="0.45">
      <c r="C826" t="s">
        <v>328</v>
      </c>
      <c r="D826" t="s">
        <v>326</v>
      </c>
      <c r="E826" t="s">
        <v>306</v>
      </c>
      <c r="J826" s="7"/>
      <c r="K826" s="7"/>
      <c r="L826" s="7">
        <v>17.123290000000001</v>
      </c>
      <c r="M826" s="7"/>
      <c r="N826" s="7"/>
      <c r="O826" s="7"/>
      <c r="P826" s="7"/>
      <c r="Q826" s="7"/>
      <c r="R826" s="7">
        <v>17.123290000000001</v>
      </c>
      <c r="S826" s="7"/>
      <c r="T826" s="7"/>
      <c r="U826" s="7"/>
      <c r="V826" s="7"/>
      <c r="AR826" s="15" t="s">
        <v>328</v>
      </c>
      <c r="AS826" s="15" t="s">
        <v>369</v>
      </c>
      <c r="AT826" s="15"/>
      <c r="AU826" s="15"/>
      <c r="AV826" s="15" t="s">
        <v>440</v>
      </c>
      <c r="AW826" s="15"/>
      <c r="AX826" s="15"/>
      <c r="AY826" s="15"/>
      <c r="AZ826" s="18"/>
      <c r="BA826" s="18"/>
      <c r="BB826" s="19">
        <v>0.31116181604864002</v>
      </c>
      <c r="BC826" s="19">
        <v>0.32430898985252399</v>
      </c>
      <c r="BD826" s="19">
        <v>0.33670833558587598</v>
      </c>
      <c r="BE826" s="19">
        <v>0.35352457430119899</v>
      </c>
      <c r="BF826" s="19">
        <v>0.367607754522421</v>
      </c>
      <c r="BG826" s="19">
        <v>0.37871372971205802</v>
      </c>
      <c r="BH826" s="19">
        <v>0.38782112969799198</v>
      </c>
      <c r="BI826" s="19">
        <v>0.39582222963765101</v>
      </c>
      <c r="BJ826" s="19">
        <v>0.40319359347955802</v>
      </c>
      <c r="BK826" s="18"/>
      <c r="BL826" s="18"/>
      <c r="BM826" s="19">
        <v>0.31356702449873802</v>
      </c>
      <c r="BN826" s="19">
        <v>0.33947976498912202</v>
      </c>
      <c r="BO826" s="19">
        <v>0.36609054562115101</v>
      </c>
      <c r="BP826" s="19">
        <v>0.38327406196191499</v>
      </c>
      <c r="BQ826" s="19">
        <v>0.39046727699412598</v>
      </c>
      <c r="BR826" s="19">
        <v>0.394499531927611</v>
      </c>
      <c r="BS826" s="19">
        <v>0.39648039031778998</v>
      </c>
      <c r="BT826" s="19">
        <v>0.397347818173647</v>
      </c>
      <c r="BU826" s="19">
        <v>0.39757837409485403</v>
      </c>
    </row>
    <row r="827" spans="3:73" x14ac:dyDescent="0.45">
      <c r="C827" t="s">
        <v>328</v>
      </c>
      <c r="D827" t="s">
        <v>326</v>
      </c>
      <c r="E827" t="s">
        <v>307</v>
      </c>
      <c r="J827" s="7"/>
      <c r="K827" s="7"/>
      <c r="L827" s="7">
        <v>12</v>
      </c>
      <c r="M827" s="7"/>
      <c r="N827" s="7"/>
      <c r="O827" s="7"/>
      <c r="P827" s="7"/>
      <c r="Q827" s="7"/>
      <c r="R827" s="7">
        <v>12</v>
      </c>
      <c r="S827" s="7"/>
      <c r="T827" s="7"/>
      <c r="U827" s="7"/>
      <c r="V827" s="7"/>
      <c r="AR827" s="15" t="s">
        <v>328</v>
      </c>
      <c r="AS827" s="15" t="s">
        <v>369</v>
      </c>
      <c r="AT827" s="15"/>
      <c r="AU827" s="15"/>
      <c r="AV827" s="15" t="s">
        <v>441</v>
      </c>
      <c r="AW827" s="15"/>
      <c r="AX827" s="15"/>
      <c r="AY827" s="15"/>
      <c r="AZ827" s="18"/>
      <c r="BA827" s="18"/>
      <c r="BB827" s="19">
        <v>0.16520006664877099</v>
      </c>
      <c r="BC827" s="19">
        <v>0.17218008115127401</v>
      </c>
      <c r="BD827" s="19">
        <v>0.17876306349648199</v>
      </c>
      <c r="BE827" s="19">
        <v>0.187691034774676</v>
      </c>
      <c r="BF827" s="19">
        <v>0.19516798789417</v>
      </c>
      <c r="BG827" s="19">
        <v>0.20106430211686699</v>
      </c>
      <c r="BH827" s="19">
        <v>0.20589954541175201</v>
      </c>
      <c r="BI827" s="19">
        <v>0.210147438871432</v>
      </c>
      <c r="BJ827" s="19">
        <v>0.214060996818352</v>
      </c>
      <c r="BK827" s="18"/>
      <c r="BL827" s="18"/>
      <c r="BM827" s="19">
        <v>0.16647702473220899</v>
      </c>
      <c r="BN827" s="19">
        <v>0.180234453295984</v>
      </c>
      <c r="BO827" s="19">
        <v>0.19436248092421901</v>
      </c>
      <c r="BP827" s="19">
        <v>0.20348544492025999</v>
      </c>
      <c r="BQ827" s="19">
        <v>0.20730442122599799</v>
      </c>
      <c r="BR827" s="19">
        <v>0.209445200554951</v>
      </c>
      <c r="BS827" s="19">
        <v>0.21049686538399401</v>
      </c>
      <c r="BT827" s="19">
        <v>0.21095739470414099</v>
      </c>
      <c r="BU827" s="19">
        <v>0.21107979999806001</v>
      </c>
    </row>
    <row r="828" spans="3:73" x14ac:dyDescent="0.45">
      <c r="C828" t="s">
        <v>328</v>
      </c>
      <c r="D828" t="s">
        <v>326</v>
      </c>
      <c r="E828" t="s">
        <v>308</v>
      </c>
      <c r="J828" s="7"/>
      <c r="K828" s="7"/>
      <c r="L828" s="7">
        <v>10</v>
      </c>
      <c r="M828" s="7"/>
      <c r="N828" s="7"/>
      <c r="O828" s="7"/>
      <c r="P828" s="7"/>
      <c r="Q828" s="7"/>
      <c r="R828" s="7">
        <v>10</v>
      </c>
      <c r="S828" s="7"/>
      <c r="T828" s="7"/>
      <c r="U828" s="7"/>
      <c r="V828" s="7"/>
      <c r="AR828" s="15" t="s">
        <v>328</v>
      </c>
      <c r="AS828" s="15" t="s">
        <v>369</v>
      </c>
      <c r="AT828" s="15"/>
      <c r="AU828" s="15"/>
      <c r="AV828" s="15" t="s">
        <v>442</v>
      </c>
      <c r="AW828" s="15"/>
      <c r="AX828" s="15"/>
      <c r="AY828" s="15"/>
      <c r="AZ828" s="18"/>
      <c r="BA828" s="18"/>
      <c r="BB828" s="19">
        <v>2.34897059419318</v>
      </c>
      <c r="BC828" s="19">
        <v>2.44821903365224</v>
      </c>
      <c r="BD828" s="19">
        <v>2.5418220948656498</v>
      </c>
      <c r="BE828" s="19">
        <v>2.6687684237849201</v>
      </c>
      <c r="BF828" s="19">
        <v>2.7750828059043502</v>
      </c>
      <c r="BG828" s="19">
        <v>2.85892217113103</v>
      </c>
      <c r="BH828" s="19">
        <v>2.9276742276274801</v>
      </c>
      <c r="BI828" s="19">
        <v>2.98807478936132</v>
      </c>
      <c r="BJ828" s="19">
        <v>3.04372145296426</v>
      </c>
      <c r="BK828" s="18"/>
      <c r="BL828" s="18"/>
      <c r="BM828" s="19">
        <v>2.3671275904272702</v>
      </c>
      <c r="BN828" s="19">
        <v>2.5627437048972901</v>
      </c>
      <c r="BO828" s="19">
        <v>2.7636293469305402</v>
      </c>
      <c r="BP828" s="19">
        <v>2.8933482665006101</v>
      </c>
      <c r="BQ828" s="19">
        <v>2.9476500789882101</v>
      </c>
      <c r="BR828" s="19">
        <v>2.97808970164925</v>
      </c>
      <c r="BS828" s="19">
        <v>2.9930432655822501</v>
      </c>
      <c r="BT828" s="19">
        <v>2.9995915064681902</v>
      </c>
      <c r="BU828" s="19">
        <v>3.00133198056013</v>
      </c>
    </row>
    <row r="829" spans="3:73" x14ac:dyDescent="0.45">
      <c r="C829" t="s">
        <v>328</v>
      </c>
      <c r="D829" t="s">
        <v>326</v>
      </c>
      <c r="E829" t="s">
        <v>309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328</v>
      </c>
      <c r="AS829" s="15" t="s">
        <v>369</v>
      </c>
      <c r="AT829" s="15"/>
      <c r="AU829" s="15"/>
      <c r="AV829" s="15" t="s">
        <v>443</v>
      </c>
      <c r="AW829" s="15"/>
      <c r="AX829" s="15"/>
      <c r="AY829" s="15"/>
      <c r="AZ829" s="18"/>
      <c r="BA829" s="18"/>
      <c r="BB829" s="19">
        <v>0.30989720144062799</v>
      </c>
      <c r="BC829" s="19">
        <v>0.322990942891347</v>
      </c>
      <c r="BD829" s="19">
        <v>0.33533989557216098</v>
      </c>
      <c r="BE829" s="19">
        <v>0.35208779022971598</v>
      </c>
      <c r="BF829" s="19">
        <v>0.3661137340083</v>
      </c>
      <c r="BG829" s="19">
        <v>0.37717457262353599</v>
      </c>
      <c r="BH829" s="19">
        <v>0.38624495858503299</v>
      </c>
      <c r="BI829" s="19">
        <v>0.39421354069203302</v>
      </c>
      <c r="BJ829" s="19">
        <v>0.40155494605602199</v>
      </c>
      <c r="BK829" s="18"/>
      <c r="BL829" s="18"/>
      <c r="BM829" s="19">
        <v>0.31229263471400298</v>
      </c>
      <c r="BN829" s="19">
        <v>0.33810006141436599</v>
      </c>
      <c r="BO829" s="19">
        <v>0.36460269130237</v>
      </c>
      <c r="BP829" s="19">
        <v>0.38171637090655203</v>
      </c>
      <c r="BQ829" s="19">
        <v>0.38888035148794398</v>
      </c>
      <c r="BR829" s="19">
        <v>0.39289621865072799</v>
      </c>
      <c r="BS829" s="19">
        <v>0.39486902649508998</v>
      </c>
      <c r="BT829" s="19">
        <v>0.39573292897642698</v>
      </c>
      <c r="BU829" s="19">
        <v>0.39596254787910901</v>
      </c>
    </row>
    <row r="830" spans="3:73" x14ac:dyDescent="0.45">
      <c r="C830" t="s">
        <v>328</v>
      </c>
      <c r="D830" t="s">
        <v>326</v>
      </c>
      <c r="E830" t="s">
        <v>310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328</v>
      </c>
      <c r="AS830" s="15" t="s">
        <v>369</v>
      </c>
      <c r="AT830" s="15"/>
      <c r="AU830" s="15"/>
      <c r="AV830" s="15" t="s">
        <v>444</v>
      </c>
      <c r="AW830" s="15"/>
      <c r="AX830" s="15"/>
      <c r="AY830" s="15"/>
      <c r="AZ830" s="18"/>
      <c r="BA830" s="18"/>
      <c r="BB830" s="19">
        <v>0.91590589840926595</v>
      </c>
      <c r="BC830" s="19">
        <v>0.95460465067682398</v>
      </c>
      <c r="BD830" s="19">
        <v>0.99110216839222898</v>
      </c>
      <c r="BE830" s="19">
        <v>1.0406008261131801</v>
      </c>
      <c r="BF830" s="19">
        <v>1.08205471655764</v>
      </c>
      <c r="BG830" s="19">
        <v>1.1147451935350099</v>
      </c>
      <c r="BH830" s="19">
        <v>1.14155285738084</v>
      </c>
      <c r="BI830" s="19">
        <v>1.16510412315488</v>
      </c>
      <c r="BJ830" s="19">
        <v>1.1868017585134201</v>
      </c>
      <c r="BK830" s="18"/>
      <c r="BL830" s="18"/>
      <c r="BM830" s="19">
        <v>0.92298563792976196</v>
      </c>
      <c r="BN830" s="19">
        <v>0.99925988057456305</v>
      </c>
      <c r="BO830" s="19">
        <v>1.07758880682797</v>
      </c>
      <c r="BP830" s="19">
        <v>1.1281685475293699</v>
      </c>
      <c r="BQ830" s="19">
        <v>1.14934180124087</v>
      </c>
      <c r="BR830" s="19">
        <v>1.1612107577997699</v>
      </c>
      <c r="BS830" s="19">
        <v>1.1670414214284801</v>
      </c>
      <c r="BT830" s="19">
        <v>1.1695946983687999</v>
      </c>
      <c r="BU830" s="19">
        <v>1.17027334053263</v>
      </c>
    </row>
    <row r="831" spans="3:73" x14ac:dyDescent="0.45">
      <c r="C831" t="s">
        <v>328</v>
      </c>
      <c r="D831" t="s">
        <v>326</v>
      </c>
      <c r="E831" t="s">
        <v>311</v>
      </c>
      <c r="J831" s="7"/>
      <c r="K831" s="7"/>
      <c r="L831" s="7">
        <v>22</v>
      </c>
      <c r="M831" s="7"/>
      <c r="N831" s="7"/>
      <c r="O831" s="7"/>
      <c r="P831" s="7"/>
      <c r="Q831" s="7"/>
      <c r="R831" s="7">
        <v>22</v>
      </c>
      <c r="S831" s="7"/>
      <c r="T831" s="7"/>
      <c r="U831" s="7"/>
      <c r="V831" s="7"/>
      <c r="AR831" s="15" t="s">
        <v>328</v>
      </c>
      <c r="AS831" s="15" t="s">
        <v>369</v>
      </c>
      <c r="AT831" s="15"/>
      <c r="AU831" s="15"/>
      <c r="AV831" s="15" t="s">
        <v>445</v>
      </c>
      <c r="AW831" s="15"/>
      <c r="AX831" s="15"/>
      <c r="AY831" s="15"/>
      <c r="AZ831" s="18"/>
      <c r="BA831" s="18"/>
      <c r="BB831" s="19">
        <v>0.49730847398832101</v>
      </c>
      <c r="BC831" s="19">
        <v>0.51832069529714297</v>
      </c>
      <c r="BD831" s="19">
        <v>0.538137714568374</v>
      </c>
      <c r="BE831" s="19">
        <v>0.56501394931959803</v>
      </c>
      <c r="BF831" s="19">
        <v>0.58752212514160596</v>
      </c>
      <c r="BG831" s="19">
        <v>0.60527203945900898</v>
      </c>
      <c r="BH831" s="19">
        <v>0.61982776884290702</v>
      </c>
      <c r="BI831" s="19">
        <v>0.63261537514932298</v>
      </c>
      <c r="BJ831" s="19">
        <v>0.64439651767504602</v>
      </c>
      <c r="BK831" s="18"/>
      <c r="BL831" s="18"/>
      <c r="BM831" s="19">
        <v>0.50115255279957005</v>
      </c>
      <c r="BN831" s="19">
        <v>0.54256709907575396</v>
      </c>
      <c r="BO831" s="19">
        <v>0.58509727477598805</v>
      </c>
      <c r="BP831" s="19">
        <v>0.612560504029807</v>
      </c>
      <c r="BQ831" s="19">
        <v>0.62405692359749498</v>
      </c>
      <c r="BR831" s="19">
        <v>0.63050139860785304</v>
      </c>
      <c r="BS831" s="19">
        <v>0.63366726797999096</v>
      </c>
      <c r="BT831" s="19">
        <v>0.63505361810729499</v>
      </c>
      <c r="BU831" s="19">
        <v>0.63542209973785102</v>
      </c>
    </row>
    <row r="832" spans="3:73" x14ac:dyDescent="0.45">
      <c r="C832" t="s">
        <v>328</v>
      </c>
      <c r="D832" t="s">
        <v>326</v>
      </c>
      <c r="E832" t="s">
        <v>312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328</v>
      </c>
      <c r="AS832" s="15" t="s">
        <v>369</v>
      </c>
      <c r="AT832" s="15"/>
      <c r="AU832" s="15"/>
      <c r="AV832" s="15" t="s">
        <v>446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328</v>
      </c>
      <c r="D833" t="s">
        <v>326</v>
      </c>
      <c r="E833" t="s">
        <v>313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328</v>
      </c>
      <c r="AS833" s="15" t="s">
        <v>369</v>
      </c>
      <c r="AT833" s="15"/>
      <c r="AU833" s="15"/>
      <c r="AV833" s="15" t="s">
        <v>447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328</v>
      </c>
      <c r="D834" t="s">
        <v>326</v>
      </c>
      <c r="E834" t="s">
        <v>314</v>
      </c>
      <c r="J834" s="7"/>
      <c r="K834" s="7"/>
      <c r="L834" s="7">
        <v>15</v>
      </c>
      <c r="M834" s="7"/>
      <c r="N834" s="7"/>
      <c r="O834" s="7"/>
      <c r="P834" s="7"/>
      <c r="Q834" s="7"/>
      <c r="R834" s="7">
        <v>15</v>
      </c>
      <c r="S834" s="7"/>
      <c r="T834" s="7"/>
      <c r="U834" s="7"/>
      <c r="V834" s="7"/>
      <c r="AR834" s="15" t="s">
        <v>328</v>
      </c>
      <c r="AS834" s="15" t="s">
        <v>369</v>
      </c>
      <c r="AT834" s="15"/>
      <c r="AU834" s="15"/>
      <c r="AV834" s="15" t="s">
        <v>448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328</v>
      </c>
      <c r="D835" t="s">
        <v>326</v>
      </c>
      <c r="E835" t="s">
        <v>315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328</v>
      </c>
      <c r="AS835" s="15" t="s">
        <v>369</v>
      </c>
      <c r="AT835" s="15"/>
      <c r="AU835" s="15"/>
      <c r="AV835" s="15" t="s">
        <v>449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328</v>
      </c>
      <c r="D836" t="s">
        <v>326</v>
      </c>
      <c r="E836" t="s">
        <v>316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328</v>
      </c>
      <c r="AS836" s="15" t="s">
        <v>369</v>
      </c>
      <c r="AT836" s="15"/>
      <c r="AU836" s="15"/>
      <c r="AV836" s="15" t="s">
        <v>450</v>
      </c>
      <c r="AW836" s="15"/>
      <c r="AX836" s="15"/>
      <c r="AY836" s="15"/>
      <c r="AZ836" s="18"/>
      <c r="BA836" s="18"/>
      <c r="BB836" s="19">
        <v>0</v>
      </c>
      <c r="BC836" s="19">
        <v>0</v>
      </c>
      <c r="BD836" s="19">
        <v>0</v>
      </c>
      <c r="BE836" s="19">
        <v>0</v>
      </c>
      <c r="BF836" s="19">
        <v>0</v>
      </c>
      <c r="BG836" s="19">
        <v>0</v>
      </c>
      <c r="BH836" s="19">
        <v>0</v>
      </c>
      <c r="BI836" s="19">
        <v>0</v>
      </c>
      <c r="BJ836" s="19">
        <v>0</v>
      </c>
      <c r="BK836" s="18"/>
      <c r="BL836" s="18"/>
      <c r="BM836" s="19">
        <v>0</v>
      </c>
      <c r="BN836" s="19">
        <v>0</v>
      </c>
      <c r="BO836" s="19">
        <v>0</v>
      </c>
      <c r="BP836" s="19">
        <v>0</v>
      </c>
      <c r="BQ836" s="19">
        <v>0</v>
      </c>
      <c r="BR836" s="19">
        <v>0</v>
      </c>
      <c r="BS836" s="19">
        <v>0</v>
      </c>
      <c r="BT836" s="19">
        <v>0</v>
      </c>
      <c r="BU836" s="19">
        <v>0</v>
      </c>
    </row>
    <row r="837" spans="3:73" x14ac:dyDescent="0.45">
      <c r="C837" t="s">
        <v>328</v>
      </c>
      <c r="D837" t="s">
        <v>326</v>
      </c>
      <c r="E837" t="s">
        <v>317</v>
      </c>
      <c r="J837" s="7"/>
      <c r="K837" s="7"/>
      <c r="L837" s="7">
        <v>22</v>
      </c>
      <c r="M837" s="7"/>
      <c r="N837" s="7"/>
      <c r="O837" s="7"/>
      <c r="P837" s="7"/>
      <c r="Q837" s="7"/>
      <c r="R837" s="7">
        <v>22</v>
      </c>
      <c r="S837" s="7"/>
      <c r="T837" s="7"/>
      <c r="U837" s="7"/>
      <c r="V837" s="7"/>
      <c r="AR837" s="15" t="s">
        <v>328</v>
      </c>
      <c r="AS837" s="15" t="s">
        <v>369</v>
      </c>
      <c r="AT837" s="15"/>
      <c r="AU837" s="15"/>
      <c r="AV837" s="15" t="s">
        <v>451</v>
      </c>
      <c r="AW837" s="15"/>
      <c r="AX837" s="15"/>
      <c r="AY837" s="15"/>
      <c r="AZ837" s="18"/>
      <c r="BA837" s="18"/>
      <c r="BB837" s="19">
        <v>0.35688399999999998</v>
      </c>
      <c r="BC837" s="19">
        <v>0.36769800000000002</v>
      </c>
      <c r="BD837" s="19">
        <v>0.37884000000000001</v>
      </c>
      <c r="BE837" s="19">
        <v>0.40796900000000003</v>
      </c>
      <c r="BF837" s="19">
        <v>0.43933800000000001</v>
      </c>
      <c r="BG837" s="19">
        <v>0.48007699999999998</v>
      </c>
      <c r="BH837" s="19">
        <v>0.52459299999999998</v>
      </c>
      <c r="BI837" s="19">
        <v>0.573237</v>
      </c>
      <c r="BJ837" s="19">
        <v>0.62639100000000003</v>
      </c>
      <c r="BK837" s="18"/>
      <c r="BL837" s="18"/>
      <c r="BM837" s="19">
        <v>0.38964721240617001</v>
      </c>
      <c r="BN837" s="19">
        <v>0.43830668316423299</v>
      </c>
      <c r="BO837" s="19">
        <v>0.493023586570981</v>
      </c>
      <c r="BP837" s="19">
        <v>0.53093968621628296</v>
      </c>
      <c r="BQ837" s="19">
        <v>0.57174163820836399</v>
      </c>
      <c r="BR837" s="19">
        <v>0.58037062245318805</v>
      </c>
      <c r="BS837" s="19">
        <v>0.58911389788006296</v>
      </c>
      <c r="BT837" s="19">
        <v>0.59800003728450102</v>
      </c>
      <c r="BU837" s="19">
        <v>0.60702904066650198</v>
      </c>
    </row>
    <row r="838" spans="3:73" x14ac:dyDescent="0.45">
      <c r="C838" t="s">
        <v>328</v>
      </c>
      <c r="D838" t="s">
        <v>327</v>
      </c>
      <c r="E838" t="s">
        <v>251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328</v>
      </c>
      <c r="AS838" s="15" t="s">
        <v>369</v>
      </c>
      <c r="AT838" s="15"/>
      <c r="AU838" s="15"/>
      <c r="AV838" s="15" t="s">
        <v>452</v>
      </c>
      <c r="AW838" s="15"/>
      <c r="AX838" s="15"/>
      <c r="AY838" s="15"/>
      <c r="AZ838" s="18"/>
      <c r="BA838" s="18"/>
      <c r="BB838" s="19">
        <v>0.15939999999999999</v>
      </c>
      <c r="BC838" s="19">
        <v>0.16420000000000001</v>
      </c>
      <c r="BD838" s="19">
        <v>0.16919999999999999</v>
      </c>
      <c r="BE838" s="19">
        <v>0.1822</v>
      </c>
      <c r="BF838" s="19">
        <v>0.19620000000000001</v>
      </c>
      <c r="BG838" s="19">
        <v>0.21440000000000001</v>
      </c>
      <c r="BH838" s="19">
        <v>0.23430000000000001</v>
      </c>
      <c r="BI838" s="19">
        <v>0.25600000000000001</v>
      </c>
      <c r="BJ838" s="19">
        <v>0.27979999999999999</v>
      </c>
      <c r="BK838" s="18"/>
      <c r="BL838" s="18"/>
      <c r="BM838" s="19">
        <v>0.17399999999999999</v>
      </c>
      <c r="BN838" s="19">
        <v>0.1958</v>
      </c>
      <c r="BO838" s="19">
        <v>0.22020000000000001</v>
      </c>
      <c r="BP838" s="19">
        <v>0.23710000000000001</v>
      </c>
      <c r="BQ838" s="19">
        <v>0.25540000000000002</v>
      </c>
      <c r="BR838" s="19">
        <v>0.25919999999999999</v>
      </c>
      <c r="BS838" s="19">
        <v>0.2631</v>
      </c>
      <c r="BT838" s="19">
        <v>0.2671</v>
      </c>
      <c r="BU838" s="19">
        <v>0.27110000000000001</v>
      </c>
    </row>
    <row r="839" spans="3:73" x14ac:dyDescent="0.45">
      <c r="C839" t="s">
        <v>328</v>
      </c>
      <c r="D839" t="s">
        <v>327</v>
      </c>
      <c r="E839" t="s">
        <v>253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328</v>
      </c>
      <c r="AS839" s="15" t="s">
        <v>369</v>
      </c>
      <c r="AT839" s="15"/>
      <c r="AU839" s="15"/>
      <c r="AV839" s="15" t="s">
        <v>453</v>
      </c>
      <c r="AW839" s="15"/>
      <c r="AX839" s="15"/>
      <c r="AY839" s="15"/>
      <c r="AZ839" s="18"/>
      <c r="BA839" s="18"/>
      <c r="BB839" s="19">
        <v>6.5846770900000004E-2</v>
      </c>
      <c r="BC839" s="19">
        <v>6.5283598900000003E-2</v>
      </c>
      <c r="BD839" s="19">
        <v>6.4808207699999995E-2</v>
      </c>
      <c r="BE839" s="19">
        <v>6.4115611899999994E-2</v>
      </c>
      <c r="BF839" s="19">
        <v>6.3212751999999997E-2</v>
      </c>
      <c r="BG839" s="19">
        <v>6.2322649399999999E-2</v>
      </c>
      <c r="BH839" s="19">
        <v>6.1445039700000002E-2</v>
      </c>
      <c r="BI839" s="19">
        <v>6.0579790699999997E-2</v>
      </c>
      <c r="BJ839" s="19">
        <v>5.97267041E-2</v>
      </c>
      <c r="BK839" s="18"/>
      <c r="BL839" s="18"/>
      <c r="BM839" s="19">
        <v>6.5743192199999995E-2</v>
      </c>
      <c r="BN839" s="19">
        <v>6.6081492000000006E-2</v>
      </c>
      <c r="BO839" s="19">
        <v>6.4340417999999996E-2</v>
      </c>
      <c r="BP839" s="19">
        <v>6.2644953000000003E-2</v>
      </c>
      <c r="BQ839" s="19">
        <v>6.1758552000000001E-2</v>
      </c>
      <c r="BR839" s="19">
        <v>6.1644198999999997E-2</v>
      </c>
      <c r="BS839" s="19">
        <v>6.1530506999999998E-2</v>
      </c>
      <c r="BT839" s="19">
        <v>6.1417475999999999E-2</v>
      </c>
      <c r="BU839" s="19">
        <v>6.1303784E-2</v>
      </c>
    </row>
    <row r="840" spans="3:73" x14ac:dyDescent="0.45">
      <c r="C840" t="s">
        <v>328</v>
      </c>
      <c r="D840" t="s">
        <v>327</v>
      </c>
      <c r="E840" t="s">
        <v>254</v>
      </c>
      <c r="J840" s="7">
        <v>31.536000000000001</v>
      </c>
      <c r="K840" s="7"/>
      <c r="L840" s="7"/>
      <c r="M840" s="7"/>
      <c r="N840" s="7"/>
      <c r="O840" s="7"/>
      <c r="P840" s="7"/>
      <c r="Q840" s="7">
        <v>31.536000000000001</v>
      </c>
      <c r="R840" s="7"/>
      <c r="S840" s="7"/>
      <c r="T840" s="7"/>
      <c r="U840" s="7"/>
      <c r="V840" s="7"/>
      <c r="AR840" s="15" t="s">
        <v>328</v>
      </c>
      <c r="AS840" s="15" t="s">
        <v>369</v>
      </c>
      <c r="AT840" s="15"/>
      <c r="AU840" s="15"/>
      <c r="AV840" s="15" t="s">
        <v>454</v>
      </c>
      <c r="AW840" s="15"/>
      <c r="AX840" s="15"/>
      <c r="AY840" s="15"/>
      <c r="AZ840" s="18"/>
      <c r="BA840" s="18"/>
      <c r="BB840" s="19">
        <v>4.9111131699999998E-2</v>
      </c>
      <c r="BC840" s="19">
        <v>4.8691095699999999E-2</v>
      </c>
      <c r="BD840" s="19">
        <v>4.8336530099999997E-2</v>
      </c>
      <c r="BE840" s="19">
        <v>4.7819964700000002E-2</v>
      </c>
      <c r="BF840" s="19">
        <v>4.7146576000000003E-2</v>
      </c>
      <c r="BG840" s="19">
        <v>4.6482702200000003E-2</v>
      </c>
      <c r="BH840" s="19">
        <v>4.5828146100000001E-2</v>
      </c>
      <c r="BI840" s="19">
        <v>4.5182809099999999E-2</v>
      </c>
      <c r="BJ840" s="19">
        <v>4.4546543299999998E-2</v>
      </c>
      <c r="BK840" s="18"/>
      <c r="BL840" s="18"/>
      <c r="BM840" s="19">
        <v>4.9033878599999997E-2</v>
      </c>
      <c r="BN840" s="19">
        <v>4.9286195999999997E-2</v>
      </c>
      <c r="BO840" s="19">
        <v>4.7987634000000001E-2</v>
      </c>
      <c r="BP840" s="19">
        <v>4.6723089000000002E-2</v>
      </c>
      <c r="BQ840" s="19">
        <v>4.6061975999999998E-2</v>
      </c>
      <c r="BR840" s="19">
        <v>4.5976687000000002E-2</v>
      </c>
      <c r="BS840" s="19">
        <v>4.5891890999999997E-2</v>
      </c>
      <c r="BT840" s="19">
        <v>4.5807588000000003E-2</v>
      </c>
      <c r="BU840" s="19">
        <v>4.5722791999999998E-2</v>
      </c>
    </row>
    <row r="841" spans="3:73" x14ac:dyDescent="0.45">
      <c r="C841" t="s">
        <v>328</v>
      </c>
      <c r="D841" t="s">
        <v>327</v>
      </c>
      <c r="E841" t="s">
        <v>255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328</v>
      </c>
      <c r="AS841" s="15" t="s">
        <v>369</v>
      </c>
      <c r="AT841" s="15"/>
      <c r="AU841" s="15"/>
      <c r="AV841" s="15" t="s">
        <v>455</v>
      </c>
      <c r="AW841" s="15"/>
      <c r="AX841" s="15"/>
      <c r="AY841" s="15"/>
      <c r="AZ841" s="18"/>
      <c r="BA841" s="18"/>
      <c r="BB841" s="19">
        <v>2.7370739444000001</v>
      </c>
      <c r="BC841" s="19">
        <v>2.7136643924000001</v>
      </c>
      <c r="BD841" s="19">
        <v>2.6939036532</v>
      </c>
      <c r="BE841" s="19">
        <v>2.6651143004</v>
      </c>
      <c r="BF841" s="19">
        <v>2.6275848320000001</v>
      </c>
      <c r="BG841" s="19">
        <v>2.5905856504</v>
      </c>
      <c r="BH841" s="19">
        <v>2.5541057652000001</v>
      </c>
      <c r="BI841" s="19">
        <v>2.5181396812000001</v>
      </c>
      <c r="BJ841" s="19">
        <v>2.4826791556000001</v>
      </c>
      <c r="BK841" s="18"/>
      <c r="BL841" s="18"/>
      <c r="BM841" s="19">
        <v>2.7327684552</v>
      </c>
      <c r="BN841" s="19">
        <v>2.7468306720000002</v>
      </c>
      <c r="BO841" s="19">
        <v>2.6744588880000002</v>
      </c>
      <c r="BP841" s="19">
        <v>2.6039829480000001</v>
      </c>
      <c r="BQ841" s="19">
        <v>2.5671376320000001</v>
      </c>
      <c r="BR841" s="19">
        <v>2.5623842840000002</v>
      </c>
      <c r="BS841" s="19">
        <v>2.5576584119999999</v>
      </c>
      <c r="BT841" s="19">
        <v>2.5529600160000001</v>
      </c>
      <c r="BU841" s="19">
        <v>2.5482341439999998</v>
      </c>
    </row>
    <row r="842" spans="3:73" x14ac:dyDescent="0.45">
      <c r="C842" t="s">
        <v>328</v>
      </c>
      <c r="D842" t="s">
        <v>327</v>
      </c>
      <c r="E842" t="s">
        <v>256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328</v>
      </c>
      <c r="AS842" s="15" t="s">
        <v>369</v>
      </c>
      <c r="AT842" s="15"/>
      <c r="AU842" s="15"/>
      <c r="AV842" s="15" t="s">
        <v>456</v>
      </c>
      <c r="AW842" s="15"/>
      <c r="AX842" s="15"/>
      <c r="AY842" s="15"/>
      <c r="AZ842" s="18"/>
      <c r="BA842" s="18"/>
      <c r="BB842" s="19">
        <v>15.108695989199999</v>
      </c>
      <c r="BC842" s="19">
        <v>14.979474853199999</v>
      </c>
      <c r="BD842" s="19">
        <v>14.8703952276</v>
      </c>
      <c r="BE842" s="19">
        <v>14.711477497200001</v>
      </c>
      <c r="BF842" s="19">
        <v>14.504314175999999</v>
      </c>
      <c r="BG842" s="19">
        <v>14.3000780472</v>
      </c>
      <c r="BH842" s="19">
        <v>14.0987084436</v>
      </c>
      <c r="BI842" s="19">
        <v>13.9001750316</v>
      </c>
      <c r="BJ842" s="19">
        <v>13.7044323108</v>
      </c>
      <c r="BK842" s="18"/>
      <c r="BL842" s="18"/>
      <c r="BM842" s="19">
        <v>15.0849296136</v>
      </c>
      <c r="BN842" s="19">
        <v>15.162553296</v>
      </c>
      <c r="BO842" s="19">
        <v>14.763059783999999</v>
      </c>
      <c r="BP842" s="19">
        <v>14.374031364</v>
      </c>
      <c r="BQ842" s="19">
        <v>14.170644576000001</v>
      </c>
      <c r="BR842" s="19">
        <v>14.144406011999999</v>
      </c>
      <c r="BS842" s="19">
        <v>14.118319116</v>
      </c>
      <c r="BT842" s="19">
        <v>14.092383888000001</v>
      </c>
      <c r="BU842" s="19">
        <v>14.066296992</v>
      </c>
    </row>
    <row r="843" spans="3:73" x14ac:dyDescent="0.45">
      <c r="C843" t="s">
        <v>328</v>
      </c>
      <c r="D843" t="s">
        <v>327</v>
      </c>
      <c r="E843" t="s">
        <v>257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328</v>
      </c>
      <c r="AS843" s="15" t="s">
        <v>369</v>
      </c>
      <c r="AT843" s="15"/>
      <c r="AU843" s="15"/>
      <c r="AV843" s="15" t="s">
        <v>457</v>
      </c>
      <c r="AW843" s="15"/>
      <c r="AX843" s="15"/>
      <c r="AY843" s="15"/>
      <c r="AZ843" s="18"/>
      <c r="BA843" s="18"/>
      <c r="BB843" s="19">
        <v>0.73188536429999995</v>
      </c>
      <c r="BC843" s="19">
        <v>0.72562572030000005</v>
      </c>
      <c r="BD843" s="19">
        <v>0.72034175789999999</v>
      </c>
      <c r="BE843" s="19">
        <v>0.7126435713</v>
      </c>
      <c r="BF843" s="19">
        <v>0.70260830399999996</v>
      </c>
      <c r="BG843" s="19">
        <v>0.69271483379999998</v>
      </c>
      <c r="BH843" s="19">
        <v>0.68296022190000005</v>
      </c>
      <c r="BI843" s="19">
        <v>0.67334299890000004</v>
      </c>
      <c r="BJ843" s="19">
        <v>0.6638609607</v>
      </c>
      <c r="BK843" s="18"/>
      <c r="BL843" s="18"/>
      <c r="BM843" s="19">
        <v>0.73073408939999995</v>
      </c>
      <c r="BN843" s="19">
        <v>0.73449428400000005</v>
      </c>
      <c r="BO843" s="19">
        <v>0.71514228599999996</v>
      </c>
      <c r="BP843" s="19">
        <v>0.69629723099999996</v>
      </c>
      <c r="BQ843" s="19">
        <v>0.68644490400000002</v>
      </c>
      <c r="BR843" s="19">
        <v>0.68517387299999999</v>
      </c>
      <c r="BS843" s="19">
        <v>0.683910189</v>
      </c>
      <c r="BT843" s="19">
        <v>0.68265385199999995</v>
      </c>
      <c r="BU843" s="19">
        <v>0.68139016799999996</v>
      </c>
    </row>
    <row r="844" spans="3:73" x14ac:dyDescent="0.45">
      <c r="C844" t="s">
        <v>328</v>
      </c>
      <c r="D844" t="s">
        <v>327</v>
      </c>
      <c r="E844" t="s">
        <v>258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328</v>
      </c>
      <c r="AS844" s="15" t="s">
        <v>369</v>
      </c>
      <c r="AT844" s="15"/>
      <c r="AU844" s="15"/>
      <c r="AV844" s="15" t="s">
        <v>458</v>
      </c>
      <c r="AW844" s="15"/>
      <c r="AX844" s="15"/>
      <c r="AY844" s="15"/>
      <c r="AZ844" s="18"/>
      <c r="BA844" s="18"/>
      <c r="BB844" s="19">
        <v>0.2879924579</v>
      </c>
      <c r="BC844" s="19">
        <v>0.28552932590000002</v>
      </c>
      <c r="BD844" s="19">
        <v>0.28345011869999998</v>
      </c>
      <c r="BE844" s="19">
        <v>0.28042092889999998</v>
      </c>
      <c r="BF844" s="19">
        <v>0.27647211199999999</v>
      </c>
      <c r="BG844" s="19">
        <v>0.27257909139999997</v>
      </c>
      <c r="BH844" s="19">
        <v>0.2687407107</v>
      </c>
      <c r="BI844" s="19">
        <v>0.26495639170000002</v>
      </c>
      <c r="BJ844" s="19">
        <v>0.26122526709999999</v>
      </c>
      <c r="BK844" s="18"/>
      <c r="BL844" s="18"/>
      <c r="BM844" s="19">
        <v>0.2875394382</v>
      </c>
      <c r="BN844" s="19">
        <v>0.289019052</v>
      </c>
      <c r="BO844" s="19">
        <v>0.28140415800000002</v>
      </c>
      <c r="BP844" s="19">
        <v>0.27398874299999998</v>
      </c>
      <c r="BQ844" s="19">
        <v>0.27011191200000001</v>
      </c>
      <c r="BR844" s="19">
        <v>0.269611769</v>
      </c>
      <c r="BS844" s="19">
        <v>0.269114517</v>
      </c>
      <c r="BT844" s="19">
        <v>0.268620156</v>
      </c>
      <c r="BU844" s="19">
        <v>0.268122904</v>
      </c>
    </row>
    <row r="845" spans="3:73" x14ac:dyDescent="0.45">
      <c r="C845" t="s">
        <v>328</v>
      </c>
      <c r="D845" t="s">
        <v>327</v>
      </c>
      <c r="E845" t="s">
        <v>259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328</v>
      </c>
      <c r="AS845" s="15" t="s">
        <v>369</v>
      </c>
      <c r="AT845" s="15"/>
      <c r="AU845" s="15"/>
      <c r="AV845" s="15" t="s">
        <v>459</v>
      </c>
      <c r="AW845" s="15"/>
      <c r="AX845" s="15"/>
      <c r="AY845" s="15"/>
      <c r="AZ845" s="18"/>
      <c r="BA845" s="18"/>
      <c r="BB845" s="19">
        <v>0.19365525359999999</v>
      </c>
      <c r="BC845" s="19">
        <v>0.19199896559999999</v>
      </c>
      <c r="BD845" s="19">
        <v>0.1906008408</v>
      </c>
      <c r="BE845" s="19">
        <v>0.18856391759999999</v>
      </c>
      <c r="BF845" s="19">
        <v>0.185908608</v>
      </c>
      <c r="BG845" s="19">
        <v>0.18329081759999999</v>
      </c>
      <c r="BH845" s="19">
        <v>0.1807097688</v>
      </c>
      <c r="BI845" s="19">
        <v>0.17816507279999999</v>
      </c>
      <c r="BJ845" s="19">
        <v>0.17565614639999999</v>
      </c>
      <c r="BK845" s="18"/>
      <c r="BL845" s="18"/>
      <c r="BM845" s="19">
        <v>0.19335062880000001</v>
      </c>
      <c r="BN845" s="19">
        <v>0.194345568</v>
      </c>
      <c r="BO845" s="19">
        <v>0.18922507199999999</v>
      </c>
      <c r="BP845" s="19">
        <v>0.184238712</v>
      </c>
      <c r="BQ845" s="19">
        <v>0.18163180800000001</v>
      </c>
      <c r="BR845" s="19">
        <v>0.181295496</v>
      </c>
      <c r="BS845" s="19">
        <v>0.180961128</v>
      </c>
      <c r="BT845" s="19">
        <v>0.180628704</v>
      </c>
      <c r="BU845" s="19">
        <v>0.180294336</v>
      </c>
    </row>
    <row r="846" spans="3:73" x14ac:dyDescent="0.45">
      <c r="C846" t="s">
        <v>328</v>
      </c>
      <c r="D846" t="s">
        <v>327</v>
      </c>
      <c r="E846" t="s">
        <v>260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328</v>
      </c>
      <c r="AS846" s="15" t="s">
        <v>369</v>
      </c>
      <c r="AT846" s="15"/>
      <c r="AU846" s="15"/>
      <c r="AV846" s="15" t="s">
        <v>460</v>
      </c>
      <c r="AW846" s="15"/>
      <c r="AX846" s="15"/>
      <c r="AY846" s="15"/>
      <c r="AZ846" s="18"/>
      <c r="BA846" s="18"/>
      <c r="BB846" s="19">
        <v>0.59192361979999997</v>
      </c>
      <c r="BC846" s="19">
        <v>0.58686103580000004</v>
      </c>
      <c r="BD846" s="19">
        <v>0.58258754940000002</v>
      </c>
      <c r="BE846" s="19">
        <v>0.5763615218</v>
      </c>
      <c r="BF846" s="19">
        <v>0.56824534400000004</v>
      </c>
      <c r="BG846" s="19">
        <v>0.56024384679999994</v>
      </c>
      <c r="BH846" s="19">
        <v>0.55235465340000001</v>
      </c>
      <c r="BI846" s="19">
        <v>0.54457657540000004</v>
      </c>
      <c r="BJ846" s="19">
        <v>0.53690783019999999</v>
      </c>
      <c r="BK846" s="18"/>
      <c r="BL846" s="18"/>
      <c r="BM846" s="19">
        <v>0.59099250839999995</v>
      </c>
      <c r="BN846" s="19">
        <v>0.59403362400000004</v>
      </c>
      <c r="BO846" s="19">
        <v>0.57838239599999997</v>
      </c>
      <c r="BP846" s="19">
        <v>0.56314116599999997</v>
      </c>
      <c r="BQ846" s="19">
        <v>0.55517294399999995</v>
      </c>
      <c r="BR846" s="19">
        <v>0.55414497799999995</v>
      </c>
      <c r="BS846" s="19">
        <v>0.553122954</v>
      </c>
      <c r="BT846" s="19">
        <v>0.55210687199999997</v>
      </c>
      <c r="BU846" s="19">
        <v>0.55108484800000002</v>
      </c>
    </row>
    <row r="847" spans="3:73" x14ac:dyDescent="0.45">
      <c r="C847" t="s">
        <v>328</v>
      </c>
      <c r="D847" t="s">
        <v>327</v>
      </c>
      <c r="E847" t="s">
        <v>261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328</v>
      </c>
      <c r="AS847" s="15" t="s">
        <v>369</v>
      </c>
      <c r="AT847" s="15"/>
      <c r="AU847" s="15"/>
      <c r="AV847" s="15" t="s">
        <v>461</v>
      </c>
      <c r="AW847" s="15"/>
      <c r="AX847" s="15"/>
      <c r="AY847" s="15"/>
      <c r="AZ847" s="18"/>
      <c r="BA847" s="18"/>
      <c r="BB847" s="19">
        <v>0.60855964210000002</v>
      </c>
      <c r="BC847" s="19">
        <v>0.60335477410000005</v>
      </c>
      <c r="BD847" s="19">
        <v>0.59896118129999998</v>
      </c>
      <c r="BE847" s="19">
        <v>0.59256017110000003</v>
      </c>
      <c r="BF847" s="19">
        <v>0.58421588800000002</v>
      </c>
      <c r="BG847" s="19">
        <v>0.57598950859999998</v>
      </c>
      <c r="BH847" s="19">
        <v>0.56787858930000001</v>
      </c>
      <c r="BI847" s="19">
        <v>0.55988190829999995</v>
      </c>
      <c r="BJ847" s="19">
        <v>0.55199763290000003</v>
      </c>
      <c r="BK847" s="18"/>
      <c r="BL847" s="18"/>
      <c r="BM847" s="19">
        <v>0.60760236180000005</v>
      </c>
      <c r="BN847" s="19">
        <v>0.61072894799999999</v>
      </c>
      <c r="BO847" s="19">
        <v>0.59463784200000003</v>
      </c>
      <c r="BP847" s="19">
        <v>0.57896825699999999</v>
      </c>
      <c r="BQ847" s="19">
        <v>0.57077608800000001</v>
      </c>
      <c r="BR847" s="19">
        <v>0.56971923099999999</v>
      </c>
      <c r="BS847" s="19">
        <v>0.56866848299999995</v>
      </c>
      <c r="BT847" s="19">
        <v>0.56762384399999999</v>
      </c>
      <c r="BU847" s="19">
        <v>0.56657309600000005</v>
      </c>
    </row>
    <row r="848" spans="3:73" x14ac:dyDescent="0.45">
      <c r="C848" t="s">
        <v>328</v>
      </c>
      <c r="D848" t="s">
        <v>327</v>
      </c>
      <c r="E848" t="s">
        <v>262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328</v>
      </c>
      <c r="AS848" s="15" t="s">
        <v>369</v>
      </c>
      <c r="AT848" s="15"/>
      <c r="AU848" s="15"/>
      <c r="AV848" s="15" t="s">
        <v>462</v>
      </c>
      <c r="AW848" s="15"/>
      <c r="AX848" s="15"/>
      <c r="AY848" s="15"/>
      <c r="AZ848" s="18"/>
      <c r="BA848" s="18"/>
      <c r="BB848" s="19">
        <v>0.232107377</v>
      </c>
      <c r="BC848" s="19">
        <v>0.23012221699999999</v>
      </c>
      <c r="BD848" s="19">
        <v>0.22844648100000001</v>
      </c>
      <c r="BE848" s="19">
        <v>0.22600510700000001</v>
      </c>
      <c r="BF848" s="19">
        <v>0.22282256</v>
      </c>
      <c r="BG848" s="19">
        <v>0.219684982</v>
      </c>
      <c r="BH848" s="19">
        <v>0.216591441</v>
      </c>
      <c r="BI848" s="19">
        <v>0.21354147100000001</v>
      </c>
      <c r="BJ848" s="19">
        <v>0.210534373</v>
      </c>
      <c r="BK848" s="18"/>
      <c r="BL848" s="18"/>
      <c r="BM848" s="19">
        <v>0.231742266</v>
      </c>
      <c r="BN848" s="19">
        <v>0.23293475999999999</v>
      </c>
      <c r="BO848" s="19">
        <v>0.22679753999999999</v>
      </c>
      <c r="BP848" s="19">
        <v>0.22082109</v>
      </c>
      <c r="BQ848" s="19">
        <v>0.21769656000000001</v>
      </c>
      <c r="BR848" s="19">
        <v>0.21729346999999999</v>
      </c>
      <c r="BS848" s="19">
        <v>0.21689270999999999</v>
      </c>
      <c r="BT848" s="19">
        <v>0.21649428000000001</v>
      </c>
      <c r="BU848" s="19">
        <v>0.21609352000000001</v>
      </c>
    </row>
    <row r="849" spans="3:73" x14ac:dyDescent="0.45">
      <c r="C849" t="s">
        <v>328</v>
      </c>
      <c r="D849" t="s">
        <v>327</v>
      </c>
      <c r="E849" t="s">
        <v>263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328</v>
      </c>
      <c r="AS849" s="15" t="s">
        <v>369</v>
      </c>
      <c r="AT849" s="15"/>
      <c r="AU849" s="15"/>
      <c r="AV849" s="15" t="s">
        <v>463</v>
      </c>
      <c r="AW849" s="15"/>
      <c r="AX849" s="15"/>
      <c r="AY849" s="15"/>
      <c r="AZ849" s="18"/>
      <c r="BA849" s="18"/>
      <c r="BB849" s="19">
        <v>0.276934982</v>
      </c>
      <c r="BC849" s="19">
        <v>0.27456642199999998</v>
      </c>
      <c r="BD849" s="19">
        <v>0.27256704599999998</v>
      </c>
      <c r="BE849" s="19">
        <v>0.26965416199999998</v>
      </c>
      <c r="BF849" s="19">
        <v>0.26585695999999998</v>
      </c>
      <c r="BG849" s="19">
        <v>0.26211341199999999</v>
      </c>
      <c r="BH849" s="19">
        <v>0.25842240599999999</v>
      </c>
      <c r="BI849" s="19">
        <v>0.254783386</v>
      </c>
      <c r="BJ849" s="19">
        <v>0.25119551800000001</v>
      </c>
      <c r="BK849" s="18"/>
      <c r="BL849" s="18"/>
      <c r="BM849" s="19">
        <v>0.27649935599999997</v>
      </c>
      <c r="BN849" s="19">
        <v>0.27792215999999997</v>
      </c>
      <c r="BO849" s="19">
        <v>0.27059963999999997</v>
      </c>
      <c r="BP849" s="19">
        <v>0.26346893999999998</v>
      </c>
      <c r="BQ849" s="19">
        <v>0.25974096000000002</v>
      </c>
      <c r="BR849" s="19">
        <v>0.25926001999999998</v>
      </c>
      <c r="BS849" s="19">
        <v>0.25878185999999997</v>
      </c>
      <c r="BT849" s="19">
        <v>0.25830648</v>
      </c>
      <c r="BU849" s="19">
        <v>0.25782832</v>
      </c>
    </row>
    <row r="850" spans="3:73" x14ac:dyDescent="0.45">
      <c r="C850" t="s">
        <v>328</v>
      </c>
      <c r="D850" t="s">
        <v>327</v>
      </c>
      <c r="E850" t="s">
        <v>264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328</v>
      </c>
      <c r="AS850" s="15" t="s">
        <v>369</v>
      </c>
      <c r="AT850" s="15"/>
      <c r="AU850" s="15"/>
      <c r="AV850" s="15" t="s">
        <v>464</v>
      </c>
      <c r="AW850" s="15"/>
      <c r="AX850" s="15"/>
      <c r="AY850" s="15"/>
      <c r="AZ850" s="18"/>
      <c r="BA850" s="18"/>
      <c r="BB850" s="19">
        <v>0.1457038584</v>
      </c>
      <c r="BC850" s="19">
        <v>0.15462210016494701</v>
      </c>
      <c r="BD850" s="19">
        <v>0.16408620967184301</v>
      </c>
      <c r="BE850" s="19">
        <v>0.17670290088739199</v>
      </c>
      <c r="BF850" s="19">
        <v>0.19028969737593701</v>
      </c>
      <c r="BG850" s="19">
        <v>0.20793469014451499</v>
      </c>
      <c r="BH850" s="19">
        <v>0.227215850157546</v>
      </c>
      <c r="BI850" s="19">
        <v>0.248284894295105</v>
      </c>
      <c r="BJ850" s="19">
        <v>0.271307607688407</v>
      </c>
      <c r="BK850" s="18"/>
      <c r="BL850" s="18"/>
      <c r="BM850" s="19">
        <v>0.15444382719999999</v>
      </c>
      <c r="BN850" s="19">
        <v>0.174371</v>
      </c>
      <c r="BO850" s="19">
        <v>0.194966</v>
      </c>
      <c r="BP850" s="19">
        <v>0.21006900000000001</v>
      </c>
      <c r="BQ850" s="19">
        <v>0.226545</v>
      </c>
      <c r="BR850" s="19">
        <v>0.23341000000000001</v>
      </c>
      <c r="BS850" s="19">
        <v>0.24027499999999999</v>
      </c>
      <c r="BT850" s="19">
        <v>0.24851300000000001</v>
      </c>
      <c r="BU850" s="19">
        <v>0.25537799999999999</v>
      </c>
    </row>
    <row r="851" spans="3:73" x14ac:dyDescent="0.45">
      <c r="C851" t="s">
        <v>328</v>
      </c>
      <c r="D851" t="s">
        <v>327</v>
      </c>
      <c r="E851" t="s">
        <v>265</v>
      </c>
      <c r="J851" s="7">
        <v>1</v>
      </c>
      <c r="K851" s="7"/>
      <c r="L851" s="7"/>
      <c r="M851" s="7"/>
      <c r="N851" s="7"/>
      <c r="O851" s="7"/>
      <c r="P851" s="7"/>
      <c r="Q851" s="7">
        <v>1</v>
      </c>
      <c r="R851" s="7"/>
      <c r="S851" s="7"/>
      <c r="T851" s="7"/>
      <c r="U851" s="7"/>
      <c r="V851" s="7"/>
      <c r="AR851" s="15" t="s">
        <v>328</v>
      </c>
      <c r="AS851" s="15" t="s">
        <v>369</v>
      </c>
      <c r="AT851" s="15"/>
      <c r="AU851" s="15"/>
      <c r="AV851" s="15" t="s">
        <v>465</v>
      </c>
      <c r="AW851" s="15"/>
      <c r="AX851" s="15"/>
      <c r="AY851" s="15"/>
      <c r="AZ851" s="18"/>
      <c r="BA851" s="18"/>
      <c r="BB851" s="19">
        <v>2.13302808E-2</v>
      </c>
      <c r="BC851" s="19">
        <v>2.26358646272064E-2</v>
      </c>
      <c r="BD851" s="19">
        <v>2.4021360629308399E-2</v>
      </c>
      <c r="BE851" s="19">
        <v>2.5868378061446401E-2</v>
      </c>
      <c r="BF851" s="19">
        <v>2.7857413818327299E-2</v>
      </c>
      <c r="BG851" s="19">
        <v>3.04405482294593E-2</v>
      </c>
      <c r="BH851" s="19">
        <v>3.3263208945132398E-2</v>
      </c>
      <c r="BI851" s="19">
        <v>3.6347606520987598E-2</v>
      </c>
      <c r="BJ851" s="19">
        <v>3.9718011030859299E-2</v>
      </c>
      <c r="BK851" s="18"/>
      <c r="BL851" s="18"/>
      <c r="BM851" s="19">
        <v>2.2609766399999998E-2</v>
      </c>
      <c r="BN851" s="19">
        <v>2.5527000000000001E-2</v>
      </c>
      <c r="BO851" s="19">
        <v>2.8542000000000001E-2</v>
      </c>
      <c r="BP851" s="19">
        <v>3.0752999999999999E-2</v>
      </c>
      <c r="BQ851" s="19">
        <v>3.3165E-2</v>
      </c>
      <c r="BR851" s="19">
        <v>3.4169999999999999E-2</v>
      </c>
      <c r="BS851" s="19">
        <v>3.5174999999999998E-2</v>
      </c>
      <c r="BT851" s="19">
        <v>3.6380999999999997E-2</v>
      </c>
      <c r="BU851" s="19">
        <v>3.7386000000000003E-2</v>
      </c>
    </row>
    <row r="852" spans="3:73" x14ac:dyDescent="0.45">
      <c r="C852" t="s">
        <v>328</v>
      </c>
      <c r="D852" t="s">
        <v>327</v>
      </c>
      <c r="E852" t="s">
        <v>266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328</v>
      </c>
      <c r="AS852" s="15" t="s">
        <v>369</v>
      </c>
      <c r="AT852" s="15"/>
      <c r="AU852" s="15"/>
      <c r="AV852" s="15" t="s">
        <v>466</v>
      </c>
      <c r="AW852" s="15"/>
      <c r="AX852" s="15"/>
      <c r="AY852" s="15"/>
      <c r="AZ852" s="18"/>
      <c r="BA852" s="18"/>
      <c r="BB852" s="19">
        <v>8.0015083200000003E-2</v>
      </c>
      <c r="BC852" s="19">
        <v>8.4912646412505594E-2</v>
      </c>
      <c r="BD852" s="19">
        <v>9.0109979674122195E-2</v>
      </c>
      <c r="BE852" s="19">
        <v>9.7038592330002796E-2</v>
      </c>
      <c r="BF852" s="19">
        <v>0.104499950343377</v>
      </c>
      <c r="BG852" s="19">
        <v>0.114189917238867</v>
      </c>
      <c r="BH852" s="19">
        <v>0.12477840569467601</v>
      </c>
      <c r="BI852" s="19">
        <v>0.13634873291952601</v>
      </c>
      <c r="BJ852" s="19">
        <v>0.148991941876955</v>
      </c>
      <c r="BK852" s="18"/>
      <c r="BL852" s="18"/>
      <c r="BM852" s="19">
        <v>8.4814745600000005E-2</v>
      </c>
      <c r="BN852" s="19">
        <v>9.5757999999999996E-2</v>
      </c>
      <c r="BO852" s="19">
        <v>0.107068</v>
      </c>
      <c r="BP852" s="19">
        <v>0.11536200000000001</v>
      </c>
      <c r="BQ852" s="19">
        <v>0.12441000000000001</v>
      </c>
      <c r="BR852" s="19">
        <v>0.12817999999999999</v>
      </c>
      <c r="BS852" s="19">
        <v>0.13195000000000001</v>
      </c>
      <c r="BT852" s="19">
        <v>0.13647400000000001</v>
      </c>
      <c r="BU852" s="19">
        <v>0.14024400000000001</v>
      </c>
    </row>
    <row r="853" spans="3:73" x14ac:dyDescent="0.45">
      <c r="C853" t="s">
        <v>328</v>
      </c>
      <c r="D853" t="s">
        <v>327</v>
      </c>
      <c r="E853" t="s">
        <v>267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328</v>
      </c>
      <c r="AS853" s="15" t="s">
        <v>369</v>
      </c>
      <c r="AT853" s="15"/>
      <c r="AU853" s="15"/>
      <c r="AV853" s="15" t="s">
        <v>467</v>
      </c>
      <c r="AW853" s="15"/>
      <c r="AX853" s="15"/>
      <c r="AY853" s="15"/>
      <c r="AZ853" s="18"/>
      <c r="BA853" s="18"/>
      <c r="BB853" s="19">
        <v>0.36091684080000003</v>
      </c>
      <c r="BC853" s="19">
        <v>0.38300783879168598</v>
      </c>
      <c r="BD853" s="19">
        <v>0.40645098258844797</v>
      </c>
      <c r="BE853" s="19">
        <v>0.43770325267153798</v>
      </c>
      <c r="BF853" s="19">
        <v>0.47135852933398498</v>
      </c>
      <c r="BG853" s="19">
        <v>0.51506619168353796</v>
      </c>
      <c r="BH853" s="19">
        <v>0.56282673443977704</v>
      </c>
      <c r="BI853" s="19">
        <v>0.61501596904417399</v>
      </c>
      <c r="BJ853" s="19">
        <v>0.672044554805733</v>
      </c>
      <c r="BK853" s="18"/>
      <c r="BL853" s="18"/>
      <c r="BM853" s="19">
        <v>0.38256624639999998</v>
      </c>
      <c r="BN853" s="19">
        <v>0.43192700000000001</v>
      </c>
      <c r="BO853" s="19">
        <v>0.48294199999999998</v>
      </c>
      <c r="BP853" s="19">
        <v>0.52035299999999995</v>
      </c>
      <c r="BQ853" s="19">
        <v>0.56116500000000002</v>
      </c>
      <c r="BR853" s="19">
        <v>0.57816999999999996</v>
      </c>
      <c r="BS853" s="19">
        <v>0.59517500000000001</v>
      </c>
      <c r="BT853" s="19">
        <v>0.61558100000000004</v>
      </c>
      <c r="BU853" s="19">
        <v>0.63258599999999998</v>
      </c>
    </row>
    <row r="854" spans="3:73" x14ac:dyDescent="0.45">
      <c r="C854" t="s">
        <v>328</v>
      </c>
      <c r="D854" t="s">
        <v>327</v>
      </c>
      <c r="E854" t="s">
        <v>268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328</v>
      </c>
      <c r="AS854" s="15" t="s">
        <v>369</v>
      </c>
      <c r="AT854" s="15"/>
      <c r="AU854" s="15"/>
      <c r="AV854" s="15" t="s">
        <v>468</v>
      </c>
      <c r="AW854" s="15"/>
      <c r="AX854" s="15"/>
      <c r="AY854" s="15"/>
      <c r="AZ854" s="18"/>
      <c r="BA854" s="18"/>
      <c r="BB854" s="19">
        <v>0.22985765280000001</v>
      </c>
      <c r="BC854" s="19">
        <v>0.243926780012582</v>
      </c>
      <c r="BD854" s="19">
        <v>0.25885705036359202</v>
      </c>
      <c r="BE854" s="19">
        <v>0.27876073075170599</v>
      </c>
      <c r="BF854" s="19">
        <v>0.30019481756466099</v>
      </c>
      <c r="BG854" s="19">
        <v>0.32803098241297901</v>
      </c>
      <c r="BH854" s="19">
        <v>0.35844831131918697</v>
      </c>
      <c r="BI854" s="19">
        <v>0.39168614788288197</v>
      </c>
      <c r="BJ854" s="19">
        <v>0.428006029317618</v>
      </c>
      <c r="BK854" s="18"/>
      <c r="BL854" s="18"/>
      <c r="BM854" s="19">
        <v>0.2436455424</v>
      </c>
      <c r="BN854" s="19">
        <v>0.27508199999999999</v>
      </c>
      <c r="BO854" s="19">
        <v>0.30757200000000001</v>
      </c>
      <c r="BP854" s="19">
        <v>0.33139800000000003</v>
      </c>
      <c r="BQ854" s="19">
        <v>0.35738999999999999</v>
      </c>
      <c r="BR854" s="19">
        <v>0.36821999999999999</v>
      </c>
      <c r="BS854" s="19">
        <v>0.37905</v>
      </c>
      <c r="BT854" s="19">
        <v>0.39204600000000001</v>
      </c>
      <c r="BU854" s="19">
        <v>0.40287600000000001</v>
      </c>
    </row>
    <row r="855" spans="3:73" x14ac:dyDescent="0.45">
      <c r="C855" t="s">
        <v>328</v>
      </c>
      <c r="D855" t="s">
        <v>327</v>
      </c>
      <c r="E855" t="s">
        <v>269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328</v>
      </c>
      <c r="AS855" s="15" t="s">
        <v>369</v>
      </c>
      <c r="AT855" s="15"/>
      <c r="AU855" s="15"/>
      <c r="AV855" s="15" t="s">
        <v>469</v>
      </c>
      <c r="AW855" s="15"/>
      <c r="AX855" s="15"/>
      <c r="AY855" s="15"/>
      <c r="AZ855" s="18"/>
      <c r="BA855" s="18"/>
      <c r="BB855" s="19">
        <v>0.11768796719999999</v>
      </c>
      <c r="BC855" s="19">
        <v>0.124891412296378</v>
      </c>
      <c r="BD855" s="19">
        <v>0.13253576586021401</v>
      </c>
      <c r="BE855" s="19">
        <v>0.14272652373205999</v>
      </c>
      <c r="BF855" s="19">
        <v>0.153700855345895</v>
      </c>
      <c r="BG855" s="19">
        <v>0.16795307455955399</v>
      </c>
      <c r="BH855" s="19">
        <v>0.18352685930423801</v>
      </c>
      <c r="BI855" s="19">
        <v>0.200544754386942</v>
      </c>
      <c r="BJ855" s="19">
        <v>0.21914066782698</v>
      </c>
      <c r="BK855" s="18"/>
      <c r="BL855" s="18"/>
      <c r="BM855" s="19">
        <v>0.12474741759999999</v>
      </c>
      <c r="BN855" s="19">
        <v>0.140843</v>
      </c>
      <c r="BO855" s="19">
        <v>0.15747800000000001</v>
      </c>
      <c r="BP855" s="19">
        <v>0.16967699999999999</v>
      </c>
      <c r="BQ855" s="19">
        <v>0.18298500000000001</v>
      </c>
      <c r="BR855" s="19">
        <v>0.18853</v>
      </c>
      <c r="BS855" s="19">
        <v>0.194075</v>
      </c>
      <c r="BT855" s="19">
        <v>0.20072899999999999</v>
      </c>
      <c r="BU855" s="19">
        <v>0.20627400000000001</v>
      </c>
    </row>
    <row r="856" spans="3:73" x14ac:dyDescent="0.45">
      <c r="C856" t="s">
        <v>328</v>
      </c>
      <c r="D856" t="s">
        <v>327</v>
      </c>
      <c r="E856" t="s">
        <v>270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328</v>
      </c>
      <c r="AS856" s="15" t="s">
        <v>369</v>
      </c>
      <c r="AT856" s="15"/>
      <c r="AU856" s="15"/>
      <c r="AV856" s="15" t="s">
        <v>470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328</v>
      </c>
      <c r="D857" t="s">
        <v>327</v>
      </c>
      <c r="E857" t="s">
        <v>271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328</v>
      </c>
      <c r="AS857" s="15" t="s">
        <v>369</v>
      </c>
      <c r="AT857" s="15"/>
      <c r="AU857" s="15"/>
      <c r="AV857" s="15" t="s">
        <v>471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328</v>
      </c>
      <c r="D858" t="s">
        <v>327</v>
      </c>
      <c r="E858" t="s">
        <v>272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328</v>
      </c>
      <c r="AS858" s="15" t="s">
        <v>369</v>
      </c>
      <c r="AT858" s="15"/>
      <c r="AU858" s="15"/>
      <c r="AV858" s="15" t="s">
        <v>472</v>
      </c>
      <c r="AW858" s="15"/>
      <c r="AX858" s="15"/>
      <c r="AY858" s="15"/>
      <c r="AZ858" s="18"/>
      <c r="BA858" s="18"/>
      <c r="BB858" s="19">
        <v>0</v>
      </c>
      <c r="BC858" s="19">
        <v>0</v>
      </c>
      <c r="BD858" s="19">
        <v>0</v>
      </c>
      <c r="BE858" s="19">
        <v>0</v>
      </c>
      <c r="BF858" s="19">
        <v>0</v>
      </c>
      <c r="BG858" s="19">
        <v>0</v>
      </c>
      <c r="BH858" s="19">
        <v>0</v>
      </c>
      <c r="BI858" s="19">
        <v>0</v>
      </c>
      <c r="BJ858" s="19">
        <v>0</v>
      </c>
      <c r="BK858" s="18"/>
      <c r="BL858" s="18"/>
      <c r="BM858" s="19">
        <v>0</v>
      </c>
      <c r="BN858" s="19">
        <v>0</v>
      </c>
      <c r="BO858" s="19">
        <v>0</v>
      </c>
      <c r="BP858" s="19">
        <v>0</v>
      </c>
      <c r="BQ858" s="19">
        <v>0</v>
      </c>
      <c r="BR858" s="19">
        <v>0</v>
      </c>
      <c r="BS858" s="19">
        <v>0</v>
      </c>
      <c r="BT858" s="19">
        <v>0</v>
      </c>
      <c r="BU858" s="19">
        <v>0</v>
      </c>
    </row>
    <row r="859" spans="3:73" x14ac:dyDescent="0.45">
      <c r="C859" t="s">
        <v>328</v>
      </c>
      <c r="D859" t="s">
        <v>327</v>
      </c>
      <c r="E859" t="s">
        <v>273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328</v>
      </c>
      <c r="AS859" s="15" t="s">
        <v>369</v>
      </c>
      <c r="AT859" s="15"/>
      <c r="AU859" s="15"/>
      <c r="AV859" s="15" t="s">
        <v>473</v>
      </c>
      <c r="AW859" s="15"/>
      <c r="AX859" s="15"/>
      <c r="AY859" s="15"/>
      <c r="AZ859" s="18"/>
      <c r="BA859" s="18"/>
      <c r="BB859" s="19">
        <v>0.20295580320000001</v>
      </c>
      <c r="BC859" s="19">
        <v>0.20698514400000001</v>
      </c>
      <c r="BD859" s="19">
        <v>0.20051821919999999</v>
      </c>
      <c r="BE859" s="19">
        <v>0.19425336000000001</v>
      </c>
      <c r="BF859" s="19">
        <v>0.18553502399999999</v>
      </c>
      <c r="BG859" s="19">
        <v>0.17470583519999999</v>
      </c>
      <c r="BH859" s="19">
        <v>0.16450884960000001</v>
      </c>
      <c r="BI859" s="19">
        <v>0.15490691519999999</v>
      </c>
      <c r="BJ859" s="19">
        <v>0.14586556319999999</v>
      </c>
      <c r="BK859" s="18"/>
      <c r="BL859" s="18"/>
      <c r="BM859" s="19">
        <v>0.20295580320000001</v>
      </c>
      <c r="BN859" s="19">
        <v>0.20698617599999999</v>
      </c>
      <c r="BO859" s="19">
        <v>0.18941740800000001</v>
      </c>
      <c r="BP859" s="19">
        <v>0.17333884799999999</v>
      </c>
      <c r="BQ859" s="19">
        <v>0.16555963200000001</v>
      </c>
      <c r="BR859" s="19">
        <v>0.16497964800000001</v>
      </c>
      <c r="BS859" s="19">
        <v>0.16440379199999999</v>
      </c>
      <c r="BT859" s="19">
        <v>0.16382793600000001</v>
      </c>
      <c r="BU859" s="19">
        <v>0.16325414399999999</v>
      </c>
    </row>
    <row r="860" spans="3:73" x14ac:dyDescent="0.45">
      <c r="C860" t="s">
        <v>328</v>
      </c>
      <c r="D860" t="s">
        <v>327</v>
      </c>
      <c r="E860" t="s">
        <v>274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328</v>
      </c>
      <c r="AS860" s="15" t="s">
        <v>369</v>
      </c>
      <c r="AT860" s="15"/>
      <c r="AU860" s="15"/>
      <c r="AV860" s="15" t="s">
        <v>474</v>
      </c>
      <c r="AW860" s="15"/>
      <c r="AX860" s="15"/>
      <c r="AY860" s="15"/>
      <c r="AZ860" s="18"/>
      <c r="BA860" s="18"/>
      <c r="BB860" s="19">
        <v>1.3274725500000001E-2</v>
      </c>
      <c r="BC860" s="19">
        <v>1.35382725E-2</v>
      </c>
      <c r="BD860" s="19">
        <v>1.31152905E-2</v>
      </c>
      <c r="BE860" s="19">
        <v>1.2705525E-2</v>
      </c>
      <c r="BF860" s="19">
        <v>1.2135285000000001E-2</v>
      </c>
      <c r="BG860" s="19">
        <v>1.14269805E-2</v>
      </c>
      <c r="BH860" s="19">
        <v>1.07600265E-2</v>
      </c>
      <c r="BI860" s="19">
        <v>1.0131993000000001E-2</v>
      </c>
      <c r="BJ860" s="19">
        <v>9.5406255000000002E-3</v>
      </c>
      <c r="BK860" s="18"/>
      <c r="BL860" s="18"/>
      <c r="BM860" s="19">
        <v>1.3274725500000001E-2</v>
      </c>
      <c r="BN860" s="19">
        <v>1.3538339999999999E-2</v>
      </c>
      <c r="BO860" s="19">
        <v>1.2389219999999999E-2</v>
      </c>
      <c r="BP860" s="19">
        <v>1.133757E-2</v>
      </c>
      <c r="BQ860" s="19">
        <v>1.0828755000000001E-2</v>
      </c>
      <c r="BR860" s="19">
        <v>1.079082E-2</v>
      </c>
      <c r="BS860" s="19">
        <v>1.0753155E-2</v>
      </c>
      <c r="BT860" s="19">
        <v>1.0715489999999999E-2</v>
      </c>
      <c r="BU860" s="19">
        <v>1.067796E-2</v>
      </c>
    </row>
    <row r="861" spans="3:73" x14ac:dyDescent="0.45">
      <c r="C861" t="s">
        <v>328</v>
      </c>
      <c r="D861" t="s">
        <v>327</v>
      </c>
      <c r="E861" t="s">
        <v>275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328</v>
      </c>
      <c r="AS861" s="15" t="s">
        <v>369</v>
      </c>
      <c r="AT861" s="15"/>
      <c r="AU861" s="15"/>
      <c r="AV861" s="15" t="s">
        <v>475</v>
      </c>
      <c r="AW861" s="15"/>
      <c r="AX861" s="15"/>
      <c r="AY861" s="15"/>
      <c r="AZ861" s="18"/>
      <c r="BA861" s="18"/>
      <c r="BB861" s="19">
        <v>0.79766350559999999</v>
      </c>
      <c r="BC861" s="19">
        <v>0.81349975200000002</v>
      </c>
      <c r="BD861" s="19">
        <v>0.78808323359999999</v>
      </c>
      <c r="BE861" s="19">
        <v>0.76346088000000001</v>
      </c>
      <c r="BF861" s="19">
        <v>0.72919579199999995</v>
      </c>
      <c r="BG861" s="19">
        <v>0.68663456160000003</v>
      </c>
      <c r="BH861" s="19">
        <v>0.64655803680000001</v>
      </c>
      <c r="BI861" s="19">
        <v>0.60882020160000005</v>
      </c>
      <c r="BJ861" s="19">
        <v>0.57328558559999998</v>
      </c>
      <c r="BK861" s="18"/>
      <c r="BL861" s="18"/>
      <c r="BM861" s="19">
        <v>0.79766350559999999</v>
      </c>
      <c r="BN861" s="19">
        <v>0.81350380799999999</v>
      </c>
      <c r="BO861" s="19">
        <v>0.74445446400000004</v>
      </c>
      <c r="BP861" s="19">
        <v>0.68126198400000004</v>
      </c>
      <c r="BQ861" s="19">
        <v>0.65068785600000001</v>
      </c>
      <c r="BR861" s="19">
        <v>0.648408384</v>
      </c>
      <c r="BS861" s="19">
        <v>0.64614513600000001</v>
      </c>
      <c r="BT861" s="19">
        <v>0.64388188800000001</v>
      </c>
      <c r="BU861" s="19">
        <v>0.64162675199999997</v>
      </c>
    </row>
    <row r="862" spans="3:73" x14ac:dyDescent="0.45">
      <c r="C862" t="s">
        <v>328</v>
      </c>
      <c r="D862" t="s">
        <v>327</v>
      </c>
      <c r="E862" t="s">
        <v>276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328</v>
      </c>
      <c r="AS862" s="15" t="s">
        <v>369</v>
      </c>
      <c r="AT862" s="15"/>
      <c r="AU862" s="15"/>
      <c r="AV862" s="15" t="s">
        <v>476</v>
      </c>
      <c r="AW862" s="15"/>
      <c r="AX862" s="15"/>
      <c r="AY862" s="15"/>
      <c r="AZ862" s="18"/>
      <c r="BA862" s="18"/>
      <c r="BB862" s="19">
        <v>0.47877509969999998</v>
      </c>
      <c r="BC862" s="19">
        <v>0.48828036149999998</v>
      </c>
      <c r="BD862" s="19">
        <v>0.47302481070000002</v>
      </c>
      <c r="BE862" s="19">
        <v>0.45824593499999999</v>
      </c>
      <c r="BF862" s="19">
        <v>0.43767927899999998</v>
      </c>
      <c r="BG862" s="19">
        <v>0.41213309669999998</v>
      </c>
      <c r="BH862" s="19">
        <v>0.38807828909999997</v>
      </c>
      <c r="BI862" s="19">
        <v>0.36542721420000002</v>
      </c>
      <c r="BJ862" s="19">
        <v>0.34409855969999997</v>
      </c>
      <c r="BK862" s="18"/>
      <c r="BL862" s="18"/>
      <c r="BM862" s="19">
        <v>0.47877509969999998</v>
      </c>
      <c r="BN862" s="19">
        <v>0.48828279600000002</v>
      </c>
      <c r="BO862" s="19">
        <v>0.44683786800000003</v>
      </c>
      <c r="BP862" s="19">
        <v>0.40890835800000003</v>
      </c>
      <c r="BQ862" s="19">
        <v>0.39055709700000002</v>
      </c>
      <c r="BR862" s="19">
        <v>0.389188908</v>
      </c>
      <c r="BS862" s="19">
        <v>0.38783045700000002</v>
      </c>
      <c r="BT862" s="19">
        <v>0.38647200599999998</v>
      </c>
      <c r="BU862" s="19">
        <v>0.38511842400000001</v>
      </c>
    </row>
    <row r="863" spans="3:73" x14ac:dyDescent="0.45">
      <c r="C863" t="s">
        <v>328</v>
      </c>
      <c r="D863" t="s">
        <v>327</v>
      </c>
      <c r="E863" t="s">
        <v>277</v>
      </c>
      <c r="J863" s="7">
        <v>31.536000000000001</v>
      </c>
      <c r="K863" s="7"/>
      <c r="L863" s="7"/>
      <c r="M863" s="7"/>
      <c r="N863" s="7"/>
      <c r="O863" s="7"/>
      <c r="P863" s="7"/>
      <c r="Q863" s="7">
        <v>31.536000000000001</v>
      </c>
      <c r="R863" s="7"/>
      <c r="S863" s="7"/>
      <c r="T863" s="7"/>
      <c r="U863" s="7"/>
      <c r="V863" s="7"/>
      <c r="AR863" s="15" t="s">
        <v>328</v>
      </c>
      <c r="AS863" s="15" t="s">
        <v>369</v>
      </c>
      <c r="AT863" s="15"/>
      <c r="AU863" s="15"/>
      <c r="AV863" s="15" t="s">
        <v>477</v>
      </c>
      <c r="AW863" s="15"/>
      <c r="AX863" s="15"/>
      <c r="AY863" s="15"/>
      <c r="AZ863" s="18"/>
      <c r="BA863" s="18"/>
      <c r="BB863" s="19">
        <v>0.1978</v>
      </c>
      <c r="BC863" s="19">
        <v>0.19059999999999999</v>
      </c>
      <c r="BD863" s="19">
        <v>0.18360000000000001</v>
      </c>
      <c r="BE863" s="19">
        <v>0.19769999999999999</v>
      </c>
      <c r="BF863" s="19">
        <v>0.21299999999999999</v>
      </c>
      <c r="BG863" s="19">
        <v>0.23269999999999999</v>
      </c>
      <c r="BH863" s="19">
        <v>0.25430000000000003</v>
      </c>
      <c r="BI863" s="19">
        <v>0.27789999999999998</v>
      </c>
      <c r="BJ863" s="19">
        <v>0.30359999999999998</v>
      </c>
      <c r="BK863" s="18"/>
      <c r="BL863" s="18"/>
      <c r="BM863" s="19">
        <v>0.23080000000000001</v>
      </c>
      <c r="BN863" s="19">
        <v>0.25969999999999999</v>
      </c>
      <c r="BO863" s="19">
        <v>0.29210000000000003</v>
      </c>
      <c r="BP863" s="19">
        <v>0.3145</v>
      </c>
      <c r="BQ863" s="19">
        <v>0.3387</v>
      </c>
      <c r="BR863" s="19">
        <v>0.34379999999999999</v>
      </c>
      <c r="BS863" s="19">
        <v>0.34899999999999998</v>
      </c>
      <c r="BT863" s="19">
        <v>0.3543</v>
      </c>
      <c r="BU863" s="19">
        <v>0.35959999999999998</v>
      </c>
    </row>
    <row r="864" spans="3:73" x14ac:dyDescent="0.45">
      <c r="C864" t="s">
        <v>328</v>
      </c>
      <c r="D864" t="s">
        <v>327</v>
      </c>
      <c r="E864" t="s">
        <v>278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328</v>
      </c>
      <c r="AS864" s="15" t="s">
        <v>369</v>
      </c>
      <c r="AT864" s="15"/>
      <c r="AU864" s="15"/>
      <c r="AV864" s="15" t="s">
        <v>478</v>
      </c>
      <c r="AW864" s="15"/>
      <c r="AX864" s="15"/>
      <c r="AY864" s="15"/>
      <c r="AZ864" s="18"/>
      <c r="BA864" s="18"/>
      <c r="BB864" s="19">
        <v>0</v>
      </c>
      <c r="BC864" s="19">
        <v>0</v>
      </c>
      <c r="BD864" s="19">
        <v>0</v>
      </c>
      <c r="BE864" s="19">
        <v>0</v>
      </c>
      <c r="BF864" s="19">
        <v>0</v>
      </c>
      <c r="BG864" s="19">
        <v>0</v>
      </c>
      <c r="BH864" s="19">
        <v>0</v>
      </c>
      <c r="BI864" s="19">
        <v>0</v>
      </c>
      <c r="BJ864" s="19">
        <v>0</v>
      </c>
      <c r="BK864" s="18"/>
      <c r="BL864" s="18"/>
      <c r="BM864" s="19">
        <v>0</v>
      </c>
      <c r="BN864" s="19">
        <v>0</v>
      </c>
      <c r="BO864" s="19">
        <v>0</v>
      </c>
      <c r="BP864" s="19">
        <v>0</v>
      </c>
      <c r="BQ864" s="19">
        <v>0</v>
      </c>
      <c r="BR864" s="19">
        <v>0</v>
      </c>
      <c r="BS864" s="19">
        <v>0</v>
      </c>
      <c r="BT864" s="19">
        <v>0</v>
      </c>
      <c r="BU864" s="19">
        <v>0</v>
      </c>
    </row>
    <row r="865" spans="3:73" x14ac:dyDescent="0.45">
      <c r="C865" t="s">
        <v>328</v>
      </c>
      <c r="D865" t="s">
        <v>327</v>
      </c>
      <c r="E865" t="s">
        <v>279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328</v>
      </c>
      <c r="AS865" s="15" t="s">
        <v>369</v>
      </c>
      <c r="AT865" s="15"/>
      <c r="AU865" s="15"/>
      <c r="AV865" s="15" t="s">
        <v>479</v>
      </c>
      <c r="AW865" s="15"/>
      <c r="AX865" s="15"/>
      <c r="AY865" s="15"/>
      <c r="AZ865" s="18"/>
      <c r="BA865" s="18"/>
      <c r="BB865" s="19">
        <v>0.26950000000000002</v>
      </c>
      <c r="BC865" s="19">
        <v>0.25969999999999999</v>
      </c>
      <c r="BD865" s="19">
        <v>0.25030000000000002</v>
      </c>
      <c r="BE865" s="19">
        <v>0.26950000000000002</v>
      </c>
      <c r="BF865" s="19">
        <v>0.29020000000000001</v>
      </c>
      <c r="BG865" s="19">
        <v>0.31719999999999998</v>
      </c>
      <c r="BH865" s="19">
        <v>0.34660000000000002</v>
      </c>
      <c r="BI865" s="19">
        <v>0.37869999999999998</v>
      </c>
      <c r="BJ865" s="19">
        <v>0.4138</v>
      </c>
      <c r="BK865" s="18"/>
      <c r="BL865" s="18"/>
      <c r="BM865" s="19">
        <v>0.31459999999999999</v>
      </c>
      <c r="BN865" s="19">
        <v>0.35389999999999999</v>
      </c>
      <c r="BO865" s="19">
        <v>0.39810000000000001</v>
      </c>
      <c r="BP865" s="19">
        <v>0.42870000000000003</v>
      </c>
      <c r="BQ865" s="19">
        <v>0.4617</v>
      </c>
      <c r="BR865" s="19">
        <v>0.46860000000000002</v>
      </c>
      <c r="BS865" s="19">
        <v>0.47570000000000001</v>
      </c>
      <c r="BT865" s="19">
        <v>0.4829</v>
      </c>
      <c r="BU865" s="19">
        <v>0.49009999999999998</v>
      </c>
    </row>
    <row r="866" spans="3:73" x14ac:dyDescent="0.45">
      <c r="C866" t="s">
        <v>328</v>
      </c>
      <c r="D866" t="s">
        <v>327</v>
      </c>
      <c r="E866" t="s">
        <v>280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328</v>
      </c>
      <c r="AS866" s="15" t="s">
        <v>369</v>
      </c>
      <c r="AT866" s="15"/>
      <c r="AU866" s="15"/>
      <c r="AV866" s="15" t="s">
        <v>480</v>
      </c>
      <c r="AW866" s="15"/>
      <c r="AX866" s="15"/>
      <c r="AY866" s="15"/>
      <c r="AZ866" s="18"/>
      <c r="BA866" s="18"/>
      <c r="BB866" s="19">
        <v>5.1499999999999997E-2</v>
      </c>
      <c r="BC866" s="19">
        <v>4.9700000000000001E-2</v>
      </c>
      <c r="BD866" s="19">
        <v>4.7899999999999998E-2</v>
      </c>
      <c r="BE866" s="19">
        <v>5.1499999999999997E-2</v>
      </c>
      <c r="BF866" s="19">
        <v>5.5500000000000001E-2</v>
      </c>
      <c r="BG866" s="19">
        <v>6.0600000000000001E-2</v>
      </c>
      <c r="BH866" s="19">
        <v>6.6299999999999998E-2</v>
      </c>
      <c r="BI866" s="19">
        <v>7.2400000000000006E-2</v>
      </c>
      <c r="BJ866" s="19">
        <v>7.9100000000000004E-2</v>
      </c>
      <c r="BK866" s="18"/>
      <c r="BL866" s="18"/>
      <c r="BM866" s="19">
        <v>6.0199999999999997E-2</v>
      </c>
      <c r="BN866" s="19">
        <v>6.7699999999999996E-2</v>
      </c>
      <c r="BO866" s="19">
        <v>7.6100000000000001E-2</v>
      </c>
      <c r="BP866" s="19">
        <v>8.2000000000000003E-2</v>
      </c>
      <c r="BQ866" s="19">
        <v>8.8300000000000003E-2</v>
      </c>
      <c r="BR866" s="19">
        <v>8.9599999999999999E-2</v>
      </c>
      <c r="BS866" s="19">
        <v>9.0999999999999998E-2</v>
      </c>
      <c r="BT866" s="19">
        <v>9.2299999999999993E-2</v>
      </c>
      <c r="BU866" s="19">
        <v>9.3700000000000006E-2</v>
      </c>
    </row>
    <row r="867" spans="3:73" x14ac:dyDescent="0.45">
      <c r="C867" t="s">
        <v>328</v>
      </c>
      <c r="D867" t="s">
        <v>327</v>
      </c>
      <c r="E867" t="s">
        <v>281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328</v>
      </c>
      <c r="AS867" s="15" t="s">
        <v>369</v>
      </c>
      <c r="AT867" s="15"/>
      <c r="AU867" s="15"/>
      <c r="AV867" s="15" t="s">
        <v>481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328</v>
      </c>
      <c r="D868" t="s">
        <v>327</v>
      </c>
      <c r="E868" t="s">
        <v>282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328</v>
      </c>
      <c r="AS868" s="15" t="s">
        <v>369</v>
      </c>
      <c r="AT868" s="15"/>
      <c r="AU868" s="15"/>
      <c r="AV868" s="15" t="s">
        <v>482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328</v>
      </c>
      <c r="D869" t="s">
        <v>327</v>
      </c>
      <c r="E869" t="s">
        <v>283</v>
      </c>
      <c r="J869" s="7">
        <v>1</v>
      </c>
      <c r="K869" s="7"/>
      <c r="L869" s="7"/>
      <c r="M869" s="7"/>
      <c r="N869" s="7"/>
      <c r="O869" s="7"/>
      <c r="P869" s="7"/>
      <c r="Q869" s="7">
        <v>1</v>
      </c>
      <c r="R869" s="7"/>
      <c r="S869" s="7"/>
      <c r="T869" s="7"/>
      <c r="U869" s="7"/>
      <c r="V869" s="7"/>
      <c r="AR869" s="15" t="s">
        <v>328</v>
      </c>
      <c r="AS869" s="15" t="s">
        <v>369</v>
      </c>
      <c r="AT869" s="15"/>
      <c r="AU869" s="15"/>
      <c r="AV869" s="15" t="s">
        <v>483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328</v>
      </c>
      <c r="D870" t="s">
        <v>327</v>
      </c>
      <c r="E870" t="s">
        <v>284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328</v>
      </c>
      <c r="AS870" s="15" t="s">
        <v>369</v>
      </c>
      <c r="AT870" s="15"/>
      <c r="AU870" s="15"/>
      <c r="AV870" s="15" t="s">
        <v>484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328</v>
      </c>
      <c r="D871" t="s">
        <v>327</v>
      </c>
      <c r="E871" t="s">
        <v>285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328</v>
      </c>
      <c r="AS871" s="15" t="s">
        <v>369</v>
      </c>
      <c r="AT871" s="15"/>
      <c r="AU871" s="15"/>
      <c r="AV871" s="15" t="s">
        <v>485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328</v>
      </c>
      <c r="D872" t="s">
        <v>327</v>
      </c>
      <c r="E872" t="s">
        <v>286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328</v>
      </c>
      <c r="AS872" s="15" t="s">
        <v>369</v>
      </c>
      <c r="AT872" s="15"/>
      <c r="AU872" s="15"/>
      <c r="AV872" s="15" t="s">
        <v>486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328</v>
      </c>
      <c r="D873" t="s">
        <v>327</v>
      </c>
      <c r="E873" t="s">
        <v>287</v>
      </c>
      <c r="J873" s="7">
        <v>31.536000000000001</v>
      </c>
      <c r="K873" s="7"/>
      <c r="L873" s="7"/>
      <c r="M873" s="7"/>
      <c r="N873" s="7"/>
      <c r="O873" s="7"/>
      <c r="P873" s="7"/>
      <c r="Q873" s="7">
        <v>31.536000000000001</v>
      </c>
      <c r="R873" s="7"/>
      <c r="S873" s="7"/>
      <c r="T873" s="7"/>
      <c r="U873" s="7"/>
      <c r="V873" s="7"/>
      <c r="AR873" s="15" t="s">
        <v>328</v>
      </c>
      <c r="AS873" s="15" t="s">
        <v>369</v>
      </c>
      <c r="AT873" s="15"/>
      <c r="AU873" s="15"/>
      <c r="AV873" s="15" t="s">
        <v>487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328</v>
      </c>
      <c r="D874" t="s">
        <v>327</v>
      </c>
      <c r="E874" t="s">
        <v>288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328</v>
      </c>
      <c r="AS874" s="15" t="s">
        <v>369</v>
      </c>
      <c r="AT874" s="15"/>
      <c r="AU874" s="15"/>
      <c r="AV874" s="15" t="s">
        <v>488</v>
      </c>
      <c r="AW874" s="15"/>
      <c r="AX874" s="15"/>
      <c r="AY874" s="15"/>
      <c r="AZ874" s="18"/>
      <c r="BA874" s="18"/>
      <c r="BB874" s="19">
        <v>0</v>
      </c>
      <c r="BC874" s="19">
        <v>0</v>
      </c>
      <c r="BD874" s="19">
        <v>0</v>
      </c>
      <c r="BE874" s="19">
        <v>0</v>
      </c>
      <c r="BF874" s="19">
        <v>0</v>
      </c>
      <c r="BG874" s="19">
        <v>0</v>
      </c>
      <c r="BH874" s="19">
        <v>0</v>
      </c>
      <c r="BI874" s="19">
        <v>0</v>
      </c>
      <c r="BJ874" s="19">
        <v>0</v>
      </c>
      <c r="BK874" s="18"/>
      <c r="BL874" s="18"/>
      <c r="BM874" s="19">
        <v>0</v>
      </c>
      <c r="BN874" s="19">
        <v>0</v>
      </c>
      <c r="BO874" s="19">
        <v>0</v>
      </c>
      <c r="BP874" s="19">
        <v>0</v>
      </c>
      <c r="BQ874" s="19">
        <v>0</v>
      </c>
      <c r="BR874" s="19">
        <v>0</v>
      </c>
      <c r="BS874" s="19">
        <v>0</v>
      </c>
      <c r="BT874" s="19">
        <v>0</v>
      </c>
      <c r="BU874" s="19">
        <v>0</v>
      </c>
    </row>
    <row r="875" spans="3:73" x14ac:dyDescent="0.45">
      <c r="C875" t="s">
        <v>328</v>
      </c>
      <c r="D875" t="s">
        <v>327</v>
      </c>
      <c r="E875" t="s">
        <v>289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328</v>
      </c>
      <c r="AS875" s="15" t="s">
        <v>369</v>
      </c>
      <c r="AT875" s="15"/>
      <c r="AU875" s="15"/>
      <c r="AV875" s="15" t="s">
        <v>489</v>
      </c>
      <c r="AW875" s="15"/>
      <c r="AX875" s="15"/>
      <c r="AY875" s="15"/>
      <c r="AZ875" s="18"/>
      <c r="BA875" s="18"/>
      <c r="BB875" s="19">
        <v>1.4E-2</v>
      </c>
      <c r="BC875" s="19">
        <v>1.44E-2</v>
      </c>
      <c r="BD875" s="19">
        <v>1.4800000000000001E-2</v>
      </c>
      <c r="BE875" s="19">
        <v>1.6E-2</v>
      </c>
      <c r="BF875" s="19">
        <v>1.72E-2</v>
      </c>
      <c r="BG875" s="19">
        <v>1.8800000000000001E-2</v>
      </c>
      <c r="BH875" s="19">
        <v>2.0500000000000001E-2</v>
      </c>
      <c r="BI875" s="19">
        <v>2.24E-2</v>
      </c>
      <c r="BJ875" s="19">
        <v>2.4500000000000001E-2</v>
      </c>
      <c r="BK875" s="18"/>
      <c r="BL875" s="18"/>
      <c r="BM875" s="19">
        <v>1.52E-2</v>
      </c>
      <c r="BN875" s="19">
        <v>1.7100000000000001E-2</v>
      </c>
      <c r="BO875" s="19">
        <v>1.9300000000000001E-2</v>
      </c>
      <c r="BP875" s="19">
        <v>2.0799999999999999E-2</v>
      </c>
      <c r="BQ875" s="19">
        <v>2.24E-2</v>
      </c>
      <c r="BR875" s="19">
        <v>2.2700000000000001E-2</v>
      </c>
      <c r="BS875" s="19">
        <v>2.3E-2</v>
      </c>
      <c r="BT875" s="19">
        <v>2.3400000000000001E-2</v>
      </c>
      <c r="BU875" s="19">
        <v>2.3699999999999999E-2</v>
      </c>
    </row>
    <row r="876" spans="3:73" x14ac:dyDescent="0.45">
      <c r="C876" t="s">
        <v>328</v>
      </c>
      <c r="D876" t="s">
        <v>327</v>
      </c>
      <c r="E876" t="s">
        <v>290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328</v>
      </c>
      <c r="AS876" s="15" t="s">
        <v>369</v>
      </c>
      <c r="AT876" s="15"/>
      <c r="AU876" s="15"/>
      <c r="AV876" s="15" t="s">
        <v>490</v>
      </c>
      <c r="AW876" s="15"/>
      <c r="AX876" s="15"/>
      <c r="AY876" s="15"/>
      <c r="AZ876" s="18"/>
      <c r="BA876" s="18"/>
      <c r="BB876" s="19">
        <v>0.3422</v>
      </c>
      <c r="BC876" s="19">
        <v>0.3422</v>
      </c>
      <c r="BD876" s="19">
        <v>0.3422</v>
      </c>
      <c r="BE876" s="19">
        <v>0.3422</v>
      </c>
      <c r="BF876" s="19">
        <v>0.3422</v>
      </c>
      <c r="BG876" s="19">
        <v>0.3422</v>
      </c>
      <c r="BH876" s="19">
        <v>0.3422</v>
      </c>
      <c r="BI876" s="19">
        <v>0.3422</v>
      </c>
      <c r="BJ876" s="19">
        <v>0.3422</v>
      </c>
      <c r="BK876" s="18"/>
      <c r="BL876" s="18"/>
      <c r="BM876" s="19">
        <v>0.38490000000000002</v>
      </c>
      <c r="BN876" s="19">
        <v>0.433</v>
      </c>
      <c r="BO876" s="19">
        <v>0.48699999999999999</v>
      </c>
      <c r="BP876" s="19">
        <v>0.52449999999999997</v>
      </c>
      <c r="BQ876" s="19">
        <v>0.56479999999999997</v>
      </c>
      <c r="BR876" s="19">
        <v>0.57330000000000003</v>
      </c>
      <c r="BS876" s="19">
        <v>0.58199999999999996</v>
      </c>
      <c r="BT876" s="19">
        <v>0.59079999999999999</v>
      </c>
      <c r="BU876" s="19">
        <v>0.59970000000000001</v>
      </c>
    </row>
    <row r="877" spans="3:73" x14ac:dyDescent="0.45">
      <c r="C877" t="s">
        <v>328</v>
      </c>
      <c r="D877" t="s">
        <v>327</v>
      </c>
      <c r="E877" t="s">
        <v>291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328</v>
      </c>
      <c r="AS877" s="15" t="s">
        <v>369</v>
      </c>
      <c r="AT877" s="15"/>
      <c r="AU877" s="15"/>
      <c r="AV877" s="15" t="s">
        <v>491</v>
      </c>
      <c r="AW877" s="15"/>
      <c r="AX877" s="15"/>
      <c r="AY877" s="15"/>
      <c r="AZ877" s="18"/>
      <c r="BA877" s="18"/>
      <c r="BB877" s="19">
        <v>1.3781000000000001</v>
      </c>
      <c r="BC877" s="19">
        <v>1.3781000000000001</v>
      </c>
      <c r="BD877" s="19">
        <v>1.3781000000000001</v>
      </c>
      <c r="BE877" s="19">
        <v>1.3781000000000001</v>
      </c>
      <c r="BF877" s="19">
        <v>1.3781000000000001</v>
      </c>
      <c r="BG877" s="19">
        <v>1.3781000000000001</v>
      </c>
      <c r="BH877" s="19">
        <v>1.3781000000000001</v>
      </c>
      <c r="BI877" s="19">
        <v>1.3781000000000001</v>
      </c>
      <c r="BJ877" s="19">
        <v>1.3781000000000001</v>
      </c>
      <c r="BK877" s="18"/>
      <c r="BL877" s="18"/>
      <c r="BM877" s="19">
        <v>1.5501</v>
      </c>
      <c r="BN877" s="19">
        <v>1.7437</v>
      </c>
      <c r="BO877" s="19">
        <v>1.9614</v>
      </c>
      <c r="BP877" s="19">
        <v>2.1122000000000001</v>
      </c>
      <c r="BQ877" s="19">
        <v>2.2746</v>
      </c>
      <c r="BR877" s="19">
        <v>2.3089</v>
      </c>
      <c r="BS877" s="19">
        <v>2.3437000000000001</v>
      </c>
      <c r="BT877" s="19">
        <v>2.3791000000000002</v>
      </c>
      <c r="BU877" s="19">
        <v>2.4148999999999998</v>
      </c>
    </row>
    <row r="878" spans="3:73" x14ac:dyDescent="0.45">
      <c r="C878" t="s">
        <v>328</v>
      </c>
      <c r="D878" t="s">
        <v>327</v>
      </c>
      <c r="E878" t="s">
        <v>292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328</v>
      </c>
      <c r="AS878" s="15" t="s">
        <v>369</v>
      </c>
      <c r="AT878" s="15"/>
      <c r="AU878" s="15"/>
      <c r="AV878" s="15" t="s">
        <v>492</v>
      </c>
      <c r="AW878" s="15"/>
      <c r="AX878" s="15"/>
      <c r="AY878" s="15"/>
      <c r="AZ878" s="18"/>
      <c r="BA878" s="18"/>
      <c r="BB878" s="19">
        <v>1.4360999999999999</v>
      </c>
      <c r="BC878" s="19">
        <v>1.4796</v>
      </c>
      <c r="BD878" s="19">
        <v>1.5244</v>
      </c>
      <c r="BE878" s="19">
        <v>1.6415999999999999</v>
      </c>
      <c r="BF878" s="19">
        <v>1.7678</v>
      </c>
      <c r="BG878" s="19">
        <v>1.9318</v>
      </c>
      <c r="BH878" s="19">
        <v>2.1109</v>
      </c>
      <c r="BI878" s="19">
        <v>2.3066</v>
      </c>
      <c r="BJ878" s="19">
        <v>2.5205000000000002</v>
      </c>
      <c r="BK878" s="18"/>
      <c r="BL878" s="18"/>
      <c r="BM878" s="19">
        <v>1.5679000000000001</v>
      </c>
      <c r="BN878" s="19">
        <v>1.7636000000000001</v>
      </c>
      <c r="BO878" s="19">
        <v>1.9839</v>
      </c>
      <c r="BP878" s="19">
        <v>2.1364000000000001</v>
      </c>
      <c r="BQ878" s="19">
        <v>2.3007</v>
      </c>
      <c r="BR878" s="19">
        <v>2.3353000000000002</v>
      </c>
      <c r="BS878" s="19">
        <v>2.3704999999999998</v>
      </c>
      <c r="BT878" s="19">
        <v>2.4062999999999999</v>
      </c>
      <c r="BU878" s="19">
        <v>2.4426000000000001</v>
      </c>
    </row>
    <row r="879" spans="3:73" x14ac:dyDescent="0.45">
      <c r="C879" t="s">
        <v>328</v>
      </c>
      <c r="D879" t="s">
        <v>327</v>
      </c>
      <c r="E879" t="s">
        <v>293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328</v>
      </c>
      <c r="AS879" s="15" t="s">
        <v>369</v>
      </c>
      <c r="AT879" s="15"/>
      <c r="AU879" s="15"/>
      <c r="AV879" s="15" t="s">
        <v>493</v>
      </c>
      <c r="AW879" s="15"/>
      <c r="AX879" s="15"/>
      <c r="AY879" s="15"/>
      <c r="AZ879" s="18"/>
      <c r="BA879" s="18"/>
      <c r="BB879" s="19">
        <v>2.8E-3</v>
      </c>
      <c r="BC879" s="19">
        <v>2.8E-3</v>
      </c>
      <c r="BD879" s="19">
        <v>2.8E-3</v>
      </c>
      <c r="BE879" s="19">
        <v>2.8E-3</v>
      </c>
      <c r="BF879" s="19">
        <v>2.8E-3</v>
      </c>
      <c r="BG879" s="19">
        <v>2.8E-3</v>
      </c>
      <c r="BH879" s="19">
        <v>2.8E-3</v>
      </c>
      <c r="BI879" s="19">
        <v>2.8E-3</v>
      </c>
      <c r="BJ879" s="19">
        <v>2.8E-3</v>
      </c>
      <c r="BK879" s="18"/>
      <c r="BL879" s="18"/>
      <c r="BM879" s="19">
        <v>3.2000000000000002E-3</v>
      </c>
      <c r="BN879" s="19">
        <v>3.5999999999999999E-3</v>
      </c>
      <c r="BO879" s="19">
        <v>4.0000000000000001E-3</v>
      </c>
      <c r="BP879" s="19">
        <v>4.3E-3</v>
      </c>
      <c r="BQ879" s="19">
        <v>4.7000000000000002E-3</v>
      </c>
      <c r="BR879" s="19">
        <v>4.7000000000000002E-3</v>
      </c>
      <c r="BS879" s="19">
        <v>4.7999999999999996E-3</v>
      </c>
      <c r="BT879" s="19">
        <v>4.8999999999999998E-3</v>
      </c>
      <c r="BU879" s="19">
        <v>4.8999999999999998E-3</v>
      </c>
    </row>
    <row r="880" spans="3:73" x14ac:dyDescent="0.45">
      <c r="C880" t="s">
        <v>328</v>
      </c>
      <c r="D880" t="s">
        <v>327</v>
      </c>
      <c r="E880" t="s">
        <v>294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328</v>
      </c>
      <c r="AS880" s="15" t="s">
        <v>369</v>
      </c>
      <c r="AT880" s="15"/>
      <c r="AU880" s="15"/>
      <c r="AV880" s="15" t="s">
        <v>494</v>
      </c>
      <c r="AW880" s="15"/>
      <c r="AX880" s="15"/>
      <c r="AY880" s="15"/>
      <c r="AZ880" s="18"/>
      <c r="BA880" s="18"/>
      <c r="BB880" s="19">
        <v>0.90580000000000005</v>
      </c>
      <c r="BC880" s="19">
        <v>0.90580000000000005</v>
      </c>
      <c r="BD880" s="19">
        <v>0.90580000000000005</v>
      </c>
      <c r="BE880" s="19">
        <v>0.90580000000000005</v>
      </c>
      <c r="BF880" s="19">
        <v>0.90580000000000005</v>
      </c>
      <c r="BG880" s="19">
        <v>0.90580000000000005</v>
      </c>
      <c r="BH880" s="19">
        <v>0.90580000000000005</v>
      </c>
      <c r="BI880" s="19">
        <v>0.90580000000000005</v>
      </c>
      <c r="BJ880" s="19">
        <v>0.90580000000000005</v>
      </c>
      <c r="BK880" s="18"/>
      <c r="BL880" s="18"/>
      <c r="BM880" s="19">
        <v>1.0188999999999999</v>
      </c>
      <c r="BN880" s="19">
        <v>1.1460999999999999</v>
      </c>
      <c r="BO880" s="19">
        <v>1.2891999999999999</v>
      </c>
      <c r="BP880" s="19">
        <v>1.3883000000000001</v>
      </c>
      <c r="BQ880" s="19">
        <v>1.4951000000000001</v>
      </c>
      <c r="BR880" s="19">
        <v>1.5176000000000001</v>
      </c>
      <c r="BS880" s="19">
        <v>1.5405</v>
      </c>
      <c r="BT880" s="19">
        <v>1.5637000000000001</v>
      </c>
      <c r="BU880" s="19">
        <v>1.5872999999999999</v>
      </c>
    </row>
    <row r="881" spans="3:73" x14ac:dyDescent="0.45">
      <c r="C881" t="s">
        <v>328</v>
      </c>
      <c r="D881" t="s">
        <v>327</v>
      </c>
      <c r="E881" t="s">
        <v>295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328</v>
      </c>
      <c r="AS881" s="15" t="s">
        <v>369</v>
      </c>
      <c r="AT881" s="15"/>
      <c r="AU881" s="15"/>
      <c r="AV881" s="15" t="s">
        <v>495</v>
      </c>
      <c r="AW881" s="15"/>
      <c r="AX881" s="15"/>
      <c r="AY881" s="15"/>
      <c r="AZ881" s="18"/>
      <c r="BA881" s="18"/>
      <c r="BB881" s="19">
        <v>0</v>
      </c>
      <c r="BC881" s="19">
        <v>0</v>
      </c>
      <c r="BD881" s="19">
        <v>0</v>
      </c>
      <c r="BE881" s="19">
        <v>0</v>
      </c>
      <c r="BF881" s="19">
        <v>0</v>
      </c>
      <c r="BG881" s="19">
        <v>0</v>
      </c>
      <c r="BH881" s="19">
        <v>0</v>
      </c>
      <c r="BI881" s="19">
        <v>0</v>
      </c>
      <c r="BJ881" s="19">
        <v>0</v>
      </c>
      <c r="BK881" s="18"/>
      <c r="BL881" s="18"/>
      <c r="BM881" s="19">
        <v>0</v>
      </c>
      <c r="BN881" s="19">
        <v>0</v>
      </c>
      <c r="BO881" s="19">
        <v>0</v>
      </c>
      <c r="BP881" s="19">
        <v>0</v>
      </c>
      <c r="BQ881" s="19">
        <v>0</v>
      </c>
      <c r="BR881" s="19">
        <v>0</v>
      </c>
      <c r="BS881" s="19">
        <v>0</v>
      </c>
      <c r="BT881" s="19">
        <v>0</v>
      </c>
      <c r="BU881" s="19">
        <v>0</v>
      </c>
    </row>
    <row r="882" spans="3:73" x14ac:dyDescent="0.45">
      <c r="C882" t="s">
        <v>328</v>
      </c>
      <c r="D882" t="s">
        <v>327</v>
      </c>
      <c r="E882" t="s">
        <v>296</v>
      </c>
      <c r="J882" s="7">
        <v>1</v>
      </c>
      <c r="K882" s="7"/>
      <c r="L882" s="7"/>
      <c r="M882" s="7"/>
      <c r="N882" s="7"/>
      <c r="O882" s="7"/>
      <c r="P882" s="7"/>
      <c r="Q882" s="7">
        <v>1</v>
      </c>
      <c r="R882" s="7"/>
      <c r="S882" s="7"/>
      <c r="T882" s="7"/>
      <c r="U882" s="7"/>
      <c r="V882" s="7"/>
      <c r="AR882" s="15" t="s">
        <v>328</v>
      </c>
      <c r="AS882" s="15" t="s">
        <v>369</v>
      </c>
      <c r="AT882" s="15"/>
      <c r="AU882" s="15"/>
      <c r="AV882" s="15" t="s">
        <v>496</v>
      </c>
      <c r="AW882" s="15"/>
      <c r="AX882" s="15"/>
      <c r="AY882" s="15"/>
      <c r="AZ882" s="18"/>
      <c r="BA882" s="18"/>
      <c r="BB882" s="19">
        <v>1.7100000000000001E-2</v>
      </c>
      <c r="BC882" s="19">
        <v>1.8200000000000001E-2</v>
      </c>
      <c r="BD882" s="19">
        <v>1.8700000000000001E-2</v>
      </c>
      <c r="BE882" s="19">
        <v>2.0199999999999999E-2</v>
      </c>
      <c r="BF882" s="19">
        <v>2.1700000000000001E-2</v>
      </c>
      <c r="BG882" s="19">
        <v>2.3699999999999999E-2</v>
      </c>
      <c r="BH882" s="19">
        <v>2.5899999999999999E-2</v>
      </c>
      <c r="BI882" s="19">
        <v>2.8299999999999999E-2</v>
      </c>
      <c r="BJ882" s="19">
        <v>3.09E-2</v>
      </c>
      <c r="BK882" s="18"/>
      <c r="BL882" s="18"/>
      <c r="BM882" s="19">
        <v>1.9300000000000001E-2</v>
      </c>
      <c r="BN882" s="19">
        <v>2.1700000000000001E-2</v>
      </c>
      <c r="BO882" s="19">
        <v>2.4400000000000002E-2</v>
      </c>
      <c r="BP882" s="19">
        <v>2.6200000000000001E-2</v>
      </c>
      <c r="BQ882" s="19">
        <v>2.8199999999999999E-2</v>
      </c>
      <c r="BR882" s="19">
        <v>2.87E-2</v>
      </c>
      <c r="BS882" s="19">
        <v>2.9100000000000001E-2</v>
      </c>
      <c r="BT882" s="19">
        <v>2.9499999999999998E-2</v>
      </c>
      <c r="BU882" s="19">
        <v>0.03</v>
      </c>
    </row>
    <row r="883" spans="3:73" x14ac:dyDescent="0.45">
      <c r="C883" t="s">
        <v>328</v>
      </c>
      <c r="D883" t="s">
        <v>327</v>
      </c>
      <c r="E883" t="s">
        <v>297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328</v>
      </c>
      <c r="AS883" s="15" t="s">
        <v>369</v>
      </c>
      <c r="AT883" s="15"/>
      <c r="AU883" s="15"/>
      <c r="AV883" s="15" t="s">
        <v>497</v>
      </c>
      <c r="AW883" s="15"/>
      <c r="AX883" s="15"/>
      <c r="AY883" s="15"/>
      <c r="AZ883" s="18"/>
      <c r="BA883" s="18"/>
      <c r="BB883" s="19">
        <v>1E-4</v>
      </c>
      <c r="BC883" s="19">
        <v>1E-4</v>
      </c>
      <c r="BD883" s="19">
        <v>1E-4</v>
      </c>
      <c r="BE883" s="19">
        <v>1E-4</v>
      </c>
      <c r="BF883" s="19">
        <v>1E-4</v>
      </c>
      <c r="BG883" s="19">
        <v>1E-4</v>
      </c>
      <c r="BH883" s="19">
        <v>1E-4</v>
      </c>
      <c r="BI883" s="19">
        <v>1E-4</v>
      </c>
      <c r="BJ883" s="19">
        <v>1E-4</v>
      </c>
      <c r="BK883" s="18"/>
      <c r="BL883" s="18"/>
      <c r="BM883" s="19">
        <v>1E-4</v>
      </c>
      <c r="BN883" s="19">
        <v>1E-4</v>
      </c>
      <c r="BO883" s="19">
        <v>1E-4</v>
      </c>
      <c r="BP883" s="19">
        <v>1E-4</v>
      </c>
      <c r="BQ883" s="19">
        <v>1E-4</v>
      </c>
      <c r="BR883" s="19">
        <v>1E-4</v>
      </c>
      <c r="BS883" s="19">
        <v>1E-4</v>
      </c>
      <c r="BT883" s="19">
        <v>1E-4</v>
      </c>
      <c r="BU883" s="19">
        <v>1E-4</v>
      </c>
    </row>
    <row r="884" spans="3:73" x14ac:dyDescent="0.45">
      <c r="C884" t="s">
        <v>328</v>
      </c>
      <c r="D884" t="s">
        <v>327</v>
      </c>
      <c r="E884" t="s">
        <v>298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328</v>
      </c>
      <c r="AS884" s="15" t="s">
        <v>369</v>
      </c>
      <c r="AT884" s="15"/>
      <c r="AU884" s="15"/>
      <c r="AV884" s="15" t="s">
        <v>498</v>
      </c>
      <c r="AW884" s="15"/>
      <c r="AX884" s="15"/>
      <c r="AY884" s="15"/>
      <c r="AZ884" s="18"/>
      <c r="BA884" s="18"/>
      <c r="BB884" s="19">
        <v>1.4200000000000001E-2</v>
      </c>
      <c r="BC884" s="19">
        <v>1.4200000000000001E-2</v>
      </c>
      <c r="BD884" s="19">
        <v>1.4200000000000001E-2</v>
      </c>
      <c r="BE884" s="19">
        <v>1.4200000000000001E-2</v>
      </c>
      <c r="BF884" s="19">
        <v>1.4200000000000001E-2</v>
      </c>
      <c r="BG884" s="19">
        <v>1.4200000000000001E-2</v>
      </c>
      <c r="BH884" s="19">
        <v>1.4200000000000001E-2</v>
      </c>
      <c r="BI884" s="19">
        <v>1.4200000000000001E-2</v>
      </c>
      <c r="BJ884" s="19">
        <v>1.4200000000000001E-2</v>
      </c>
      <c r="BK884" s="18"/>
      <c r="BL884" s="18"/>
      <c r="BM884" s="19">
        <v>1.4200000000000001E-2</v>
      </c>
      <c r="BN884" s="19">
        <v>1.4200000000000001E-2</v>
      </c>
      <c r="BO884" s="19">
        <v>1.4200000000000001E-2</v>
      </c>
      <c r="BP884" s="19">
        <v>1.4200000000000001E-2</v>
      </c>
      <c r="BQ884" s="19">
        <v>1.4200000000000001E-2</v>
      </c>
      <c r="BR884" s="19">
        <v>1.4200000000000001E-2</v>
      </c>
      <c r="BS884" s="19">
        <v>1.4200000000000001E-2</v>
      </c>
      <c r="BT884" s="19">
        <v>1.4200000000000001E-2</v>
      </c>
      <c r="BU884" s="19">
        <v>1.4200000000000001E-2</v>
      </c>
    </row>
    <row r="885" spans="3:73" x14ac:dyDescent="0.45">
      <c r="C885" t="s">
        <v>328</v>
      </c>
      <c r="D885" t="s">
        <v>327</v>
      </c>
      <c r="E885" t="s">
        <v>299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328</v>
      </c>
      <c r="AS885" s="15" t="s">
        <v>369</v>
      </c>
      <c r="AT885" s="15"/>
      <c r="AU885" s="15"/>
      <c r="AV885" s="15" t="s">
        <v>499</v>
      </c>
      <c r="AW885" s="15"/>
      <c r="AX885" s="15"/>
      <c r="AY885" s="15"/>
      <c r="AZ885" s="18"/>
      <c r="BA885" s="18"/>
      <c r="BB885" s="19">
        <v>6.9999999999999999E-4</v>
      </c>
      <c r="BC885" s="19">
        <v>6.9999999999999999E-4</v>
      </c>
      <c r="BD885" s="19">
        <v>6.9999999999999999E-4</v>
      </c>
      <c r="BE885" s="19">
        <v>6.9999999999999999E-4</v>
      </c>
      <c r="BF885" s="19">
        <v>6.9999999999999999E-4</v>
      </c>
      <c r="BG885" s="19">
        <v>6.9999999999999999E-4</v>
      </c>
      <c r="BH885" s="19">
        <v>6.9999999999999999E-4</v>
      </c>
      <c r="BI885" s="19">
        <v>6.9999999999999999E-4</v>
      </c>
      <c r="BJ885" s="19">
        <v>6.9999999999999999E-4</v>
      </c>
      <c r="BK885" s="18"/>
      <c r="BL885" s="18"/>
      <c r="BM885" s="19">
        <v>6.9999999999999999E-4</v>
      </c>
      <c r="BN885" s="19">
        <v>6.9999999999999999E-4</v>
      </c>
      <c r="BO885" s="19">
        <v>6.9999999999999999E-4</v>
      </c>
      <c r="BP885" s="19">
        <v>6.9999999999999999E-4</v>
      </c>
      <c r="BQ885" s="19">
        <v>6.9999999999999999E-4</v>
      </c>
      <c r="BR885" s="19">
        <v>6.9999999999999999E-4</v>
      </c>
      <c r="BS885" s="19">
        <v>6.9999999999999999E-4</v>
      </c>
      <c r="BT885" s="19">
        <v>6.9999999999999999E-4</v>
      </c>
      <c r="BU885" s="19">
        <v>6.9999999999999999E-4</v>
      </c>
    </row>
    <row r="886" spans="3:73" x14ac:dyDescent="0.45">
      <c r="C886" t="s">
        <v>328</v>
      </c>
      <c r="D886" t="s">
        <v>327</v>
      </c>
      <c r="E886" t="s">
        <v>300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328</v>
      </c>
      <c r="AS886" s="15" t="s">
        <v>369</v>
      </c>
      <c r="AT886" s="15"/>
      <c r="AU886" s="15"/>
      <c r="AV886" s="15" t="s">
        <v>500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328</v>
      </c>
      <c r="D887" t="s">
        <v>327</v>
      </c>
      <c r="E887" t="s">
        <v>302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328</v>
      </c>
      <c r="AS887" s="15" t="s">
        <v>369</v>
      </c>
      <c r="AT887" s="15"/>
      <c r="AU887" s="15"/>
      <c r="AV887" s="15" t="s">
        <v>501</v>
      </c>
      <c r="AW887" s="15"/>
      <c r="AX887" s="15"/>
      <c r="AY887" s="15"/>
      <c r="AZ887" s="18"/>
      <c r="BA887" s="18"/>
      <c r="BB887" s="19">
        <v>0</v>
      </c>
      <c r="BC887" s="19">
        <v>0</v>
      </c>
      <c r="BD887" s="19">
        <v>0</v>
      </c>
      <c r="BE887" s="19">
        <v>0</v>
      </c>
      <c r="BF887" s="19">
        <v>0</v>
      </c>
      <c r="BG887" s="19">
        <v>0</v>
      </c>
      <c r="BH887" s="19">
        <v>0</v>
      </c>
      <c r="BI887" s="19">
        <v>0</v>
      </c>
      <c r="BJ887" s="19">
        <v>0</v>
      </c>
      <c r="BK887" s="18"/>
      <c r="BL887" s="18"/>
      <c r="BM887" s="19">
        <v>0</v>
      </c>
      <c r="BN887" s="19">
        <v>0</v>
      </c>
      <c r="BO887" s="19">
        <v>0</v>
      </c>
      <c r="BP887" s="19">
        <v>0</v>
      </c>
      <c r="BQ887" s="19">
        <v>0</v>
      </c>
      <c r="BR887" s="19">
        <v>0</v>
      </c>
      <c r="BS887" s="19">
        <v>0</v>
      </c>
      <c r="BT887" s="19">
        <v>0</v>
      </c>
      <c r="BU887" s="19">
        <v>0</v>
      </c>
    </row>
    <row r="888" spans="3:73" x14ac:dyDescent="0.45">
      <c r="C888" t="s">
        <v>328</v>
      </c>
      <c r="D888" t="s">
        <v>327</v>
      </c>
      <c r="E888" t="s">
        <v>303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328</v>
      </c>
      <c r="AS888" s="15" t="s">
        <v>369</v>
      </c>
      <c r="AT888" s="15"/>
      <c r="AU888" s="15"/>
      <c r="AV888" s="15" t="s">
        <v>502</v>
      </c>
      <c r="AW888" s="15"/>
      <c r="AX888" s="15"/>
      <c r="AY888" s="15"/>
      <c r="AZ888" s="18"/>
      <c r="BA888" s="18"/>
      <c r="BB888" s="19">
        <v>2.24E-2</v>
      </c>
      <c r="BC888" s="19">
        <v>2.24E-2</v>
      </c>
      <c r="BD888" s="19">
        <v>2.24E-2</v>
      </c>
      <c r="BE888" s="19">
        <v>2.24E-2</v>
      </c>
      <c r="BF888" s="19">
        <v>2.24E-2</v>
      </c>
      <c r="BG888" s="19">
        <v>2.24E-2</v>
      </c>
      <c r="BH888" s="19">
        <v>2.24E-2</v>
      </c>
      <c r="BI888" s="19">
        <v>2.24E-2</v>
      </c>
      <c r="BJ888" s="19">
        <v>2.24E-2</v>
      </c>
      <c r="BK888" s="18"/>
      <c r="BL888" s="18"/>
      <c r="BM888" s="19">
        <v>2.24E-2</v>
      </c>
      <c r="BN888" s="19">
        <v>2.24E-2</v>
      </c>
      <c r="BO888" s="19">
        <v>2.24E-2</v>
      </c>
      <c r="BP888" s="19">
        <v>2.24E-2</v>
      </c>
      <c r="BQ888" s="19">
        <v>2.24E-2</v>
      </c>
      <c r="BR888" s="19">
        <v>2.24E-2</v>
      </c>
      <c r="BS888" s="19">
        <v>2.24E-2</v>
      </c>
      <c r="BT888" s="19">
        <v>2.24E-2</v>
      </c>
      <c r="BU888" s="19">
        <v>2.24E-2</v>
      </c>
    </row>
    <row r="889" spans="3:73" x14ac:dyDescent="0.45">
      <c r="C889" t="s">
        <v>328</v>
      </c>
      <c r="D889" t="s">
        <v>327</v>
      </c>
      <c r="E889" t="s">
        <v>304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328</v>
      </c>
      <c r="AS889" s="15" t="s">
        <v>369</v>
      </c>
      <c r="AT889" s="15"/>
      <c r="AU889" s="15"/>
      <c r="AV889" s="15" t="s">
        <v>503</v>
      </c>
      <c r="AW889" s="15"/>
      <c r="AX889" s="15"/>
      <c r="AY889" s="15"/>
      <c r="AZ889" s="18"/>
      <c r="BA889" s="18"/>
      <c r="BB889" s="19">
        <v>8.9999999999999998E-4</v>
      </c>
      <c r="BC889" s="19">
        <v>8.9999999999999998E-4</v>
      </c>
      <c r="BD889" s="19">
        <v>8.9999999999999998E-4</v>
      </c>
      <c r="BE889" s="19">
        <v>8.9999999999999998E-4</v>
      </c>
      <c r="BF889" s="19">
        <v>8.9999999999999998E-4</v>
      </c>
      <c r="BG889" s="19">
        <v>8.9999999999999998E-4</v>
      </c>
      <c r="BH889" s="19">
        <v>8.9999999999999998E-4</v>
      </c>
      <c r="BI889" s="19">
        <v>8.9999999999999998E-4</v>
      </c>
      <c r="BJ889" s="19">
        <v>8.9999999999999998E-4</v>
      </c>
      <c r="BK889" s="18"/>
      <c r="BL889" s="18"/>
      <c r="BM889" s="19">
        <v>8.9999999999999998E-4</v>
      </c>
      <c r="BN889" s="19">
        <v>8.9999999999999998E-4</v>
      </c>
      <c r="BO889" s="19">
        <v>8.9999999999999998E-4</v>
      </c>
      <c r="BP889" s="19">
        <v>8.9999999999999998E-4</v>
      </c>
      <c r="BQ889" s="19">
        <v>8.9999999999999998E-4</v>
      </c>
      <c r="BR889" s="19">
        <v>8.9999999999999998E-4</v>
      </c>
      <c r="BS889" s="19">
        <v>8.9999999999999998E-4</v>
      </c>
      <c r="BT889" s="19">
        <v>8.9999999999999998E-4</v>
      </c>
      <c r="BU889" s="19">
        <v>8.9999999999999998E-4</v>
      </c>
    </row>
    <row r="890" spans="3:73" x14ac:dyDescent="0.45">
      <c r="C890" t="s">
        <v>328</v>
      </c>
      <c r="D890" t="s">
        <v>327</v>
      </c>
      <c r="E890" t="s">
        <v>305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328</v>
      </c>
      <c r="AS890" s="15" t="s">
        <v>369</v>
      </c>
      <c r="AT890" s="15"/>
      <c r="AU890" s="15"/>
      <c r="AV890" s="15" t="s">
        <v>504</v>
      </c>
      <c r="AW890" s="15"/>
      <c r="AX890" s="15"/>
      <c r="AY890" s="15"/>
      <c r="AZ890" s="18"/>
      <c r="BA890" s="18"/>
      <c r="BB890" s="19">
        <v>3.3E-3</v>
      </c>
      <c r="BC890" s="19">
        <v>3.3E-3</v>
      </c>
      <c r="BD890" s="19">
        <v>3.3E-3</v>
      </c>
      <c r="BE890" s="19">
        <v>3.3E-3</v>
      </c>
      <c r="BF890" s="19">
        <v>3.3E-3</v>
      </c>
      <c r="BG890" s="19">
        <v>3.3E-3</v>
      </c>
      <c r="BH890" s="19">
        <v>3.3E-3</v>
      </c>
      <c r="BI890" s="19">
        <v>3.3E-3</v>
      </c>
      <c r="BJ890" s="19">
        <v>3.3E-3</v>
      </c>
      <c r="BK890" s="18"/>
      <c r="BL890" s="18"/>
      <c r="BM890" s="19">
        <v>3.3E-3</v>
      </c>
      <c r="BN890" s="19">
        <v>3.3E-3</v>
      </c>
      <c r="BO890" s="19">
        <v>3.3E-3</v>
      </c>
      <c r="BP890" s="19">
        <v>3.3E-3</v>
      </c>
      <c r="BQ890" s="19">
        <v>3.3E-3</v>
      </c>
      <c r="BR890" s="19">
        <v>3.3E-3</v>
      </c>
      <c r="BS890" s="19">
        <v>3.3E-3</v>
      </c>
      <c r="BT890" s="19">
        <v>3.3E-3</v>
      </c>
      <c r="BU890" s="19">
        <v>3.3E-3</v>
      </c>
    </row>
    <row r="891" spans="3:73" x14ac:dyDescent="0.45">
      <c r="C891" t="s">
        <v>328</v>
      </c>
      <c r="D891" t="s">
        <v>327</v>
      </c>
      <c r="E891" t="s">
        <v>306</v>
      </c>
      <c r="J891" s="7">
        <v>31.536000000000001</v>
      </c>
      <c r="K891" s="7"/>
      <c r="L891" s="7"/>
      <c r="M891" s="7"/>
      <c r="N891" s="7"/>
      <c r="O891" s="7"/>
      <c r="P891" s="7"/>
      <c r="Q891" s="7">
        <v>31.536000000000001</v>
      </c>
      <c r="R891" s="7"/>
      <c r="S891" s="7"/>
      <c r="T891" s="7"/>
      <c r="U891" s="7"/>
      <c r="V891" s="7"/>
      <c r="AR891" s="15" t="s">
        <v>328</v>
      </c>
      <c r="AS891" s="15" t="s">
        <v>369</v>
      </c>
      <c r="AT891" s="15"/>
      <c r="AU891" s="15"/>
      <c r="AV891" s="15" t="s">
        <v>505</v>
      </c>
      <c r="AW891" s="15"/>
      <c r="AX891" s="15"/>
      <c r="AY891" s="15"/>
      <c r="AZ891" s="18"/>
      <c r="BA891" s="18"/>
      <c r="BB891" s="19">
        <v>5.49126286939942E-2</v>
      </c>
      <c r="BC891" s="19">
        <v>5.6040276436908697E-2</v>
      </c>
      <c r="BD891" s="19">
        <v>5.69525307907272E-2</v>
      </c>
      <c r="BE891" s="19">
        <v>5.8641890705206E-2</v>
      </c>
      <c r="BF891" s="19">
        <v>6.0162314628236797E-2</v>
      </c>
      <c r="BG891" s="19">
        <v>6.1513802559819801E-2</v>
      </c>
      <c r="BH891" s="19">
        <v>6.2696354499954907E-2</v>
      </c>
      <c r="BI891" s="19">
        <v>6.3731087447573095E-2</v>
      </c>
      <c r="BJ891" s="19">
        <v>6.4681352399467401E-2</v>
      </c>
      <c r="BK891" s="18"/>
      <c r="BL891" s="18"/>
      <c r="BM891" s="19">
        <v>5.5249972751916697E-2</v>
      </c>
      <c r="BN891" s="19">
        <v>5.8134554805889103E-2</v>
      </c>
      <c r="BO891" s="19">
        <v>6.0938892263923801E-2</v>
      </c>
      <c r="BP891" s="19">
        <v>6.2628252178402496E-2</v>
      </c>
      <c r="BQ891" s="19">
        <v>6.3202634549325204E-2</v>
      </c>
      <c r="BR891" s="19">
        <v>6.3608080928800104E-2</v>
      </c>
      <c r="BS891" s="19">
        <v>6.3844591316827196E-2</v>
      </c>
      <c r="BT891" s="19">
        <v>6.3933282712337294E-2</v>
      </c>
      <c r="BU891" s="19">
        <v>6.3937506112123496E-2</v>
      </c>
    </row>
    <row r="892" spans="3:73" x14ac:dyDescent="0.45">
      <c r="C892" t="s">
        <v>328</v>
      </c>
      <c r="D892" t="s">
        <v>327</v>
      </c>
      <c r="E892" t="s">
        <v>307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328</v>
      </c>
      <c r="AS892" s="15" t="s">
        <v>369</v>
      </c>
      <c r="AT892" s="15"/>
      <c r="AU892" s="15"/>
      <c r="AV892" s="15" t="s">
        <v>506</v>
      </c>
      <c r="AW892" s="15"/>
      <c r="AX892" s="15"/>
      <c r="AY892" s="15"/>
      <c r="AZ892" s="18"/>
      <c r="BA892" s="18"/>
      <c r="BB892" s="19">
        <v>0.64045508112579397</v>
      </c>
      <c r="BC892" s="19">
        <v>0.65360702347213895</v>
      </c>
      <c r="BD892" s="19">
        <v>0.664246797055698</v>
      </c>
      <c r="BE892" s="19">
        <v>0.68395008146969805</v>
      </c>
      <c r="BF892" s="19">
        <v>0.70168303744229799</v>
      </c>
      <c r="BG892" s="19">
        <v>0.71744566497349804</v>
      </c>
      <c r="BH892" s="19">
        <v>0.731237964063298</v>
      </c>
      <c r="BI892" s="19">
        <v>0.743306225766873</v>
      </c>
      <c r="BJ892" s="19">
        <v>0.75438932324974795</v>
      </c>
      <c r="BK892" s="18"/>
      <c r="BL892" s="18"/>
      <c r="BM892" s="19">
        <v>0.64438958073221397</v>
      </c>
      <c r="BN892" s="19">
        <v>0.67803293886911897</v>
      </c>
      <c r="BO892" s="19">
        <v>0.71074039099635899</v>
      </c>
      <c r="BP892" s="19">
        <v>0.73044367541035804</v>
      </c>
      <c r="BQ892" s="19">
        <v>0.73714279211111799</v>
      </c>
      <c r="BR892" s="19">
        <v>0.74187158037047796</v>
      </c>
      <c r="BS892" s="19">
        <v>0.74463004018843804</v>
      </c>
      <c r="BT892" s="19">
        <v>0.74566446262017305</v>
      </c>
      <c r="BU892" s="19">
        <v>0.74571372083120802</v>
      </c>
    </row>
    <row r="893" spans="3:73" x14ac:dyDescent="0.45">
      <c r="C893" t="s">
        <v>328</v>
      </c>
      <c r="D893" t="s">
        <v>327</v>
      </c>
      <c r="E893" t="s">
        <v>308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328</v>
      </c>
      <c r="AS893" s="15" t="s">
        <v>369</v>
      </c>
      <c r="AT893" s="15"/>
      <c r="AU893" s="15"/>
      <c r="AV893" s="15" t="s">
        <v>507</v>
      </c>
      <c r="AW893" s="15"/>
      <c r="AX893" s="15"/>
      <c r="AY893" s="15"/>
      <c r="AZ893" s="18"/>
      <c r="BA893" s="18"/>
      <c r="BB893" s="19">
        <v>0.17773197964499399</v>
      </c>
      <c r="BC893" s="19">
        <v>0.18138176058713901</v>
      </c>
      <c r="BD893" s="19">
        <v>0.18433439236055901</v>
      </c>
      <c r="BE893" s="19">
        <v>0.189802228978005</v>
      </c>
      <c r="BF893" s="19">
        <v>0.194723281933705</v>
      </c>
      <c r="BG893" s="19">
        <v>0.19909755122766201</v>
      </c>
      <c r="BH893" s="19">
        <v>0.20292503685987301</v>
      </c>
      <c r="BI893" s="19">
        <v>0.206274086788059</v>
      </c>
      <c r="BJ893" s="19">
        <v>0.209349744885372</v>
      </c>
      <c r="BK893" s="18"/>
      <c r="BL893" s="18"/>
      <c r="BM893" s="19">
        <v>0.17882383826953999</v>
      </c>
      <c r="BN893" s="19">
        <v>0.18816016929382801</v>
      </c>
      <c r="BO893" s="19">
        <v>0.19723677807878701</v>
      </c>
      <c r="BP893" s="19">
        <v>0.20270461469623299</v>
      </c>
      <c r="BQ893" s="19">
        <v>0.204563679146164</v>
      </c>
      <c r="BR893" s="19">
        <v>0.20587595993435101</v>
      </c>
      <c r="BS893" s="19">
        <v>0.20664145706079301</v>
      </c>
      <c r="BT893" s="19">
        <v>0.20692851848320901</v>
      </c>
      <c r="BU893" s="19">
        <v>0.20694218807475301</v>
      </c>
    </row>
    <row r="894" spans="3:73" x14ac:dyDescent="0.45">
      <c r="C894" t="s">
        <v>328</v>
      </c>
      <c r="D894" t="s">
        <v>327</v>
      </c>
      <c r="E894" t="s">
        <v>309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328</v>
      </c>
      <c r="AS894" s="15" t="s">
        <v>369</v>
      </c>
      <c r="AT894" s="15"/>
      <c r="AU894" s="15"/>
      <c r="AV894" s="15" t="s">
        <v>508</v>
      </c>
      <c r="AW894" s="15"/>
      <c r="AX894" s="15"/>
      <c r="AY894" s="15"/>
      <c r="AZ894" s="18"/>
      <c r="BA894" s="18"/>
      <c r="BB894" s="19">
        <v>5.9027189795647E-2</v>
      </c>
      <c r="BC894" s="19">
        <v>6.0239331318038297E-2</v>
      </c>
      <c r="BD894" s="19">
        <v>6.1219940190085302E-2</v>
      </c>
      <c r="BE894" s="19">
        <v>6.3035882545727798E-2</v>
      </c>
      <c r="BF894" s="19">
        <v>6.4670230665806003E-2</v>
      </c>
      <c r="BG894" s="19">
        <v>6.6122984550319994E-2</v>
      </c>
      <c r="BH894" s="19">
        <v>6.7394144199269798E-2</v>
      </c>
      <c r="BI894" s="19">
        <v>6.8506408892100801E-2</v>
      </c>
      <c r="BJ894" s="19">
        <v>6.9527876467149696E-2</v>
      </c>
      <c r="BK894" s="18"/>
      <c r="BL894" s="18"/>
      <c r="BM894" s="19">
        <v>5.9389810784789297E-2</v>
      </c>
      <c r="BN894" s="19">
        <v>6.2490532357048899E-2</v>
      </c>
      <c r="BO894" s="19">
        <v>6.5504996667415397E-2</v>
      </c>
      <c r="BP894" s="19">
        <v>6.7320939023057899E-2</v>
      </c>
      <c r="BQ894" s="19">
        <v>6.7938359423976399E-2</v>
      </c>
      <c r="BR894" s="19">
        <v>6.8374185589330505E-2</v>
      </c>
      <c r="BS894" s="19">
        <v>6.8628417519120494E-2</v>
      </c>
      <c r="BT894" s="19">
        <v>6.8723754492791694E-2</v>
      </c>
      <c r="BU894" s="19">
        <v>6.8728294348680899E-2</v>
      </c>
    </row>
    <row r="895" spans="3:73" x14ac:dyDescent="0.45">
      <c r="C895" t="s">
        <v>328</v>
      </c>
      <c r="D895" t="s">
        <v>327</v>
      </c>
      <c r="E895" t="s">
        <v>310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328</v>
      </c>
      <c r="AS895" s="15" t="s">
        <v>369</v>
      </c>
      <c r="AT895" s="15"/>
      <c r="AU895" s="15"/>
      <c r="AV895" s="15" t="s">
        <v>509</v>
      </c>
      <c r="AW895" s="15"/>
      <c r="AX895" s="15"/>
      <c r="AY895" s="15"/>
      <c r="AZ895" s="18"/>
      <c r="BA895" s="18"/>
      <c r="BB895" s="19">
        <v>0.18342358713339799</v>
      </c>
      <c r="BC895" s="19">
        <v>0.18719024698829001</v>
      </c>
      <c r="BD895" s="19">
        <v>0.19023743248887701</v>
      </c>
      <c r="BE895" s="19">
        <v>0.19588036860107499</v>
      </c>
      <c r="BF895" s="19">
        <v>0.200959011102053</v>
      </c>
      <c r="BG895" s="19">
        <v>0.20547335999181099</v>
      </c>
      <c r="BH895" s="19">
        <v>0.20942341527034999</v>
      </c>
      <c r="BI895" s="19">
        <v>0.21287971363907099</v>
      </c>
      <c r="BJ895" s="19">
        <v>0.216053865202182</v>
      </c>
      <c r="BK895" s="18"/>
      <c r="BL895" s="18"/>
      <c r="BM895" s="19">
        <v>0.18455041093830199</v>
      </c>
      <c r="BN895" s="19">
        <v>0.19418572434987999</v>
      </c>
      <c r="BO895" s="19">
        <v>0.203552998296129</v>
      </c>
      <c r="BP895" s="19">
        <v>0.20919593440832701</v>
      </c>
      <c r="BQ895" s="19">
        <v>0.21111453268647401</v>
      </c>
      <c r="BR895" s="19">
        <v>0.212468837353402</v>
      </c>
      <c r="BS895" s="19">
        <v>0.213258848409109</v>
      </c>
      <c r="BT895" s="19">
        <v>0.21355510255499999</v>
      </c>
      <c r="BU895" s="19">
        <v>0.21356920989528</v>
      </c>
    </row>
    <row r="896" spans="3:73" x14ac:dyDescent="0.45">
      <c r="C896" t="s">
        <v>328</v>
      </c>
      <c r="D896" t="s">
        <v>327</v>
      </c>
      <c r="E896" t="s">
        <v>311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328</v>
      </c>
      <c r="AS896" s="15" t="s">
        <v>369</v>
      </c>
      <c r="AT896" s="15"/>
      <c r="AU896" s="15"/>
      <c r="AV896" s="15" t="s">
        <v>510</v>
      </c>
      <c r="AW896" s="15"/>
      <c r="AX896" s="15"/>
      <c r="AY896" s="15"/>
      <c r="AZ896" s="18"/>
      <c r="BA896" s="18"/>
      <c r="BB896" s="19">
        <v>1.3649235347867099E-5</v>
      </c>
      <c r="BC896" s="19">
        <v>1.3929526599599099E-5</v>
      </c>
      <c r="BD896" s="19">
        <v>1.41562790729103E-5</v>
      </c>
      <c r="BE896" s="19">
        <v>1.4576191060523701E-5</v>
      </c>
      <c r="BF896" s="19">
        <v>1.49541118493758E-5</v>
      </c>
      <c r="BG896" s="19">
        <v>1.52900414394665E-5</v>
      </c>
      <c r="BH896" s="19">
        <v>1.5583979830795899E-5</v>
      </c>
      <c r="BI896" s="19">
        <v>1.5841175923209099E-5</v>
      </c>
      <c r="BJ896" s="19">
        <v>1.6077376416241701E-5</v>
      </c>
      <c r="BK896" s="18"/>
      <c r="BL896" s="18"/>
      <c r="BM896" s="19">
        <v>1.37330865228937E-5</v>
      </c>
      <c r="BN896" s="19">
        <v>1.44500862417436E-5</v>
      </c>
      <c r="BO896" s="19">
        <v>1.51471401411818E-5</v>
      </c>
      <c r="BP896" s="19">
        <v>1.5567052128795301E-5</v>
      </c>
      <c r="BQ896" s="19">
        <v>1.57098222045838E-5</v>
      </c>
      <c r="BR896" s="19">
        <v>1.5810601081611001E-5</v>
      </c>
      <c r="BS896" s="19">
        <v>1.5869388759876901E-5</v>
      </c>
      <c r="BT896" s="19">
        <v>1.58914341392266E-5</v>
      </c>
      <c r="BU896" s="19">
        <v>1.58924839191957E-5</v>
      </c>
    </row>
    <row r="897" spans="3:73" x14ac:dyDescent="0.45">
      <c r="C897" t="s">
        <v>328</v>
      </c>
      <c r="D897" t="s">
        <v>327</v>
      </c>
      <c r="E897" t="s">
        <v>312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328</v>
      </c>
      <c r="AS897" s="15" t="s">
        <v>369</v>
      </c>
      <c r="AT897" s="15"/>
      <c r="AU897" s="15"/>
      <c r="AV897" s="15" t="s">
        <v>511</v>
      </c>
      <c r="AW897" s="15"/>
      <c r="AX897" s="15"/>
      <c r="AY897" s="15"/>
      <c r="AZ897" s="18"/>
      <c r="BA897" s="18"/>
      <c r="BB897" s="19">
        <v>5.4419583746707398E-2</v>
      </c>
      <c r="BC897" s="19">
        <v>5.55371066597753E-2</v>
      </c>
      <c r="BD897" s="19">
        <v>5.6441170140009898E-2</v>
      </c>
      <c r="BE897" s="19">
        <v>5.8115361770074002E-2</v>
      </c>
      <c r="BF897" s="19">
        <v>5.9622134237131801E-2</v>
      </c>
      <c r="BG897" s="19">
        <v>6.09614875411831E-2</v>
      </c>
      <c r="BH897" s="19">
        <v>6.2133421682227997E-2</v>
      </c>
      <c r="BI897" s="19">
        <v>6.3158864055642305E-2</v>
      </c>
      <c r="BJ897" s="19">
        <v>6.4100596847553398E-2</v>
      </c>
      <c r="BK897" s="18"/>
      <c r="BL897" s="18"/>
      <c r="BM897" s="19">
        <v>5.4753898887835897E-2</v>
      </c>
      <c r="BN897" s="19">
        <v>5.7612581096170401E-2</v>
      </c>
      <c r="BO897" s="19">
        <v>6.0391739202076897E-2</v>
      </c>
      <c r="BP897" s="19">
        <v>6.2065930832141E-2</v>
      </c>
      <c r="BQ897" s="19">
        <v>6.2635155986362795E-2</v>
      </c>
      <c r="BR897" s="19">
        <v>6.3036961977578201E-2</v>
      </c>
      <c r="BS897" s="19">
        <v>6.3271348805787206E-2</v>
      </c>
      <c r="BT897" s="19">
        <v>6.33592438663656E-2</v>
      </c>
      <c r="BU897" s="19">
        <v>6.33634293454408E-2</v>
      </c>
    </row>
    <row r="898" spans="3:73" x14ac:dyDescent="0.45">
      <c r="C898" t="s">
        <v>328</v>
      </c>
      <c r="D898" t="s">
        <v>327</v>
      </c>
      <c r="E898" t="s">
        <v>313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328</v>
      </c>
      <c r="AS898" s="15" t="s">
        <v>369</v>
      </c>
      <c r="AT898" s="15"/>
      <c r="AU898" s="15"/>
      <c r="AV898" s="15" t="s">
        <v>512</v>
      </c>
      <c r="AW898" s="15"/>
      <c r="AX898" s="15"/>
      <c r="AY898" s="15"/>
      <c r="AZ898" s="18"/>
      <c r="BA898" s="18"/>
      <c r="BB898" s="19">
        <v>0.68621217475143803</v>
      </c>
      <c r="BC898" s="19">
        <v>0.70030375310823201</v>
      </c>
      <c r="BD898" s="19">
        <v>0.71170368166653697</v>
      </c>
      <c r="BE898" s="19">
        <v>0.73281466047821298</v>
      </c>
      <c r="BF898" s="19">
        <v>0.75181454140872195</v>
      </c>
      <c r="BG898" s="19">
        <v>0.768703324458063</v>
      </c>
      <c r="BH898" s="19">
        <v>0.78348100962623601</v>
      </c>
      <c r="BI898" s="19">
        <v>0.79641148414838803</v>
      </c>
      <c r="BJ898" s="19">
        <v>0.80828640972995602</v>
      </c>
      <c r="BK898" s="18"/>
      <c r="BL898" s="18"/>
      <c r="BM898" s="19">
        <v>0.69042777333289496</v>
      </c>
      <c r="BN898" s="19">
        <v>0.72647476965383195</v>
      </c>
      <c r="BO898" s="19">
        <v>0.76151899448121396</v>
      </c>
      <c r="BP898" s="19">
        <v>0.78262997329288997</v>
      </c>
      <c r="BQ898" s="19">
        <v>0.78980770608885997</v>
      </c>
      <c r="BR898" s="19">
        <v>0.79487434100366205</v>
      </c>
      <c r="BS898" s="19">
        <v>0.79782987803729699</v>
      </c>
      <c r="BT898" s="19">
        <v>0.79893820442491004</v>
      </c>
      <c r="BU898" s="19">
        <v>0.79899098187193895</v>
      </c>
    </row>
    <row r="899" spans="3:73" x14ac:dyDescent="0.45">
      <c r="C899" t="s">
        <v>328</v>
      </c>
      <c r="D899" t="s">
        <v>327</v>
      </c>
      <c r="E899" t="s">
        <v>314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328</v>
      </c>
      <c r="AS899" s="15" t="s">
        <v>369</v>
      </c>
      <c r="AT899" s="15"/>
      <c r="AU899" s="15"/>
      <c r="AV899" s="15" t="s">
        <v>513</v>
      </c>
      <c r="AW899" s="15"/>
      <c r="AX899" s="15"/>
      <c r="AY899" s="15"/>
      <c r="AZ899" s="18"/>
      <c r="BA899" s="18"/>
      <c r="BB899" s="19">
        <v>1.8890892722965</v>
      </c>
      <c r="BC899" s="19">
        <v>1.92788230232863</v>
      </c>
      <c r="BD899" s="19">
        <v>1.95926542774788</v>
      </c>
      <c r="BE899" s="19">
        <v>2.01738232667241</v>
      </c>
      <c r="BF899" s="19">
        <v>2.0696875357044999</v>
      </c>
      <c r="BG899" s="19">
        <v>2.1161810548441302</v>
      </c>
      <c r="BH899" s="19">
        <v>2.1568628840913</v>
      </c>
      <c r="BI899" s="19">
        <v>2.1924594846825798</v>
      </c>
      <c r="BJ899" s="19">
        <v>2.22515024032763</v>
      </c>
      <c r="BK899" s="18"/>
      <c r="BL899" s="18"/>
      <c r="BM899" s="19">
        <v>1.9006944905504899</v>
      </c>
      <c r="BN899" s="19">
        <v>1.99992909546414</v>
      </c>
      <c r="BO899" s="19">
        <v>2.09640314767887</v>
      </c>
      <c r="BP899" s="19">
        <v>2.1545200466034098</v>
      </c>
      <c r="BQ899" s="19">
        <v>2.1742797922377499</v>
      </c>
      <c r="BR899" s="19">
        <v>2.1882278479796402</v>
      </c>
      <c r="BS899" s="19">
        <v>2.19636421382907</v>
      </c>
      <c r="BT899" s="19">
        <v>2.1994153510226102</v>
      </c>
      <c r="BU899" s="19">
        <v>2.19956064326992</v>
      </c>
    </row>
    <row r="900" spans="3:73" x14ac:dyDescent="0.45">
      <c r="C900" t="s">
        <v>328</v>
      </c>
      <c r="D900" t="s">
        <v>327</v>
      </c>
      <c r="E900" t="s">
        <v>315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328</v>
      </c>
      <c r="AS900" s="15" t="s">
        <v>369</v>
      </c>
      <c r="AT900" s="15"/>
      <c r="AU900" s="15"/>
      <c r="AV900" s="15" t="s">
        <v>514</v>
      </c>
      <c r="AW900" s="15"/>
      <c r="AX900" s="15"/>
      <c r="AY900" s="15"/>
      <c r="AZ900" s="18"/>
      <c r="BA900" s="18"/>
      <c r="BB900" s="19">
        <v>0.38977817354168498</v>
      </c>
      <c r="BC900" s="19">
        <v>0.39778238838415703</v>
      </c>
      <c r="BD900" s="19">
        <v>0.40425770825671897</v>
      </c>
      <c r="BE900" s="19">
        <v>0.41624904135405599</v>
      </c>
      <c r="BF900" s="19">
        <v>0.42704124114165898</v>
      </c>
      <c r="BG900" s="19">
        <v>0.43663430761952798</v>
      </c>
      <c r="BH900" s="19">
        <v>0.44502824078766401</v>
      </c>
      <c r="BI900" s="19">
        <v>0.45237293230978298</v>
      </c>
      <c r="BJ900" s="19">
        <v>0.45911805717703502</v>
      </c>
      <c r="BK900" s="18"/>
      <c r="BL900" s="18"/>
      <c r="BM900" s="19">
        <v>0.39217269286956002</v>
      </c>
      <c r="BN900" s="19">
        <v>0.41264789413326203</v>
      </c>
      <c r="BO900" s="19">
        <v>0.43255350707484103</v>
      </c>
      <c r="BP900" s="19">
        <v>0.44454484017217799</v>
      </c>
      <c r="BQ900" s="19">
        <v>0.44862189342527198</v>
      </c>
      <c r="BR900" s="19">
        <v>0.45149981336863299</v>
      </c>
      <c r="BS900" s="19">
        <v>0.45317860000226001</v>
      </c>
      <c r="BT900" s="19">
        <v>0.45380814498986999</v>
      </c>
      <c r="BU900" s="19">
        <v>0.45383812332261397</v>
      </c>
    </row>
    <row r="901" spans="3:73" x14ac:dyDescent="0.45">
      <c r="C901" t="s">
        <v>328</v>
      </c>
      <c r="D901" t="s">
        <v>327</v>
      </c>
      <c r="E901" t="s">
        <v>316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328</v>
      </c>
      <c r="AS901" s="15" t="s">
        <v>369</v>
      </c>
      <c r="AT901" s="15"/>
      <c r="AU901" s="15"/>
      <c r="AV901" s="15" t="s">
        <v>515</v>
      </c>
      <c r="AW901" s="15"/>
      <c r="AX901" s="15"/>
      <c r="AY901" s="15"/>
      <c r="AZ901" s="18"/>
      <c r="BA901" s="18"/>
      <c r="BB901" s="19">
        <v>10.6287950567244</v>
      </c>
      <c r="BC901" s="19">
        <v>10.8470606368044</v>
      </c>
      <c r="BD901" s="19">
        <v>11.023635038667001</v>
      </c>
      <c r="BE901" s="19">
        <v>11.350624671745701</v>
      </c>
      <c r="BF901" s="19">
        <v>11.644915341516599</v>
      </c>
      <c r="BG901" s="19">
        <v>11.9065070479796</v>
      </c>
      <c r="BH901" s="19">
        <v>12.1353997911348</v>
      </c>
      <c r="BI901" s="19">
        <v>12.3356809413955</v>
      </c>
      <c r="BJ901" s="19">
        <v>12.5196126100023</v>
      </c>
      <c r="BK901" s="18"/>
      <c r="BL901" s="18"/>
      <c r="BM901" s="19">
        <v>10.694090799079801</v>
      </c>
      <c r="BN901" s="19">
        <v>11.2524255975618</v>
      </c>
      <c r="BO901" s="19">
        <v>11.7952283884725</v>
      </c>
      <c r="BP901" s="19">
        <v>12.1222180215513</v>
      </c>
      <c r="BQ901" s="19">
        <v>12.2333944967981</v>
      </c>
      <c r="BR901" s="19">
        <v>12.311872008737</v>
      </c>
      <c r="BS901" s="19">
        <v>12.357650557368</v>
      </c>
      <c r="BT901" s="19">
        <v>12.374817513104601</v>
      </c>
      <c r="BU901" s="19">
        <v>12.375634987187301</v>
      </c>
    </row>
    <row r="902" spans="3:73" x14ac:dyDescent="0.45">
      <c r="C902" t="s">
        <v>328</v>
      </c>
      <c r="D902" t="s">
        <v>327</v>
      </c>
      <c r="E902" t="s">
        <v>317</v>
      </c>
      <c r="J902" s="7">
        <v>1</v>
      </c>
      <c r="K902" s="7"/>
      <c r="L902" s="7"/>
      <c r="M902" s="7"/>
      <c r="N902" s="7"/>
      <c r="O902" s="7"/>
      <c r="P902" s="7"/>
      <c r="Q902" s="7">
        <v>1</v>
      </c>
      <c r="R902" s="7"/>
      <c r="S902" s="7"/>
      <c r="T902" s="7"/>
      <c r="U902" s="7"/>
      <c r="V902" s="7"/>
      <c r="AR902" s="15" t="s">
        <v>328</v>
      </c>
      <c r="AS902" s="15" t="s">
        <v>369</v>
      </c>
      <c r="AT902" s="15"/>
      <c r="AU902" s="15"/>
      <c r="AV902" s="15" t="s">
        <v>517</v>
      </c>
      <c r="AW902" s="15"/>
      <c r="AX902" s="15"/>
      <c r="AY902" s="15"/>
      <c r="AZ902" s="18"/>
      <c r="BA902" s="18"/>
      <c r="BB902" s="19">
        <v>3.4864275345254501</v>
      </c>
      <c r="BC902" s="19">
        <v>3.5580223977408201</v>
      </c>
      <c r="BD902" s="19">
        <v>3.61594183764538</v>
      </c>
      <c r="BE902" s="19">
        <v>3.7232000596908801</v>
      </c>
      <c r="BF902" s="19">
        <v>3.8197324595318198</v>
      </c>
      <c r="BG902" s="19">
        <v>3.9055390371682202</v>
      </c>
      <c r="BH902" s="19">
        <v>3.9806197926000602</v>
      </c>
      <c r="BI902" s="19">
        <v>4.0463154536029302</v>
      </c>
      <c r="BJ902" s="19">
        <v>4.1066482035035197</v>
      </c>
      <c r="BK902" s="18"/>
      <c r="BL902" s="18"/>
      <c r="BM902" s="19">
        <v>3.50784566074016</v>
      </c>
      <c r="BN902" s="19">
        <v>3.69098907488284</v>
      </c>
      <c r="BO902" s="19">
        <v>3.8690377234783599</v>
      </c>
      <c r="BP902" s="19">
        <v>3.9762959455238498</v>
      </c>
      <c r="BQ902" s="19">
        <v>4.0127637410193202</v>
      </c>
      <c r="BR902" s="19">
        <v>4.0385057143102401</v>
      </c>
      <c r="BS902" s="19">
        <v>4.0535218653966103</v>
      </c>
      <c r="BT902" s="19">
        <v>4.0591529220540004</v>
      </c>
      <c r="BU902" s="19">
        <v>4.0594210676091098</v>
      </c>
    </row>
    <row r="903" spans="3:73" x14ac:dyDescent="0.45">
      <c r="AR903" s="15" t="s">
        <v>328</v>
      </c>
      <c r="AS903" s="15" t="s">
        <v>369</v>
      </c>
      <c r="AT903" s="15"/>
      <c r="AU903" s="15"/>
      <c r="AV903" s="15" t="s">
        <v>518</v>
      </c>
      <c r="AW903" s="15"/>
      <c r="AX903" s="15"/>
      <c r="AY903" s="15"/>
      <c r="AZ903" s="18"/>
      <c r="BA903" s="18"/>
      <c r="BB903" s="19">
        <v>1.2926392303726299E-2</v>
      </c>
      <c r="BC903" s="19">
        <v>1.3559426062643499E-2</v>
      </c>
      <c r="BD903" s="19">
        <v>1.40715432608687E-2</v>
      </c>
      <c r="BE903" s="19">
        <v>1.50199084427672E-2</v>
      </c>
      <c r="BF903" s="19">
        <v>1.5873437106475801E-2</v>
      </c>
      <c r="BG903" s="19">
        <v>1.6632129251994601E-2</v>
      </c>
      <c r="BH903" s="19">
        <v>1.72959848793236E-2</v>
      </c>
      <c r="BI903" s="19">
        <v>1.78768585532364E-2</v>
      </c>
      <c r="BJ903" s="19">
        <v>1.8410313968054301E-2</v>
      </c>
      <c r="BK903" s="18"/>
      <c r="BL903" s="18"/>
      <c r="BM903" s="19">
        <v>1.31157689759866E-2</v>
      </c>
      <c r="BN903" s="19">
        <v>1.47351025240783E-2</v>
      </c>
      <c r="BO903" s="19">
        <v>1.63093887260298E-2</v>
      </c>
      <c r="BP903" s="19">
        <v>1.7257753907928299E-2</v>
      </c>
      <c r="BQ903" s="19">
        <v>1.75801980697738E-2</v>
      </c>
      <c r="BR903" s="19">
        <v>1.7807805713429398E-2</v>
      </c>
      <c r="BS903" s="19">
        <v>1.79405768388952E-2</v>
      </c>
      <c r="BT903" s="19">
        <v>1.7990366010944898E-2</v>
      </c>
      <c r="BU903" s="19">
        <v>1.7992736923899601E-2</v>
      </c>
    </row>
    <row r="904" spans="3:73" x14ac:dyDescent="0.45">
      <c r="AR904" s="15" t="s">
        <v>328</v>
      </c>
      <c r="AS904" s="15" t="s">
        <v>369</v>
      </c>
      <c r="AT904" s="15"/>
      <c r="AU904" s="15"/>
      <c r="AV904" s="15" t="s">
        <v>519</v>
      </c>
      <c r="AW904" s="15"/>
      <c r="AX904" s="15"/>
      <c r="AY904" s="15"/>
      <c r="AZ904" s="18"/>
      <c r="BA904" s="18"/>
      <c r="BB904" s="19">
        <v>0.15074702637703699</v>
      </c>
      <c r="BC904" s="19">
        <v>0.15812943861633899</v>
      </c>
      <c r="BD904" s="19">
        <v>0.16410172716948199</v>
      </c>
      <c r="BE904" s="19">
        <v>0.175161520786415</v>
      </c>
      <c r="BF904" s="19">
        <v>0.18511533504165401</v>
      </c>
      <c r="BG904" s="19">
        <v>0.19396316993519999</v>
      </c>
      <c r="BH904" s="19">
        <v>0.20170502546705199</v>
      </c>
      <c r="BI904" s="19">
        <v>0.20847914905742301</v>
      </c>
      <c r="BJ904" s="19">
        <v>0.21470028296694799</v>
      </c>
      <c r="BK904" s="18"/>
      <c r="BL904" s="18"/>
      <c r="BM904" s="19">
        <v>0.15295552891491801</v>
      </c>
      <c r="BN904" s="19">
        <v>0.17184012651583</v>
      </c>
      <c r="BO904" s="19">
        <v>0.19019938391993699</v>
      </c>
      <c r="BP904" s="19">
        <v>0.20125917753687</v>
      </c>
      <c r="BQ904" s="19">
        <v>0.205019507366627</v>
      </c>
      <c r="BR904" s="19">
        <v>0.20767385783469</v>
      </c>
      <c r="BS904" s="19">
        <v>0.20922222894106099</v>
      </c>
      <c r="BT904" s="19">
        <v>0.20980286810595</v>
      </c>
      <c r="BU904" s="19">
        <v>0.20983051758999199</v>
      </c>
    </row>
    <row r="905" spans="3:73" x14ac:dyDescent="0.45">
      <c r="AR905" s="15" t="s">
        <v>328</v>
      </c>
      <c r="AS905" s="15" t="s">
        <v>369</v>
      </c>
      <c r="AT905" s="15"/>
      <c r="AU905" s="15"/>
      <c r="AV905" s="15" t="s">
        <v>520</v>
      </c>
      <c r="AW905" s="15"/>
      <c r="AX905" s="15"/>
      <c r="AY905" s="15"/>
      <c r="AZ905" s="18"/>
      <c r="BA905" s="18"/>
      <c r="BB905" s="19">
        <v>4.18379769544771E-2</v>
      </c>
      <c r="BC905" s="19">
        <v>4.3886874372618401E-2</v>
      </c>
      <c r="BD905" s="19">
        <v>4.5544409362575297E-2</v>
      </c>
      <c r="BE905" s="19">
        <v>4.86139186032363E-2</v>
      </c>
      <c r="BF905" s="19">
        <v>5.1376476919831299E-2</v>
      </c>
      <c r="BG905" s="19">
        <v>5.3832084312360098E-2</v>
      </c>
      <c r="BH905" s="19">
        <v>5.5980740780822803E-2</v>
      </c>
      <c r="BI905" s="19">
        <v>5.78608151907277E-2</v>
      </c>
      <c r="BJ905" s="19">
        <v>5.9587414138599602E-2</v>
      </c>
      <c r="BK905" s="18"/>
      <c r="BL905" s="18"/>
      <c r="BM905" s="19">
        <v>4.2450919580971601E-2</v>
      </c>
      <c r="BN905" s="19">
        <v>4.7692106609400299E-2</v>
      </c>
      <c r="BO905" s="19">
        <v>5.2787491948897702E-2</v>
      </c>
      <c r="BP905" s="19">
        <v>5.5857001189558698E-2</v>
      </c>
      <c r="BQ905" s="19">
        <v>5.6900634331383398E-2</v>
      </c>
      <c r="BR905" s="19">
        <v>5.7637316549142101E-2</v>
      </c>
      <c r="BS905" s="19">
        <v>5.8067047842834597E-2</v>
      </c>
      <c r="BT905" s="19">
        <v>5.82281970779693E-2</v>
      </c>
      <c r="BU905" s="19">
        <v>5.8235870851071E-2</v>
      </c>
    </row>
    <row r="906" spans="3:73" x14ac:dyDescent="0.45">
      <c r="AR906" s="15" t="s">
        <v>328</v>
      </c>
      <c r="AS906" s="15" t="s">
        <v>369</v>
      </c>
      <c r="AT906" s="15"/>
      <c r="AU906" s="15"/>
      <c r="AV906" s="15" t="s">
        <v>521</v>
      </c>
      <c r="AW906" s="15"/>
      <c r="AX906" s="15"/>
      <c r="AY906" s="15"/>
      <c r="AZ906" s="18"/>
      <c r="BA906" s="18"/>
      <c r="BB906" s="19">
        <v>1.3894956953107799E-2</v>
      </c>
      <c r="BC906" s="19">
        <v>1.45754234454858E-2</v>
      </c>
      <c r="BD906" s="19">
        <v>1.51259131921288E-2</v>
      </c>
      <c r="BE906" s="19">
        <v>1.61453386488749E-2</v>
      </c>
      <c r="BF906" s="19">
        <v>1.7062821559946401E-2</v>
      </c>
      <c r="BG906" s="19">
        <v>1.7878361925343301E-2</v>
      </c>
      <c r="BH906" s="19">
        <v>1.8591959745065601E-2</v>
      </c>
      <c r="BI906" s="19">
        <v>1.92163578373226E-2</v>
      </c>
      <c r="BJ906" s="19">
        <v>1.9789784656742301E-2</v>
      </c>
      <c r="BK906" s="18"/>
      <c r="BL906" s="18"/>
      <c r="BM906" s="19">
        <v>1.40985234740018E-2</v>
      </c>
      <c r="BN906" s="19">
        <v>1.58391924413958E-2</v>
      </c>
      <c r="BO906" s="19">
        <v>1.75314386995944E-2</v>
      </c>
      <c r="BP906" s="19">
        <v>1.85508641563405E-2</v>
      </c>
      <c r="BQ906" s="19">
        <v>1.8897468811634201E-2</v>
      </c>
      <c r="BR906" s="19">
        <v>1.91421309212533E-2</v>
      </c>
      <c r="BS906" s="19">
        <v>1.9284850485197701E-2</v>
      </c>
      <c r="BT906" s="19">
        <v>1.9338370321676901E-2</v>
      </c>
      <c r="BU906" s="19">
        <v>1.93409188853188E-2</v>
      </c>
    </row>
    <row r="907" spans="3:73" x14ac:dyDescent="0.45">
      <c r="AR907" s="15" t="s">
        <v>328</v>
      </c>
      <c r="AS907" s="15" t="s">
        <v>369</v>
      </c>
      <c r="AT907" s="15"/>
      <c r="AU907" s="15"/>
      <c r="AV907" s="15" t="s">
        <v>522</v>
      </c>
      <c r="AW907" s="15"/>
      <c r="AX907" s="15"/>
      <c r="AY907" s="15"/>
      <c r="AZ907" s="18"/>
      <c r="BA907" s="18"/>
      <c r="BB907" s="19">
        <v>3.9912602096500799E-2</v>
      </c>
      <c r="BC907" s="19">
        <v>4.1867209688445303E-2</v>
      </c>
      <c r="BD907" s="19">
        <v>4.3448465268445299E-2</v>
      </c>
      <c r="BE907" s="19">
        <v>4.6376716342519497E-2</v>
      </c>
      <c r="BF907" s="19">
        <v>4.9012142309186199E-2</v>
      </c>
      <c r="BG907" s="19">
        <v>5.1354743168445502E-2</v>
      </c>
      <c r="BH907" s="19">
        <v>5.3404518920297399E-2</v>
      </c>
      <c r="BI907" s="19">
        <v>5.5198072703167803E-2</v>
      </c>
      <c r="BJ907" s="19">
        <v>5.68452139323345E-2</v>
      </c>
      <c r="BK907" s="18"/>
      <c r="BL907" s="18"/>
      <c r="BM907" s="19">
        <v>4.0497337232855E-2</v>
      </c>
      <c r="BN907" s="19">
        <v>4.54973259418366E-2</v>
      </c>
      <c r="BO907" s="19">
        <v>5.0358222724799603E-2</v>
      </c>
      <c r="BP907" s="19">
        <v>5.3286473798873801E-2</v>
      </c>
      <c r="BQ907" s="19">
        <v>5.4282079164058999E-2</v>
      </c>
      <c r="BR907" s="19">
        <v>5.4984859421836799E-2</v>
      </c>
      <c r="BS907" s="19">
        <v>5.5394814572207199E-2</v>
      </c>
      <c r="BT907" s="19">
        <v>5.5548547753596002E-2</v>
      </c>
      <c r="BU907" s="19">
        <v>5.5555868381281202E-2</v>
      </c>
    </row>
    <row r="908" spans="3:73" x14ac:dyDescent="0.45">
      <c r="AR908" s="15" t="s">
        <v>328</v>
      </c>
      <c r="AS908" s="15" t="s">
        <v>369</v>
      </c>
      <c r="AT908" s="15"/>
      <c r="AU908" s="15"/>
      <c r="AV908" s="15" t="s">
        <v>523</v>
      </c>
      <c r="AW908" s="15"/>
      <c r="AX908" s="15"/>
      <c r="AY908" s="15"/>
      <c r="AZ908" s="18"/>
      <c r="BA908" s="18"/>
      <c r="BB908" s="19">
        <v>3.2130199363723899E-6</v>
      </c>
      <c r="BC908" s="19">
        <v>3.37036856389405E-6</v>
      </c>
      <c r="BD908" s="19">
        <v>3.4976618355969699E-6</v>
      </c>
      <c r="BE908" s="19">
        <v>3.7333901165282901E-6</v>
      </c>
      <c r="BF908" s="19">
        <v>3.94554556936648E-6</v>
      </c>
      <c r="BG908" s="19">
        <v>4.1341281941115402E-6</v>
      </c>
      <c r="BH908" s="19">
        <v>4.2991379907634596E-6</v>
      </c>
      <c r="BI908" s="19">
        <v>4.4435215628338997E-6</v>
      </c>
      <c r="BJ908" s="19">
        <v>4.5761187208577702E-6</v>
      </c>
      <c r="BK908" s="18"/>
      <c r="BL908" s="18"/>
      <c r="BM908" s="19">
        <v>3.2600919274708698E-6</v>
      </c>
      <c r="BN908" s="19">
        <v>3.6625979671611E-6</v>
      </c>
      <c r="BO908" s="19">
        <v>4.0539069135071002E-6</v>
      </c>
      <c r="BP908" s="19">
        <v>4.28963519443842E-6</v>
      </c>
      <c r="BQ908" s="19">
        <v>4.3697828099550702E-6</v>
      </c>
      <c r="BR908" s="19">
        <v>4.4263575973785898E-6</v>
      </c>
      <c r="BS908" s="19">
        <v>4.4593595567089702E-6</v>
      </c>
      <c r="BT908" s="19">
        <v>4.4717352914578697E-6</v>
      </c>
      <c r="BU908" s="19">
        <v>4.4723246121601996E-6</v>
      </c>
    </row>
    <row r="909" spans="3:73" x14ac:dyDescent="0.45">
      <c r="AR909" s="15" t="s">
        <v>328</v>
      </c>
      <c r="AS909" s="15" t="s">
        <v>369</v>
      </c>
      <c r="AT909" s="15"/>
      <c r="AU909" s="15"/>
      <c r="AV909" s="15" t="s">
        <v>524</v>
      </c>
      <c r="AW909" s="15"/>
      <c r="AX909" s="15"/>
      <c r="AY909" s="15"/>
      <c r="AZ909" s="18"/>
      <c r="BA909" s="18"/>
      <c r="BB909" s="19">
        <v>1.2810329886690799E-2</v>
      </c>
      <c r="BC909" s="19">
        <v>1.3437679814698501E-2</v>
      </c>
      <c r="BD909" s="19">
        <v>1.3945198857581101E-2</v>
      </c>
      <c r="BE909" s="19">
        <v>1.48850489369933E-2</v>
      </c>
      <c r="BF909" s="19">
        <v>1.5730914008464401E-2</v>
      </c>
      <c r="BG909" s="19">
        <v>1.6482794071994201E-2</v>
      </c>
      <c r="BH909" s="19">
        <v>1.7140689127582799E-2</v>
      </c>
      <c r="BI909" s="19">
        <v>1.7716347301222801E-2</v>
      </c>
      <c r="BJ909" s="19">
        <v>1.8245012970892201E-2</v>
      </c>
      <c r="BK909" s="18"/>
      <c r="BL909" s="18"/>
      <c r="BM909" s="19">
        <v>1.2998006199423401E-2</v>
      </c>
      <c r="BN909" s="19">
        <v>1.4602800210019799E-2</v>
      </c>
      <c r="BO909" s="19">
        <v>1.6162951341844201E-2</v>
      </c>
      <c r="BP909" s="19">
        <v>1.7102801421256499E-2</v>
      </c>
      <c r="BQ909" s="19">
        <v>1.7422350448256602E-2</v>
      </c>
      <c r="BR909" s="19">
        <v>1.76479144673156E-2</v>
      </c>
      <c r="BS909" s="19">
        <v>1.77794934784333E-2</v>
      </c>
      <c r="BT909" s="19">
        <v>1.78288356076024E-2</v>
      </c>
      <c r="BU909" s="19">
        <v>1.7831185232801E-2</v>
      </c>
    </row>
    <row r="910" spans="3:73" x14ac:dyDescent="0.45">
      <c r="AR910" s="15" t="s">
        <v>328</v>
      </c>
      <c r="AS910" s="15" t="s">
        <v>369</v>
      </c>
      <c r="AT910" s="15"/>
      <c r="AU910" s="15"/>
      <c r="AV910" s="15" t="s">
        <v>525</v>
      </c>
      <c r="AW910" s="15"/>
      <c r="AX910" s="15"/>
      <c r="AY910" s="15"/>
      <c r="AZ910" s="18"/>
      <c r="BA910" s="18"/>
      <c r="BB910" s="19">
        <v>0.16153383994528001</v>
      </c>
      <c r="BC910" s="19">
        <v>0.169444506084</v>
      </c>
      <c r="BD910" s="19">
        <v>0.175844146106336</v>
      </c>
      <c r="BE910" s="19">
        <v>0.18769533133288199</v>
      </c>
      <c r="BF910" s="19">
        <v>0.19836139803677399</v>
      </c>
      <c r="BG910" s="19">
        <v>0.20784234621801201</v>
      </c>
      <c r="BH910" s="19">
        <v>0.21613817587659401</v>
      </c>
      <c r="BI910" s="19">
        <v>0.22339702682785401</v>
      </c>
      <c r="BJ910" s="19">
        <v>0.230063318517787</v>
      </c>
      <c r="BK910" s="18"/>
      <c r="BL910" s="18"/>
      <c r="BM910" s="19">
        <v>0.163900373495206</v>
      </c>
      <c r="BN910" s="19">
        <v>0.184136272269535</v>
      </c>
      <c r="BO910" s="19">
        <v>0.203809239745602</v>
      </c>
      <c r="BP910" s="19">
        <v>0.21566042497214899</v>
      </c>
      <c r="BQ910" s="19">
        <v>0.21968982794917499</v>
      </c>
      <c r="BR910" s="19">
        <v>0.22253411240354601</v>
      </c>
      <c r="BS910" s="19">
        <v>0.22419327833526301</v>
      </c>
      <c r="BT910" s="19">
        <v>0.22481546555965601</v>
      </c>
      <c r="BU910" s="19">
        <v>0.224845093522723</v>
      </c>
    </row>
    <row r="911" spans="3:73" x14ac:dyDescent="0.45">
      <c r="AR911" s="15" t="s">
        <v>328</v>
      </c>
      <c r="AS911" s="15" t="s">
        <v>369</v>
      </c>
      <c r="AT911" s="15"/>
      <c r="AU911" s="15"/>
      <c r="AV911" s="15" t="s">
        <v>526</v>
      </c>
      <c r="AW911" s="15"/>
      <c r="AX911" s="15"/>
      <c r="AY911" s="15"/>
      <c r="AZ911" s="18"/>
      <c r="BA911" s="18"/>
      <c r="BB911" s="19">
        <v>0.44469022174376599</v>
      </c>
      <c r="BC911" s="19">
        <v>0.46646767642793502</v>
      </c>
      <c r="BD911" s="19">
        <v>0.48408539257692601</v>
      </c>
      <c r="BE911" s="19">
        <v>0.51671079285283605</v>
      </c>
      <c r="BF911" s="19">
        <v>0.54607365310115397</v>
      </c>
      <c r="BG911" s="19">
        <v>0.57217397332188202</v>
      </c>
      <c r="BH911" s="19">
        <v>0.595011753515019</v>
      </c>
      <c r="BI911" s="19">
        <v>0.614994811184013</v>
      </c>
      <c r="BJ911" s="19">
        <v>0.63334659883921196</v>
      </c>
      <c r="BK911" s="18"/>
      <c r="BL911" s="18"/>
      <c r="BM911" s="19">
        <v>0.45120510636136102</v>
      </c>
      <c r="BN911" s="19">
        <v>0.50691297733247698</v>
      </c>
      <c r="BO911" s="19">
        <v>0.561071141790487</v>
      </c>
      <c r="BP911" s="19">
        <v>0.59369654206639599</v>
      </c>
      <c r="BQ911" s="19">
        <v>0.60478917816020505</v>
      </c>
      <c r="BR911" s="19">
        <v>0.61261927422642404</v>
      </c>
      <c r="BS911" s="19">
        <v>0.61718683026505095</v>
      </c>
      <c r="BT911" s="19">
        <v>0.61889966377953598</v>
      </c>
      <c r="BU911" s="19">
        <v>0.61898122728022598</v>
      </c>
    </row>
    <row r="912" spans="3:73" x14ac:dyDescent="0.45">
      <c r="AR912" s="15" t="s">
        <v>328</v>
      </c>
      <c r="AS912" s="15" t="s">
        <v>369</v>
      </c>
      <c r="AT912" s="15"/>
      <c r="AU912" s="15"/>
      <c r="AV912" s="15" t="s">
        <v>527</v>
      </c>
      <c r="AW912" s="15"/>
      <c r="AX912" s="15"/>
      <c r="AY912" s="15"/>
      <c r="AZ912" s="18"/>
      <c r="BA912" s="18"/>
      <c r="BB912" s="19">
        <v>9.1753494641584707E-2</v>
      </c>
      <c r="BC912" s="19">
        <v>9.6246864349234101E-2</v>
      </c>
      <c r="BD912" s="19">
        <v>9.9881949955422294E-2</v>
      </c>
      <c r="BE912" s="19">
        <v>0.106613589966882</v>
      </c>
      <c r="BF912" s="19">
        <v>0.11267206597719601</v>
      </c>
      <c r="BG912" s="19">
        <v>0.118057377986364</v>
      </c>
      <c r="BH912" s="19">
        <v>0.122769525994385</v>
      </c>
      <c r="BI912" s="19">
        <v>0.12689265550140399</v>
      </c>
      <c r="BJ912" s="19">
        <v>0.13067920300784999</v>
      </c>
      <c r="BK912" s="18"/>
      <c r="BL912" s="18"/>
      <c r="BM912" s="19">
        <v>9.3097719006373106E-2</v>
      </c>
      <c r="BN912" s="19">
        <v>0.104591994325941</v>
      </c>
      <c r="BO912" s="19">
        <v>0.11576651674496399</v>
      </c>
      <c r="BP912" s="19">
        <v>0.122498156756423</v>
      </c>
      <c r="BQ912" s="19">
        <v>0.12478691436031999</v>
      </c>
      <c r="BR912" s="19">
        <v>0.12640250796307001</v>
      </c>
      <c r="BS912" s="19">
        <v>0.12734493756467399</v>
      </c>
      <c r="BT912" s="19">
        <v>0.12769834866527599</v>
      </c>
      <c r="BU912" s="19">
        <v>0.127715177765305</v>
      </c>
    </row>
    <row r="913" spans="44:73" x14ac:dyDescent="0.45">
      <c r="AR913" s="15" t="s">
        <v>328</v>
      </c>
      <c r="AS913" s="15" t="s">
        <v>369</v>
      </c>
      <c r="AT913" s="15"/>
      <c r="AU913" s="15"/>
      <c r="AV913" s="15" t="s">
        <v>528</v>
      </c>
      <c r="AW913" s="15"/>
      <c r="AX913" s="15"/>
      <c r="AY913" s="15"/>
      <c r="AZ913" s="18"/>
      <c r="BA913" s="18"/>
      <c r="BB913" s="19">
        <v>1.5359840919547001</v>
      </c>
      <c r="BC913" s="19">
        <v>1.6112045990011199</v>
      </c>
      <c r="BD913" s="19">
        <v>1.6720571440274301</v>
      </c>
      <c r="BE913" s="19">
        <v>1.7847470422243099</v>
      </c>
      <c r="BF913" s="19">
        <v>1.8861679506015001</v>
      </c>
      <c r="BG913" s="19">
        <v>1.976319869159</v>
      </c>
      <c r="BH913" s="19">
        <v>2.0552027978968201</v>
      </c>
      <c r="BI913" s="19">
        <v>2.1242253605424</v>
      </c>
      <c r="BJ913" s="19">
        <v>2.1876134282781501</v>
      </c>
      <c r="BK913" s="18"/>
      <c r="BL913" s="18"/>
      <c r="BM913" s="19">
        <v>1.55848685600089</v>
      </c>
      <c r="BN913" s="19">
        <v>1.75090485717206</v>
      </c>
      <c r="BO913" s="19">
        <v>1.9379700881788799</v>
      </c>
      <c r="BP913" s="19">
        <v>2.0506599863757602</v>
      </c>
      <c r="BQ913" s="19">
        <v>2.0889745517626901</v>
      </c>
      <c r="BR913" s="19">
        <v>2.1160201273299402</v>
      </c>
      <c r="BS913" s="19">
        <v>2.13179671307751</v>
      </c>
      <c r="BT913" s="19">
        <v>2.1377129327328399</v>
      </c>
      <c r="BU913" s="19">
        <v>2.13799465747833</v>
      </c>
    </row>
    <row r="914" spans="44:73" x14ac:dyDescent="0.45">
      <c r="AR914" s="15" t="s">
        <v>328</v>
      </c>
      <c r="AS914" s="15" t="s">
        <v>369</v>
      </c>
      <c r="AT914" s="15"/>
      <c r="AU914" s="15"/>
      <c r="AV914" s="15" t="s">
        <v>530</v>
      </c>
      <c r="AW914" s="15"/>
      <c r="AX914" s="15"/>
      <c r="AY914" s="15"/>
      <c r="AZ914" s="18"/>
      <c r="BA914" s="18"/>
      <c r="BB914" s="19">
        <v>0.85778045075644305</v>
      </c>
      <c r="BC914" s="19">
        <v>0.89978783923029804</v>
      </c>
      <c r="BD914" s="19">
        <v>0.93377134451251698</v>
      </c>
      <c r="BE914" s="19">
        <v>0.99670376170181296</v>
      </c>
      <c r="BF914" s="19">
        <v>1.0533429371721801</v>
      </c>
      <c r="BG914" s="19">
        <v>1.1036888709236199</v>
      </c>
      <c r="BH914" s="19">
        <v>1.1477415629561201</v>
      </c>
      <c r="BI914" s="19">
        <v>1.18628766848457</v>
      </c>
      <c r="BJ914" s="19">
        <v>1.22168715315355</v>
      </c>
      <c r="BK914" s="18"/>
      <c r="BL914" s="18"/>
      <c r="BM914" s="19">
        <v>0.87034726781393001</v>
      </c>
      <c r="BN914" s="19">
        <v>0.97780437016465305</v>
      </c>
      <c r="BO914" s="19">
        <v>1.0822721826988799</v>
      </c>
      <c r="BP914" s="19">
        <v>1.1452045998881799</v>
      </c>
      <c r="BQ914" s="19">
        <v>1.1666016217325399</v>
      </c>
      <c r="BR914" s="19">
        <v>1.18170540185797</v>
      </c>
      <c r="BS914" s="19">
        <v>1.1905159402644701</v>
      </c>
      <c r="BT914" s="19">
        <v>1.1938198921669101</v>
      </c>
      <c r="BU914" s="19">
        <v>1.19397722320988</v>
      </c>
    </row>
    <row r="915" spans="44:73" x14ac:dyDescent="0.45">
      <c r="AR915" s="15" t="s">
        <v>328</v>
      </c>
      <c r="AS915" s="15" t="s">
        <v>369</v>
      </c>
      <c r="AT915" s="15"/>
      <c r="AU915" s="15"/>
      <c r="AV915" s="15" t="s">
        <v>531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328</v>
      </c>
      <c r="AS916" s="15" t="s">
        <v>369</v>
      </c>
      <c r="AT916" s="15"/>
      <c r="AU916" s="15"/>
      <c r="AV916" s="15" t="s">
        <v>532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328</v>
      </c>
      <c r="AS917" s="15" t="s">
        <v>369</v>
      </c>
      <c r="AT917" s="15"/>
      <c r="AU917" s="15"/>
      <c r="AV917" s="15" t="s">
        <v>533</v>
      </c>
      <c r="AW917" s="15"/>
      <c r="AX917" s="15"/>
      <c r="AY917" s="15"/>
      <c r="AZ917" s="18"/>
      <c r="BA917" s="18"/>
      <c r="BB917" s="19">
        <v>0</v>
      </c>
      <c r="BC917" s="19">
        <v>0</v>
      </c>
      <c r="BD917" s="19">
        <v>0</v>
      </c>
      <c r="BE917" s="19">
        <v>0</v>
      </c>
      <c r="BF917" s="19">
        <v>0</v>
      </c>
      <c r="BG917" s="19">
        <v>0</v>
      </c>
      <c r="BH917" s="19">
        <v>0</v>
      </c>
      <c r="BI917" s="19">
        <v>0</v>
      </c>
      <c r="BJ917" s="19">
        <v>0</v>
      </c>
      <c r="BK917" s="18"/>
      <c r="BL917" s="18"/>
      <c r="BM917" s="19">
        <v>0</v>
      </c>
      <c r="BN917" s="19">
        <v>0</v>
      </c>
      <c r="BO917" s="19">
        <v>0</v>
      </c>
      <c r="BP917" s="19">
        <v>0</v>
      </c>
      <c r="BQ917" s="19">
        <v>0</v>
      </c>
      <c r="BR917" s="19">
        <v>0</v>
      </c>
      <c r="BS917" s="19">
        <v>0</v>
      </c>
      <c r="BT917" s="19">
        <v>0</v>
      </c>
      <c r="BU917" s="19">
        <v>0</v>
      </c>
    </row>
    <row r="918" spans="44:73" x14ac:dyDescent="0.45">
      <c r="AR918" s="15" t="s">
        <v>328</v>
      </c>
      <c r="AS918" s="15" t="s">
        <v>369</v>
      </c>
      <c r="AT918" s="15"/>
      <c r="AU918" s="15"/>
      <c r="AV918" s="15" t="s">
        <v>534</v>
      </c>
      <c r="AW918" s="15"/>
      <c r="AX918" s="15"/>
      <c r="AY918" s="15"/>
      <c r="AZ918" s="18"/>
      <c r="BA918" s="18"/>
      <c r="BB918" s="19">
        <v>2.8111738675748401</v>
      </c>
      <c r="BC918" s="19">
        <v>2.9300216369026399</v>
      </c>
      <c r="BD918" s="19">
        <v>3.1068736629917</v>
      </c>
      <c r="BE918" s="19">
        <v>3.2881963346476102</v>
      </c>
      <c r="BF918" s="19">
        <v>3.51521131970126</v>
      </c>
      <c r="BG918" s="19">
        <v>3.75458244233084</v>
      </c>
      <c r="BH918" s="19">
        <v>4.0267918447503197</v>
      </c>
      <c r="BI918" s="19">
        <v>4.4095838944854204</v>
      </c>
      <c r="BJ918" s="19">
        <v>4.7987472810893603</v>
      </c>
      <c r="BK918" s="18"/>
      <c r="BL918" s="18"/>
      <c r="BM918" s="19">
        <v>2.64901823516507</v>
      </c>
      <c r="BN918" s="19">
        <v>2.95214052158755</v>
      </c>
      <c r="BO918" s="19">
        <v>3.3094362913429398</v>
      </c>
      <c r="BP918" s="19">
        <v>3.8261375430694402</v>
      </c>
      <c r="BQ918" s="19">
        <v>4.3551499023907798</v>
      </c>
      <c r="BR918" s="19">
        <v>4.8201926654253002</v>
      </c>
      <c r="BS918" s="19">
        <v>5.3581557749837803</v>
      </c>
      <c r="BT918" s="19">
        <v>5.9388347286653902</v>
      </c>
      <c r="BU918" s="19">
        <v>6.49384707622972</v>
      </c>
    </row>
    <row r="919" spans="44:73" x14ac:dyDescent="0.45">
      <c r="AR919" s="15" t="s">
        <v>328</v>
      </c>
      <c r="AS919" s="15" t="s">
        <v>369</v>
      </c>
      <c r="AT919" s="15"/>
      <c r="AU919" s="15"/>
      <c r="AV919" s="15" t="s">
        <v>535</v>
      </c>
      <c r="AW919" s="15"/>
      <c r="AX919" s="15"/>
      <c r="AY919" s="15"/>
      <c r="AZ919" s="18"/>
      <c r="BA919" s="18"/>
      <c r="BB919" s="19">
        <v>2.4973180909125801</v>
      </c>
      <c r="BC919" s="19">
        <v>2.5779588517219199</v>
      </c>
      <c r="BD919" s="19">
        <v>2.6598585233076499</v>
      </c>
      <c r="BE919" s="19">
        <v>2.7744497889507498</v>
      </c>
      <c r="BF919" s="19">
        <v>2.9108354506321001</v>
      </c>
      <c r="BG919" s="19">
        <v>3.01726220963991</v>
      </c>
      <c r="BH919" s="19">
        <v>3.10371636686535</v>
      </c>
      <c r="BI919" s="19">
        <v>3.19017052409079</v>
      </c>
      <c r="BJ919" s="19">
        <v>3.2766246813162301</v>
      </c>
      <c r="BK919" s="18"/>
      <c r="BL919" s="18"/>
      <c r="BM919" s="19">
        <v>2.4027775754843002</v>
      </c>
      <c r="BN919" s="19">
        <v>2.49277596301383</v>
      </c>
      <c r="BO919" s="19">
        <v>2.5861048144440999</v>
      </c>
      <c r="BP919" s="19">
        <v>2.6829278725895098</v>
      </c>
      <c r="BQ919" s="19">
        <v>2.7833759595954102</v>
      </c>
      <c r="BR919" s="19">
        <v>2.8875847955525802</v>
      </c>
      <c r="BS919" s="19">
        <v>2.9956951818749</v>
      </c>
      <c r="BT919" s="19">
        <v>3.1078531915427901</v>
      </c>
      <c r="BU919" s="19">
        <v>3.22421036646913</v>
      </c>
    </row>
    <row r="920" spans="44:73" x14ac:dyDescent="0.45">
      <c r="AR920" s="15" t="s">
        <v>328</v>
      </c>
      <c r="AS920" s="15" t="s">
        <v>369</v>
      </c>
      <c r="AT920" s="15"/>
      <c r="AU920" s="15"/>
      <c r="AV920" s="15" t="s">
        <v>536</v>
      </c>
      <c r="AW920" s="15"/>
      <c r="AX920" s="15"/>
      <c r="AY920" s="15"/>
      <c r="AZ920" s="18"/>
      <c r="BA920" s="18"/>
      <c r="BB920" s="19">
        <v>0.203373819163293</v>
      </c>
      <c r="BC920" s="19">
        <v>0.20953666216824099</v>
      </c>
      <c r="BD920" s="19">
        <v>0.212618083670715</v>
      </c>
      <c r="BE920" s="19">
        <v>0.215699505173189</v>
      </c>
      <c r="BF920" s="19">
        <v>0.21878092667566401</v>
      </c>
      <c r="BG920" s="19">
        <v>0.21878092667566401</v>
      </c>
      <c r="BH920" s="19">
        <v>0.224943769680612</v>
      </c>
      <c r="BI920" s="19">
        <v>0.23418803418803399</v>
      </c>
      <c r="BJ920" s="19">
        <v>0.24035087719298201</v>
      </c>
      <c r="BK920" s="18"/>
      <c r="BL920" s="18"/>
      <c r="BM920" s="19">
        <v>0.21</v>
      </c>
      <c r="BN920" s="19">
        <v>0.22</v>
      </c>
      <c r="BO920" s="19">
        <v>0.24</v>
      </c>
      <c r="BP920" s="19">
        <v>0.25</v>
      </c>
      <c r="BQ920" s="19">
        <v>0.25</v>
      </c>
      <c r="BR920" s="19">
        <v>0.26</v>
      </c>
      <c r="BS920" s="19">
        <v>0.26</v>
      </c>
      <c r="BT920" s="19">
        <v>0.26</v>
      </c>
      <c r="BU920" s="19">
        <v>0.26</v>
      </c>
    </row>
    <row r="921" spans="44:73" x14ac:dyDescent="0.45">
      <c r="AR921" s="15" t="s">
        <v>328</v>
      </c>
      <c r="AS921" s="15" t="s">
        <v>369</v>
      </c>
      <c r="AT921" s="15"/>
      <c r="AU921" s="15"/>
      <c r="AV921" s="15" t="s">
        <v>537</v>
      </c>
      <c r="AW921" s="15"/>
      <c r="AX921" s="15"/>
      <c r="AY921" s="15"/>
      <c r="AZ921" s="18"/>
      <c r="BA921" s="18"/>
      <c r="BB921" s="19">
        <v>2.4754688745572402</v>
      </c>
      <c r="BC921" s="19">
        <v>2.3544303508125402</v>
      </c>
      <c r="BD921" s="19">
        <v>2.2532124119153698</v>
      </c>
      <c r="BE921" s="19">
        <v>2.32402975374674</v>
      </c>
      <c r="BF921" s="19">
        <v>2.43215196416423</v>
      </c>
      <c r="BG921" s="19">
        <v>2.69760044924459</v>
      </c>
      <c r="BH921" s="19">
        <v>2.9920203552187501</v>
      </c>
      <c r="BI921" s="19">
        <v>3.3185736636981198</v>
      </c>
      <c r="BJ921" s="19">
        <v>3.6807674594130901</v>
      </c>
      <c r="BK921" s="18"/>
      <c r="BL921" s="18"/>
      <c r="BM921" s="19">
        <v>2.8963923999999999</v>
      </c>
      <c r="BN921" s="19">
        <v>2.7261477881576601</v>
      </c>
      <c r="BO921" s="19">
        <v>2.9818500363101101</v>
      </c>
      <c r="BP921" s="19">
        <v>3.3600729421153899</v>
      </c>
      <c r="BQ921" s="19">
        <v>3.8430121443334602</v>
      </c>
      <c r="BR921" s="19">
        <v>4.14721845799086</v>
      </c>
      <c r="BS921" s="19">
        <v>4.4536734939034304</v>
      </c>
      <c r="BT921" s="19">
        <v>4.6901319676574804</v>
      </c>
      <c r="BU921" s="19">
        <v>4.9391447092281204</v>
      </c>
    </row>
    <row r="922" spans="44:73" x14ac:dyDescent="0.45">
      <c r="AR922" s="15" t="s">
        <v>328</v>
      </c>
      <c r="AS922" s="15" t="s">
        <v>369</v>
      </c>
      <c r="AT922" s="15"/>
      <c r="AU922" s="15"/>
      <c r="AV922" s="15" t="s">
        <v>538</v>
      </c>
      <c r="AW922" s="15"/>
      <c r="AX922" s="15"/>
      <c r="AY922" s="15"/>
      <c r="AZ922" s="18"/>
      <c r="BA922" s="18"/>
      <c r="BB922" s="19">
        <v>0.26518694759122302</v>
      </c>
      <c r="BC922" s="19">
        <v>0.27182808323451801</v>
      </c>
      <c r="BD922" s="19">
        <v>0.27721453760903297</v>
      </c>
      <c r="BE922" s="19">
        <v>0.27978198042628399</v>
      </c>
      <c r="BF922" s="19">
        <v>0.28229848950064901</v>
      </c>
      <c r="BG922" s="19">
        <v>0.28479135026461999</v>
      </c>
      <c r="BH922" s="19">
        <v>0.28931824437815801</v>
      </c>
      <c r="BI922" s="19">
        <v>0.301225620527794</v>
      </c>
      <c r="BJ922" s="19">
        <v>0.31263056247471899</v>
      </c>
      <c r="BK922" s="18"/>
      <c r="BL922" s="18"/>
      <c r="BM922" s="19">
        <v>0.26803478214548898</v>
      </c>
      <c r="BN922" s="19">
        <v>0.26707779878244903</v>
      </c>
      <c r="BO922" s="19">
        <v>0.28526398852097001</v>
      </c>
      <c r="BP922" s="19">
        <v>0.306291560091565</v>
      </c>
      <c r="BQ922" s="19">
        <v>0.32171363978369999</v>
      </c>
      <c r="BR922" s="19">
        <v>0.325783411745802</v>
      </c>
      <c r="BS922" s="19">
        <v>0.33246780414098398</v>
      </c>
      <c r="BT922" s="19">
        <v>0.33852908459974601</v>
      </c>
      <c r="BU922" s="19">
        <v>0.33886734029182503</v>
      </c>
    </row>
    <row r="923" spans="44:73" x14ac:dyDescent="0.45">
      <c r="AR923" s="15" t="s">
        <v>328</v>
      </c>
      <c r="AS923" s="15" t="s">
        <v>369</v>
      </c>
      <c r="AT923" s="15"/>
      <c r="AU923" s="15"/>
      <c r="AV923" s="15" t="s">
        <v>539</v>
      </c>
      <c r="AW923" s="15"/>
      <c r="AX923" s="15"/>
      <c r="AY923" s="15"/>
      <c r="AZ923" s="18"/>
      <c r="BA923" s="18"/>
      <c r="BB923" s="19">
        <v>0.398304802890662</v>
      </c>
      <c r="BC923" s="19">
        <v>0.405054204564263</v>
      </c>
      <c r="BD923" s="19">
        <v>0.42297886999423001</v>
      </c>
      <c r="BE923" s="19">
        <v>0.442062197674989</v>
      </c>
      <c r="BF923" s="19">
        <v>0.46191796685627601</v>
      </c>
      <c r="BG923" s="19">
        <v>0.47800616807929902</v>
      </c>
      <c r="BH923" s="19">
        <v>0.491582657330147</v>
      </c>
      <c r="BI923" s="19">
        <v>0.50515914658099403</v>
      </c>
      <c r="BJ923" s="19">
        <v>0.51873563583184101</v>
      </c>
      <c r="BK923" s="18"/>
      <c r="BL923" s="18"/>
      <c r="BM923" s="19">
        <v>0.424373609798393</v>
      </c>
      <c r="BN923" s="19">
        <v>0.40098626255164299</v>
      </c>
      <c r="BO923" s="19">
        <v>0.41336946414317399</v>
      </c>
      <c r="BP923" s="19">
        <v>0.43919409629137102</v>
      </c>
      <c r="BQ923" s="19">
        <v>0.46044461506310203</v>
      </c>
      <c r="BR923" s="19">
        <v>0.47864572491718899</v>
      </c>
      <c r="BS923" s="19">
        <v>0.48957769763415199</v>
      </c>
      <c r="BT923" s="19">
        <v>0.49566357892636598</v>
      </c>
      <c r="BU923" s="19">
        <v>0.50174946021858002</v>
      </c>
    </row>
    <row r="924" spans="44:73" x14ac:dyDescent="0.45">
      <c r="AR924" s="15" t="s">
        <v>328</v>
      </c>
      <c r="AS924" s="15" t="s">
        <v>369</v>
      </c>
      <c r="AT924" s="15"/>
      <c r="AU924" s="15"/>
      <c r="AV924" s="15" t="s">
        <v>540</v>
      </c>
      <c r="AW924" s="15"/>
      <c r="AX924" s="15"/>
      <c r="AY924" s="15"/>
      <c r="AZ924" s="18"/>
      <c r="BA924" s="18"/>
      <c r="BB924" s="19">
        <v>0.45662618083670697</v>
      </c>
      <c r="BC924" s="19">
        <v>0.47046333783175898</v>
      </c>
      <c r="BD924" s="19">
        <v>0.47738191632928501</v>
      </c>
      <c r="BE924" s="19">
        <v>0.48430049482681098</v>
      </c>
      <c r="BF924" s="19">
        <v>0.49121907332433701</v>
      </c>
      <c r="BG924" s="19">
        <v>0.49121907332433701</v>
      </c>
      <c r="BH924" s="19">
        <v>0.50505623031938796</v>
      </c>
      <c r="BI924" s="19">
        <v>0.52581196581196599</v>
      </c>
      <c r="BJ924" s="19">
        <v>0.53964912280701804</v>
      </c>
      <c r="BK924" s="18"/>
      <c r="BL924" s="18"/>
      <c r="BM924" s="19">
        <v>0.46</v>
      </c>
      <c r="BN924" s="19">
        <v>0.5</v>
      </c>
      <c r="BO924" s="19">
        <v>0.53</v>
      </c>
      <c r="BP924" s="19">
        <v>0.56000000000000005</v>
      </c>
      <c r="BQ924" s="19">
        <v>0.56999999999999995</v>
      </c>
      <c r="BR924" s="19">
        <v>0.56999999999999995</v>
      </c>
      <c r="BS924" s="19">
        <v>0.59</v>
      </c>
      <c r="BT924" s="19">
        <v>0.59</v>
      </c>
      <c r="BU924" s="19">
        <v>0.59</v>
      </c>
    </row>
    <row r="925" spans="44:73" x14ac:dyDescent="0.45">
      <c r="AR925" s="15" t="s">
        <v>328</v>
      </c>
      <c r="AS925" s="15" t="s">
        <v>369</v>
      </c>
      <c r="AT925" s="15"/>
      <c r="AU925" s="15"/>
      <c r="AV925" s="15" t="s">
        <v>541</v>
      </c>
      <c r="AW925" s="15"/>
      <c r="AX925" s="15"/>
      <c r="AY925" s="15"/>
      <c r="AZ925" s="18"/>
      <c r="BA925" s="18"/>
      <c r="BB925" s="19">
        <v>5.6660332058386196</v>
      </c>
      <c r="BC925" s="19">
        <v>5.84794763203206</v>
      </c>
      <c r="BD925" s="19">
        <v>6.0991224667561799</v>
      </c>
      <c r="BE925" s="19">
        <v>6.2542826141461001</v>
      </c>
      <c r="BF925" s="19">
        <v>6.7375021163970201</v>
      </c>
      <c r="BG925" s="19">
        <v>6.9939054472000803</v>
      </c>
      <c r="BH925" s="19">
        <v>7.26006649932346</v>
      </c>
      <c r="BI925" s="19">
        <v>7.5363566139859701</v>
      </c>
      <c r="BJ925" s="19">
        <v>7.8231612642202002</v>
      </c>
      <c r="BK925" s="18"/>
      <c r="BL925" s="18"/>
      <c r="BM925" s="19">
        <v>5.5187570918086397</v>
      </c>
      <c r="BN925" s="19">
        <v>6.0397063105684001</v>
      </c>
      <c r="BO925" s="19">
        <v>6.7962652425810601</v>
      </c>
      <c r="BP925" s="19">
        <v>7.7839879702488801</v>
      </c>
      <c r="BQ925" s="19">
        <v>8.7298825360324699</v>
      </c>
      <c r="BR925" s="19">
        <v>10.3899443292547</v>
      </c>
      <c r="BS925" s="19">
        <v>11.676368078238299</v>
      </c>
      <c r="BT925" s="19">
        <v>13.1220694912311</v>
      </c>
      <c r="BU925" s="19">
        <v>14.7467694217017</v>
      </c>
    </row>
    <row r="926" spans="44:73" x14ac:dyDescent="0.45">
      <c r="AR926" s="15" t="s">
        <v>328</v>
      </c>
      <c r="AS926" s="15" t="s">
        <v>369</v>
      </c>
      <c r="AT926" s="15"/>
      <c r="AU926" s="15"/>
      <c r="AV926" s="15" t="s">
        <v>542</v>
      </c>
      <c r="AW926" s="15"/>
      <c r="AX926" s="15"/>
      <c r="AY926" s="15"/>
      <c r="AZ926" s="18"/>
      <c r="BA926" s="18"/>
      <c r="BB926" s="19">
        <v>12.159827353090099</v>
      </c>
      <c r="BC926" s="19">
        <v>13.295971292806099</v>
      </c>
      <c r="BD926" s="19">
        <v>14.668573777883999</v>
      </c>
      <c r="BE926" s="19">
        <v>15.9893880039485</v>
      </c>
      <c r="BF926" s="19">
        <v>17.106945884079298</v>
      </c>
      <c r="BG926" s="19">
        <v>17.337361748427998</v>
      </c>
      <c r="BH926" s="19">
        <v>16.525932428403699</v>
      </c>
      <c r="BI926" s="19">
        <v>15.6239150982162</v>
      </c>
      <c r="BJ926" s="19">
        <v>14.771131617161499</v>
      </c>
      <c r="BK926" s="18"/>
      <c r="BL926" s="18"/>
      <c r="BM926" s="19">
        <v>11.429025798843901</v>
      </c>
      <c r="BN926" s="19">
        <v>12.296695710347599</v>
      </c>
      <c r="BO926" s="19">
        <v>13.775821234589401</v>
      </c>
      <c r="BP926" s="19">
        <v>15.884485297205201</v>
      </c>
      <c r="BQ926" s="19">
        <v>18.165421391822299</v>
      </c>
      <c r="BR926" s="19">
        <v>20.793191090819398</v>
      </c>
      <c r="BS926" s="19">
        <v>23.2653937575854</v>
      </c>
      <c r="BT926" s="19">
        <v>25.086355853535402</v>
      </c>
      <c r="BU926" s="19">
        <v>27.049843065949599</v>
      </c>
    </row>
    <row r="927" spans="44:73" x14ac:dyDescent="0.45">
      <c r="AR927" s="15" t="s">
        <v>328</v>
      </c>
      <c r="AS927" s="15" t="s">
        <v>369</v>
      </c>
      <c r="AT927" s="15"/>
      <c r="AU927" s="15"/>
      <c r="AV927" s="15" t="s">
        <v>543</v>
      </c>
      <c r="AW927" s="15"/>
      <c r="AX927" s="15"/>
      <c r="AY927" s="15"/>
      <c r="AZ927" s="18"/>
      <c r="BA927" s="18"/>
      <c r="BB927" s="19">
        <v>0.15237687012738599</v>
      </c>
      <c r="BC927" s="19">
        <v>0.181642441225078</v>
      </c>
      <c r="BD927" s="19">
        <v>0.203372056531021</v>
      </c>
      <c r="BE927" s="19">
        <v>0.22171780536876401</v>
      </c>
      <c r="BF927" s="19">
        <v>0.241667065726207</v>
      </c>
      <c r="BG927" s="19">
        <v>0.26456979495625299</v>
      </c>
      <c r="BH927" s="19">
        <v>0.29282476966794102</v>
      </c>
      <c r="BI927" s="19">
        <v>0.33133335818624798</v>
      </c>
      <c r="BJ927" s="19">
        <v>0.37096234614948997</v>
      </c>
      <c r="BK927" s="18"/>
      <c r="BL927" s="18"/>
      <c r="BM927" s="19">
        <v>0.100874307681245</v>
      </c>
      <c r="BN927" s="19">
        <v>0.114388725535639</v>
      </c>
      <c r="BO927" s="19">
        <v>0.13077942572509099</v>
      </c>
      <c r="BP927" s="19">
        <v>0.15324669908558899</v>
      </c>
      <c r="BQ927" s="19">
        <v>0.176645749906926</v>
      </c>
      <c r="BR927" s="19">
        <v>0.19935821977507001</v>
      </c>
      <c r="BS927" s="19">
        <v>0.22492317205147999</v>
      </c>
      <c r="BT927" s="19">
        <v>0.25109754267132001</v>
      </c>
      <c r="BU927" s="19">
        <v>0.27683203107855497</v>
      </c>
    </row>
    <row r="928" spans="44:73" x14ac:dyDescent="0.45">
      <c r="AR928" s="15" t="s">
        <v>328</v>
      </c>
      <c r="AS928" s="15" t="s">
        <v>369</v>
      </c>
      <c r="AT928" s="15"/>
      <c r="AU928" s="15"/>
      <c r="AV928" s="15" t="s">
        <v>544</v>
      </c>
      <c r="AW928" s="15"/>
      <c r="AX928" s="15"/>
      <c r="AY928" s="15"/>
      <c r="AZ928" s="18"/>
      <c r="BA928" s="18"/>
      <c r="BB928" s="19">
        <v>9.2199163917908198</v>
      </c>
      <c r="BC928" s="19">
        <v>9.2937436388495307</v>
      </c>
      <c r="BD928" s="19">
        <v>9.5469159343940202</v>
      </c>
      <c r="BE928" s="19">
        <v>9.7948126110297302</v>
      </c>
      <c r="BF928" s="19">
        <v>10.1327235766888</v>
      </c>
      <c r="BG928" s="19">
        <v>10.4624772589718</v>
      </c>
      <c r="BH928" s="19">
        <v>10.8621047255071</v>
      </c>
      <c r="BI928" s="19">
        <v>11.5532512081374</v>
      </c>
      <c r="BJ928" s="19">
        <v>12.240563285076</v>
      </c>
      <c r="BK928" s="18"/>
      <c r="BL928" s="18"/>
      <c r="BM928" s="19">
        <v>9.3206390888875603</v>
      </c>
      <c r="BN928" s="19">
        <v>9.8984634338919903</v>
      </c>
      <c r="BO928" s="19">
        <v>10.8042686127487</v>
      </c>
      <c r="BP928" s="19">
        <v>12.0541698995585</v>
      </c>
      <c r="BQ928" s="19">
        <v>13.1989595476026</v>
      </c>
      <c r="BR928" s="19">
        <v>13.9839339900154</v>
      </c>
      <c r="BS928" s="19">
        <v>14.88201418939</v>
      </c>
      <c r="BT928" s="19">
        <v>15.8434714671635</v>
      </c>
      <c r="BU928" s="19">
        <v>16.684753149514499</v>
      </c>
    </row>
    <row r="929" spans="44:73" x14ac:dyDescent="0.45">
      <c r="AR929" s="15" t="s">
        <v>328</v>
      </c>
      <c r="AS929" s="15" t="s">
        <v>369</v>
      </c>
      <c r="AT929" s="15"/>
      <c r="AU929" s="15"/>
      <c r="AV929" s="15" t="s">
        <v>545</v>
      </c>
      <c r="AW929" s="15"/>
      <c r="AX929" s="15"/>
      <c r="AY929" s="15"/>
      <c r="AZ929" s="18"/>
      <c r="BA929" s="18"/>
      <c r="BB929" s="19">
        <v>0.11819320524810201</v>
      </c>
      <c r="BC929" s="19">
        <v>0.11930884524977101</v>
      </c>
      <c r="BD929" s="19">
        <v>0.119643004354025</v>
      </c>
      <c r="BE929" s="19">
        <v>0.118502370880013</v>
      </c>
      <c r="BF929" s="19">
        <v>0.117300657289768</v>
      </c>
      <c r="BG929" s="19">
        <v>0.11765472424739699</v>
      </c>
      <c r="BH929" s="19">
        <v>0.12062155017547101</v>
      </c>
      <c r="BI929" s="19">
        <v>0.12654353516704001</v>
      </c>
      <c r="BJ929" s="19">
        <v>0.13231500567870499</v>
      </c>
      <c r="BK929" s="18"/>
      <c r="BL929" s="18"/>
      <c r="BM929" s="19">
        <v>0.115666189304028</v>
      </c>
      <c r="BN929" s="19">
        <v>0.121258121534307</v>
      </c>
      <c r="BO929" s="19">
        <v>0.128843379432205</v>
      </c>
      <c r="BP929" s="19">
        <v>0.13656076928997701</v>
      </c>
      <c r="BQ929" s="19">
        <v>0.14003876770373599</v>
      </c>
      <c r="BR929" s="19">
        <v>0.137480942186228</v>
      </c>
      <c r="BS929" s="19">
        <v>0.138660591208419</v>
      </c>
      <c r="BT929" s="19">
        <v>0.143355125628508</v>
      </c>
      <c r="BU929" s="19">
        <v>0.14648112924241</v>
      </c>
    </row>
    <row r="930" spans="44:73" x14ac:dyDescent="0.45">
      <c r="AR930" s="15" t="s">
        <v>328</v>
      </c>
      <c r="AS930" s="15" t="s">
        <v>369</v>
      </c>
      <c r="AT930" s="15"/>
      <c r="AU930" s="15"/>
      <c r="AV930" s="15" t="s">
        <v>546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1.4497948717948701E-2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328</v>
      </c>
      <c r="AS931" s="15" t="s">
        <v>369</v>
      </c>
      <c r="AT931" s="15"/>
      <c r="AU931" s="15"/>
      <c r="AV931" s="15" t="s">
        <v>547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328</v>
      </c>
      <c r="AS932" s="15" t="s">
        <v>369</v>
      </c>
      <c r="AT932" s="15"/>
      <c r="AU932" s="15"/>
      <c r="AV932" s="15" t="s">
        <v>548</v>
      </c>
      <c r="AW932" s="15"/>
      <c r="AX932" s="15"/>
      <c r="AY932" s="15"/>
      <c r="AZ932" s="18"/>
      <c r="BA932" s="18"/>
      <c r="BB932" s="19">
        <v>0</v>
      </c>
      <c r="BC932" s="19">
        <v>0</v>
      </c>
      <c r="BD932" s="19">
        <v>0</v>
      </c>
      <c r="BE932" s="19">
        <v>0</v>
      </c>
      <c r="BF932" s="19">
        <v>0</v>
      </c>
      <c r="BG932" s="19">
        <v>0</v>
      </c>
      <c r="BH932" s="19">
        <v>0</v>
      </c>
      <c r="BI932" s="19">
        <v>0</v>
      </c>
      <c r="BJ932" s="19">
        <v>0</v>
      </c>
      <c r="BK932" s="18"/>
      <c r="BL932" s="18"/>
      <c r="BM932" s="19">
        <v>0</v>
      </c>
      <c r="BN932" s="19">
        <v>0</v>
      </c>
      <c r="BO932" s="19">
        <v>0</v>
      </c>
      <c r="BP932" s="19">
        <v>0</v>
      </c>
      <c r="BQ932" s="19">
        <v>0</v>
      </c>
      <c r="BR932" s="19">
        <v>0</v>
      </c>
      <c r="BS932" s="19">
        <v>0</v>
      </c>
      <c r="BT932" s="19">
        <v>0</v>
      </c>
      <c r="BU932" s="19">
        <v>0</v>
      </c>
    </row>
    <row r="933" spans="44:73" x14ac:dyDescent="0.45">
      <c r="AR933" s="15" t="s">
        <v>328</v>
      </c>
      <c r="AS933" s="15" t="s">
        <v>369</v>
      </c>
      <c r="AT933" s="15"/>
      <c r="AU933" s="15"/>
      <c r="AV933" s="15" t="s">
        <v>549</v>
      </c>
      <c r="AW933" s="15"/>
      <c r="AX933" s="15"/>
      <c r="AY933" s="15"/>
      <c r="AZ933" s="18"/>
      <c r="BA933" s="18"/>
      <c r="BB933" s="19">
        <v>6.4507532846715301E-2</v>
      </c>
      <c r="BC933" s="19">
        <v>6.9913326845093299E-2</v>
      </c>
      <c r="BD933" s="19">
        <v>7.5777648012976498E-2</v>
      </c>
      <c r="BE933" s="19">
        <v>8.1617836171938393E-2</v>
      </c>
      <c r="BF933" s="19">
        <v>8.78924184914842E-2</v>
      </c>
      <c r="BG933" s="19">
        <v>9.6025242497972396E-2</v>
      </c>
      <c r="BH933" s="19">
        <v>0.10493032278994301</v>
      </c>
      <c r="BI933" s="19">
        <v>0.114680058394161</v>
      </c>
      <c r="BJ933" s="19">
        <v>0.12529858231954599</v>
      </c>
      <c r="BK933" s="18"/>
      <c r="BL933" s="18"/>
      <c r="BM933" s="19">
        <v>6.6944966747769702E-2</v>
      </c>
      <c r="BN933" s="19">
        <v>7.5294987834549895E-2</v>
      </c>
      <c r="BO933" s="19">
        <v>8.4706861313868606E-2</v>
      </c>
      <c r="BP933" s="19">
        <v>9.1222773722627701E-2</v>
      </c>
      <c r="BQ933" s="19">
        <v>9.8245479318734799E-2</v>
      </c>
      <c r="BR933" s="19">
        <v>0.106474835360908</v>
      </c>
      <c r="BS933" s="19">
        <v>0.1154040486618</v>
      </c>
      <c r="BT933" s="19">
        <v>0.12508138523925399</v>
      </c>
      <c r="BU933" s="19">
        <v>0.135579244120032</v>
      </c>
    </row>
    <row r="934" spans="44:73" x14ac:dyDescent="0.45">
      <c r="AR934" s="15" t="s">
        <v>328</v>
      </c>
      <c r="AS934" s="15" t="s">
        <v>369</v>
      </c>
      <c r="AT934" s="15"/>
      <c r="AU934" s="15"/>
      <c r="AV934" s="15" t="s">
        <v>550</v>
      </c>
      <c r="AW934" s="15"/>
      <c r="AX934" s="15"/>
      <c r="AY934" s="15"/>
      <c r="AZ934" s="18"/>
      <c r="BA934" s="18"/>
      <c r="BB934" s="19">
        <v>24.853937607922798</v>
      </c>
      <c r="BC934" s="19">
        <v>26.938561365355699</v>
      </c>
      <c r="BD934" s="19">
        <v>29.198054117305301</v>
      </c>
      <c r="BE934" s="19">
        <v>31.443115229906201</v>
      </c>
      <c r="BF934" s="19">
        <v>33.860776818464103</v>
      </c>
      <c r="BG934" s="19">
        <v>37.000599570687399</v>
      </c>
      <c r="BH934" s="19">
        <v>40.431540827031</v>
      </c>
      <c r="BI934" s="19">
        <v>44.180653877979701</v>
      </c>
      <c r="BJ934" s="19">
        <v>48.277381198459203</v>
      </c>
      <c r="BK934" s="18"/>
      <c r="BL934" s="18"/>
      <c r="BM934" s="19">
        <v>25.793828286980201</v>
      </c>
      <c r="BN934" s="19">
        <v>29.014569578896399</v>
      </c>
      <c r="BO934" s="19">
        <v>32.637441985307902</v>
      </c>
      <c r="BP934" s="19">
        <v>35.146954442362897</v>
      </c>
      <c r="BQ934" s="19">
        <v>37.849411642885002</v>
      </c>
      <c r="BR934" s="19">
        <v>41.0240344351432</v>
      </c>
      <c r="BS934" s="19">
        <v>44.464942693244403</v>
      </c>
      <c r="BT934" s="19">
        <v>48.194459605144303</v>
      </c>
      <c r="BU934" s="19">
        <v>52.236790746540102</v>
      </c>
    </row>
    <row r="935" spans="44:73" x14ac:dyDescent="0.45">
      <c r="AR935" s="15" t="s">
        <v>328</v>
      </c>
      <c r="AS935" s="15" t="s">
        <v>369</v>
      </c>
      <c r="AT935" s="15"/>
      <c r="AU935" s="15"/>
      <c r="AV935" s="15" t="s">
        <v>551</v>
      </c>
      <c r="AW935" s="15"/>
      <c r="AX935" s="15"/>
      <c r="AY935" s="15"/>
      <c r="AZ935" s="18"/>
      <c r="BA935" s="18"/>
      <c r="BB935" s="19">
        <v>0.25846641028236</v>
      </c>
      <c r="BC935" s="19">
        <v>0.28013801032284202</v>
      </c>
      <c r="BD935" s="19">
        <v>0.30364373241574699</v>
      </c>
      <c r="BE935" s="19">
        <v>0.32698052221435098</v>
      </c>
      <c r="BF935" s="19">
        <v>0.352127300880478</v>
      </c>
      <c r="BG935" s="19">
        <v>0.38477950005060202</v>
      </c>
      <c r="BH935" s="19">
        <v>0.42044834733326603</v>
      </c>
      <c r="BI935" s="19">
        <v>0.45944757413217302</v>
      </c>
      <c r="BJ935" s="19">
        <v>0.50204264548122701</v>
      </c>
      <c r="BK935" s="18"/>
      <c r="BL935" s="18"/>
      <c r="BM935" s="19">
        <v>0.268240350166987</v>
      </c>
      <c r="BN935" s="19">
        <v>0.30171307762372201</v>
      </c>
      <c r="BO935" s="19">
        <v>0.33940911243801197</v>
      </c>
      <c r="BP935" s="19">
        <v>0.36549708531525099</v>
      </c>
      <c r="BQ935" s="19">
        <v>0.39358811253921699</v>
      </c>
      <c r="BR935" s="19">
        <v>0.426602309482846</v>
      </c>
      <c r="BS935" s="19">
        <v>0.462391822690011</v>
      </c>
      <c r="BT935" s="19">
        <v>0.50117385082481503</v>
      </c>
      <c r="BU935" s="19">
        <v>0.54321385892116203</v>
      </c>
    </row>
    <row r="936" spans="44:73" x14ac:dyDescent="0.45">
      <c r="AR936" s="15" t="s">
        <v>328</v>
      </c>
      <c r="AS936" s="15" t="s">
        <v>369</v>
      </c>
      <c r="AT936" s="15"/>
      <c r="AU936" s="15"/>
      <c r="AV936" s="15" t="s">
        <v>552</v>
      </c>
      <c r="AW936" s="15"/>
      <c r="AX936" s="15"/>
      <c r="AY936" s="15"/>
      <c r="AZ936" s="18"/>
      <c r="BA936" s="18"/>
      <c r="BB936" s="19">
        <v>6.8572437818068405E-2</v>
      </c>
      <c r="BC936" s="19">
        <v>7.4310837786863801E-2</v>
      </c>
      <c r="BD936" s="19">
        <v>8.0539452828370495E-2</v>
      </c>
      <c r="BE936" s="19">
        <v>8.6739231689129406E-2</v>
      </c>
      <c r="BF936" s="19">
        <v>9.3400389441851694E-2</v>
      </c>
      <c r="BG936" s="19">
        <v>0.102080079846914</v>
      </c>
      <c r="BH936" s="19">
        <v>0.111538347132165</v>
      </c>
      <c r="BI936" s="19">
        <v>0.12189053602059501</v>
      </c>
      <c r="BJ936" s="19">
        <v>0.133165482692952</v>
      </c>
      <c r="BK936" s="18"/>
      <c r="BL936" s="18"/>
      <c r="BM936" s="19">
        <v>0</v>
      </c>
      <c r="BN936" s="19">
        <v>0</v>
      </c>
      <c r="BO936" s="19">
        <v>0</v>
      </c>
      <c r="BP936" s="19">
        <v>0</v>
      </c>
      <c r="BQ936" s="19">
        <v>0</v>
      </c>
      <c r="BR936" s="19">
        <v>0</v>
      </c>
      <c r="BS936" s="19">
        <v>0</v>
      </c>
      <c r="BT936" s="19">
        <v>0</v>
      </c>
      <c r="BU936" s="19">
        <v>0</v>
      </c>
    </row>
    <row r="937" spans="44:73" x14ac:dyDescent="0.45">
      <c r="AR937" s="15" t="s">
        <v>328</v>
      </c>
      <c r="AS937" s="15" t="s">
        <v>369</v>
      </c>
      <c r="AT937" s="15"/>
      <c r="AU937" s="15"/>
      <c r="AV937" s="15" t="s">
        <v>553</v>
      </c>
      <c r="AW937" s="15"/>
      <c r="AX937" s="15"/>
      <c r="AY937" s="15"/>
      <c r="AZ937" s="18"/>
      <c r="BA937" s="18"/>
      <c r="BB937" s="19">
        <v>3.4054750991757898</v>
      </c>
      <c r="BC937" s="19">
        <v>3.6911168183605598</v>
      </c>
      <c r="BD937" s="19">
        <v>4.0007074984862196</v>
      </c>
      <c r="BE937" s="19">
        <v>4.3083285444410402</v>
      </c>
      <c r="BF937" s="19">
        <v>4.6395852004459401</v>
      </c>
      <c r="BG937" s="19">
        <v>5.0698159735355501</v>
      </c>
      <c r="BH937" s="19">
        <v>5.5399094563781803</v>
      </c>
      <c r="BI937" s="19">
        <v>6.0536034774571297</v>
      </c>
      <c r="BJ937" s="19">
        <v>6.6149492161465204</v>
      </c>
      <c r="BK937" s="18"/>
      <c r="BL937" s="18"/>
      <c r="BM937" s="19">
        <v>3.53426231530094</v>
      </c>
      <c r="BN937" s="19">
        <v>3.9755722806015199</v>
      </c>
      <c r="BO937" s="19">
        <v>4.4719648560661698</v>
      </c>
      <c r="BP937" s="19">
        <v>4.8158226943231401</v>
      </c>
      <c r="BQ937" s="19">
        <v>5.1861139184410598</v>
      </c>
      <c r="BR937" s="19">
        <v>5.6210897193058704</v>
      </c>
      <c r="BS937" s="19">
        <v>6.0925708989506804</v>
      </c>
      <c r="BT937" s="19">
        <v>6.6035790552512204</v>
      </c>
      <c r="BU937" s="19">
        <v>7.1574715191804898</v>
      </c>
    </row>
    <row r="938" spans="44:73" x14ac:dyDescent="0.45">
      <c r="AR938" s="15" t="s">
        <v>328</v>
      </c>
      <c r="AS938" s="15" t="s">
        <v>369</v>
      </c>
      <c r="AT938" s="15"/>
      <c r="AU938" s="15"/>
      <c r="AV938" s="15" t="s">
        <v>554</v>
      </c>
      <c r="AW938" s="15"/>
      <c r="AX938" s="15"/>
      <c r="AY938" s="15"/>
      <c r="AZ938" s="18"/>
      <c r="BA938" s="18"/>
      <c r="BB938" s="19">
        <v>8.0990455279302598E-2</v>
      </c>
      <c r="BC938" s="19">
        <v>8.7795970293832806E-2</v>
      </c>
      <c r="BD938" s="19">
        <v>9.5156545043590599E-2</v>
      </c>
      <c r="BE938" s="19">
        <v>0.102468853729416</v>
      </c>
      <c r="BF938" s="19">
        <v>0.110360355182435</v>
      </c>
      <c r="BG938" s="19">
        <v>0.120592760736196</v>
      </c>
      <c r="BH938" s="19">
        <v>0.13176635453664801</v>
      </c>
      <c r="BI938" s="19">
        <v>0.14397766871165599</v>
      </c>
      <c r="BJ938" s="19">
        <v>0.15732323538908599</v>
      </c>
      <c r="BK938" s="18"/>
      <c r="BL938" s="18"/>
      <c r="BM938" s="19">
        <v>8.4055350339037799E-2</v>
      </c>
      <c r="BN938" s="19">
        <v>9.4553219244430095E-2</v>
      </c>
      <c r="BO938" s="19">
        <v>0.106354271876009</v>
      </c>
      <c r="BP938" s="19">
        <v>0.114535369712625</v>
      </c>
      <c r="BQ938" s="19">
        <v>0.12334392638036799</v>
      </c>
      <c r="BR938" s="19">
        <v>0.13369699709396199</v>
      </c>
      <c r="BS938" s="19">
        <v>0.144918856958347</v>
      </c>
      <c r="BT938" s="19">
        <v>0.15705777203745599</v>
      </c>
      <c r="BU938" s="19">
        <v>0.17023440749112001</v>
      </c>
    </row>
    <row r="939" spans="44:73" x14ac:dyDescent="0.45">
      <c r="AR939" s="15" t="s">
        <v>328</v>
      </c>
      <c r="AS939" s="15" t="s">
        <v>369</v>
      </c>
      <c r="AT939" s="15"/>
      <c r="AU939" s="15"/>
      <c r="AV939" s="15" t="s">
        <v>555</v>
      </c>
      <c r="AW939" s="15"/>
      <c r="AX939" s="15"/>
      <c r="AY939" s="15"/>
      <c r="AZ939" s="18"/>
      <c r="BA939" s="18"/>
      <c r="BB939" s="19">
        <v>0.12747147178329599</v>
      </c>
      <c r="BC939" s="19">
        <v>0.13816247178329599</v>
      </c>
      <c r="BD939" s="19">
        <v>0.149746399548533</v>
      </c>
      <c r="BE939" s="19">
        <v>0.16125792776523701</v>
      </c>
      <c r="BF939" s="19">
        <v>0.17366238374717799</v>
      </c>
      <c r="BG939" s="19">
        <v>0.189759216704289</v>
      </c>
      <c r="BH939" s="19">
        <v>0.20735230699774301</v>
      </c>
      <c r="BI939" s="19">
        <v>0.22658645372460501</v>
      </c>
      <c r="BJ939" s="19">
        <v>0.247582322799097</v>
      </c>
      <c r="BK939" s="18"/>
      <c r="BL939" s="18"/>
      <c r="BM939" s="19">
        <v>0.13227397516930001</v>
      </c>
      <c r="BN939" s="19">
        <v>0.148805205417607</v>
      </c>
      <c r="BO939" s="19">
        <v>0.16738775620767499</v>
      </c>
      <c r="BP939" s="19">
        <v>0.18025074266365701</v>
      </c>
      <c r="BQ939" s="19">
        <v>0.194103189616253</v>
      </c>
      <c r="BR939" s="19">
        <v>0.210393088036117</v>
      </c>
      <c r="BS939" s="19">
        <v>0.22803444469525999</v>
      </c>
      <c r="BT939" s="19">
        <v>0.24717205869074499</v>
      </c>
      <c r="BU939" s="19">
        <v>0.26790246275395002</v>
      </c>
    </row>
    <row r="940" spans="44:73" x14ac:dyDescent="0.45">
      <c r="AR940" s="15" t="s">
        <v>328</v>
      </c>
      <c r="AS940" s="22" t="s">
        <v>1154</v>
      </c>
      <c r="AT940" s="15"/>
      <c r="AU940" s="15"/>
      <c r="AV940" s="15" t="s">
        <v>556</v>
      </c>
      <c r="AW940" s="15"/>
      <c r="AX940" s="15"/>
      <c r="AY940" s="15" t="s">
        <v>323</v>
      </c>
      <c r="AZ940" s="19">
        <v>0</v>
      </c>
      <c r="BA940" s="18"/>
      <c r="BB940" s="19">
        <v>0.04</v>
      </c>
      <c r="BC940" s="19">
        <v>0.06</v>
      </c>
      <c r="BD940" s="19">
        <v>0.105</v>
      </c>
      <c r="BE940" s="19">
        <v>0.12</v>
      </c>
      <c r="BF940" s="19">
        <v>0.14000000000000001</v>
      </c>
      <c r="BG940" s="19">
        <v>0.155</v>
      </c>
      <c r="BH940" s="19">
        <v>0.17</v>
      </c>
      <c r="BI940" s="19">
        <v>0.185</v>
      </c>
      <c r="BJ940" s="19">
        <v>0.20499999999999999</v>
      </c>
      <c r="BK940" s="19">
        <v>5</v>
      </c>
      <c r="BL940" s="18"/>
      <c r="BM940" s="19">
        <v>0.04</v>
      </c>
      <c r="BN940" s="19">
        <v>4.4999999999999998E-2</v>
      </c>
      <c r="BO940" s="19">
        <v>0.05</v>
      </c>
      <c r="BP940" s="19">
        <v>0.06</v>
      </c>
      <c r="BQ940" s="19">
        <v>7.0000000000000007E-2</v>
      </c>
      <c r="BR940" s="19">
        <v>0.08</v>
      </c>
      <c r="BS940" s="19">
        <v>9.5000000000000001E-2</v>
      </c>
      <c r="BT940" s="19">
        <v>0.115</v>
      </c>
      <c r="BU940" s="19">
        <v>0.13</v>
      </c>
    </row>
    <row r="941" spans="44:73" x14ac:dyDescent="0.45">
      <c r="AR941" s="15" t="s">
        <v>328</v>
      </c>
      <c r="AS941" s="15" t="s">
        <v>363</v>
      </c>
      <c r="AT941" s="15" t="s">
        <v>557</v>
      </c>
      <c r="AU941" s="15" t="s">
        <v>558</v>
      </c>
      <c r="AV941" s="15" t="s">
        <v>559</v>
      </c>
      <c r="AW941" s="15" t="s">
        <v>320</v>
      </c>
      <c r="AX941" s="15"/>
      <c r="AY941" s="15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9">
        <v>0.15</v>
      </c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</row>
    <row r="942" spans="44:73" x14ac:dyDescent="0.45">
      <c r="AR942" s="15" t="s">
        <v>328</v>
      </c>
      <c r="AS942" s="15" t="s">
        <v>560</v>
      </c>
      <c r="AT942" s="15" t="s">
        <v>561</v>
      </c>
      <c r="AU942" s="15"/>
      <c r="AV942" s="15" t="s">
        <v>562</v>
      </c>
      <c r="AW942" s="15"/>
      <c r="AX942" s="15" t="s">
        <v>1107</v>
      </c>
      <c r="AY942" s="15" t="s">
        <v>323</v>
      </c>
      <c r="AZ942" s="19">
        <v>5</v>
      </c>
      <c r="BA942" s="18"/>
      <c r="BB942" s="19">
        <v>3.71</v>
      </c>
      <c r="BC942" s="19">
        <v>4.0999999999999996</v>
      </c>
      <c r="BD942" s="19">
        <v>4.3499999999999996</v>
      </c>
      <c r="BE942" s="19">
        <v>4.4800000000000004</v>
      </c>
      <c r="BF942" s="19">
        <v>4.6100000000000003</v>
      </c>
      <c r="BG942" s="19">
        <v>0</v>
      </c>
      <c r="BH942" s="19">
        <v>0</v>
      </c>
      <c r="BI942" s="19">
        <v>0</v>
      </c>
      <c r="BJ942" s="19">
        <v>0</v>
      </c>
      <c r="BK942" s="19">
        <v>5</v>
      </c>
      <c r="BL942" s="18"/>
      <c r="BM942" s="19">
        <v>3.71</v>
      </c>
      <c r="BN942" s="19">
        <v>4.0999999999999996</v>
      </c>
      <c r="BO942" s="19">
        <v>4.3499999999999996</v>
      </c>
      <c r="BP942" s="19">
        <v>4.4800000000000004</v>
      </c>
      <c r="BQ942" s="19">
        <v>4.6100000000000003</v>
      </c>
      <c r="BR942" s="19">
        <v>0</v>
      </c>
      <c r="BS942" s="19">
        <v>0</v>
      </c>
      <c r="BT942" s="19">
        <v>0</v>
      </c>
      <c r="BU942" s="19">
        <v>0</v>
      </c>
    </row>
    <row r="943" spans="44:73" x14ac:dyDescent="0.45">
      <c r="AR943" s="15" t="s">
        <v>328</v>
      </c>
      <c r="AS943" s="15" t="s">
        <v>321</v>
      </c>
      <c r="AT943" s="15" t="s">
        <v>349</v>
      </c>
      <c r="AU943" s="15"/>
      <c r="AV943" s="15"/>
      <c r="AW943" s="15" t="s">
        <v>563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328</v>
      </c>
      <c r="AS944" s="15" t="s">
        <v>321</v>
      </c>
      <c r="AT944" s="15" t="s">
        <v>564</v>
      </c>
      <c r="AU944" s="15"/>
      <c r="AV944" s="15"/>
      <c r="AW944" s="15" t="s">
        <v>563</v>
      </c>
      <c r="AX944" s="15"/>
      <c r="AY944" s="15"/>
      <c r="AZ944" s="19">
        <v>5</v>
      </c>
      <c r="BA944" s="18"/>
      <c r="BB944" s="19">
        <v>1.3</v>
      </c>
      <c r="BC944" s="18"/>
      <c r="BD944" s="18"/>
      <c r="BE944" s="18"/>
      <c r="BF944" s="19">
        <v>1.3</v>
      </c>
      <c r="BG944" s="18"/>
      <c r="BH944" s="19">
        <v>0</v>
      </c>
      <c r="BI944" s="18"/>
      <c r="BJ944" s="18"/>
      <c r="BK944" s="19">
        <v>5</v>
      </c>
      <c r="BL944" s="18"/>
      <c r="BM944" s="19">
        <v>1.3</v>
      </c>
      <c r="BN944" s="18"/>
      <c r="BO944" s="18"/>
      <c r="BP944" s="18"/>
      <c r="BQ944" s="19">
        <v>1.3</v>
      </c>
      <c r="BR944" s="18"/>
      <c r="BS944" s="19">
        <v>0</v>
      </c>
      <c r="BT944" s="18"/>
      <c r="BU944" s="18"/>
    </row>
    <row r="945" spans="44:73" x14ac:dyDescent="0.45">
      <c r="AR945" s="15" t="s">
        <v>328</v>
      </c>
      <c r="AS945" s="15" t="s">
        <v>322</v>
      </c>
      <c r="AT945" s="15" t="s">
        <v>565</v>
      </c>
      <c r="AU945" s="15"/>
      <c r="AV945" s="15"/>
      <c r="AW945" s="15"/>
      <c r="AX945" s="15"/>
      <c r="AY945" s="15" t="s">
        <v>323</v>
      </c>
      <c r="AZ945" s="18"/>
      <c r="BA945" s="18"/>
      <c r="BB945" s="18"/>
      <c r="BC945" s="18"/>
      <c r="BD945" s="18"/>
      <c r="BE945" s="19">
        <v>574.75</v>
      </c>
      <c r="BF945" s="18"/>
      <c r="BG945" s="18"/>
      <c r="BH945" s="19">
        <v>503.5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328</v>
      </c>
      <c r="AS946" s="15" t="s">
        <v>322</v>
      </c>
      <c r="AT946" s="15" t="s">
        <v>566</v>
      </c>
      <c r="AU946" s="15"/>
      <c r="AV946" s="15"/>
      <c r="AW946" s="15"/>
      <c r="AX946" s="15"/>
      <c r="AY946" s="15" t="s">
        <v>323</v>
      </c>
      <c r="AZ946" s="18"/>
      <c r="BA946" s="18"/>
      <c r="BB946" s="18"/>
      <c r="BC946" s="18"/>
      <c r="BD946" s="18"/>
      <c r="BE946" s="19">
        <v>804.65</v>
      </c>
      <c r="BF946" s="18"/>
      <c r="BG946" s="18"/>
      <c r="BH946" s="19">
        <v>704.9</v>
      </c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328</v>
      </c>
      <c r="AS947" s="15" t="s">
        <v>567</v>
      </c>
      <c r="AT947" s="15" t="s">
        <v>568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328</v>
      </c>
      <c r="AS948" s="15" t="s">
        <v>567</v>
      </c>
      <c r="AT948" s="15" t="s">
        <v>569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328</v>
      </c>
      <c r="AS949" s="15" t="s">
        <v>567</v>
      </c>
      <c r="AT949" s="15" t="s">
        <v>570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328</v>
      </c>
      <c r="AS950" s="15" t="s">
        <v>567</v>
      </c>
      <c r="AT950" s="15" t="s">
        <v>571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328</v>
      </c>
      <c r="AS951" s="15" t="s">
        <v>567</v>
      </c>
      <c r="AT951" s="15" t="s">
        <v>572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328</v>
      </c>
      <c r="AS952" s="15" t="s">
        <v>567</v>
      </c>
      <c r="AT952" s="15" t="s">
        <v>573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328</v>
      </c>
      <c r="AS953" s="15" t="s">
        <v>567</v>
      </c>
      <c r="AT953" s="15" t="s">
        <v>574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328</v>
      </c>
      <c r="AS954" s="15" t="s">
        <v>567</v>
      </c>
      <c r="AT954" s="15" t="s">
        <v>575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328</v>
      </c>
      <c r="AS955" s="15" t="s">
        <v>567</v>
      </c>
      <c r="AT955" s="15" t="s">
        <v>576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328</v>
      </c>
      <c r="AS956" s="15" t="s">
        <v>567</v>
      </c>
      <c r="AT956" s="15" t="s">
        <v>577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328</v>
      </c>
      <c r="AS957" s="15" t="s">
        <v>567</v>
      </c>
      <c r="AT957" s="15" t="s">
        <v>578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328</v>
      </c>
      <c r="AS958" s="15" t="s">
        <v>567</v>
      </c>
      <c r="AT958" s="15" t="s">
        <v>579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328</v>
      </c>
      <c r="AS959" s="15" t="s">
        <v>567</v>
      </c>
      <c r="AT959" s="15" t="s">
        <v>580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328</v>
      </c>
      <c r="AS960" s="15" t="s">
        <v>567</v>
      </c>
      <c r="AT960" s="15" t="s">
        <v>581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328</v>
      </c>
      <c r="AS961" s="15" t="s">
        <v>567</v>
      </c>
      <c r="AT961" s="15" t="s">
        <v>582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328</v>
      </c>
      <c r="AS962" s="15" t="s">
        <v>567</v>
      </c>
      <c r="AT962" s="15" t="s">
        <v>583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328</v>
      </c>
      <c r="AS963" s="15" t="s">
        <v>567</v>
      </c>
      <c r="AT963" s="15" t="s">
        <v>584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328</v>
      </c>
      <c r="AS964" s="15" t="s">
        <v>567</v>
      </c>
      <c r="AT964" s="15" t="s">
        <v>585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328</v>
      </c>
      <c r="AS965" s="15" t="s">
        <v>567</v>
      </c>
      <c r="AT965" s="15" t="s">
        <v>586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328</v>
      </c>
      <c r="AS966" s="15" t="s">
        <v>567</v>
      </c>
      <c r="AT966" s="15" t="s">
        <v>587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328</v>
      </c>
      <c r="AS967" s="15" t="s">
        <v>567</v>
      </c>
      <c r="AT967" s="15" t="s">
        <v>588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328</v>
      </c>
      <c r="AS968" s="15" t="s">
        <v>567</v>
      </c>
      <c r="AT968" s="15" t="s">
        <v>589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328</v>
      </c>
      <c r="AS969" s="15" t="s">
        <v>567</v>
      </c>
      <c r="AT969" s="15" t="s">
        <v>590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328</v>
      </c>
      <c r="AS970" s="15" t="s">
        <v>567</v>
      </c>
      <c r="AT970" s="15" t="s">
        <v>591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328</v>
      </c>
      <c r="AS971" s="15" t="s">
        <v>567</v>
      </c>
      <c r="AT971" s="15" t="s">
        <v>592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328</v>
      </c>
      <c r="AS972" s="15" t="s">
        <v>567</v>
      </c>
      <c r="AT972" s="15" t="s">
        <v>593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328</v>
      </c>
      <c r="AS973" s="15" t="s">
        <v>567</v>
      </c>
      <c r="AT973" s="15" t="s">
        <v>594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328</v>
      </c>
      <c r="AS974" s="15" t="s">
        <v>567</v>
      </c>
      <c r="AT974" s="15" t="s">
        <v>595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328</v>
      </c>
      <c r="AS975" s="15" t="s">
        <v>567</v>
      </c>
      <c r="AT975" s="15" t="s">
        <v>596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328</v>
      </c>
      <c r="AS976" s="15" t="s">
        <v>567</v>
      </c>
      <c r="AT976" s="15" t="s">
        <v>597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328</v>
      </c>
      <c r="AS977" s="15" t="s">
        <v>567</v>
      </c>
      <c r="AT977" s="15" t="s">
        <v>598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328</v>
      </c>
      <c r="AS978" s="15" t="s">
        <v>567</v>
      </c>
      <c r="AT978" s="15" t="s">
        <v>599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328</v>
      </c>
      <c r="AS979" s="15" t="s">
        <v>567</v>
      </c>
      <c r="AT979" s="15" t="s">
        <v>600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328</v>
      </c>
      <c r="AS980" s="15" t="s">
        <v>567</v>
      </c>
      <c r="AT980" s="15" t="s">
        <v>601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328</v>
      </c>
      <c r="AS981" s="15" t="s">
        <v>567</v>
      </c>
      <c r="AT981" s="15" t="s">
        <v>602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328</v>
      </c>
      <c r="AS982" s="15" t="s">
        <v>567</v>
      </c>
      <c r="AT982" s="15" t="s">
        <v>603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328</v>
      </c>
      <c r="AS983" s="15" t="s">
        <v>567</v>
      </c>
      <c r="AT983" s="15" t="s">
        <v>604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328</v>
      </c>
      <c r="AS984" s="15" t="s">
        <v>567</v>
      </c>
      <c r="AT984" s="15" t="s">
        <v>605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328</v>
      </c>
      <c r="AS985" s="15" t="s">
        <v>567</v>
      </c>
      <c r="AT985" s="15" t="s">
        <v>606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328</v>
      </c>
      <c r="AS986" s="15" t="s">
        <v>567</v>
      </c>
      <c r="AT986" s="15" t="s">
        <v>607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328</v>
      </c>
      <c r="AS987" s="15" t="s">
        <v>567</v>
      </c>
      <c r="AT987" s="15" t="s">
        <v>608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328</v>
      </c>
      <c r="AS988" s="15" t="s">
        <v>567</v>
      </c>
      <c r="AT988" s="15" t="s">
        <v>609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328</v>
      </c>
      <c r="AS989" s="15" t="s">
        <v>567</v>
      </c>
      <c r="AT989" s="15" t="s">
        <v>610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328</v>
      </c>
      <c r="AS990" s="15" t="s">
        <v>567</v>
      </c>
      <c r="AT990" s="15" t="s">
        <v>611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328</v>
      </c>
      <c r="AS991" s="15" t="s">
        <v>567</v>
      </c>
      <c r="AT991" s="15" t="s">
        <v>612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328</v>
      </c>
      <c r="AS992" s="15" t="s">
        <v>567</v>
      </c>
      <c r="AT992" s="15" t="s">
        <v>613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328</v>
      </c>
      <c r="AS993" s="15" t="s">
        <v>567</v>
      </c>
      <c r="AT993" s="15" t="s">
        <v>614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328</v>
      </c>
      <c r="AS994" s="15" t="s">
        <v>567</v>
      </c>
      <c r="AT994" s="15" t="s">
        <v>615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328</v>
      </c>
      <c r="AS995" s="15" t="s">
        <v>567</v>
      </c>
      <c r="AT995" s="15" t="s">
        <v>616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328</v>
      </c>
      <c r="AS996" s="15" t="s">
        <v>567</v>
      </c>
      <c r="AT996" s="15" t="s">
        <v>617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328</v>
      </c>
      <c r="AS997" s="15" t="s">
        <v>567</v>
      </c>
      <c r="AT997" s="15" t="s">
        <v>618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328</v>
      </c>
      <c r="AS998" s="15" t="s">
        <v>567</v>
      </c>
      <c r="AT998" s="15" t="s">
        <v>619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328</v>
      </c>
      <c r="AS999" s="15" t="s">
        <v>567</v>
      </c>
      <c r="AT999" s="15" t="s">
        <v>620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328</v>
      </c>
      <c r="AS1000" s="15" t="s">
        <v>567</v>
      </c>
      <c r="AT1000" s="15" t="s">
        <v>621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328</v>
      </c>
      <c r="AS1001" s="15" t="s">
        <v>567</v>
      </c>
      <c r="AT1001" s="15" t="s">
        <v>622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328</v>
      </c>
      <c r="AS1002" s="15" t="s">
        <v>567</v>
      </c>
      <c r="AT1002" s="15" t="s">
        <v>623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328</v>
      </c>
      <c r="AS1003" s="15" t="s">
        <v>567</v>
      </c>
      <c r="AT1003" s="15" t="s">
        <v>624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328</v>
      </c>
      <c r="AS1004" s="15" t="s">
        <v>567</v>
      </c>
      <c r="AT1004" s="15" t="s">
        <v>625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328</v>
      </c>
      <c r="AS1005" s="15" t="s">
        <v>567</v>
      </c>
      <c r="AT1005" s="15" t="s">
        <v>626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328</v>
      </c>
      <c r="AS1006" s="15" t="s">
        <v>567</v>
      </c>
      <c r="AT1006" s="15" t="s">
        <v>627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328</v>
      </c>
      <c r="AS1007" s="15" t="s">
        <v>567</v>
      </c>
      <c r="AT1007" s="15" t="s">
        <v>628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328</v>
      </c>
      <c r="AS1008" s="15" t="s">
        <v>567</v>
      </c>
      <c r="AT1008" s="15" t="s">
        <v>629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328</v>
      </c>
      <c r="AS1009" s="15" t="s">
        <v>567</v>
      </c>
      <c r="AT1009" s="15" t="s">
        <v>630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328</v>
      </c>
      <c r="AS1010" s="15" t="s">
        <v>567</v>
      </c>
      <c r="AT1010" s="15" t="s">
        <v>631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328</v>
      </c>
      <c r="AS1011" s="15" t="s">
        <v>567</v>
      </c>
      <c r="AT1011" s="15" t="s">
        <v>632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328</v>
      </c>
      <c r="AS1012" s="15" t="s">
        <v>567</v>
      </c>
      <c r="AT1012" s="15" t="s">
        <v>633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328</v>
      </c>
      <c r="AS1013" s="15" t="s">
        <v>567</v>
      </c>
      <c r="AT1013" s="15" t="s">
        <v>634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328</v>
      </c>
      <c r="AS1014" s="15" t="s">
        <v>567</v>
      </c>
      <c r="AT1014" s="15" t="s">
        <v>635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328</v>
      </c>
      <c r="AS1015" s="15" t="s">
        <v>567</v>
      </c>
      <c r="AT1015" s="15" t="s">
        <v>636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328</v>
      </c>
      <c r="AS1016" s="15" t="s">
        <v>567</v>
      </c>
      <c r="AT1016" s="15" t="s">
        <v>637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328</v>
      </c>
      <c r="AS1017" s="15" t="s">
        <v>567</v>
      </c>
      <c r="AT1017" s="15" t="s">
        <v>638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328</v>
      </c>
      <c r="AS1018" s="15" t="s">
        <v>567</v>
      </c>
      <c r="AT1018" s="15" t="s">
        <v>639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328</v>
      </c>
      <c r="AS1019" s="15" t="s">
        <v>567</v>
      </c>
      <c r="AT1019" s="15" t="s">
        <v>640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328</v>
      </c>
      <c r="AS1020" s="15" t="s">
        <v>567</v>
      </c>
      <c r="AT1020" s="15" t="s">
        <v>641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328</v>
      </c>
      <c r="AS1021" s="15" t="s">
        <v>567</v>
      </c>
      <c r="AT1021" s="15" t="s">
        <v>642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328</v>
      </c>
      <c r="AS1022" s="15" t="s">
        <v>567</v>
      </c>
      <c r="AT1022" s="15" t="s">
        <v>643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328</v>
      </c>
      <c r="AS1023" s="15" t="s">
        <v>567</v>
      </c>
      <c r="AT1023" s="15" t="s">
        <v>644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328</v>
      </c>
      <c r="AS1024" s="15" t="s">
        <v>567</v>
      </c>
      <c r="AT1024" s="15" t="s">
        <v>645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328</v>
      </c>
      <c r="AS1025" s="15" t="s">
        <v>567</v>
      </c>
      <c r="AT1025" s="15" t="s">
        <v>646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328</v>
      </c>
      <c r="AS1026" s="15" t="s">
        <v>567</v>
      </c>
      <c r="AT1026" s="15" t="s">
        <v>647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328</v>
      </c>
      <c r="AS1027" s="15" t="s">
        <v>567</v>
      </c>
      <c r="AT1027" s="15" t="s">
        <v>648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328</v>
      </c>
      <c r="AS1028" s="15" t="s">
        <v>567</v>
      </c>
      <c r="AT1028" s="15" t="s">
        <v>649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328</v>
      </c>
      <c r="AS1029" s="15" t="s">
        <v>567</v>
      </c>
      <c r="AT1029" s="15" t="s">
        <v>650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328</v>
      </c>
      <c r="AS1030" s="15" t="s">
        <v>567</v>
      </c>
      <c r="AT1030" s="15" t="s">
        <v>651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328</v>
      </c>
      <c r="AS1031" s="15" t="s">
        <v>567</v>
      </c>
      <c r="AT1031" s="15" t="s">
        <v>652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328</v>
      </c>
      <c r="AS1032" s="15" t="s">
        <v>567</v>
      </c>
      <c r="AT1032" s="15" t="s">
        <v>653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328</v>
      </c>
      <c r="AS1033" s="15" t="s">
        <v>567</v>
      </c>
      <c r="AT1033" s="15" t="s">
        <v>654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328</v>
      </c>
      <c r="AS1034" s="15" t="s">
        <v>567</v>
      </c>
      <c r="AT1034" s="15" t="s">
        <v>655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328</v>
      </c>
      <c r="AS1035" s="15" t="s">
        <v>567</v>
      </c>
      <c r="AT1035" s="15" t="s">
        <v>656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328</v>
      </c>
      <c r="AS1036" s="15" t="s">
        <v>567</v>
      </c>
      <c r="AT1036" s="15" t="s">
        <v>657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328</v>
      </c>
      <c r="AS1037" s="15" t="s">
        <v>567</v>
      </c>
      <c r="AT1037" s="15" t="s">
        <v>658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328</v>
      </c>
      <c r="AS1038" s="15" t="s">
        <v>567</v>
      </c>
      <c r="AT1038" s="15" t="s">
        <v>659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328</v>
      </c>
      <c r="AS1039" s="15" t="s">
        <v>567</v>
      </c>
      <c r="AT1039" s="15" t="s">
        <v>660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328</v>
      </c>
      <c r="AS1040" s="15" t="s">
        <v>567</v>
      </c>
      <c r="AT1040" s="15" t="s">
        <v>661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328</v>
      </c>
      <c r="AS1041" s="15" t="s">
        <v>567</v>
      </c>
      <c r="AT1041" s="15" t="s">
        <v>662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328</v>
      </c>
      <c r="AS1042" s="15" t="s">
        <v>567</v>
      </c>
      <c r="AT1042" s="15" t="s">
        <v>663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328</v>
      </c>
      <c r="AS1043" s="15" t="s">
        <v>567</v>
      </c>
      <c r="AT1043" s="15" t="s">
        <v>664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328</v>
      </c>
      <c r="AS1044" s="15" t="s">
        <v>567</v>
      </c>
      <c r="AT1044" s="15" t="s">
        <v>665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328</v>
      </c>
      <c r="AS1045" s="15" t="s">
        <v>567</v>
      </c>
      <c r="AT1045" s="15" t="s">
        <v>666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328</v>
      </c>
      <c r="AS1046" s="15" t="s">
        <v>567</v>
      </c>
      <c r="AT1046" s="15" t="s">
        <v>667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328</v>
      </c>
      <c r="AS1047" s="15" t="s">
        <v>567</v>
      </c>
      <c r="AT1047" s="15" t="s">
        <v>668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328</v>
      </c>
      <c r="AS1048" s="15" t="s">
        <v>567</v>
      </c>
      <c r="AT1048" s="15" t="s">
        <v>669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328</v>
      </c>
      <c r="AS1049" s="15" t="s">
        <v>567</v>
      </c>
      <c r="AT1049" s="15" t="s">
        <v>670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328</v>
      </c>
      <c r="AS1050" s="15" t="s">
        <v>567</v>
      </c>
      <c r="AT1050" s="15" t="s">
        <v>671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328</v>
      </c>
      <c r="AS1051" s="15" t="s">
        <v>567</v>
      </c>
      <c r="AT1051" s="15" t="s">
        <v>672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328</v>
      </c>
      <c r="AS1052" s="15" t="s">
        <v>567</v>
      </c>
      <c r="AT1052" s="15" t="s">
        <v>673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328</v>
      </c>
      <c r="AS1053" s="15" t="s">
        <v>567</v>
      </c>
      <c r="AT1053" s="15" t="s">
        <v>674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328</v>
      </c>
      <c r="AS1054" s="15" t="s">
        <v>567</v>
      </c>
      <c r="AT1054" s="15" t="s">
        <v>675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328</v>
      </c>
      <c r="AS1055" s="15" t="s">
        <v>567</v>
      </c>
      <c r="AT1055" s="15" t="s">
        <v>676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328</v>
      </c>
      <c r="AS1056" s="15" t="s">
        <v>567</v>
      </c>
      <c r="AT1056" s="15" t="s">
        <v>677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328</v>
      </c>
      <c r="AS1057" s="15" t="s">
        <v>567</v>
      </c>
      <c r="AT1057" s="15" t="s">
        <v>678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328</v>
      </c>
      <c r="AS1058" s="15" t="s">
        <v>567</v>
      </c>
      <c r="AT1058" s="15" t="s">
        <v>679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328</v>
      </c>
      <c r="AS1059" s="15" t="s">
        <v>567</v>
      </c>
      <c r="AT1059" s="15" t="s">
        <v>680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328</v>
      </c>
      <c r="AS1060" s="15" t="s">
        <v>567</v>
      </c>
      <c r="AT1060" s="15" t="s">
        <v>681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328</v>
      </c>
      <c r="AS1061" s="15" t="s">
        <v>567</v>
      </c>
      <c r="AT1061" s="15" t="s">
        <v>682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328</v>
      </c>
      <c r="AS1062" s="15" t="s">
        <v>567</v>
      </c>
      <c r="AT1062" s="15" t="s">
        <v>683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328</v>
      </c>
      <c r="AS1063" s="15" t="s">
        <v>567</v>
      </c>
      <c r="AT1063" s="15" t="s">
        <v>684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328</v>
      </c>
      <c r="AS1064" s="15" t="s">
        <v>567</v>
      </c>
      <c r="AT1064" s="15" t="s">
        <v>685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328</v>
      </c>
      <c r="AS1065" s="15" t="s">
        <v>567</v>
      </c>
      <c r="AT1065" s="15" t="s">
        <v>686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328</v>
      </c>
      <c r="AS1066" s="15" t="s">
        <v>567</v>
      </c>
      <c r="AT1066" s="15" t="s">
        <v>687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328</v>
      </c>
      <c r="AS1067" s="15" t="s">
        <v>567</v>
      </c>
      <c r="AT1067" s="15" t="s">
        <v>688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328</v>
      </c>
      <c r="AS1068" s="15" t="s">
        <v>567</v>
      </c>
      <c r="AT1068" s="15" t="s">
        <v>689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328</v>
      </c>
      <c r="AS1069" s="15" t="s">
        <v>567</v>
      </c>
      <c r="AT1069" s="15" t="s">
        <v>690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328</v>
      </c>
      <c r="AS1070" s="15" t="s">
        <v>567</v>
      </c>
      <c r="AT1070" s="15" t="s">
        <v>691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328</v>
      </c>
      <c r="AS1071" s="15" t="s">
        <v>567</v>
      </c>
      <c r="AT1071" s="15" t="s">
        <v>692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328</v>
      </c>
      <c r="AS1072" s="15" t="s">
        <v>567</v>
      </c>
      <c r="AT1072" s="15" t="s">
        <v>693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328</v>
      </c>
      <c r="AS1073" s="15" t="s">
        <v>567</v>
      </c>
      <c r="AT1073" s="15" t="s">
        <v>694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328</v>
      </c>
      <c r="AS1074" s="15" t="s">
        <v>567</v>
      </c>
      <c r="AT1074" s="15" t="s">
        <v>695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328</v>
      </c>
      <c r="AS1075" s="15" t="s">
        <v>567</v>
      </c>
      <c r="AT1075" s="15" t="s">
        <v>696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328</v>
      </c>
      <c r="AS1076" s="15" t="s">
        <v>567</v>
      </c>
      <c r="AT1076" s="15" t="s">
        <v>697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328</v>
      </c>
      <c r="AS1077" s="15" t="s">
        <v>567</v>
      </c>
      <c r="AT1077" s="15" t="s">
        <v>698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328</v>
      </c>
      <c r="AS1078" s="15" t="s">
        <v>567</v>
      </c>
      <c r="AT1078" s="15" t="s">
        <v>699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328</v>
      </c>
      <c r="AS1079" s="15" t="s">
        <v>567</v>
      </c>
      <c r="AT1079" s="15" t="s">
        <v>700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328</v>
      </c>
      <c r="AS1080" s="15" t="s">
        <v>567</v>
      </c>
      <c r="AT1080" s="15" t="s">
        <v>701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328</v>
      </c>
      <c r="AS1081" s="15" t="s">
        <v>567</v>
      </c>
      <c r="AT1081" s="15" t="s">
        <v>702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328</v>
      </c>
      <c r="AS1082" s="15" t="s">
        <v>567</v>
      </c>
      <c r="AT1082" s="15" t="s">
        <v>703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328</v>
      </c>
      <c r="AS1083" s="15" t="s">
        <v>567</v>
      </c>
      <c r="AT1083" s="15" t="s">
        <v>704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328</v>
      </c>
      <c r="AS1084" s="15" t="s">
        <v>567</v>
      </c>
      <c r="AT1084" s="15" t="s">
        <v>705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328</v>
      </c>
      <c r="AS1085" s="15" t="s">
        <v>567</v>
      </c>
      <c r="AT1085" s="15" t="s">
        <v>706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328</v>
      </c>
      <c r="AS1086" s="15" t="s">
        <v>567</v>
      </c>
      <c r="AT1086" s="15" t="s">
        <v>707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328</v>
      </c>
      <c r="AS1087" s="15" t="s">
        <v>567</v>
      </c>
      <c r="AT1087" s="15" t="s">
        <v>708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328</v>
      </c>
      <c r="AS1088" s="15" t="s">
        <v>567</v>
      </c>
      <c r="AT1088" s="15" t="s">
        <v>709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328</v>
      </c>
      <c r="AS1089" s="15" t="s">
        <v>567</v>
      </c>
      <c r="AT1089" s="15" t="s">
        <v>710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328</v>
      </c>
      <c r="AS1090" s="15" t="s">
        <v>567</v>
      </c>
      <c r="AT1090" s="15" t="s">
        <v>711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328</v>
      </c>
      <c r="AS1091" s="15" t="s">
        <v>567</v>
      </c>
      <c r="AT1091" s="15" t="s">
        <v>712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328</v>
      </c>
      <c r="AS1092" s="15" t="s">
        <v>567</v>
      </c>
      <c r="AT1092" s="15" t="s">
        <v>713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328</v>
      </c>
      <c r="AS1093" s="15" t="s">
        <v>567</v>
      </c>
      <c r="AT1093" s="15" t="s">
        <v>714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328</v>
      </c>
      <c r="AS1094" s="15" t="s">
        <v>567</v>
      </c>
      <c r="AT1094" s="15" t="s">
        <v>715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328</v>
      </c>
      <c r="AS1095" s="15" t="s">
        <v>567</v>
      </c>
      <c r="AT1095" s="15" t="s">
        <v>716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328</v>
      </c>
      <c r="AS1096" s="15" t="s">
        <v>567</v>
      </c>
      <c r="AT1096" s="15" t="s">
        <v>717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328</v>
      </c>
      <c r="AS1097" s="15" t="s">
        <v>567</v>
      </c>
      <c r="AT1097" s="15" t="s">
        <v>718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328</v>
      </c>
      <c r="AS1098" s="15" t="s">
        <v>567</v>
      </c>
      <c r="AT1098" s="15" t="s">
        <v>719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328</v>
      </c>
      <c r="AS1099" s="15" t="s">
        <v>567</v>
      </c>
      <c r="AT1099" s="15" t="s">
        <v>720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328</v>
      </c>
      <c r="AS1100" s="15" t="s">
        <v>567</v>
      </c>
      <c r="AT1100" s="15" t="s">
        <v>721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328</v>
      </c>
      <c r="AS1101" s="15" t="s">
        <v>567</v>
      </c>
      <c r="AT1101" s="15" t="s">
        <v>722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328</v>
      </c>
      <c r="AS1102" s="15" t="s">
        <v>567</v>
      </c>
      <c r="AT1102" s="15" t="s">
        <v>723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328</v>
      </c>
      <c r="AS1103" s="15" t="s">
        <v>567</v>
      </c>
      <c r="AT1103" s="15" t="s">
        <v>724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328</v>
      </c>
      <c r="AS1104" s="15" t="s">
        <v>567</v>
      </c>
      <c r="AT1104" s="15" t="s">
        <v>725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328</v>
      </c>
      <c r="AS1105" s="15" t="s">
        <v>567</v>
      </c>
      <c r="AT1105" s="15" t="s">
        <v>726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328</v>
      </c>
      <c r="AS1106" s="15" t="s">
        <v>567</v>
      </c>
      <c r="AT1106" s="15" t="s">
        <v>727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328</v>
      </c>
      <c r="AS1107" s="15" t="s">
        <v>567</v>
      </c>
      <c r="AT1107" s="15" t="s">
        <v>728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328</v>
      </c>
      <c r="AS1108" s="15" t="s">
        <v>567</v>
      </c>
      <c r="AT1108" s="15" t="s">
        <v>729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328</v>
      </c>
      <c r="AS1109" s="15" t="s">
        <v>567</v>
      </c>
      <c r="AT1109" s="15" t="s">
        <v>730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328</v>
      </c>
      <c r="AS1110" s="15" t="s">
        <v>567</v>
      </c>
      <c r="AT1110" s="15" t="s">
        <v>731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328</v>
      </c>
      <c r="AS1111" s="15" t="s">
        <v>567</v>
      </c>
      <c r="AT1111" s="15" t="s">
        <v>732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328</v>
      </c>
      <c r="AS1112" s="15" t="s">
        <v>567</v>
      </c>
      <c r="AT1112" s="15" t="s">
        <v>733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328</v>
      </c>
      <c r="AS1113" s="15" t="s">
        <v>567</v>
      </c>
      <c r="AT1113" s="15" t="s">
        <v>734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328</v>
      </c>
      <c r="AS1114" s="15" t="s">
        <v>567</v>
      </c>
      <c r="AT1114" s="15" t="s">
        <v>735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328</v>
      </c>
      <c r="AS1115" s="15" t="s">
        <v>567</v>
      </c>
      <c r="AT1115" s="15" t="s">
        <v>736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328</v>
      </c>
      <c r="AS1116" s="15" t="s">
        <v>567</v>
      </c>
      <c r="AT1116" s="15" t="s">
        <v>737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328</v>
      </c>
      <c r="AS1117" s="15" t="s">
        <v>567</v>
      </c>
      <c r="AT1117" s="15" t="s">
        <v>738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328</v>
      </c>
      <c r="AS1118" s="15" t="s">
        <v>567</v>
      </c>
      <c r="AT1118" s="15" t="s">
        <v>739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328</v>
      </c>
      <c r="AS1119" s="15" t="s">
        <v>567</v>
      </c>
      <c r="AT1119" s="15" t="s">
        <v>740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328</v>
      </c>
      <c r="AS1120" s="15" t="s">
        <v>567</v>
      </c>
      <c r="AT1120" s="15" t="s">
        <v>741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328</v>
      </c>
      <c r="AS1121" s="15" t="s">
        <v>567</v>
      </c>
      <c r="AT1121" s="15" t="s">
        <v>742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328</v>
      </c>
      <c r="AS1122" s="15" t="s">
        <v>567</v>
      </c>
      <c r="AT1122" s="15" t="s">
        <v>743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328</v>
      </c>
      <c r="AS1123" s="15" t="s">
        <v>567</v>
      </c>
      <c r="AT1123" s="15" t="s">
        <v>744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328</v>
      </c>
      <c r="AS1124" s="15" t="s">
        <v>567</v>
      </c>
      <c r="AT1124" s="15" t="s">
        <v>745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328</v>
      </c>
      <c r="AS1125" s="15" t="s">
        <v>567</v>
      </c>
      <c r="AT1125" s="15" t="s">
        <v>746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328</v>
      </c>
      <c r="AS1126" s="15" t="s">
        <v>567</v>
      </c>
      <c r="AT1126" s="15" t="s">
        <v>747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328</v>
      </c>
      <c r="AS1127" s="15" t="s">
        <v>567</v>
      </c>
      <c r="AT1127" s="15" t="s">
        <v>748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328</v>
      </c>
      <c r="AS1128" s="15" t="s">
        <v>567</v>
      </c>
      <c r="AT1128" s="15" t="s">
        <v>749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328</v>
      </c>
      <c r="AS1129" s="15" t="s">
        <v>567</v>
      </c>
      <c r="AT1129" s="15" t="s">
        <v>750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328</v>
      </c>
      <c r="AS1130" s="15" t="s">
        <v>567</v>
      </c>
      <c r="AT1130" s="15" t="s">
        <v>751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328</v>
      </c>
      <c r="AS1131" s="15" t="s">
        <v>567</v>
      </c>
      <c r="AT1131" s="15" t="s">
        <v>752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328</v>
      </c>
      <c r="AS1132" s="15" t="s">
        <v>567</v>
      </c>
      <c r="AT1132" s="15" t="s">
        <v>753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328</v>
      </c>
      <c r="AS1133" s="15" t="s">
        <v>567</v>
      </c>
      <c r="AT1133" s="15" t="s">
        <v>754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328</v>
      </c>
      <c r="AS1134" s="15" t="s">
        <v>567</v>
      </c>
      <c r="AT1134" s="15" t="s">
        <v>755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328</v>
      </c>
      <c r="AS1135" s="15" t="s">
        <v>567</v>
      </c>
      <c r="AT1135" s="15" t="s">
        <v>756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328</v>
      </c>
      <c r="AS1136" s="15" t="s">
        <v>567</v>
      </c>
      <c r="AT1136" s="15" t="s">
        <v>757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328</v>
      </c>
      <c r="AS1137" s="15" t="s">
        <v>567</v>
      </c>
      <c r="AT1137" s="15" t="s">
        <v>758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328</v>
      </c>
      <c r="AS1138" s="15" t="s">
        <v>567</v>
      </c>
      <c r="AT1138" s="15" t="s">
        <v>759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328</v>
      </c>
      <c r="AS1139" s="15" t="s">
        <v>567</v>
      </c>
      <c r="AT1139" s="15" t="s">
        <v>760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328</v>
      </c>
      <c r="AS1140" s="15" t="s">
        <v>567</v>
      </c>
      <c r="AT1140" s="15" t="s">
        <v>761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328</v>
      </c>
      <c r="AS1141" s="15" t="s">
        <v>567</v>
      </c>
      <c r="AT1141" s="15" t="s">
        <v>762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328</v>
      </c>
      <c r="AS1142" s="15" t="s">
        <v>567</v>
      </c>
      <c r="AT1142" s="15" t="s">
        <v>763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328</v>
      </c>
      <c r="AS1143" s="15" t="s">
        <v>567</v>
      </c>
      <c r="AT1143" s="15" t="s">
        <v>764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328</v>
      </c>
      <c r="AS1144" s="15" t="s">
        <v>567</v>
      </c>
      <c r="AT1144" s="15" t="s">
        <v>765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328</v>
      </c>
      <c r="AS1145" s="15" t="s">
        <v>567</v>
      </c>
      <c r="AT1145" s="15" t="s">
        <v>766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328</v>
      </c>
      <c r="AS1146" s="15" t="s">
        <v>567</v>
      </c>
      <c r="AT1146" s="15" t="s">
        <v>767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328</v>
      </c>
      <c r="AS1147" s="15" t="s">
        <v>567</v>
      </c>
      <c r="AT1147" s="15" t="s">
        <v>768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328</v>
      </c>
      <c r="AS1148" s="15" t="s">
        <v>567</v>
      </c>
      <c r="AT1148" s="15" t="s">
        <v>769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328</v>
      </c>
      <c r="AS1149" s="15" t="s">
        <v>567</v>
      </c>
      <c r="AT1149" s="15" t="s">
        <v>770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328</v>
      </c>
      <c r="AS1150" s="15" t="s">
        <v>567</v>
      </c>
      <c r="AT1150" s="15" t="s">
        <v>771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328</v>
      </c>
      <c r="AS1151" s="15" t="s">
        <v>567</v>
      </c>
      <c r="AT1151" s="15" t="s">
        <v>772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328</v>
      </c>
      <c r="AS1152" s="15" t="s">
        <v>567</v>
      </c>
      <c r="AT1152" s="15" t="s">
        <v>773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328</v>
      </c>
      <c r="AS1153" s="15" t="s">
        <v>567</v>
      </c>
      <c r="AT1153" s="15" t="s">
        <v>774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328</v>
      </c>
      <c r="AS1154" s="15" t="s">
        <v>567</v>
      </c>
      <c r="AT1154" s="15" t="s">
        <v>775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328</v>
      </c>
      <c r="AS1155" s="15" t="s">
        <v>567</v>
      </c>
      <c r="AT1155" s="15" t="s">
        <v>776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328</v>
      </c>
      <c r="AS1156" s="15" t="s">
        <v>567</v>
      </c>
      <c r="AT1156" s="15" t="s">
        <v>777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328</v>
      </c>
      <c r="AS1157" s="15" t="s">
        <v>567</v>
      </c>
      <c r="AT1157" s="15" t="s">
        <v>778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328</v>
      </c>
      <c r="AS1158" s="15" t="s">
        <v>567</v>
      </c>
      <c r="AT1158" s="15" t="s">
        <v>779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328</v>
      </c>
      <c r="AS1159" s="15" t="s">
        <v>567</v>
      </c>
      <c r="AT1159" s="15" t="s">
        <v>780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328</v>
      </c>
      <c r="AS1160" s="15" t="s">
        <v>567</v>
      </c>
      <c r="AT1160" s="15" t="s">
        <v>781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328</v>
      </c>
      <c r="AS1161" s="15" t="s">
        <v>567</v>
      </c>
      <c r="AT1161" s="15" t="s">
        <v>782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328</v>
      </c>
      <c r="AS1162" s="15" t="s">
        <v>567</v>
      </c>
      <c r="AT1162" s="15" t="s">
        <v>783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328</v>
      </c>
      <c r="AS1163" s="15" t="s">
        <v>567</v>
      </c>
      <c r="AT1163" s="15" t="s">
        <v>784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328</v>
      </c>
      <c r="AS1164" s="15" t="s">
        <v>567</v>
      </c>
      <c r="AT1164" s="15" t="s">
        <v>785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328</v>
      </c>
      <c r="AS1165" s="15" t="s">
        <v>567</v>
      </c>
      <c r="AT1165" s="15" t="s">
        <v>786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328</v>
      </c>
      <c r="AS1166" s="15" t="s">
        <v>567</v>
      </c>
      <c r="AT1166" s="15" t="s">
        <v>787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328</v>
      </c>
      <c r="AS1167" s="15" t="s">
        <v>567</v>
      </c>
      <c r="AT1167" s="15" t="s">
        <v>788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328</v>
      </c>
      <c r="AS1168" s="15" t="s">
        <v>567</v>
      </c>
      <c r="AT1168" s="15" t="s">
        <v>789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328</v>
      </c>
      <c r="AS1169" s="15" t="s">
        <v>567</v>
      </c>
      <c r="AT1169" s="15" t="s">
        <v>790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328</v>
      </c>
      <c r="AS1170" s="15" t="s">
        <v>567</v>
      </c>
      <c r="AT1170" s="15" t="s">
        <v>791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328</v>
      </c>
      <c r="AS1171" s="15" t="s">
        <v>567</v>
      </c>
      <c r="AT1171" s="15" t="s">
        <v>792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328</v>
      </c>
      <c r="AS1172" s="15" t="s">
        <v>567</v>
      </c>
      <c r="AT1172" s="15" t="s">
        <v>793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328</v>
      </c>
      <c r="AS1173" s="15" t="s">
        <v>567</v>
      </c>
      <c r="AT1173" s="15" t="s">
        <v>794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328</v>
      </c>
      <c r="AS1174" s="15" t="s">
        <v>567</v>
      </c>
      <c r="AT1174" s="15" t="s">
        <v>795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328</v>
      </c>
      <c r="AS1175" s="15" t="s">
        <v>567</v>
      </c>
      <c r="AT1175" s="15" t="s">
        <v>796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328</v>
      </c>
      <c r="AS1176" s="15" t="s">
        <v>567</v>
      </c>
      <c r="AT1176" s="15" t="s">
        <v>797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328</v>
      </c>
      <c r="AS1177" s="15" t="s">
        <v>567</v>
      </c>
      <c r="AT1177" s="15" t="s">
        <v>798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328</v>
      </c>
      <c r="AS1178" s="15" t="s">
        <v>567</v>
      </c>
      <c r="AT1178" s="15" t="s">
        <v>799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328</v>
      </c>
      <c r="AS1179" s="15" t="s">
        <v>567</v>
      </c>
      <c r="AT1179" s="15" t="s">
        <v>800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328</v>
      </c>
      <c r="AS1180" s="15" t="s">
        <v>567</v>
      </c>
      <c r="AT1180" s="15" t="s">
        <v>801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328</v>
      </c>
      <c r="AS1181" s="15" t="s">
        <v>567</v>
      </c>
      <c r="AT1181" s="15" t="s">
        <v>802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328</v>
      </c>
      <c r="AS1182" s="15" t="s">
        <v>567</v>
      </c>
      <c r="AT1182" s="15" t="s">
        <v>803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328</v>
      </c>
      <c r="AS1183" s="15" t="s">
        <v>567</v>
      </c>
      <c r="AT1183" s="15" t="s">
        <v>804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328</v>
      </c>
      <c r="AS1184" s="15" t="s">
        <v>567</v>
      </c>
      <c r="AT1184" s="15" t="s">
        <v>805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328</v>
      </c>
      <c r="AS1185" s="15" t="s">
        <v>567</v>
      </c>
      <c r="AT1185" s="15" t="s">
        <v>806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328</v>
      </c>
      <c r="AS1186" s="15" t="s">
        <v>567</v>
      </c>
      <c r="AT1186" s="15" t="s">
        <v>807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328</v>
      </c>
      <c r="AS1187" s="15" t="s">
        <v>567</v>
      </c>
      <c r="AT1187" s="15" t="s">
        <v>808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328</v>
      </c>
      <c r="AS1188" s="15" t="s">
        <v>567</v>
      </c>
      <c r="AT1188" s="15" t="s">
        <v>809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328</v>
      </c>
      <c r="AS1189" s="15" t="s">
        <v>567</v>
      </c>
      <c r="AT1189" s="15" t="s">
        <v>810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328</v>
      </c>
      <c r="AS1190" s="15" t="s">
        <v>567</v>
      </c>
      <c r="AT1190" s="15" t="s">
        <v>811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328</v>
      </c>
      <c r="AS1191" s="15" t="s">
        <v>567</v>
      </c>
      <c r="AT1191" s="15" t="s">
        <v>812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328</v>
      </c>
      <c r="AS1192" s="15" t="s">
        <v>567</v>
      </c>
      <c r="AT1192" s="15" t="s">
        <v>813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328</v>
      </c>
      <c r="AS1193" s="15" t="s">
        <v>567</v>
      </c>
      <c r="AT1193" s="15" t="s">
        <v>814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328</v>
      </c>
      <c r="AS1194" s="15" t="s">
        <v>567</v>
      </c>
      <c r="AT1194" s="15" t="s">
        <v>815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328</v>
      </c>
      <c r="AS1195" s="15" t="s">
        <v>567</v>
      </c>
      <c r="AT1195" s="15" t="s">
        <v>816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328</v>
      </c>
      <c r="AS1196" s="15" t="s">
        <v>567</v>
      </c>
      <c r="AT1196" s="15" t="s">
        <v>817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328</v>
      </c>
      <c r="AS1197" s="15" t="s">
        <v>567</v>
      </c>
      <c r="AT1197" s="15" t="s">
        <v>818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328</v>
      </c>
      <c r="AS1198" s="15" t="s">
        <v>567</v>
      </c>
      <c r="AT1198" s="15" t="s">
        <v>819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328</v>
      </c>
      <c r="AS1199" s="15" t="s">
        <v>567</v>
      </c>
      <c r="AT1199" s="15" t="s">
        <v>820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328</v>
      </c>
      <c r="AS1200" s="15" t="s">
        <v>567</v>
      </c>
      <c r="AT1200" s="15" t="s">
        <v>821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328</v>
      </c>
      <c r="AS1201" s="15" t="s">
        <v>567</v>
      </c>
      <c r="AT1201" s="15" t="s">
        <v>822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328</v>
      </c>
      <c r="AS1202" s="15" t="s">
        <v>567</v>
      </c>
      <c r="AT1202" s="15" t="s">
        <v>823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328</v>
      </c>
      <c r="AS1203" s="15" t="s">
        <v>567</v>
      </c>
      <c r="AT1203" s="15" t="s">
        <v>824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328</v>
      </c>
      <c r="AS1204" s="15" t="s">
        <v>567</v>
      </c>
      <c r="AT1204" s="15" t="s">
        <v>825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328</v>
      </c>
      <c r="AS1205" s="15" t="s">
        <v>567</v>
      </c>
      <c r="AT1205" s="15" t="s">
        <v>826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328</v>
      </c>
      <c r="AS1206" s="15" t="s">
        <v>567</v>
      </c>
      <c r="AT1206" s="15" t="s">
        <v>827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328</v>
      </c>
      <c r="AS1207" s="15" t="s">
        <v>567</v>
      </c>
      <c r="AT1207" s="15" t="s">
        <v>828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328</v>
      </c>
      <c r="AS1208" s="15" t="s">
        <v>567</v>
      </c>
      <c r="AT1208" s="15" t="s">
        <v>829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328</v>
      </c>
      <c r="AS1209" s="15" t="s">
        <v>567</v>
      </c>
      <c r="AT1209" s="15" t="s">
        <v>830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328</v>
      </c>
      <c r="AS1210" s="15" t="s">
        <v>567</v>
      </c>
      <c r="AT1210" s="15" t="s">
        <v>831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328</v>
      </c>
      <c r="AS1211" s="15" t="s">
        <v>567</v>
      </c>
      <c r="AT1211" s="15" t="s">
        <v>832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328</v>
      </c>
      <c r="AS1212" s="15" t="s">
        <v>567</v>
      </c>
      <c r="AT1212" s="15" t="s">
        <v>833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328</v>
      </c>
      <c r="AS1213" s="15" t="s">
        <v>567</v>
      </c>
      <c r="AT1213" s="15" t="s">
        <v>834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328</v>
      </c>
      <c r="AS1214" s="15" t="s">
        <v>567</v>
      </c>
      <c r="AT1214" s="15" t="s">
        <v>835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328</v>
      </c>
      <c r="AS1215" s="15" t="s">
        <v>567</v>
      </c>
      <c r="AT1215" s="15" t="s">
        <v>836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328</v>
      </c>
      <c r="AS1216" s="15" t="s">
        <v>567</v>
      </c>
      <c r="AT1216" s="15" t="s">
        <v>837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328</v>
      </c>
      <c r="AS1217" s="15" t="s">
        <v>567</v>
      </c>
      <c r="AT1217" s="15" t="s">
        <v>838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328</v>
      </c>
      <c r="AS1218" s="15" t="s">
        <v>567</v>
      </c>
      <c r="AT1218" s="15" t="s">
        <v>839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328</v>
      </c>
      <c r="AS1219" s="15" t="s">
        <v>567</v>
      </c>
      <c r="AT1219" s="15" t="s">
        <v>840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328</v>
      </c>
      <c r="AS1220" s="15" t="s">
        <v>567</v>
      </c>
      <c r="AT1220" s="15" t="s">
        <v>841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328</v>
      </c>
      <c r="AS1221" s="15" t="s">
        <v>567</v>
      </c>
      <c r="AT1221" s="15" t="s">
        <v>842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328</v>
      </c>
      <c r="AS1222" s="15" t="s">
        <v>567</v>
      </c>
      <c r="AT1222" s="15" t="s">
        <v>843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328</v>
      </c>
      <c r="AS1223" s="15" t="s">
        <v>567</v>
      </c>
      <c r="AT1223" s="15" t="s">
        <v>844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328</v>
      </c>
      <c r="AS1224" s="15" t="s">
        <v>567</v>
      </c>
      <c r="AT1224" s="15" t="s">
        <v>845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328</v>
      </c>
      <c r="AS1225" s="15" t="s">
        <v>567</v>
      </c>
      <c r="AT1225" s="15" t="s">
        <v>846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328</v>
      </c>
      <c r="AS1226" s="15" t="s">
        <v>567</v>
      </c>
      <c r="AT1226" s="15" t="s">
        <v>847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328</v>
      </c>
      <c r="AS1227" s="15" t="s">
        <v>567</v>
      </c>
      <c r="AT1227" s="15" t="s">
        <v>848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328</v>
      </c>
      <c r="AS1228" s="15" t="s">
        <v>567</v>
      </c>
      <c r="AT1228" s="15" t="s">
        <v>849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328</v>
      </c>
      <c r="AS1229" s="15" t="s">
        <v>567</v>
      </c>
      <c r="AT1229" s="15" t="s">
        <v>850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328</v>
      </c>
      <c r="AS1230" s="15" t="s">
        <v>567</v>
      </c>
      <c r="AT1230" s="15" t="s">
        <v>851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328</v>
      </c>
      <c r="AS1231" s="15" t="s">
        <v>567</v>
      </c>
      <c r="AT1231" s="15" t="s">
        <v>852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328</v>
      </c>
      <c r="AS1232" s="15" t="s">
        <v>567</v>
      </c>
      <c r="AT1232" s="15" t="s">
        <v>853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328</v>
      </c>
      <c r="AS1233" s="15" t="s">
        <v>567</v>
      </c>
      <c r="AT1233" s="15" t="s">
        <v>854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328</v>
      </c>
      <c r="AS1234" s="15" t="s">
        <v>567</v>
      </c>
      <c r="AT1234" s="15" t="s">
        <v>855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328</v>
      </c>
      <c r="AS1235" s="15" t="s">
        <v>567</v>
      </c>
      <c r="AT1235" s="15" t="s">
        <v>856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328</v>
      </c>
      <c r="AS1236" s="15" t="s">
        <v>567</v>
      </c>
      <c r="AT1236" s="15" t="s">
        <v>857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328</v>
      </c>
      <c r="AS1237" s="15" t="s">
        <v>567</v>
      </c>
      <c r="AT1237" s="15" t="s">
        <v>858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328</v>
      </c>
      <c r="AS1238" s="15" t="s">
        <v>567</v>
      </c>
      <c r="AT1238" s="15" t="s">
        <v>859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328</v>
      </c>
      <c r="AS1239" s="15" t="s">
        <v>567</v>
      </c>
      <c r="AT1239" s="15" t="s">
        <v>860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328</v>
      </c>
      <c r="AS1240" s="15" t="s">
        <v>567</v>
      </c>
      <c r="AT1240" s="15" t="s">
        <v>861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328</v>
      </c>
      <c r="AS1241" s="15" t="s">
        <v>567</v>
      </c>
      <c r="AT1241" s="15" t="s">
        <v>862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328</v>
      </c>
      <c r="AS1242" s="15" t="s">
        <v>567</v>
      </c>
      <c r="AT1242" s="15" t="s">
        <v>863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328</v>
      </c>
      <c r="AS1243" s="15" t="s">
        <v>567</v>
      </c>
      <c r="AT1243" s="15" t="s">
        <v>864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328</v>
      </c>
      <c r="AS1244" s="15" t="s">
        <v>567</v>
      </c>
      <c r="AT1244" s="15" t="s">
        <v>865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328</v>
      </c>
      <c r="AS1245" s="15" t="s">
        <v>567</v>
      </c>
      <c r="AT1245" s="15" t="s">
        <v>866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328</v>
      </c>
      <c r="AS1246" s="15" t="s">
        <v>567</v>
      </c>
      <c r="AT1246" s="15" t="s">
        <v>867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328</v>
      </c>
      <c r="AS1247" s="15" t="s">
        <v>567</v>
      </c>
      <c r="AT1247" s="15" t="s">
        <v>868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328</v>
      </c>
      <c r="AS1248" s="15" t="s">
        <v>567</v>
      </c>
      <c r="AT1248" s="15" t="s">
        <v>869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328</v>
      </c>
      <c r="AS1249" s="15" t="s">
        <v>567</v>
      </c>
      <c r="AT1249" s="15" t="s">
        <v>870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328</v>
      </c>
      <c r="AS1250" s="15" t="s">
        <v>567</v>
      </c>
      <c r="AT1250" s="15" t="s">
        <v>871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328</v>
      </c>
      <c r="AS1251" s="15" t="s">
        <v>567</v>
      </c>
      <c r="AT1251" s="15" t="s">
        <v>872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328</v>
      </c>
      <c r="AS1252" s="15" t="s">
        <v>567</v>
      </c>
      <c r="AT1252" s="15" t="s">
        <v>873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328</v>
      </c>
      <c r="AS1253" s="15" t="s">
        <v>567</v>
      </c>
      <c r="AT1253" s="15" t="s">
        <v>874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328</v>
      </c>
      <c r="AS1254" s="15" t="s">
        <v>567</v>
      </c>
      <c r="AT1254" s="15" t="s">
        <v>875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328</v>
      </c>
      <c r="AS1255" s="15" t="s">
        <v>567</v>
      </c>
      <c r="AT1255" s="15" t="s">
        <v>876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328</v>
      </c>
      <c r="AS1256" s="15" t="s">
        <v>567</v>
      </c>
      <c r="AT1256" s="15" t="s">
        <v>877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328</v>
      </c>
      <c r="AS1257" s="15" t="s">
        <v>567</v>
      </c>
      <c r="AT1257" s="15" t="s">
        <v>878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328</v>
      </c>
      <c r="AS1258" s="15" t="s">
        <v>567</v>
      </c>
      <c r="AT1258" s="15" t="s">
        <v>879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328</v>
      </c>
      <c r="AS1259" s="15" t="s">
        <v>567</v>
      </c>
      <c r="AT1259" s="15" t="s">
        <v>880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328</v>
      </c>
      <c r="AS1260" s="15" t="s">
        <v>567</v>
      </c>
      <c r="AT1260" s="15" t="s">
        <v>881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328</v>
      </c>
      <c r="AS1261" s="15" t="s">
        <v>567</v>
      </c>
      <c r="AT1261" s="15" t="s">
        <v>882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328</v>
      </c>
      <c r="AS1262" s="15" t="s">
        <v>567</v>
      </c>
      <c r="AT1262" s="15" t="s">
        <v>883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328</v>
      </c>
      <c r="AS1263" s="15" t="s">
        <v>567</v>
      </c>
      <c r="AT1263" s="15" t="s">
        <v>884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328</v>
      </c>
      <c r="AS1264" s="15" t="s">
        <v>567</v>
      </c>
      <c r="AT1264" s="15" t="s">
        <v>885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328</v>
      </c>
      <c r="AS1265" s="15" t="s">
        <v>567</v>
      </c>
      <c r="AT1265" s="15" t="s">
        <v>886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328</v>
      </c>
      <c r="AS1266" s="15" t="s">
        <v>567</v>
      </c>
      <c r="AT1266" s="15" t="s">
        <v>887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328</v>
      </c>
      <c r="AS1267" s="15" t="s">
        <v>567</v>
      </c>
      <c r="AT1267" s="15" t="s">
        <v>888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328</v>
      </c>
      <c r="AS1268" s="15" t="s">
        <v>567</v>
      </c>
      <c r="AT1268" s="15" t="s">
        <v>889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328</v>
      </c>
      <c r="AS1269" s="15" t="s">
        <v>567</v>
      </c>
      <c r="AT1269" s="15" t="s">
        <v>890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328</v>
      </c>
      <c r="AS1270" s="15" t="s">
        <v>567</v>
      </c>
      <c r="AT1270" s="15" t="s">
        <v>891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328</v>
      </c>
      <c r="AS1271" s="15" t="s">
        <v>567</v>
      </c>
      <c r="AT1271" s="15" t="s">
        <v>892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328</v>
      </c>
      <c r="AS1272" s="15" t="s">
        <v>567</v>
      </c>
      <c r="AT1272" s="15" t="s">
        <v>893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328</v>
      </c>
      <c r="AS1273" s="15" t="s">
        <v>567</v>
      </c>
      <c r="AT1273" s="15" t="s">
        <v>894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328</v>
      </c>
      <c r="AS1274" s="15" t="s">
        <v>567</v>
      </c>
      <c r="AT1274" s="15" t="s">
        <v>895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328</v>
      </c>
      <c r="AS1275" s="15" t="s">
        <v>567</v>
      </c>
      <c r="AT1275" s="15" t="s">
        <v>896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328</v>
      </c>
      <c r="AS1276" s="15" t="s">
        <v>567</v>
      </c>
      <c r="AT1276" s="15" t="s">
        <v>897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328</v>
      </c>
      <c r="AS1277" s="15" t="s">
        <v>567</v>
      </c>
      <c r="AT1277" s="15" t="s">
        <v>898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328</v>
      </c>
      <c r="AS1278" s="15" t="s">
        <v>567</v>
      </c>
      <c r="AT1278" s="15" t="s">
        <v>899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328</v>
      </c>
      <c r="AS1279" s="15" t="s">
        <v>567</v>
      </c>
      <c r="AT1279" s="15" t="s">
        <v>900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328</v>
      </c>
      <c r="AS1280" s="15" t="s">
        <v>567</v>
      </c>
      <c r="AT1280" s="15" t="s">
        <v>901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328</v>
      </c>
      <c r="AS1281" s="15" t="s">
        <v>567</v>
      </c>
      <c r="AT1281" s="15" t="s">
        <v>902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328</v>
      </c>
      <c r="AS1282" s="15" t="s">
        <v>567</v>
      </c>
      <c r="AT1282" s="15" t="s">
        <v>903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328</v>
      </c>
      <c r="AS1283" s="15" t="s">
        <v>567</v>
      </c>
      <c r="AT1283" s="15" t="s">
        <v>904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328</v>
      </c>
      <c r="AS1284" s="15" t="s">
        <v>567</v>
      </c>
      <c r="AT1284" s="15" t="s">
        <v>905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328</v>
      </c>
      <c r="AS1285" s="15" t="s">
        <v>567</v>
      </c>
      <c r="AT1285" s="15" t="s">
        <v>906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328</v>
      </c>
      <c r="AS1286" s="15" t="s">
        <v>567</v>
      </c>
      <c r="AT1286" s="15" t="s">
        <v>907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328</v>
      </c>
      <c r="AS1287" s="15" t="s">
        <v>567</v>
      </c>
      <c r="AT1287" s="15" t="s">
        <v>908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328</v>
      </c>
      <c r="AS1288" s="15" t="s">
        <v>567</v>
      </c>
      <c r="AT1288" s="15" t="s">
        <v>909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328</v>
      </c>
      <c r="AS1289" s="15" t="s">
        <v>567</v>
      </c>
      <c r="AT1289" s="15" t="s">
        <v>910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328</v>
      </c>
      <c r="AS1290" s="15" t="s">
        <v>567</v>
      </c>
      <c r="AT1290" s="15" t="s">
        <v>911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328</v>
      </c>
      <c r="AS1291" s="15" t="s">
        <v>567</v>
      </c>
      <c r="AT1291" s="15" t="s">
        <v>912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328</v>
      </c>
      <c r="AS1292" s="15" t="s">
        <v>567</v>
      </c>
      <c r="AT1292" s="15" t="s">
        <v>913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328</v>
      </c>
      <c r="AS1293" s="15" t="s">
        <v>567</v>
      </c>
      <c r="AT1293" s="15" t="s">
        <v>914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328</v>
      </c>
      <c r="AS1294" s="15" t="s">
        <v>567</v>
      </c>
      <c r="AT1294" s="15" t="s">
        <v>915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328</v>
      </c>
      <c r="AS1295" s="15" t="s">
        <v>567</v>
      </c>
      <c r="AT1295" s="15" t="s">
        <v>916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328</v>
      </c>
      <c r="AS1296" s="15" t="s">
        <v>567</v>
      </c>
      <c r="AT1296" s="15" t="s">
        <v>917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328</v>
      </c>
      <c r="AS1297" s="15" t="s">
        <v>567</v>
      </c>
      <c r="AT1297" s="15" t="s">
        <v>918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328</v>
      </c>
      <c r="AS1298" s="15" t="s">
        <v>567</v>
      </c>
      <c r="AT1298" s="15" t="s">
        <v>919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328</v>
      </c>
      <c r="AS1299" s="15" t="s">
        <v>567</v>
      </c>
      <c r="AT1299" s="15" t="s">
        <v>920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328</v>
      </c>
      <c r="AS1300" s="15" t="s">
        <v>567</v>
      </c>
      <c r="AT1300" s="15" t="s">
        <v>921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328</v>
      </c>
      <c r="AS1301" s="15" t="s">
        <v>567</v>
      </c>
      <c r="AT1301" s="15" t="s">
        <v>922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328</v>
      </c>
      <c r="AS1302" s="15" t="s">
        <v>567</v>
      </c>
      <c r="AT1302" s="15" t="s">
        <v>923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328</v>
      </c>
      <c r="AS1303" s="15" t="s">
        <v>567</v>
      </c>
      <c r="AT1303" s="15" t="s">
        <v>924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328</v>
      </c>
      <c r="AS1304" s="15" t="s">
        <v>567</v>
      </c>
      <c r="AT1304" s="15" t="s">
        <v>925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328</v>
      </c>
      <c r="AS1305" s="15" t="s">
        <v>567</v>
      </c>
      <c r="AT1305" s="15" t="s">
        <v>926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328</v>
      </c>
      <c r="AS1306" s="15" t="s">
        <v>567</v>
      </c>
      <c r="AT1306" s="15" t="s">
        <v>927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328</v>
      </c>
      <c r="AS1307" s="15" t="s">
        <v>567</v>
      </c>
      <c r="AT1307" s="15" t="s">
        <v>928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328</v>
      </c>
      <c r="AS1308" s="15" t="s">
        <v>567</v>
      </c>
      <c r="AT1308" s="15" t="s">
        <v>929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328</v>
      </c>
      <c r="AS1309" s="15" t="s">
        <v>567</v>
      </c>
      <c r="AT1309" s="15" t="s">
        <v>930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328</v>
      </c>
      <c r="AS1310" s="15" t="s">
        <v>567</v>
      </c>
      <c r="AT1310" s="15" t="s">
        <v>931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328</v>
      </c>
      <c r="AS1311" s="15" t="s">
        <v>567</v>
      </c>
      <c r="AT1311" s="15" t="s">
        <v>932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328</v>
      </c>
      <c r="AS1312" s="15" t="s">
        <v>567</v>
      </c>
      <c r="AT1312" s="15" t="s">
        <v>933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328</v>
      </c>
      <c r="AS1313" s="15" t="s">
        <v>567</v>
      </c>
      <c r="AT1313" s="15" t="s">
        <v>934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328</v>
      </c>
      <c r="AS1314" s="15" t="s">
        <v>567</v>
      </c>
      <c r="AT1314" s="15" t="s">
        <v>935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328</v>
      </c>
      <c r="AS1315" s="15" t="s">
        <v>567</v>
      </c>
      <c r="AT1315" s="15" t="s">
        <v>936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328</v>
      </c>
      <c r="AS1316" s="15" t="s">
        <v>567</v>
      </c>
      <c r="AT1316" s="15" t="s">
        <v>937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328</v>
      </c>
      <c r="AS1317" s="15" t="s">
        <v>567</v>
      </c>
      <c r="AT1317" s="15" t="s">
        <v>938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328</v>
      </c>
      <c r="AS1318" s="15" t="s">
        <v>567</v>
      </c>
      <c r="AT1318" s="15" t="s">
        <v>939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328</v>
      </c>
      <c r="AS1319" s="15" t="s">
        <v>567</v>
      </c>
      <c r="AT1319" s="15" t="s">
        <v>940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328</v>
      </c>
      <c r="AS1320" s="15" t="s">
        <v>567</v>
      </c>
      <c r="AT1320" s="15" t="s">
        <v>941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328</v>
      </c>
      <c r="AS1321" s="15" t="s">
        <v>567</v>
      </c>
      <c r="AT1321" s="15" t="s">
        <v>942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328</v>
      </c>
      <c r="AS1322" s="15" t="s">
        <v>567</v>
      </c>
      <c r="AT1322" s="15" t="s">
        <v>943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328</v>
      </c>
      <c r="AS1323" s="15" t="s">
        <v>567</v>
      </c>
      <c r="AT1323" s="15" t="s">
        <v>944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328</v>
      </c>
      <c r="AS1324" s="15" t="s">
        <v>567</v>
      </c>
      <c r="AT1324" s="15" t="s">
        <v>945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328</v>
      </c>
      <c r="AS1325" s="15" t="s">
        <v>567</v>
      </c>
      <c r="AT1325" s="15" t="s">
        <v>946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328</v>
      </c>
      <c r="AS1326" s="15" t="s">
        <v>567</v>
      </c>
      <c r="AT1326" s="15" t="s">
        <v>947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328</v>
      </c>
      <c r="AS1327" s="15" t="s">
        <v>567</v>
      </c>
      <c r="AT1327" s="15" t="s">
        <v>948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328</v>
      </c>
      <c r="AS1328" s="15" t="s">
        <v>567</v>
      </c>
      <c r="AT1328" s="15" t="s">
        <v>949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328</v>
      </c>
      <c r="AS1329" s="15" t="s">
        <v>567</v>
      </c>
      <c r="AT1329" s="15" t="s">
        <v>950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328</v>
      </c>
      <c r="AS1330" s="15" t="s">
        <v>567</v>
      </c>
      <c r="AT1330" s="15" t="s">
        <v>951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328</v>
      </c>
      <c r="AS1331" s="15" t="s">
        <v>567</v>
      </c>
      <c r="AT1331" s="15" t="s">
        <v>952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328</v>
      </c>
      <c r="AS1332" s="15" t="s">
        <v>567</v>
      </c>
      <c r="AT1332" s="15" t="s">
        <v>953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328</v>
      </c>
      <c r="AS1333" s="15" t="s">
        <v>567</v>
      </c>
      <c r="AT1333" s="15" t="s">
        <v>954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328</v>
      </c>
      <c r="AS1334" s="15" t="s">
        <v>567</v>
      </c>
      <c r="AT1334" s="15" t="s">
        <v>955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328</v>
      </c>
      <c r="AS1335" s="15" t="s">
        <v>567</v>
      </c>
      <c r="AT1335" s="15" t="s">
        <v>956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328</v>
      </c>
      <c r="AS1336" s="15" t="s">
        <v>567</v>
      </c>
      <c r="AT1336" s="15" t="s">
        <v>957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328</v>
      </c>
      <c r="AS1337" s="15" t="s">
        <v>567</v>
      </c>
      <c r="AT1337" s="15" t="s">
        <v>958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328</v>
      </c>
      <c r="AS1338" s="15" t="s">
        <v>567</v>
      </c>
      <c r="AT1338" s="15" t="s">
        <v>959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328</v>
      </c>
      <c r="AS1339" s="15" t="s">
        <v>567</v>
      </c>
      <c r="AT1339" s="15" t="s">
        <v>960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328</v>
      </c>
      <c r="AS1340" s="15" t="s">
        <v>567</v>
      </c>
      <c r="AT1340" s="15" t="s">
        <v>961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328</v>
      </c>
      <c r="AS1341" s="15" t="s">
        <v>567</v>
      </c>
      <c r="AT1341" s="15" t="s">
        <v>962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328</v>
      </c>
      <c r="AS1342" s="15" t="s">
        <v>567</v>
      </c>
      <c r="AT1342" s="15" t="s">
        <v>963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328</v>
      </c>
      <c r="AS1343" s="15" t="s">
        <v>567</v>
      </c>
      <c r="AT1343" s="15" t="s">
        <v>964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328</v>
      </c>
      <c r="AS1344" s="15" t="s">
        <v>567</v>
      </c>
      <c r="AT1344" s="15" t="s">
        <v>965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328</v>
      </c>
      <c r="AS1345" s="15" t="s">
        <v>567</v>
      </c>
      <c r="AT1345" s="15" t="s">
        <v>966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328</v>
      </c>
      <c r="AS1346" s="15" t="s">
        <v>567</v>
      </c>
      <c r="AT1346" s="15" t="s">
        <v>967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328</v>
      </c>
      <c r="AS1347" s="15" t="s">
        <v>567</v>
      </c>
      <c r="AT1347" s="15" t="s">
        <v>968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328</v>
      </c>
      <c r="AS1348" s="15" t="s">
        <v>567</v>
      </c>
      <c r="AT1348" s="15" t="s">
        <v>969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328</v>
      </c>
      <c r="AS1349" s="15" t="s">
        <v>567</v>
      </c>
      <c r="AT1349" s="15" t="s">
        <v>970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328</v>
      </c>
      <c r="AS1350" s="15" t="s">
        <v>567</v>
      </c>
      <c r="AT1350" s="15" t="s">
        <v>971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328</v>
      </c>
      <c r="AS1351" s="15" t="s">
        <v>567</v>
      </c>
      <c r="AT1351" s="15" t="s">
        <v>972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328</v>
      </c>
      <c r="AS1352" s="15" t="s">
        <v>567</v>
      </c>
      <c r="AT1352" s="15" t="s">
        <v>973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328</v>
      </c>
      <c r="AS1353" s="15" t="s">
        <v>567</v>
      </c>
      <c r="AT1353" s="15" t="s">
        <v>974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328</v>
      </c>
      <c r="AS1354" s="15" t="s">
        <v>567</v>
      </c>
      <c r="AT1354" s="15" t="s">
        <v>975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328</v>
      </c>
      <c r="AS1355" s="15" t="s">
        <v>567</v>
      </c>
      <c r="AT1355" s="15" t="s">
        <v>976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328</v>
      </c>
      <c r="AS1356" s="15" t="s">
        <v>567</v>
      </c>
      <c r="AT1356" s="15" t="s">
        <v>977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328</v>
      </c>
      <c r="AS1357" s="15" t="s">
        <v>567</v>
      </c>
      <c r="AT1357" s="15" t="s">
        <v>978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328</v>
      </c>
      <c r="AS1358" s="15" t="s">
        <v>567</v>
      </c>
      <c r="AT1358" s="15" t="s">
        <v>979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328</v>
      </c>
      <c r="AS1359" s="15" t="s">
        <v>567</v>
      </c>
      <c r="AT1359" s="15" t="s">
        <v>980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328</v>
      </c>
      <c r="AS1360" s="15" t="s">
        <v>567</v>
      </c>
      <c r="AT1360" s="15" t="s">
        <v>981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328</v>
      </c>
      <c r="AS1361" s="15" t="s">
        <v>567</v>
      </c>
      <c r="AT1361" s="15" t="s">
        <v>982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328</v>
      </c>
      <c r="AS1362" s="15" t="s">
        <v>567</v>
      </c>
      <c r="AT1362" s="15" t="s">
        <v>983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328</v>
      </c>
      <c r="AS1363" s="15" t="s">
        <v>567</v>
      </c>
      <c r="AT1363" s="15" t="s">
        <v>984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328</v>
      </c>
      <c r="AS1364" s="15" t="s">
        <v>567</v>
      </c>
      <c r="AT1364" s="15" t="s">
        <v>985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328</v>
      </c>
      <c r="AS1365" s="15" t="s">
        <v>567</v>
      </c>
      <c r="AT1365" s="15" t="s">
        <v>986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328</v>
      </c>
      <c r="AS1366" s="15" t="s">
        <v>567</v>
      </c>
      <c r="AT1366" s="15" t="s">
        <v>987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328</v>
      </c>
      <c r="AS1367" s="15" t="s">
        <v>567</v>
      </c>
      <c r="AT1367" s="15" t="s">
        <v>989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328</v>
      </c>
      <c r="AS1368" s="15" t="s">
        <v>567</v>
      </c>
      <c r="AT1368" s="15" t="s">
        <v>990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328</v>
      </c>
      <c r="AS1369" s="15" t="s">
        <v>567</v>
      </c>
      <c r="AT1369" s="15" t="s">
        <v>991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328</v>
      </c>
      <c r="AS1370" s="15" t="s">
        <v>567</v>
      </c>
      <c r="AT1370" s="15" t="s">
        <v>992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328</v>
      </c>
      <c r="AS1371" s="15" t="s">
        <v>567</v>
      </c>
      <c r="AT1371" s="15" t="s">
        <v>993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328</v>
      </c>
      <c r="AS1372" s="15" t="s">
        <v>567</v>
      </c>
      <c r="AT1372" s="15" t="s">
        <v>994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328</v>
      </c>
      <c r="AS1373" s="15" t="s">
        <v>567</v>
      </c>
      <c r="AT1373" s="15" t="s">
        <v>995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328</v>
      </c>
      <c r="AS1374" s="15" t="s">
        <v>567</v>
      </c>
      <c r="AT1374" s="15" t="s">
        <v>996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328</v>
      </c>
      <c r="AS1375" s="15" t="s">
        <v>567</v>
      </c>
      <c r="AT1375" s="15" t="s">
        <v>997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328</v>
      </c>
      <c r="AS1376" s="15" t="s">
        <v>567</v>
      </c>
      <c r="AT1376" s="15" t="s">
        <v>998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328</v>
      </c>
      <c r="AS1377" s="15" t="s">
        <v>567</v>
      </c>
      <c r="AT1377" s="15" t="s">
        <v>999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328</v>
      </c>
      <c r="AS1378" s="15" t="s">
        <v>567</v>
      </c>
      <c r="AT1378" s="15" t="s">
        <v>1000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328</v>
      </c>
      <c r="AS1379" s="15" t="s">
        <v>567</v>
      </c>
      <c r="AT1379" s="15" t="s">
        <v>1001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328</v>
      </c>
      <c r="AS1380" s="15" t="s">
        <v>567</v>
      </c>
      <c r="AT1380" s="15" t="s">
        <v>1002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328</v>
      </c>
      <c r="AS1381" s="15" t="s">
        <v>567</v>
      </c>
      <c r="AT1381" s="15" t="s">
        <v>1003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328</v>
      </c>
      <c r="AS1382" s="15" t="s">
        <v>567</v>
      </c>
      <c r="AT1382" s="15" t="s">
        <v>1004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328</v>
      </c>
      <c r="AS1383" s="15" t="s">
        <v>567</v>
      </c>
      <c r="AT1383" s="15" t="s">
        <v>1005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328</v>
      </c>
      <c r="AS1384" s="15" t="s">
        <v>567</v>
      </c>
      <c r="AT1384" s="15" t="s">
        <v>1006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328</v>
      </c>
      <c r="AS1385" s="15" t="s">
        <v>567</v>
      </c>
      <c r="AT1385" s="15" t="s">
        <v>1007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328</v>
      </c>
      <c r="AS1386" s="15" t="s">
        <v>567</v>
      </c>
      <c r="AT1386" s="15" t="s">
        <v>1008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328</v>
      </c>
      <c r="AS1387" s="15" t="s">
        <v>567</v>
      </c>
      <c r="AT1387" s="15" t="s">
        <v>1010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328</v>
      </c>
      <c r="AS1388" s="15" t="s">
        <v>567</v>
      </c>
      <c r="AT1388" s="15" t="s">
        <v>1011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328</v>
      </c>
      <c r="AS1389" s="15" t="s">
        <v>567</v>
      </c>
      <c r="AT1389" s="15" t="s">
        <v>1012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328</v>
      </c>
      <c r="AS1390" s="15" t="s">
        <v>567</v>
      </c>
      <c r="AT1390" s="15" t="s">
        <v>1013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328</v>
      </c>
      <c r="AS1391" s="15" t="s">
        <v>567</v>
      </c>
      <c r="AT1391" s="15" t="s">
        <v>1014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328</v>
      </c>
      <c r="AS1392" s="15" t="s">
        <v>567</v>
      </c>
      <c r="AT1392" s="15" t="s">
        <v>1015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328</v>
      </c>
      <c r="AS1393" s="15" t="s">
        <v>567</v>
      </c>
      <c r="AT1393" s="15" t="s">
        <v>1016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328</v>
      </c>
      <c r="AS1394" s="15" t="s">
        <v>567</v>
      </c>
      <c r="AT1394" s="15" t="s">
        <v>1017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328</v>
      </c>
      <c r="AS1395" s="15" t="s">
        <v>567</v>
      </c>
      <c r="AT1395" s="15" t="s">
        <v>1018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328</v>
      </c>
      <c r="AS1396" s="15" t="s">
        <v>567</v>
      </c>
      <c r="AT1396" s="15" t="s">
        <v>1019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328</v>
      </c>
      <c r="AS1397" s="15" t="s">
        <v>567</v>
      </c>
      <c r="AT1397" s="15" t="s">
        <v>1020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328</v>
      </c>
      <c r="AS1398" s="15" t="s">
        <v>567</v>
      </c>
      <c r="AT1398" s="15" t="s">
        <v>1021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328</v>
      </c>
      <c r="AS1399" s="15" t="s">
        <v>567</v>
      </c>
      <c r="AT1399" s="15" t="s">
        <v>1023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328</v>
      </c>
      <c r="AS1400" s="15" t="s">
        <v>567</v>
      </c>
      <c r="AT1400" s="15" t="s">
        <v>1024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328</v>
      </c>
      <c r="AS1401" s="15" t="s">
        <v>567</v>
      </c>
      <c r="AT1401" s="15" t="s">
        <v>1025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328</v>
      </c>
      <c r="AS1402" s="15" t="s">
        <v>567</v>
      </c>
      <c r="AT1402" s="15" t="s">
        <v>1026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328</v>
      </c>
      <c r="AS1403" s="15" t="s">
        <v>567</v>
      </c>
      <c r="AT1403" s="15" t="s">
        <v>1028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328</v>
      </c>
      <c r="AS1404" s="15" t="s">
        <v>567</v>
      </c>
      <c r="AT1404" s="15" t="s">
        <v>1029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328</v>
      </c>
      <c r="AS1405" s="15" t="s">
        <v>567</v>
      </c>
      <c r="AT1405" s="15" t="s">
        <v>1030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328</v>
      </c>
      <c r="AS1406" s="15" t="s">
        <v>567</v>
      </c>
      <c r="AT1406" s="15" t="s">
        <v>1031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328</v>
      </c>
      <c r="AS1407" s="15" t="s">
        <v>567</v>
      </c>
      <c r="AT1407" s="15" t="s">
        <v>1032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328</v>
      </c>
      <c r="AS1408" s="15" t="s">
        <v>567</v>
      </c>
      <c r="AT1408" s="15" t="s">
        <v>1033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328</v>
      </c>
      <c r="AS1409" s="15" t="s">
        <v>567</v>
      </c>
      <c r="AT1409" s="15" t="s">
        <v>1034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328</v>
      </c>
      <c r="AS1410" s="15" t="s">
        <v>567</v>
      </c>
      <c r="AT1410" s="15" t="s">
        <v>1035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328</v>
      </c>
      <c r="AS1411" s="15" t="s">
        <v>567</v>
      </c>
      <c r="AT1411" s="15" t="s">
        <v>1036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328</v>
      </c>
      <c r="AS1412" s="15" t="s">
        <v>567</v>
      </c>
      <c r="AT1412" s="15" t="s">
        <v>1037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328</v>
      </c>
      <c r="AS1413" s="15" t="s">
        <v>567</v>
      </c>
      <c r="AT1413" s="15" t="s">
        <v>1039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328</v>
      </c>
      <c r="AS1414" s="15" t="s">
        <v>567</v>
      </c>
      <c r="AT1414" s="15" t="s">
        <v>1040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328</v>
      </c>
      <c r="AS1415" s="15" t="s">
        <v>567</v>
      </c>
      <c r="AT1415" s="15" t="s">
        <v>1041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328</v>
      </c>
      <c r="AS1416" s="15" t="s">
        <v>567</v>
      </c>
      <c r="AT1416" s="15" t="s">
        <v>1042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328</v>
      </c>
      <c r="AS1417" s="15" t="s">
        <v>567</v>
      </c>
      <c r="AT1417" s="15" t="s">
        <v>1043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328</v>
      </c>
      <c r="AS1418" s="15" t="s">
        <v>567</v>
      </c>
      <c r="AT1418" s="15" t="s">
        <v>1044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328</v>
      </c>
      <c r="AS1419" s="15" t="s">
        <v>567</v>
      </c>
      <c r="AT1419" s="15" t="s">
        <v>1045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328</v>
      </c>
      <c r="AS1420" s="15" t="s">
        <v>567</v>
      </c>
      <c r="AT1420" s="15" t="s">
        <v>1046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328</v>
      </c>
      <c r="AS1421" s="15" t="s">
        <v>567</v>
      </c>
      <c r="AT1421" s="15" t="s">
        <v>1047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328</v>
      </c>
      <c r="AS1422" s="15" t="s">
        <v>567</v>
      </c>
      <c r="AT1422" s="15" t="s">
        <v>1048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328</v>
      </c>
      <c r="AS1423" s="15" t="s">
        <v>567</v>
      </c>
      <c r="AT1423" s="15" t="s">
        <v>1049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328</v>
      </c>
      <c r="AS1424" s="15" t="s">
        <v>567</v>
      </c>
      <c r="AT1424" s="15" t="s">
        <v>1050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328</v>
      </c>
      <c r="AS1425" s="15" t="s">
        <v>567</v>
      </c>
      <c r="AT1425" s="15" t="s">
        <v>1051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328</v>
      </c>
      <c r="AS1426" s="15" t="s">
        <v>567</v>
      </c>
      <c r="AT1426" s="15" t="s">
        <v>1052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328</v>
      </c>
      <c r="AS1427" s="15" t="s">
        <v>567</v>
      </c>
      <c r="AT1427" s="15" t="s">
        <v>1053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328</v>
      </c>
      <c r="AS1428" s="15" t="s">
        <v>567</v>
      </c>
      <c r="AT1428" s="15" t="s">
        <v>1054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328</v>
      </c>
      <c r="AS1429" s="15" t="s">
        <v>567</v>
      </c>
      <c r="AT1429" s="15" t="s">
        <v>1055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328</v>
      </c>
      <c r="AS1430" s="15" t="s">
        <v>567</v>
      </c>
      <c r="AT1430" s="15" t="s">
        <v>1056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328</v>
      </c>
      <c r="AS1431" s="15" t="s">
        <v>567</v>
      </c>
      <c r="AT1431" s="15" t="s">
        <v>1057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328</v>
      </c>
      <c r="AS1432" s="15" t="s">
        <v>567</v>
      </c>
      <c r="AT1432" s="15" t="s">
        <v>1059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328</v>
      </c>
      <c r="AS1433" s="15" t="s">
        <v>567</v>
      </c>
      <c r="AT1433" s="15" t="s">
        <v>1060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328</v>
      </c>
      <c r="AS1434" s="15" t="s">
        <v>567</v>
      </c>
      <c r="AT1434" s="15" t="s">
        <v>1061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328</v>
      </c>
      <c r="AS1435" s="15" t="s">
        <v>567</v>
      </c>
      <c r="AT1435" s="15" t="s">
        <v>1062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328</v>
      </c>
      <c r="AS1436" s="15" t="s">
        <v>567</v>
      </c>
      <c r="AT1436" s="15" t="s">
        <v>1063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328</v>
      </c>
      <c r="AS1437" s="15" t="s">
        <v>567</v>
      </c>
      <c r="AT1437" s="15" t="s">
        <v>1064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328</v>
      </c>
      <c r="AS1438" s="15" t="s">
        <v>567</v>
      </c>
      <c r="AT1438" s="15" t="s">
        <v>1065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328</v>
      </c>
      <c r="AS1439" s="15" t="s">
        <v>567</v>
      </c>
      <c r="AT1439" s="15" t="s">
        <v>1067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328</v>
      </c>
      <c r="AS1440" s="15" t="s">
        <v>567</v>
      </c>
      <c r="AT1440" s="15" t="s">
        <v>1068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328</v>
      </c>
      <c r="AS1441" s="15" t="s">
        <v>567</v>
      </c>
      <c r="AT1441" s="15" t="s">
        <v>1069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328</v>
      </c>
      <c r="AS1442" s="15" t="s">
        <v>567</v>
      </c>
      <c r="AT1442" s="15" t="s">
        <v>1071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328</v>
      </c>
      <c r="AS1443" s="15" t="s">
        <v>567</v>
      </c>
      <c r="AT1443" s="15" t="s">
        <v>1072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328</v>
      </c>
      <c r="AS1444" s="15" t="s">
        <v>567</v>
      </c>
      <c r="AT1444" s="15" t="s">
        <v>1073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328</v>
      </c>
      <c r="AS1445" s="15" t="s">
        <v>567</v>
      </c>
      <c r="AT1445" s="15" t="s">
        <v>1074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328</v>
      </c>
      <c r="AS1446" s="15" t="s">
        <v>567</v>
      </c>
      <c r="AT1446" s="15" t="s">
        <v>1075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328</v>
      </c>
      <c r="AS1447" s="15" t="s">
        <v>567</v>
      </c>
      <c r="AT1447" s="15" t="s">
        <v>1076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328</v>
      </c>
      <c r="AS1448" s="15" t="s">
        <v>567</v>
      </c>
      <c r="AT1448" s="15" t="s">
        <v>1077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328</v>
      </c>
      <c r="AS1449" s="15" t="s">
        <v>567</v>
      </c>
      <c r="AT1449" s="15" t="s">
        <v>1078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328</v>
      </c>
      <c r="AS1450" s="15" t="s">
        <v>567</v>
      </c>
      <c r="AT1450" s="15" t="s">
        <v>1079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328</v>
      </c>
      <c r="AS1451" s="15" t="s">
        <v>567</v>
      </c>
      <c r="AT1451" s="15" t="s">
        <v>1080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328</v>
      </c>
      <c r="AS1452" s="15" t="s">
        <v>567</v>
      </c>
      <c r="AT1452" s="15" t="s">
        <v>1081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328</v>
      </c>
      <c r="AS1453" s="15" t="s">
        <v>567</v>
      </c>
      <c r="AT1453" s="15" t="s">
        <v>1082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328</v>
      </c>
      <c r="AS1454" s="15" t="s">
        <v>567</v>
      </c>
      <c r="AT1454" s="15" t="s">
        <v>1083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328</v>
      </c>
      <c r="AS1455" s="15" t="s">
        <v>567</v>
      </c>
      <c r="AT1455" s="15" t="s">
        <v>1084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328</v>
      </c>
      <c r="AS1456" s="15" t="s">
        <v>567</v>
      </c>
      <c r="AT1456" s="15" t="s">
        <v>1085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328</v>
      </c>
      <c r="AS1457" s="15" t="s">
        <v>567</v>
      </c>
      <c r="AT1457" s="15" t="s">
        <v>1086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328</v>
      </c>
      <c r="AS1458" s="15" t="s">
        <v>567</v>
      </c>
      <c r="AT1458" s="15" t="s">
        <v>1087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328</v>
      </c>
      <c r="AS1459" s="15" t="s">
        <v>567</v>
      </c>
      <c r="AT1459" s="15" t="s">
        <v>1088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328</v>
      </c>
      <c r="AS1460" s="15" t="s">
        <v>567</v>
      </c>
      <c r="AT1460" s="15" t="s">
        <v>1089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328</v>
      </c>
      <c r="AS1461" s="15" t="s">
        <v>567</v>
      </c>
      <c r="AT1461" s="15" t="s">
        <v>1090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328</v>
      </c>
      <c r="AS1462" s="15" t="s">
        <v>567</v>
      </c>
      <c r="AT1462" s="15" t="s">
        <v>1091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328</v>
      </c>
      <c r="AS1463" s="15" t="s">
        <v>567</v>
      </c>
      <c r="AT1463" s="15" t="s">
        <v>1092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328</v>
      </c>
      <c r="AS1464" s="15" t="s">
        <v>567</v>
      </c>
      <c r="AT1464" s="15" t="s">
        <v>1093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328</v>
      </c>
      <c r="AS1465" s="15" t="s">
        <v>567</v>
      </c>
      <c r="AT1465" s="15" t="s">
        <v>1094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328</v>
      </c>
      <c r="AS1466" s="15" t="s">
        <v>567</v>
      </c>
      <c r="AT1466" s="15" t="s">
        <v>330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328</v>
      </c>
      <c r="AS1467" s="15" t="s">
        <v>567</v>
      </c>
      <c r="AT1467" s="15" t="s">
        <v>1095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328</v>
      </c>
      <c r="AS1468" s="15" t="s">
        <v>567</v>
      </c>
      <c r="AT1468" s="15" t="s">
        <v>331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328</v>
      </c>
      <c r="AS1469" s="15" t="s">
        <v>567</v>
      </c>
      <c r="AT1469" s="15" t="s">
        <v>341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328</v>
      </c>
      <c r="AS1470" s="15" t="s">
        <v>567</v>
      </c>
      <c r="AT1470" s="15" t="s">
        <v>342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328</v>
      </c>
      <c r="AS1471" s="15" t="s">
        <v>567</v>
      </c>
      <c r="AT1471" s="15" t="s">
        <v>1096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328</v>
      </c>
      <c r="AS1472" s="15" t="s">
        <v>567</v>
      </c>
      <c r="AT1472" s="15" t="s">
        <v>344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328</v>
      </c>
      <c r="AS1473" s="15" t="s">
        <v>567</v>
      </c>
      <c r="AT1473" s="15" t="s">
        <v>345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328</v>
      </c>
      <c r="AS1474" s="15" t="s">
        <v>567</v>
      </c>
      <c r="AT1474" s="15" t="s">
        <v>347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328</v>
      </c>
      <c r="AS1475" s="15" t="s">
        <v>567</v>
      </c>
      <c r="AT1475" s="15" t="s">
        <v>348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328</v>
      </c>
      <c r="AS1476" s="15" t="s">
        <v>567</v>
      </c>
      <c r="AT1476" s="15" t="s">
        <v>1097</v>
      </c>
      <c r="AU1476" s="15"/>
      <c r="AV1476" s="15"/>
      <c r="AW1476" s="15"/>
      <c r="AX1476" s="15"/>
      <c r="AY1476" s="15"/>
      <c r="AZ1476" s="18"/>
      <c r="BA1476" s="19">
        <v>0.02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0.02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328</v>
      </c>
      <c r="AS1477" s="15" t="s">
        <v>567</v>
      </c>
      <c r="AT1477" s="15" t="s">
        <v>350</v>
      </c>
      <c r="AU1477" s="15"/>
      <c r="AV1477" s="15"/>
      <c r="AW1477" s="15"/>
      <c r="AX1477" s="15"/>
      <c r="AY1477" s="15"/>
      <c r="AZ1477" s="18"/>
      <c r="BA1477" s="19">
        <v>0.02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0.02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328</v>
      </c>
      <c r="AS1478" s="15" t="s">
        <v>567</v>
      </c>
      <c r="AT1478" s="15" t="s">
        <v>351</v>
      </c>
      <c r="AU1478" s="15"/>
      <c r="AV1478" s="15"/>
      <c r="AW1478" s="15"/>
      <c r="AX1478" s="15"/>
      <c r="AY1478" s="15"/>
      <c r="AZ1478" s="18"/>
      <c r="BA1478" s="19">
        <v>0.02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0.02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328</v>
      </c>
      <c r="AS1479" s="15" t="s">
        <v>567</v>
      </c>
      <c r="AT1479" s="15" t="s">
        <v>353</v>
      </c>
      <c r="AU1479" s="15"/>
      <c r="AV1479" s="15"/>
      <c r="AW1479" s="15"/>
      <c r="AX1479" s="15"/>
      <c r="AY1479" s="15"/>
      <c r="AZ1479" s="18"/>
      <c r="BA1479" s="19">
        <v>0.02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0.02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328</v>
      </c>
      <c r="AS1480" s="15" t="s">
        <v>567</v>
      </c>
      <c r="AT1480" s="15" t="s">
        <v>1098</v>
      </c>
      <c r="AU1480" s="15"/>
      <c r="AV1480" s="15"/>
      <c r="AW1480" s="15"/>
      <c r="AX1480" s="15"/>
      <c r="AY1480" s="15"/>
      <c r="AZ1480" s="18"/>
      <c r="BA1480" s="19">
        <v>0.02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0.02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328</v>
      </c>
      <c r="AS1481" s="15" t="s">
        <v>567</v>
      </c>
      <c r="AT1481" s="15" t="s">
        <v>1099</v>
      </c>
      <c r="AU1481" s="15"/>
      <c r="AV1481" s="15"/>
      <c r="AW1481" s="15"/>
      <c r="AX1481" s="15"/>
      <c r="AY1481" s="15"/>
      <c r="AZ1481" s="18"/>
      <c r="BA1481" s="19">
        <v>0.02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0.02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328</v>
      </c>
      <c r="AS1482" s="15" t="s">
        <v>567</v>
      </c>
      <c r="AT1482" s="15" t="s">
        <v>354</v>
      </c>
      <c r="AU1482" s="15"/>
      <c r="AV1482" s="15"/>
      <c r="AW1482" s="15"/>
      <c r="AX1482" s="15"/>
      <c r="AY1482" s="15"/>
      <c r="AZ1482" s="18"/>
      <c r="BA1482" s="19">
        <v>0.02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0.02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328</v>
      </c>
      <c r="AS1483" s="15" t="s">
        <v>567</v>
      </c>
      <c r="AT1483" s="15" t="s">
        <v>361</v>
      </c>
      <c r="AU1483" s="15"/>
      <c r="AV1483" s="15"/>
      <c r="AW1483" s="15"/>
      <c r="AX1483" s="15"/>
      <c r="AY1483" s="15"/>
      <c r="AZ1483" s="18"/>
      <c r="BA1483" s="19">
        <v>0.02</v>
      </c>
      <c r="BB1483" s="18"/>
      <c r="BC1483" s="18"/>
      <c r="BD1483" s="18"/>
      <c r="BE1483" s="18"/>
      <c r="BF1483" s="18"/>
      <c r="BG1483" s="18"/>
      <c r="BH1483" s="18"/>
      <c r="BI1483" s="18"/>
      <c r="BJ1483" s="18"/>
      <c r="BK1483" s="18"/>
      <c r="BL1483" s="19">
        <v>0.02</v>
      </c>
      <c r="BM1483" s="18"/>
      <c r="BN1483" s="18"/>
      <c r="BO1483" s="18"/>
      <c r="BP1483" s="18"/>
      <c r="BQ1483" s="18"/>
      <c r="BR1483" s="18"/>
      <c r="BS1483" s="18"/>
      <c r="BT1483" s="18"/>
      <c r="BU1483" s="18"/>
    </row>
    <row r="1484" spans="44:73" x14ac:dyDescent="0.45">
      <c r="AR1484" s="15" t="s">
        <v>328</v>
      </c>
      <c r="AS1484" s="15" t="s">
        <v>324</v>
      </c>
      <c r="AT1484" s="15" t="s">
        <v>1100</v>
      </c>
      <c r="AU1484" s="15"/>
      <c r="AV1484" s="15"/>
      <c r="AW1484" s="15"/>
      <c r="AX1484" s="15"/>
      <c r="AY1484" s="15" t="s">
        <v>323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328</v>
      </c>
      <c r="AS1485" s="15" t="s">
        <v>324</v>
      </c>
      <c r="AT1485" s="15" t="s">
        <v>1101</v>
      </c>
      <c r="AU1485" s="15"/>
      <c r="AV1485" s="15"/>
      <c r="AW1485" s="15"/>
      <c r="AX1485" s="15"/>
      <c r="AY1485" s="15" t="s">
        <v>323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328</v>
      </c>
      <c r="AS1486" s="15" t="s">
        <v>324</v>
      </c>
      <c r="AT1486" s="15" t="s">
        <v>1102</v>
      </c>
      <c r="AU1486" s="15"/>
      <c r="AV1486" s="15"/>
      <c r="AW1486" s="15"/>
      <c r="AX1486" s="15"/>
      <c r="AY1486" s="15" t="s">
        <v>323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328</v>
      </c>
      <c r="AS1487" s="15" t="s">
        <v>324</v>
      </c>
      <c r="AT1487" s="15" t="s">
        <v>1103</v>
      </c>
      <c r="AU1487" s="15"/>
      <c r="AV1487" s="15"/>
      <c r="AW1487" s="15"/>
      <c r="AX1487" s="15"/>
      <c r="AY1487" s="15" t="s">
        <v>323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328</v>
      </c>
      <c r="AS1488" s="15" t="s">
        <v>324</v>
      </c>
      <c r="AT1488" s="15" t="s">
        <v>1104</v>
      </c>
      <c r="AU1488" s="15"/>
      <c r="AV1488" s="15"/>
      <c r="AW1488" s="15"/>
      <c r="AX1488" s="15"/>
      <c r="AY1488" s="15" t="s">
        <v>323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328</v>
      </c>
      <c r="AS1489" s="15" t="s">
        <v>324</v>
      </c>
      <c r="AT1489" s="15" t="s">
        <v>1105</v>
      </c>
      <c r="AU1489" s="15"/>
      <c r="AV1489" s="15"/>
      <c r="AW1489" s="15"/>
      <c r="AX1489" s="15"/>
      <c r="AY1489" s="15" t="s">
        <v>323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  <row r="1490" spans="44:73" x14ac:dyDescent="0.45">
      <c r="AR1490" s="15" t="s">
        <v>328</v>
      </c>
      <c r="AS1490" s="15" t="s">
        <v>324</v>
      </c>
      <c r="AT1490" s="15" t="s">
        <v>1106</v>
      </c>
      <c r="AU1490" s="15"/>
      <c r="AV1490" s="15"/>
      <c r="AW1490" s="15"/>
      <c r="AX1490" s="15"/>
      <c r="AY1490" s="15" t="s">
        <v>323</v>
      </c>
      <c r="AZ1490" s="18"/>
      <c r="BA1490" s="18"/>
      <c r="BB1490" s="18"/>
      <c r="BC1490" s="18"/>
      <c r="BD1490" s="18"/>
      <c r="BE1490" s="18"/>
      <c r="BF1490" s="19">
        <v>5</v>
      </c>
      <c r="BG1490" s="18"/>
      <c r="BH1490" s="19">
        <v>5</v>
      </c>
      <c r="BI1490" s="18"/>
      <c r="BJ1490" s="18"/>
      <c r="BK1490" s="18"/>
      <c r="BL1490" s="18"/>
      <c r="BM1490" s="18"/>
      <c r="BN1490" s="18"/>
      <c r="BO1490" s="18"/>
      <c r="BP1490" s="18"/>
      <c r="BQ1490" s="19">
        <v>10</v>
      </c>
      <c r="BR1490" s="18"/>
      <c r="BS1490" s="18"/>
      <c r="BT1490" s="18"/>
      <c r="BU1490" s="1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AEB8-4570-4CC8-8C6E-A0F6AE82DBE0}">
  <dimension ref="A1:AB45"/>
  <sheetViews>
    <sheetView topLeftCell="A2" workbookViewId="0">
      <selection activeCell="H46" sqref="H46"/>
    </sheetView>
  </sheetViews>
  <sheetFormatPr defaultRowHeight="14.25" x14ac:dyDescent="0.45"/>
  <cols>
    <col min="2" max="2" width="9.796875" bestFit="1" customWidth="1"/>
  </cols>
  <sheetData>
    <row r="1" spans="1:28" x14ac:dyDescent="0.45">
      <c r="A1" t="s">
        <v>1162</v>
      </c>
      <c r="D1" t="s">
        <v>1163</v>
      </c>
      <c r="E1">
        <v>0.8</v>
      </c>
      <c r="F1">
        <v>0.9</v>
      </c>
      <c r="G1">
        <f>F1</f>
        <v>0.9</v>
      </c>
      <c r="H1">
        <f t="shared" ref="H1:M1" si="0">G1</f>
        <v>0.9</v>
      </c>
      <c r="I1">
        <f t="shared" si="0"/>
        <v>0.9</v>
      </c>
      <c r="J1">
        <f t="shared" si="0"/>
        <v>0.9</v>
      </c>
      <c r="K1">
        <f t="shared" si="0"/>
        <v>0.9</v>
      </c>
      <c r="L1">
        <f t="shared" si="0"/>
        <v>0.9</v>
      </c>
      <c r="M1">
        <f t="shared" si="0"/>
        <v>0.9</v>
      </c>
    </row>
    <row r="2" spans="1:28" x14ac:dyDescent="0.45">
      <c r="A2" t="s">
        <v>244</v>
      </c>
      <c r="B2" t="s">
        <v>6</v>
      </c>
      <c r="C2" t="s">
        <v>1164</v>
      </c>
      <c r="D2">
        <v>2018</v>
      </c>
      <c r="E2">
        <v>2020</v>
      </c>
      <c r="F2">
        <v>2025</v>
      </c>
      <c r="G2">
        <v>2030</v>
      </c>
      <c r="H2">
        <v>2035</v>
      </c>
      <c r="I2">
        <v>2040</v>
      </c>
      <c r="J2">
        <v>2045</v>
      </c>
      <c r="K2">
        <v>2050</v>
      </c>
      <c r="L2">
        <v>2055</v>
      </c>
      <c r="M2">
        <v>2060</v>
      </c>
    </row>
    <row r="3" spans="1:28" x14ac:dyDescent="0.45">
      <c r="A3" t="s">
        <v>249</v>
      </c>
      <c r="B3" t="s">
        <v>534</v>
      </c>
      <c r="C3" t="s">
        <v>1165</v>
      </c>
      <c r="D3">
        <v>6.36</v>
      </c>
    </row>
    <row r="4" spans="1:28" x14ac:dyDescent="0.45">
      <c r="A4" t="s">
        <v>249</v>
      </c>
      <c r="B4" t="s">
        <v>534</v>
      </c>
      <c r="C4" t="s">
        <v>1166</v>
      </c>
      <c r="E4">
        <v>6.36</v>
      </c>
      <c r="F4">
        <v>7.08</v>
      </c>
      <c r="G4">
        <v>7.94</v>
      </c>
      <c r="H4">
        <v>9.18</v>
      </c>
      <c r="I4">
        <v>10.45</v>
      </c>
      <c r="J4">
        <v>11.56</v>
      </c>
      <c r="K4">
        <v>12.85</v>
      </c>
      <c r="L4">
        <v>14.25</v>
      </c>
      <c r="M4">
        <v>15.58</v>
      </c>
    </row>
    <row r="5" spans="1:28" x14ac:dyDescent="0.45">
      <c r="A5" t="s">
        <v>249</v>
      </c>
      <c r="B5" t="s">
        <v>534</v>
      </c>
      <c r="C5" t="s">
        <v>1167</v>
      </c>
      <c r="E5">
        <v>6.74</v>
      </c>
      <c r="F5">
        <v>7.03</v>
      </c>
      <c r="G5">
        <v>7.45</v>
      </c>
      <c r="H5">
        <v>7.89</v>
      </c>
      <c r="I5">
        <v>8.43</v>
      </c>
      <c r="J5">
        <v>9.01</v>
      </c>
      <c r="K5">
        <v>9.66</v>
      </c>
      <c r="L5">
        <v>10.58</v>
      </c>
      <c r="M5">
        <v>11.51</v>
      </c>
    </row>
    <row r="6" spans="1:28" x14ac:dyDescent="0.45">
      <c r="A6" t="s">
        <v>249</v>
      </c>
      <c r="B6" t="s">
        <v>544</v>
      </c>
      <c r="C6" t="s">
        <v>1165</v>
      </c>
      <c r="D6">
        <v>26.71</v>
      </c>
      <c r="P6" t="s">
        <v>244</v>
      </c>
      <c r="Q6" t="s">
        <v>6</v>
      </c>
      <c r="R6" t="s">
        <v>1164</v>
      </c>
      <c r="S6">
        <v>2018</v>
      </c>
      <c r="T6">
        <v>2020</v>
      </c>
      <c r="U6">
        <v>2025</v>
      </c>
      <c r="V6">
        <v>2030</v>
      </c>
      <c r="W6">
        <v>2035</v>
      </c>
      <c r="X6">
        <v>2040</v>
      </c>
      <c r="Y6">
        <v>2045</v>
      </c>
      <c r="Z6">
        <v>2050</v>
      </c>
      <c r="AA6">
        <v>2055</v>
      </c>
      <c r="AB6">
        <v>2060</v>
      </c>
    </row>
    <row r="7" spans="1:28" x14ac:dyDescent="0.45">
      <c r="A7" t="s">
        <v>249</v>
      </c>
      <c r="B7" t="s">
        <v>544</v>
      </c>
      <c r="C7" t="s">
        <v>1166</v>
      </c>
      <c r="E7">
        <v>26.71</v>
      </c>
      <c r="F7">
        <v>28.37</v>
      </c>
      <c r="G7">
        <v>30.96</v>
      </c>
      <c r="H7">
        <v>34.549999999999997</v>
      </c>
      <c r="I7">
        <v>37.83</v>
      </c>
      <c r="J7">
        <v>40.08</v>
      </c>
      <c r="K7">
        <v>42.65</v>
      </c>
      <c r="L7">
        <v>45.41</v>
      </c>
      <c r="M7">
        <v>47.82</v>
      </c>
      <c r="P7" t="s">
        <v>249</v>
      </c>
      <c r="Q7" t="s">
        <v>542</v>
      </c>
      <c r="R7" t="s">
        <v>1165</v>
      </c>
      <c r="S7">
        <v>45.716103195375602</v>
      </c>
    </row>
    <row r="8" spans="1:28" x14ac:dyDescent="0.45">
      <c r="A8" t="s">
        <v>249</v>
      </c>
      <c r="B8" t="s">
        <v>544</v>
      </c>
      <c r="C8" t="s">
        <v>1167</v>
      </c>
      <c r="E8">
        <v>26.42</v>
      </c>
      <c r="F8">
        <v>26.64</v>
      </c>
      <c r="G8">
        <v>27.36</v>
      </c>
      <c r="H8">
        <v>28.07</v>
      </c>
      <c r="I8">
        <v>29.04</v>
      </c>
      <c r="J8">
        <v>29.98</v>
      </c>
      <c r="K8">
        <v>31.13</v>
      </c>
      <c r="L8">
        <v>33.11</v>
      </c>
      <c r="M8">
        <v>35.08</v>
      </c>
      <c r="P8" t="s">
        <v>249</v>
      </c>
      <c r="Q8" t="s">
        <v>542</v>
      </c>
      <c r="R8" t="s">
        <v>1166</v>
      </c>
      <c r="T8">
        <v>45.716103195375602</v>
      </c>
      <c r="U8">
        <v>49.349502377221</v>
      </c>
      <c r="V8">
        <v>55.560462510017501</v>
      </c>
      <c r="W8">
        <v>64.451115922226094</v>
      </c>
      <c r="X8">
        <v>73.991377838583205</v>
      </c>
      <c r="Y8">
        <v>84.892824428526694</v>
      </c>
      <c r="Z8">
        <v>95.140560468831794</v>
      </c>
      <c r="AA8">
        <v>102.716497900316</v>
      </c>
      <c r="AB8">
        <v>110.895698836691</v>
      </c>
    </row>
    <row r="9" spans="1:28" x14ac:dyDescent="0.45">
      <c r="A9" t="s">
        <v>328</v>
      </c>
      <c r="B9" t="s">
        <v>534</v>
      </c>
      <c r="C9" t="s">
        <v>1165</v>
      </c>
      <c r="D9">
        <v>2.65</v>
      </c>
      <c r="P9" t="s">
        <v>249</v>
      </c>
      <c r="Q9" t="s">
        <v>542</v>
      </c>
      <c r="R9" t="s">
        <v>1167</v>
      </c>
      <c r="T9">
        <v>48.7444553109002</v>
      </c>
      <c r="U9">
        <v>53.518675640000403</v>
      </c>
      <c r="V9">
        <v>59.407195843117599</v>
      </c>
      <c r="W9">
        <v>65.047280063847296</v>
      </c>
      <c r="X9">
        <v>69.800488457468205</v>
      </c>
      <c r="Y9">
        <v>70.8862909555763</v>
      </c>
      <c r="Z9">
        <v>67.656479476558701</v>
      </c>
      <c r="AA9">
        <v>64.046805597951703</v>
      </c>
      <c r="AB9">
        <v>60.629718528630399</v>
      </c>
    </row>
    <row r="10" spans="1:28" x14ac:dyDescent="0.45">
      <c r="A10" t="s">
        <v>328</v>
      </c>
      <c r="B10" t="s">
        <v>534</v>
      </c>
      <c r="C10" t="s">
        <v>1166</v>
      </c>
      <c r="E10">
        <v>2.65</v>
      </c>
      <c r="F10">
        <v>2.95</v>
      </c>
      <c r="G10">
        <v>3.31</v>
      </c>
      <c r="H10">
        <v>3.83</v>
      </c>
      <c r="I10">
        <v>4.3600000000000003</v>
      </c>
      <c r="J10">
        <v>4.82</v>
      </c>
      <c r="K10">
        <v>5.36</v>
      </c>
      <c r="L10">
        <v>5.94</v>
      </c>
      <c r="M10">
        <v>6.49</v>
      </c>
      <c r="P10" t="s">
        <v>328</v>
      </c>
      <c r="Q10" t="s">
        <v>542</v>
      </c>
      <c r="R10" t="s">
        <v>1165</v>
      </c>
      <c r="S10">
        <v>11.429025798843901</v>
      </c>
    </row>
    <row r="11" spans="1:28" x14ac:dyDescent="0.45">
      <c r="A11" t="s">
        <v>328</v>
      </c>
      <c r="B11" t="s">
        <v>534</v>
      </c>
      <c r="C11" t="s">
        <v>1167</v>
      </c>
      <c r="E11">
        <v>2.81</v>
      </c>
      <c r="F11">
        <v>2.93</v>
      </c>
      <c r="G11">
        <v>3.11</v>
      </c>
      <c r="H11">
        <v>3.29</v>
      </c>
      <c r="I11">
        <v>3.52</v>
      </c>
      <c r="J11">
        <v>3.75</v>
      </c>
      <c r="K11">
        <v>4.03</v>
      </c>
      <c r="L11">
        <v>4.41</v>
      </c>
      <c r="M11">
        <v>4.8</v>
      </c>
      <c r="P11" t="s">
        <v>328</v>
      </c>
      <c r="Q11" t="s">
        <v>542</v>
      </c>
      <c r="R11" t="s">
        <v>1166</v>
      </c>
      <c r="T11">
        <v>11.429025798843901</v>
      </c>
      <c r="U11">
        <v>12.296695710347599</v>
      </c>
      <c r="V11">
        <v>13.775821234589401</v>
      </c>
      <c r="W11">
        <v>15.884485297205201</v>
      </c>
      <c r="X11">
        <v>18.165421391822299</v>
      </c>
      <c r="Y11">
        <v>20.793191090819398</v>
      </c>
      <c r="Z11">
        <v>23.2653937575854</v>
      </c>
      <c r="AA11">
        <v>25.086355853535402</v>
      </c>
      <c r="AB11">
        <v>27.049843065949599</v>
      </c>
    </row>
    <row r="12" spans="1:28" x14ac:dyDescent="0.45">
      <c r="A12" t="s">
        <v>328</v>
      </c>
      <c r="B12" t="s">
        <v>544</v>
      </c>
      <c r="C12" t="s">
        <v>1165</v>
      </c>
      <c r="D12">
        <v>9.32</v>
      </c>
      <c r="P12" t="s">
        <v>328</v>
      </c>
      <c r="Q12" t="s">
        <v>542</v>
      </c>
      <c r="R12" t="s">
        <v>1167</v>
      </c>
      <c r="T12">
        <v>12.159827353090099</v>
      </c>
      <c r="U12">
        <v>13.295971292806099</v>
      </c>
      <c r="V12">
        <v>14.668573777883999</v>
      </c>
      <c r="W12">
        <v>15.9893880039485</v>
      </c>
      <c r="X12">
        <v>17.106945884079298</v>
      </c>
      <c r="Y12">
        <v>17.337361748427998</v>
      </c>
      <c r="Z12">
        <v>16.525932428403699</v>
      </c>
      <c r="AA12">
        <v>15.6239150982162</v>
      </c>
      <c r="AB12">
        <v>14.771131617161499</v>
      </c>
    </row>
    <row r="13" spans="1:28" x14ac:dyDescent="0.45">
      <c r="A13" t="s">
        <v>328</v>
      </c>
      <c r="B13" t="s">
        <v>544</v>
      </c>
      <c r="C13" t="s">
        <v>1166</v>
      </c>
      <c r="E13">
        <v>9.32</v>
      </c>
      <c r="F13">
        <v>9.9</v>
      </c>
      <c r="G13">
        <v>10.8</v>
      </c>
      <c r="H13">
        <v>12.05</v>
      </c>
      <c r="I13">
        <v>13.2</v>
      </c>
      <c r="J13">
        <v>13.98</v>
      </c>
      <c r="K13">
        <v>14.88</v>
      </c>
      <c r="L13">
        <v>15.84</v>
      </c>
      <c r="M13">
        <v>16.68</v>
      </c>
    </row>
    <row r="14" spans="1:28" x14ac:dyDescent="0.45">
      <c r="A14" t="s">
        <v>328</v>
      </c>
      <c r="B14" t="s">
        <v>544</v>
      </c>
      <c r="C14" t="s">
        <v>1167</v>
      </c>
      <c r="E14">
        <v>9.2200000000000006</v>
      </c>
      <c r="F14">
        <v>9.2899999999999991</v>
      </c>
      <c r="G14">
        <v>9.5500000000000007</v>
      </c>
      <c r="H14">
        <v>9.7899999999999991</v>
      </c>
      <c r="I14">
        <v>10.130000000000001</v>
      </c>
      <c r="J14">
        <v>10.46</v>
      </c>
      <c r="K14">
        <v>10.86</v>
      </c>
      <c r="L14">
        <v>11.55</v>
      </c>
      <c r="M14">
        <v>12.24</v>
      </c>
    </row>
    <row r="16" spans="1:28" x14ac:dyDescent="0.45">
      <c r="A16" t="s">
        <v>249</v>
      </c>
      <c r="B16" t="s">
        <v>542</v>
      </c>
      <c r="C16" t="s">
        <v>1165</v>
      </c>
      <c r="D16" s="7">
        <v>45.716103195375602</v>
      </c>
    </row>
    <row r="17" spans="1:16" x14ac:dyDescent="0.45">
      <c r="A17" t="s">
        <v>249</v>
      </c>
      <c r="B17" t="s">
        <v>542</v>
      </c>
      <c r="C17" t="s">
        <v>1166</v>
      </c>
      <c r="D17" s="7"/>
      <c r="E17" s="7">
        <v>45.716103195375602</v>
      </c>
      <c r="F17" s="7">
        <v>49.349502377221</v>
      </c>
      <c r="G17" s="7">
        <v>55.560462510017501</v>
      </c>
      <c r="H17" s="7">
        <v>64.451115922226094</v>
      </c>
      <c r="I17" s="7">
        <v>73.991377838583205</v>
      </c>
      <c r="J17" s="7">
        <v>84.892824428526694</v>
      </c>
      <c r="K17" s="7">
        <v>95.140560468831794</v>
      </c>
      <c r="L17" s="7">
        <v>102.716497900316</v>
      </c>
      <c r="M17" s="7">
        <v>110.895698836691</v>
      </c>
    </row>
    <row r="18" spans="1:16" x14ac:dyDescent="0.45">
      <c r="A18" t="s">
        <v>249</v>
      </c>
      <c r="B18" t="s">
        <v>542</v>
      </c>
      <c r="C18" t="s">
        <v>1167</v>
      </c>
      <c r="D18" s="7"/>
      <c r="E18" s="7">
        <v>48.7444553109002</v>
      </c>
      <c r="F18" s="7">
        <v>53.518675640000403</v>
      </c>
      <c r="G18" s="7">
        <v>59.407195843117599</v>
      </c>
      <c r="H18" s="7">
        <v>65.047280063847296</v>
      </c>
      <c r="I18" s="7">
        <v>69.800488457468205</v>
      </c>
      <c r="J18" s="7">
        <v>70.8862909555763</v>
      </c>
      <c r="K18" s="7">
        <v>67.656479476558701</v>
      </c>
      <c r="L18" s="7">
        <v>64.046805597951703</v>
      </c>
      <c r="M18" s="7">
        <v>60.629718528630399</v>
      </c>
    </row>
    <row r="19" spans="1:16" x14ac:dyDescent="0.45">
      <c r="A19" t="s">
        <v>328</v>
      </c>
      <c r="B19" t="s">
        <v>542</v>
      </c>
      <c r="C19" t="s">
        <v>1165</v>
      </c>
      <c r="D19" s="7">
        <v>11.429025798843901</v>
      </c>
      <c r="E19" s="7"/>
      <c r="F19" s="7"/>
      <c r="G19" s="7"/>
      <c r="H19" s="7"/>
      <c r="I19" s="7"/>
      <c r="J19" s="7"/>
      <c r="K19" s="7"/>
      <c r="L19" s="7"/>
      <c r="M19" s="7"/>
    </row>
    <row r="20" spans="1:16" x14ac:dyDescent="0.45">
      <c r="A20" t="s">
        <v>328</v>
      </c>
      <c r="B20" t="s">
        <v>542</v>
      </c>
      <c r="C20" t="s">
        <v>1166</v>
      </c>
      <c r="E20" s="7">
        <v>11.429025798843901</v>
      </c>
      <c r="F20" s="7">
        <v>12.296695710347599</v>
      </c>
      <c r="G20" s="7">
        <v>13.775821234589401</v>
      </c>
      <c r="H20" s="7">
        <v>15.884485297205201</v>
      </c>
      <c r="I20" s="7">
        <v>18.165421391822299</v>
      </c>
      <c r="J20" s="7">
        <v>20.793191090819398</v>
      </c>
      <c r="K20" s="7">
        <v>23.2653937575854</v>
      </c>
      <c r="L20" s="7">
        <v>25.086355853535402</v>
      </c>
      <c r="M20" s="7">
        <v>27.049843065949599</v>
      </c>
    </row>
    <row r="21" spans="1:16" x14ac:dyDescent="0.45">
      <c r="A21" t="s">
        <v>328</v>
      </c>
      <c r="B21" t="s">
        <v>542</v>
      </c>
      <c r="C21" t="s">
        <v>1167</v>
      </c>
      <c r="E21" s="7">
        <v>12.159827353090099</v>
      </c>
      <c r="F21" s="7">
        <v>13.295971292806099</v>
      </c>
      <c r="G21" s="7">
        <v>14.668573777883999</v>
      </c>
      <c r="H21" s="7">
        <v>15.9893880039485</v>
      </c>
      <c r="I21" s="7">
        <v>17.106945884079298</v>
      </c>
      <c r="J21" s="7">
        <v>17.337361748427998</v>
      </c>
      <c r="K21" s="7">
        <v>16.525932428403699</v>
      </c>
      <c r="L21" s="7">
        <v>15.6239150982162</v>
      </c>
      <c r="M21" s="7">
        <v>14.771131617161499</v>
      </c>
    </row>
    <row r="23" spans="1:16" x14ac:dyDescent="0.45">
      <c r="E23" s="7">
        <f>E17+E20</f>
        <v>57.145128994219505</v>
      </c>
      <c r="F23" s="7">
        <f t="shared" ref="F23:M23" si="1">F17+F20</f>
        <v>61.6461980875686</v>
      </c>
      <c r="G23" s="7">
        <f t="shared" si="1"/>
        <v>69.336283744606902</v>
      </c>
      <c r="H23" s="7">
        <f t="shared" si="1"/>
        <v>80.335601219431297</v>
      </c>
      <c r="I23" s="7">
        <f t="shared" si="1"/>
        <v>92.156799230405511</v>
      </c>
      <c r="J23" s="7">
        <f t="shared" si="1"/>
        <v>105.68601551934609</v>
      </c>
      <c r="K23" s="7">
        <f t="shared" si="1"/>
        <v>118.40595422641719</v>
      </c>
      <c r="L23" s="7">
        <f t="shared" si="1"/>
        <v>127.80285375385139</v>
      </c>
      <c r="M23" s="7">
        <f t="shared" si="1"/>
        <v>137.9455419026406</v>
      </c>
    </row>
    <row r="25" spans="1:16" ht="14.65" thickBot="1" x14ac:dyDescent="0.5">
      <c r="A25" t="s">
        <v>1169</v>
      </c>
      <c r="P25" s="3" t="str">
        <f>VLOOKUP('kea-tui'!A1,'kea-tui'!$E$1:$F$4,2,FALSE)</f>
        <v>tui</v>
      </c>
    </row>
    <row r="26" spans="1:16" ht="14.65" thickTop="1" x14ac:dyDescent="0.45">
      <c r="A26" t="s">
        <v>244</v>
      </c>
      <c r="B26" t="s">
        <v>6</v>
      </c>
      <c r="C26" t="s">
        <v>7</v>
      </c>
      <c r="D26" t="s">
        <v>1168</v>
      </c>
      <c r="E26">
        <v>2020</v>
      </c>
      <c r="F26">
        <v>2025</v>
      </c>
      <c r="G26">
        <v>2030</v>
      </c>
      <c r="H26">
        <v>2035</v>
      </c>
      <c r="I26">
        <v>2040</v>
      </c>
      <c r="J26">
        <v>2045</v>
      </c>
      <c r="K26">
        <v>2050</v>
      </c>
      <c r="L26">
        <v>2055</v>
      </c>
      <c r="M26">
        <v>2060</v>
      </c>
    </row>
    <row r="27" spans="1:16" x14ac:dyDescent="0.45">
      <c r="A27" t="s">
        <v>249</v>
      </c>
      <c r="B27" t="s">
        <v>534</v>
      </c>
      <c r="C27" t="str">
        <f>IF(P27=$P$25,"demand","\I:")</f>
        <v>\I:</v>
      </c>
      <c r="D27" t="str">
        <f>IF(E27=0,"\I:","")</f>
        <v>\I:</v>
      </c>
      <c r="P27" t="s">
        <v>1165</v>
      </c>
    </row>
    <row r="28" spans="1:16" x14ac:dyDescent="0.45">
      <c r="A28" t="s">
        <v>249</v>
      </c>
      <c r="B28" t="s">
        <v>534</v>
      </c>
      <c r="C28" t="str">
        <f t="shared" ref="C28:C38" si="2">IF(P28=$P$25,"demand","\I:")</f>
        <v>demand</v>
      </c>
      <c r="D28" t="str">
        <f t="shared" ref="D28:D38" si="3">IF(E28=0,"\I:","")</f>
        <v/>
      </c>
      <c r="E28" s="7">
        <f>E4*E$1</f>
        <v>5.088000000000001</v>
      </c>
      <c r="F28" s="7">
        <f>F4</f>
        <v>7.08</v>
      </c>
      <c r="G28" s="7">
        <f t="shared" ref="G28:M29" si="4">G4</f>
        <v>7.94</v>
      </c>
      <c r="H28" s="7">
        <f t="shared" si="4"/>
        <v>9.18</v>
      </c>
      <c r="I28" s="7">
        <f t="shared" si="4"/>
        <v>10.45</v>
      </c>
      <c r="J28" s="7">
        <f t="shared" si="4"/>
        <v>11.56</v>
      </c>
      <c r="K28" s="7">
        <f t="shared" si="4"/>
        <v>12.85</v>
      </c>
      <c r="L28" s="7">
        <f t="shared" si="4"/>
        <v>14.25</v>
      </c>
      <c r="M28" s="7">
        <f t="shared" si="4"/>
        <v>15.58</v>
      </c>
      <c r="P28" t="s">
        <v>241</v>
      </c>
    </row>
    <row r="29" spans="1:16" x14ac:dyDescent="0.45">
      <c r="A29" t="s">
        <v>249</v>
      </c>
      <c r="B29" t="s">
        <v>534</v>
      </c>
      <c r="C29" t="str">
        <f t="shared" si="2"/>
        <v>\I:</v>
      </c>
      <c r="D29" t="str">
        <f t="shared" si="3"/>
        <v/>
      </c>
      <c r="E29" s="7">
        <f>E5*E$1</f>
        <v>5.3920000000000003</v>
      </c>
      <c r="F29" s="7">
        <f>F5</f>
        <v>7.03</v>
      </c>
      <c r="G29" s="7">
        <f t="shared" si="4"/>
        <v>7.45</v>
      </c>
      <c r="H29" s="7">
        <f t="shared" si="4"/>
        <v>7.89</v>
      </c>
      <c r="I29" s="7">
        <f t="shared" si="4"/>
        <v>8.43</v>
      </c>
      <c r="J29" s="7">
        <f t="shared" si="4"/>
        <v>9.01</v>
      </c>
      <c r="K29" s="7">
        <f t="shared" si="4"/>
        <v>9.66</v>
      </c>
      <c r="L29" s="7">
        <f t="shared" si="4"/>
        <v>10.58</v>
      </c>
      <c r="M29" s="7">
        <f t="shared" si="4"/>
        <v>11.51</v>
      </c>
      <c r="P29" t="s">
        <v>242</v>
      </c>
    </row>
    <row r="30" spans="1:16" x14ac:dyDescent="0.45">
      <c r="A30" t="s">
        <v>249</v>
      </c>
      <c r="B30" t="s">
        <v>544</v>
      </c>
      <c r="C30" t="str">
        <f t="shared" si="2"/>
        <v>\I:</v>
      </c>
      <c r="D30" t="str">
        <f t="shared" si="3"/>
        <v>\I:</v>
      </c>
      <c r="E30" s="7"/>
      <c r="F30" s="7"/>
      <c r="G30" s="7"/>
      <c r="H30" s="7"/>
      <c r="I30" s="7"/>
      <c r="J30" s="7"/>
      <c r="K30" s="7"/>
      <c r="L30" s="7"/>
      <c r="M30" s="7"/>
      <c r="P30" t="str">
        <f>P27</f>
        <v>BASE</v>
      </c>
    </row>
    <row r="31" spans="1:16" x14ac:dyDescent="0.45">
      <c r="A31" t="s">
        <v>249</v>
      </c>
      <c r="B31" t="s">
        <v>544</v>
      </c>
      <c r="C31" t="str">
        <f t="shared" si="2"/>
        <v>demand</v>
      </c>
      <c r="D31" t="str">
        <f t="shared" si="3"/>
        <v/>
      </c>
      <c r="E31" s="7">
        <f t="shared" ref="E31:M31" si="5">E7*E$1</f>
        <v>21.368000000000002</v>
      </c>
      <c r="F31" s="7">
        <f t="shared" si="5"/>
        <v>25.533000000000001</v>
      </c>
      <c r="G31" s="7">
        <f t="shared" si="5"/>
        <v>27.864000000000001</v>
      </c>
      <c r="H31" s="7">
        <f t="shared" si="5"/>
        <v>31.094999999999999</v>
      </c>
      <c r="I31" s="7">
        <f t="shared" si="5"/>
        <v>34.046999999999997</v>
      </c>
      <c r="J31" s="7">
        <f t="shared" si="5"/>
        <v>36.072000000000003</v>
      </c>
      <c r="K31" s="7">
        <f t="shared" si="5"/>
        <v>38.384999999999998</v>
      </c>
      <c r="L31" s="7">
        <f t="shared" si="5"/>
        <v>40.869</v>
      </c>
      <c r="M31" s="7">
        <f t="shared" si="5"/>
        <v>43.038000000000004</v>
      </c>
      <c r="P31" t="str">
        <f t="shared" ref="P31:P38" si="6">P28</f>
        <v>tui</v>
      </c>
    </row>
    <row r="32" spans="1:16" x14ac:dyDescent="0.45">
      <c r="A32" t="s">
        <v>249</v>
      </c>
      <c r="B32" t="s">
        <v>544</v>
      </c>
      <c r="C32" t="str">
        <f t="shared" si="2"/>
        <v>\I:</v>
      </c>
      <c r="D32" t="str">
        <f t="shared" si="3"/>
        <v/>
      </c>
      <c r="E32" s="7">
        <f t="shared" ref="E32:M32" si="7">E8*E$1</f>
        <v>21.136000000000003</v>
      </c>
      <c r="F32" s="7">
        <f t="shared" si="7"/>
        <v>23.976000000000003</v>
      </c>
      <c r="G32" s="7">
        <f t="shared" si="7"/>
        <v>24.623999999999999</v>
      </c>
      <c r="H32" s="7">
        <f t="shared" si="7"/>
        <v>25.263000000000002</v>
      </c>
      <c r="I32" s="7">
        <f t="shared" si="7"/>
        <v>26.135999999999999</v>
      </c>
      <c r="J32" s="7">
        <f t="shared" si="7"/>
        <v>26.981999999999999</v>
      </c>
      <c r="K32" s="7">
        <f t="shared" si="7"/>
        <v>28.016999999999999</v>
      </c>
      <c r="L32" s="7">
        <f t="shared" si="7"/>
        <v>29.798999999999999</v>
      </c>
      <c r="M32" s="7">
        <f t="shared" si="7"/>
        <v>31.571999999999999</v>
      </c>
      <c r="P32" t="str">
        <f t="shared" si="6"/>
        <v>kea</v>
      </c>
    </row>
    <row r="33" spans="1:16" x14ac:dyDescent="0.45">
      <c r="A33" t="s">
        <v>328</v>
      </c>
      <c r="B33" t="s">
        <v>534</v>
      </c>
      <c r="C33" t="str">
        <f t="shared" si="2"/>
        <v>\I:</v>
      </c>
      <c r="D33" t="str">
        <f t="shared" si="3"/>
        <v>\I:</v>
      </c>
      <c r="E33" s="7"/>
      <c r="F33" s="7"/>
      <c r="G33" s="7"/>
      <c r="H33" s="7"/>
      <c r="I33" s="7"/>
      <c r="J33" s="7"/>
      <c r="K33" s="7"/>
      <c r="L33" s="7"/>
      <c r="M33" s="7"/>
      <c r="P33" t="str">
        <f t="shared" si="6"/>
        <v>BASE</v>
      </c>
    </row>
    <row r="34" spans="1:16" x14ac:dyDescent="0.45">
      <c r="A34" t="s">
        <v>328</v>
      </c>
      <c r="B34" t="s">
        <v>534</v>
      </c>
      <c r="C34" t="str">
        <f t="shared" si="2"/>
        <v>demand</v>
      </c>
      <c r="D34" t="str">
        <f t="shared" si="3"/>
        <v/>
      </c>
      <c r="E34" s="7">
        <f>E10*E$1</f>
        <v>2.12</v>
      </c>
      <c r="F34" s="7">
        <f>F10</f>
        <v>2.95</v>
      </c>
      <c r="G34" s="7">
        <f t="shared" ref="G34:M34" si="8">G10</f>
        <v>3.31</v>
      </c>
      <c r="H34" s="7">
        <f t="shared" si="8"/>
        <v>3.83</v>
      </c>
      <c r="I34" s="7">
        <f t="shared" si="8"/>
        <v>4.3600000000000003</v>
      </c>
      <c r="J34" s="7">
        <f t="shared" si="8"/>
        <v>4.82</v>
      </c>
      <c r="K34" s="7">
        <f t="shared" si="8"/>
        <v>5.36</v>
      </c>
      <c r="L34" s="7">
        <f t="shared" si="8"/>
        <v>5.94</v>
      </c>
      <c r="M34" s="7">
        <f t="shared" si="8"/>
        <v>6.49</v>
      </c>
      <c r="P34" t="str">
        <f t="shared" si="6"/>
        <v>tui</v>
      </c>
    </row>
    <row r="35" spans="1:16" x14ac:dyDescent="0.45">
      <c r="A35" t="s">
        <v>328</v>
      </c>
      <c r="B35" t="s">
        <v>534</v>
      </c>
      <c r="C35" t="str">
        <f t="shared" si="2"/>
        <v>\I:</v>
      </c>
      <c r="D35" t="str">
        <f t="shared" si="3"/>
        <v/>
      </c>
      <c r="E35" s="7">
        <f>E11*E$1</f>
        <v>2.2480000000000002</v>
      </c>
      <c r="F35" s="7">
        <f t="shared" ref="F35:M35" si="9">F11</f>
        <v>2.93</v>
      </c>
      <c r="G35" s="7">
        <f t="shared" si="9"/>
        <v>3.11</v>
      </c>
      <c r="H35" s="7">
        <f t="shared" si="9"/>
        <v>3.29</v>
      </c>
      <c r="I35" s="7">
        <f t="shared" si="9"/>
        <v>3.52</v>
      </c>
      <c r="J35" s="7">
        <f t="shared" si="9"/>
        <v>3.75</v>
      </c>
      <c r="K35" s="7">
        <f t="shared" si="9"/>
        <v>4.03</v>
      </c>
      <c r="L35" s="7">
        <f t="shared" si="9"/>
        <v>4.41</v>
      </c>
      <c r="M35" s="7">
        <f t="shared" si="9"/>
        <v>4.8</v>
      </c>
      <c r="P35" t="str">
        <f t="shared" si="6"/>
        <v>kea</v>
      </c>
    </row>
    <row r="36" spans="1:16" x14ac:dyDescent="0.45">
      <c r="A36" t="s">
        <v>328</v>
      </c>
      <c r="B36" t="s">
        <v>544</v>
      </c>
      <c r="C36" t="str">
        <f t="shared" si="2"/>
        <v>\I:</v>
      </c>
      <c r="D36" t="str">
        <f t="shared" si="3"/>
        <v>\I:</v>
      </c>
      <c r="E36" s="7"/>
      <c r="F36" s="7"/>
      <c r="G36" s="7"/>
      <c r="H36" s="7"/>
      <c r="I36" s="7"/>
      <c r="J36" s="7"/>
      <c r="K36" s="7"/>
      <c r="L36" s="7"/>
      <c r="M36" s="7"/>
      <c r="P36" t="str">
        <f t="shared" si="6"/>
        <v>BASE</v>
      </c>
    </row>
    <row r="37" spans="1:16" x14ac:dyDescent="0.45">
      <c r="A37" t="s">
        <v>328</v>
      </c>
      <c r="B37" t="s">
        <v>544</v>
      </c>
      <c r="C37" t="str">
        <f t="shared" si="2"/>
        <v>demand</v>
      </c>
      <c r="D37" t="str">
        <f t="shared" si="3"/>
        <v/>
      </c>
      <c r="E37" s="7">
        <f t="shared" ref="E37:M37" si="10">E13*E$1</f>
        <v>7.4560000000000004</v>
      </c>
      <c r="F37" s="7">
        <f t="shared" si="10"/>
        <v>8.91</v>
      </c>
      <c r="G37" s="7">
        <f t="shared" si="10"/>
        <v>9.7200000000000006</v>
      </c>
      <c r="H37" s="7">
        <f t="shared" si="10"/>
        <v>10.845000000000001</v>
      </c>
      <c r="I37" s="7">
        <f t="shared" si="10"/>
        <v>11.879999999999999</v>
      </c>
      <c r="J37" s="7">
        <f t="shared" si="10"/>
        <v>12.582000000000001</v>
      </c>
      <c r="K37" s="7">
        <f t="shared" si="10"/>
        <v>13.392000000000001</v>
      </c>
      <c r="L37" s="7">
        <f t="shared" si="10"/>
        <v>14.256</v>
      </c>
      <c r="M37" s="7">
        <f t="shared" si="10"/>
        <v>15.012</v>
      </c>
      <c r="P37" t="str">
        <f t="shared" si="6"/>
        <v>tui</v>
      </c>
    </row>
    <row r="38" spans="1:16" x14ac:dyDescent="0.45">
      <c r="A38" t="s">
        <v>328</v>
      </c>
      <c r="B38" t="s">
        <v>544</v>
      </c>
      <c r="C38" t="str">
        <f t="shared" si="2"/>
        <v>\I:</v>
      </c>
      <c r="D38" t="str">
        <f t="shared" si="3"/>
        <v/>
      </c>
      <c r="E38" s="7">
        <f t="shared" ref="E38:M38" si="11">E14*E$1</f>
        <v>7.3760000000000012</v>
      </c>
      <c r="F38" s="7">
        <f t="shared" si="11"/>
        <v>8.3609999999999989</v>
      </c>
      <c r="G38" s="7">
        <f t="shared" si="11"/>
        <v>8.5950000000000006</v>
      </c>
      <c r="H38" s="7">
        <f t="shared" si="11"/>
        <v>8.8109999999999999</v>
      </c>
      <c r="I38" s="7">
        <f t="shared" si="11"/>
        <v>9.1170000000000009</v>
      </c>
      <c r="J38" s="7">
        <f t="shared" si="11"/>
        <v>9.4140000000000015</v>
      </c>
      <c r="K38" s="7">
        <f t="shared" si="11"/>
        <v>9.7739999999999991</v>
      </c>
      <c r="L38" s="7">
        <f t="shared" si="11"/>
        <v>10.395000000000001</v>
      </c>
      <c r="M38" s="7">
        <f t="shared" si="11"/>
        <v>11.016</v>
      </c>
      <c r="P38" t="str">
        <f t="shared" si="6"/>
        <v>kea</v>
      </c>
    </row>
    <row r="39" spans="1:16" x14ac:dyDescent="0.45">
      <c r="C39" t="s">
        <v>1170</v>
      </c>
    </row>
    <row r="40" spans="1:16" x14ac:dyDescent="0.45">
      <c r="A40" t="str">
        <f>A16</f>
        <v>NI</v>
      </c>
      <c r="B40" t="str">
        <f t="shared" ref="B40:B45" si="12">B16</f>
        <v>T_O_JET_Int</v>
      </c>
      <c r="C40" t="str">
        <f t="shared" ref="C40:C42" si="13">IF(P40=$P$25,"demand","\I:")</f>
        <v>\I:</v>
      </c>
      <c r="D40" t="str">
        <f t="shared" ref="D40:D42" si="14">IF(E40=0,"\I:","")</f>
        <v>\I:</v>
      </c>
      <c r="E40" s="7"/>
      <c r="F40" s="7"/>
      <c r="G40" s="7"/>
      <c r="H40" s="7"/>
      <c r="I40" s="7"/>
      <c r="J40" s="7"/>
      <c r="K40" s="7"/>
      <c r="L40" s="7"/>
      <c r="M40" s="7"/>
      <c r="P40" t="s">
        <v>1165</v>
      </c>
    </row>
    <row r="41" spans="1:16" x14ac:dyDescent="0.45">
      <c r="A41" t="str">
        <f t="shared" ref="A41" si="15">A17</f>
        <v>NI</v>
      </c>
      <c r="B41" t="str">
        <f t="shared" si="12"/>
        <v>T_O_JET_Int</v>
      </c>
      <c r="C41" t="str">
        <f t="shared" si="13"/>
        <v>demand</v>
      </c>
      <c r="D41" t="str">
        <f t="shared" si="14"/>
        <v/>
      </c>
      <c r="E41" s="7">
        <f>E17*E$1^2</f>
        <v>29.258306045040392</v>
      </c>
      <c r="F41" s="7">
        <f t="shared" ref="F41:M41" si="16">F17*F$1^2</f>
        <v>39.973096925549015</v>
      </c>
      <c r="G41" s="7">
        <f t="shared" si="16"/>
        <v>45.003974633114176</v>
      </c>
      <c r="H41" s="7">
        <f t="shared" si="16"/>
        <v>52.205403897003137</v>
      </c>
      <c r="I41" s="7">
        <f t="shared" si="16"/>
        <v>59.933016049252402</v>
      </c>
      <c r="J41" s="7">
        <f t="shared" si="16"/>
        <v>68.763187787106631</v>
      </c>
      <c r="K41" s="7">
        <f t="shared" si="16"/>
        <v>77.063853979753759</v>
      </c>
      <c r="L41" s="7">
        <f t="shared" si="16"/>
        <v>83.200363299255969</v>
      </c>
      <c r="M41" s="7">
        <f t="shared" si="16"/>
        <v>89.82551605771971</v>
      </c>
      <c r="P41" t="s">
        <v>241</v>
      </c>
    </row>
    <row r="42" spans="1:16" x14ac:dyDescent="0.45">
      <c r="A42" t="str">
        <f t="shared" ref="A42" si="17">A18</f>
        <v>NI</v>
      </c>
      <c r="B42" t="str">
        <f t="shared" si="12"/>
        <v>T_O_JET_Int</v>
      </c>
      <c r="C42" t="str">
        <f t="shared" si="13"/>
        <v>\I:</v>
      </c>
      <c r="D42" t="str">
        <f t="shared" si="14"/>
        <v/>
      </c>
      <c r="E42" s="7">
        <f>E41</f>
        <v>29.258306045040392</v>
      </c>
      <c r="F42" s="7">
        <f t="shared" ref="F42:H42" si="18">F41</f>
        <v>39.973096925549015</v>
      </c>
      <c r="G42" s="7">
        <f t="shared" si="18"/>
        <v>45.003974633114176</v>
      </c>
      <c r="H42" s="7">
        <f t="shared" si="18"/>
        <v>52.205403897003137</v>
      </c>
      <c r="I42" s="7">
        <f t="shared" ref="I42:M42" si="19">I18*I$1^2</f>
        <v>56.538395650549248</v>
      </c>
      <c r="J42" s="7">
        <f t="shared" si="19"/>
        <v>57.417895674016805</v>
      </c>
      <c r="K42" s="7">
        <f t="shared" si="19"/>
        <v>54.801748376012554</v>
      </c>
      <c r="L42" s="7">
        <f t="shared" si="19"/>
        <v>51.877912534340886</v>
      </c>
      <c r="M42" s="7">
        <f t="shared" si="19"/>
        <v>49.110072008190627</v>
      </c>
      <c r="P42" t="s">
        <v>242</v>
      </c>
    </row>
    <row r="43" spans="1:16" x14ac:dyDescent="0.45">
      <c r="A43" t="str">
        <f t="shared" ref="A43" si="20">A19</f>
        <v>SI</v>
      </c>
      <c r="B43" t="str">
        <f t="shared" si="12"/>
        <v>T_O_JET_Int</v>
      </c>
      <c r="C43" t="str">
        <f t="shared" ref="C43:C45" si="21">IF(P43=$P$25,"demand","\I:")</f>
        <v>\I:</v>
      </c>
      <c r="D43" t="str">
        <f t="shared" ref="D43:D45" si="22">IF(E43=0,"\I:","")</f>
        <v>\I:</v>
      </c>
      <c r="E43" s="7"/>
      <c r="F43" s="7"/>
      <c r="G43" s="7"/>
      <c r="H43" s="7"/>
      <c r="I43" s="7"/>
      <c r="J43" s="7"/>
      <c r="K43" s="7"/>
      <c r="L43" s="7"/>
      <c r="M43" s="7"/>
      <c r="P43" t="str">
        <f>P40</f>
        <v>BASE</v>
      </c>
    </row>
    <row r="44" spans="1:16" x14ac:dyDescent="0.45">
      <c r="A44" t="str">
        <f t="shared" ref="A44" si="23">A20</f>
        <v>SI</v>
      </c>
      <c r="B44" t="str">
        <f t="shared" si="12"/>
        <v>T_O_JET_Int</v>
      </c>
      <c r="C44" t="str">
        <f t="shared" si="21"/>
        <v>demand</v>
      </c>
      <c r="D44" t="str">
        <f t="shared" si="22"/>
        <v/>
      </c>
      <c r="E44" s="7">
        <f t="shared" ref="E44:M44" si="24">E20*E$1^2</f>
        <v>7.314576511260098</v>
      </c>
      <c r="F44" s="7">
        <f t="shared" si="24"/>
        <v>9.9603235253815559</v>
      </c>
      <c r="G44" s="7">
        <f t="shared" si="24"/>
        <v>11.158415200017416</v>
      </c>
      <c r="H44" s="7">
        <f t="shared" si="24"/>
        <v>12.866433090736214</v>
      </c>
      <c r="I44" s="7">
        <f t="shared" si="24"/>
        <v>14.713991327376064</v>
      </c>
      <c r="J44" s="7">
        <f t="shared" si="24"/>
        <v>16.842484783563712</v>
      </c>
      <c r="K44" s="7">
        <f t="shared" si="24"/>
        <v>18.844968943644176</v>
      </c>
      <c r="L44" s="7">
        <f t="shared" si="24"/>
        <v>20.319948241363676</v>
      </c>
      <c r="M44" s="7">
        <f t="shared" si="24"/>
        <v>21.910372883419175</v>
      </c>
      <c r="P44" t="str">
        <f t="shared" ref="P44:P45" si="25">P41</f>
        <v>tui</v>
      </c>
    </row>
    <row r="45" spans="1:16" x14ac:dyDescent="0.45">
      <c r="A45" t="str">
        <f t="shared" ref="A45" si="26">A21</f>
        <v>SI</v>
      </c>
      <c r="B45" t="str">
        <f t="shared" si="12"/>
        <v>T_O_JET_Int</v>
      </c>
      <c r="C45" t="str">
        <f t="shared" si="21"/>
        <v>\I:</v>
      </c>
      <c r="D45" t="str">
        <f t="shared" si="22"/>
        <v/>
      </c>
      <c r="E45" s="7">
        <f>E44</f>
        <v>7.314576511260098</v>
      </c>
      <c r="F45" s="7">
        <f t="shared" ref="F45:H45" si="27">F44</f>
        <v>9.9603235253815559</v>
      </c>
      <c r="G45" s="7">
        <f t="shared" si="27"/>
        <v>11.158415200017416</v>
      </c>
      <c r="H45" s="7">
        <f t="shared" si="27"/>
        <v>12.866433090736214</v>
      </c>
      <c r="I45" s="7">
        <f t="shared" ref="I45:M45" si="28">I21*I$1^2</f>
        <v>13.856626166104233</v>
      </c>
      <c r="J45" s="7">
        <f t="shared" si="28"/>
        <v>14.04326301622668</v>
      </c>
      <c r="K45" s="7">
        <f t="shared" si="28"/>
        <v>13.386005267006997</v>
      </c>
      <c r="L45" s="7">
        <f t="shared" si="28"/>
        <v>12.655371229555122</v>
      </c>
      <c r="M45" s="7">
        <f t="shared" si="28"/>
        <v>11.964616609900816</v>
      </c>
      <c r="P45" t="str">
        <f t="shared" si="25"/>
        <v>kea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K9" sqref="K9"/>
    </sheetView>
  </sheetViews>
  <sheetFormatPr defaultRowHeight="14.25" x14ac:dyDescent="0.45"/>
  <cols>
    <col min="1" max="1" width="2.796875" bestFit="1" customWidth="1"/>
    <col min="4" max="4" width="26.46484375" bestFit="1" customWidth="1"/>
    <col min="5" max="5" width="28.6640625" bestFit="1" customWidth="1"/>
    <col min="6" max="6" width="7.796875" customWidth="1"/>
    <col min="7" max="9" width="5.3320312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9296875" bestFit="1" customWidth="1"/>
    <col min="16" max="16" width="11.19921875" customWidth="1"/>
    <col min="17" max="17" width="4.6640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6640625" bestFit="1" customWidth="1"/>
  </cols>
  <sheetData>
    <row r="1" spans="1:22" ht="14.65" thickBot="1" x14ac:dyDescent="0.5">
      <c r="A1" s="3" t="str">
        <f>Veda!$E$5</f>
        <v>bas</v>
      </c>
      <c r="E1" s="21" t="s">
        <v>1109</v>
      </c>
    </row>
    <row r="2" spans="1:22" ht="14.65" thickTop="1" x14ac:dyDescent="0.45">
      <c r="P2" t="s">
        <v>1144</v>
      </c>
    </row>
    <row r="3" spans="1:22" x14ac:dyDescent="0.45">
      <c r="P3" t="s">
        <v>1145</v>
      </c>
      <c r="V3" t="s">
        <v>1146</v>
      </c>
    </row>
    <row r="4" spans="1:22" x14ac:dyDescent="0.45">
      <c r="F4" t="s">
        <v>1151</v>
      </c>
      <c r="Q4" t="s">
        <v>1147</v>
      </c>
      <c r="S4" t="s">
        <v>1148</v>
      </c>
      <c r="V4">
        <v>240000</v>
      </c>
    </row>
    <row r="5" spans="1:22" x14ac:dyDescent="0.45">
      <c r="D5" t="s">
        <v>17</v>
      </c>
      <c r="E5" t="s">
        <v>1119</v>
      </c>
      <c r="F5" t="s">
        <v>1111</v>
      </c>
      <c r="G5" s="23">
        <f>VLOOKUP($A$1,$Q$18:$R$22,2,FALSE)</f>
        <v>2030</v>
      </c>
      <c r="H5">
        <f>G5+5</f>
        <v>2035</v>
      </c>
      <c r="I5">
        <f>H5+5</f>
        <v>2040</v>
      </c>
      <c r="J5">
        <f>I5+5</f>
        <v>2045</v>
      </c>
      <c r="K5" t="s">
        <v>1120</v>
      </c>
      <c r="L5" t="s">
        <v>1121</v>
      </c>
      <c r="M5" t="s">
        <v>1115</v>
      </c>
      <c r="Q5" t="s">
        <v>1149</v>
      </c>
      <c r="R5" t="s">
        <v>1150</v>
      </c>
      <c r="S5" t="s">
        <v>1149</v>
      </c>
      <c r="T5" t="s">
        <v>1150</v>
      </c>
    </row>
    <row r="6" spans="1:22" x14ac:dyDescent="0.45">
      <c r="D6" t="s">
        <v>1122</v>
      </c>
      <c r="E6" t="s">
        <v>1123</v>
      </c>
      <c r="F6" t="s">
        <v>563</v>
      </c>
      <c r="G6">
        <f>+G7-1</f>
        <v>-0.8</v>
      </c>
      <c r="H6">
        <f t="shared" ref="H6:J6" si="0">+H7-1</f>
        <v>-0.44999999999999996</v>
      </c>
      <c r="I6">
        <f t="shared" si="0"/>
        <v>-0.13</v>
      </c>
      <c r="J6">
        <f t="shared" si="0"/>
        <v>0</v>
      </c>
      <c r="K6">
        <v>0</v>
      </c>
      <c r="L6">
        <v>5</v>
      </c>
      <c r="M6" t="s">
        <v>1124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1130</v>
      </c>
      <c r="G7">
        <v>0.2</v>
      </c>
      <c r="H7">
        <v>0.55000000000000004</v>
      </c>
      <c r="I7">
        <v>0.87</v>
      </c>
      <c r="J7">
        <v>1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1151</v>
      </c>
      <c r="P10">
        <v>2040</v>
      </c>
      <c r="Q10" s="7">
        <f t="shared" si="1"/>
        <v>0</v>
      </c>
      <c r="R10" s="7">
        <v>0.65</v>
      </c>
      <c r="S10" s="7">
        <f t="shared" si="2"/>
        <v>0</v>
      </c>
      <c r="T10" s="7">
        <v>7.0000000000000007E-2</v>
      </c>
      <c r="V10" s="7">
        <v>0.99999000000000005</v>
      </c>
    </row>
    <row r="11" spans="1:22" x14ac:dyDescent="0.45">
      <c r="D11" t="s">
        <v>17</v>
      </c>
      <c r="E11" t="s">
        <v>1119</v>
      </c>
      <c r="F11" t="s">
        <v>1111</v>
      </c>
      <c r="G11">
        <f>$G$5</f>
        <v>2030</v>
      </c>
      <c r="H11">
        <f>G11+5</f>
        <v>2035</v>
      </c>
      <c r="I11">
        <f>H11+5</f>
        <v>2040</v>
      </c>
      <c r="J11">
        <f>I11+20</f>
        <v>2060</v>
      </c>
      <c r="K11" t="s">
        <v>1120</v>
      </c>
      <c r="L11" t="s">
        <v>1121</v>
      </c>
      <c r="M11" t="s">
        <v>1115</v>
      </c>
      <c r="P11">
        <v>2045</v>
      </c>
      <c r="Q11" s="7">
        <f t="shared" si="1"/>
        <v>0</v>
      </c>
      <c r="R11" s="7">
        <v>0.9</v>
      </c>
      <c r="S11" s="7">
        <f t="shared" si="2"/>
        <v>0</v>
      </c>
      <c r="T11" s="7">
        <v>0.11</v>
      </c>
      <c r="V11" s="7">
        <v>1</v>
      </c>
    </row>
    <row r="12" spans="1:22" x14ac:dyDescent="0.45">
      <c r="D12" t="s">
        <v>1133</v>
      </c>
      <c r="E12" t="s">
        <v>1134</v>
      </c>
      <c r="F12" t="s">
        <v>563</v>
      </c>
      <c r="G12">
        <f>+G13-1</f>
        <v>-0.9</v>
      </c>
      <c r="H12">
        <f t="shared" ref="H12:J12" si="3">+H13-1</f>
        <v>-0.74</v>
      </c>
      <c r="I12">
        <f t="shared" si="3"/>
        <v>-0.30000000000000004</v>
      </c>
      <c r="J12">
        <f t="shared" si="3"/>
        <v>0</v>
      </c>
      <c r="K12">
        <v>0</v>
      </c>
      <c r="L12">
        <v>5</v>
      </c>
      <c r="M12" t="s">
        <v>1135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  <c r="V12" s="7">
        <v>1</v>
      </c>
    </row>
    <row r="13" spans="1:22" x14ac:dyDescent="0.45">
      <c r="E13" t="s">
        <v>1141</v>
      </c>
      <c r="G13">
        <v>0.1</v>
      </c>
      <c r="H13">
        <v>0.26</v>
      </c>
      <c r="I13">
        <v>0.7</v>
      </c>
      <c r="J13">
        <v>1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  <c r="V13" s="7">
        <v>1</v>
      </c>
    </row>
    <row r="16" spans="1:22" x14ac:dyDescent="0.45">
      <c r="F16" t="s">
        <v>1151</v>
      </c>
    </row>
    <row r="17" spans="4:18" x14ac:dyDescent="0.45">
      <c r="D17" t="s">
        <v>17</v>
      </c>
      <c r="E17" t="s">
        <v>1119</v>
      </c>
      <c r="F17" t="s">
        <v>1111</v>
      </c>
      <c r="G17">
        <f>$G$5</f>
        <v>2030</v>
      </c>
      <c r="H17">
        <f t="shared" ref="H17:J17" si="4">G17+5</f>
        <v>2035</v>
      </c>
      <c r="I17">
        <f t="shared" si="4"/>
        <v>2040</v>
      </c>
      <c r="J17">
        <f t="shared" si="4"/>
        <v>2045</v>
      </c>
      <c r="K17" t="s">
        <v>1120</v>
      </c>
      <c r="L17" t="s">
        <v>1121</v>
      </c>
      <c r="M17" t="s">
        <v>1115</v>
      </c>
    </row>
    <row r="18" spans="4:18" x14ac:dyDescent="0.45">
      <c r="D18" t="s">
        <v>1125</v>
      </c>
      <c r="E18" t="s">
        <v>1126</v>
      </c>
      <c r="F18" t="s">
        <v>563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1127</v>
      </c>
      <c r="Q18" s="6" t="s">
        <v>1155</v>
      </c>
      <c r="R18" s="6">
        <v>2030</v>
      </c>
    </row>
    <row r="19" spans="4:18" x14ac:dyDescent="0.45">
      <c r="E19" t="s">
        <v>1131</v>
      </c>
      <c r="G19">
        <v>0.03</v>
      </c>
      <c r="H19">
        <v>0.11</v>
      </c>
      <c r="I19">
        <v>0.42</v>
      </c>
      <c r="J19">
        <v>0.99999000000000005</v>
      </c>
      <c r="Q19" s="6" t="s">
        <v>241</v>
      </c>
      <c r="R19" s="6">
        <v>2025</v>
      </c>
    </row>
    <row r="20" spans="4:18" x14ac:dyDescent="0.45">
      <c r="Q20" s="6" t="s">
        <v>242</v>
      </c>
      <c r="R20" s="6">
        <v>2020</v>
      </c>
    </row>
    <row r="21" spans="4:18" x14ac:dyDescent="0.45">
      <c r="Q21" s="6" t="s">
        <v>1157</v>
      </c>
      <c r="R21" s="6">
        <v>2015</v>
      </c>
    </row>
    <row r="22" spans="4:18" x14ac:dyDescent="0.45">
      <c r="F22" t="s">
        <v>1151</v>
      </c>
    </row>
    <row r="23" spans="4:18" x14ac:dyDescent="0.45">
      <c r="D23" t="s">
        <v>17</v>
      </c>
      <c r="E23" t="s">
        <v>1119</v>
      </c>
      <c r="F23" t="s">
        <v>1111</v>
      </c>
      <c r="G23">
        <f>$G$5</f>
        <v>2030</v>
      </c>
      <c r="H23">
        <f t="shared" ref="H23:I23" si="5">G23+5</f>
        <v>2035</v>
      </c>
      <c r="I23">
        <f t="shared" si="5"/>
        <v>2040</v>
      </c>
      <c r="J23">
        <f>I23+20</f>
        <v>2060</v>
      </c>
      <c r="K23" t="s">
        <v>1120</v>
      </c>
      <c r="L23" t="s">
        <v>1121</v>
      </c>
      <c r="M23" t="s">
        <v>1115</v>
      </c>
    </row>
    <row r="24" spans="4:18" x14ac:dyDescent="0.45">
      <c r="D24" t="s">
        <v>1136</v>
      </c>
      <c r="E24" t="s">
        <v>1137</v>
      </c>
      <c r="F24" t="s">
        <v>563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1138</v>
      </c>
    </row>
    <row r="25" spans="4:18" x14ac:dyDescent="0.45">
      <c r="E25" t="s">
        <v>1142</v>
      </c>
      <c r="G25">
        <v>0.01</v>
      </c>
      <c r="H25">
        <v>0.02</v>
      </c>
      <c r="I25">
        <v>0.04</v>
      </c>
      <c r="J25">
        <v>0.17</v>
      </c>
    </row>
    <row r="28" spans="4:18" x14ac:dyDescent="0.45">
      <c r="F28" t="s">
        <v>1151</v>
      </c>
    </row>
    <row r="29" spans="4:18" x14ac:dyDescent="0.45">
      <c r="D29" t="s">
        <v>17</v>
      </c>
      <c r="E29" t="s">
        <v>1119</v>
      </c>
      <c r="F29" t="s">
        <v>1111</v>
      </c>
      <c r="G29">
        <f>$G$5</f>
        <v>2030</v>
      </c>
      <c r="H29">
        <f t="shared" ref="H29:K29" si="6">G29+5</f>
        <v>2035</v>
      </c>
      <c r="I29">
        <f t="shared" si="6"/>
        <v>2040</v>
      </c>
      <c r="J29">
        <f t="shared" si="6"/>
        <v>2045</v>
      </c>
      <c r="K29">
        <f t="shared" si="6"/>
        <v>2050</v>
      </c>
      <c r="L29" t="s">
        <v>1120</v>
      </c>
      <c r="M29" t="s">
        <v>1121</v>
      </c>
      <c r="N29" t="s">
        <v>1115</v>
      </c>
    </row>
    <row r="30" spans="4:18" x14ac:dyDescent="0.45">
      <c r="D30" t="s">
        <v>1128</v>
      </c>
      <c r="E30" t="s">
        <v>1129</v>
      </c>
      <c r="F30" t="s">
        <v>563</v>
      </c>
      <c r="G30">
        <v>-0.97</v>
      </c>
      <c r="H30">
        <v>-0.89</v>
      </c>
      <c r="I30">
        <f>H30+0.2</f>
        <v>-0.69</v>
      </c>
      <c r="J30">
        <f>I30+0.2</f>
        <v>-0.48999999999999994</v>
      </c>
      <c r="K30">
        <f>J30+0.2</f>
        <v>-0.28999999999999992</v>
      </c>
      <c r="L30">
        <v>0</v>
      </c>
      <c r="M30">
        <v>5</v>
      </c>
      <c r="N30" t="s">
        <v>1152</v>
      </c>
    </row>
    <row r="31" spans="4:18" x14ac:dyDescent="0.45">
      <c r="E31" t="s">
        <v>1132</v>
      </c>
      <c r="G31">
        <v>0.03</v>
      </c>
      <c r="H31">
        <v>0.11</v>
      </c>
      <c r="I31">
        <f>1+I30</f>
        <v>0.31000000000000005</v>
      </c>
      <c r="J31">
        <f>1+J30</f>
        <v>0.51</v>
      </c>
      <c r="K31">
        <f>1+K30</f>
        <v>0.71000000000000008</v>
      </c>
    </row>
    <row r="34" spans="4:14" x14ac:dyDescent="0.45">
      <c r="F34" t="s">
        <v>1151</v>
      </c>
    </row>
    <row r="35" spans="4:14" x14ac:dyDescent="0.45">
      <c r="D35" t="s">
        <v>17</v>
      </c>
      <c r="E35" t="s">
        <v>1119</v>
      </c>
      <c r="F35" t="s">
        <v>1111</v>
      </c>
      <c r="G35">
        <f>$G$5</f>
        <v>2030</v>
      </c>
      <c r="H35">
        <f t="shared" ref="H35:K35" si="7">G35+5</f>
        <v>2035</v>
      </c>
      <c r="I35">
        <f t="shared" si="7"/>
        <v>2040</v>
      </c>
      <c r="J35">
        <f t="shared" si="7"/>
        <v>2045</v>
      </c>
      <c r="K35">
        <f t="shared" si="7"/>
        <v>2050</v>
      </c>
      <c r="L35" t="s">
        <v>1120</v>
      </c>
      <c r="M35" t="s">
        <v>1121</v>
      </c>
      <c r="N35" t="s">
        <v>1115</v>
      </c>
    </row>
    <row r="36" spans="4:14" x14ac:dyDescent="0.45">
      <c r="D36" t="s">
        <v>1139</v>
      </c>
      <c r="E36" t="s">
        <v>1140</v>
      </c>
      <c r="F36" t="s">
        <v>563</v>
      </c>
      <c r="G36">
        <v>-1</v>
      </c>
      <c r="H36">
        <v>-0.75</v>
      </c>
      <c r="I36">
        <f>H36+0.2</f>
        <v>-0.55000000000000004</v>
      </c>
      <c r="J36">
        <f>I36+0.2</f>
        <v>-0.35000000000000003</v>
      </c>
      <c r="K36">
        <f>J36+0.2</f>
        <v>-0.15000000000000002</v>
      </c>
      <c r="L36">
        <v>0</v>
      </c>
      <c r="M36">
        <v>5</v>
      </c>
      <c r="N36" t="s">
        <v>1153</v>
      </c>
    </row>
    <row r="37" spans="4:14" x14ac:dyDescent="0.45">
      <c r="E37" t="s">
        <v>1143</v>
      </c>
      <c r="G37">
        <v>0</v>
      </c>
      <c r="H37">
        <f t="shared" ref="H37:K37" si="8">1+H36</f>
        <v>0.25</v>
      </c>
      <c r="I37">
        <f t="shared" si="8"/>
        <v>0.44999999999999996</v>
      </c>
      <c r="J37">
        <f t="shared" si="8"/>
        <v>0.64999999999999991</v>
      </c>
      <c r="K37">
        <f t="shared" si="8"/>
        <v>0.85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AK36"/>
  <sheetViews>
    <sheetView topLeftCell="A12" workbookViewId="0">
      <selection activeCell="A22" sqref="A22"/>
    </sheetView>
  </sheetViews>
  <sheetFormatPr defaultRowHeight="14.25" x14ac:dyDescent="0.45"/>
  <cols>
    <col min="2" max="2" width="21.3984375" bestFit="1" customWidth="1"/>
    <col min="3" max="3" width="9.19921875" bestFit="1" customWidth="1"/>
    <col min="4" max="4" width="13.796875" bestFit="1" customWidth="1"/>
    <col min="5" max="5" width="9.73046875" bestFit="1" customWidth="1"/>
    <col min="6" max="7" width="8.33203125" bestFit="1" customWidth="1"/>
    <col min="8" max="8" width="11.06640625" bestFit="1" customWidth="1"/>
    <col min="9" max="9" width="9.265625" bestFit="1" customWidth="1"/>
    <col min="10" max="10" width="11.265625" bestFit="1" customWidth="1"/>
    <col min="11" max="11" width="6.19921875" customWidth="1"/>
    <col min="12" max="19" width="6.265625" bestFit="1" customWidth="1"/>
    <col min="20" max="34" width="7.265625" bestFit="1" customWidth="1"/>
  </cols>
  <sheetData>
    <row r="1" spans="1:34" ht="14.65" thickBot="1" x14ac:dyDescent="0.5">
      <c r="A1" s="3" t="str">
        <f>Veda!$E$5</f>
        <v>bas</v>
      </c>
      <c r="B1" t="s">
        <v>242</v>
      </c>
      <c r="C1" t="str">
        <f>'kea-tui'!A1</f>
        <v>tui</v>
      </c>
    </row>
    <row r="2" spans="1:34" ht="14.65" thickTop="1" x14ac:dyDescent="0.45"/>
    <row r="3" spans="1:34" x14ac:dyDescent="0.45">
      <c r="B3" t="s">
        <v>1109</v>
      </c>
    </row>
    <row r="4" spans="1:34" x14ac:dyDescent="0.45">
      <c r="B4" t="s">
        <v>1110</v>
      </c>
    </row>
    <row r="6" spans="1:34" x14ac:dyDescent="0.45">
      <c r="G6" t="str">
        <f>IF(C1=B1,"~UC_T","No CO2 budget")</f>
        <v>No CO2 budget</v>
      </c>
    </row>
    <row r="7" spans="1:34" x14ac:dyDescent="0.45">
      <c r="D7" t="s">
        <v>17</v>
      </c>
      <c r="E7" t="s">
        <v>6</v>
      </c>
      <c r="F7" t="s">
        <v>14</v>
      </c>
      <c r="G7" t="s">
        <v>1111</v>
      </c>
      <c r="H7" t="s">
        <v>1112</v>
      </c>
      <c r="I7" t="s">
        <v>1113</v>
      </c>
      <c r="J7" t="s">
        <v>1114</v>
      </c>
      <c r="K7" t="s">
        <v>1115</v>
      </c>
    </row>
    <row r="8" spans="1:34" x14ac:dyDescent="0.45">
      <c r="D8" t="s">
        <v>1116</v>
      </c>
      <c r="E8" t="s">
        <v>1117</v>
      </c>
      <c r="F8">
        <v>2025</v>
      </c>
      <c r="G8" t="s">
        <v>320</v>
      </c>
      <c r="H8">
        <v>1</v>
      </c>
      <c r="I8" s="20">
        <v>29443.599999999999</v>
      </c>
      <c r="J8">
        <v>5</v>
      </c>
      <c r="K8" t="s">
        <v>1118</v>
      </c>
    </row>
    <row r="9" spans="1:34" x14ac:dyDescent="0.45">
      <c r="E9" t="s">
        <v>1117</v>
      </c>
      <c r="F9">
        <v>2030</v>
      </c>
      <c r="G9" t="s">
        <v>320</v>
      </c>
      <c r="H9">
        <v>1</v>
      </c>
      <c r="I9" s="20">
        <v>24951.46</v>
      </c>
    </row>
    <row r="10" spans="1:34" x14ac:dyDescent="0.45">
      <c r="E10" t="s">
        <v>1117</v>
      </c>
      <c r="F10">
        <v>2035</v>
      </c>
      <c r="G10" t="s">
        <v>320</v>
      </c>
      <c r="H10">
        <v>1</v>
      </c>
      <c r="I10" s="20">
        <v>18884.91</v>
      </c>
    </row>
    <row r="11" spans="1:34" x14ac:dyDescent="0.45">
      <c r="E11" t="s">
        <v>1117</v>
      </c>
      <c r="F11">
        <v>2040</v>
      </c>
      <c r="G11" t="s">
        <v>320</v>
      </c>
      <c r="H11">
        <v>1</v>
      </c>
      <c r="I11" s="20">
        <v>12911.14</v>
      </c>
    </row>
    <row r="12" spans="1:34" x14ac:dyDescent="0.45">
      <c r="E12" t="s">
        <v>1117</v>
      </c>
      <c r="F12">
        <v>2045</v>
      </c>
      <c r="G12" t="s">
        <v>320</v>
      </c>
      <c r="H12">
        <v>1</v>
      </c>
      <c r="I12" s="20">
        <v>8366.5869999999995</v>
      </c>
    </row>
    <row r="13" spans="1:34" x14ac:dyDescent="0.45">
      <c r="E13" t="s">
        <v>1117</v>
      </c>
      <c r="F13">
        <v>2050</v>
      </c>
      <c r="G13" t="s">
        <v>320</v>
      </c>
      <c r="H13">
        <v>1</v>
      </c>
      <c r="I13" s="20">
        <v>5276.3459999999995</v>
      </c>
    </row>
    <row r="14" spans="1:34" x14ac:dyDescent="0.45">
      <c r="I14" s="20"/>
    </row>
    <row r="16" spans="1:34" x14ac:dyDescent="0.45">
      <c r="A16" t="s">
        <v>241</v>
      </c>
      <c r="B16" s="20">
        <v>18.817699999999999</v>
      </c>
      <c r="C16" s="20">
        <v>24.5</v>
      </c>
      <c r="D16" s="20">
        <v>30</v>
      </c>
      <c r="E16" s="20">
        <v>37.920950000000005</v>
      </c>
      <c r="F16" s="20">
        <v>43.341899999999995</v>
      </c>
      <c r="G16" s="20">
        <v>48.76285</v>
      </c>
      <c r="H16" s="20">
        <v>54.183799999999998</v>
      </c>
      <c r="I16" s="20">
        <v>59.604750000000003</v>
      </c>
      <c r="J16" s="20">
        <v>65.025700000000001</v>
      </c>
      <c r="K16" s="20">
        <v>70.4465</v>
      </c>
      <c r="L16" s="20">
        <v>75.867500000000007</v>
      </c>
      <c r="M16" s="20">
        <v>81.288499999999999</v>
      </c>
      <c r="N16" s="20">
        <v>86.709500000000006</v>
      </c>
      <c r="O16" s="20">
        <v>88.786000000000001</v>
      </c>
      <c r="P16" s="20">
        <v>90.924499999999995</v>
      </c>
      <c r="Q16" s="20">
        <v>93.126999999999995</v>
      </c>
      <c r="R16" s="20">
        <v>95.396000000000001</v>
      </c>
      <c r="S16" s="20">
        <v>97.732500000000002</v>
      </c>
      <c r="T16" s="20">
        <v>100.1395</v>
      </c>
      <c r="U16" s="20">
        <v>102.619</v>
      </c>
      <c r="V16" s="20">
        <v>105.1725</v>
      </c>
      <c r="W16" s="20">
        <v>107.80249999999999</v>
      </c>
      <c r="X16" s="20">
        <v>110.5115</v>
      </c>
      <c r="Y16" s="20">
        <v>113.30200000000001</v>
      </c>
      <c r="Z16" s="20">
        <v>116.176</v>
      </c>
      <c r="AA16" s="20">
        <v>119.1365</v>
      </c>
      <c r="AB16" s="20">
        <v>122.1855</v>
      </c>
      <c r="AC16" s="20">
        <v>125.32599999999999</v>
      </c>
      <c r="AD16" s="20">
        <v>128.56100000000001</v>
      </c>
      <c r="AE16" s="20">
        <v>131.89249999999998</v>
      </c>
      <c r="AF16" s="20">
        <v>135.3245</v>
      </c>
      <c r="AG16" s="20">
        <v>138.85899999999998</v>
      </c>
      <c r="AH16" s="20">
        <v>142.5</v>
      </c>
    </row>
    <row r="20" spans="1:37" x14ac:dyDescent="0.45">
      <c r="B20" s="20">
        <v>2018</v>
      </c>
      <c r="C20" s="20">
        <v>2019</v>
      </c>
      <c r="D20" s="20">
        <v>2020</v>
      </c>
      <c r="E20" s="20">
        <v>2021</v>
      </c>
      <c r="F20" s="20">
        <v>2022</v>
      </c>
      <c r="G20" s="20">
        <v>2023</v>
      </c>
      <c r="H20" s="20">
        <v>2024</v>
      </c>
      <c r="I20" s="20">
        <v>2025</v>
      </c>
      <c r="J20" s="20">
        <v>2026</v>
      </c>
      <c r="K20" s="20">
        <v>2027</v>
      </c>
      <c r="L20" s="20">
        <v>2028</v>
      </c>
      <c r="M20" s="20">
        <v>2029</v>
      </c>
      <c r="N20" s="20">
        <v>2030</v>
      </c>
      <c r="O20" s="20">
        <v>2031</v>
      </c>
      <c r="P20" s="20">
        <v>2032</v>
      </c>
      <c r="Q20" s="20">
        <v>2033</v>
      </c>
      <c r="R20" s="20">
        <v>2034</v>
      </c>
      <c r="S20" s="20">
        <v>2035</v>
      </c>
      <c r="T20" s="20">
        <v>2036</v>
      </c>
      <c r="U20" s="20">
        <v>2037</v>
      </c>
      <c r="V20" s="20">
        <v>2038</v>
      </c>
      <c r="W20" s="20">
        <v>2039</v>
      </c>
      <c r="X20" s="20">
        <v>2040</v>
      </c>
      <c r="Y20" s="20">
        <v>2041</v>
      </c>
      <c r="Z20" s="20">
        <v>2042</v>
      </c>
      <c r="AA20" s="20">
        <v>2043</v>
      </c>
      <c r="AB20" s="20">
        <v>2044</v>
      </c>
      <c r="AC20" s="20">
        <v>2045</v>
      </c>
      <c r="AD20" s="20">
        <v>2046</v>
      </c>
      <c r="AE20" s="20">
        <v>2047</v>
      </c>
      <c r="AF20" s="20">
        <v>2048</v>
      </c>
      <c r="AG20" s="20">
        <v>2049</v>
      </c>
      <c r="AH20" s="20">
        <v>2050</v>
      </c>
      <c r="AJ20" s="20">
        <v>2025</v>
      </c>
      <c r="AK20" s="20">
        <v>2050</v>
      </c>
    </row>
    <row r="21" spans="1:37" x14ac:dyDescent="0.45">
      <c r="A21" t="s">
        <v>242</v>
      </c>
      <c r="B21" s="20">
        <v>18.817699999999999</v>
      </c>
      <c r="C21" s="20">
        <v>24.5</v>
      </c>
      <c r="D21" s="20">
        <v>30</v>
      </c>
      <c r="E21" s="20">
        <v>40.841900000000003</v>
      </c>
      <c r="F21" s="20">
        <v>51.683799999999998</v>
      </c>
      <c r="G21" s="20">
        <v>62.525700000000001</v>
      </c>
      <c r="H21" s="20">
        <v>73.367599999999996</v>
      </c>
      <c r="I21" s="20">
        <v>84.209500000000006</v>
      </c>
      <c r="J21" s="20">
        <v>95.051400000000001</v>
      </c>
      <c r="K21" s="20">
        <v>105.893</v>
      </c>
      <c r="L21" s="20">
        <v>116.735</v>
      </c>
      <c r="M21" s="20">
        <v>127.577</v>
      </c>
      <c r="N21" s="20">
        <v>138.41900000000001</v>
      </c>
      <c r="O21" s="20">
        <v>142.572</v>
      </c>
      <c r="P21" s="20">
        <v>146.84899999999999</v>
      </c>
      <c r="Q21" s="20">
        <v>151.25399999999999</v>
      </c>
      <c r="R21" s="20">
        <v>155.792</v>
      </c>
      <c r="S21" s="20">
        <v>160.465</v>
      </c>
      <c r="T21" s="20">
        <v>165.279</v>
      </c>
      <c r="U21" s="20">
        <v>170.238</v>
      </c>
      <c r="V21" s="20">
        <v>175.345</v>
      </c>
      <c r="W21" s="20">
        <v>180.60499999999999</v>
      </c>
      <c r="X21" s="20">
        <v>186.023</v>
      </c>
      <c r="Y21" s="20">
        <v>191.60400000000001</v>
      </c>
      <c r="Z21" s="20">
        <v>197.352</v>
      </c>
      <c r="AA21" s="20">
        <v>203.273</v>
      </c>
      <c r="AB21" s="20">
        <v>209.37100000000001</v>
      </c>
      <c r="AC21" s="20">
        <v>215.65199999999999</v>
      </c>
      <c r="AD21" s="20">
        <v>222.12200000000001</v>
      </c>
      <c r="AE21" s="20">
        <v>228.785</v>
      </c>
      <c r="AF21" s="20">
        <v>235.649</v>
      </c>
      <c r="AG21" s="20">
        <v>242.71799999999999</v>
      </c>
      <c r="AH21" s="20">
        <v>250</v>
      </c>
      <c r="AJ21" s="20">
        <v>1</v>
      </c>
      <c r="AK21" s="20">
        <v>4</v>
      </c>
    </row>
    <row r="22" spans="1:37" x14ac:dyDescent="0.45">
      <c r="A22" t="s">
        <v>241</v>
      </c>
      <c r="B22" s="20">
        <f>AVERAGE(B21,B23)</f>
        <v>18.817699999999999</v>
      </c>
      <c r="C22" s="20">
        <f t="shared" ref="C22:H22" si="0">AVERAGE(C21,C23)</f>
        <v>24.5</v>
      </c>
      <c r="D22" s="20">
        <f t="shared" si="0"/>
        <v>30</v>
      </c>
      <c r="E22" s="20">
        <f t="shared" si="0"/>
        <v>37.920950000000005</v>
      </c>
      <c r="F22" s="20">
        <f t="shared" si="0"/>
        <v>43.341899999999995</v>
      </c>
      <c r="G22" s="20">
        <f t="shared" si="0"/>
        <v>48.76285</v>
      </c>
      <c r="H22" s="20">
        <f t="shared" si="0"/>
        <v>54.183799999999998</v>
      </c>
      <c r="I22" s="24" cm="1">
        <f t="array" ref="I22">TREND($E$35:$J$35,$E$34:$J$34,I$20)/0.6</f>
        <v>26.666666666666668</v>
      </c>
      <c r="J22" s="24" cm="1">
        <f t="array" ref="J22">TREND($E$35:$J$35,$E$34:$J$34,J$20)/0.6</f>
        <v>33.133333333333518</v>
      </c>
      <c r="K22" s="24" cm="1">
        <f t="array" ref="K22">TREND($E$35:$J$35,$E$34:$J$34,K$20)/0.6</f>
        <v>39.600000000000364</v>
      </c>
      <c r="L22" s="24" cm="1">
        <f t="array" ref="L22">TREND($E$35:$J$35,$E$34:$J$34,L$20)/0.6</f>
        <v>46.066666666665697</v>
      </c>
      <c r="M22" s="24" cm="1">
        <f t="array" ref="M22">TREND($E$35:$J$35,$E$34:$J$34,M$20)/0.6</f>
        <v>52.53333333333255</v>
      </c>
      <c r="N22" s="24" cm="1">
        <f t="array" ref="N22">TREND($E$35:$J$35,$E$34:$J$34,N$20)/0.6</f>
        <v>58.999999999999396</v>
      </c>
      <c r="O22" s="24" cm="1">
        <f t="array" ref="O22">TREND($E$35:$J$35,$E$34:$J$34,O$20)/0.6</f>
        <v>65.466666666666242</v>
      </c>
      <c r="P22" s="24" cm="1">
        <f t="array" ref="P22">TREND($E$35:$J$35,$E$34:$J$34,P$20)/0.6</f>
        <v>71.933333333333096</v>
      </c>
      <c r="Q22" s="24" cm="1">
        <f t="array" ref="Q22">TREND($E$35:$J$35,$E$34:$J$34,Q$20)/0.6</f>
        <v>78.399999999999949</v>
      </c>
      <c r="R22" s="24" cm="1">
        <f t="array" ref="R22">TREND($E$35:$J$35,$E$34:$J$34,R$20)/0.6</f>
        <v>84.866666666666788</v>
      </c>
      <c r="S22" s="24" cm="1">
        <f t="array" ref="S22">TREND($E$35:$J$35,$E$34:$J$34,S$20)/0.6</f>
        <v>91.333333333333641</v>
      </c>
      <c r="T22" s="24" cm="1">
        <f t="array" ref="T22">TREND($E$35:$J$35,$E$34:$J$34,T$20)/0.6</f>
        <v>97.799999999998974</v>
      </c>
      <c r="U22" s="24" cm="1">
        <f t="array" ref="U22">TREND($E$35:$J$35,$E$34:$J$34,U$20)/0.6</f>
        <v>104.26666666666583</v>
      </c>
      <c r="V22" s="24" cm="1">
        <f t="array" ref="V22">TREND($E$35:$J$35,$E$34:$J$34,V$20)/0.6</f>
        <v>110.73333333333267</v>
      </c>
      <c r="W22" s="24" cm="1">
        <f t="array" ref="W22">TREND($E$35:$J$35,$E$34:$J$34,W$20)/0.6</f>
        <v>117.19999999999952</v>
      </c>
      <c r="X22" s="24" cm="1">
        <f t="array" ref="X22">TREND($E$35:$J$35,$E$34:$J$34,X$20)/0.6</f>
        <v>123.66666666666637</v>
      </c>
      <c r="Y22" s="24" cm="1">
        <f t="array" ref="Y22">TREND($E$35:$J$35,$E$34:$J$34,Y$20)/0.6</f>
        <v>130.13333333333321</v>
      </c>
      <c r="Z22" s="24" cm="1">
        <f t="array" ref="Z22">TREND($E$35:$J$35,$E$34:$J$34,Z$20)/0.6</f>
        <v>136.60000000000008</v>
      </c>
      <c r="AA22" s="24" cm="1">
        <f t="array" ref="AA22">TREND($E$35:$J$35,$E$34:$J$34,AA$20)/0.6</f>
        <v>143.06666666666692</v>
      </c>
      <c r="AB22" s="24" cm="1">
        <f t="array" ref="AB22">TREND($E$35:$J$35,$E$34:$J$34,AB$20)/0.6</f>
        <v>149.53333333333225</v>
      </c>
      <c r="AC22" s="24" cm="1">
        <f t="array" ref="AC22">TREND($E$35:$J$35,$E$34:$J$34,AC$20)/0.6</f>
        <v>155.99999999999909</v>
      </c>
      <c r="AD22" s="24" cm="1">
        <f t="array" ref="AD22">TREND($E$35:$J$35,$E$34:$J$34,AD$20)/0.6</f>
        <v>162.46666666666596</v>
      </c>
      <c r="AE22" s="24" cm="1">
        <f t="array" ref="AE22">TREND($E$35:$J$35,$E$34:$J$34,AE$20)/0.6</f>
        <v>168.9333333333328</v>
      </c>
      <c r="AF22" s="24" cm="1">
        <f t="array" ref="AF22">TREND($E$35:$J$35,$E$34:$J$34,AF$20)/0.6</f>
        <v>175.39999999999964</v>
      </c>
      <c r="AG22" s="24" cm="1">
        <f t="array" ref="AG22">TREND($E$35:$J$35,$E$34:$J$34,AG$20)/0.6</f>
        <v>181.8666666666665</v>
      </c>
      <c r="AH22" s="24" cm="1">
        <f t="array" ref="AH22">TREND($E$35:$J$35,$E$34:$J$34,AH$20)/0.6</f>
        <v>188.33333333333334</v>
      </c>
      <c r="AJ22">
        <v>1</v>
      </c>
      <c r="AK22">
        <v>3.5</v>
      </c>
    </row>
    <row r="23" spans="1:37" x14ac:dyDescent="0.45">
      <c r="A23" t="s">
        <v>1155</v>
      </c>
      <c r="B23" s="20">
        <v>18.817699999999999</v>
      </c>
      <c r="C23" s="20">
        <v>24.5</v>
      </c>
      <c r="D23" s="20">
        <v>30</v>
      </c>
      <c r="E23" s="20">
        <v>35</v>
      </c>
      <c r="F23" s="20">
        <v>35</v>
      </c>
      <c r="G23" s="20">
        <v>35</v>
      </c>
      <c r="H23" s="20">
        <v>35</v>
      </c>
      <c r="I23" s="20">
        <v>35</v>
      </c>
      <c r="J23" s="20">
        <v>35</v>
      </c>
      <c r="K23" s="20">
        <v>35</v>
      </c>
      <c r="L23" s="20">
        <v>35</v>
      </c>
      <c r="M23" s="20">
        <v>35</v>
      </c>
      <c r="N23" s="20">
        <v>35</v>
      </c>
      <c r="O23" s="20">
        <v>35</v>
      </c>
      <c r="P23" s="20">
        <v>35</v>
      </c>
      <c r="Q23" s="20">
        <v>35</v>
      </c>
      <c r="R23" s="20">
        <v>35</v>
      </c>
      <c r="S23" s="20">
        <v>35</v>
      </c>
      <c r="T23" s="20">
        <v>35</v>
      </c>
      <c r="U23" s="20">
        <v>35</v>
      </c>
      <c r="V23" s="20">
        <v>35</v>
      </c>
      <c r="W23" s="20">
        <v>35</v>
      </c>
      <c r="X23" s="20">
        <v>35</v>
      </c>
      <c r="Y23" s="20">
        <v>35</v>
      </c>
      <c r="Z23" s="20">
        <v>35</v>
      </c>
      <c r="AA23" s="20">
        <v>35</v>
      </c>
      <c r="AB23" s="20">
        <v>35</v>
      </c>
      <c r="AC23" s="20">
        <v>35</v>
      </c>
      <c r="AD23" s="20">
        <v>35</v>
      </c>
      <c r="AE23" s="20">
        <v>35</v>
      </c>
      <c r="AF23" s="20">
        <v>35</v>
      </c>
      <c r="AG23" s="20">
        <v>35</v>
      </c>
      <c r="AH23" s="20">
        <v>35</v>
      </c>
    </row>
    <row r="24" spans="1:37" x14ac:dyDescent="0.45">
      <c r="A24" t="s">
        <v>1157</v>
      </c>
      <c r="B24" s="20">
        <f>B21</f>
        <v>18.817699999999999</v>
      </c>
      <c r="C24" s="20">
        <f t="shared" ref="C24:H24" si="1">C21</f>
        <v>24.5</v>
      </c>
      <c r="D24" s="20">
        <f t="shared" si="1"/>
        <v>30</v>
      </c>
      <c r="E24" s="20">
        <f t="shared" si="1"/>
        <v>40.841900000000003</v>
      </c>
      <c r="F24" s="20">
        <f t="shared" si="1"/>
        <v>51.683799999999998</v>
      </c>
      <c r="G24" s="20">
        <f t="shared" si="1"/>
        <v>62.525700000000001</v>
      </c>
      <c r="H24" s="20">
        <f t="shared" si="1"/>
        <v>73.367599999999996</v>
      </c>
      <c r="I24" s="24" cm="1">
        <f t="array" ref="I24">TREND($E$36:$J$36,$E$34:$J$34,I$20)/0.6</f>
        <v>274.20634920634865</v>
      </c>
      <c r="J24" s="24" cm="1">
        <f t="array" ref="J24">TREND($E$36:$J$36,$E$34:$J$34,J$20)/0.6</f>
        <v>302.09206349205488</v>
      </c>
      <c r="K24" s="24" cm="1">
        <f t="array" ref="K24">TREND($E$36:$J$36,$E$34:$J$34,K$20)/0.6</f>
        <v>329.97777777777327</v>
      </c>
      <c r="L24" s="24" cm="1">
        <f t="array" ref="L24">TREND($E$36:$J$36,$E$34:$J$34,L$20)/0.6</f>
        <v>357.86349206349166</v>
      </c>
      <c r="M24" s="24" cm="1">
        <f t="array" ref="M24">TREND($E$36:$J$36,$E$34:$J$34,M$20)/0.6</f>
        <v>385.74920634919789</v>
      </c>
      <c r="N24" s="24" cm="1">
        <f t="array" ref="N24">TREND($E$36:$J$36,$E$34:$J$34,N$20)/0.6</f>
        <v>413.63492063491628</v>
      </c>
      <c r="O24" s="24" cm="1">
        <f t="array" ref="O24">TREND($E$36:$J$36,$E$34:$J$34,O$20)/0.6</f>
        <v>441.52063492063462</v>
      </c>
      <c r="P24" s="24" cm="1">
        <f t="array" ref="P24">TREND($E$36:$J$36,$E$34:$J$34,P$20)/0.6</f>
        <v>469.40634920634091</v>
      </c>
      <c r="Q24" s="24" cm="1">
        <f t="array" ref="Q24">TREND($E$36:$J$36,$E$34:$J$34,Q$20)/0.6</f>
        <v>497.29206349205924</v>
      </c>
      <c r="R24" s="24" cm="1">
        <f t="array" ref="R24">TREND($E$36:$J$36,$E$34:$J$34,R$20)/0.6</f>
        <v>525.17777777777769</v>
      </c>
      <c r="S24" s="24" cm="1">
        <f t="array" ref="S24">TREND($E$36:$J$36,$E$34:$J$34,S$20)/0.6</f>
        <v>553.06349206348386</v>
      </c>
      <c r="T24" s="24" cm="1">
        <f t="array" ref="T24">TREND($E$36:$J$36,$E$34:$J$34,T$20)/0.6</f>
        <v>580.94920634920231</v>
      </c>
      <c r="U24" s="24" cm="1">
        <f t="array" ref="U24">TREND($E$36:$J$36,$E$34:$J$34,U$20)/0.6</f>
        <v>608.83492063492065</v>
      </c>
      <c r="V24" s="24" cm="1">
        <f t="array" ref="V24">TREND($E$36:$J$36,$E$34:$J$34,V$20)/0.6</f>
        <v>636.72063492062694</v>
      </c>
      <c r="W24" s="24" cm="1">
        <f t="array" ref="W24">TREND($E$36:$J$36,$E$34:$J$34,W$20)/0.6</f>
        <v>664.60634920634527</v>
      </c>
      <c r="X24" s="24" cm="1">
        <f t="array" ref="X24">TREND($E$36:$J$36,$E$34:$J$34,X$20)/0.6</f>
        <v>692.49206349206361</v>
      </c>
      <c r="Y24" s="24" cm="1">
        <f t="array" ref="Y24">TREND($E$36:$J$36,$E$34:$J$34,Y$20)/0.6</f>
        <v>720.37777777776989</v>
      </c>
      <c r="Z24" s="24" cm="1">
        <f t="array" ref="Z24">TREND($E$36:$J$36,$E$34:$J$34,Z$20)/0.6</f>
        <v>748.26349206348823</v>
      </c>
      <c r="AA24" s="24" cm="1">
        <f t="array" ref="AA24">TREND($E$36:$J$36,$E$34:$J$34,AA$20)/0.6</f>
        <v>776.14920634920668</v>
      </c>
      <c r="AB24" s="24" cm="1">
        <f t="array" ref="AB24">TREND($E$36:$J$36,$E$34:$J$34,AB$20)/0.6</f>
        <v>804.03492063491285</v>
      </c>
      <c r="AC24" s="24" cm="1">
        <f t="array" ref="AC24">TREND($E$36:$J$36,$E$34:$J$34,AC$20)/0.6</f>
        <v>831.9206349206313</v>
      </c>
      <c r="AD24" s="24" cm="1">
        <f t="array" ref="AD24">TREND($E$36:$J$36,$E$34:$J$34,AD$20)/0.6</f>
        <v>859.80634920634964</v>
      </c>
      <c r="AE24" s="24" cm="1">
        <f t="array" ref="AE24">TREND($E$36:$J$36,$E$34:$J$34,AE$20)/0.6</f>
        <v>887.69206349205592</v>
      </c>
      <c r="AF24" s="24" cm="1">
        <f t="array" ref="AF24">TREND($E$36:$J$36,$E$34:$J$34,AF$20)/0.6</f>
        <v>915.57777777777426</v>
      </c>
      <c r="AG24" s="24" cm="1">
        <f t="array" ref="AG24">TREND($E$36:$J$36,$E$34:$J$34,AG$20)/0.6</f>
        <v>943.46349206349259</v>
      </c>
      <c r="AH24" s="24" cm="1">
        <f t="array" ref="AH24">TREND($E$36:$J$36,$E$34:$J$34,AH$20)/0.6</f>
        <v>971.34920634919888</v>
      </c>
      <c r="AJ24" s="7"/>
    </row>
    <row r="27" spans="1:37" x14ac:dyDescent="0.45">
      <c r="A27" t="s">
        <v>1156</v>
      </c>
    </row>
    <row r="28" spans="1:37" x14ac:dyDescent="0.45">
      <c r="A28" t="s">
        <v>6</v>
      </c>
      <c r="B28" s="20">
        <f>B20</f>
        <v>2018</v>
      </c>
      <c r="C28" s="20">
        <f t="shared" ref="C28:AH28" si="2">C20</f>
        <v>2019</v>
      </c>
      <c r="D28" s="20">
        <f t="shared" si="2"/>
        <v>2020</v>
      </c>
      <c r="E28" s="20">
        <f t="shared" si="2"/>
        <v>2021</v>
      </c>
      <c r="F28" s="20">
        <f t="shared" si="2"/>
        <v>2022</v>
      </c>
      <c r="G28" s="20">
        <f t="shared" si="2"/>
        <v>2023</v>
      </c>
      <c r="H28" s="20">
        <f t="shared" si="2"/>
        <v>2024</v>
      </c>
      <c r="I28" s="20">
        <f t="shared" si="2"/>
        <v>2025</v>
      </c>
      <c r="J28" s="20">
        <f t="shared" si="2"/>
        <v>2026</v>
      </c>
      <c r="K28" s="20">
        <f t="shared" si="2"/>
        <v>2027</v>
      </c>
      <c r="L28" s="20">
        <f t="shared" si="2"/>
        <v>2028</v>
      </c>
      <c r="M28" s="20">
        <f t="shared" si="2"/>
        <v>2029</v>
      </c>
      <c r="N28" s="20">
        <f t="shared" si="2"/>
        <v>2030</v>
      </c>
      <c r="O28" s="20">
        <f t="shared" si="2"/>
        <v>2031</v>
      </c>
      <c r="P28" s="20">
        <f t="shared" si="2"/>
        <v>2032</v>
      </c>
      <c r="Q28" s="20">
        <f t="shared" si="2"/>
        <v>2033</v>
      </c>
      <c r="R28" s="20">
        <f t="shared" si="2"/>
        <v>2034</v>
      </c>
      <c r="S28" s="20">
        <f t="shared" si="2"/>
        <v>2035</v>
      </c>
      <c r="T28" s="20">
        <f t="shared" si="2"/>
        <v>2036</v>
      </c>
      <c r="U28" s="20">
        <f t="shared" si="2"/>
        <v>2037</v>
      </c>
      <c r="V28" s="20">
        <f t="shared" si="2"/>
        <v>2038</v>
      </c>
      <c r="W28" s="20">
        <f t="shared" si="2"/>
        <v>2039</v>
      </c>
      <c r="X28" s="20">
        <f t="shared" si="2"/>
        <v>2040</v>
      </c>
      <c r="Y28" s="20">
        <f t="shared" si="2"/>
        <v>2041</v>
      </c>
      <c r="Z28" s="20">
        <f t="shared" si="2"/>
        <v>2042</v>
      </c>
      <c r="AA28" s="20">
        <f t="shared" si="2"/>
        <v>2043</v>
      </c>
      <c r="AB28" s="20">
        <f t="shared" si="2"/>
        <v>2044</v>
      </c>
      <c r="AC28" s="20">
        <f t="shared" si="2"/>
        <v>2045</v>
      </c>
      <c r="AD28" s="20">
        <f t="shared" si="2"/>
        <v>2046</v>
      </c>
      <c r="AE28" s="20">
        <f t="shared" si="2"/>
        <v>2047</v>
      </c>
      <c r="AF28" s="20">
        <f t="shared" si="2"/>
        <v>2048</v>
      </c>
      <c r="AG28" s="20">
        <f t="shared" si="2"/>
        <v>2049</v>
      </c>
      <c r="AH28" s="20">
        <f t="shared" si="2"/>
        <v>2050</v>
      </c>
    </row>
    <row r="29" spans="1:37" x14ac:dyDescent="0.45">
      <c r="A29" t="s">
        <v>1117</v>
      </c>
      <c r="B29" s="7">
        <f>SUMIF($A$21:$A$24,$A$1,B$21:B$24)/1000</f>
        <v>1.88177E-2</v>
      </c>
      <c r="C29" s="7">
        <f t="shared" ref="C29:AH29" si="3">SUMIF($A$21:$A$24,$A$1,C$21:C$24)/1000</f>
        <v>2.4500000000000001E-2</v>
      </c>
      <c r="D29" s="7">
        <f t="shared" si="3"/>
        <v>0.03</v>
      </c>
      <c r="E29" s="7">
        <f t="shared" si="3"/>
        <v>3.5000000000000003E-2</v>
      </c>
      <c r="F29" s="7">
        <f t="shared" si="3"/>
        <v>3.5000000000000003E-2</v>
      </c>
      <c r="G29" s="7">
        <f t="shared" si="3"/>
        <v>3.5000000000000003E-2</v>
      </c>
      <c r="H29" s="7">
        <f t="shared" si="3"/>
        <v>3.5000000000000003E-2</v>
      </c>
      <c r="I29" s="7">
        <f t="shared" si="3"/>
        <v>3.5000000000000003E-2</v>
      </c>
      <c r="J29" s="7">
        <f t="shared" si="3"/>
        <v>3.5000000000000003E-2</v>
      </c>
      <c r="K29" s="7">
        <f t="shared" si="3"/>
        <v>3.5000000000000003E-2</v>
      </c>
      <c r="L29" s="7">
        <f t="shared" si="3"/>
        <v>3.5000000000000003E-2</v>
      </c>
      <c r="M29" s="7">
        <f t="shared" si="3"/>
        <v>3.5000000000000003E-2</v>
      </c>
      <c r="N29" s="7">
        <f t="shared" si="3"/>
        <v>3.5000000000000003E-2</v>
      </c>
      <c r="O29" s="7">
        <f t="shared" si="3"/>
        <v>3.5000000000000003E-2</v>
      </c>
      <c r="P29" s="7">
        <f t="shared" si="3"/>
        <v>3.5000000000000003E-2</v>
      </c>
      <c r="Q29" s="7">
        <f t="shared" si="3"/>
        <v>3.5000000000000003E-2</v>
      </c>
      <c r="R29" s="7">
        <f t="shared" si="3"/>
        <v>3.5000000000000003E-2</v>
      </c>
      <c r="S29" s="7">
        <f t="shared" si="3"/>
        <v>3.5000000000000003E-2</v>
      </c>
      <c r="T29" s="7">
        <f t="shared" si="3"/>
        <v>3.5000000000000003E-2</v>
      </c>
      <c r="U29" s="7">
        <f t="shared" si="3"/>
        <v>3.5000000000000003E-2</v>
      </c>
      <c r="V29" s="7">
        <f t="shared" si="3"/>
        <v>3.5000000000000003E-2</v>
      </c>
      <c r="W29" s="7">
        <f t="shared" si="3"/>
        <v>3.5000000000000003E-2</v>
      </c>
      <c r="X29" s="7">
        <f t="shared" si="3"/>
        <v>3.5000000000000003E-2</v>
      </c>
      <c r="Y29" s="7">
        <f t="shared" si="3"/>
        <v>3.5000000000000003E-2</v>
      </c>
      <c r="Z29" s="7">
        <f t="shared" si="3"/>
        <v>3.5000000000000003E-2</v>
      </c>
      <c r="AA29" s="7">
        <f t="shared" si="3"/>
        <v>3.5000000000000003E-2</v>
      </c>
      <c r="AB29" s="7">
        <f t="shared" si="3"/>
        <v>3.5000000000000003E-2</v>
      </c>
      <c r="AC29" s="7">
        <f t="shared" si="3"/>
        <v>3.5000000000000003E-2</v>
      </c>
      <c r="AD29" s="7">
        <f t="shared" si="3"/>
        <v>3.5000000000000003E-2</v>
      </c>
      <c r="AE29" s="7">
        <f t="shared" si="3"/>
        <v>3.5000000000000003E-2</v>
      </c>
      <c r="AF29" s="7">
        <f t="shared" si="3"/>
        <v>3.5000000000000003E-2</v>
      </c>
      <c r="AG29" s="7">
        <f t="shared" si="3"/>
        <v>3.5000000000000003E-2</v>
      </c>
      <c r="AH29" s="7">
        <f t="shared" si="3"/>
        <v>3.5000000000000003E-2</v>
      </c>
    </row>
    <row r="34" spans="5:10" x14ac:dyDescent="0.45">
      <c r="E34">
        <v>2025</v>
      </c>
      <c r="F34">
        <v>2030</v>
      </c>
      <c r="G34">
        <v>2035</v>
      </c>
      <c r="H34">
        <v>2040</v>
      </c>
      <c r="I34">
        <v>2045</v>
      </c>
      <c r="J34">
        <v>2050</v>
      </c>
    </row>
    <row r="35" spans="5:10" x14ac:dyDescent="0.45">
      <c r="E35">
        <v>17</v>
      </c>
      <c r="F35">
        <v>35</v>
      </c>
      <c r="G35">
        <v>52</v>
      </c>
      <c r="H35">
        <v>76</v>
      </c>
      <c r="I35">
        <v>95</v>
      </c>
      <c r="J35">
        <v>112</v>
      </c>
    </row>
    <row r="36" spans="5:10" x14ac:dyDescent="0.45">
      <c r="E36">
        <v>175</v>
      </c>
      <c r="F36">
        <v>242</v>
      </c>
      <c r="G36">
        <v>335</v>
      </c>
      <c r="H36">
        <v>407</v>
      </c>
      <c r="I36">
        <v>479</v>
      </c>
      <c r="J36">
        <v>604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066406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160</v>
      </c>
      <c r="D10" t="s">
        <v>50</v>
      </c>
      <c r="F10" t="s">
        <v>160</v>
      </c>
      <c r="G10" t="s">
        <v>52</v>
      </c>
      <c r="I10" t="s">
        <v>160</v>
      </c>
      <c r="J10" t="s">
        <v>37</v>
      </c>
      <c r="L10" t="s">
        <v>160</v>
      </c>
      <c r="M10" t="s">
        <v>57</v>
      </c>
    </row>
    <row r="11" spans="1:13" x14ac:dyDescent="0.45">
      <c r="B11" s="11"/>
      <c r="C11" s="11" t="s">
        <v>161</v>
      </c>
      <c r="D11" t="s">
        <v>162</v>
      </c>
      <c r="F11" t="s">
        <v>161</v>
      </c>
      <c r="G11" t="s">
        <v>213</v>
      </c>
      <c r="I11" t="s">
        <v>161</v>
      </c>
      <c r="J11" t="s">
        <v>217</v>
      </c>
      <c r="L11" t="s">
        <v>161</v>
      </c>
      <c r="M11" t="s">
        <v>236</v>
      </c>
    </row>
    <row r="12" spans="1:13" x14ac:dyDescent="0.45">
      <c r="B12" s="11"/>
      <c r="C12" s="11" t="s">
        <v>163</v>
      </c>
      <c r="D12" t="s">
        <v>164</v>
      </c>
      <c r="F12" t="s">
        <v>163</v>
      </c>
      <c r="G12" t="s">
        <v>214</v>
      </c>
      <c r="I12" t="s">
        <v>163</v>
      </c>
      <c r="J12" t="s">
        <v>217</v>
      </c>
      <c r="L12" t="s">
        <v>163</v>
      </c>
      <c r="M12" t="s">
        <v>237</v>
      </c>
    </row>
    <row r="17" spans="3:13" x14ac:dyDescent="0.45">
      <c r="I17" s="8">
        <v>0.75</v>
      </c>
      <c r="K17" s="2" t="s">
        <v>15</v>
      </c>
    </row>
    <row r="18" spans="3:13" ht="17.649999999999999" thickBot="1" x14ac:dyDescent="0.6">
      <c r="C18" s="9" t="s">
        <v>16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17</v>
      </c>
      <c r="D22" s="10" t="s">
        <v>18</v>
      </c>
      <c r="E22" s="10" t="s">
        <v>19</v>
      </c>
      <c r="F22" s="10" t="s">
        <v>20</v>
      </c>
      <c r="G22" s="10" t="s">
        <v>21</v>
      </c>
      <c r="H22" s="10" t="s">
        <v>22</v>
      </c>
      <c r="I22" s="10" t="s">
        <v>23</v>
      </c>
      <c r="J22" s="10" t="s">
        <v>24</v>
      </c>
      <c r="K22" s="10" t="s">
        <v>25</v>
      </c>
    </row>
    <row r="23" spans="3:13" x14ac:dyDescent="0.45">
      <c r="C23" t="s">
        <v>26</v>
      </c>
      <c r="D23" t="s">
        <v>338</v>
      </c>
      <c r="F23" t="s">
        <v>28</v>
      </c>
      <c r="G23" t="s">
        <v>29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30</v>
      </c>
    </row>
    <row r="24" spans="3:13" x14ac:dyDescent="0.45">
      <c r="D24" t="s">
        <v>338</v>
      </c>
      <c r="F24" t="s">
        <v>28</v>
      </c>
      <c r="G24" t="s">
        <v>29</v>
      </c>
      <c r="H24" t="str">
        <f>HLOOKUP($A$10,$D$10:$CU$12,2,FALSE)</f>
        <v>S02aH02,S03aH02,S01aH02,S04aH02</v>
      </c>
      <c r="I24">
        <f>-$I$17</f>
        <v>-0.75</v>
      </c>
      <c r="M24" t="s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50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ok</v>
      </c>
      <c r="C11" t="s">
        <v>72</v>
      </c>
      <c r="D11" t="s">
        <v>73</v>
      </c>
      <c r="E11" t="s">
        <v>74</v>
      </c>
      <c r="F11" t="s">
        <v>75</v>
      </c>
      <c r="G11" t="s">
        <v>73</v>
      </c>
      <c r="I11" t="s">
        <v>82</v>
      </c>
      <c r="J11" t="s">
        <v>83</v>
      </c>
      <c r="K11">
        <v>4.2037486550773077E-3</v>
      </c>
      <c r="L11" t="s">
        <v>84</v>
      </c>
      <c r="N11" t="s">
        <v>111</v>
      </c>
      <c r="O11" t="s">
        <v>83</v>
      </c>
      <c r="P11">
        <v>4.0922778171950634E-2</v>
      </c>
      <c r="Q11" t="s">
        <v>84</v>
      </c>
      <c r="S11" t="s">
        <v>126</v>
      </c>
      <c r="T11" t="s">
        <v>83</v>
      </c>
      <c r="U11">
        <v>5.3342882258498821E-2</v>
      </c>
      <c r="V11" t="s">
        <v>84</v>
      </c>
      <c r="X11">
        <v>4.714611872146119E-2</v>
      </c>
      <c r="Y11">
        <v>1.861886648600718E-2</v>
      </c>
      <c r="Z11" t="s">
        <v>83</v>
      </c>
      <c r="AA11" t="s">
        <v>239</v>
      </c>
      <c r="AC11" t="s">
        <v>240</v>
      </c>
      <c r="AD11" t="s">
        <v>83</v>
      </c>
      <c r="AE11">
        <v>5.1269050374917899E-2</v>
      </c>
      <c r="AG11" t="s">
        <v>27</v>
      </c>
      <c r="AH11" t="s">
        <v>83</v>
      </c>
      <c r="AI11">
        <v>5.452725543812087E-2</v>
      </c>
      <c r="AK11">
        <v>2020</v>
      </c>
      <c r="AL11" t="s">
        <v>72</v>
      </c>
      <c r="AM11">
        <v>0.4878446094789417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0.24139677978561236</v>
      </c>
      <c r="L12" t="s">
        <v>84</v>
      </c>
      <c r="N12" t="s">
        <v>111</v>
      </c>
      <c r="O12" t="s">
        <v>85</v>
      </c>
      <c r="P12">
        <v>7.3425396679711902E-2</v>
      </c>
      <c r="Q12" t="s">
        <v>84</v>
      </c>
      <c r="S12" t="s">
        <v>126</v>
      </c>
      <c r="T12" t="s">
        <v>85</v>
      </c>
      <c r="U12">
        <v>9.823981665897881E-2</v>
      </c>
      <c r="V12" t="s">
        <v>84</v>
      </c>
      <c r="X12">
        <v>8.0821917808219179E-2</v>
      </c>
      <c r="Y12">
        <v>0.11760004640794239</v>
      </c>
      <c r="Z12" t="s">
        <v>85</v>
      </c>
      <c r="AA12" t="s">
        <v>239</v>
      </c>
      <c r="AC12" t="s">
        <v>240</v>
      </c>
      <c r="AD12" t="s">
        <v>85</v>
      </c>
      <c r="AE12">
        <v>6.6219521980456122E-2</v>
      </c>
      <c r="AG12" t="s">
        <v>27</v>
      </c>
      <c r="AH12" t="s">
        <v>85</v>
      </c>
      <c r="AI12">
        <v>0.22109836193195953</v>
      </c>
      <c r="AK12">
        <v>2020</v>
      </c>
      <c r="AL12" t="s">
        <v>76</v>
      </c>
      <c r="AM12">
        <v>0.46480915955091706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1.3078310619717442E-2</v>
      </c>
      <c r="L13" t="s">
        <v>84</v>
      </c>
      <c r="N13" t="s">
        <v>111</v>
      </c>
      <c r="O13" t="s">
        <v>86</v>
      </c>
      <c r="P13">
        <v>3.0778153227287088E-2</v>
      </c>
      <c r="Q13" t="s">
        <v>84</v>
      </c>
      <c r="S13" t="s">
        <v>126</v>
      </c>
      <c r="T13" t="s">
        <v>86</v>
      </c>
      <c r="U13">
        <v>4.0723396661898406E-2</v>
      </c>
      <c r="V13" t="s">
        <v>84</v>
      </c>
      <c r="X13">
        <v>3.3675799086757989E-2</v>
      </c>
      <c r="Y13">
        <v>2.5424922722488794E-2</v>
      </c>
      <c r="Z13" t="s">
        <v>86</v>
      </c>
      <c r="AA13" t="s">
        <v>239</v>
      </c>
      <c r="AC13" t="s">
        <v>240</v>
      </c>
      <c r="AD13" t="s">
        <v>86</v>
      </c>
      <c r="AE13">
        <v>3.5683015976026591E-2</v>
      </c>
      <c r="AG13" t="s">
        <v>27</v>
      </c>
      <c r="AH13" t="s">
        <v>86</v>
      </c>
      <c r="AI13">
        <v>7.4409022887609089E-2</v>
      </c>
      <c r="AK13">
        <v>2020</v>
      </c>
      <c r="AL13" t="s">
        <v>78</v>
      </c>
      <c r="AM13">
        <v>0.50477348197343441</v>
      </c>
      <c r="AN13" t="s">
        <v>168</v>
      </c>
    </row>
    <row r="14" spans="1:40" x14ac:dyDescent="0.45">
      <c r="C14" t="s">
        <v>80</v>
      </c>
      <c r="I14" t="s">
        <v>82</v>
      </c>
      <c r="J14" t="s">
        <v>87</v>
      </c>
      <c r="K14">
        <v>0</v>
      </c>
      <c r="L14" t="s">
        <v>84</v>
      </c>
      <c r="N14" t="s">
        <v>111</v>
      </c>
      <c r="O14" t="s">
        <v>87</v>
      </c>
      <c r="P14">
        <v>8.5836599519152221E-2</v>
      </c>
      <c r="Q14" t="s">
        <v>84</v>
      </c>
      <c r="S14" t="s">
        <v>126</v>
      </c>
      <c r="T14" t="s">
        <v>87</v>
      </c>
      <c r="U14">
        <v>0.10466018910062169</v>
      </c>
      <c r="V14" t="s">
        <v>84</v>
      </c>
      <c r="X14">
        <v>9.7488584474885842E-2</v>
      </c>
      <c r="Y14">
        <v>3.8500029004964E-2</v>
      </c>
      <c r="Z14" t="s">
        <v>87</v>
      </c>
      <c r="AA14" t="s">
        <v>239</v>
      </c>
      <c r="AC14" t="s">
        <v>240</v>
      </c>
      <c r="AD14" t="s">
        <v>87</v>
      </c>
      <c r="AE14">
        <v>0.11053902287303083</v>
      </c>
      <c r="AG14" t="s">
        <v>27</v>
      </c>
      <c r="AH14" t="s">
        <v>87</v>
      </c>
      <c r="AI14">
        <v>0.1921271497160566</v>
      </c>
      <c r="AK14">
        <v>2020</v>
      </c>
      <c r="AL14" t="s">
        <v>80</v>
      </c>
      <c r="AM14">
        <v>0.50868549704828159</v>
      </c>
      <c r="AN14" t="s">
        <v>168</v>
      </c>
    </row>
    <row r="15" spans="1:40" x14ac:dyDescent="0.45">
      <c r="I15" t="s">
        <v>82</v>
      </c>
      <c r="J15" t="s">
        <v>88</v>
      </c>
      <c r="K15">
        <v>0.22616150677463684</v>
      </c>
      <c r="L15" t="s">
        <v>84</v>
      </c>
      <c r="N15" t="s">
        <v>111</v>
      </c>
      <c r="O15" t="s">
        <v>88</v>
      </c>
      <c r="P15">
        <v>0.15028546342410048</v>
      </c>
      <c r="Q15" t="s">
        <v>84</v>
      </c>
      <c r="S15" t="s">
        <v>126</v>
      </c>
      <c r="T15" t="s">
        <v>88</v>
      </c>
      <c r="U15">
        <v>0.18218936946075817</v>
      </c>
      <c r="V15" t="s">
        <v>84</v>
      </c>
      <c r="X15">
        <v>0.16712328767123288</v>
      </c>
      <c r="Y15">
        <v>0.24317297731811821</v>
      </c>
      <c r="Z15" t="s">
        <v>88</v>
      </c>
      <c r="AA15" t="s">
        <v>239</v>
      </c>
      <c r="AC15" t="s">
        <v>240</v>
      </c>
      <c r="AD15" t="s">
        <v>88</v>
      </c>
      <c r="AE15">
        <v>0.14560007669642536</v>
      </c>
      <c r="AG15" t="s">
        <v>27</v>
      </c>
      <c r="AH15" t="s">
        <v>88</v>
      </c>
      <c r="AI15">
        <v>0.40616617172020231</v>
      </c>
      <c r="AK15">
        <v>2021</v>
      </c>
      <c r="AL15" t="s">
        <v>72</v>
      </c>
      <c r="AM15">
        <v>0.44433726111412303</v>
      </c>
      <c r="AN15" t="s">
        <v>168</v>
      </c>
    </row>
    <row r="16" spans="1:40" x14ac:dyDescent="0.45">
      <c r="I16" t="s">
        <v>82</v>
      </c>
      <c r="J16" t="s">
        <v>89</v>
      </c>
      <c r="K16">
        <v>1.3351280726390463E-3</v>
      </c>
      <c r="L16" t="s">
        <v>84</v>
      </c>
      <c r="N16" t="s">
        <v>111</v>
      </c>
      <c r="O16" t="s">
        <v>89</v>
      </c>
      <c r="P16">
        <v>6.145850412997076E-2</v>
      </c>
      <c r="Q16" t="s">
        <v>84</v>
      </c>
      <c r="S16" t="s">
        <v>126</v>
      </c>
      <c r="T16" t="s">
        <v>89</v>
      </c>
      <c r="U16">
        <v>7.3206054602531892E-2</v>
      </c>
      <c r="V16" t="s">
        <v>84</v>
      </c>
      <c r="X16">
        <v>6.9634703196347028E-2</v>
      </c>
      <c r="Y16">
        <v>5.2573569019383606E-2</v>
      </c>
      <c r="Z16" t="s">
        <v>89</v>
      </c>
      <c r="AA16" t="s">
        <v>239</v>
      </c>
      <c r="AC16" t="s">
        <v>240</v>
      </c>
      <c r="AD16" t="s">
        <v>89</v>
      </c>
      <c r="AE16">
        <v>7.6736712648168795E-2</v>
      </c>
      <c r="AG16" t="s">
        <v>27</v>
      </c>
      <c r="AH16" t="s">
        <v>89</v>
      </c>
      <c r="AI16">
        <v>0.24372056682869747</v>
      </c>
      <c r="AK16">
        <v>2021</v>
      </c>
      <c r="AL16" t="s">
        <v>76</v>
      </c>
      <c r="AM16">
        <v>0.43701326296647686</v>
      </c>
      <c r="AN16" t="s">
        <v>168</v>
      </c>
    </row>
    <row r="17" spans="9:40" x14ac:dyDescent="0.45">
      <c r="I17" t="s">
        <v>82</v>
      </c>
      <c r="J17" t="s">
        <v>90</v>
      </c>
      <c r="K17">
        <v>2.0006380832013108E-3</v>
      </c>
      <c r="L17" t="s">
        <v>84</v>
      </c>
      <c r="N17" t="s">
        <v>111</v>
      </c>
      <c r="O17" t="s">
        <v>90</v>
      </c>
      <c r="P17">
        <v>0.11288553880687854</v>
      </c>
      <c r="Q17" t="s">
        <v>84</v>
      </c>
      <c r="S17" t="s">
        <v>126</v>
      </c>
      <c r="T17" t="s">
        <v>90</v>
      </c>
      <c r="U17">
        <v>9.6729598280484635E-2</v>
      </c>
      <c r="V17" t="s">
        <v>84</v>
      </c>
      <c r="X17">
        <v>9.8287671232876711E-2</v>
      </c>
      <c r="Y17">
        <v>3.8815603013201416E-2</v>
      </c>
      <c r="Z17" t="s">
        <v>90</v>
      </c>
      <c r="AA17" t="s">
        <v>239</v>
      </c>
      <c r="AC17" t="s">
        <v>240</v>
      </c>
      <c r="AD17" t="s">
        <v>90</v>
      </c>
      <c r="AE17">
        <v>0.11766171478855797</v>
      </c>
      <c r="AG17" t="s">
        <v>27</v>
      </c>
      <c r="AH17" t="s">
        <v>90</v>
      </c>
      <c r="AI17">
        <v>0.17707708393690025</v>
      </c>
      <c r="AK17">
        <v>2021</v>
      </c>
      <c r="AL17" t="s">
        <v>78</v>
      </c>
      <c r="AM17">
        <v>0.54368773719165087</v>
      </c>
      <c r="AN17" t="s">
        <v>168</v>
      </c>
    </row>
    <row r="18" spans="9:40" x14ac:dyDescent="0.45">
      <c r="I18" t="s">
        <v>82</v>
      </c>
      <c r="J18" t="s">
        <v>91</v>
      </c>
      <c r="K18">
        <v>0.26960405908335022</v>
      </c>
      <c r="L18" t="s">
        <v>84</v>
      </c>
      <c r="N18" t="s">
        <v>111</v>
      </c>
      <c r="O18" t="s">
        <v>91</v>
      </c>
      <c r="P18">
        <v>0.20217890881487788</v>
      </c>
      <c r="Q18" t="s">
        <v>84</v>
      </c>
      <c r="S18" t="s">
        <v>126</v>
      </c>
      <c r="T18" t="s">
        <v>91</v>
      </c>
      <c r="U18">
        <v>0.16993672338855254</v>
      </c>
      <c r="V18" t="s">
        <v>84</v>
      </c>
      <c r="X18">
        <v>0.16849315068493151</v>
      </c>
      <c r="Y18">
        <v>0.24516619844367657</v>
      </c>
      <c r="Z18" t="s">
        <v>91</v>
      </c>
      <c r="AA18" t="s">
        <v>239</v>
      </c>
      <c r="AC18" t="s">
        <v>240</v>
      </c>
      <c r="AD18" t="s">
        <v>91</v>
      </c>
      <c r="AE18">
        <v>0.15617529836235275</v>
      </c>
      <c r="AG18" t="s">
        <v>27</v>
      </c>
      <c r="AH18" t="s">
        <v>91</v>
      </c>
      <c r="AI18">
        <v>0.3907388851872009</v>
      </c>
      <c r="AK18">
        <v>2021</v>
      </c>
      <c r="AL18" t="s">
        <v>80</v>
      </c>
      <c r="AM18">
        <v>0.52120394528779257</v>
      </c>
      <c r="AN18" t="s">
        <v>168</v>
      </c>
    </row>
    <row r="19" spans="9:40" x14ac:dyDescent="0.45">
      <c r="I19" t="s">
        <v>82</v>
      </c>
      <c r="J19" t="s">
        <v>92</v>
      </c>
      <c r="K19">
        <v>8.9412695927761153E-4</v>
      </c>
      <c r="L19" t="s">
        <v>84</v>
      </c>
      <c r="N19" t="s">
        <v>111</v>
      </c>
      <c r="O19" t="s">
        <v>92</v>
      </c>
      <c r="P19">
        <v>8.331622241541202E-2</v>
      </c>
      <c r="Q19" t="s">
        <v>84</v>
      </c>
      <c r="S19" t="s">
        <v>126</v>
      </c>
      <c r="T19" t="s">
        <v>92</v>
      </c>
      <c r="U19">
        <v>6.7504191777036315E-2</v>
      </c>
      <c r="V19" t="s">
        <v>84</v>
      </c>
      <c r="X19">
        <v>7.0205479452054798E-2</v>
      </c>
      <c r="Y19">
        <v>5.3004499912985108E-2</v>
      </c>
      <c r="Z19" t="s">
        <v>92</v>
      </c>
      <c r="AA19" t="s">
        <v>239</v>
      </c>
      <c r="AC19" t="s">
        <v>240</v>
      </c>
      <c r="AD19" t="s">
        <v>92</v>
      </c>
      <c r="AE19">
        <v>8.2539770616859437E-2</v>
      </c>
      <c r="AG19" t="s">
        <v>27</v>
      </c>
      <c r="AH19" t="s">
        <v>92</v>
      </c>
      <c r="AI19">
        <v>0.2392671431300557</v>
      </c>
      <c r="AK19">
        <v>2022</v>
      </c>
      <c r="AL19" t="s">
        <v>72</v>
      </c>
      <c r="AM19">
        <v>0.44973300826464163</v>
      </c>
      <c r="AN19" t="s">
        <v>168</v>
      </c>
    </row>
    <row r="20" spans="9:40" x14ac:dyDescent="0.45">
      <c r="I20" t="s">
        <v>82</v>
      </c>
      <c r="J20" t="s">
        <v>93</v>
      </c>
      <c r="K20">
        <v>7.4078848212524922E-3</v>
      </c>
      <c r="L20" t="s">
        <v>84</v>
      </c>
      <c r="N20" t="s">
        <v>111</v>
      </c>
      <c r="O20" t="s">
        <v>93</v>
      </c>
      <c r="P20">
        <v>4.2008123891141565E-2</v>
      </c>
      <c r="Q20" t="s">
        <v>84</v>
      </c>
      <c r="S20" t="s">
        <v>126</v>
      </c>
      <c r="T20" t="s">
        <v>93</v>
      </c>
      <c r="U20">
        <v>3.336468105807603E-2</v>
      </c>
      <c r="V20" t="s">
        <v>84</v>
      </c>
      <c r="X20">
        <v>4.8744292237442921E-2</v>
      </c>
      <c r="Y20">
        <v>1.9250014502482003E-2</v>
      </c>
      <c r="Z20" t="s">
        <v>93</v>
      </c>
      <c r="AA20" t="s">
        <v>239</v>
      </c>
      <c r="AC20" t="s">
        <v>240</v>
      </c>
      <c r="AD20" t="s">
        <v>93</v>
      </c>
      <c r="AE20">
        <v>5.2561570545679032E-2</v>
      </c>
      <c r="AG20" t="s">
        <v>27</v>
      </c>
      <c r="AH20" t="s">
        <v>93</v>
      </c>
      <c r="AI20">
        <v>7.8199338361619963E-2</v>
      </c>
      <c r="AK20">
        <v>2022</v>
      </c>
      <c r="AL20" t="s">
        <v>76</v>
      </c>
      <c r="AM20">
        <v>0.44696381695189058</v>
      </c>
      <c r="AN20" t="s">
        <v>168</v>
      </c>
    </row>
    <row r="21" spans="9:40" x14ac:dyDescent="0.45">
      <c r="I21" t="s">
        <v>82</v>
      </c>
      <c r="J21" t="s">
        <v>94</v>
      </c>
      <c r="K21">
        <v>0.22504026309844902</v>
      </c>
      <c r="L21" t="s">
        <v>84</v>
      </c>
      <c r="N21" t="s">
        <v>111</v>
      </c>
      <c r="O21" t="s">
        <v>94</v>
      </c>
      <c r="P21">
        <v>8.3817938056707342E-2</v>
      </c>
      <c r="Q21" t="s">
        <v>84</v>
      </c>
      <c r="S21" t="s">
        <v>126</v>
      </c>
      <c r="T21" t="s">
        <v>94</v>
      </c>
      <c r="U21">
        <v>5.6240401638559027E-2</v>
      </c>
      <c r="V21" t="s">
        <v>84</v>
      </c>
      <c r="X21">
        <v>8.3561643835616442E-2</v>
      </c>
      <c r="Y21">
        <v>0.12158648865905911</v>
      </c>
      <c r="Z21" t="s">
        <v>94</v>
      </c>
      <c r="AA21" t="s">
        <v>239</v>
      </c>
      <c r="AC21" t="s">
        <v>240</v>
      </c>
      <c r="AD21" t="s">
        <v>94</v>
      </c>
      <c r="AE21">
        <v>6.8361801241992912E-2</v>
      </c>
      <c r="AG21" t="s">
        <v>27</v>
      </c>
      <c r="AH21" t="s">
        <v>94</v>
      </c>
      <c r="AI21">
        <v>0.25207431415992221</v>
      </c>
      <c r="AK21">
        <v>2022</v>
      </c>
      <c r="AL21" t="s">
        <v>78</v>
      </c>
      <c r="AM21">
        <v>0.56796311020243329</v>
      </c>
      <c r="AN21" t="s">
        <v>168</v>
      </c>
    </row>
    <row r="22" spans="9:40" x14ac:dyDescent="0.45">
      <c r="I22" t="s">
        <v>82</v>
      </c>
      <c r="J22" t="s">
        <v>95</v>
      </c>
      <c r="K22">
        <v>8.8775540467846258E-3</v>
      </c>
      <c r="L22" t="s">
        <v>84</v>
      </c>
      <c r="N22" t="s">
        <v>111</v>
      </c>
      <c r="O22" t="s">
        <v>95</v>
      </c>
      <c r="P22">
        <v>3.3086372862809667E-2</v>
      </c>
      <c r="Q22" t="s">
        <v>84</v>
      </c>
      <c r="S22" t="s">
        <v>126</v>
      </c>
      <c r="T22" t="s">
        <v>95</v>
      </c>
      <c r="U22">
        <v>2.3862695114008129E-2</v>
      </c>
      <c r="V22" t="s">
        <v>84</v>
      </c>
      <c r="X22">
        <v>3.4817351598173514E-2</v>
      </c>
      <c r="Y22">
        <v>2.6286784509691803E-2</v>
      </c>
      <c r="Z22" t="s">
        <v>95</v>
      </c>
      <c r="AA22" t="s">
        <v>239</v>
      </c>
      <c r="AC22" t="s">
        <v>240</v>
      </c>
      <c r="AD22" t="s">
        <v>95</v>
      </c>
      <c r="AE22">
        <v>3.6652443895532287E-2</v>
      </c>
      <c r="AG22" t="s">
        <v>27</v>
      </c>
      <c r="AH22" t="s">
        <v>95</v>
      </c>
      <c r="AI22">
        <v>0.10188180178320994</v>
      </c>
      <c r="AK22">
        <v>2022</v>
      </c>
      <c r="AL22" t="s">
        <v>80</v>
      </c>
      <c r="AM22">
        <v>0.55699902821949621</v>
      </c>
      <c r="AN22" t="s">
        <v>168</v>
      </c>
    </row>
    <row r="23" spans="9:40" x14ac:dyDescent="0.45">
      <c r="I23" t="s">
        <v>96</v>
      </c>
      <c r="J23" t="s">
        <v>83</v>
      </c>
      <c r="K23">
        <v>1.1308122088744156E-2</v>
      </c>
      <c r="L23" t="s">
        <v>84</v>
      </c>
      <c r="N23" t="s">
        <v>112</v>
      </c>
      <c r="O23" t="s">
        <v>83</v>
      </c>
      <c r="P23">
        <v>3.7134461224149859E-2</v>
      </c>
      <c r="Q23" t="s">
        <v>84</v>
      </c>
      <c r="S23" t="s">
        <v>127</v>
      </c>
      <c r="T23" t="s">
        <v>83</v>
      </c>
      <c r="U23">
        <v>5.2206153285661083E-2</v>
      </c>
      <c r="V23" t="s">
        <v>84</v>
      </c>
      <c r="AC23" t="s">
        <v>240</v>
      </c>
      <c r="AD23" t="s">
        <v>83</v>
      </c>
      <c r="AE23">
        <v>4.7550272122805215E-2</v>
      </c>
      <c r="AK23">
        <v>2025</v>
      </c>
      <c r="AL23" t="s">
        <v>72</v>
      </c>
      <c r="AM23">
        <v>0.49024999999999996</v>
      </c>
      <c r="AN23" t="s">
        <v>168</v>
      </c>
    </row>
    <row r="24" spans="9:40" x14ac:dyDescent="0.45">
      <c r="I24" t="s">
        <v>96</v>
      </c>
      <c r="J24" t="s">
        <v>85</v>
      </c>
      <c r="K24">
        <v>0.22375060560331159</v>
      </c>
      <c r="L24" t="s">
        <v>84</v>
      </c>
      <c r="N24" t="s">
        <v>112</v>
      </c>
      <c r="O24" t="s">
        <v>85</v>
      </c>
      <c r="P24">
        <v>7.1483002335481771E-2</v>
      </c>
      <c r="Q24" t="s">
        <v>84</v>
      </c>
      <c r="S24" t="s">
        <v>127</v>
      </c>
      <c r="T24" t="s">
        <v>85</v>
      </c>
      <c r="U24">
        <v>9.0359016273561965E-2</v>
      </c>
      <c r="V24" t="s">
        <v>84</v>
      </c>
      <c r="AC24" t="s">
        <v>240</v>
      </c>
      <c r="AD24" t="s">
        <v>85</v>
      </c>
      <c r="AE24">
        <v>8.0136731610690293E-2</v>
      </c>
      <c r="AK24">
        <v>2025</v>
      </c>
      <c r="AL24" t="s">
        <v>76</v>
      </c>
      <c r="AM24">
        <v>0.50009999999999999</v>
      </c>
      <c r="AN24" t="s">
        <v>168</v>
      </c>
    </row>
    <row r="25" spans="9:40" x14ac:dyDescent="0.45">
      <c r="I25" t="s">
        <v>96</v>
      </c>
      <c r="J25" t="s">
        <v>86</v>
      </c>
      <c r="K25">
        <v>2.9512368234676047E-3</v>
      </c>
      <c r="L25" t="s">
        <v>84</v>
      </c>
      <c r="N25" t="s">
        <v>112</v>
      </c>
      <c r="O25" t="s">
        <v>86</v>
      </c>
      <c r="P25">
        <v>2.8680979616683127E-2</v>
      </c>
      <c r="Q25" t="s">
        <v>84</v>
      </c>
      <c r="S25" t="s">
        <v>127</v>
      </c>
      <c r="T25" t="s">
        <v>86</v>
      </c>
      <c r="U25">
        <v>3.7253480861582658E-2</v>
      </c>
      <c r="V25" t="s">
        <v>84</v>
      </c>
      <c r="AC25" t="s">
        <v>240</v>
      </c>
      <c r="AD25" t="s">
        <v>86</v>
      </c>
      <c r="AE25">
        <v>3.3904849236109168E-2</v>
      </c>
      <c r="AK25">
        <v>2025</v>
      </c>
      <c r="AL25" t="s">
        <v>78</v>
      </c>
      <c r="AM25">
        <v>0.52497500000000008</v>
      </c>
      <c r="AN25" t="s">
        <v>168</v>
      </c>
    </row>
    <row r="26" spans="9:40" x14ac:dyDescent="0.45">
      <c r="I26" t="s">
        <v>96</v>
      </c>
      <c r="J26" t="s">
        <v>87</v>
      </c>
      <c r="K26">
        <v>1.9474199826339808E-3</v>
      </c>
      <c r="L26" t="s">
        <v>84</v>
      </c>
      <c r="N26" t="s">
        <v>112</v>
      </c>
      <c r="O26" t="s">
        <v>87</v>
      </c>
      <c r="P26">
        <v>8.1662307088687228E-2</v>
      </c>
      <c r="Q26" t="s">
        <v>84</v>
      </c>
      <c r="S26" t="s">
        <v>127</v>
      </c>
      <c r="T26" t="s">
        <v>87</v>
      </c>
      <c r="U26">
        <v>9.4885371192809848E-2</v>
      </c>
      <c r="V26" t="s">
        <v>84</v>
      </c>
      <c r="AC26" t="s">
        <v>240</v>
      </c>
      <c r="AD26" t="s">
        <v>87</v>
      </c>
      <c r="AE26">
        <v>9.8341437150523681E-2</v>
      </c>
      <c r="AK26">
        <v>2025</v>
      </c>
      <c r="AL26" t="s">
        <v>80</v>
      </c>
      <c r="AM26">
        <v>0.50445000000000007</v>
      </c>
      <c r="AN26" t="s">
        <v>168</v>
      </c>
    </row>
    <row r="27" spans="9:40" x14ac:dyDescent="0.45">
      <c r="I27" t="s">
        <v>96</v>
      </c>
      <c r="J27" t="s">
        <v>88</v>
      </c>
      <c r="K27">
        <v>0.23431609746404117</v>
      </c>
      <c r="L27" t="s">
        <v>84</v>
      </c>
      <c r="N27" t="s">
        <v>112</v>
      </c>
      <c r="O27" t="s">
        <v>88</v>
      </c>
      <c r="P27">
        <v>0.1481055900374251</v>
      </c>
      <c r="Q27" t="s">
        <v>84</v>
      </c>
      <c r="S27" t="s">
        <v>127</v>
      </c>
      <c r="T27" t="s">
        <v>88</v>
      </c>
      <c r="U27">
        <v>0.16199640786102601</v>
      </c>
      <c r="V27" t="s">
        <v>84</v>
      </c>
      <c r="AC27" t="s">
        <v>240</v>
      </c>
      <c r="AD27" t="s">
        <v>88</v>
      </c>
      <c r="AE27">
        <v>0.16579399755684993</v>
      </c>
      <c r="AK27">
        <v>2026</v>
      </c>
      <c r="AL27" t="s">
        <v>72</v>
      </c>
      <c r="AM27">
        <v>0.48140000000000005</v>
      </c>
      <c r="AN27" t="s">
        <v>168</v>
      </c>
    </row>
    <row r="28" spans="9:40" x14ac:dyDescent="0.45">
      <c r="I28" t="s">
        <v>96</v>
      </c>
      <c r="J28" t="s">
        <v>89</v>
      </c>
      <c r="K28">
        <v>0</v>
      </c>
      <c r="L28" t="s">
        <v>84</v>
      </c>
      <c r="N28" t="s">
        <v>112</v>
      </c>
      <c r="O28" t="s">
        <v>89</v>
      </c>
      <c r="P28">
        <v>5.8215562853059719E-2</v>
      </c>
      <c r="Q28" t="s">
        <v>84</v>
      </c>
      <c r="S28" t="s">
        <v>127</v>
      </c>
      <c r="T28" t="s">
        <v>89</v>
      </c>
      <c r="U28">
        <v>6.8333220694973246E-2</v>
      </c>
      <c r="V28" t="s">
        <v>84</v>
      </c>
      <c r="AC28" t="s">
        <v>240</v>
      </c>
      <c r="AD28" t="s">
        <v>89</v>
      </c>
      <c r="AE28">
        <v>7.0102730128055041E-2</v>
      </c>
      <c r="AK28">
        <v>2026</v>
      </c>
      <c r="AL28" t="s">
        <v>76</v>
      </c>
      <c r="AM28">
        <v>0.46382499999999993</v>
      </c>
      <c r="AN28" t="s">
        <v>168</v>
      </c>
    </row>
    <row r="29" spans="9:40" x14ac:dyDescent="0.45">
      <c r="I29" t="s">
        <v>96</v>
      </c>
      <c r="J29" t="s">
        <v>90</v>
      </c>
      <c r="K29">
        <v>7.3032456763559815E-3</v>
      </c>
      <c r="L29" t="s">
        <v>84</v>
      </c>
      <c r="N29" t="s">
        <v>112</v>
      </c>
      <c r="O29" t="s">
        <v>90</v>
      </c>
      <c r="P29">
        <v>0.11966952682396008</v>
      </c>
      <c r="Q29" t="s">
        <v>84</v>
      </c>
      <c r="S29" t="s">
        <v>127</v>
      </c>
      <c r="T29" t="s">
        <v>90</v>
      </c>
      <c r="U29">
        <v>0.10906383713927155</v>
      </c>
      <c r="V29" t="s">
        <v>84</v>
      </c>
      <c r="AC29" t="s">
        <v>240</v>
      </c>
      <c r="AD29" t="s">
        <v>90</v>
      </c>
      <c r="AE29">
        <v>9.9194735023698993E-2</v>
      </c>
      <c r="AK29">
        <v>2026</v>
      </c>
      <c r="AL29" t="s">
        <v>78</v>
      </c>
      <c r="AM29">
        <v>0.54475000000000007</v>
      </c>
      <c r="AN29" t="s">
        <v>168</v>
      </c>
    </row>
    <row r="30" spans="9:40" x14ac:dyDescent="0.45">
      <c r="I30" t="s">
        <v>96</v>
      </c>
      <c r="J30" t="s">
        <v>91</v>
      </c>
      <c r="K30">
        <v>0.26904568330694267</v>
      </c>
      <c r="L30" t="s">
        <v>84</v>
      </c>
      <c r="N30" t="s">
        <v>112</v>
      </c>
      <c r="O30" t="s">
        <v>91</v>
      </c>
      <c r="P30">
        <v>0.21907675527410855</v>
      </c>
      <c r="Q30" t="s">
        <v>84</v>
      </c>
      <c r="S30" t="s">
        <v>127</v>
      </c>
      <c r="T30" t="s">
        <v>91</v>
      </c>
      <c r="U30">
        <v>0.18767513602644409</v>
      </c>
      <c r="V30" t="s">
        <v>84</v>
      </c>
      <c r="AC30" t="s">
        <v>240</v>
      </c>
      <c r="AD30" t="s">
        <v>91</v>
      </c>
      <c r="AE30">
        <v>0.16715281686369726</v>
      </c>
      <c r="AK30">
        <v>2026</v>
      </c>
      <c r="AL30" t="s">
        <v>80</v>
      </c>
      <c r="AM30">
        <v>0.53075000000000006</v>
      </c>
      <c r="AN30" t="s">
        <v>168</v>
      </c>
    </row>
    <row r="31" spans="9:40" x14ac:dyDescent="0.45">
      <c r="I31" t="s">
        <v>96</v>
      </c>
      <c r="J31" t="s">
        <v>92</v>
      </c>
      <c r="K31">
        <v>0</v>
      </c>
      <c r="L31" t="s">
        <v>84</v>
      </c>
      <c r="N31" t="s">
        <v>112</v>
      </c>
      <c r="O31" t="s">
        <v>92</v>
      </c>
      <c r="P31">
        <v>8.9563654457321951E-2</v>
      </c>
      <c r="Q31" t="s">
        <v>84</v>
      </c>
      <c r="S31" t="s">
        <v>127</v>
      </c>
      <c r="T31" t="s">
        <v>92</v>
      </c>
      <c r="U31">
        <v>8.0075766566654008E-2</v>
      </c>
      <c r="V31" t="s">
        <v>84</v>
      </c>
      <c r="AC31" t="s">
        <v>240</v>
      </c>
      <c r="AD31" t="s">
        <v>92</v>
      </c>
      <c r="AE31">
        <v>7.0757722473281812E-2</v>
      </c>
      <c r="AK31">
        <v>2027</v>
      </c>
      <c r="AL31" t="s">
        <v>72</v>
      </c>
      <c r="AM31">
        <v>0.48399999999999999</v>
      </c>
      <c r="AN31" t="s">
        <v>168</v>
      </c>
    </row>
    <row r="32" spans="9:40" x14ac:dyDescent="0.45">
      <c r="I32" t="s">
        <v>96</v>
      </c>
      <c r="J32" t="s">
        <v>93</v>
      </c>
      <c r="K32">
        <v>2.0455698100443696E-2</v>
      </c>
      <c r="L32" t="s">
        <v>84</v>
      </c>
      <c r="N32" t="s">
        <v>112</v>
      </c>
      <c r="O32" t="s">
        <v>93</v>
      </c>
      <c r="P32">
        <v>3.8940275456274077E-2</v>
      </c>
      <c r="Q32" t="s">
        <v>84</v>
      </c>
      <c r="S32" t="s">
        <v>127</v>
      </c>
      <c r="T32" t="s">
        <v>93</v>
      </c>
      <c r="U32">
        <v>3.5353436442136656E-2</v>
      </c>
      <c r="V32" t="s">
        <v>84</v>
      </c>
      <c r="AC32" t="s">
        <v>240</v>
      </c>
      <c r="AD32" t="s">
        <v>93</v>
      </c>
      <c r="AE32">
        <v>4.9147027247065968E-2</v>
      </c>
      <c r="AK32">
        <v>2027</v>
      </c>
      <c r="AL32" t="s">
        <v>76</v>
      </c>
      <c r="AM32">
        <v>0.46107500000000001</v>
      </c>
      <c r="AN32" t="s">
        <v>168</v>
      </c>
    </row>
    <row r="33" spans="9:40" x14ac:dyDescent="0.45">
      <c r="I33" t="s">
        <v>96</v>
      </c>
      <c r="J33" t="s">
        <v>94</v>
      </c>
      <c r="K33">
        <v>0.2278399838764518</v>
      </c>
      <c r="L33" t="s">
        <v>84</v>
      </c>
      <c r="N33" t="s">
        <v>112</v>
      </c>
      <c r="O33" t="s">
        <v>94</v>
      </c>
      <c r="P33">
        <v>7.7871236246681463E-2</v>
      </c>
      <c r="Q33" t="s">
        <v>84</v>
      </c>
      <c r="S33" t="s">
        <v>127</v>
      </c>
      <c r="T33" t="s">
        <v>94</v>
      </c>
      <c r="U33">
        <v>5.7648939032421478E-2</v>
      </c>
      <c r="V33" t="s">
        <v>84</v>
      </c>
      <c r="AC33" t="s">
        <v>240</v>
      </c>
      <c r="AD33" t="s">
        <v>94</v>
      </c>
      <c r="AE33">
        <v>8.2869354151694316E-2</v>
      </c>
      <c r="AK33">
        <v>2027</v>
      </c>
      <c r="AL33" t="s">
        <v>78</v>
      </c>
      <c r="AM33">
        <v>0.53592499999999998</v>
      </c>
      <c r="AN33" t="s">
        <v>168</v>
      </c>
    </row>
    <row r="34" spans="9:40" x14ac:dyDescent="0.45">
      <c r="I34" t="s">
        <v>96</v>
      </c>
      <c r="J34" t="s">
        <v>95</v>
      </c>
      <c r="K34">
        <v>1.0819070776113837E-3</v>
      </c>
      <c r="L34" t="s">
        <v>84</v>
      </c>
      <c r="N34" t="s">
        <v>112</v>
      </c>
      <c r="O34" t="s">
        <v>95</v>
      </c>
      <c r="P34">
        <v>2.9596648586167736E-2</v>
      </c>
      <c r="Q34" t="s">
        <v>84</v>
      </c>
      <c r="S34" t="s">
        <v>127</v>
      </c>
      <c r="T34" t="s">
        <v>95</v>
      </c>
      <c r="U34">
        <v>2.5149234623461438E-2</v>
      </c>
      <c r="V34" t="s">
        <v>84</v>
      </c>
      <c r="AC34" t="s">
        <v>240</v>
      </c>
      <c r="AD34" t="s">
        <v>95</v>
      </c>
      <c r="AE34">
        <v>3.504832643552843E-2</v>
      </c>
      <c r="AK34">
        <v>2027</v>
      </c>
      <c r="AL34" t="s">
        <v>80</v>
      </c>
      <c r="AM34">
        <v>0.52049999999999996</v>
      </c>
      <c r="AN34" t="s">
        <v>168</v>
      </c>
    </row>
    <row r="35" spans="9:40" x14ac:dyDescent="0.45">
      <c r="I35" t="s">
        <v>97</v>
      </c>
      <c r="J35" t="s">
        <v>83</v>
      </c>
      <c r="K35">
        <v>1.4063770924486548E-2</v>
      </c>
      <c r="L35" t="s">
        <v>84</v>
      </c>
      <c r="N35" t="s">
        <v>113</v>
      </c>
      <c r="O35" t="s">
        <v>83</v>
      </c>
      <c r="P35">
        <v>4.2963910101555557E-2</v>
      </c>
      <c r="Q35" t="s">
        <v>84</v>
      </c>
      <c r="S35" t="s">
        <v>128</v>
      </c>
      <c r="T35" t="s">
        <v>83</v>
      </c>
      <c r="U35">
        <v>4.6947065196822686E-2</v>
      </c>
      <c r="V35" t="s">
        <v>84</v>
      </c>
      <c r="AK35">
        <v>2028</v>
      </c>
      <c r="AL35" t="s">
        <v>72</v>
      </c>
      <c r="AM35">
        <v>0.45965</v>
      </c>
      <c r="AN35" t="s">
        <v>168</v>
      </c>
    </row>
    <row r="36" spans="9:40" x14ac:dyDescent="0.45">
      <c r="I36" t="s">
        <v>97</v>
      </c>
      <c r="J36" t="s">
        <v>85</v>
      </c>
      <c r="K36">
        <v>0.23506079074475802</v>
      </c>
      <c r="L36" t="s">
        <v>84</v>
      </c>
      <c r="N36" t="s">
        <v>113</v>
      </c>
      <c r="O36" t="s">
        <v>85</v>
      </c>
      <c r="P36">
        <v>8.4005759925798396E-2</v>
      </c>
      <c r="Q36" t="s">
        <v>84</v>
      </c>
      <c r="S36" t="s">
        <v>128</v>
      </c>
      <c r="T36" t="s">
        <v>85</v>
      </c>
      <c r="U36">
        <v>8.3361253976885347E-2</v>
      </c>
      <c r="V36" t="s">
        <v>84</v>
      </c>
      <c r="AK36">
        <v>2028</v>
      </c>
      <c r="AL36" t="s">
        <v>76</v>
      </c>
      <c r="AM36">
        <v>0.46597500000000003</v>
      </c>
      <c r="AN36" t="s">
        <v>168</v>
      </c>
    </row>
    <row r="37" spans="9:40" x14ac:dyDescent="0.45">
      <c r="I37" t="s">
        <v>97</v>
      </c>
      <c r="J37" t="s">
        <v>86</v>
      </c>
      <c r="K37">
        <v>1.9026290578419258E-3</v>
      </c>
      <c r="L37" t="s">
        <v>84</v>
      </c>
      <c r="N37" t="s">
        <v>113</v>
      </c>
      <c r="O37" t="s">
        <v>86</v>
      </c>
      <c r="P37">
        <v>3.4061508129517672E-2</v>
      </c>
      <c r="Q37" t="s">
        <v>84</v>
      </c>
      <c r="S37" t="s">
        <v>128</v>
      </c>
      <c r="T37" t="s">
        <v>86</v>
      </c>
      <c r="U37">
        <v>3.4629437048420933E-2</v>
      </c>
      <c r="V37" t="s">
        <v>84</v>
      </c>
      <c r="AK37">
        <v>2028</v>
      </c>
      <c r="AL37" t="s">
        <v>78</v>
      </c>
      <c r="AM37">
        <v>0.53034999999999999</v>
      </c>
      <c r="AN37" t="s">
        <v>168</v>
      </c>
    </row>
    <row r="38" spans="9:40" x14ac:dyDescent="0.45">
      <c r="I38" t="s">
        <v>97</v>
      </c>
      <c r="J38" t="s">
        <v>87</v>
      </c>
      <c r="K38">
        <v>3.3306356076633933E-3</v>
      </c>
      <c r="L38" t="s">
        <v>84</v>
      </c>
      <c r="N38" t="s">
        <v>113</v>
      </c>
      <c r="O38" t="s">
        <v>87</v>
      </c>
      <c r="P38">
        <v>9.0615516184805678E-2</v>
      </c>
      <c r="Q38" t="s">
        <v>84</v>
      </c>
      <c r="S38" t="s">
        <v>128</v>
      </c>
      <c r="T38" t="s">
        <v>87</v>
      </c>
      <c r="U38">
        <v>9.9803038212084291E-2</v>
      </c>
      <c r="V38" t="s">
        <v>84</v>
      </c>
      <c r="AK38">
        <v>2028</v>
      </c>
      <c r="AL38" t="s">
        <v>80</v>
      </c>
      <c r="AM38">
        <v>0.46905000000000002</v>
      </c>
      <c r="AN38" t="s">
        <v>168</v>
      </c>
    </row>
    <row r="39" spans="9:40" x14ac:dyDescent="0.45">
      <c r="I39" t="s">
        <v>97</v>
      </c>
      <c r="J39" t="s">
        <v>88</v>
      </c>
      <c r="K39">
        <v>0.22950505958457498</v>
      </c>
      <c r="L39" t="s">
        <v>84</v>
      </c>
      <c r="N39" t="s">
        <v>113</v>
      </c>
      <c r="O39" t="s">
        <v>88</v>
      </c>
      <c r="P39">
        <v>0.15772224325963233</v>
      </c>
      <c r="Q39" t="s">
        <v>84</v>
      </c>
      <c r="S39" t="s">
        <v>128</v>
      </c>
      <c r="T39" t="s">
        <v>88</v>
      </c>
      <c r="U39">
        <v>0.17470291772967844</v>
      </c>
      <c r="V39" t="s">
        <v>84</v>
      </c>
      <c r="AK39">
        <v>2029</v>
      </c>
      <c r="AL39" t="s">
        <v>72</v>
      </c>
      <c r="AM39">
        <v>0.51889999999999992</v>
      </c>
      <c r="AN39" t="s">
        <v>168</v>
      </c>
    </row>
    <row r="40" spans="9:40" x14ac:dyDescent="0.45">
      <c r="I40" t="s">
        <v>97</v>
      </c>
      <c r="J40" t="s">
        <v>89</v>
      </c>
      <c r="K40">
        <v>0</v>
      </c>
      <c r="L40" t="s">
        <v>84</v>
      </c>
      <c r="N40" t="s">
        <v>113</v>
      </c>
      <c r="O40" t="s">
        <v>89</v>
      </c>
      <c r="P40">
        <v>6.6245407844779905E-2</v>
      </c>
      <c r="Q40" t="s">
        <v>84</v>
      </c>
      <c r="S40" t="s">
        <v>128</v>
      </c>
      <c r="T40" t="s">
        <v>89</v>
      </c>
      <c r="U40">
        <v>6.9309937600515278E-2</v>
      </c>
      <c r="V40" t="s">
        <v>84</v>
      </c>
      <c r="AK40">
        <v>2029</v>
      </c>
      <c r="AL40" t="s">
        <v>76</v>
      </c>
      <c r="AM40">
        <v>0.53262500000000002</v>
      </c>
      <c r="AN40" t="s">
        <v>168</v>
      </c>
    </row>
    <row r="41" spans="9:40" x14ac:dyDescent="0.45">
      <c r="I41" t="s">
        <v>97</v>
      </c>
      <c r="J41" t="s">
        <v>90</v>
      </c>
      <c r="K41">
        <v>8.3831445718891614E-3</v>
      </c>
      <c r="L41" t="s">
        <v>84</v>
      </c>
      <c r="N41" t="s">
        <v>113</v>
      </c>
      <c r="O41" t="s">
        <v>90</v>
      </c>
      <c r="P41">
        <v>0.11248248465246166</v>
      </c>
      <c r="Q41" t="s">
        <v>84</v>
      </c>
      <c r="S41" t="s">
        <v>128</v>
      </c>
      <c r="T41" t="s">
        <v>90</v>
      </c>
      <c r="U41">
        <v>0.10850049579732191</v>
      </c>
      <c r="V41" t="s">
        <v>84</v>
      </c>
      <c r="AK41">
        <v>2029</v>
      </c>
      <c r="AL41" t="s">
        <v>78</v>
      </c>
      <c r="AM41">
        <v>0.61409999999999998</v>
      </c>
      <c r="AN41" t="s">
        <v>168</v>
      </c>
    </row>
    <row r="42" spans="9:40" x14ac:dyDescent="0.45">
      <c r="I42" t="s">
        <v>97</v>
      </c>
      <c r="J42" t="s">
        <v>91</v>
      </c>
      <c r="K42">
        <v>0.25764150933655233</v>
      </c>
      <c r="L42" t="s">
        <v>84</v>
      </c>
      <c r="N42" t="s">
        <v>113</v>
      </c>
      <c r="O42" t="s">
        <v>91</v>
      </c>
      <c r="P42">
        <v>0.2004350930205096</v>
      </c>
      <c r="Q42" t="s">
        <v>84</v>
      </c>
      <c r="S42" t="s">
        <v>128</v>
      </c>
      <c r="T42" t="s">
        <v>91</v>
      </c>
      <c r="U42">
        <v>0.18812944238381307</v>
      </c>
      <c r="V42" t="s">
        <v>84</v>
      </c>
      <c r="AK42">
        <v>2029</v>
      </c>
      <c r="AL42" t="s">
        <v>80</v>
      </c>
      <c r="AM42">
        <v>0.54269999999999996</v>
      </c>
      <c r="AN42" t="s">
        <v>168</v>
      </c>
    </row>
    <row r="43" spans="9:40" x14ac:dyDescent="0.45">
      <c r="I43" t="s">
        <v>97</v>
      </c>
      <c r="J43" t="s">
        <v>92</v>
      </c>
      <c r="K43">
        <v>0</v>
      </c>
      <c r="L43" t="s">
        <v>84</v>
      </c>
      <c r="N43" t="s">
        <v>113</v>
      </c>
      <c r="O43" t="s">
        <v>92</v>
      </c>
      <c r="P43">
        <v>8.0810531478761743E-2</v>
      </c>
      <c r="Q43" t="s">
        <v>84</v>
      </c>
      <c r="S43" t="s">
        <v>128</v>
      </c>
      <c r="T43" t="s">
        <v>92</v>
      </c>
      <c r="U43">
        <v>7.7708807447807324E-2</v>
      </c>
      <c r="V43" t="s">
        <v>84</v>
      </c>
      <c r="AK43">
        <v>2030</v>
      </c>
      <c r="AL43" t="s">
        <v>72</v>
      </c>
      <c r="AM43">
        <v>0.56955</v>
      </c>
      <c r="AN43" t="s">
        <v>168</v>
      </c>
    </row>
    <row r="44" spans="9:40" x14ac:dyDescent="0.45">
      <c r="I44" t="s">
        <v>97</v>
      </c>
      <c r="J44" t="s">
        <v>93</v>
      </c>
      <c r="K44">
        <v>2.1021324354044881E-2</v>
      </c>
      <c r="L44" t="s">
        <v>84</v>
      </c>
      <c r="N44" t="s">
        <v>113</v>
      </c>
      <c r="O44" t="s">
        <v>93</v>
      </c>
      <c r="P44">
        <v>3.5454886916611895E-2</v>
      </c>
      <c r="Q44" t="s">
        <v>84</v>
      </c>
      <c r="S44" t="s">
        <v>128</v>
      </c>
      <c r="T44" t="s">
        <v>93</v>
      </c>
      <c r="U44">
        <v>3.4690647384655243E-2</v>
      </c>
      <c r="V44" t="s">
        <v>84</v>
      </c>
      <c r="AK44">
        <v>2030</v>
      </c>
      <c r="AL44" t="s">
        <v>76</v>
      </c>
      <c r="AM44">
        <v>0.53359999999999996</v>
      </c>
      <c r="AN44" t="s">
        <v>168</v>
      </c>
    </row>
    <row r="45" spans="9:40" x14ac:dyDescent="0.45">
      <c r="I45" t="s">
        <v>97</v>
      </c>
      <c r="J45" t="s">
        <v>94</v>
      </c>
      <c r="K45">
        <v>0.22841549039041706</v>
      </c>
      <c r="L45" t="s">
        <v>84</v>
      </c>
      <c r="N45" t="s">
        <v>113</v>
      </c>
      <c r="O45" t="s">
        <v>94</v>
      </c>
      <c r="P45">
        <v>6.8101655923478582E-2</v>
      </c>
      <c r="Q45" t="s">
        <v>84</v>
      </c>
      <c r="S45" t="s">
        <v>128</v>
      </c>
      <c r="T45" t="s">
        <v>94</v>
      </c>
      <c r="U45">
        <v>5.9006008583623981E-2</v>
      </c>
      <c r="V45" t="s">
        <v>84</v>
      </c>
      <c r="AK45">
        <v>2030</v>
      </c>
      <c r="AL45" t="s">
        <v>78</v>
      </c>
      <c r="AM45">
        <v>0.57909999999999995</v>
      </c>
      <c r="AN45" t="s">
        <v>168</v>
      </c>
    </row>
    <row r="46" spans="9:40" x14ac:dyDescent="0.45">
      <c r="I46" t="s">
        <v>97</v>
      </c>
      <c r="J46" t="s">
        <v>95</v>
      </c>
      <c r="K46">
        <v>6.7564542777169686E-4</v>
      </c>
      <c r="L46" t="s">
        <v>84</v>
      </c>
      <c r="N46" t="s">
        <v>113</v>
      </c>
      <c r="O46" t="s">
        <v>95</v>
      </c>
      <c r="P46">
        <v>2.7101002562088475E-2</v>
      </c>
      <c r="Q46" t="s">
        <v>84</v>
      </c>
      <c r="S46" t="s">
        <v>128</v>
      </c>
      <c r="T46" t="s">
        <v>95</v>
      </c>
      <c r="U46">
        <v>2.3210948638372208E-2</v>
      </c>
      <c r="V46" t="s">
        <v>84</v>
      </c>
      <c r="AK46">
        <v>2030</v>
      </c>
      <c r="AL46" t="s">
        <v>80</v>
      </c>
      <c r="AM46">
        <v>0.58745000000000003</v>
      </c>
      <c r="AN46" t="s">
        <v>168</v>
      </c>
    </row>
    <row r="47" spans="9:40" x14ac:dyDescent="0.45">
      <c r="I47" t="s">
        <v>98</v>
      </c>
      <c r="J47" t="s">
        <v>83</v>
      </c>
      <c r="K47">
        <v>1.7048389484935179E-2</v>
      </c>
      <c r="L47" t="s">
        <v>84</v>
      </c>
      <c r="N47" t="s">
        <v>114</v>
      </c>
      <c r="O47" t="s">
        <v>83</v>
      </c>
      <c r="P47">
        <v>2.5453040503302615E-2</v>
      </c>
      <c r="Q47" t="s">
        <v>84</v>
      </c>
      <c r="S47" t="s">
        <v>129</v>
      </c>
      <c r="T47" t="s">
        <v>83</v>
      </c>
      <c r="U47">
        <v>4.5712274921099923E-2</v>
      </c>
      <c r="V47" t="s">
        <v>84</v>
      </c>
      <c r="AK47">
        <v>2031</v>
      </c>
      <c r="AL47" t="s">
        <v>72</v>
      </c>
      <c r="AM47">
        <v>0.53454999999999997</v>
      </c>
      <c r="AN47" t="s">
        <v>168</v>
      </c>
    </row>
    <row r="48" spans="9:40" x14ac:dyDescent="0.45">
      <c r="I48" t="s">
        <v>98</v>
      </c>
      <c r="J48" t="s">
        <v>85</v>
      </c>
      <c r="K48">
        <v>0.24953058676963419</v>
      </c>
      <c r="L48" t="s">
        <v>84</v>
      </c>
      <c r="N48" t="s">
        <v>114</v>
      </c>
      <c r="O48" t="s">
        <v>85</v>
      </c>
      <c r="P48">
        <v>7.0049049606156086E-2</v>
      </c>
      <c r="Q48" t="s">
        <v>84</v>
      </c>
      <c r="S48" t="s">
        <v>129</v>
      </c>
      <c r="T48" t="s">
        <v>85</v>
      </c>
      <c r="U48">
        <v>8.29749353517924E-2</v>
      </c>
      <c r="V48" t="s">
        <v>84</v>
      </c>
      <c r="AK48">
        <v>2031</v>
      </c>
      <c r="AL48" t="s">
        <v>76</v>
      </c>
      <c r="AM48">
        <v>0.55725000000000002</v>
      </c>
      <c r="AN48" t="s">
        <v>168</v>
      </c>
    </row>
    <row r="49" spans="9:40" x14ac:dyDescent="0.45">
      <c r="I49" t="s">
        <v>98</v>
      </c>
      <c r="J49" t="s">
        <v>86</v>
      </c>
      <c r="K49">
        <v>4.789644708291815E-3</v>
      </c>
      <c r="L49" t="s">
        <v>84</v>
      </c>
      <c r="N49" t="s">
        <v>114</v>
      </c>
      <c r="O49" t="s">
        <v>86</v>
      </c>
      <c r="P49">
        <v>2.7437649780070027E-2</v>
      </c>
      <c r="Q49" t="s">
        <v>84</v>
      </c>
      <c r="S49" t="s">
        <v>129</v>
      </c>
      <c r="T49" t="s">
        <v>86</v>
      </c>
      <c r="U49">
        <v>3.6476482461837649E-2</v>
      </c>
      <c r="V49" t="s">
        <v>84</v>
      </c>
      <c r="AK49">
        <v>2031</v>
      </c>
      <c r="AL49" t="s">
        <v>78</v>
      </c>
      <c r="AM49">
        <v>0.63395000000000001</v>
      </c>
      <c r="AN49" t="s">
        <v>168</v>
      </c>
    </row>
    <row r="50" spans="9:40" x14ac:dyDescent="0.45">
      <c r="I50" t="s">
        <v>98</v>
      </c>
      <c r="J50" t="s">
        <v>87</v>
      </c>
      <c r="K50">
        <v>2.6151972276476352E-3</v>
      </c>
      <c r="L50" t="s">
        <v>84</v>
      </c>
      <c r="N50" t="s">
        <v>114</v>
      </c>
      <c r="O50" t="s">
        <v>87</v>
      </c>
      <c r="P50">
        <v>7.8271873294247091E-2</v>
      </c>
      <c r="Q50" t="s">
        <v>84</v>
      </c>
      <c r="S50" t="s">
        <v>129</v>
      </c>
      <c r="T50" t="s">
        <v>87</v>
      </c>
      <c r="U50">
        <v>9.4876291922855904E-2</v>
      </c>
      <c r="V50" t="s">
        <v>84</v>
      </c>
      <c r="AK50">
        <v>2031</v>
      </c>
      <c r="AL50" t="s">
        <v>80</v>
      </c>
      <c r="AM50">
        <v>0.55754999999999999</v>
      </c>
      <c r="AN50" t="s">
        <v>168</v>
      </c>
    </row>
    <row r="51" spans="9:40" x14ac:dyDescent="0.45">
      <c r="I51" t="s">
        <v>98</v>
      </c>
      <c r="J51" t="s">
        <v>88</v>
      </c>
      <c r="K51">
        <v>0.21152503317016913</v>
      </c>
      <c r="L51" t="s">
        <v>84</v>
      </c>
      <c r="N51" t="s">
        <v>114</v>
      </c>
      <c r="O51" t="s">
        <v>88</v>
      </c>
      <c r="P51">
        <v>0.15070047072062981</v>
      </c>
      <c r="Q51" t="s">
        <v>84</v>
      </c>
      <c r="S51" t="s">
        <v>129</v>
      </c>
      <c r="T51" t="s">
        <v>88</v>
      </c>
      <c r="U51">
        <v>0.16427791549948692</v>
      </c>
      <c r="V51" t="s">
        <v>84</v>
      </c>
      <c r="AK51">
        <v>2032</v>
      </c>
      <c r="AL51" t="s">
        <v>72</v>
      </c>
      <c r="AM51">
        <v>0.53584999999999994</v>
      </c>
      <c r="AN51" t="s">
        <v>168</v>
      </c>
    </row>
    <row r="52" spans="9:40" x14ac:dyDescent="0.45">
      <c r="I52" t="s">
        <v>98</v>
      </c>
      <c r="J52" t="s">
        <v>89</v>
      </c>
      <c r="K52">
        <v>0</v>
      </c>
      <c r="L52" t="s">
        <v>84</v>
      </c>
      <c r="N52" t="s">
        <v>114</v>
      </c>
      <c r="O52" t="s">
        <v>89</v>
      </c>
      <c r="P52">
        <v>5.8673366543569055E-2</v>
      </c>
      <c r="Q52" t="s">
        <v>84</v>
      </c>
      <c r="S52" t="s">
        <v>129</v>
      </c>
      <c r="T52" t="s">
        <v>89</v>
      </c>
      <c r="U52">
        <v>7.2043315193110899E-2</v>
      </c>
      <c r="V52" t="s">
        <v>84</v>
      </c>
      <c r="AK52">
        <v>2032</v>
      </c>
      <c r="AL52" t="s">
        <v>76</v>
      </c>
      <c r="AM52">
        <v>0.52934999999999999</v>
      </c>
      <c r="AN52" t="s">
        <v>168</v>
      </c>
    </row>
    <row r="53" spans="9:40" x14ac:dyDescent="0.45">
      <c r="I53" t="s">
        <v>98</v>
      </c>
      <c r="J53" t="s">
        <v>90</v>
      </c>
      <c r="K53">
        <v>8.0461832859563473E-3</v>
      </c>
      <c r="L53" t="s">
        <v>84</v>
      </c>
      <c r="N53" t="s">
        <v>114</v>
      </c>
      <c r="O53" t="s">
        <v>90</v>
      </c>
      <c r="P53">
        <v>0.1161938409481582</v>
      </c>
      <c r="Q53" t="s">
        <v>84</v>
      </c>
      <c r="S53" t="s">
        <v>129</v>
      </c>
      <c r="T53" t="s">
        <v>90</v>
      </c>
      <c r="U53">
        <v>0.10303359809781554</v>
      </c>
      <c r="V53" t="s">
        <v>84</v>
      </c>
      <c r="AK53">
        <v>2032</v>
      </c>
      <c r="AL53" t="s">
        <v>78</v>
      </c>
      <c r="AM53">
        <v>0.62592500000000006</v>
      </c>
      <c r="AN53" t="s">
        <v>168</v>
      </c>
    </row>
    <row r="54" spans="9:40" x14ac:dyDescent="0.45">
      <c r="I54" t="s">
        <v>98</v>
      </c>
      <c r="J54" t="s">
        <v>91</v>
      </c>
      <c r="K54">
        <v>0.25579527100807803</v>
      </c>
      <c r="L54" t="s">
        <v>84</v>
      </c>
      <c r="N54" t="s">
        <v>114</v>
      </c>
      <c r="O54" t="s">
        <v>91</v>
      </c>
      <c r="P54">
        <v>0.24668713119861796</v>
      </c>
      <c r="Q54" t="s">
        <v>84</v>
      </c>
      <c r="S54" t="s">
        <v>129</v>
      </c>
      <c r="T54" t="s">
        <v>91</v>
      </c>
      <c r="U54">
        <v>0.17488481723211971</v>
      </c>
      <c r="V54" t="s">
        <v>84</v>
      </c>
      <c r="AK54">
        <v>2032</v>
      </c>
      <c r="AL54" t="s">
        <v>80</v>
      </c>
      <c r="AM54">
        <v>0.59775</v>
      </c>
      <c r="AN54" t="s">
        <v>168</v>
      </c>
    </row>
    <row r="55" spans="9:40" x14ac:dyDescent="0.45">
      <c r="I55" t="s">
        <v>98</v>
      </c>
      <c r="J55" t="s">
        <v>92</v>
      </c>
      <c r="K55">
        <v>0</v>
      </c>
      <c r="L55" t="s">
        <v>84</v>
      </c>
      <c r="N55" t="s">
        <v>114</v>
      </c>
      <c r="O55" t="s">
        <v>92</v>
      </c>
      <c r="P55">
        <v>8.4434862890154311E-2</v>
      </c>
      <c r="Q55" t="s">
        <v>84</v>
      </c>
      <c r="S55" t="s">
        <v>129</v>
      </c>
      <c r="T55" t="s">
        <v>92</v>
      </c>
      <c r="U55">
        <v>7.4039694701107606E-2</v>
      </c>
      <c r="V55" t="s">
        <v>84</v>
      </c>
      <c r="AK55">
        <v>2033</v>
      </c>
      <c r="AL55" t="s">
        <v>72</v>
      </c>
      <c r="AM55">
        <v>0.60250000000000004</v>
      </c>
      <c r="AN55" t="s">
        <v>168</v>
      </c>
    </row>
    <row r="56" spans="9:40" x14ac:dyDescent="0.45">
      <c r="I56" t="s">
        <v>98</v>
      </c>
      <c r="J56" t="s">
        <v>93</v>
      </c>
      <c r="K56">
        <v>2.1511440921896056E-2</v>
      </c>
      <c r="L56" t="s">
        <v>84</v>
      </c>
      <c r="N56" t="s">
        <v>114</v>
      </c>
      <c r="O56" t="s">
        <v>93</v>
      </c>
      <c r="P56">
        <v>3.2008533477595517E-2</v>
      </c>
      <c r="Q56" t="s">
        <v>84</v>
      </c>
      <c r="S56" t="s">
        <v>129</v>
      </c>
      <c r="T56" t="s">
        <v>93</v>
      </c>
      <c r="U56">
        <v>4.3593567701215946E-2</v>
      </c>
      <c r="V56" t="s">
        <v>84</v>
      </c>
      <c r="AK56">
        <v>2033</v>
      </c>
      <c r="AL56" t="s">
        <v>76</v>
      </c>
      <c r="AM56">
        <v>0.57300000000000006</v>
      </c>
      <c r="AN56" t="s">
        <v>168</v>
      </c>
    </row>
    <row r="57" spans="9:40" x14ac:dyDescent="0.45">
      <c r="I57" t="s">
        <v>98</v>
      </c>
      <c r="J57" t="s">
        <v>94</v>
      </c>
      <c r="K57">
        <v>0.22617395041654098</v>
      </c>
      <c r="L57" t="s">
        <v>84</v>
      </c>
      <c r="N57" t="s">
        <v>114</v>
      </c>
      <c r="O57" t="s">
        <v>94</v>
      </c>
      <c r="P57">
        <v>8.3679739509819356E-2</v>
      </c>
      <c r="Q57" t="s">
        <v>84</v>
      </c>
      <c r="S57" t="s">
        <v>129</v>
      </c>
      <c r="T57" t="s">
        <v>94</v>
      </c>
      <c r="U57">
        <v>7.5202360464966575E-2</v>
      </c>
      <c r="V57" t="s">
        <v>84</v>
      </c>
      <c r="AK57">
        <v>2033</v>
      </c>
      <c r="AL57" t="s">
        <v>78</v>
      </c>
      <c r="AM57">
        <v>0.63832500000000003</v>
      </c>
      <c r="AN57" t="s">
        <v>168</v>
      </c>
    </row>
    <row r="58" spans="9:40" x14ac:dyDescent="0.45">
      <c r="I58" t="s">
        <v>98</v>
      </c>
      <c r="J58" t="s">
        <v>95</v>
      </c>
      <c r="K58">
        <v>2.9643030068524376E-3</v>
      </c>
      <c r="L58" t="s">
        <v>84</v>
      </c>
      <c r="N58" t="s">
        <v>114</v>
      </c>
      <c r="O58" t="s">
        <v>95</v>
      </c>
      <c r="P58">
        <v>2.641044152768016E-2</v>
      </c>
      <c r="Q58" t="s">
        <v>84</v>
      </c>
      <c r="S58" t="s">
        <v>129</v>
      </c>
      <c r="T58" t="s">
        <v>95</v>
      </c>
      <c r="U58">
        <v>3.2884746452590041E-2</v>
      </c>
      <c r="V58" t="s">
        <v>84</v>
      </c>
      <c r="AK58">
        <v>2033</v>
      </c>
      <c r="AL58" t="s">
        <v>80</v>
      </c>
      <c r="AM58">
        <v>0.56835000000000002</v>
      </c>
      <c r="AN58" t="s">
        <v>168</v>
      </c>
    </row>
    <row r="59" spans="9:40" x14ac:dyDescent="0.45">
      <c r="I59" t="s">
        <v>99</v>
      </c>
      <c r="J59" t="s">
        <v>83</v>
      </c>
      <c r="K59">
        <v>1.4871442674368712E-2</v>
      </c>
      <c r="L59" t="s">
        <v>84</v>
      </c>
      <c r="N59" t="s">
        <v>115</v>
      </c>
      <c r="O59" t="s">
        <v>83</v>
      </c>
      <c r="P59">
        <v>3.6206606048083484E-2</v>
      </c>
      <c r="Q59" t="s">
        <v>84</v>
      </c>
      <c r="S59" t="s">
        <v>130</v>
      </c>
      <c r="T59" t="s">
        <v>83</v>
      </c>
      <c r="U59">
        <v>3.5559173783111062E-2</v>
      </c>
      <c r="V59" t="s">
        <v>84</v>
      </c>
      <c r="AK59">
        <v>2034</v>
      </c>
      <c r="AL59" t="s">
        <v>72</v>
      </c>
      <c r="AM59">
        <v>0.50095000000000001</v>
      </c>
      <c r="AN59" t="s">
        <v>168</v>
      </c>
    </row>
    <row r="60" spans="9:40" x14ac:dyDescent="0.45">
      <c r="I60" t="s">
        <v>99</v>
      </c>
      <c r="J60" t="s">
        <v>85</v>
      </c>
      <c r="K60">
        <v>0.25295711330352222</v>
      </c>
      <c r="L60" t="s">
        <v>84</v>
      </c>
      <c r="N60" t="s">
        <v>115</v>
      </c>
      <c r="O60" t="s">
        <v>85</v>
      </c>
      <c r="P60">
        <v>7.5930480008260262E-2</v>
      </c>
      <c r="Q60" t="s">
        <v>84</v>
      </c>
      <c r="S60" t="s">
        <v>130</v>
      </c>
      <c r="T60" t="s">
        <v>85</v>
      </c>
      <c r="U60">
        <v>7.5930950311250647E-2</v>
      </c>
      <c r="V60" t="s">
        <v>84</v>
      </c>
      <c r="AK60">
        <v>2034</v>
      </c>
      <c r="AL60" t="s">
        <v>76</v>
      </c>
      <c r="AM60">
        <v>0.46789999999999998</v>
      </c>
      <c r="AN60" t="s">
        <v>168</v>
      </c>
    </row>
    <row r="61" spans="9:40" x14ac:dyDescent="0.45">
      <c r="I61" t="s">
        <v>99</v>
      </c>
      <c r="J61" t="s">
        <v>86</v>
      </c>
      <c r="K61">
        <v>3.7121104351803933E-3</v>
      </c>
      <c r="L61" t="s">
        <v>84</v>
      </c>
      <c r="N61" t="s">
        <v>115</v>
      </c>
      <c r="O61" t="s">
        <v>86</v>
      </c>
      <c r="P61">
        <v>3.1086873434052576E-2</v>
      </c>
      <c r="Q61" t="s">
        <v>84</v>
      </c>
      <c r="S61" t="s">
        <v>130</v>
      </c>
      <c r="T61" t="s">
        <v>86</v>
      </c>
      <c r="U61">
        <v>3.4150808651182703E-2</v>
      </c>
      <c r="V61" t="s">
        <v>84</v>
      </c>
      <c r="AK61">
        <v>2034</v>
      </c>
      <c r="AL61" t="s">
        <v>78</v>
      </c>
      <c r="AM61">
        <v>0.54139999999999999</v>
      </c>
      <c r="AN61" t="s">
        <v>168</v>
      </c>
    </row>
    <row r="62" spans="9:40" x14ac:dyDescent="0.45">
      <c r="I62" t="s">
        <v>99</v>
      </c>
      <c r="J62" t="s">
        <v>87</v>
      </c>
      <c r="K62">
        <v>3.2475431875624706E-3</v>
      </c>
      <c r="L62" t="s">
        <v>84</v>
      </c>
      <c r="N62" t="s">
        <v>115</v>
      </c>
      <c r="O62" t="s">
        <v>87</v>
      </c>
      <c r="P62">
        <v>8.7052346880094569E-2</v>
      </c>
      <c r="Q62" t="s">
        <v>84</v>
      </c>
      <c r="S62" t="s">
        <v>130</v>
      </c>
      <c r="T62" t="s">
        <v>87</v>
      </c>
      <c r="U62">
        <v>8.6504316484741064E-2</v>
      </c>
      <c r="V62" t="s">
        <v>84</v>
      </c>
      <c r="AK62">
        <v>2034</v>
      </c>
      <c r="AL62" t="s">
        <v>80</v>
      </c>
      <c r="AM62">
        <v>0.49629999999999996</v>
      </c>
      <c r="AN62" t="s">
        <v>168</v>
      </c>
    </row>
    <row r="63" spans="9:40" x14ac:dyDescent="0.45">
      <c r="I63" t="s">
        <v>99</v>
      </c>
      <c r="J63" t="s">
        <v>88</v>
      </c>
      <c r="K63">
        <v>0.22586661010112477</v>
      </c>
      <c r="L63" t="s">
        <v>84</v>
      </c>
      <c r="N63" t="s">
        <v>115</v>
      </c>
      <c r="O63" t="s">
        <v>88</v>
      </c>
      <c r="P63">
        <v>0.15609617825404287</v>
      </c>
      <c r="Q63" t="s">
        <v>84</v>
      </c>
      <c r="S63" t="s">
        <v>130</v>
      </c>
      <c r="T63" t="s">
        <v>88</v>
      </c>
      <c r="U63">
        <v>0.15903075661620189</v>
      </c>
      <c r="V63" t="s">
        <v>84</v>
      </c>
      <c r="AK63">
        <v>2035</v>
      </c>
      <c r="AL63" t="s">
        <v>72</v>
      </c>
      <c r="AM63">
        <v>0.53889999999999993</v>
      </c>
      <c r="AN63" t="s">
        <v>168</v>
      </c>
    </row>
    <row r="64" spans="9:40" x14ac:dyDescent="0.45">
      <c r="I64" t="s">
        <v>99</v>
      </c>
      <c r="J64" t="s">
        <v>89</v>
      </c>
      <c r="K64">
        <v>0</v>
      </c>
      <c r="L64" t="s">
        <v>84</v>
      </c>
      <c r="N64" t="s">
        <v>115</v>
      </c>
      <c r="O64" t="s">
        <v>89</v>
      </c>
      <c r="P64">
        <v>6.44895695645121E-2</v>
      </c>
      <c r="Q64" t="s">
        <v>84</v>
      </c>
      <c r="S64" t="s">
        <v>130</v>
      </c>
      <c r="T64" t="s">
        <v>89</v>
      </c>
      <c r="U64">
        <v>6.8339728004497322E-2</v>
      </c>
      <c r="V64" t="s">
        <v>84</v>
      </c>
      <c r="AK64">
        <v>2035</v>
      </c>
      <c r="AL64" t="s">
        <v>76</v>
      </c>
      <c r="AM64">
        <v>0.55682500000000013</v>
      </c>
      <c r="AN64" t="s">
        <v>168</v>
      </c>
    </row>
    <row r="65" spans="9:40" x14ac:dyDescent="0.45">
      <c r="I65" t="s">
        <v>99</v>
      </c>
      <c r="J65" t="s">
        <v>90</v>
      </c>
      <c r="K65">
        <v>6.7722202426088512E-3</v>
      </c>
      <c r="L65" t="s">
        <v>84</v>
      </c>
      <c r="N65" t="s">
        <v>115</v>
      </c>
      <c r="O65" t="s">
        <v>90</v>
      </c>
      <c r="P65">
        <v>0.11782379863410888</v>
      </c>
      <c r="Q65" t="s">
        <v>84</v>
      </c>
      <c r="S65" t="s">
        <v>130</v>
      </c>
      <c r="T65" t="s">
        <v>90</v>
      </c>
      <c r="U65">
        <v>0.12088540700160107</v>
      </c>
      <c r="V65" t="s">
        <v>84</v>
      </c>
      <c r="AK65">
        <v>2035</v>
      </c>
      <c r="AL65" t="s">
        <v>78</v>
      </c>
      <c r="AM65">
        <v>0.62559999999999993</v>
      </c>
      <c r="AN65" t="s">
        <v>168</v>
      </c>
    </row>
    <row r="66" spans="9:40" x14ac:dyDescent="0.45">
      <c r="I66" t="s">
        <v>99</v>
      </c>
      <c r="J66" t="s">
        <v>91</v>
      </c>
      <c r="K66">
        <v>0.24312771278429651</v>
      </c>
      <c r="L66" t="s">
        <v>84</v>
      </c>
      <c r="N66" t="s">
        <v>115</v>
      </c>
      <c r="O66" t="s">
        <v>91</v>
      </c>
      <c r="P66">
        <v>0.21054683671298063</v>
      </c>
      <c r="Q66" t="s">
        <v>84</v>
      </c>
      <c r="S66" t="s">
        <v>130</v>
      </c>
      <c r="T66" t="s">
        <v>91</v>
      </c>
      <c r="U66">
        <v>0.19912438223400822</v>
      </c>
      <c r="V66" t="s">
        <v>84</v>
      </c>
      <c r="AK66">
        <v>2035</v>
      </c>
      <c r="AL66" t="s">
        <v>80</v>
      </c>
      <c r="AM66">
        <v>0.60055000000000003</v>
      </c>
      <c r="AN66" t="s">
        <v>168</v>
      </c>
    </row>
    <row r="67" spans="9:40" x14ac:dyDescent="0.45">
      <c r="I67" t="s">
        <v>99</v>
      </c>
      <c r="J67" t="s">
        <v>92</v>
      </c>
      <c r="K67">
        <v>0</v>
      </c>
      <c r="L67" t="s">
        <v>84</v>
      </c>
      <c r="N67" t="s">
        <v>115</v>
      </c>
      <c r="O67" t="s">
        <v>92</v>
      </c>
      <c r="P67">
        <v>8.3190425168917712E-2</v>
      </c>
      <c r="Q67" t="s">
        <v>84</v>
      </c>
      <c r="S67" t="s">
        <v>130</v>
      </c>
      <c r="T67" t="s">
        <v>92</v>
      </c>
      <c r="U67">
        <v>8.5467052963058815E-2</v>
      </c>
      <c r="V67" t="s">
        <v>84</v>
      </c>
      <c r="AK67">
        <v>2036</v>
      </c>
      <c r="AL67" t="s">
        <v>72</v>
      </c>
      <c r="AM67">
        <v>0.54235</v>
      </c>
      <c r="AN67" t="s">
        <v>168</v>
      </c>
    </row>
    <row r="68" spans="9:40" x14ac:dyDescent="0.45">
      <c r="I68" t="s">
        <v>99</v>
      </c>
      <c r="J68" t="s">
        <v>93</v>
      </c>
      <c r="K68">
        <v>2.0181483623169745E-2</v>
      </c>
      <c r="L68" t="s">
        <v>84</v>
      </c>
      <c r="N68" t="s">
        <v>115</v>
      </c>
      <c r="O68" t="s">
        <v>93</v>
      </c>
      <c r="P68">
        <v>3.7353684265707301E-2</v>
      </c>
      <c r="Q68" t="s">
        <v>84</v>
      </c>
      <c r="S68" t="s">
        <v>130</v>
      </c>
      <c r="T68" t="s">
        <v>93</v>
      </c>
      <c r="U68">
        <v>3.6351630269662552E-2</v>
      </c>
      <c r="V68" t="s">
        <v>84</v>
      </c>
      <c r="AK68">
        <v>2036</v>
      </c>
      <c r="AL68" t="s">
        <v>76</v>
      </c>
      <c r="AM68">
        <v>0.51602499999999996</v>
      </c>
      <c r="AN68" t="s">
        <v>168</v>
      </c>
    </row>
    <row r="69" spans="9:40" x14ac:dyDescent="0.45">
      <c r="I69" t="s">
        <v>99</v>
      </c>
      <c r="J69" t="s">
        <v>94</v>
      </c>
      <c r="K69">
        <v>0.22768626476128839</v>
      </c>
      <c r="L69" t="s">
        <v>84</v>
      </c>
      <c r="N69" t="s">
        <v>115</v>
      </c>
      <c r="O69" t="s">
        <v>94</v>
      </c>
      <c r="P69">
        <v>7.1561354976215977E-2</v>
      </c>
      <c r="Q69" t="s">
        <v>84</v>
      </c>
      <c r="S69" t="s">
        <v>130</v>
      </c>
      <c r="T69" t="s">
        <v>94</v>
      </c>
      <c r="U69">
        <v>6.9128590690695227E-2</v>
      </c>
      <c r="V69" t="s">
        <v>84</v>
      </c>
      <c r="AK69">
        <v>2036</v>
      </c>
      <c r="AL69" t="s">
        <v>78</v>
      </c>
      <c r="AM69">
        <v>0.63585000000000003</v>
      </c>
      <c r="AN69" t="s">
        <v>168</v>
      </c>
    </row>
    <row r="70" spans="9:40" x14ac:dyDescent="0.45">
      <c r="I70" t="s">
        <v>99</v>
      </c>
      <c r="J70" t="s">
        <v>95</v>
      </c>
      <c r="K70">
        <v>1.577498886878863E-3</v>
      </c>
      <c r="L70" t="s">
        <v>84</v>
      </c>
      <c r="N70" t="s">
        <v>115</v>
      </c>
      <c r="O70" t="s">
        <v>95</v>
      </c>
      <c r="P70">
        <v>2.8661846053025002E-2</v>
      </c>
      <c r="Q70" t="s">
        <v>84</v>
      </c>
      <c r="S70" t="s">
        <v>130</v>
      </c>
      <c r="T70" t="s">
        <v>95</v>
      </c>
      <c r="U70">
        <v>2.952720298999149E-2</v>
      </c>
      <c r="V70" t="s">
        <v>84</v>
      </c>
      <c r="AK70">
        <v>2036</v>
      </c>
      <c r="AL70" t="s">
        <v>80</v>
      </c>
      <c r="AM70">
        <v>0.58830000000000005</v>
      </c>
      <c r="AN70" t="s">
        <v>168</v>
      </c>
    </row>
    <row r="71" spans="9:40" x14ac:dyDescent="0.45">
      <c r="I71" t="s">
        <v>100</v>
      </c>
      <c r="J71" t="s">
        <v>83</v>
      </c>
      <c r="K71">
        <v>1.5509330211355124E-2</v>
      </c>
      <c r="L71" t="s">
        <v>84</v>
      </c>
      <c r="N71" t="s">
        <v>116</v>
      </c>
      <c r="O71" t="s">
        <v>83</v>
      </c>
      <c r="P71">
        <v>2.641797497257465E-2</v>
      </c>
      <c r="Q71" t="s">
        <v>84</v>
      </c>
      <c r="S71" t="s">
        <v>131</v>
      </c>
      <c r="T71" t="s">
        <v>83</v>
      </c>
      <c r="U71">
        <v>3.7896609776158989E-2</v>
      </c>
      <c r="V71" t="s">
        <v>84</v>
      </c>
      <c r="AK71">
        <v>2037</v>
      </c>
      <c r="AL71" t="s">
        <v>72</v>
      </c>
      <c r="AM71">
        <v>0.40939999999999999</v>
      </c>
      <c r="AN71" t="s">
        <v>168</v>
      </c>
    </row>
    <row r="72" spans="9:40" x14ac:dyDescent="0.45">
      <c r="I72" t="s">
        <v>100</v>
      </c>
      <c r="J72" t="s">
        <v>85</v>
      </c>
      <c r="K72">
        <v>0.25465769031766672</v>
      </c>
      <c r="L72" t="s">
        <v>84</v>
      </c>
      <c r="N72" t="s">
        <v>116</v>
      </c>
      <c r="O72" t="s">
        <v>85</v>
      </c>
      <c r="P72">
        <v>9.5953787748043265E-2</v>
      </c>
      <c r="Q72" t="s">
        <v>84</v>
      </c>
      <c r="S72" t="s">
        <v>131</v>
      </c>
      <c r="T72" t="s">
        <v>85</v>
      </c>
      <c r="U72">
        <v>6.729088715120031E-2</v>
      </c>
      <c r="V72" t="s">
        <v>84</v>
      </c>
      <c r="AK72">
        <v>2037</v>
      </c>
      <c r="AL72" t="s">
        <v>76</v>
      </c>
      <c r="AM72">
        <v>0.40900000000000003</v>
      </c>
      <c r="AN72" t="s">
        <v>168</v>
      </c>
    </row>
    <row r="73" spans="9:40" x14ac:dyDescent="0.45">
      <c r="I73" t="s">
        <v>100</v>
      </c>
      <c r="J73" t="s">
        <v>86</v>
      </c>
      <c r="K73">
        <v>4.2009910296597602E-3</v>
      </c>
      <c r="L73" t="s">
        <v>84</v>
      </c>
      <c r="N73" t="s">
        <v>116</v>
      </c>
      <c r="O73" t="s">
        <v>86</v>
      </c>
      <c r="P73">
        <v>2.6631400194980989E-2</v>
      </c>
      <c r="Q73" t="s">
        <v>84</v>
      </c>
      <c r="S73" t="s">
        <v>131</v>
      </c>
      <c r="T73" t="s">
        <v>86</v>
      </c>
      <c r="U73">
        <v>3.3661719044951313E-2</v>
      </c>
      <c r="V73" t="s">
        <v>84</v>
      </c>
      <c r="AK73">
        <v>2037</v>
      </c>
      <c r="AL73" t="s">
        <v>78</v>
      </c>
      <c r="AM73">
        <v>0.45892499999999997</v>
      </c>
      <c r="AN73" t="s">
        <v>168</v>
      </c>
    </row>
    <row r="74" spans="9:40" x14ac:dyDescent="0.45">
      <c r="I74" t="s">
        <v>100</v>
      </c>
      <c r="J74" t="s">
        <v>87</v>
      </c>
      <c r="K74">
        <v>3.0487842387893153E-3</v>
      </c>
      <c r="L74" t="s">
        <v>84</v>
      </c>
      <c r="N74" t="s">
        <v>116</v>
      </c>
      <c r="O74" t="s">
        <v>87</v>
      </c>
      <c r="P74">
        <v>7.7585453842366758E-2</v>
      </c>
      <c r="Q74" t="s">
        <v>84</v>
      </c>
      <c r="S74" t="s">
        <v>131</v>
      </c>
      <c r="T74" t="s">
        <v>87</v>
      </c>
      <c r="U74">
        <v>9.5113557102139409E-2</v>
      </c>
      <c r="V74" t="s">
        <v>84</v>
      </c>
      <c r="AK74">
        <v>2037</v>
      </c>
      <c r="AL74" t="s">
        <v>80</v>
      </c>
      <c r="AM74">
        <v>0.44240000000000002</v>
      </c>
      <c r="AN74" t="s">
        <v>168</v>
      </c>
    </row>
    <row r="75" spans="9:40" x14ac:dyDescent="0.45">
      <c r="I75" t="s">
        <v>100</v>
      </c>
      <c r="J75" t="s">
        <v>88</v>
      </c>
      <c r="K75">
        <v>0.22303824291579458</v>
      </c>
      <c r="L75" t="s">
        <v>84</v>
      </c>
      <c r="N75" t="s">
        <v>116</v>
      </c>
      <c r="O75" t="s">
        <v>88</v>
      </c>
      <c r="P75">
        <v>0.14854843199607667</v>
      </c>
      <c r="Q75" t="s">
        <v>84</v>
      </c>
      <c r="S75" t="s">
        <v>131</v>
      </c>
      <c r="T75" t="s">
        <v>88</v>
      </c>
      <c r="U75">
        <v>0.16528314532267369</v>
      </c>
      <c r="V75" t="s">
        <v>84</v>
      </c>
      <c r="AK75">
        <v>2038</v>
      </c>
      <c r="AL75" t="s">
        <v>72</v>
      </c>
      <c r="AM75">
        <v>0.55025000000000002</v>
      </c>
      <c r="AN75" t="s">
        <v>168</v>
      </c>
    </row>
    <row r="76" spans="9:40" x14ac:dyDescent="0.45">
      <c r="I76" t="s">
        <v>100</v>
      </c>
      <c r="J76" t="s">
        <v>89</v>
      </c>
      <c r="K76">
        <v>0</v>
      </c>
      <c r="L76" t="s">
        <v>84</v>
      </c>
      <c r="N76" t="s">
        <v>116</v>
      </c>
      <c r="O76" t="s">
        <v>89</v>
      </c>
      <c r="P76">
        <v>5.1975248290341676E-2</v>
      </c>
      <c r="Q76" t="s">
        <v>84</v>
      </c>
      <c r="S76" t="s">
        <v>131</v>
      </c>
      <c r="T76" t="s">
        <v>89</v>
      </c>
      <c r="U76">
        <v>7.3794000419104125E-2</v>
      </c>
      <c r="V76" t="s">
        <v>84</v>
      </c>
      <c r="AK76">
        <v>2038</v>
      </c>
      <c r="AL76" t="s">
        <v>76</v>
      </c>
      <c r="AM76">
        <v>0.55935000000000001</v>
      </c>
      <c r="AN76" t="s">
        <v>168</v>
      </c>
    </row>
    <row r="77" spans="9:40" x14ac:dyDescent="0.45">
      <c r="I77" t="s">
        <v>100</v>
      </c>
      <c r="J77" t="s">
        <v>90</v>
      </c>
      <c r="K77">
        <v>6.668706595366892E-3</v>
      </c>
      <c r="L77" t="s">
        <v>84</v>
      </c>
      <c r="N77" t="s">
        <v>116</v>
      </c>
      <c r="O77" t="s">
        <v>90</v>
      </c>
      <c r="P77">
        <v>0.11619411738954634</v>
      </c>
      <c r="Q77" t="s">
        <v>84</v>
      </c>
      <c r="S77" t="s">
        <v>131</v>
      </c>
      <c r="T77" t="s">
        <v>90</v>
      </c>
      <c r="U77">
        <v>0.11247445250463925</v>
      </c>
      <c r="V77" t="s">
        <v>84</v>
      </c>
      <c r="AK77">
        <v>2038</v>
      </c>
      <c r="AL77" t="s">
        <v>78</v>
      </c>
      <c r="AM77">
        <v>0.59884999999999999</v>
      </c>
      <c r="AN77" t="s">
        <v>168</v>
      </c>
    </row>
    <row r="78" spans="9:40" x14ac:dyDescent="0.45">
      <c r="I78" t="s">
        <v>100</v>
      </c>
      <c r="J78" t="s">
        <v>91</v>
      </c>
      <c r="K78">
        <v>0.24559867389458054</v>
      </c>
      <c r="L78" t="s">
        <v>84</v>
      </c>
      <c r="N78" t="s">
        <v>116</v>
      </c>
      <c r="O78" t="s">
        <v>91</v>
      </c>
      <c r="P78">
        <v>0.24637847851865385</v>
      </c>
      <c r="Q78" t="s">
        <v>84</v>
      </c>
      <c r="S78" t="s">
        <v>131</v>
      </c>
      <c r="T78" t="s">
        <v>91</v>
      </c>
      <c r="U78">
        <v>0.18002663906185759</v>
      </c>
      <c r="V78" t="s">
        <v>84</v>
      </c>
      <c r="AK78">
        <v>2038</v>
      </c>
      <c r="AL78" t="s">
        <v>80</v>
      </c>
      <c r="AM78">
        <v>0.56969999999999998</v>
      </c>
      <c r="AN78" t="s">
        <v>168</v>
      </c>
    </row>
    <row r="79" spans="9:40" x14ac:dyDescent="0.45">
      <c r="I79" t="s">
        <v>100</v>
      </c>
      <c r="J79" t="s">
        <v>92</v>
      </c>
      <c r="K79">
        <v>0</v>
      </c>
      <c r="L79" t="s">
        <v>84</v>
      </c>
      <c r="N79" t="s">
        <v>116</v>
      </c>
      <c r="O79" t="s">
        <v>92</v>
      </c>
      <c r="P79">
        <v>8.8656106438732507E-2</v>
      </c>
      <c r="Q79" t="s">
        <v>84</v>
      </c>
      <c r="S79" t="s">
        <v>131</v>
      </c>
      <c r="T79" t="s">
        <v>92</v>
      </c>
      <c r="U79">
        <v>7.7320064954060408E-2</v>
      </c>
      <c r="V79" t="s">
        <v>84</v>
      </c>
      <c r="AK79">
        <v>2039</v>
      </c>
      <c r="AL79" t="s">
        <v>72</v>
      </c>
      <c r="AM79">
        <v>0.4027</v>
      </c>
      <c r="AN79" t="s">
        <v>168</v>
      </c>
    </row>
    <row r="80" spans="9:40" x14ac:dyDescent="0.45">
      <c r="I80" t="s">
        <v>100</v>
      </c>
      <c r="J80" t="s">
        <v>93</v>
      </c>
      <c r="K80">
        <v>2.0472599915346838E-2</v>
      </c>
      <c r="L80" t="s">
        <v>84</v>
      </c>
      <c r="N80" t="s">
        <v>116</v>
      </c>
      <c r="O80" t="s">
        <v>93</v>
      </c>
      <c r="P80">
        <v>2.381744400324097E-2</v>
      </c>
      <c r="Q80" t="s">
        <v>84</v>
      </c>
      <c r="S80" t="s">
        <v>131</v>
      </c>
      <c r="T80" t="s">
        <v>93</v>
      </c>
      <c r="U80">
        <v>4.7169294909694494E-2</v>
      </c>
      <c r="V80" t="s">
        <v>84</v>
      </c>
      <c r="AK80">
        <v>2039</v>
      </c>
      <c r="AL80" t="s">
        <v>76</v>
      </c>
      <c r="AM80">
        <v>0.39627499999999999</v>
      </c>
      <c r="AN80" t="s">
        <v>168</v>
      </c>
    </row>
    <row r="81" spans="9:40" x14ac:dyDescent="0.45">
      <c r="I81" t="s">
        <v>100</v>
      </c>
      <c r="J81" t="s">
        <v>94</v>
      </c>
      <c r="K81">
        <v>0.22429728109943736</v>
      </c>
      <c r="L81" t="s">
        <v>84</v>
      </c>
      <c r="N81" t="s">
        <v>116</v>
      </c>
      <c r="O81" t="s">
        <v>94</v>
      </c>
      <c r="P81">
        <v>7.5434437121689721E-2</v>
      </c>
      <c r="Q81" t="s">
        <v>84</v>
      </c>
      <c r="S81" t="s">
        <v>131</v>
      </c>
      <c r="T81" t="s">
        <v>94</v>
      </c>
      <c r="U81">
        <v>7.5029268220859965E-2</v>
      </c>
      <c r="V81" t="s">
        <v>84</v>
      </c>
      <c r="AK81">
        <v>2039</v>
      </c>
      <c r="AL81" t="s">
        <v>78</v>
      </c>
      <c r="AM81">
        <v>0.45092500000000002</v>
      </c>
      <c r="AN81" t="s">
        <v>168</v>
      </c>
    </row>
    <row r="82" spans="9:40" x14ac:dyDescent="0.45">
      <c r="I82" t="s">
        <v>100</v>
      </c>
      <c r="J82" t="s">
        <v>95</v>
      </c>
      <c r="K82">
        <v>2.5076997820017728E-3</v>
      </c>
      <c r="L82" t="s">
        <v>84</v>
      </c>
      <c r="N82" t="s">
        <v>116</v>
      </c>
      <c r="O82" t="s">
        <v>95</v>
      </c>
      <c r="P82">
        <v>2.2407119483753634E-2</v>
      </c>
      <c r="Q82" t="s">
        <v>84</v>
      </c>
      <c r="S82" t="s">
        <v>131</v>
      </c>
      <c r="T82" t="s">
        <v>95</v>
      </c>
      <c r="U82">
        <v>3.4940361532661841E-2</v>
      </c>
      <c r="V82" t="s">
        <v>84</v>
      </c>
      <c r="AK82">
        <v>2039</v>
      </c>
      <c r="AL82" t="s">
        <v>80</v>
      </c>
      <c r="AM82">
        <v>0.40334999999999999</v>
      </c>
      <c r="AN82" t="s">
        <v>168</v>
      </c>
    </row>
    <row r="83" spans="9:40" x14ac:dyDescent="0.45">
      <c r="I83" t="s">
        <v>101</v>
      </c>
      <c r="J83" t="s">
        <v>83</v>
      </c>
      <c r="K83">
        <v>1.2622262079475114E-2</v>
      </c>
      <c r="L83" t="s">
        <v>84</v>
      </c>
      <c r="N83" t="s">
        <v>117</v>
      </c>
      <c r="O83" t="s">
        <v>83</v>
      </c>
      <c r="P83">
        <v>3.4774935667757578E-2</v>
      </c>
      <c r="Q83" t="s">
        <v>84</v>
      </c>
      <c r="S83" t="s">
        <v>132</v>
      </c>
      <c r="T83" t="s">
        <v>83</v>
      </c>
      <c r="U83">
        <v>4.1224448109714228E-2</v>
      </c>
      <c r="V83" t="s">
        <v>84</v>
      </c>
      <c r="AK83">
        <v>2040</v>
      </c>
      <c r="AL83" t="s">
        <v>72</v>
      </c>
      <c r="AM83">
        <v>0.42869999999999997</v>
      </c>
      <c r="AN83" t="s">
        <v>168</v>
      </c>
    </row>
    <row r="84" spans="9:40" x14ac:dyDescent="0.45">
      <c r="I84" t="s">
        <v>101</v>
      </c>
      <c r="J84" t="s">
        <v>85</v>
      </c>
      <c r="K84">
        <v>0.25610214070419152</v>
      </c>
      <c r="L84" t="s">
        <v>84</v>
      </c>
      <c r="N84" t="s">
        <v>117</v>
      </c>
      <c r="O84" t="s">
        <v>85</v>
      </c>
      <c r="P84">
        <v>8.0771054721979291E-2</v>
      </c>
      <c r="Q84" t="s">
        <v>84</v>
      </c>
      <c r="S84" t="s">
        <v>132</v>
      </c>
      <c r="T84" t="s">
        <v>85</v>
      </c>
      <c r="U84">
        <v>6.4953658076820769E-2</v>
      </c>
      <c r="V84" t="s">
        <v>84</v>
      </c>
      <c r="AK84">
        <v>2040</v>
      </c>
      <c r="AL84" t="s">
        <v>76</v>
      </c>
      <c r="AM84">
        <v>0.39759999999999995</v>
      </c>
      <c r="AN84" t="s">
        <v>168</v>
      </c>
    </row>
    <row r="85" spans="9:40" x14ac:dyDescent="0.45">
      <c r="I85" t="s">
        <v>101</v>
      </c>
      <c r="J85" t="s">
        <v>86</v>
      </c>
      <c r="K85">
        <v>9.9482026393761108E-3</v>
      </c>
      <c r="L85" t="s">
        <v>84</v>
      </c>
      <c r="N85" t="s">
        <v>117</v>
      </c>
      <c r="O85" t="s">
        <v>86</v>
      </c>
      <c r="P85">
        <v>2.6152776687662114E-2</v>
      </c>
      <c r="Q85" t="s">
        <v>84</v>
      </c>
      <c r="S85" t="s">
        <v>132</v>
      </c>
      <c r="T85" t="s">
        <v>86</v>
      </c>
      <c r="U85">
        <v>3.6310694826616627E-2</v>
      </c>
      <c r="V85" t="s">
        <v>84</v>
      </c>
      <c r="AK85">
        <v>2040</v>
      </c>
      <c r="AL85" t="s">
        <v>78</v>
      </c>
      <c r="AM85">
        <v>0.45899999999999996</v>
      </c>
      <c r="AN85" t="s">
        <v>168</v>
      </c>
    </row>
    <row r="86" spans="9:40" x14ac:dyDescent="0.45">
      <c r="I86" t="s">
        <v>101</v>
      </c>
      <c r="J86" t="s">
        <v>87</v>
      </c>
      <c r="K86">
        <v>2.6306639430922341E-4</v>
      </c>
      <c r="L86" t="s">
        <v>84</v>
      </c>
      <c r="N86" t="s">
        <v>117</v>
      </c>
      <c r="O86" t="s">
        <v>87</v>
      </c>
      <c r="P86">
        <v>8.5979638967543903E-2</v>
      </c>
      <c r="Q86" t="s">
        <v>84</v>
      </c>
      <c r="S86" t="s">
        <v>132</v>
      </c>
      <c r="T86" t="s">
        <v>87</v>
      </c>
      <c r="U86">
        <v>9.1509089292411791E-2</v>
      </c>
      <c r="V86" t="s">
        <v>84</v>
      </c>
      <c r="AK86">
        <v>2040</v>
      </c>
      <c r="AL86" t="s">
        <v>80</v>
      </c>
      <c r="AM86">
        <v>0.43935000000000002</v>
      </c>
      <c r="AN86" t="s">
        <v>168</v>
      </c>
    </row>
    <row r="87" spans="9:40" x14ac:dyDescent="0.45">
      <c r="I87" t="s">
        <v>101</v>
      </c>
      <c r="J87" t="s">
        <v>88</v>
      </c>
      <c r="K87">
        <v>0.19724316394938496</v>
      </c>
      <c r="L87" t="s">
        <v>84</v>
      </c>
      <c r="N87" t="s">
        <v>117</v>
      </c>
      <c r="O87" t="s">
        <v>88</v>
      </c>
      <c r="P87">
        <v>0.16031871667881928</v>
      </c>
      <c r="Q87" t="s">
        <v>84</v>
      </c>
      <c r="S87" t="s">
        <v>132</v>
      </c>
      <c r="T87" t="s">
        <v>88</v>
      </c>
      <c r="U87">
        <v>0.14494789866639499</v>
      </c>
      <c r="V87" t="s">
        <v>84</v>
      </c>
      <c r="AK87">
        <v>2041</v>
      </c>
      <c r="AL87" t="s">
        <v>72</v>
      </c>
      <c r="AM87">
        <v>0.3967</v>
      </c>
      <c r="AN87" t="s">
        <v>168</v>
      </c>
    </row>
    <row r="88" spans="9:40" x14ac:dyDescent="0.45">
      <c r="I88" t="s">
        <v>101</v>
      </c>
      <c r="J88" t="s">
        <v>89</v>
      </c>
      <c r="K88">
        <v>0</v>
      </c>
      <c r="L88" t="s">
        <v>84</v>
      </c>
      <c r="N88" t="s">
        <v>117</v>
      </c>
      <c r="O88" t="s">
        <v>89</v>
      </c>
      <c r="P88">
        <v>6.3781600674975056E-2</v>
      </c>
      <c r="Q88" t="s">
        <v>84</v>
      </c>
      <c r="S88" t="s">
        <v>132</v>
      </c>
      <c r="T88" t="s">
        <v>89</v>
      </c>
      <c r="U88">
        <v>6.8439438119247464E-2</v>
      </c>
      <c r="V88" t="s">
        <v>84</v>
      </c>
      <c r="AK88">
        <v>2041</v>
      </c>
      <c r="AL88" t="s">
        <v>76</v>
      </c>
      <c r="AM88">
        <v>0.41679999999999995</v>
      </c>
      <c r="AN88" t="s">
        <v>168</v>
      </c>
    </row>
    <row r="89" spans="9:40" x14ac:dyDescent="0.45">
      <c r="I89" t="s">
        <v>101</v>
      </c>
      <c r="J89" t="s">
        <v>90</v>
      </c>
      <c r="K89">
        <v>4.49383647830959E-3</v>
      </c>
      <c r="L89" t="s">
        <v>84</v>
      </c>
      <c r="N89" t="s">
        <v>117</v>
      </c>
      <c r="O89" t="s">
        <v>90</v>
      </c>
      <c r="P89">
        <v>0.10807511611999399</v>
      </c>
      <c r="Q89" t="s">
        <v>84</v>
      </c>
      <c r="S89" t="s">
        <v>132</v>
      </c>
      <c r="T89" t="s">
        <v>90</v>
      </c>
      <c r="U89">
        <v>0.11649913709299525</v>
      </c>
      <c r="V89" t="s">
        <v>84</v>
      </c>
      <c r="AK89">
        <v>2041</v>
      </c>
      <c r="AL89" t="s">
        <v>78</v>
      </c>
      <c r="AM89">
        <v>0.47902500000000003</v>
      </c>
      <c r="AN89" t="s">
        <v>168</v>
      </c>
    </row>
    <row r="90" spans="9:40" x14ac:dyDescent="0.45">
      <c r="I90" t="s">
        <v>101</v>
      </c>
      <c r="J90" t="s">
        <v>91</v>
      </c>
      <c r="K90">
        <v>0.26407459806243277</v>
      </c>
      <c r="L90" t="s">
        <v>84</v>
      </c>
      <c r="N90" t="s">
        <v>117</v>
      </c>
      <c r="O90" t="s">
        <v>91</v>
      </c>
      <c r="P90">
        <v>0.21335637294542664</v>
      </c>
      <c r="Q90" t="s">
        <v>84</v>
      </c>
      <c r="S90" t="s">
        <v>132</v>
      </c>
      <c r="T90" t="s">
        <v>91</v>
      </c>
      <c r="U90">
        <v>0.20457497686943074</v>
      </c>
      <c r="V90" t="s">
        <v>84</v>
      </c>
      <c r="AK90">
        <v>2041</v>
      </c>
      <c r="AL90" t="s">
        <v>80</v>
      </c>
      <c r="AM90">
        <v>0.43785000000000002</v>
      </c>
      <c r="AN90" t="s">
        <v>168</v>
      </c>
    </row>
    <row r="91" spans="9:40" x14ac:dyDescent="0.45">
      <c r="I91" t="s">
        <v>101</v>
      </c>
      <c r="J91" t="s">
        <v>92</v>
      </c>
      <c r="K91">
        <v>0</v>
      </c>
      <c r="L91" t="s">
        <v>84</v>
      </c>
      <c r="N91" t="s">
        <v>117</v>
      </c>
      <c r="O91" t="s">
        <v>92</v>
      </c>
      <c r="P91">
        <v>8.1532965924561066E-2</v>
      </c>
      <c r="Q91" t="s">
        <v>84</v>
      </c>
      <c r="S91" t="s">
        <v>132</v>
      </c>
      <c r="T91" t="s">
        <v>92</v>
      </c>
      <c r="U91">
        <v>8.7435509138804851E-2</v>
      </c>
      <c r="V91" t="s">
        <v>84</v>
      </c>
      <c r="AK91">
        <v>2042</v>
      </c>
      <c r="AL91" t="s">
        <v>72</v>
      </c>
      <c r="AM91">
        <v>0.38834999999999997</v>
      </c>
      <c r="AN91" t="s">
        <v>168</v>
      </c>
    </row>
    <row r="92" spans="9:40" x14ac:dyDescent="0.45">
      <c r="I92" t="s">
        <v>101</v>
      </c>
      <c r="J92" t="s">
        <v>93</v>
      </c>
      <c r="K92">
        <v>1.9122052708198299E-2</v>
      </c>
      <c r="L92" t="s">
        <v>84</v>
      </c>
      <c r="N92" t="s">
        <v>117</v>
      </c>
      <c r="O92" t="s">
        <v>93</v>
      </c>
      <c r="P92">
        <v>3.3718295123501635E-2</v>
      </c>
      <c r="Q92" t="s">
        <v>84</v>
      </c>
      <c r="S92" t="s">
        <v>132</v>
      </c>
      <c r="T92" t="s">
        <v>93</v>
      </c>
      <c r="U92">
        <v>4.1676938671042225E-2</v>
      </c>
      <c r="V92" t="s">
        <v>84</v>
      </c>
      <c r="AK92">
        <v>2042</v>
      </c>
      <c r="AL92" t="s">
        <v>76</v>
      </c>
      <c r="AM92">
        <v>0.38800000000000001</v>
      </c>
      <c r="AN92" t="s">
        <v>168</v>
      </c>
    </row>
    <row r="93" spans="9:40" x14ac:dyDescent="0.45">
      <c r="I93" t="s">
        <v>101</v>
      </c>
      <c r="J93" t="s">
        <v>94</v>
      </c>
      <c r="K93">
        <v>0.22863698558329346</v>
      </c>
      <c r="L93" t="s">
        <v>84</v>
      </c>
      <c r="N93" t="s">
        <v>117</v>
      </c>
      <c r="O93" t="s">
        <v>94</v>
      </c>
      <c r="P93">
        <v>8.3343069300477773E-2</v>
      </c>
      <c r="Q93" t="s">
        <v>84</v>
      </c>
      <c r="S93" t="s">
        <v>132</v>
      </c>
      <c r="T93" t="s">
        <v>94</v>
      </c>
      <c r="U93">
        <v>6.791368334582934E-2</v>
      </c>
      <c r="V93" t="s">
        <v>84</v>
      </c>
      <c r="AK93">
        <v>2042</v>
      </c>
      <c r="AL93" t="s">
        <v>78</v>
      </c>
      <c r="AM93">
        <v>0.44379999999999997</v>
      </c>
      <c r="AN93" t="s">
        <v>168</v>
      </c>
    </row>
    <row r="94" spans="9:40" x14ac:dyDescent="0.45">
      <c r="I94" t="s">
        <v>101</v>
      </c>
      <c r="J94" t="s">
        <v>95</v>
      </c>
      <c r="K94">
        <v>7.4936914010323413E-3</v>
      </c>
      <c r="L94" t="s">
        <v>84</v>
      </c>
      <c r="N94" t="s">
        <v>117</v>
      </c>
      <c r="O94" t="s">
        <v>95</v>
      </c>
      <c r="P94">
        <v>2.8195457187299506E-2</v>
      </c>
      <c r="Q94" t="s">
        <v>84</v>
      </c>
      <c r="S94" t="s">
        <v>132</v>
      </c>
      <c r="T94" t="s">
        <v>95</v>
      </c>
      <c r="U94">
        <v>3.4514527790690787E-2</v>
      </c>
      <c r="V94" t="s">
        <v>84</v>
      </c>
      <c r="AK94">
        <v>2042</v>
      </c>
      <c r="AL94" t="s">
        <v>80</v>
      </c>
      <c r="AM94">
        <v>0.39600000000000002</v>
      </c>
      <c r="AN94" t="s">
        <v>168</v>
      </c>
    </row>
    <row r="95" spans="9:40" x14ac:dyDescent="0.45">
      <c r="I95" t="s">
        <v>102</v>
      </c>
      <c r="J95" t="s">
        <v>83</v>
      </c>
      <c r="K95">
        <v>1.2394774449933012E-2</v>
      </c>
      <c r="L95" t="s">
        <v>84</v>
      </c>
      <c r="N95" t="s">
        <v>118</v>
      </c>
      <c r="O95" t="s">
        <v>83</v>
      </c>
      <c r="P95">
        <v>3.9008043088329024E-2</v>
      </c>
      <c r="Q95" t="s">
        <v>84</v>
      </c>
      <c r="S95" t="s">
        <v>133</v>
      </c>
      <c r="T95" t="s">
        <v>83</v>
      </c>
      <c r="U95">
        <v>4.9635387031025324E-2</v>
      </c>
      <c r="V95" t="s">
        <v>84</v>
      </c>
      <c r="AK95">
        <v>2043</v>
      </c>
      <c r="AL95" t="s">
        <v>72</v>
      </c>
      <c r="AM95">
        <v>0.41600000000000004</v>
      </c>
      <c r="AN95" t="s">
        <v>168</v>
      </c>
    </row>
    <row r="96" spans="9:40" x14ac:dyDescent="0.45">
      <c r="I96" t="s">
        <v>102</v>
      </c>
      <c r="J96" t="s">
        <v>85</v>
      </c>
      <c r="K96">
        <v>0.24605298798797173</v>
      </c>
      <c r="L96" t="s">
        <v>84</v>
      </c>
      <c r="N96" t="s">
        <v>118</v>
      </c>
      <c r="O96" t="s">
        <v>85</v>
      </c>
      <c r="P96">
        <v>9.6938699532027828E-2</v>
      </c>
      <c r="Q96" t="s">
        <v>84</v>
      </c>
      <c r="S96" t="s">
        <v>133</v>
      </c>
      <c r="T96" t="s">
        <v>85</v>
      </c>
      <c r="U96">
        <v>8.0464397855380496E-2</v>
      </c>
      <c r="V96" t="s">
        <v>84</v>
      </c>
      <c r="AK96">
        <v>2043</v>
      </c>
      <c r="AL96" t="s">
        <v>76</v>
      </c>
      <c r="AM96">
        <v>0.40332500000000004</v>
      </c>
      <c r="AN96" t="s">
        <v>168</v>
      </c>
    </row>
    <row r="97" spans="9:40" x14ac:dyDescent="0.45">
      <c r="I97" t="s">
        <v>102</v>
      </c>
      <c r="J97" t="s">
        <v>86</v>
      </c>
      <c r="K97">
        <v>9.1358413059000974E-3</v>
      </c>
      <c r="L97" t="s">
        <v>84</v>
      </c>
      <c r="N97" t="s">
        <v>118</v>
      </c>
      <c r="O97" t="s">
        <v>86</v>
      </c>
      <c r="P97">
        <v>2.8802146460311488E-2</v>
      </c>
      <c r="Q97" t="s">
        <v>84</v>
      </c>
      <c r="S97" t="s">
        <v>133</v>
      </c>
      <c r="T97" t="s">
        <v>86</v>
      </c>
      <c r="U97">
        <v>3.6860441651758273E-2</v>
      </c>
      <c r="V97" t="s">
        <v>84</v>
      </c>
      <c r="AK97">
        <v>2043</v>
      </c>
      <c r="AL97" t="s">
        <v>78</v>
      </c>
      <c r="AM97">
        <v>0.45152499999999995</v>
      </c>
      <c r="AN97" t="s">
        <v>168</v>
      </c>
    </row>
    <row r="98" spans="9:40" x14ac:dyDescent="0.45">
      <c r="I98" t="s">
        <v>102</v>
      </c>
      <c r="J98" t="s">
        <v>87</v>
      </c>
      <c r="K98">
        <v>8.1649006898680605E-5</v>
      </c>
      <c r="L98" t="s">
        <v>84</v>
      </c>
      <c r="N98" t="s">
        <v>118</v>
      </c>
      <c r="O98" t="s">
        <v>87</v>
      </c>
      <c r="P98">
        <v>7.7098372331695711E-2</v>
      </c>
      <c r="Q98" t="s">
        <v>84</v>
      </c>
      <c r="S98" t="s">
        <v>133</v>
      </c>
      <c r="T98" t="s">
        <v>87</v>
      </c>
      <c r="U98">
        <v>9.5340918393966689E-2</v>
      </c>
      <c r="V98" t="s">
        <v>84</v>
      </c>
      <c r="AK98">
        <v>2043</v>
      </c>
      <c r="AL98" t="s">
        <v>80</v>
      </c>
      <c r="AM98">
        <v>0.43049999999999999</v>
      </c>
      <c r="AN98" t="s">
        <v>168</v>
      </c>
    </row>
    <row r="99" spans="9:40" x14ac:dyDescent="0.45">
      <c r="I99" t="s">
        <v>102</v>
      </c>
      <c r="J99" t="s">
        <v>88</v>
      </c>
      <c r="K99">
        <v>0.19147413510818831</v>
      </c>
      <c r="L99" t="s">
        <v>84</v>
      </c>
      <c r="N99" t="s">
        <v>118</v>
      </c>
      <c r="O99" t="s">
        <v>88</v>
      </c>
      <c r="P99">
        <v>0.15217372938892484</v>
      </c>
      <c r="Q99" t="s">
        <v>84</v>
      </c>
      <c r="S99" t="s">
        <v>133</v>
      </c>
      <c r="T99" t="s">
        <v>88</v>
      </c>
      <c r="U99">
        <v>0.15609871944930157</v>
      </c>
      <c r="V99" t="s">
        <v>84</v>
      </c>
      <c r="AK99">
        <v>2044</v>
      </c>
      <c r="AL99" t="s">
        <v>72</v>
      </c>
      <c r="AM99">
        <v>0.39854999999999996</v>
      </c>
      <c r="AN99" t="s">
        <v>168</v>
      </c>
    </row>
    <row r="100" spans="9:40" x14ac:dyDescent="0.45">
      <c r="I100" t="s">
        <v>102</v>
      </c>
      <c r="J100" t="s">
        <v>89</v>
      </c>
      <c r="K100">
        <v>0</v>
      </c>
      <c r="L100" t="s">
        <v>84</v>
      </c>
      <c r="N100" t="s">
        <v>118</v>
      </c>
      <c r="O100" t="s">
        <v>89</v>
      </c>
      <c r="P100">
        <v>5.4730402508004976E-2</v>
      </c>
      <c r="Q100" t="s">
        <v>84</v>
      </c>
      <c r="S100" t="s">
        <v>133</v>
      </c>
      <c r="T100" t="s">
        <v>89</v>
      </c>
      <c r="U100">
        <v>7.0259229204297349E-2</v>
      </c>
      <c r="V100" t="s">
        <v>84</v>
      </c>
      <c r="AK100">
        <v>2044</v>
      </c>
      <c r="AL100" t="s">
        <v>76</v>
      </c>
      <c r="AM100">
        <v>0.42235</v>
      </c>
      <c r="AN100" t="s">
        <v>168</v>
      </c>
    </row>
    <row r="101" spans="9:40" x14ac:dyDescent="0.45">
      <c r="I101" t="s">
        <v>102</v>
      </c>
      <c r="J101" t="s">
        <v>90</v>
      </c>
      <c r="K101">
        <v>6.2223292143683611E-3</v>
      </c>
      <c r="L101" t="s">
        <v>84</v>
      </c>
      <c r="N101" t="s">
        <v>118</v>
      </c>
      <c r="O101" t="s">
        <v>90</v>
      </c>
      <c r="P101">
        <v>0.11961079475875996</v>
      </c>
      <c r="Q101" t="s">
        <v>84</v>
      </c>
      <c r="S101" t="s">
        <v>133</v>
      </c>
      <c r="T101" t="s">
        <v>90</v>
      </c>
      <c r="U101">
        <v>0.11315265570994733</v>
      </c>
      <c r="V101" t="s">
        <v>84</v>
      </c>
      <c r="AK101">
        <v>2044</v>
      </c>
      <c r="AL101" t="s">
        <v>78</v>
      </c>
      <c r="AM101">
        <v>0.43564999999999998</v>
      </c>
      <c r="AN101" t="s">
        <v>168</v>
      </c>
    </row>
    <row r="102" spans="9:40" x14ac:dyDescent="0.45">
      <c r="I102" t="s">
        <v>102</v>
      </c>
      <c r="J102" t="s">
        <v>91</v>
      </c>
      <c r="K102">
        <v>0.27583713081922517</v>
      </c>
      <c r="L102" t="s">
        <v>84</v>
      </c>
      <c r="N102" t="s">
        <v>118</v>
      </c>
      <c r="O102" t="s">
        <v>91</v>
      </c>
      <c r="P102">
        <v>0.23223164924438133</v>
      </c>
      <c r="Q102" t="s">
        <v>84</v>
      </c>
      <c r="S102" t="s">
        <v>133</v>
      </c>
      <c r="T102" t="s">
        <v>91</v>
      </c>
      <c r="U102">
        <v>0.18886655433764629</v>
      </c>
      <c r="V102" t="s">
        <v>84</v>
      </c>
      <c r="AK102">
        <v>2044</v>
      </c>
      <c r="AL102" t="s">
        <v>80</v>
      </c>
      <c r="AM102">
        <v>0.39300000000000002</v>
      </c>
      <c r="AN102" t="s">
        <v>168</v>
      </c>
    </row>
    <row r="103" spans="9:40" x14ac:dyDescent="0.45">
      <c r="I103" t="s">
        <v>102</v>
      </c>
      <c r="J103" t="s">
        <v>92</v>
      </c>
      <c r="K103">
        <v>0</v>
      </c>
      <c r="L103" t="s">
        <v>84</v>
      </c>
      <c r="N103" t="s">
        <v>118</v>
      </c>
      <c r="O103" t="s">
        <v>92</v>
      </c>
      <c r="P103">
        <v>8.0104501369228212E-2</v>
      </c>
      <c r="Q103" t="s">
        <v>84</v>
      </c>
      <c r="S103" t="s">
        <v>133</v>
      </c>
      <c r="T103" t="s">
        <v>92</v>
      </c>
      <c r="U103">
        <v>8.0450820638630335E-2</v>
      </c>
      <c r="V103" t="s">
        <v>84</v>
      </c>
      <c r="AK103">
        <v>2045</v>
      </c>
      <c r="AL103" t="s">
        <v>72</v>
      </c>
      <c r="AM103">
        <v>0.56695000000000007</v>
      </c>
      <c r="AN103" t="s">
        <v>168</v>
      </c>
    </row>
    <row r="104" spans="9:40" x14ac:dyDescent="0.45">
      <c r="I104" t="s">
        <v>102</v>
      </c>
      <c r="J104" t="s">
        <v>93</v>
      </c>
      <c r="K104">
        <v>2.0494156987491491E-2</v>
      </c>
      <c r="L104" t="s">
        <v>84</v>
      </c>
      <c r="N104" t="s">
        <v>118</v>
      </c>
      <c r="O104" t="s">
        <v>93</v>
      </c>
      <c r="P104">
        <v>2.2996406081166737E-2</v>
      </c>
      <c r="Q104" t="s">
        <v>84</v>
      </c>
      <c r="S104" t="s">
        <v>133</v>
      </c>
      <c r="T104" t="s">
        <v>93</v>
      </c>
      <c r="U104">
        <v>3.9524144219753254E-2</v>
      </c>
      <c r="V104" t="s">
        <v>84</v>
      </c>
      <c r="AK104">
        <v>2045</v>
      </c>
      <c r="AL104" t="s">
        <v>76</v>
      </c>
      <c r="AM104">
        <v>0.56542499999999996</v>
      </c>
      <c r="AN104" t="s">
        <v>168</v>
      </c>
    </row>
    <row r="105" spans="9:40" x14ac:dyDescent="0.45">
      <c r="I105" t="s">
        <v>102</v>
      </c>
      <c r="J105" t="s">
        <v>94</v>
      </c>
      <c r="K105">
        <v>0.23159642108620951</v>
      </c>
      <c r="L105" t="s">
        <v>84</v>
      </c>
      <c r="N105" t="s">
        <v>118</v>
      </c>
      <c r="O105" t="s">
        <v>94</v>
      </c>
      <c r="P105">
        <v>7.8221395864680854E-2</v>
      </c>
      <c r="Q105" t="s">
        <v>84</v>
      </c>
      <c r="S105" t="s">
        <v>133</v>
      </c>
      <c r="T105" t="s">
        <v>94</v>
      </c>
      <c r="U105">
        <v>6.0267409816190561E-2</v>
      </c>
      <c r="V105" t="s">
        <v>84</v>
      </c>
      <c r="AK105">
        <v>2045</v>
      </c>
      <c r="AL105" t="s">
        <v>78</v>
      </c>
      <c r="AM105">
        <v>0.61150000000000004</v>
      </c>
      <c r="AN105" t="s">
        <v>168</v>
      </c>
    </row>
    <row r="106" spans="9:40" x14ac:dyDescent="0.45">
      <c r="I106" t="s">
        <v>102</v>
      </c>
      <c r="J106" t="s">
        <v>95</v>
      </c>
      <c r="K106">
        <v>6.7105740338128175E-3</v>
      </c>
      <c r="L106" t="s">
        <v>84</v>
      </c>
      <c r="N106" t="s">
        <v>118</v>
      </c>
      <c r="O106" t="s">
        <v>95</v>
      </c>
      <c r="P106">
        <v>1.8083859372486646E-2</v>
      </c>
      <c r="Q106" t="s">
        <v>84</v>
      </c>
      <c r="S106" t="s">
        <v>133</v>
      </c>
      <c r="T106" t="s">
        <v>95</v>
      </c>
      <c r="U106">
        <v>2.9079321692100611E-2</v>
      </c>
      <c r="V106" t="s">
        <v>84</v>
      </c>
      <c r="AK106">
        <v>2045</v>
      </c>
      <c r="AL106" t="s">
        <v>80</v>
      </c>
      <c r="AM106">
        <v>0.59870000000000001</v>
      </c>
      <c r="AN106" t="s">
        <v>168</v>
      </c>
    </row>
    <row r="107" spans="9:40" x14ac:dyDescent="0.45">
      <c r="I107" t="s">
        <v>103</v>
      </c>
      <c r="J107" t="s">
        <v>83</v>
      </c>
      <c r="K107">
        <v>8.8285823201118465E-3</v>
      </c>
      <c r="L107" t="s">
        <v>84</v>
      </c>
      <c r="N107" t="s">
        <v>119</v>
      </c>
      <c r="O107" t="s">
        <v>83</v>
      </c>
      <c r="P107">
        <v>4.3607505859863817E-2</v>
      </c>
      <c r="Q107" t="s">
        <v>84</v>
      </c>
      <c r="S107" t="s">
        <v>134</v>
      </c>
      <c r="T107" t="s">
        <v>83</v>
      </c>
      <c r="U107">
        <v>3.1441121881519853E-2</v>
      </c>
      <c r="V107" t="s">
        <v>84</v>
      </c>
      <c r="AK107">
        <v>2046</v>
      </c>
      <c r="AL107" t="s">
        <v>72</v>
      </c>
      <c r="AM107">
        <v>0.55425000000000002</v>
      </c>
      <c r="AN107" t="s">
        <v>168</v>
      </c>
    </row>
    <row r="108" spans="9:40" x14ac:dyDescent="0.45">
      <c r="I108" t="s">
        <v>103</v>
      </c>
      <c r="J108" t="s">
        <v>85</v>
      </c>
      <c r="K108">
        <v>0.25310675319629694</v>
      </c>
      <c r="L108" t="s">
        <v>84</v>
      </c>
      <c r="N108" t="s">
        <v>119</v>
      </c>
      <c r="O108" t="s">
        <v>85</v>
      </c>
      <c r="P108">
        <v>8.0552685431036844E-2</v>
      </c>
      <c r="Q108" t="s">
        <v>84</v>
      </c>
      <c r="S108" t="s">
        <v>134</v>
      </c>
      <c r="T108" t="s">
        <v>85</v>
      </c>
      <c r="U108">
        <v>7.3630341582970771E-2</v>
      </c>
      <c r="V108" t="s">
        <v>84</v>
      </c>
      <c r="AK108">
        <v>2046</v>
      </c>
      <c r="AL108" t="s">
        <v>76</v>
      </c>
      <c r="AM108">
        <v>0.54380000000000006</v>
      </c>
      <c r="AN108" t="s">
        <v>168</v>
      </c>
    </row>
    <row r="109" spans="9:40" x14ac:dyDescent="0.45">
      <c r="I109" t="s">
        <v>103</v>
      </c>
      <c r="J109" t="s">
        <v>86</v>
      </c>
      <c r="K109">
        <v>1.0900346864321999E-2</v>
      </c>
      <c r="L109" t="s">
        <v>84</v>
      </c>
      <c r="N109" t="s">
        <v>119</v>
      </c>
      <c r="O109" t="s">
        <v>86</v>
      </c>
      <c r="P109">
        <v>3.1745749997842548E-2</v>
      </c>
      <c r="Q109" t="s">
        <v>84</v>
      </c>
      <c r="S109" t="s">
        <v>134</v>
      </c>
      <c r="T109" t="s">
        <v>86</v>
      </c>
      <c r="U109">
        <v>2.8897636367055692E-2</v>
      </c>
      <c r="V109" t="s">
        <v>84</v>
      </c>
      <c r="AK109">
        <v>2046</v>
      </c>
      <c r="AL109" t="s">
        <v>78</v>
      </c>
      <c r="AM109">
        <v>0.61975000000000002</v>
      </c>
      <c r="AN109" t="s">
        <v>168</v>
      </c>
    </row>
    <row r="110" spans="9:40" x14ac:dyDescent="0.45">
      <c r="I110" t="s">
        <v>103</v>
      </c>
      <c r="J110" t="s">
        <v>87</v>
      </c>
      <c r="K110">
        <v>0</v>
      </c>
      <c r="L110" t="s">
        <v>84</v>
      </c>
      <c r="N110" t="s">
        <v>119</v>
      </c>
      <c r="O110" t="s">
        <v>87</v>
      </c>
      <c r="P110">
        <v>9.3177342110748643E-2</v>
      </c>
      <c r="Q110" t="s">
        <v>84</v>
      </c>
      <c r="S110" t="s">
        <v>134</v>
      </c>
      <c r="T110" t="s">
        <v>87</v>
      </c>
      <c r="U110">
        <v>8.1203719347827774E-2</v>
      </c>
      <c r="V110" t="s">
        <v>84</v>
      </c>
      <c r="AK110">
        <v>2046</v>
      </c>
      <c r="AL110" t="s">
        <v>80</v>
      </c>
      <c r="AM110">
        <v>0.58909999999999996</v>
      </c>
      <c r="AN110" t="s">
        <v>168</v>
      </c>
    </row>
    <row r="111" spans="9:40" x14ac:dyDescent="0.45">
      <c r="I111" t="s">
        <v>103</v>
      </c>
      <c r="J111" t="s">
        <v>88</v>
      </c>
      <c r="K111">
        <v>0.20186724739865949</v>
      </c>
      <c r="L111" t="s">
        <v>84</v>
      </c>
      <c r="N111" t="s">
        <v>119</v>
      </c>
      <c r="O111" t="s">
        <v>88</v>
      </c>
      <c r="P111">
        <v>0.16174482622788969</v>
      </c>
      <c r="Q111" t="s">
        <v>84</v>
      </c>
      <c r="S111" t="s">
        <v>134</v>
      </c>
      <c r="T111" t="s">
        <v>88</v>
      </c>
      <c r="U111">
        <v>0.15066347641901784</v>
      </c>
      <c r="V111" t="s">
        <v>84</v>
      </c>
      <c r="AK111">
        <v>2047</v>
      </c>
      <c r="AL111" t="s">
        <v>72</v>
      </c>
      <c r="AM111">
        <v>0.53685000000000005</v>
      </c>
      <c r="AN111" t="s">
        <v>168</v>
      </c>
    </row>
    <row r="112" spans="9:40" x14ac:dyDescent="0.45">
      <c r="I112" t="s">
        <v>103</v>
      </c>
      <c r="J112" t="s">
        <v>89</v>
      </c>
      <c r="K112">
        <v>0</v>
      </c>
      <c r="L112" t="s">
        <v>84</v>
      </c>
      <c r="N112" t="s">
        <v>119</v>
      </c>
      <c r="O112" t="s">
        <v>89</v>
      </c>
      <c r="P112">
        <v>6.9601046335434041E-2</v>
      </c>
      <c r="Q112" t="s">
        <v>84</v>
      </c>
      <c r="S112" t="s">
        <v>134</v>
      </c>
      <c r="T112" t="s">
        <v>89</v>
      </c>
      <c r="U112">
        <v>6.0163275841384561E-2</v>
      </c>
      <c r="V112" t="s">
        <v>84</v>
      </c>
      <c r="AK112">
        <v>2047</v>
      </c>
      <c r="AL112" t="s">
        <v>76</v>
      </c>
      <c r="AM112">
        <v>0.55617499999999997</v>
      </c>
      <c r="AN112" t="s">
        <v>168</v>
      </c>
    </row>
    <row r="113" spans="9:40" x14ac:dyDescent="0.45">
      <c r="I113" t="s">
        <v>103</v>
      </c>
      <c r="J113" t="s">
        <v>90</v>
      </c>
      <c r="K113">
        <v>2.609573389173986E-3</v>
      </c>
      <c r="L113" t="s">
        <v>84</v>
      </c>
      <c r="N113" t="s">
        <v>119</v>
      </c>
      <c r="O113" t="s">
        <v>90</v>
      </c>
      <c r="P113">
        <v>0.10999605833614086</v>
      </c>
      <c r="Q113" t="s">
        <v>84</v>
      </c>
      <c r="S113" t="s">
        <v>134</v>
      </c>
      <c r="T113" t="s">
        <v>90</v>
      </c>
      <c r="U113">
        <v>0.1208846081484307</v>
      </c>
      <c r="V113" t="s">
        <v>84</v>
      </c>
      <c r="AK113">
        <v>2047</v>
      </c>
      <c r="AL113" t="s">
        <v>78</v>
      </c>
      <c r="AM113">
        <v>0.59197500000000003</v>
      </c>
      <c r="AN113" t="s">
        <v>168</v>
      </c>
    </row>
    <row r="114" spans="9:40" x14ac:dyDescent="0.45">
      <c r="I114" t="s">
        <v>103</v>
      </c>
      <c r="J114" t="s">
        <v>91</v>
      </c>
      <c r="K114">
        <v>0.25246041245785933</v>
      </c>
      <c r="L114" t="s">
        <v>84</v>
      </c>
      <c r="N114" t="s">
        <v>119</v>
      </c>
      <c r="O114" t="s">
        <v>91</v>
      </c>
      <c r="P114">
        <v>0.19345564324732981</v>
      </c>
      <c r="Q114" t="s">
        <v>84</v>
      </c>
      <c r="S114" t="s">
        <v>134</v>
      </c>
      <c r="T114" t="s">
        <v>91</v>
      </c>
      <c r="U114">
        <v>0.22913998501444327</v>
      </c>
      <c r="V114" t="s">
        <v>84</v>
      </c>
      <c r="AK114">
        <v>2047</v>
      </c>
      <c r="AL114" t="s">
        <v>80</v>
      </c>
      <c r="AM114">
        <v>0.55204999999999993</v>
      </c>
      <c r="AN114" t="s">
        <v>168</v>
      </c>
    </row>
    <row r="115" spans="9:40" x14ac:dyDescent="0.45">
      <c r="I115" t="s">
        <v>103</v>
      </c>
      <c r="J115" t="s">
        <v>92</v>
      </c>
      <c r="K115">
        <v>0</v>
      </c>
      <c r="L115" t="s">
        <v>84</v>
      </c>
      <c r="N115" t="s">
        <v>119</v>
      </c>
      <c r="O115" t="s">
        <v>92</v>
      </c>
      <c r="P115">
        <v>7.735296213544153E-2</v>
      </c>
      <c r="Q115" t="s">
        <v>84</v>
      </c>
      <c r="S115" t="s">
        <v>134</v>
      </c>
      <c r="T115" t="s">
        <v>92</v>
      </c>
      <c r="U115">
        <v>8.7289969204019935E-2</v>
      </c>
      <c r="V115" t="s">
        <v>84</v>
      </c>
      <c r="AK115">
        <v>2048</v>
      </c>
      <c r="AL115" t="s">
        <v>72</v>
      </c>
      <c r="AM115">
        <v>0.58844999999999992</v>
      </c>
      <c r="AN115" t="s">
        <v>168</v>
      </c>
    </row>
    <row r="116" spans="9:40" x14ac:dyDescent="0.45">
      <c r="I116" t="s">
        <v>103</v>
      </c>
      <c r="J116" t="s">
        <v>93</v>
      </c>
      <c r="K116">
        <v>1.6726073556446456E-2</v>
      </c>
      <c r="L116" t="s">
        <v>84</v>
      </c>
      <c r="N116" t="s">
        <v>119</v>
      </c>
      <c r="O116" t="s">
        <v>93</v>
      </c>
      <c r="P116">
        <v>3.6384021890880296E-2</v>
      </c>
      <c r="Q116" t="s">
        <v>84</v>
      </c>
      <c r="S116" t="s">
        <v>134</v>
      </c>
      <c r="T116" t="s">
        <v>93</v>
      </c>
      <c r="U116">
        <v>3.4348310335693709E-2</v>
      </c>
      <c r="V116" t="s">
        <v>84</v>
      </c>
      <c r="AK116">
        <v>2048</v>
      </c>
      <c r="AL116" t="s">
        <v>76</v>
      </c>
      <c r="AM116">
        <v>0.51519999999999999</v>
      </c>
      <c r="AN116" t="s">
        <v>168</v>
      </c>
    </row>
    <row r="117" spans="9:40" x14ac:dyDescent="0.45">
      <c r="I117" t="s">
        <v>103</v>
      </c>
      <c r="J117" t="s">
        <v>94</v>
      </c>
      <c r="K117">
        <v>0.24444798004410567</v>
      </c>
      <c r="L117" t="s">
        <v>84</v>
      </c>
      <c r="N117" t="s">
        <v>119</v>
      </c>
      <c r="O117" t="s">
        <v>94</v>
      </c>
      <c r="P117">
        <v>7.57575609069501E-2</v>
      </c>
      <c r="Q117" t="s">
        <v>84</v>
      </c>
      <c r="S117" t="s">
        <v>134</v>
      </c>
      <c r="T117" t="s">
        <v>94</v>
      </c>
      <c r="U117">
        <v>7.4980617884080031E-2</v>
      </c>
      <c r="V117" t="s">
        <v>84</v>
      </c>
      <c r="AK117">
        <v>2048</v>
      </c>
      <c r="AL117" t="s">
        <v>78</v>
      </c>
      <c r="AM117">
        <v>0.597275</v>
      </c>
      <c r="AN117" t="s">
        <v>168</v>
      </c>
    </row>
    <row r="118" spans="9:40" x14ac:dyDescent="0.45">
      <c r="I118" t="s">
        <v>103</v>
      </c>
      <c r="J118" t="s">
        <v>95</v>
      </c>
      <c r="K118">
        <v>9.0530307730243859E-3</v>
      </c>
      <c r="L118" t="s">
        <v>84</v>
      </c>
      <c r="N118" t="s">
        <v>119</v>
      </c>
      <c r="O118" t="s">
        <v>95</v>
      </c>
      <c r="P118">
        <v>2.6624597520442141E-2</v>
      </c>
      <c r="Q118" t="s">
        <v>84</v>
      </c>
      <c r="S118" t="s">
        <v>134</v>
      </c>
      <c r="T118" t="s">
        <v>95</v>
      </c>
      <c r="U118">
        <v>2.7356937973557899E-2</v>
      </c>
      <c r="V118" t="s">
        <v>84</v>
      </c>
      <c r="AK118">
        <v>2048</v>
      </c>
      <c r="AL118" t="s">
        <v>80</v>
      </c>
      <c r="AM118">
        <v>0.60170000000000001</v>
      </c>
      <c r="AN118" t="s">
        <v>168</v>
      </c>
    </row>
    <row r="119" spans="9:40" x14ac:dyDescent="0.45">
      <c r="I119" t="s">
        <v>104</v>
      </c>
      <c r="J119" t="s">
        <v>83</v>
      </c>
      <c r="K119">
        <v>7.8757269201132161E-3</v>
      </c>
      <c r="L119" t="s">
        <v>84</v>
      </c>
      <c r="N119" t="s">
        <v>120</v>
      </c>
      <c r="O119" t="s">
        <v>83</v>
      </c>
      <c r="P119">
        <v>4.0632331246124281E-2</v>
      </c>
      <c r="Q119" t="s">
        <v>84</v>
      </c>
      <c r="S119" t="s">
        <v>135</v>
      </c>
      <c r="T119" t="s">
        <v>83</v>
      </c>
      <c r="U119">
        <v>3.8817986325917479E-2</v>
      </c>
      <c r="V119" t="s">
        <v>84</v>
      </c>
      <c r="AK119">
        <v>2049</v>
      </c>
      <c r="AL119" t="s">
        <v>72</v>
      </c>
      <c r="AM119">
        <v>0.49395</v>
      </c>
      <c r="AN119" t="s">
        <v>168</v>
      </c>
    </row>
    <row r="120" spans="9:40" x14ac:dyDescent="0.45">
      <c r="I120" t="s">
        <v>104</v>
      </c>
      <c r="J120" t="s">
        <v>85</v>
      </c>
      <c r="K120">
        <v>0.25430830548254518</v>
      </c>
      <c r="L120" t="s">
        <v>84</v>
      </c>
      <c r="N120" t="s">
        <v>120</v>
      </c>
      <c r="O120" t="s">
        <v>85</v>
      </c>
      <c r="P120">
        <v>8.4501198413458239E-2</v>
      </c>
      <c r="Q120" t="s">
        <v>84</v>
      </c>
      <c r="S120" t="s">
        <v>135</v>
      </c>
      <c r="T120" t="s">
        <v>85</v>
      </c>
      <c r="U120">
        <v>6.4706919318170936E-2</v>
      </c>
      <c r="V120" t="s">
        <v>84</v>
      </c>
      <c r="AK120">
        <v>2049</v>
      </c>
      <c r="AL120" t="s">
        <v>76</v>
      </c>
      <c r="AM120">
        <v>0.47725000000000001</v>
      </c>
      <c r="AN120" t="s">
        <v>168</v>
      </c>
    </row>
    <row r="121" spans="9:40" x14ac:dyDescent="0.45">
      <c r="I121" t="s">
        <v>104</v>
      </c>
      <c r="J121" t="s">
        <v>86</v>
      </c>
      <c r="K121">
        <v>1.1287174560673982E-2</v>
      </c>
      <c r="L121" t="s">
        <v>84</v>
      </c>
      <c r="N121" t="s">
        <v>120</v>
      </c>
      <c r="O121" t="s">
        <v>86</v>
      </c>
      <c r="P121">
        <v>3.0073102661735962E-2</v>
      </c>
      <c r="Q121" t="s">
        <v>84</v>
      </c>
      <c r="S121" t="s">
        <v>135</v>
      </c>
      <c r="T121" t="s">
        <v>86</v>
      </c>
      <c r="U121">
        <v>2.9535919970397707E-2</v>
      </c>
      <c r="V121" t="s">
        <v>84</v>
      </c>
      <c r="AK121">
        <v>2049</v>
      </c>
      <c r="AL121" t="s">
        <v>78</v>
      </c>
      <c r="AM121">
        <v>0.51102499999999995</v>
      </c>
      <c r="AN121" t="s">
        <v>168</v>
      </c>
    </row>
    <row r="122" spans="9:40" x14ac:dyDescent="0.45">
      <c r="I122" t="s">
        <v>104</v>
      </c>
      <c r="J122" t="s">
        <v>87</v>
      </c>
      <c r="K122">
        <v>0</v>
      </c>
      <c r="L122" t="s">
        <v>84</v>
      </c>
      <c r="N122" t="s">
        <v>120</v>
      </c>
      <c r="O122" t="s">
        <v>87</v>
      </c>
      <c r="P122">
        <v>8.9984325356923675E-2</v>
      </c>
      <c r="Q122" t="s">
        <v>84</v>
      </c>
      <c r="S122" t="s">
        <v>135</v>
      </c>
      <c r="T122" t="s">
        <v>87</v>
      </c>
      <c r="U122">
        <v>0.10024184143878476</v>
      </c>
      <c r="V122" t="s">
        <v>84</v>
      </c>
      <c r="AK122">
        <v>2049</v>
      </c>
      <c r="AL122" t="s">
        <v>80</v>
      </c>
      <c r="AM122">
        <v>0.50319999999999998</v>
      </c>
      <c r="AN122" t="s">
        <v>168</v>
      </c>
    </row>
    <row r="123" spans="9:40" x14ac:dyDescent="0.45">
      <c r="I123" t="s">
        <v>104</v>
      </c>
      <c r="J123" t="s">
        <v>88</v>
      </c>
      <c r="K123">
        <v>0.18968781328445611</v>
      </c>
      <c r="L123" t="s">
        <v>84</v>
      </c>
      <c r="N123" t="s">
        <v>120</v>
      </c>
      <c r="O123" t="s">
        <v>88</v>
      </c>
      <c r="P123">
        <v>0.16203001283891488</v>
      </c>
      <c r="Q123" t="s">
        <v>84</v>
      </c>
      <c r="S123" t="s">
        <v>135</v>
      </c>
      <c r="T123" t="s">
        <v>88</v>
      </c>
      <c r="U123">
        <v>0.16022753824140615</v>
      </c>
      <c r="V123" t="s">
        <v>84</v>
      </c>
      <c r="AK123">
        <v>2050</v>
      </c>
      <c r="AL123" t="s">
        <v>72</v>
      </c>
      <c r="AM123">
        <v>0.46675</v>
      </c>
      <c r="AN123" t="s">
        <v>168</v>
      </c>
    </row>
    <row r="124" spans="9:40" x14ac:dyDescent="0.45">
      <c r="I124" t="s">
        <v>104</v>
      </c>
      <c r="J124" t="s">
        <v>89</v>
      </c>
      <c r="K124">
        <v>4.8718751896851696E-7</v>
      </c>
      <c r="L124" t="s">
        <v>84</v>
      </c>
      <c r="N124" t="s">
        <v>120</v>
      </c>
      <c r="O124" t="s">
        <v>89</v>
      </c>
      <c r="P124">
        <v>6.2932101263311682E-2</v>
      </c>
      <c r="Q124" t="s">
        <v>84</v>
      </c>
      <c r="S124" t="s">
        <v>135</v>
      </c>
      <c r="T124" t="s">
        <v>89</v>
      </c>
      <c r="U124">
        <v>7.0683556472771109E-2</v>
      </c>
      <c r="V124" t="s">
        <v>84</v>
      </c>
      <c r="AK124">
        <v>2050</v>
      </c>
      <c r="AL124" t="s">
        <v>76</v>
      </c>
      <c r="AM124">
        <v>0.46010000000000001</v>
      </c>
      <c r="AN124" t="s">
        <v>168</v>
      </c>
    </row>
    <row r="125" spans="9:40" x14ac:dyDescent="0.45">
      <c r="I125" t="s">
        <v>104</v>
      </c>
      <c r="J125" t="s">
        <v>90</v>
      </c>
      <c r="K125">
        <v>3.1704906536423145E-3</v>
      </c>
      <c r="L125" t="s">
        <v>84</v>
      </c>
      <c r="N125" t="s">
        <v>120</v>
      </c>
      <c r="O125" t="s">
        <v>90</v>
      </c>
      <c r="P125">
        <v>0.10997739196810373</v>
      </c>
      <c r="Q125" t="s">
        <v>84</v>
      </c>
      <c r="S125" t="s">
        <v>135</v>
      </c>
      <c r="T125" t="s">
        <v>90</v>
      </c>
      <c r="U125">
        <v>0.12242639522893249</v>
      </c>
      <c r="V125" t="s">
        <v>84</v>
      </c>
      <c r="AK125">
        <v>2050</v>
      </c>
      <c r="AL125" t="s">
        <v>78</v>
      </c>
      <c r="AM125">
        <v>0.50842500000000002</v>
      </c>
      <c r="AN125" t="s">
        <v>168</v>
      </c>
    </row>
    <row r="126" spans="9:40" x14ac:dyDescent="0.45">
      <c r="I126" t="s">
        <v>104</v>
      </c>
      <c r="J126" t="s">
        <v>91</v>
      </c>
      <c r="K126">
        <v>0.24917439945193789</v>
      </c>
      <c r="L126" t="s">
        <v>84</v>
      </c>
      <c r="N126" t="s">
        <v>120</v>
      </c>
      <c r="O126" t="s">
        <v>91</v>
      </c>
      <c r="P126">
        <v>0.19972358371929452</v>
      </c>
      <c r="Q126" t="s">
        <v>84</v>
      </c>
      <c r="S126" t="s">
        <v>135</v>
      </c>
      <c r="T126" t="s">
        <v>91</v>
      </c>
      <c r="U126">
        <v>0.19765102805293877</v>
      </c>
      <c r="V126" t="s">
        <v>84</v>
      </c>
      <c r="AK126">
        <v>2050</v>
      </c>
      <c r="AL126" t="s">
        <v>80</v>
      </c>
      <c r="AM126">
        <v>0.49924999999999997</v>
      </c>
      <c r="AN126" t="s">
        <v>168</v>
      </c>
    </row>
    <row r="127" spans="9:40" x14ac:dyDescent="0.45">
      <c r="I127" t="s">
        <v>104</v>
      </c>
      <c r="J127" t="s">
        <v>92</v>
      </c>
      <c r="K127">
        <v>1.7116198804172192E-4</v>
      </c>
      <c r="L127" t="s">
        <v>84</v>
      </c>
      <c r="N127" t="s">
        <v>120</v>
      </c>
      <c r="O127" t="s">
        <v>92</v>
      </c>
      <c r="P127">
        <v>7.6189027685543212E-2</v>
      </c>
      <c r="Q127" t="s">
        <v>84</v>
      </c>
      <c r="S127" t="s">
        <v>135</v>
      </c>
      <c r="T127" t="s">
        <v>92</v>
      </c>
      <c r="U127">
        <v>8.6881012076894193E-2</v>
      </c>
      <c r="V127" t="s">
        <v>84</v>
      </c>
    </row>
    <row r="128" spans="9:40" x14ac:dyDescent="0.45">
      <c r="I128" t="s">
        <v>104</v>
      </c>
      <c r="J128" t="s">
        <v>93</v>
      </c>
      <c r="K128">
        <v>1.7273012569314846E-2</v>
      </c>
      <c r="L128" t="s">
        <v>84</v>
      </c>
      <c r="N128" t="s">
        <v>120</v>
      </c>
      <c r="O128" t="s">
        <v>93</v>
      </c>
      <c r="P128">
        <v>3.5449875092470391E-2</v>
      </c>
      <c r="Q128" t="s">
        <v>84</v>
      </c>
      <c r="S128" t="s">
        <v>135</v>
      </c>
      <c r="T128" t="s">
        <v>93</v>
      </c>
      <c r="U128">
        <v>3.8227705409135983E-2</v>
      </c>
      <c r="V128" t="s">
        <v>84</v>
      </c>
    </row>
    <row r="129" spans="9:22" x14ac:dyDescent="0.45">
      <c r="I129" t="s">
        <v>104</v>
      </c>
      <c r="J129" t="s">
        <v>94</v>
      </c>
      <c r="K129">
        <v>0.25685757129092723</v>
      </c>
      <c r="L129" t="s">
        <v>84</v>
      </c>
      <c r="N129" t="s">
        <v>120</v>
      </c>
      <c r="O129" t="s">
        <v>94</v>
      </c>
      <c r="P129">
        <v>8.100440489858847E-2</v>
      </c>
      <c r="Q129" t="s">
        <v>84</v>
      </c>
      <c r="S129" t="s">
        <v>135</v>
      </c>
      <c r="T129" t="s">
        <v>94</v>
      </c>
      <c r="U129">
        <v>6.1048528659540018E-2</v>
      </c>
      <c r="V129" t="s">
        <v>84</v>
      </c>
    </row>
    <row r="130" spans="9:22" x14ac:dyDescent="0.45">
      <c r="I130" t="s">
        <v>104</v>
      </c>
      <c r="J130" t="s">
        <v>95</v>
      </c>
      <c r="K130">
        <v>1.0193856610830677E-2</v>
      </c>
      <c r="L130" t="s">
        <v>84</v>
      </c>
      <c r="N130" t="s">
        <v>120</v>
      </c>
      <c r="O130" t="s">
        <v>95</v>
      </c>
      <c r="P130">
        <v>2.7502644855531829E-2</v>
      </c>
      <c r="Q130" t="s">
        <v>84</v>
      </c>
      <c r="S130" t="s">
        <v>135</v>
      </c>
      <c r="T130" t="s">
        <v>95</v>
      </c>
      <c r="U130">
        <v>2.9551568805111641E-2</v>
      </c>
      <c r="V130" t="s">
        <v>84</v>
      </c>
    </row>
    <row r="131" spans="9:22" x14ac:dyDescent="0.45">
      <c r="I131" t="s">
        <v>105</v>
      </c>
      <c r="J131" t="s">
        <v>83</v>
      </c>
      <c r="K131">
        <v>1.0547129449808042E-2</v>
      </c>
      <c r="L131" t="s">
        <v>84</v>
      </c>
      <c r="N131" t="s">
        <v>121</v>
      </c>
      <c r="O131" t="s">
        <v>83</v>
      </c>
      <c r="P131">
        <v>3.8695614163150718E-2</v>
      </c>
      <c r="Q131" t="s">
        <v>84</v>
      </c>
      <c r="S131" t="s">
        <v>136</v>
      </c>
      <c r="T131" t="s">
        <v>83</v>
      </c>
      <c r="U131">
        <v>4.0873032115682113E-2</v>
      </c>
      <c r="V131" t="s">
        <v>84</v>
      </c>
    </row>
    <row r="132" spans="9:22" x14ac:dyDescent="0.45">
      <c r="I132" t="s">
        <v>105</v>
      </c>
      <c r="J132" t="s">
        <v>85</v>
      </c>
      <c r="K132">
        <v>0.25199994615025095</v>
      </c>
      <c r="L132" t="s">
        <v>84</v>
      </c>
      <c r="N132" t="s">
        <v>121</v>
      </c>
      <c r="O132" t="s">
        <v>85</v>
      </c>
      <c r="P132">
        <v>8.1084353088181405E-2</v>
      </c>
      <c r="Q132" t="s">
        <v>84</v>
      </c>
      <c r="S132" t="s">
        <v>136</v>
      </c>
      <c r="T132" t="s">
        <v>85</v>
      </c>
      <c r="U132">
        <v>7.8601388998476962E-2</v>
      </c>
      <c r="V132" t="s">
        <v>84</v>
      </c>
    </row>
    <row r="133" spans="9:22" x14ac:dyDescent="0.45">
      <c r="I133" t="s">
        <v>105</v>
      </c>
      <c r="J133" t="s">
        <v>86</v>
      </c>
      <c r="K133">
        <v>1.0845510335911237E-2</v>
      </c>
      <c r="L133" t="s">
        <v>84</v>
      </c>
      <c r="N133" t="s">
        <v>121</v>
      </c>
      <c r="O133" t="s">
        <v>86</v>
      </c>
      <c r="P133">
        <v>3.6870829600755543E-2</v>
      </c>
      <c r="Q133" t="s">
        <v>84</v>
      </c>
      <c r="S133" t="s">
        <v>136</v>
      </c>
      <c r="T133" t="s">
        <v>86</v>
      </c>
      <c r="U133">
        <v>3.2310619478896054E-2</v>
      </c>
      <c r="V133" t="s">
        <v>84</v>
      </c>
    </row>
    <row r="134" spans="9:22" x14ac:dyDescent="0.45">
      <c r="I134" t="s">
        <v>105</v>
      </c>
      <c r="J134" t="s">
        <v>87</v>
      </c>
      <c r="K134">
        <v>8.3612627583293689E-7</v>
      </c>
      <c r="L134" t="s">
        <v>84</v>
      </c>
      <c r="N134" t="s">
        <v>121</v>
      </c>
      <c r="O134" t="s">
        <v>87</v>
      </c>
      <c r="P134">
        <v>8.6150066525649674E-2</v>
      </c>
      <c r="Q134" t="s">
        <v>84</v>
      </c>
      <c r="S134" t="s">
        <v>136</v>
      </c>
      <c r="T134" t="s">
        <v>87</v>
      </c>
      <c r="U134">
        <v>9.3916469177230122E-2</v>
      </c>
      <c r="V134" t="s">
        <v>84</v>
      </c>
    </row>
    <row r="135" spans="9:22" x14ac:dyDescent="0.45">
      <c r="I135" t="s">
        <v>105</v>
      </c>
      <c r="J135" t="s">
        <v>88</v>
      </c>
      <c r="K135">
        <v>0.18715305372984486</v>
      </c>
      <c r="L135" t="s">
        <v>84</v>
      </c>
      <c r="N135" t="s">
        <v>121</v>
      </c>
      <c r="O135" t="s">
        <v>88</v>
      </c>
      <c r="P135">
        <v>0.14460391272953757</v>
      </c>
      <c r="Q135" t="s">
        <v>84</v>
      </c>
      <c r="S135" t="s">
        <v>136</v>
      </c>
      <c r="T135" t="s">
        <v>88</v>
      </c>
      <c r="U135">
        <v>0.1631515161169344</v>
      </c>
      <c r="V135" t="s">
        <v>84</v>
      </c>
    </row>
    <row r="136" spans="9:22" x14ac:dyDescent="0.45">
      <c r="I136" t="s">
        <v>105</v>
      </c>
      <c r="J136" t="s">
        <v>89</v>
      </c>
      <c r="K136">
        <v>0</v>
      </c>
      <c r="L136" t="s">
        <v>84</v>
      </c>
      <c r="N136" t="s">
        <v>121</v>
      </c>
      <c r="O136" t="s">
        <v>89</v>
      </c>
      <c r="P136">
        <v>6.8951956248537949E-2</v>
      </c>
      <c r="Q136" t="s">
        <v>84</v>
      </c>
      <c r="S136" t="s">
        <v>136</v>
      </c>
      <c r="T136" t="s">
        <v>89</v>
      </c>
      <c r="U136">
        <v>6.7882936199019292E-2</v>
      </c>
      <c r="V136" t="s">
        <v>84</v>
      </c>
    </row>
    <row r="137" spans="9:22" x14ac:dyDescent="0.45">
      <c r="I137" t="s">
        <v>105</v>
      </c>
      <c r="J137" t="s">
        <v>90</v>
      </c>
      <c r="K137">
        <v>4.3419575874307555E-3</v>
      </c>
      <c r="L137" t="s">
        <v>84</v>
      </c>
      <c r="N137" t="s">
        <v>121</v>
      </c>
      <c r="O137" t="s">
        <v>90</v>
      </c>
      <c r="P137">
        <v>0.1231099777058309</v>
      </c>
      <c r="Q137" t="s">
        <v>84</v>
      </c>
      <c r="S137" t="s">
        <v>136</v>
      </c>
      <c r="T137" t="s">
        <v>90</v>
      </c>
      <c r="U137">
        <v>0.11792414903785918</v>
      </c>
      <c r="V137" t="s">
        <v>84</v>
      </c>
    </row>
    <row r="138" spans="9:22" x14ac:dyDescent="0.45">
      <c r="I138" t="s">
        <v>105</v>
      </c>
      <c r="J138" t="s">
        <v>91</v>
      </c>
      <c r="K138">
        <v>0.26278207788407104</v>
      </c>
      <c r="L138" t="s">
        <v>84</v>
      </c>
      <c r="N138" t="s">
        <v>121</v>
      </c>
      <c r="O138" t="s">
        <v>91</v>
      </c>
      <c r="P138">
        <v>0.18789111871870912</v>
      </c>
      <c r="Q138" t="s">
        <v>84</v>
      </c>
      <c r="S138" t="s">
        <v>136</v>
      </c>
      <c r="T138" t="s">
        <v>91</v>
      </c>
      <c r="U138">
        <v>0.2032924954276579</v>
      </c>
      <c r="V138" t="s">
        <v>84</v>
      </c>
    </row>
    <row r="139" spans="9:22" x14ac:dyDescent="0.45">
      <c r="I139" t="s">
        <v>105</v>
      </c>
      <c r="J139" t="s">
        <v>92</v>
      </c>
      <c r="K139">
        <v>2.9499727082831689E-5</v>
      </c>
      <c r="L139" t="s">
        <v>84</v>
      </c>
      <c r="N139" t="s">
        <v>121</v>
      </c>
      <c r="O139" t="s">
        <v>92</v>
      </c>
      <c r="P139">
        <v>9.3726958103487287E-2</v>
      </c>
      <c r="Q139" t="s">
        <v>84</v>
      </c>
      <c r="S139" t="s">
        <v>136</v>
      </c>
      <c r="T139" t="s">
        <v>92</v>
      </c>
      <c r="U139">
        <v>8.3626554946250611E-2</v>
      </c>
      <c r="V139" t="s">
        <v>84</v>
      </c>
    </row>
    <row r="140" spans="9:22" x14ac:dyDescent="0.45">
      <c r="I140" t="s">
        <v>105</v>
      </c>
      <c r="J140" t="s">
        <v>93</v>
      </c>
      <c r="K140">
        <v>1.8877185427288213E-2</v>
      </c>
      <c r="L140" t="s">
        <v>84</v>
      </c>
      <c r="N140" t="s">
        <v>121</v>
      </c>
      <c r="O140" t="s">
        <v>93</v>
      </c>
      <c r="P140">
        <v>3.7109024659178744E-2</v>
      </c>
      <c r="Q140" t="s">
        <v>84</v>
      </c>
      <c r="S140" t="s">
        <v>136</v>
      </c>
      <c r="T140" t="s">
        <v>93</v>
      </c>
      <c r="U140">
        <v>3.2591160643461098E-2</v>
      </c>
      <c r="V140" t="s">
        <v>84</v>
      </c>
    </row>
    <row r="141" spans="9:22" x14ac:dyDescent="0.45">
      <c r="I141" t="s">
        <v>105</v>
      </c>
      <c r="J141" t="s">
        <v>94</v>
      </c>
      <c r="K141">
        <v>0.24494946339568241</v>
      </c>
      <c r="L141" t="s">
        <v>84</v>
      </c>
      <c r="N141" t="s">
        <v>121</v>
      </c>
      <c r="O141" t="s">
        <v>94</v>
      </c>
      <c r="P141">
        <v>6.848655504843397E-2</v>
      </c>
      <c r="Q141" t="s">
        <v>84</v>
      </c>
      <c r="S141" t="s">
        <v>136</v>
      </c>
      <c r="T141" t="s">
        <v>94</v>
      </c>
      <c r="U141">
        <v>6.065369555362804E-2</v>
      </c>
      <c r="V141" t="s">
        <v>84</v>
      </c>
    </row>
    <row r="142" spans="9:22" x14ac:dyDescent="0.45">
      <c r="I142" t="s">
        <v>105</v>
      </c>
      <c r="J142" t="s">
        <v>95</v>
      </c>
      <c r="K142">
        <v>8.4733401863554721E-3</v>
      </c>
      <c r="L142" t="s">
        <v>84</v>
      </c>
      <c r="N142" t="s">
        <v>121</v>
      </c>
      <c r="O142" t="s">
        <v>95</v>
      </c>
      <c r="P142">
        <v>3.3319633408546413E-2</v>
      </c>
      <c r="Q142" t="s">
        <v>84</v>
      </c>
      <c r="S142" t="s">
        <v>136</v>
      </c>
      <c r="T142" t="s">
        <v>95</v>
      </c>
      <c r="U142">
        <v>2.5175982304905798E-2</v>
      </c>
      <c r="V142" t="s">
        <v>84</v>
      </c>
    </row>
    <row r="143" spans="9:22" x14ac:dyDescent="0.45">
      <c r="I143" t="s">
        <v>106</v>
      </c>
      <c r="J143" t="s">
        <v>83</v>
      </c>
      <c r="K143">
        <v>1.5659241293123072E-2</v>
      </c>
      <c r="L143" t="s">
        <v>84</v>
      </c>
      <c r="N143" t="s">
        <v>122</v>
      </c>
      <c r="O143" t="s">
        <v>83</v>
      </c>
      <c r="P143">
        <v>3.8127921626981601E-2</v>
      </c>
      <c r="Q143" t="s">
        <v>84</v>
      </c>
      <c r="S143" t="s">
        <v>137</v>
      </c>
      <c r="T143" t="s">
        <v>83</v>
      </c>
      <c r="U143">
        <v>4.2111509703712857E-2</v>
      </c>
      <c r="V143" t="s">
        <v>84</v>
      </c>
    </row>
    <row r="144" spans="9:22" x14ac:dyDescent="0.45">
      <c r="I144" t="s">
        <v>106</v>
      </c>
      <c r="J144" t="s">
        <v>85</v>
      </c>
      <c r="K144">
        <v>0.25185751084902941</v>
      </c>
      <c r="L144" t="s">
        <v>84</v>
      </c>
      <c r="N144" t="s">
        <v>122</v>
      </c>
      <c r="O144" t="s">
        <v>85</v>
      </c>
      <c r="P144">
        <v>9.8734513509267152E-2</v>
      </c>
      <c r="Q144" t="s">
        <v>84</v>
      </c>
      <c r="S144" t="s">
        <v>137</v>
      </c>
      <c r="T144" t="s">
        <v>85</v>
      </c>
      <c r="U144">
        <v>7.0982679787087249E-2</v>
      </c>
      <c r="V144" t="s">
        <v>84</v>
      </c>
    </row>
    <row r="145" spans="9:22" x14ac:dyDescent="0.45">
      <c r="I145" t="s">
        <v>106</v>
      </c>
      <c r="J145" t="s">
        <v>86</v>
      </c>
      <c r="K145">
        <v>7.5683106095167027E-3</v>
      </c>
      <c r="L145" t="s">
        <v>84</v>
      </c>
      <c r="N145" t="s">
        <v>122</v>
      </c>
      <c r="O145" t="s">
        <v>86</v>
      </c>
      <c r="P145">
        <v>3.1514284676790294E-2</v>
      </c>
      <c r="Q145" t="s">
        <v>84</v>
      </c>
      <c r="S145" t="s">
        <v>137</v>
      </c>
      <c r="T145" t="s">
        <v>86</v>
      </c>
      <c r="U145">
        <v>2.8676098572450737E-2</v>
      </c>
      <c r="V145" t="s">
        <v>84</v>
      </c>
    </row>
    <row r="146" spans="9:22" x14ac:dyDescent="0.45">
      <c r="I146" t="s">
        <v>106</v>
      </c>
      <c r="J146" t="s">
        <v>87</v>
      </c>
      <c r="K146">
        <v>1.2382428885157957E-3</v>
      </c>
      <c r="L146" t="s">
        <v>84</v>
      </c>
      <c r="N146" t="s">
        <v>122</v>
      </c>
      <c r="O146" t="s">
        <v>87</v>
      </c>
      <c r="P146">
        <v>8.4694873525903019E-2</v>
      </c>
      <c r="Q146" t="s">
        <v>84</v>
      </c>
      <c r="S146" t="s">
        <v>137</v>
      </c>
      <c r="T146" t="s">
        <v>87</v>
      </c>
      <c r="U146">
        <v>9.6313868785520299E-2</v>
      </c>
      <c r="V146" t="s">
        <v>84</v>
      </c>
    </row>
    <row r="147" spans="9:22" x14ac:dyDescent="0.45">
      <c r="I147" t="s">
        <v>106</v>
      </c>
      <c r="J147" t="s">
        <v>88</v>
      </c>
      <c r="K147">
        <v>0.20503961924721817</v>
      </c>
      <c r="L147" t="s">
        <v>84</v>
      </c>
      <c r="N147" t="s">
        <v>122</v>
      </c>
      <c r="O147" t="s">
        <v>88</v>
      </c>
      <c r="P147">
        <v>0.15316178030555846</v>
      </c>
      <c r="Q147" t="s">
        <v>84</v>
      </c>
      <c r="S147" t="s">
        <v>137</v>
      </c>
      <c r="T147" t="s">
        <v>88</v>
      </c>
      <c r="U147">
        <v>0.16456006880808643</v>
      </c>
      <c r="V147" t="s">
        <v>84</v>
      </c>
    </row>
    <row r="148" spans="9:22" x14ac:dyDescent="0.45">
      <c r="I148" t="s">
        <v>106</v>
      </c>
      <c r="J148" t="s">
        <v>89</v>
      </c>
      <c r="K148">
        <v>0</v>
      </c>
      <c r="L148" t="s">
        <v>84</v>
      </c>
      <c r="N148" t="s">
        <v>122</v>
      </c>
      <c r="O148" t="s">
        <v>89</v>
      </c>
      <c r="P148">
        <v>6.1475859560253317E-2</v>
      </c>
      <c r="Q148" t="s">
        <v>84</v>
      </c>
      <c r="S148" t="s">
        <v>137</v>
      </c>
      <c r="T148" t="s">
        <v>89</v>
      </c>
      <c r="U148">
        <v>7.1612532289267811E-2</v>
      </c>
      <c r="V148" t="s">
        <v>84</v>
      </c>
    </row>
    <row r="149" spans="9:22" x14ac:dyDescent="0.45">
      <c r="I149" t="s">
        <v>106</v>
      </c>
      <c r="J149" t="s">
        <v>90</v>
      </c>
      <c r="K149">
        <v>6.5686126647732093E-3</v>
      </c>
      <c r="L149" t="s">
        <v>84</v>
      </c>
      <c r="N149" t="s">
        <v>122</v>
      </c>
      <c r="O149" t="s">
        <v>90</v>
      </c>
      <c r="P149">
        <v>0.10542391365028361</v>
      </c>
      <c r="Q149" t="s">
        <v>84</v>
      </c>
      <c r="S149" t="s">
        <v>137</v>
      </c>
      <c r="T149" t="s">
        <v>90</v>
      </c>
      <c r="U149">
        <v>0.11177273821025789</v>
      </c>
      <c r="V149" t="s">
        <v>84</v>
      </c>
    </row>
    <row r="150" spans="9:22" x14ac:dyDescent="0.45">
      <c r="I150" t="s">
        <v>106</v>
      </c>
      <c r="J150" t="s">
        <v>91</v>
      </c>
      <c r="K150">
        <v>0.26220980746335298</v>
      </c>
      <c r="L150" t="s">
        <v>84</v>
      </c>
      <c r="N150" t="s">
        <v>122</v>
      </c>
      <c r="O150" t="s">
        <v>91</v>
      </c>
      <c r="P150">
        <v>0.20845710026858483</v>
      </c>
      <c r="Q150" t="s">
        <v>84</v>
      </c>
      <c r="S150" t="s">
        <v>137</v>
      </c>
      <c r="T150" t="s">
        <v>91</v>
      </c>
      <c r="U150">
        <v>0.19372979870865556</v>
      </c>
      <c r="V150" t="s">
        <v>84</v>
      </c>
    </row>
    <row r="151" spans="9:22" x14ac:dyDescent="0.45">
      <c r="I151" t="s">
        <v>106</v>
      </c>
      <c r="J151" t="s">
        <v>92</v>
      </c>
      <c r="K151">
        <v>0</v>
      </c>
      <c r="L151" t="s">
        <v>84</v>
      </c>
      <c r="N151" t="s">
        <v>122</v>
      </c>
      <c r="O151" t="s">
        <v>92</v>
      </c>
      <c r="P151">
        <v>7.6478594180589332E-2</v>
      </c>
      <c r="Q151" t="s">
        <v>84</v>
      </c>
      <c r="S151" t="s">
        <v>137</v>
      </c>
      <c r="T151" t="s">
        <v>92</v>
      </c>
      <c r="U151">
        <v>7.9628435472653719E-2</v>
      </c>
      <c r="V151" t="s">
        <v>84</v>
      </c>
    </row>
    <row r="152" spans="9:22" x14ac:dyDescent="0.45">
      <c r="I152" t="s">
        <v>106</v>
      </c>
      <c r="J152" t="s">
        <v>93</v>
      </c>
      <c r="K152">
        <v>1.9808088774423815E-2</v>
      </c>
      <c r="L152" t="s">
        <v>84</v>
      </c>
      <c r="N152" t="s">
        <v>122</v>
      </c>
      <c r="O152" t="s">
        <v>93</v>
      </c>
      <c r="P152">
        <v>3.4472999382024083E-2</v>
      </c>
      <c r="Q152" t="s">
        <v>84</v>
      </c>
      <c r="S152" t="s">
        <v>137</v>
      </c>
      <c r="T152" t="s">
        <v>93</v>
      </c>
      <c r="U152">
        <v>3.7923115182970799E-2</v>
      </c>
      <c r="V152" t="s">
        <v>84</v>
      </c>
    </row>
    <row r="153" spans="9:22" x14ac:dyDescent="0.45">
      <c r="I153" t="s">
        <v>106</v>
      </c>
      <c r="J153" t="s">
        <v>94</v>
      </c>
      <c r="K153">
        <v>0.22594824342206304</v>
      </c>
      <c r="L153" t="s">
        <v>84</v>
      </c>
      <c r="N153" t="s">
        <v>122</v>
      </c>
      <c r="O153" t="s">
        <v>94</v>
      </c>
      <c r="P153">
        <v>8.3058573039136954E-2</v>
      </c>
      <c r="Q153" t="s">
        <v>84</v>
      </c>
      <c r="S153" t="s">
        <v>137</v>
      </c>
      <c r="T153" t="s">
        <v>94</v>
      </c>
      <c r="U153">
        <v>7.4748051635982179E-2</v>
      </c>
      <c r="V153" t="s">
        <v>84</v>
      </c>
    </row>
    <row r="154" spans="9:22" x14ac:dyDescent="0.45">
      <c r="I154" t="s">
        <v>106</v>
      </c>
      <c r="J154" t="s">
        <v>95</v>
      </c>
      <c r="K154">
        <v>4.1023227879827973E-3</v>
      </c>
      <c r="L154" t="s">
        <v>84</v>
      </c>
      <c r="N154" t="s">
        <v>122</v>
      </c>
      <c r="O154" t="s">
        <v>95</v>
      </c>
      <c r="P154">
        <v>2.439958627462583E-2</v>
      </c>
      <c r="Q154" t="s">
        <v>84</v>
      </c>
      <c r="S154" t="s">
        <v>137</v>
      </c>
      <c r="T154" t="s">
        <v>95</v>
      </c>
      <c r="U154">
        <v>2.7941102843352775E-2</v>
      </c>
      <c r="V154" t="s">
        <v>84</v>
      </c>
    </row>
    <row r="155" spans="9:22" x14ac:dyDescent="0.45">
      <c r="I155" t="s">
        <v>107</v>
      </c>
      <c r="J155" t="s">
        <v>83</v>
      </c>
      <c r="K155">
        <v>1.4762668377254365E-2</v>
      </c>
      <c r="L155" t="s">
        <v>84</v>
      </c>
      <c r="N155" t="s">
        <v>123</v>
      </c>
      <c r="O155" t="s">
        <v>83</v>
      </c>
      <c r="P155">
        <v>3.91230512776213E-2</v>
      </c>
      <c r="Q155" t="s">
        <v>84</v>
      </c>
      <c r="S155" t="s">
        <v>138</v>
      </c>
      <c r="T155" t="s">
        <v>83</v>
      </c>
      <c r="U155">
        <v>4.3878857727994373E-2</v>
      </c>
      <c r="V155" t="s">
        <v>84</v>
      </c>
    </row>
    <row r="156" spans="9:22" x14ac:dyDescent="0.45">
      <c r="I156" t="s">
        <v>107</v>
      </c>
      <c r="J156" t="s">
        <v>85</v>
      </c>
      <c r="K156">
        <v>0.25000152558983169</v>
      </c>
      <c r="L156" t="s">
        <v>84</v>
      </c>
      <c r="N156" t="s">
        <v>123</v>
      </c>
      <c r="O156" t="s">
        <v>85</v>
      </c>
      <c r="P156">
        <v>8.3639741515645794E-2</v>
      </c>
      <c r="Q156" t="s">
        <v>84</v>
      </c>
      <c r="S156" t="s">
        <v>138</v>
      </c>
      <c r="T156" t="s">
        <v>85</v>
      </c>
      <c r="U156">
        <v>7.232346601201621E-2</v>
      </c>
      <c r="V156" t="s">
        <v>84</v>
      </c>
    </row>
    <row r="157" spans="9:22" x14ac:dyDescent="0.45">
      <c r="I157" t="s">
        <v>107</v>
      </c>
      <c r="J157" t="s">
        <v>86</v>
      </c>
      <c r="K157">
        <v>8.1679362196757383E-3</v>
      </c>
      <c r="L157" t="s">
        <v>84</v>
      </c>
      <c r="N157" t="s">
        <v>123</v>
      </c>
      <c r="O157" t="s">
        <v>86</v>
      </c>
      <c r="P157">
        <v>2.6416031423414053E-2</v>
      </c>
      <c r="Q157" t="s">
        <v>84</v>
      </c>
      <c r="S157" t="s">
        <v>138</v>
      </c>
      <c r="T157" t="s">
        <v>86</v>
      </c>
      <c r="U157">
        <v>3.0195142014867473E-2</v>
      </c>
      <c r="V157" t="s">
        <v>84</v>
      </c>
    </row>
    <row r="158" spans="9:22" x14ac:dyDescent="0.45">
      <c r="I158" t="s">
        <v>107</v>
      </c>
      <c r="J158" t="s">
        <v>87</v>
      </c>
      <c r="K158">
        <v>4.8590255878886313E-4</v>
      </c>
      <c r="L158" t="s">
        <v>84</v>
      </c>
      <c r="N158" t="s">
        <v>123</v>
      </c>
      <c r="O158" t="s">
        <v>87</v>
      </c>
      <c r="P158">
        <v>7.9445400515675516E-2</v>
      </c>
      <c r="Q158" t="s">
        <v>84</v>
      </c>
      <c r="S158" t="s">
        <v>138</v>
      </c>
      <c r="T158" t="s">
        <v>87</v>
      </c>
      <c r="U158">
        <v>9.858788722980745E-2</v>
      </c>
      <c r="V158" t="s">
        <v>84</v>
      </c>
    </row>
    <row r="159" spans="9:22" x14ac:dyDescent="0.45">
      <c r="I159" t="s">
        <v>107</v>
      </c>
      <c r="J159" t="s">
        <v>88</v>
      </c>
      <c r="K159">
        <v>0.19854434164836671</v>
      </c>
      <c r="L159" t="s">
        <v>84</v>
      </c>
      <c r="N159" t="s">
        <v>123</v>
      </c>
      <c r="O159" t="s">
        <v>88</v>
      </c>
      <c r="P159">
        <v>0.13385293543834456</v>
      </c>
      <c r="Q159" t="s">
        <v>84</v>
      </c>
      <c r="S159" t="s">
        <v>138</v>
      </c>
      <c r="T159" t="s">
        <v>88</v>
      </c>
      <c r="U159">
        <v>0.16650423363658251</v>
      </c>
      <c r="V159" t="s">
        <v>84</v>
      </c>
    </row>
    <row r="160" spans="9:22" x14ac:dyDescent="0.45">
      <c r="I160" t="s">
        <v>107</v>
      </c>
      <c r="J160" t="s">
        <v>89</v>
      </c>
      <c r="K160">
        <v>0</v>
      </c>
      <c r="L160" t="s">
        <v>84</v>
      </c>
      <c r="N160" t="s">
        <v>123</v>
      </c>
      <c r="O160" t="s">
        <v>89</v>
      </c>
      <c r="P160">
        <v>5.3824054327949809E-2</v>
      </c>
      <c r="Q160" t="s">
        <v>84</v>
      </c>
      <c r="S160" t="s">
        <v>138</v>
      </c>
      <c r="T160" t="s">
        <v>89</v>
      </c>
      <c r="U160">
        <v>7.0901389501972348E-2</v>
      </c>
      <c r="V160" t="s">
        <v>84</v>
      </c>
    </row>
    <row r="161" spans="9:22" x14ac:dyDescent="0.45">
      <c r="I161" t="s">
        <v>107</v>
      </c>
      <c r="J161" t="s">
        <v>90</v>
      </c>
      <c r="K161">
        <v>6.3806951251091405E-3</v>
      </c>
      <c r="L161" t="s">
        <v>84</v>
      </c>
      <c r="N161" t="s">
        <v>123</v>
      </c>
      <c r="O161" t="s">
        <v>90</v>
      </c>
      <c r="P161">
        <v>0.13414907338120699</v>
      </c>
      <c r="Q161" t="s">
        <v>84</v>
      </c>
      <c r="S161" t="s">
        <v>138</v>
      </c>
      <c r="T161" t="s">
        <v>90</v>
      </c>
      <c r="U161">
        <v>0.11130251387761056</v>
      </c>
      <c r="V161" t="s">
        <v>84</v>
      </c>
    </row>
    <row r="162" spans="9:22" x14ac:dyDescent="0.45">
      <c r="I162" t="s">
        <v>107</v>
      </c>
      <c r="J162" t="s">
        <v>91</v>
      </c>
      <c r="K162">
        <v>0.27168094148156524</v>
      </c>
      <c r="L162" t="s">
        <v>84</v>
      </c>
      <c r="N162" t="s">
        <v>123</v>
      </c>
      <c r="O162" t="s">
        <v>91</v>
      </c>
      <c r="P162">
        <v>0.23593366811937277</v>
      </c>
      <c r="Q162" t="s">
        <v>84</v>
      </c>
      <c r="S162" t="s">
        <v>138</v>
      </c>
      <c r="T162" t="s">
        <v>91</v>
      </c>
      <c r="U162">
        <v>0.18281280379501702</v>
      </c>
      <c r="V162" t="s">
        <v>84</v>
      </c>
    </row>
    <row r="163" spans="9:22" x14ac:dyDescent="0.45">
      <c r="I163" t="s">
        <v>107</v>
      </c>
      <c r="J163" t="s">
        <v>92</v>
      </c>
      <c r="K163">
        <v>0</v>
      </c>
      <c r="L163" t="s">
        <v>84</v>
      </c>
      <c r="N163" t="s">
        <v>123</v>
      </c>
      <c r="O163" t="s">
        <v>92</v>
      </c>
      <c r="P163">
        <v>9.1705647278972041E-2</v>
      </c>
      <c r="Q163" t="s">
        <v>84</v>
      </c>
      <c r="S163" t="s">
        <v>138</v>
      </c>
      <c r="T163" t="s">
        <v>92</v>
      </c>
      <c r="U163">
        <v>7.5223970182377448E-2</v>
      </c>
      <c r="V163" t="s">
        <v>84</v>
      </c>
    </row>
    <row r="164" spans="9:22" x14ac:dyDescent="0.45">
      <c r="I164" t="s">
        <v>107</v>
      </c>
      <c r="J164" t="s">
        <v>93</v>
      </c>
      <c r="K164">
        <v>1.8985846721786874E-2</v>
      </c>
      <c r="L164" t="s">
        <v>84</v>
      </c>
      <c r="N164" t="s">
        <v>123</v>
      </c>
      <c r="O164" t="s">
        <v>93</v>
      </c>
      <c r="P164">
        <v>2.9387869774383332E-2</v>
      </c>
      <c r="Q164" t="s">
        <v>84</v>
      </c>
      <c r="S164" t="s">
        <v>138</v>
      </c>
      <c r="T164" t="s">
        <v>93</v>
      </c>
      <c r="U164">
        <v>4.1785871737382053E-2</v>
      </c>
      <c r="V164" t="s">
        <v>84</v>
      </c>
    </row>
    <row r="165" spans="9:22" x14ac:dyDescent="0.45">
      <c r="I165" t="s">
        <v>107</v>
      </c>
      <c r="J165" t="s">
        <v>94</v>
      </c>
      <c r="K165">
        <v>0.22561776594636418</v>
      </c>
      <c r="L165" t="s">
        <v>84</v>
      </c>
      <c r="N165" t="s">
        <v>123</v>
      </c>
      <c r="O165" t="s">
        <v>94</v>
      </c>
      <c r="P165">
        <v>7.1543601157305667E-2</v>
      </c>
      <c r="Q165" t="s">
        <v>84</v>
      </c>
      <c r="S165" t="s">
        <v>138</v>
      </c>
      <c r="T165" t="s">
        <v>94</v>
      </c>
      <c r="U165">
        <v>7.6210773815258537E-2</v>
      </c>
      <c r="V165" t="s">
        <v>84</v>
      </c>
    </row>
    <row r="166" spans="9:22" x14ac:dyDescent="0.45">
      <c r="I166" t="s">
        <v>107</v>
      </c>
      <c r="J166" t="s">
        <v>95</v>
      </c>
      <c r="K166">
        <v>5.3723763312593306E-3</v>
      </c>
      <c r="L166" t="s">
        <v>84</v>
      </c>
      <c r="N166" t="s">
        <v>123</v>
      </c>
      <c r="O166" t="s">
        <v>95</v>
      </c>
      <c r="P166">
        <v>2.0978925790106663E-2</v>
      </c>
      <c r="Q166" t="s">
        <v>84</v>
      </c>
      <c r="S166" t="s">
        <v>138</v>
      </c>
      <c r="T166" t="s">
        <v>95</v>
      </c>
      <c r="U166">
        <v>3.0273090469109358E-2</v>
      </c>
      <c r="V166" t="s">
        <v>84</v>
      </c>
    </row>
    <row r="167" spans="9:22" x14ac:dyDescent="0.45">
      <c r="I167" t="s">
        <v>108</v>
      </c>
      <c r="J167" t="s">
        <v>83</v>
      </c>
      <c r="K167">
        <v>1.269591294138471E-2</v>
      </c>
      <c r="L167" t="s">
        <v>84</v>
      </c>
      <c r="N167" t="s">
        <v>124</v>
      </c>
      <c r="O167" t="s">
        <v>83</v>
      </c>
      <c r="P167">
        <v>3.8162921057989005E-2</v>
      </c>
      <c r="Q167" t="s">
        <v>84</v>
      </c>
      <c r="S167" t="s">
        <v>139</v>
      </c>
      <c r="T167" t="s">
        <v>83</v>
      </c>
      <c r="U167">
        <v>4.8385861909298271E-2</v>
      </c>
      <c r="V167" t="s">
        <v>84</v>
      </c>
    </row>
    <row r="168" spans="9:22" x14ac:dyDescent="0.45">
      <c r="I168" t="s">
        <v>108</v>
      </c>
      <c r="J168" t="s">
        <v>85</v>
      </c>
      <c r="K168">
        <v>0.25522468531221243</v>
      </c>
      <c r="L168" t="s">
        <v>84</v>
      </c>
      <c r="N168" t="s">
        <v>124</v>
      </c>
      <c r="O168" t="s">
        <v>85</v>
      </c>
      <c r="P168">
        <v>0.10216850188560879</v>
      </c>
      <c r="Q168" t="s">
        <v>84</v>
      </c>
      <c r="S168" t="s">
        <v>139</v>
      </c>
      <c r="T168" t="s">
        <v>85</v>
      </c>
      <c r="U168">
        <v>8.5468626635869419E-2</v>
      </c>
      <c r="V168" t="s">
        <v>84</v>
      </c>
    </row>
    <row r="169" spans="9:22" x14ac:dyDescent="0.45">
      <c r="I169" t="s">
        <v>108</v>
      </c>
      <c r="J169" t="s">
        <v>86</v>
      </c>
      <c r="K169">
        <v>7.0153684853649567E-3</v>
      </c>
      <c r="L169" t="s">
        <v>84</v>
      </c>
      <c r="N169" t="s">
        <v>124</v>
      </c>
      <c r="O169" t="s">
        <v>86</v>
      </c>
      <c r="P169">
        <v>2.7088490075067605E-2</v>
      </c>
      <c r="Q169" t="s">
        <v>84</v>
      </c>
      <c r="S169" t="s">
        <v>139</v>
      </c>
      <c r="T169" t="s">
        <v>86</v>
      </c>
      <c r="U169">
        <v>3.4679027892348398E-2</v>
      </c>
      <c r="V169" t="s">
        <v>84</v>
      </c>
    </row>
    <row r="170" spans="9:22" x14ac:dyDescent="0.45">
      <c r="I170" t="s">
        <v>108</v>
      </c>
      <c r="J170" t="s">
        <v>87</v>
      </c>
      <c r="K170">
        <v>1.4619897285317383E-3</v>
      </c>
      <c r="L170" t="s">
        <v>84</v>
      </c>
      <c r="N170" t="s">
        <v>124</v>
      </c>
      <c r="O170" t="s">
        <v>87</v>
      </c>
      <c r="P170">
        <v>8.072927505179707E-2</v>
      </c>
      <c r="Q170" t="s">
        <v>84</v>
      </c>
      <c r="S170" t="s">
        <v>139</v>
      </c>
      <c r="T170" t="s">
        <v>87</v>
      </c>
      <c r="U170">
        <v>9.5908163259834076E-2</v>
      </c>
      <c r="V170" t="s">
        <v>84</v>
      </c>
    </row>
    <row r="171" spans="9:22" x14ac:dyDescent="0.45">
      <c r="I171" t="s">
        <v>108</v>
      </c>
      <c r="J171" t="s">
        <v>88</v>
      </c>
      <c r="K171">
        <v>0.21476593617067194</v>
      </c>
      <c r="L171" t="s">
        <v>84</v>
      </c>
      <c r="N171" t="s">
        <v>124</v>
      </c>
      <c r="O171" t="s">
        <v>88</v>
      </c>
      <c r="P171">
        <v>0.14185055219252135</v>
      </c>
      <c r="Q171" t="s">
        <v>84</v>
      </c>
      <c r="S171" t="s">
        <v>139</v>
      </c>
      <c r="T171" t="s">
        <v>88</v>
      </c>
      <c r="U171">
        <v>0.16565566429356557</v>
      </c>
      <c r="V171" t="s">
        <v>84</v>
      </c>
    </row>
    <row r="172" spans="9:22" x14ac:dyDescent="0.45">
      <c r="I172" t="s">
        <v>108</v>
      </c>
      <c r="J172" t="s">
        <v>89</v>
      </c>
      <c r="K172">
        <v>0</v>
      </c>
      <c r="L172" t="s">
        <v>84</v>
      </c>
      <c r="N172" t="s">
        <v>124</v>
      </c>
      <c r="O172" t="s">
        <v>89</v>
      </c>
      <c r="P172">
        <v>5.1741483600845635E-2</v>
      </c>
      <c r="Q172" t="s">
        <v>84</v>
      </c>
      <c r="S172" t="s">
        <v>139</v>
      </c>
      <c r="T172" t="s">
        <v>89</v>
      </c>
      <c r="U172">
        <v>6.984026909836516E-2</v>
      </c>
      <c r="V172" t="s">
        <v>84</v>
      </c>
    </row>
    <row r="173" spans="9:22" x14ac:dyDescent="0.45">
      <c r="I173" t="s">
        <v>108</v>
      </c>
      <c r="J173" t="s">
        <v>90</v>
      </c>
      <c r="K173">
        <v>4.4430231817822168E-3</v>
      </c>
      <c r="L173" t="s">
        <v>84</v>
      </c>
      <c r="N173" t="s">
        <v>124</v>
      </c>
      <c r="O173" t="s">
        <v>90</v>
      </c>
      <c r="P173">
        <v>0.11263056989627053</v>
      </c>
      <c r="Q173" t="s">
        <v>84</v>
      </c>
      <c r="S173" t="s">
        <v>139</v>
      </c>
      <c r="T173" t="s">
        <v>90</v>
      </c>
      <c r="U173">
        <v>0.10102248309897315</v>
      </c>
      <c r="V173" t="s">
        <v>84</v>
      </c>
    </row>
    <row r="174" spans="9:22" x14ac:dyDescent="0.45">
      <c r="I174" t="s">
        <v>108</v>
      </c>
      <c r="J174" t="s">
        <v>91</v>
      </c>
      <c r="K174">
        <v>0.24523883799838547</v>
      </c>
      <c r="L174" t="s">
        <v>84</v>
      </c>
      <c r="N174" t="s">
        <v>124</v>
      </c>
      <c r="O174" t="s">
        <v>91</v>
      </c>
      <c r="P174">
        <v>0.226859529197734</v>
      </c>
      <c r="Q174" t="s">
        <v>84</v>
      </c>
      <c r="S174" t="s">
        <v>139</v>
      </c>
      <c r="T174" t="s">
        <v>91</v>
      </c>
      <c r="U174">
        <v>0.17490300538559686</v>
      </c>
      <c r="V174" t="s">
        <v>84</v>
      </c>
    </row>
    <row r="175" spans="9:22" x14ac:dyDescent="0.45">
      <c r="I175" t="s">
        <v>108</v>
      </c>
      <c r="J175" t="s">
        <v>92</v>
      </c>
      <c r="K175">
        <v>0</v>
      </c>
      <c r="L175" t="s">
        <v>84</v>
      </c>
      <c r="N175" t="s">
        <v>124</v>
      </c>
      <c r="O175" t="s">
        <v>92</v>
      </c>
      <c r="P175">
        <v>7.9368303762034451E-2</v>
      </c>
      <c r="Q175" t="s">
        <v>84</v>
      </c>
      <c r="S175" t="s">
        <v>139</v>
      </c>
      <c r="T175" t="s">
        <v>92</v>
      </c>
      <c r="U175">
        <v>7.0782327736588047E-2</v>
      </c>
      <c r="V175" t="s">
        <v>84</v>
      </c>
    </row>
    <row r="176" spans="9:22" x14ac:dyDescent="0.45">
      <c r="I176" t="s">
        <v>108</v>
      </c>
      <c r="J176" t="s">
        <v>93</v>
      </c>
      <c r="K176">
        <v>1.9668344742704812E-2</v>
      </c>
      <c r="L176" t="s">
        <v>84</v>
      </c>
      <c r="N176" t="s">
        <v>124</v>
      </c>
      <c r="O176" t="s">
        <v>93</v>
      </c>
      <c r="P176">
        <v>3.0183045257418613E-2</v>
      </c>
      <c r="Q176" t="s">
        <v>84</v>
      </c>
      <c r="S176" t="s">
        <v>139</v>
      </c>
      <c r="T176" t="s">
        <v>93</v>
      </c>
      <c r="U176">
        <v>4.4795528367682191E-2</v>
      </c>
      <c r="V176" t="s">
        <v>84</v>
      </c>
    </row>
    <row r="177" spans="9:22" x14ac:dyDescent="0.45">
      <c r="I177" t="s">
        <v>108</v>
      </c>
      <c r="J177" t="s">
        <v>94</v>
      </c>
      <c r="K177">
        <v>0.23552837396679699</v>
      </c>
      <c r="L177" t="s">
        <v>84</v>
      </c>
      <c r="N177" t="s">
        <v>124</v>
      </c>
      <c r="O177" t="s">
        <v>94</v>
      </c>
      <c r="P177">
        <v>8.3398985037874629E-2</v>
      </c>
      <c r="Q177" t="s">
        <v>84</v>
      </c>
      <c r="S177" t="s">
        <v>139</v>
      </c>
      <c r="T177" t="s">
        <v>94</v>
      </c>
      <c r="U177">
        <v>7.7196306273606158E-2</v>
      </c>
      <c r="V177" t="s">
        <v>84</v>
      </c>
    </row>
    <row r="178" spans="9:22" x14ac:dyDescent="0.45">
      <c r="I178" t="s">
        <v>108</v>
      </c>
      <c r="J178" t="s">
        <v>95</v>
      </c>
      <c r="K178">
        <v>3.9575274721653604E-3</v>
      </c>
      <c r="L178" t="s">
        <v>84</v>
      </c>
      <c r="N178" t="s">
        <v>124</v>
      </c>
      <c r="O178" t="s">
        <v>95</v>
      </c>
      <c r="P178">
        <v>2.5818342984832949E-2</v>
      </c>
      <c r="Q178" t="s">
        <v>84</v>
      </c>
      <c r="S178" t="s">
        <v>139</v>
      </c>
      <c r="T178" t="s">
        <v>95</v>
      </c>
      <c r="U178">
        <v>3.1362736048274151E-2</v>
      </c>
      <c r="V178" t="s">
        <v>84</v>
      </c>
    </row>
    <row r="179" spans="9:22" x14ac:dyDescent="0.45">
      <c r="I179" t="s">
        <v>109</v>
      </c>
      <c r="J179" t="s">
        <v>83</v>
      </c>
      <c r="K179">
        <v>1.1283444807366285E-2</v>
      </c>
      <c r="L179" t="s">
        <v>84</v>
      </c>
      <c r="N179" t="s">
        <v>125</v>
      </c>
      <c r="O179" t="s">
        <v>83</v>
      </c>
      <c r="P179">
        <v>3.7317766557931377E-2</v>
      </c>
      <c r="Q179" t="s">
        <v>84</v>
      </c>
      <c r="S179" t="s">
        <v>140</v>
      </c>
      <c r="T179" t="s">
        <v>83</v>
      </c>
      <c r="U179">
        <v>4.9399140203958948E-2</v>
      </c>
      <c r="V179" t="s">
        <v>84</v>
      </c>
    </row>
    <row r="180" spans="9:22" x14ac:dyDescent="0.45">
      <c r="I180" t="s">
        <v>109</v>
      </c>
      <c r="J180" t="s">
        <v>85</v>
      </c>
      <c r="K180">
        <v>0.2562294465687886</v>
      </c>
      <c r="L180" t="s">
        <v>84</v>
      </c>
      <c r="N180" t="s">
        <v>125</v>
      </c>
      <c r="O180" t="s">
        <v>85</v>
      </c>
      <c r="P180">
        <v>9.2340674191350086E-2</v>
      </c>
      <c r="Q180" t="s">
        <v>84</v>
      </c>
      <c r="S180" t="s">
        <v>140</v>
      </c>
      <c r="T180" t="s">
        <v>85</v>
      </c>
      <c r="U180">
        <v>8.4290616761816692E-2</v>
      </c>
      <c r="V180" t="s">
        <v>84</v>
      </c>
    </row>
    <row r="181" spans="9:22" x14ac:dyDescent="0.45">
      <c r="I181" t="s">
        <v>109</v>
      </c>
      <c r="J181" t="s">
        <v>86</v>
      </c>
      <c r="K181">
        <v>9.7172257229466118E-3</v>
      </c>
      <c r="L181" t="s">
        <v>84</v>
      </c>
      <c r="N181" t="s">
        <v>125</v>
      </c>
      <c r="O181" t="s">
        <v>86</v>
      </c>
      <c r="P181">
        <v>2.7333443117596994E-2</v>
      </c>
      <c r="Q181" t="s">
        <v>84</v>
      </c>
      <c r="S181" t="s">
        <v>140</v>
      </c>
      <c r="T181" t="s">
        <v>86</v>
      </c>
      <c r="U181">
        <v>3.4511427726592901E-2</v>
      </c>
      <c r="V181" t="s">
        <v>84</v>
      </c>
    </row>
    <row r="182" spans="9:22" x14ac:dyDescent="0.45">
      <c r="I182" t="s">
        <v>109</v>
      </c>
      <c r="J182" t="s">
        <v>87</v>
      </c>
      <c r="K182">
        <v>1.4619111061697998E-4</v>
      </c>
      <c r="L182" t="s">
        <v>84</v>
      </c>
      <c r="N182" t="s">
        <v>125</v>
      </c>
      <c r="O182" t="s">
        <v>87</v>
      </c>
      <c r="P182">
        <v>6.6451423148156344E-2</v>
      </c>
      <c r="Q182" t="s">
        <v>84</v>
      </c>
      <c r="S182" t="s">
        <v>140</v>
      </c>
      <c r="T182" t="s">
        <v>87</v>
      </c>
      <c r="U182">
        <v>9.2452520312879288E-2</v>
      </c>
      <c r="V182" t="s">
        <v>84</v>
      </c>
    </row>
    <row r="183" spans="9:22" x14ac:dyDescent="0.45">
      <c r="I183" t="s">
        <v>109</v>
      </c>
      <c r="J183" t="s">
        <v>88</v>
      </c>
      <c r="K183">
        <v>0.20555754716793687</v>
      </c>
      <c r="L183" t="s">
        <v>84</v>
      </c>
      <c r="N183" t="s">
        <v>125</v>
      </c>
      <c r="O183" t="s">
        <v>88</v>
      </c>
      <c r="P183">
        <v>0.1330629940969878</v>
      </c>
      <c r="Q183" t="s">
        <v>84</v>
      </c>
      <c r="S183" t="s">
        <v>140</v>
      </c>
      <c r="T183" t="s">
        <v>88</v>
      </c>
      <c r="U183">
        <v>0.1620352212492297</v>
      </c>
      <c r="V183" t="s">
        <v>84</v>
      </c>
    </row>
    <row r="184" spans="9:22" x14ac:dyDescent="0.45">
      <c r="I184" t="s">
        <v>109</v>
      </c>
      <c r="J184" t="s">
        <v>89</v>
      </c>
      <c r="K184">
        <v>0</v>
      </c>
      <c r="L184" t="s">
        <v>84</v>
      </c>
      <c r="N184" t="s">
        <v>125</v>
      </c>
      <c r="O184" t="s">
        <v>89</v>
      </c>
      <c r="P184">
        <v>4.9932608531903767E-2</v>
      </c>
      <c r="Q184" t="s">
        <v>84</v>
      </c>
      <c r="S184" t="s">
        <v>140</v>
      </c>
      <c r="T184" t="s">
        <v>89</v>
      </c>
      <c r="U184">
        <v>6.6482050033429468E-2</v>
      </c>
      <c r="V184" t="s">
        <v>84</v>
      </c>
    </row>
    <row r="185" spans="9:22" x14ac:dyDescent="0.45">
      <c r="I185" t="s">
        <v>109</v>
      </c>
      <c r="J185" t="s">
        <v>90</v>
      </c>
      <c r="K185">
        <v>3.0012302829334524E-3</v>
      </c>
      <c r="L185" t="s">
        <v>84</v>
      </c>
      <c r="N185" t="s">
        <v>125</v>
      </c>
      <c r="O185" t="s">
        <v>90</v>
      </c>
      <c r="P185">
        <v>0.11724446937395648</v>
      </c>
      <c r="Q185" t="s">
        <v>84</v>
      </c>
      <c r="S185" t="s">
        <v>140</v>
      </c>
      <c r="T185" t="s">
        <v>90</v>
      </c>
      <c r="U185">
        <v>0.1060706123495853</v>
      </c>
      <c r="V185" t="s">
        <v>84</v>
      </c>
    </row>
    <row r="186" spans="9:22" x14ac:dyDescent="0.45">
      <c r="I186" t="s">
        <v>109</v>
      </c>
      <c r="J186" t="s">
        <v>91</v>
      </c>
      <c r="K186">
        <v>0.24512458806180082</v>
      </c>
      <c r="L186" t="s">
        <v>84</v>
      </c>
      <c r="N186" t="s">
        <v>125</v>
      </c>
      <c r="O186" t="s">
        <v>91</v>
      </c>
      <c r="P186">
        <v>0.24040346388793327</v>
      </c>
      <c r="Q186" t="s">
        <v>84</v>
      </c>
      <c r="S186" t="s">
        <v>140</v>
      </c>
      <c r="T186" t="s">
        <v>91</v>
      </c>
      <c r="U186">
        <v>0.17648736929897005</v>
      </c>
      <c r="V186" t="s">
        <v>84</v>
      </c>
    </row>
    <row r="187" spans="9:22" x14ac:dyDescent="0.45">
      <c r="I187" t="s">
        <v>109</v>
      </c>
      <c r="J187" t="s">
        <v>92</v>
      </c>
      <c r="K187">
        <v>0</v>
      </c>
      <c r="L187" t="s">
        <v>84</v>
      </c>
      <c r="N187" t="s">
        <v>125</v>
      </c>
      <c r="O187" t="s">
        <v>92</v>
      </c>
      <c r="P187">
        <v>8.8497800601999646E-2</v>
      </c>
      <c r="Q187" t="s">
        <v>84</v>
      </c>
      <c r="S187" t="s">
        <v>140</v>
      </c>
      <c r="T187" t="s">
        <v>92</v>
      </c>
      <c r="U187">
        <v>7.2336378849569241E-2</v>
      </c>
      <c r="V187" t="s">
        <v>84</v>
      </c>
    </row>
    <row r="188" spans="9:22" x14ac:dyDescent="0.45">
      <c r="I188" t="s">
        <v>109</v>
      </c>
      <c r="J188" t="s">
        <v>93</v>
      </c>
      <c r="K188">
        <v>1.8188394800587114E-2</v>
      </c>
      <c r="L188" t="s">
        <v>84</v>
      </c>
      <c r="N188" t="s">
        <v>125</v>
      </c>
      <c r="O188" t="s">
        <v>93</v>
      </c>
      <c r="P188">
        <v>3.3770963527989438E-2</v>
      </c>
      <c r="Q188" t="s">
        <v>84</v>
      </c>
      <c r="S188" t="s">
        <v>140</v>
      </c>
      <c r="T188" t="s">
        <v>93</v>
      </c>
      <c r="U188">
        <v>4.5487047697644403E-2</v>
      </c>
      <c r="V188" t="s">
        <v>84</v>
      </c>
    </row>
    <row r="189" spans="9:22" x14ac:dyDescent="0.45">
      <c r="I189" t="s">
        <v>109</v>
      </c>
      <c r="J189" t="s">
        <v>94</v>
      </c>
      <c r="K189">
        <v>0.24262382874887917</v>
      </c>
      <c r="L189" t="s">
        <v>84</v>
      </c>
      <c r="N189" t="s">
        <v>125</v>
      </c>
      <c r="O189" t="s">
        <v>94</v>
      </c>
      <c r="P189">
        <v>8.7529616565662646E-2</v>
      </c>
      <c r="Q189" t="s">
        <v>84</v>
      </c>
      <c r="S189" t="s">
        <v>140</v>
      </c>
      <c r="T189" t="s">
        <v>94</v>
      </c>
      <c r="U189">
        <v>7.8618250719435886E-2</v>
      </c>
      <c r="V189" t="s">
        <v>84</v>
      </c>
    </row>
    <row r="190" spans="9:22" x14ac:dyDescent="0.45">
      <c r="I190" t="s">
        <v>109</v>
      </c>
      <c r="J190" t="s">
        <v>95</v>
      </c>
      <c r="K190">
        <v>8.1281027281435974E-3</v>
      </c>
      <c r="L190" t="s">
        <v>84</v>
      </c>
      <c r="N190" t="s">
        <v>125</v>
      </c>
      <c r="O190" t="s">
        <v>95</v>
      </c>
      <c r="P190">
        <v>2.6114776398533754E-2</v>
      </c>
      <c r="Q190" t="s">
        <v>84</v>
      </c>
      <c r="S190" t="s">
        <v>140</v>
      </c>
      <c r="T190" t="s">
        <v>95</v>
      </c>
      <c r="U190">
        <v>3.1829364796889609E-2</v>
      </c>
      <c r="V190" t="s">
        <v>84</v>
      </c>
    </row>
    <row r="191" spans="9:22" x14ac:dyDescent="0.45">
      <c r="I191" t="s">
        <v>110</v>
      </c>
      <c r="J191" t="s">
        <v>83</v>
      </c>
      <c r="K191">
        <v>1.132210356249686E-2</v>
      </c>
      <c r="L191" t="s">
        <v>84</v>
      </c>
      <c r="S191" t="s">
        <v>141</v>
      </c>
      <c r="T191" t="s">
        <v>83</v>
      </c>
      <c r="U191">
        <v>4.4140868047100518E-2</v>
      </c>
      <c r="V191" t="s">
        <v>84</v>
      </c>
    </row>
    <row r="192" spans="9:22" x14ac:dyDescent="0.45">
      <c r="I192" t="s">
        <v>110</v>
      </c>
      <c r="J192" t="s">
        <v>85</v>
      </c>
      <c r="K192">
        <v>0.25742572150473503</v>
      </c>
      <c r="L192" t="s">
        <v>84</v>
      </c>
      <c r="S192" t="s">
        <v>141</v>
      </c>
      <c r="T192" t="s">
        <v>85</v>
      </c>
      <c r="U192">
        <v>7.783992439856835E-2</v>
      </c>
      <c r="V192" t="s">
        <v>84</v>
      </c>
    </row>
    <row r="193" spans="9:22" x14ac:dyDescent="0.45">
      <c r="I193" t="s">
        <v>110</v>
      </c>
      <c r="J193" t="s">
        <v>86</v>
      </c>
      <c r="K193">
        <v>8.0577535387607868E-3</v>
      </c>
      <c r="L193" t="s">
        <v>84</v>
      </c>
      <c r="S193" t="s">
        <v>141</v>
      </c>
      <c r="T193" t="s">
        <v>86</v>
      </c>
      <c r="U193">
        <v>3.1080256047825001E-2</v>
      </c>
      <c r="V193" t="s">
        <v>84</v>
      </c>
    </row>
    <row r="194" spans="9:22" x14ac:dyDescent="0.45">
      <c r="I194" t="s">
        <v>110</v>
      </c>
      <c r="J194" t="s">
        <v>87</v>
      </c>
      <c r="K194">
        <v>6.1671144346517011E-4</v>
      </c>
      <c r="L194" t="s">
        <v>84</v>
      </c>
      <c r="S194" t="s">
        <v>141</v>
      </c>
      <c r="T194" t="s">
        <v>87</v>
      </c>
      <c r="U194">
        <v>0.10259464219135385</v>
      </c>
      <c r="V194" t="s">
        <v>84</v>
      </c>
    </row>
    <row r="195" spans="9:22" x14ac:dyDescent="0.45">
      <c r="I195" t="s">
        <v>110</v>
      </c>
      <c r="J195" t="s">
        <v>88</v>
      </c>
      <c r="K195">
        <v>0.21057173917125199</v>
      </c>
      <c r="L195" t="s">
        <v>84</v>
      </c>
      <c r="S195" t="s">
        <v>141</v>
      </c>
      <c r="T195" t="s">
        <v>88</v>
      </c>
      <c r="U195">
        <v>0.17257760865017807</v>
      </c>
      <c r="V195" t="s">
        <v>84</v>
      </c>
    </row>
    <row r="196" spans="9:22" x14ac:dyDescent="0.45">
      <c r="I196" t="s">
        <v>110</v>
      </c>
      <c r="J196" t="s">
        <v>89</v>
      </c>
      <c r="K196">
        <v>0</v>
      </c>
      <c r="L196" t="s">
        <v>84</v>
      </c>
      <c r="S196" t="s">
        <v>141</v>
      </c>
      <c r="T196" t="s">
        <v>89</v>
      </c>
      <c r="U196">
        <v>6.9954322311064868E-2</v>
      </c>
      <c r="V196" t="s">
        <v>84</v>
      </c>
    </row>
    <row r="197" spans="9:22" x14ac:dyDescent="0.45">
      <c r="I197" t="s">
        <v>110</v>
      </c>
      <c r="J197" t="s">
        <v>90</v>
      </c>
      <c r="K197">
        <v>3.3866700319800784E-3</v>
      </c>
      <c r="L197" t="s">
        <v>84</v>
      </c>
      <c r="S197" t="s">
        <v>141</v>
      </c>
      <c r="T197" t="s">
        <v>90</v>
      </c>
      <c r="U197">
        <v>0.10220047700857646</v>
      </c>
      <c r="V197" t="s">
        <v>84</v>
      </c>
    </row>
    <row r="198" spans="9:22" x14ac:dyDescent="0.45">
      <c r="I198" t="s">
        <v>110</v>
      </c>
      <c r="J198" t="s">
        <v>91</v>
      </c>
      <c r="K198">
        <v>0.24273485632662917</v>
      </c>
      <c r="L198" t="s">
        <v>84</v>
      </c>
      <c r="S198" t="s">
        <v>141</v>
      </c>
      <c r="T198" t="s">
        <v>91</v>
      </c>
      <c r="U198">
        <v>0.17818262504640736</v>
      </c>
      <c r="V198" t="s">
        <v>84</v>
      </c>
    </row>
    <row r="199" spans="9:22" x14ac:dyDescent="0.45">
      <c r="I199" t="s">
        <v>110</v>
      </c>
      <c r="J199" t="s">
        <v>92</v>
      </c>
      <c r="K199">
        <v>0</v>
      </c>
      <c r="L199" t="s">
        <v>84</v>
      </c>
      <c r="S199" t="s">
        <v>141</v>
      </c>
      <c r="T199" t="s">
        <v>92</v>
      </c>
      <c r="U199">
        <v>7.1658218816553529E-2</v>
      </c>
      <c r="V199" t="s">
        <v>84</v>
      </c>
    </row>
    <row r="200" spans="9:22" x14ac:dyDescent="0.45">
      <c r="I200" t="s">
        <v>110</v>
      </c>
      <c r="J200" t="s">
        <v>93</v>
      </c>
      <c r="K200">
        <v>1.807425184029721E-2</v>
      </c>
      <c r="L200" t="s">
        <v>84</v>
      </c>
      <c r="S200" t="s">
        <v>141</v>
      </c>
      <c r="T200" t="s">
        <v>93</v>
      </c>
      <c r="U200">
        <v>4.5313382338302649E-2</v>
      </c>
      <c r="V200" t="s">
        <v>84</v>
      </c>
    </row>
    <row r="201" spans="9:22" x14ac:dyDescent="0.45">
      <c r="I201" t="s">
        <v>110</v>
      </c>
      <c r="J201" t="s">
        <v>94</v>
      </c>
      <c r="K201">
        <v>0.24256061655931199</v>
      </c>
      <c r="L201" t="s">
        <v>84</v>
      </c>
      <c r="S201" t="s">
        <v>141</v>
      </c>
      <c r="T201" t="s">
        <v>94</v>
      </c>
      <c r="U201">
        <v>7.3995492254984988E-2</v>
      </c>
      <c r="V201" t="s">
        <v>84</v>
      </c>
    </row>
    <row r="202" spans="9:22" x14ac:dyDescent="0.45">
      <c r="I202" t="s">
        <v>110</v>
      </c>
      <c r="J202" t="s">
        <v>95</v>
      </c>
      <c r="K202">
        <v>5.2495760210720917E-3</v>
      </c>
      <c r="L202" t="s">
        <v>84</v>
      </c>
      <c r="S202" t="s">
        <v>141</v>
      </c>
      <c r="T202" t="s">
        <v>95</v>
      </c>
      <c r="U202">
        <v>3.04621828890838E-2</v>
      </c>
      <c r="V202" t="s">
        <v>84</v>
      </c>
    </row>
    <row r="203" spans="9:22" x14ac:dyDescent="0.45">
      <c r="S203" t="s">
        <v>142</v>
      </c>
      <c r="T203" t="s">
        <v>83</v>
      </c>
      <c r="U203">
        <v>4.9590834770101136E-2</v>
      </c>
      <c r="V203" t="s">
        <v>84</v>
      </c>
    </row>
    <row r="204" spans="9:22" x14ac:dyDescent="0.45">
      <c r="S204" t="s">
        <v>142</v>
      </c>
      <c r="T204" t="s">
        <v>85</v>
      </c>
      <c r="U204">
        <v>8.4539059944664458E-2</v>
      </c>
      <c r="V204" t="s">
        <v>84</v>
      </c>
    </row>
    <row r="205" spans="9:22" x14ac:dyDescent="0.45">
      <c r="S205" t="s">
        <v>142</v>
      </c>
      <c r="T205" t="s">
        <v>86</v>
      </c>
      <c r="U205">
        <v>3.5226357783051353E-2</v>
      </c>
      <c r="V205" t="s">
        <v>84</v>
      </c>
    </row>
    <row r="206" spans="9:22" x14ac:dyDescent="0.45">
      <c r="S206" t="s">
        <v>142</v>
      </c>
      <c r="T206" t="s">
        <v>87</v>
      </c>
      <c r="U206">
        <v>9.2090600577230522E-2</v>
      </c>
      <c r="V206" t="s">
        <v>84</v>
      </c>
    </row>
    <row r="207" spans="9:22" x14ac:dyDescent="0.45">
      <c r="S207" t="s">
        <v>142</v>
      </c>
      <c r="T207" t="s">
        <v>88</v>
      </c>
      <c r="U207">
        <v>0.15981722876618254</v>
      </c>
      <c r="V207" t="s">
        <v>84</v>
      </c>
    </row>
    <row r="208" spans="9:22" x14ac:dyDescent="0.45">
      <c r="S208" t="s">
        <v>142</v>
      </c>
      <c r="T208" t="s">
        <v>89</v>
      </c>
      <c r="U208">
        <v>6.5239280597806912E-2</v>
      </c>
      <c r="V208" t="s">
        <v>84</v>
      </c>
    </row>
    <row r="209" spans="19:22" x14ac:dyDescent="0.45">
      <c r="S209" t="s">
        <v>142</v>
      </c>
      <c r="T209" t="s">
        <v>90</v>
      </c>
      <c r="U209">
        <v>0.10624413355854975</v>
      </c>
      <c r="V209" t="s">
        <v>84</v>
      </c>
    </row>
    <row r="210" spans="19:22" x14ac:dyDescent="0.45">
      <c r="S210" t="s">
        <v>142</v>
      </c>
      <c r="T210" t="s">
        <v>91</v>
      </c>
      <c r="U210">
        <v>0.17830924260477415</v>
      </c>
      <c r="V210" t="s">
        <v>84</v>
      </c>
    </row>
    <row r="211" spans="19:22" x14ac:dyDescent="0.45">
      <c r="S211" t="s">
        <v>142</v>
      </c>
      <c r="T211" t="s">
        <v>92</v>
      </c>
      <c r="U211">
        <v>7.3080524414926906E-2</v>
      </c>
      <c r="V211" t="s">
        <v>84</v>
      </c>
    </row>
    <row r="212" spans="19:22" x14ac:dyDescent="0.45">
      <c r="S212" t="s">
        <v>142</v>
      </c>
      <c r="T212" t="s">
        <v>93</v>
      </c>
      <c r="U212">
        <v>4.5546417605074524E-2</v>
      </c>
      <c r="V212" t="s">
        <v>84</v>
      </c>
    </row>
    <row r="213" spans="19:22" x14ac:dyDescent="0.45">
      <c r="S213" t="s">
        <v>142</v>
      </c>
      <c r="T213" t="s">
        <v>94</v>
      </c>
      <c r="U213">
        <v>7.9126295246468692E-2</v>
      </c>
      <c r="V213" t="s">
        <v>84</v>
      </c>
    </row>
    <row r="214" spans="19:22" x14ac:dyDescent="0.45">
      <c r="S214" t="s">
        <v>142</v>
      </c>
      <c r="T214" t="s">
        <v>95</v>
      </c>
      <c r="U214">
        <v>3.1190024131170658E-2</v>
      </c>
      <c r="V214" t="s">
        <v>84</v>
      </c>
    </row>
    <row r="215" spans="19:22" x14ac:dyDescent="0.45">
      <c r="S215" t="s">
        <v>143</v>
      </c>
      <c r="T215" t="s">
        <v>83</v>
      </c>
      <c r="U215">
        <v>4.8474794683367295E-2</v>
      </c>
      <c r="V215" t="s">
        <v>84</v>
      </c>
    </row>
    <row r="216" spans="19:22" x14ac:dyDescent="0.45">
      <c r="S216" t="s">
        <v>143</v>
      </c>
      <c r="T216" t="s">
        <v>85</v>
      </c>
      <c r="U216">
        <v>8.3673408890011486E-2</v>
      </c>
      <c r="V216" t="s">
        <v>84</v>
      </c>
    </row>
    <row r="217" spans="19:22" x14ac:dyDescent="0.45">
      <c r="S217" t="s">
        <v>143</v>
      </c>
      <c r="T217" t="s">
        <v>86</v>
      </c>
      <c r="U217">
        <v>3.5344833768554906E-2</v>
      </c>
      <c r="V217" t="s">
        <v>84</v>
      </c>
    </row>
    <row r="218" spans="19:22" x14ac:dyDescent="0.45">
      <c r="S218" t="s">
        <v>143</v>
      </c>
      <c r="T218" t="s">
        <v>87</v>
      </c>
      <c r="U218">
        <v>9.5452828104875223E-2</v>
      </c>
      <c r="V218" t="s">
        <v>84</v>
      </c>
    </row>
    <row r="219" spans="19:22" x14ac:dyDescent="0.45">
      <c r="S219" t="s">
        <v>143</v>
      </c>
      <c r="T219" t="s">
        <v>88</v>
      </c>
      <c r="U219">
        <v>0.16540892190569467</v>
      </c>
      <c r="V219" t="s">
        <v>84</v>
      </c>
    </row>
    <row r="220" spans="19:22" x14ac:dyDescent="0.45">
      <c r="S220" t="s">
        <v>143</v>
      </c>
      <c r="T220" t="s">
        <v>89</v>
      </c>
      <c r="U220">
        <v>6.8097220695606933E-2</v>
      </c>
      <c r="V220" t="s">
        <v>84</v>
      </c>
    </row>
    <row r="221" spans="19:22" x14ac:dyDescent="0.45">
      <c r="S221" t="s">
        <v>143</v>
      </c>
      <c r="T221" t="s">
        <v>90</v>
      </c>
      <c r="U221">
        <v>0.10071812710570528</v>
      </c>
      <c r="V221" t="s">
        <v>84</v>
      </c>
    </row>
    <row r="222" spans="19:22" x14ac:dyDescent="0.45">
      <c r="S222" t="s">
        <v>143</v>
      </c>
      <c r="T222" t="s">
        <v>91</v>
      </c>
      <c r="U222">
        <v>0.17736215353256263</v>
      </c>
      <c r="V222" t="s">
        <v>84</v>
      </c>
    </row>
    <row r="223" spans="19:22" x14ac:dyDescent="0.45">
      <c r="S223" t="s">
        <v>143</v>
      </c>
      <c r="T223" t="s">
        <v>92</v>
      </c>
      <c r="U223">
        <v>7.2252838807534692E-2</v>
      </c>
      <c r="V223" t="s">
        <v>84</v>
      </c>
    </row>
    <row r="224" spans="19:22" x14ac:dyDescent="0.45">
      <c r="S224" t="s">
        <v>143</v>
      </c>
      <c r="T224" t="s">
        <v>93</v>
      </c>
      <c r="U224">
        <v>4.2942925342579236E-2</v>
      </c>
      <c r="V224" t="s">
        <v>84</v>
      </c>
    </row>
    <row r="225" spans="19:22" x14ac:dyDescent="0.45">
      <c r="S225" t="s">
        <v>143</v>
      </c>
      <c r="T225" t="s">
        <v>94</v>
      </c>
      <c r="U225">
        <v>7.918984256566515E-2</v>
      </c>
      <c r="V225" t="s">
        <v>84</v>
      </c>
    </row>
    <row r="226" spans="19:22" x14ac:dyDescent="0.45">
      <c r="S226" t="s">
        <v>143</v>
      </c>
      <c r="T226" t="s">
        <v>95</v>
      </c>
      <c r="U226">
        <v>3.108210459784164E-2</v>
      </c>
      <c r="V226" t="s">
        <v>84</v>
      </c>
    </row>
    <row r="227" spans="19:22" x14ac:dyDescent="0.45">
      <c r="S227" t="s">
        <v>144</v>
      </c>
      <c r="T227" t="s">
        <v>83</v>
      </c>
      <c r="U227">
        <v>4.7573097686372717E-2</v>
      </c>
      <c r="V227" t="s">
        <v>84</v>
      </c>
    </row>
    <row r="228" spans="19:22" x14ac:dyDescent="0.45">
      <c r="S228" t="s">
        <v>144</v>
      </c>
      <c r="T228" t="s">
        <v>85</v>
      </c>
      <c r="U228">
        <v>8.443062707662137E-2</v>
      </c>
      <c r="V228" t="s">
        <v>84</v>
      </c>
    </row>
    <row r="229" spans="19:22" x14ac:dyDescent="0.45">
      <c r="S229" t="s">
        <v>144</v>
      </c>
      <c r="T229" t="s">
        <v>86</v>
      </c>
      <c r="U229">
        <v>3.4701268427047016E-2</v>
      </c>
      <c r="V229" t="s">
        <v>84</v>
      </c>
    </row>
    <row r="230" spans="19:22" x14ac:dyDescent="0.45">
      <c r="S230" t="s">
        <v>144</v>
      </c>
      <c r="T230" t="s">
        <v>87</v>
      </c>
      <c r="U230">
        <v>9.6457503457718141E-2</v>
      </c>
      <c r="V230" t="s">
        <v>84</v>
      </c>
    </row>
    <row r="231" spans="19:22" x14ac:dyDescent="0.45">
      <c r="S231" t="s">
        <v>144</v>
      </c>
      <c r="T231" t="s">
        <v>88</v>
      </c>
      <c r="U231">
        <v>0.16590034800085132</v>
      </c>
      <c r="V231" t="s">
        <v>84</v>
      </c>
    </row>
    <row r="232" spans="19:22" x14ac:dyDescent="0.45">
      <c r="S232" t="s">
        <v>144</v>
      </c>
      <c r="T232" t="s">
        <v>89</v>
      </c>
      <c r="U232">
        <v>6.7867105141225542E-2</v>
      </c>
      <c r="V232" t="s">
        <v>84</v>
      </c>
    </row>
    <row r="233" spans="19:22" x14ac:dyDescent="0.45">
      <c r="S233" t="s">
        <v>144</v>
      </c>
      <c r="T233" t="s">
        <v>90</v>
      </c>
      <c r="U233">
        <v>0.10070965276091741</v>
      </c>
      <c r="V233" t="s">
        <v>84</v>
      </c>
    </row>
    <row r="234" spans="19:22" x14ac:dyDescent="0.45">
      <c r="S234" t="s">
        <v>144</v>
      </c>
      <c r="T234" t="s">
        <v>91</v>
      </c>
      <c r="U234">
        <v>0.1761409010781651</v>
      </c>
      <c r="V234" t="s">
        <v>84</v>
      </c>
    </row>
    <row r="235" spans="19:22" x14ac:dyDescent="0.45">
      <c r="S235" t="s">
        <v>144</v>
      </c>
      <c r="T235" t="s">
        <v>92</v>
      </c>
      <c r="U235">
        <v>7.2007756461349992E-2</v>
      </c>
      <c r="V235" t="s">
        <v>84</v>
      </c>
    </row>
    <row r="236" spans="19:22" x14ac:dyDescent="0.45">
      <c r="S236" t="s">
        <v>144</v>
      </c>
      <c r="T236" t="s">
        <v>93</v>
      </c>
      <c r="U236">
        <v>4.6064824452167315E-2</v>
      </c>
      <c r="V236" t="s">
        <v>84</v>
      </c>
    </row>
    <row r="237" spans="19:22" x14ac:dyDescent="0.45">
      <c r="S237" t="s">
        <v>144</v>
      </c>
      <c r="T237" t="s">
        <v>94</v>
      </c>
      <c r="U237">
        <v>7.7476497522695101E-2</v>
      </c>
      <c r="V237" t="s">
        <v>84</v>
      </c>
    </row>
    <row r="238" spans="19:22" x14ac:dyDescent="0.45">
      <c r="S238" t="s">
        <v>144</v>
      </c>
      <c r="T238" t="s">
        <v>95</v>
      </c>
      <c r="U238">
        <v>3.0670417934868435E-2</v>
      </c>
      <c r="V238" t="s">
        <v>84</v>
      </c>
    </row>
    <row r="239" spans="19:22" x14ac:dyDescent="0.45">
      <c r="S239" t="s">
        <v>145</v>
      </c>
      <c r="T239" t="s">
        <v>83</v>
      </c>
      <c r="U239">
        <v>4.1492678639605152E-2</v>
      </c>
      <c r="V239" t="s">
        <v>84</v>
      </c>
    </row>
    <row r="240" spans="19:22" x14ac:dyDescent="0.45">
      <c r="S240" t="s">
        <v>145</v>
      </c>
      <c r="T240" t="s">
        <v>85</v>
      </c>
      <c r="U240">
        <v>6.8497695664419753E-2</v>
      </c>
      <c r="V240" t="s">
        <v>84</v>
      </c>
    </row>
    <row r="241" spans="19:22" x14ac:dyDescent="0.45">
      <c r="S241" t="s">
        <v>145</v>
      </c>
      <c r="T241" t="s">
        <v>86</v>
      </c>
      <c r="U241">
        <v>3.0317158962235091E-2</v>
      </c>
      <c r="V241" t="s">
        <v>84</v>
      </c>
    </row>
    <row r="242" spans="19:22" x14ac:dyDescent="0.45">
      <c r="S242" t="s">
        <v>145</v>
      </c>
      <c r="T242" t="s">
        <v>87</v>
      </c>
      <c r="U242">
        <v>9.2122677408900996E-2</v>
      </c>
      <c r="V242" t="s">
        <v>84</v>
      </c>
    </row>
    <row r="243" spans="19:22" x14ac:dyDescent="0.45">
      <c r="S243" t="s">
        <v>145</v>
      </c>
      <c r="T243" t="s">
        <v>88</v>
      </c>
      <c r="U243">
        <v>0.15744631779226573</v>
      </c>
      <c r="V243" t="s">
        <v>84</v>
      </c>
    </row>
    <row r="244" spans="19:22" x14ac:dyDescent="0.45">
      <c r="S244" t="s">
        <v>145</v>
      </c>
      <c r="T244" t="s">
        <v>89</v>
      </c>
      <c r="U244">
        <v>6.4590595983541291E-2</v>
      </c>
      <c r="V244" t="s">
        <v>84</v>
      </c>
    </row>
    <row r="245" spans="19:22" x14ac:dyDescent="0.45">
      <c r="S245" t="s">
        <v>145</v>
      </c>
      <c r="T245" t="s">
        <v>90</v>
      </c>
      <c r="U245">
        <v>0.11686770566361619</v>
      </c>
      <c r="V245" t="s">
        <v>84</v>
      </c>
    </row>
    <row r="246" spans="19:22" x14ac:dyDescent="0.45">
      <c r="S246" t="s">
        <v>145</v>
      </c>
      <c r="T246" t="s">
        <v>91</v>
      </c>
      <c r="U246">
        <v>0.20094135692825205</v>
      </c>
      <c r="V246" t="s">
        <v>84</v>
      </c>
    </row>
    <row r="247" spans="19:22" x14ac:dyDescent="0.45">
      <c r="S247" t="s">
        <v>145</v>
      </c>
      <c r="T247" t="s">
        <v>92</v>
      </c>
      <c r="U247">
        <v>8.718013548836015E-2</v>
      </c>
      <c r="V247" t="s">
        <v>84</v>
      </c>
    </row>
    <row r="248" spans="19:22" x14ac:dyDescent="0.45">
      <c r="S248" t="s">
        <v>145</v>
      </c>
      <c r="T248" t="s">
        <v>93</v>
      </c>
      <c r="U248">
        <v>4.1539019652968349E-2</v>
      </c>
      <c r="V248" t="s">
        <v>84</v>
      </c>
    </row>
    <row r="249" spans="19:22" x14ac:dyDescent="0.45">
      <c r="S249" t="s">
        <v>145</v>
      </c>
      <c r="T249" t="s">
        <v>94</v>
      </c>
      <c r="U249">
        <v>6.841125114004841E-2</v>
      </c>
      <c r="V249" t="s">
        <v>84</v>
      </c>
    </row>
    <row r="250" spans="19:22" x14ac:dyDescent="0.45">
      <c r="S250" t="s">
        <v>145</v>
      </c>
      <c r="T250" t="s">
        <v>95</v>
      </c>
      <c r="U250">
        <v>3.0593406675783759E-2</v>
      </c>
      <c r="V250" t="s">
        <v>84</v>
      </c>
    </row>
    <row r="251" spans="19:22" x14ac:dyDescent="0.45">
      <c r="S251" t="s">
        <v>146</v>
      </c>
      <c r="T251" t="s">
        <v>83</v>
      </c>
      <c r="U251">
        <v>4.2589050299830233E-2</v>
      </c>
      <c r="V251" t="s">
        <v>84</v>
      </c>
    </row>
    <row r="252" spans="19:22" x14ac:dyDescent="0.45">
      <c r="S252" t="s">
        <v>146</v>
      </c>
      <c r="T252" t="s">
        <v>85</v>
      </c>
      <c r="U252">
        <v>6.9344465672578334E-2</v>
      </c>
      <c r="V252" t="s">
        <v>84</v>
      </c>
    </row>
    <row r="253" spans="19:22" x14ac:dyDescent="0.45">
      <c r="S253" t="s">
        <v>146</v>
      </c>
      <c r="T253" t="s">
        <v>86</v>
      </c>
      <c r="U253">
        <v>2.8895058171389064E-2</v>
      </c>
      <c r="V253" t="s">
        <v>84</v>
      </c>
    </row>
    <row r="254" spans="19:22" x14ac:dyDescent="0.45">
      <c r="S254" t="s">
        <v>146</v>
      </c>
      <c r="T254" t="s">
        <v>87</v>
      </c>
      <c r="U254">
        <v>8.9092990453282728E-2</v>
      </c>
      <c r="V254" t="s">
        <v>84</v>
      </c>
    </row>
    <row r="255" spans="19:22" x14ac:dyDescent="0.45">
      <c r="S255" t="s">
        <v>146</v>
      </c>
      <c r="T255" t="s">
        <v>88</v>
      </c>
      <c r="U255">
        <v>0.14976772607699218</v>
      </c>
      <c r="V255" t="s">
        <v>84</v>
      </c>
    </row>
    <row r="256" spans="19:22" x14ac:dyDescent="0.45">
      <c r="S256" t="s">
        <v>146</v>
      </c>
      <c r="T256" t="s">
        <v>89</v>
      </c>
      <c r="U256">
        <v>6.1025526928697116E-2</v>
      </c>
      <c r="V256" t="s">
        <v>84</v>
      </c>
    </row>
    <row r="257" spans="19:22" x14ac:dyDescent="0.45">
      <c r="S257" t="s">
        <v>146</v>
      </c>
      <c r="T257" t="s">
        <v>90</v>
      </c>
      <c r="U257">
        <v>0.11601925516593056</v>
      </c>
      <c r="V257" t="s">
        <v>84</v>
      </c>
    </row>
    <row r="258" spans="19:22" x14ac:dyDescent="0.45">
      <c r="S258" t="s">
        <v>146</v>
      </c>
      <c r="T258" t="s">
        <v>91</v>
      </c>
      <c r="U258">
        <v>0.20098443056494969</v>
      </c>
      <c r="V258" t="s">
        <v>84</v>
      </c>
    </row>
    <row r="259" spans="19:22" x14ac:dyDescent="0.45">
      <c r="S259" t="s">
        <v>146</v>
      </c>
      <c r="T259" t="s">
        <v>92</v>
      </c>
      <c r="U259">
        <v>8.4570987399256795E-2</v>
      </c>
      <c r="V259" t="s">
        <v>84</v>
      </c>
    </row>
    <row r="260" spans="19:22" x14ac:dyDescent="0.45">
      <c r="S260" t="s">
        <v>146</v>
      </c>
      <c r="T260" t="s">
        <v>93</v>
      </c>
      <c r="U260">
        <v>4.537371758405391E-2</v>
      </c>
      <c r="V260" t="s">
        <v>84</v>
      </c>
    </row>
    <row r="261" spans="19:22" x14ac:dyDescent="0.45">
      <c r="S261" t="s">
        <v>146</v>
      </c>
      <c r="T261" t="s">
        <v>94</v>
      </c>
      <c r="U261">
        <v>7.9135034425266176E-2</v>
      </c>
      <c r="V261" t="s">
        <v>84</v>
      </c>
    </row>
    <row r="262" spans="19:22" x14ac:dyDescent="0.45">
      <c r="S262" t="s">
        <v>146</v>
      </c>
      <c r="T262" t="s">
        <v>95</v>
      </c>
      <c r="U262">
        <v>3.3201757257771088E-2</v>
      </c>
      <c r="V262" t="s">
        <v>84</v>
      </c>
    </row>
    <row r="263" spans="19:22" x14ac:dyDescent="0.45">
      <c r="S263" t="s">
        <v>147</v>
      </c>
      <c r="T263" t="s">
        <v>83</v>
      </c>
      <c r="U263">
        <v>3.8269022719528326E-2</v>
      </c>
      <c r="V263" t="s">
        <v>84</v>
      </c>
    </row>
    <row r="264" spans="19:22" x14ac:dyDescent="0.45">
      <c r="S264" t="s">
        <v>147</v>
      </c>
      <c r="T264" t="s">
        <v>85</v>
      </c>
      <c r="U264">
        <v>5.9175395030247172E-2</v>
      </c>
      <c r="V264" t="s">
        <v>84</v>
      </c>
    </row>
    <row r="265" spans="19:22" x14ac:dyDescent="0.45">
      <c r="S265" t="s">
        <v>147</v>
      </c>
      <c r="T265" t="s">
        <v>86</v>
      </c>
      <c r="U265">
        <v>2.364714515031793E-2</v>
      </c>
      <c r="V265" t="s">
        <v>84</v>
      </c>
    </row>
    <row r="266" spans="19:22" x14ac:dyDescent="0.45">
      <c r="S266" t="s">
        <v>147</v>
      </c>
      <c r="T266" t="s">
        <v>87</v>
      </c>
      <c r="U266">
        <v>9.2694102775231754E-2</v>
      </c>
      <c r="V266" t="s">
        <v>84</v>
      </c>
    </row>
    <row r="267" spans="19:22" x14ac:dyDescent="0.45">
      <c r="S267" t="s">
        <v>147</v>
      </c>
      <c r="T267" t="s">
        <v>88</v>
      </c>
      <c r="U267">
        <v>0.15845085082506435</v>
      </c>
      <c r="V267" t="s">
        <v>84</v>
      </c>
    </row>
    <row r="268" spans="19:22" x14ac:dyDescent="0.45">
      <c r="S268" t="s">
        <v>147</v>
      </c>
      <c r="T268" t="s">
        <v>89</v>
      </c>
      <c r="U268">
        <v>6.4796113767907976E-2</v>
      </c>
      <c r="V268" t="s">
        <v>84</v>
      </c>
    </row>
    <row r="269" spans="19:22" x14ac:dyDescent="0.45">
      <c r="S269" t="s">
        <v>147</v>
      </c>
      <c r="T269" t="s">
        <v>90</v>
      </c>
      <c r="U269">
        <v>0.11878987170570067</v>
      </c>
      <c r="V269" t="s">
        <v>84</v>
      </c>
    </row>
    <row r="270" spans="19:22" x14ac:dyDescent="0.45">
      <c r="S270" t="s">
        <v>147</v>
      </c>
      <c r="T270" t="s">
        <v>91</v>
      </c>
      <c r="U270">
        <v>0.2053919483754382</v>
      </c>
      <c r="V270" t="s">
        <v>84</v>
      </c>
    </row>
    <row r="271" spans="19:22" x14ac:dyDescent="0.45">
      <c r="S271" t="s">
        <v>147</v>
      </c>
      <c r="T271" t="s">
        <v>92</v>
      </c>
      <c r="U271">
        <v>8.4063049435688764E-2</v>
      </c>
      <c r="V271" t="s">
        <v>84</v>
      </c>
    </row>
    <row r="272" spans="19:22" x14ac:dyDescent="0.45">
      <c r="S272" t="s">
        <v>147</v>
      </c>
      <c r="T272" t="s">
        <v>93</v>
      </c>
      <c r="U272">
        <v>4.3389673111405937E-2</v>
      </c>
      <c r="V272" t="s">
        <v>84</v>
      </c>
    </row>
    <row r="273" spans="19:22" x14ac:dyDescent="0.45">
      <c r="S273" t="s">
        <v>147</v>
      </c>
      <c r="T273" t="s">
        <v>94</v>
      </c>
      <c r="U273">
        <v>7.8463368333309275E-2</v>
      </c>
      <c r="V273" t="s">
        <v>84</v>
      </c>
    </row>
    <row r="274" spans="19:22" x14ac:dyDescent="0.45">
      <c r="S274" t="s">
        <v>147</v>
      </c>
      <c r="T274" t="s">
        <v>95</v>
      </c>
      <c r="U274">
        <v>3.2869458770159829E-2</v>
      </c>
      <c r="V274" t="s">
        <v>84</v>
      </c>
    </row>
    <row r="275" spans="19:22" x14ac:dyDescent="0.45">
      <c r="S275" t="s">
        <v>148</v>
      </c>
      <c r="T275" t="s">
        <v>83</v>
      </c>
      <c r="U275">
        <v>4.1834293430366258E-2</v>
      </c>
      <c r="V275" t="s">
        <v>84</v>
      </c>
    </row>
    <row r="276" spans="19:22" x14ac:dyDescent="0.45">
      <c r="S276" t="s">
        <v>148</v>
      </c>
      <c r="T276" t="s">
        <v>85</v>
      </c>
      <c r="U276">
        <v>6.9541684761318306E-2</v>
      </c>
      <c r="V276" t="s">
        <v>84</v>
      </c>
    </row>
    <row r="277" spans="19:22" x14ac:dyDescent="0.45">
      <c r="S277" t="s">
        <v>148</v>
      </c>
      <c r="T277" t="s">
        <v>86</v>
      </c>
      <c r="U277">
        <v>2.7910901383560848E-2</v>
      </c>
      <c r="V277" t="s">
        <v>84</v>
      </c>
    </row>
    <row r="278" spans="19:22" x14ac:dyDescent="0.45">
      <c r="S278" t="s">
        <v>148</v>
      </c>
      <c r="T278" t="s">
        <v>87</v>
      </c>
      <c r="U278">
        <v>8.7699504003396572E-2</v>
      </c>
      <c r="V278" t="s">
        <v>84</v>
      </c>
    </row>
    <row r="279" spans="19:22" x14ac:dyDescent="0.45">
      <c r="S279" t="s">
        <v>148</v>
      </c>
      <c r="T279" t="s">
        <v>88</v>
      </c>
      <c r="U279">
        <v>0.15790475280983493</v>
      </c>
      <c r="V279" t="s">
        <v>84</v>
      </c>
    </row>
    <row r="280" spans="19:22" x14ac:dyDescent="0.45">
      <c r="S280" t="s">
        <v>148</v>
      </c>
      <c r="T280" t="s">
        <v>89</v>
      </c>
      <c r="U280">
        <v>6.0908483083741458E-2</v>
      </c>
      <c r="V280" t="s">
        <v>84</v>
      </c>
    </row>
    <row r="281" spans="19:22" x14ac:dyDescent="0.45">
      <c r="S281" t="s">
        <v>148</v>
      </c>
      <c r="T281" t="s">
        <v>90</v>
      </c>
      <c r="U281">
        <v>0.11035368829261626</v>
      </c>
      <c r="V281" t="s">
        <v>84</v>
      </c>
    </row>
    <row r="282" spans="19:22" x14ac:dyDescent="0.45">
      <c r="S282" t="s">
        <v>148</v>
      </c>
      <c r="T282" t="s">
        <v>91</v>
      </c>
      <c r="U282">
        <v>0.19667665271196594</v>
      </c>
      <c r="V282" t="s">
        <v>84</v>
      </c>
    </row>
    <row r="283" spans="19:22" x14ac:dyDescent="0.45">
      <c r="S283" t="s">
        <v>148</v>
      </c>
      <c r="T283" t="s">
        <v>92</v>
      </c>
      <c r="U283">
        <v>7.9743800789737793E-2</v>
      </c>
      <c r="V283" t="s">
        <v>84</v>
      </c>
    </row>
    <row r="284" spans="19:22" x14ac:dyDescent="0.45">
      <c r="S284" t="s">
        <v>148</v>
      </c>
      <c r="T284" t="s">
        <v>93</v>
      </c>
      <c r="U284">
        <v>4.5087983044651787E-2</v>
      </c>
      <c r="V284" t="s">
        <v>84</v>
      </c>
    </row>
    <row r="285" spans="19:22" x14ac:dyDescent="0.45">
      <c r="S285" t="s">
        <v>148</v>
      </c>
      <c r="T285" t="s">
        <v>94</v>
      </c>
      <c r="U285">
        <v>8.649971759309702E-2</v>
      </c>
      <c r="V285" t="s">
        <v>84</v>
      </c>
    </row>
    <row r="286" spans="19:22" x14ac:dyDescent="0.45">
      <c r="S286" t="s">
        <v>148</v>
      </c>
      <c r="T286" t="s">
        <v>95</v>
      </c>
      <c r="U286">
        <v>3.5838538095709666E-2</v>
      </c>
      <c r="V286" t="s">
        <v>84</v>
      </c>
    </row>
    <row r="287" spans="19:22" x14ac:dyDescent="0.45">
      <c r="S287" t="s">
        <v>149</v>
      </c>
      <c r="T287" t="s">
        <v>83</v>
      </c>
      <c r="U287">
        <v>4.2236915982469932E-2</v>
      </c>
      <c r="V287" t="s">
        <v>84</v>
      </c>
    </row>
    <row r="288" spans="19:22" x14ac:dyDescent="0.45">
      <c r="S288" t="s">
        <v>149</v>
      </c>
      <c r="T288" t="s">
        <v>85</v>
      </c>
      <c r="U288">
        <v>7.1974373825580723E-2</v>
      </c>
      <c r="V288" t="s">
        <v>84</v>
      </c>
    </row>
    <row r="289" spans="19:22" x14ac:dyDescent="0.45">
      <c r="S289" t="s">
        <v>149</v>
      </c>
      <c r="T289" t="s">
        <v>86</v>
      </c>
      <c r="U289">
        <v>2.8535739076018092E-2</v>
      </c>
      <c r="V289" t="s">
        <v>84</v>
      </c>
    </row>
    <row r="290" spans="19:22" x14ac:dyDescent="0.45">
      <c r="S290" t="s">
        <v>149</v>
      </c>
      <c r="T290" t="s">
        <v>87</v>
      </c>
      <c r="U290">
        <v>8.3814502594720258E-2</v>
      </c>
      <c r="V290" t="s">
        <v>84</v>
      </c>
    </row>
    <row r="291" spans="19:22" x14ac:dyDescent="0.45">
      <c r="S291" t="s">
        <v>149</v>
      </c>
      <c r="T291" t="s">
        <v>88</v>
      </c>
      <c r="U291">
        <v>0.15156687033375488</v>
      </c>
      <c r="V291" t="s">
        <v>84</v>
      </c>
    </row>
    <row r="292" spans="19:22" x14ac:dyDescent="0.45">
      <c r="S292" t="s">
        <v>149</v>
      </c>
      <c r="T292" t="s">
        <v>89</v>
      </c>
      <c r="U292">
        <v>6.0488147255109467E-2</v>
      </c>
      <c r="V292" t="s">
        <v>84</v>
      </c>
    </row>
    <row r="293" spans="19:22" x14ac:dyDescent="0.45">
      <c r="S293" t="s">
        <v>149</v>
      </c>
      <c r="T293" t="s">
        <v>90</v>
      </c>
      <c r="U293">
        <v>0.11829327116257286</v>
      </c>
      <c r="V293" t="s">
        <v>84</v>
      </c>
    </row>
    <row r="294" spans="19:22" x14ac:dyDescent="0.45">
      <c r="S294" t="s">
        <v>149</v>
      </c>
      <c r="T294" t="s">
        <v>91</v>
      </c>
      <c r="U294">
        <v>0.20585160985812329</v>
      </c>
      <c r="V294" t="s">
        <v>84</v>
      </c>
    </row>
    <row r="295" spans="19:22" x14ac:dyDescent="0.45">
      <c r="S295" t="s">
        <v>149</v>
      </c>
      <c r="T295" t="s">
        <v>92</v>
      </c>
      <c r="U295">
        <v>8.7105812696200768E-2</v>
      </c>
      <c r="V295" t="s">
        <v>84</v>
      </c>
    </row>
    <row r="296" spans="19:22" x14ac:dyDescent="0.45">
      <c r="S296" t="s">
        <v>149</v>
      </c>
      <c r="T296" t="s">
        <v>93</v>
      </c>
      <c r="U296">
        <v>4.1801583521848068E-2</v>
      </c>
      <c r="V296" t="s">
        <v>84</v>
      </c>
    </row>
    <row r="297" spans="19:22" x14ac:dyDescent="0.45">
      <c r="S297" t="s">
        <v>149</v>
      </c>
      <c r="T297" t="s">
        <v>94</v>
      </c>
      <c r="U297">
        <v>7.638397833207769E-2</v>
      </c>
      <c r="V297" t="s">
        <v>84</v>
      </c>
    </row>
    <row r="298" spans="19:22" x14ac:dyDescent="0.45">
      <c r="S298" t="s">
        <v>149</v>
      </c>
      <c r="T298" t="s">
        <v>95</v>
      </c>
      <c r="U298">
        <v>3.1947195361524634E-2</v>
      </c>
      <c r="V298" t="s">
        <v>84</v>
      </c>
    </row>
    <row r="299" spans="19:22" x14ac:dyDescent="0.45">
      <c r="S299" t="s">
        <v>150</v>
      </c>
      <c r="T299" t="s">
        <v>83</v>
      </c>
      <c r="U299">
        <v>4.7345309788132235E-2</v>
      </c>
      <c r="V299" t="s">
        <v>84</v>
      </c>
    </row>
    <row r="300" spans="19:22" x14ac:dyDescent="0.45">
      <c r="S300" t="s">
        <v>150</v>
      </c>
      <c r="T300" t="s">
        <v>85</v>
      </c>
      <c r="U300">
        <v>8.3670366102128413E-2</v>
      </c>
      <c r="V300" t="s">
        <v>84</v>
      </c>
    </row>
    <row r="301" spans="19:22" x14ac:dyDescent="0.45">
      <c r="S301" t="s">
        <v>150</v>
      </c>
      <c r="T301" t="s">
        <v>86</v>
      </c>
      <c r="U301">
        <v>3.8245374843081902E-2</v>
      </c>
      <c r="V301" t="s">
        <v>84</v>
      </c>
    </row>
    <row r="302" spans="19:22" x14ac:dyDescent="0.45">
      <c r="S302" t="s">
        <v>150</v>
      </c>
      <c r="T302" t="s">
        <v>87</v>
      </c>
      <c r="U302">
        <v>9.3150845517725261E-2</v>
      </c>
      <c r="V302" t="s">
        <v>84</v>
      </c>
    </row>
    <row r="303" spans="19:22" x14ac:dyDescent="0.45">
      <c r="S303" t="s">
        <v>150</v>
      </c>
      <c r="T303" t="s">
        <v>88</v>
      </c>
      <c r="U303">
        <v>0.15057954370197749</v>
      </c>
      <c r="V303" t="s">
        <v>84</v>
      </c>
    </row>
    <row r="304" spans="19:22" x14ac:dyDescent="0.45">
      <c r="S304" t="s">
        <v>150</v>
      </c>
      <c r="T304" t="s">
        <v>89</v>
      </c>
      <c r="U304">
        <v>6.9038165018176445E-2</v>
      </c>
      <c r="V304" t="s">
        <v>84</v>
      </c>
    </row>
    <row r="305" spans="19:22" x14ac:dyDescent="0.45">
      <c r="S305" t="s">
        <v>150</v>
      </c>
      <c r="T305" t="s">
        <v>90</v>
      </c>
      <c r="U305">
        <v>0.11368199426789687</v>
      </c>
      <c r="V305" t="s">
        <v>84</v>
      </c>
    </row>
    <row r="306" spans="19:22" x14ac:dyDescent="0.45">
      <c r="S306" t="s">
        <v>150</v>
      </c>
      <c r="T306" t="s">
        <v>91</v>
      </c>
      <c r="U306">
        <v>0.17786305598089869</v>
      </c>
      <c r="V306" t="s">
        <v>84</v>
      </c>
    </row>
    <row r="307" spans="19:22" x14ac:dyDescent="0.45">
      <c r="S307" t="s">
        <v>150</v>
      </c>
      <c r="T307" t="s">
        <v>92</v>
      </c>
      <c r="U307">
        <v>8.4233991820990117E-2</v>
      </c>
      <c r="V307" t="s">
        <v>84</v>
      </c>
    </row>
    <row r="308" spans="19:22" x14ac:dyDescent="0.45">
      <c r="S308" t="s">
        <v>150</v>
      </c>
      <c r="T308" t="s">
        <v>93</v>
      </c>
      <c r="U308">
        <v>4.1790452286898573E-2</v>
      </c>
      <c r="V308" t="s">
        <v>84</v>
      </c>
    </row>
    <row r="309" spans="19:22" x14ac:dyDescent="0.45">
      <c r="S309" t="s">
        <v>150</v>
      </c>
      <c r="T309" t="s">
        <v>94</v>
      </c>
      <c r="U309">
        <v>6.9455901444150411E-2</v>
      </c>
      <c r="V309" t="s">
        <v>84</v>
      </c>
    </row>
    <row r="310" spans="19:22" x14ac:dyDescent="0.45">
      <c r="S310" t="s">
        <v>150</v>
      </c>
      <c r="T310" t="s">
        <v>95</v>
      </c>
      <c r="U310">
        <v>3.0944999227942718E-2</v>
      </c>
      <c r="V310" t="s">
        <v>84</v>
      </c>
    </row>
    <row r="311" spans="19:22" x14ac:dyDescent="0.45">
      <c r="S311" t="s">
        <v>151</v>
      </c>
      <c r="T311" t="s">
        <v>83</v>
      </c>
      <c r="U311">
        <v>4.3142704175547636E-2</v>
      </c>
      <c r="V311" t="s">
        <v>84</v>
      </c>
    </row>
    <row r="312" spans="19:22" x14ac:dyDescent="0.45">
      <c r="S312" t="s">
        <v>151</v>
      </c>
      <c r="T312" t="s">
        <v>85</v>
      </c>
      <c r="U312">
        <v>8.0958911864565442E-2</v>
      </c>
      <c r="V312" t="s">
        <v>84</v>
      </c>
    </row>
    <row r="313" spans="19:22" x14ac:dyDescent="0.45">
      <c r="S313" t="s">
        <v>151</v>
      </c>
      <c r="T313" t="s">
        <v>86</v>
      </c>
      <c r="U313">
        <v>3.8916410772642678E-2</v>
      </c>
      <c r="V313" t="s">
        <v>84</v>
      </c>
    </row>
    <row r="314" spans="19:22" x14ac:dyDescent="0.45">
      <c r="S314" t="s">
        <v>151</v>
      </c>
      <c r="T314" t="s">
        <v>87</v>
      </c>
      <c r="U314">
        <v>9.0996073112762713E-2</v>
      </c>
      <c r="V314" t="s">
        <v>84</v>
      </c>
    </row>
    <row r="315" spans="19:22" x14ac:dyDescent="0.45">
      <c r="S315" t="s">
        <v>151</v>
      </c>
      <c r="T315" t="s">
        <v>88</v>
      </c>
      <c r="U315">
        <v>0.15211061030988682</v>
      </c>
      <c r="V315" t="s">
        <v>84</v>
      </c>
    </row>
    <row r="316" spans="19:22" x14ac:dyDescent="0.45">
      <c r="S316" t="s">
        <v>151</v>
      </c>
      <c r="T316" t="s">
        <v>89</v>
      </c>
      <c r="U316">
        <v>7.1491431066295616E-2</v>
      </c>
      <c r="V316" t="s">
        <v>84</v>
      </c>
    </row>
    <row r="317" spans="19:22" x14ac:dyDescent="0.45">
      <c r="S317" t="s">
        <v>151</v>
      </c>
      <c r="T317" t="s">
        <v>90</v>
      </c>
      <c r="U317">
        <v>0.11344821931011488</v>
      </c>
      <c r="V317" t="s">
        <v>84</v>
      </c>
    </row>
    <row r="318" spans="19:22" x14ac:dyDescent="0.45">
      <c r="S318" t="s">
        <v>151</v>
      </c>
      <c r="T318" t="s">
        <v>91</v>
      </c>
      <c r="U318">
        <v>0.1767012333437572</v>
      </c>
      <c r="V318" t="s">
        <v>84</v>
      </c>
    </row>
    <row r="319" spans="19:22" x14ac:dyDescent="0.45">
      <c r="S319" t="s">
        <v>151</v>
      </c>
      <c r="T319" t="s">
        <v>92</v>
      </c>
      <c r="U319">
        <v>8.7709745274209786E-2</v>
      </c>
      <c r="V319" t="s">
        <v>84</v>
      </c>
    </row>
    <row r="320" spans="19:22" x14ac:dyDescent="0.45">
      <c r="S320" t="s">
        <v>151</v>
      </c>
      <c r="T320" t="s">
        <v>93</v>
      </c>
      <c r="U320">
        <v>4.0710779445219267E-2</v>
      </c>
      <c r="V320" t="s">
        <v>84</v>
      </c>
    </row>
    <row r="321" spans="19:22" x14ac:dyDescent="0.45">
      <c r="S321" t="s">
        <v>151</v>
      </c>
      <c r="T321" t="s">
        <v>94</v>
      </c>
      <c r="U321">
        <v>6.9611131556978526E-2</v>
      </c>
      <c r="V321" t="s">
        <v>84</v>
      </c>
    </row>
    <row r="322" spans="19:22" x14ac:dyDescent="0.45">
      <c r="S322" t="s">
        <v>151</v>
      </c>
      <c r="T322" t="s">
        <v>95</v>
      </c>
      <c r="U322">
        <v>3.4202749768021151E-2</v>
      </c>
      <c r="V322" t="s">
        <v>84</v>
      </c>
    </row>
    <row r="323" spans="19:22" x14ac:dyDescent="0.45">
      <c r="S323" t="s">
        <v>152</v>
      </c>
      <c r="T323" t="s">
        <v>83</v>
      </c>
      <c r="U323">
        <v>4.2946161855498849E-2</v>
      </c>
      <c r="V323" t="s">
        <v>84</v>
      </c>
    </row>
    <row r="324" spans="19:22" x14ac:dyDescent="0.45">
      <c r="S324" t="s">
        <v>152</v>
      </c>
      <c r="T324" t="s">
        <v>85</v>
      </c>
      <c r="U324">
        <v>7.8991570589029253E-2</v>
      </c>
      <c r="V324" t="s">
        <v>84</v>
      </c>
    </row>
    <row r="325" spans="19:22" x14ac:dyDescent="0.45">
      <c r="S325" t="s">
        <v>152</v>
      </c>
      <c r="T325" t="s">
        <v>86</v>
      </c>
      <c r="U325">
        <v>3.1780196558471939E-2</v>
      </c>
      <c r="V325" t="s">
        <v>84</v>
      </c>
    </row>
    <row r="326" spans="19:22" x14ac:dyDescent="0.45">
      <c r="S326" t="s">
        <v>152</v>
      </c>
      <c r="T326" t="s">
        <v>87</v>
      </c>
      <c r="U326">
        <v>9.4848916991780219E-2</v>
      </c>
      <c r="V326" t="s">
        <v>84</v>
      </c>
    </row>
    <row r="327" spans="19:22" x14ac:dyDescent="0.45">
      <c r="S327" t="s">
        <v>152</v>
      </c>
      <c r="T327" t="s">
        <v>88</v>
      </c>
      <c r="U327">
        <v>0.16197245000472116</v>
      </c>
      <c r="V327" t="s">
        <v>84</v>
      </c>
    </row>
    <row r="328" spans="19:22" x14ac:dyDescent="0.45">
      <c r="S328" t="s">
        <v>152</v>
      </c>
      <c r="T328" t="s">
        <v>89</v>
      </c>
      <c r="U328">
        <v>6.5910822316807088E-2</v>
      </c>
      <c r="V328" t="s">
        <v>84</v>
      </c>
    </row>
    <row r="329" spans="19:22" x14ac:dyDescent="0.45">
      <c r="S329" t="s">
        <v>152</v>
      </c>
      <c r="T329" t="s">
        <v>90</v>
      </c>
      <c r="U329">
        <v>0.10899240437659803</v>
      </c>
      <c r="V329" t="s">
        <v>84</v>
      </c>
    </row>
    <row r="330" spans="19:22" x14ac:dyDescent="0.45">
      <c r="S330" t="s">
        <v>152</v>
      </c>
      <c r="T330" t="s">
        <v>91</v>
      </c>
      <c r="U330">
        <v>0.19053130209638267</v>
      </c>
      <c r="V330" t="s">
        <v>84</v>
      </c>
    </row>
    <row r="331" spans="19:22" x14ac:dyDescent="0.45">
      <c r="S331" t="s">
        <v>152</v>
      </c>
      <c r="T331" t="s">
        <v>92</v>
      </c>
      <c r="U331">
        <v>7.6284115912977971E-2</v>
      </c>
      <c r="V331" t="s">
        <v>84</v>
      </c>
    </row>
    <row r="332" spans="19:22" x14ac:dyDescent="0.45">
      <c r="S332" t="s">
        <v>152</v>
      </c>
      <c r="T332" t="s">
        <v>93</v>
      </c>
      <c r="U332">
        <v>3.9194261768879003E-2</v>
      </c>
      <c r="V332" t="s">
        <v>84</v>
      </c>
    </row>
    <row r="333" spans="19:22" x14ac:dyDescent="0.45">
      <c r="S333" t="s">
        <v>152</v>
      </c>
      <c r="T333" t="s">
        <v>94</v>
      </c>
      <c r="U333">
        <v>7.8079354251042149E-2</v>
      </c>
      <c r="V333" t="s">
        <v>84</v>
      </c>
    </row>
    <row r="334" spans="19:22" x14ac:dyDescent="0.45">
      <c r="S334" t="s">
        <v>152</v>
      </c>
      <c r="T334" t="s">
        <v>95</v>
      </c>
      <c r="U334">
        <v>3.046844327780919E-2</v>
      </c>
      <c r="V334" t="s">
        <v>84</v>
      </c>
    </row>
    <row r="335" spans="19:22" x14ac:dyDescent="0.45">
      <c r="S335" t="s">
        <v>153</v>
      </c>
      <c r="T335" t="s">
        <v>83</v>
      </c>
      <c r="U335">
        <v>3.9913943881054167E-2</v>
      </c>
      <c r="V335" t="s">
        <v>84</v>
      </c>
    </row>
    <row r="336" spans="19:22" x14ac:dyDescent="0.45">
      <c r="S336" t="s">
        <v>153</v>
      </c>
      <c r="T336" t="s">
        <v>85</v>
      </c>
      <c r="U336">
        <v>7.3467538327186582E-2</v>
      </c>
      <c r="V336" t="s">
        <v>84</v>
      </c>
    </row>
    <row r="337" spans="19:22" x14ac:dyDescent="0.45">
      <c r="S337" t="s">
        <v>153</v>
      </c>
      <c r="T337" t="s">
        <v>86</v>
      </c>
      <c r="U337">
        <v>3.1058637819030357E-2</v>
      </c>
      <c r="V337" t="s">
        <v>84</v>
      </c>
    </row>
    <row r="338" spans="19:22" x14ac:dyDescent="0.45">
      <c r="S338" t="s">
        <v>153</v>
      </c>
      <c r="T338" t="s">
        <v>87</v>
      </c>
      <c r="U338">
        <v>9.363756192383095E-2</v>
      </c>
      <c r="V338" t="s">
        <v>84</v>
      </c>
    </row>
    <row r="339" spans="19:22" x14ac:dyDescent="0.45">
      <c r="S339" t="s">
        <v>153</v>
      </c>
      <c r="T339" t="s">
        <v>88</v>
      </c>
      <c r="U339">
        <v>0.1666329779436998</v>
      </c>
      <c r="V339" t="s">
        <v>84</v>
      </c>
    </row>
    <row r="340" spans="19:22" x14ac:dyDescent="0.45">
      <c r="S340" t="s">
        <v>153</v>
      </c>
      <c r="T340" t="s">
        <v>89</v>
      </c>
      <c r="U340">
        <v>7.3330341355658607E-2</v>
      </c>
      <c r="V340" t="s">
        <v>84</v>
      </c>
    </row>
    <row r="341" spans="19:22" x14ac:dyDescent="0.45">
      <c r="S341" t="s">
        <v>153</v>
      </c>
      <c r="T341" t="s">
        <v>90</v>
      </c>
      <c r="U341">
        <v>0.10292579255398225</v>
      </c>
      <c r="V341" t="s">
        <v>84</v>
      </c>
    </row>
    <row r="342" spans="19:22" x14ac:dyDescent="0.45">
      <c r="S342" t="s">
        <v>153</v>
      </c>
      <c r="T342" t="s">
        <v>91</v>
      </c>
      <c r="U342">
        <v>0.18150026361568558</v>
      </c>
      <c r="V342" t="s">
        <v>84</v>
      </c>
    </row>
    <row r="343" spans="19:22" x14ac:dyDescent="0.45">
      <c r="S343" t="s">
        <v>153</v>
      </c>
      <c r="T343" t="s">
        <v>92</v>
      </c>
      <c r="U343">
        <v>7.8680097124854381E-2</v>
      </c>
      <c r="V343" t="s">
        <v>84</v>
      </c>
    </row>
    <row r="344" spans="19:22" x14ac:dyDescent="0.45">
      <c r="S344" t="s">
        <v>153</v>
      </c>
      <c r="T344" t="s">
        <v>93</v>
      </c>
      <c r="U344">
        <v>4.2178863062442652E-2</v>
      </c>
      <c r="V344" t="s">
        <v>84</v>
      </c>
    </row>
    <row r="345" spans="19:22" x14ac:dyDescent="0.45">
      <c r="S345" t="s">
        <v>153</v>
      </c>
      <c r="T345" t="s">
        <v>94</v>
      </c>
      <c r="U345">
        <v>8.2175077830498197E-2</v>
      </c>
      <c r="V345" t="s">
        <v>84</v>
      </c>
    </row>
    <row r="346" spans="19:22" x14ac:dyDescent="0.45">
      <c r="S346" t="s">
        <v>153</v>
      </c>
      <c r="T346" t="s">
        <v>95</v>
      </c>
      <c r="U346">
        <v>3.449890456207845E-2</v>
      </c>
      <c r="V346" t="s">
        <v>84</v>
      </c>
    </row>
    <row r="347" spans="19:22" x14ac:dyDescent="0.45">
      <c r="S347" t="s">
        <v>154</v>
      </c>
      <c r="T347" t="s">
        <v>83</v>
      </c>
      <c r="U347">
        <v>4.5349515983275419E-2</v>
      </c>
      <c r="V347" t="s">
        <v>84</v>
      </c>
    </row>
    <row r="348" spans="19:22" x14ac:dyDescent="0.45">
      <c r="S348" t="s">
        <v>154</v>
      </c>
      <c r="T348" t="s">
        <v>85</v>
      </c>
      <c r="U348">
        <v>7.9605960192303982E-2</v>
      </c>
      <c r="V348" t="s">
        <v>84</v>
      </c>
    </row>
    <row r="349" spans="19:22" x14ac:dyDescent="0.45">
      <c r="S349" t="s">
        <v>154</v>
      </c>
      <c r="T349" t="s">
        <v>86</v>
      </c>
      <c r="U349">
        <v>3.1986414206495249E-2</v>
      </c>
      <c r="V349" t="s">
        <v>84</v>
      </c>
    </row>
    <row r="350" spans="19:22" x14ac:dyDescent="0.45">
      <c r="S350" t="s">
        <v>154</v>
      </c>
      <c r="T350" t="s">
        <v>87</v>
      </c>
      <c r="U350">
        <v>9.9375040323021163E-2</v>
      </c>
      <c r="V350" t="s">
        <v>84</v>
      </c>
    </row>
    <row r="351" spans="19:22" x14ac:dyDescent="0.45">
      <c r="S351" t="s">
        <v>154</v>
      </c>
      <c r="T351" t="s">
        <v>88</v>
      </c>
      <c r="U351">
        <v>0.16630223417862083</v>
      </c>
      <c r="V351" t="s">
        <v>84</v>
      </c>
    </row>
    <row r="352" spans="19:22" x14ac:dyDescent="0.45">
      <c r="S352" t="s">
        <v>154</v>
      </c>
      <c r="T352" t="s">
        <v>89</v>
      </c>
      <c r="U352">
        <v>7.0552222042288837E-2</v>
      </c>
      <c r="V352" t="s">
        <v>84</v>
      </c>
    </row>
    <row r="353" spans="19:22" x14ac:dyDescent="0.45">
      <c r="S353" t="s">
        <v>154</v>
      </c>
      <c r="T353" t="s">
        <v>90</v>
      </c>
      <c r="U353">
        <v>0.1081823507051899</v>
      </c>
      <c r="V353" t="s">
        <v>84</v>
      </c>
    </row>
    <row r="354" spans="19:22" x14ac:dyDescent="0.45">
      <c r="S354" t="s">
        <v>154</v>
      </c>
      <c r="T354" t="s">
        <v>91</v>
      </c>
      <c r="U354">
        <v>0.17107583186286221</v>
      </c>
      <c r="V354" t="s">
        <v>84</v>
      </c>
    </row>
    <row r="355" spans="19:22" x14ac:dyDescent="0.45">
      <c r="S355" t="s">
        <v>154</v>
      </c>
      <c r="T355" t="s">
        <v>92</v>
      </c>
      <c r="U355">
        <v>8.0566597230040907E-2</v>
      </c>
      <c r="V355" t="s">
        <v>84</v>
      </c>
    </row>
    <row r="356" spans="19:22" x14ac:dyDescent="0.45">
      <c r="S356" t="s">
        <v>154</v>
      </c>
      <c r="T356" t="s">
        <v>93</v>
      </c>
      <c r="U356">
        <v>4.4240292174878154E-2</v>
      </c>
      <c r="V356" t="s">
        <v>84</v>
      </c>
    </row>
    <row r="357" spans="19:22" x14ac:dyDescent="0.45">
      <c r="S357" t="s">
        <v>154</v>
      </c>
      <c r="T357" t="s">
        <v>94</v>
      </c>
      <c r="U357">
        <v>7.1508888635214748E-2</v>
      </c>
      <c r="V357" t="s">
        <v>84</v>
      </c>
    </row>
    <row r="358" spans="19:22" x14ac:dyDescent="0.45">
      <c r="S358" t="s">
        <v>154</v>
      </c>
      <c r="T358" t="s">
        <v>95</v>
      </c>
      <c r="U358">
        <v>3.1254652465807616E-2</v>
      </c>
      <c r="V358" t="s">
        <v>84</v>
      </c>
    </row>
    <row r="359" spans="19:22" x14ac:dyDescent="0.45">
      <c r="S359" t="s">
        <v>155</v>
      </c>
      <c r="T359" t="s">
        <v>83</v>
      </c>
      <c r="U359">
        <v>4.3875013013897478E-2</v>
      </c>
      <c r="V359" t="s">
        <v>84</v>
      </c>
    </row>
    <row r="360" spans="19:22" x14ac:dyDescent="0.45">
      <c r="S360" t="s">
        <v>155</v>
      </c>
      <c r="T360" t="s">
        <v>85</v>
      </c>
      <c r="U360">
        <v>7.3812678846213911E-2</v>
      </c>
      <c r="V360" t="s">
        <v>84</v>
      </c>
    </row>
    <row r="361" spans="19:22" x14ac:dyDescent="0.45">
      <c r="S361" t="s">
        <v>155</v>
      </c>
      <c r="T361" t="s">
        <v>86</v>
      </c>
      <c r="U361">
        <v>3.1448721324280074E-2</v>
      </c>
      <c r="V361" t="s">
        <v>84</v>
      </c>
    </row>
    <row r="362" spans="19:22" x14ac:dyDescent="0.45">
      <c r="S362" t="s">
        <v>155</v>
      </c>
      <c r="T362" t="s">
        <v>87</v>
      </c>
      <c r="U362">
        <v>9.924166218339335E-2</v>
      </c>
      <c r="V362" t="s">
        <v>84</v>
      </c>
    </row>
    <row r="363" spans="19:22" x14ac:dyDescent="0.45">
      <c r="S363" t="s">
        <v>155</v>
      </c>
      <c r="T363" t="s">
        <v>88</v>
      </c>
      <c r="U363">
        <v>0.16155327600975494</v>
      </c>
      <c r="V363" t="s">
        <v>84</v>
      </c>
    </row>
    <row r="364" spans="19:22" x14ac:dyDescent="0.45">
      <c r="S364" t="s">
        <v>155</v>
      </c>
      <c r="T364" t="s">
        <v>89</v>
      </c>
      <c r="U364">
        <v>6.9449755607819449E-2</v>
      </c>
      <c r="V364" t="s">
        <v>84</v>
      </c>
    </row>
    <row r="365" spans="19:22" x14ac:dyDescent="0.45">
      <c r="S365" t="s">
        <v>155</v>
      </c>
      <c r="T365" t="s">
        <v>90</v>
      </c>
      <c r="U365">
        <v>0.110121512005713</v>
      </c>
      <c r="V365" t="s">
        <v>84</v>
      </c>
    </row>
    <row r="366" spans="19:22" x14ac:dyDescent="0.45">
      <c r="S366" t="s">
        <v>155</v>
      </c>
      <c r="T366" t="s">
        <v>91</v>
      </c>
      <c r="U366">
        <v>0.17744847364952529</v>
      </c>
      <c r="V366" t="s">
        <v>84</v>
      </c>
    </row>
    <row r="367" spans="19:22" x14ac:dyDescent="0.45">
      <c r="S367" t="s">
        <v>155</v>
      </c>
      <c r="T367" t="s">
        <v>92</v>
      </c>
      <c r="U367">
        <v>7.8946186707612123E-2</v>
      </c>
      <c r="V367" t="s">
        <v>84</v>
      </c>
    </row>
    <row r="368" spans="19:22" x14ac:dyDescent="0.45">
      <c r="S368" t="s">
        <v>155</v>
      </c>
      <c r="T368" t="s">
        <v>93</v>
      </c>
      <c r="U368">
        <v>4.5048723786864316E-2</v>
      </c>
      <c r="V368" t="s">
        <v>84</v>
      </c>
    </row>
    <row r="369" spans="19:22" x14ac:dyDescent="0.45">
      <c r="S369" t="s">
        <v>155</v>
      </c>
      <c r="T369" t="s">
        <v>94</v>
      </c>
      <c r="U369">
        <v>7.722073484605918E-2</v>
      </c>
      <c r="V369" t="s">
        <v>84</v>
      </c>
    </row>
    <row r="370" spans="19:22" x14ac:dyDescent="0.45">
      <c r="S370" t="s">
        <v>155</v>
      </c>
      <c r="T370" t="s">
        <v>95</v>
      </c>
      <c r="U370">
        <v>3.1833262018863447E-2</v>
      </c>
      <c r="V370" t="s">
        <v>84</v>
      </c>
    </row>
    <row r="371" spans="19:22" x14ac:dyDescent="0.45">
      <c r="S371" t="s">
        <v>156</v>
      </c>
      <c r="T371" t="s">
        <v>83</v>
      </c>
      <c r="U371">
        <v>4.0396313354428504E-2</v>
      </c>
      <c r="V371" t="s">
        <v>84</v>
      </c>
    </row>
    <row r="372" spans="19:22" x14ac:dyDescent="0.45">
      <c r="S372" t="s">
        <v>156</v>
      </c>
      <c r="T372" t="s">
        <v>85</v>
      </c>
      <c r="U372">
        <v>6.7135739172795639E-2</v>
      </c>
      <c r="V372" t="s">
        <v>84</v>
      </c>
    </row>
    <row r="373" spans="19:22" x14ac:dyDescent="0.45">
      <c r="S373" t="s">
        <v>156</v>
      </c>
      <c r="T373" t="s">
        <v>86</v>
      </c>
      <c r="U373">
        <v>3.1302828528524014E-2</v>
      </c>
      <c r="V373" t="s">
        <v>84</v>
      </c>
    </row>
    <row r="374" spans="19:22" x14ac:dyDescent="0.45">
      <c r="S374" t="s">
        <v>156</v>
      </c>
      <c r="T374" t="s">
        <v>87</v>
      </c>
      <c r="U374">
        <v>8.9752570434207077E-2</v>
      </c>
      <c r="V374" t="s">
        <v>84</v>
      </c>
    </row>
    <row r="375" spans="19:22" x14ac:dyDescent="0.45">
      <c r="S375" t="s">
        <v>156</v>
      </c>
      <c r="T375" t="s">
        <v>88</v>
      </c>
      <c r="U375">
        <v>0.15543814987113325</v>
      </c>
      <c r="V375" t="s">
        <v>84</v>
      </c>
    </row>
    <row r="376" spans="19:22" x14ac:dyDescent="0.45">
      <c r="S376" t="s">
        <v>156</v>
      </c>
      <c r="T376" t="s">
        <v>89</v>
      </c>
      <c r="U376">
        <v>6.6392034452965612E-2</v>
      </c>
      <c r="V376" t="s">
        <v>84</v>
      </c>
    </row>
    <row r="377" spans="19:22" x14ac:dyDescent="0.45">
      <c r="S377" t="s">
        <v>156</v>
      </c>
      <c r="T377" t="s">
        <v>90</v>
      </c>
      <c r="U377">
        <v>0.12176422577938688</v>
      </c>
      <c r="V377" t="s">
        <v>84</v>
      </c>
    </row>
    <row r="378" spans="19:22" x14ac:dyDescent="0.45">
      <c r="S378" t="s">
        <v>156</v>
      </c>
      <c r="T378" t="s">
        <v>91</v>
      </c>
      <c r="U378">
        <v>0.19594625946955965</v>
      </c>
      <c r="V378" t="s">
        <v>84</v>
      </c>
    </row>
    <row r="379" spans="19:22" x14ac:dyDescent="0.45">
      <c r="S379" t="s">
        <v>156</v>
      </c>
      <c r="T379" t="s">
        <v>92</v>
      </c>
      <c r="U379">
        <v>8.2149058809660974E-2</v>
      </c>
      <c r="V379" t="s">
        <v>84</v>
      </c>
    </row>
    <row r="380" spans="19:22" x14ac:dyDescent="0.45">
      <c r="S380" t="s">
        <v>156</v>
      </c>
      <c r="T380" t="s">
        <v>93</v>
      </c>
      <c r="U380">
        <v>4.4129224031063799E-2</v>
      </c>
      <c r="V380" t="s">
        <v>84</v>
      </c>
    </row>
    <row r="381" spans="19:22" x14ac:dyDescent="0.45">
      <c r="S381" t="s">
        <v>156</v>
      </c>
      <c r="T381" t="s">
        <v>94</v>
      </c>
      <c r="U381">
        <v>7.3284566235071527E-2</v>
      </c>
      <c r="V381" t="s">
        <v>84</v>
      </c>
    </row>
    <row r="382" spans="19:22" x14ac:dyDescent="0.45">
      <c r="S382" t="s">
        <v>156</v>
      </c>
      <c r="T382" t="s">
        <v>95</v>
      </c>
      <c r="U382">
        <v>3.2309029861200121E-2</v>
      </c>
      <c r="V382" t="s">
        <v>84</v>
      </c>
    </row>
    <row r="383" spans="19:22" x14ac:dyDescent="0.45">
      <c r="S383" t="s">
        <v>157</v>
      </c>
      <c r="T383" t="s">
        <v>83</v>
      </c>
      <c r="U383">
        <v>3.8490040886964567E-2</v>
      </c>
      <c r="V383" t="s">
        <v>84</v>
      </c>
    </row>
    <row r="384" spans="19:22" x14ac:dyDescent="0.45">
      <c r="S384" t="s">
        <v>157</v>
      </c>
      <c r="T384" t="s">
        <v>85</v>
      </c>
      <c r="U384">
        <v>6.8079369880570784E-2</v>
      </c>
      <c r="V384" t="s">
        <v>84</v>
      </c>
    </row>
    <row r="385" spans="19:22" x14ac:dyDescent="0.45">
      <c r="S385" t="s">
        <v>157</v>
      </c>
      <c r="T385" t="s">
        <v>86</v>
      </c>
      <c r="U385">
        <v>3.0629717198251402E-2</v>
      </c>
      <c r="V385" t="s">
        <v>84</v>
      </c>
    </row>
    <row r="386" spans="19:22" x14ac:dyDescent="0.45">
      <c r="S386" t="s">
        <v>157</v>
      </c>
      <c r="T386" t="s">
        <v>87</v>
      </c>
      <c r="U386">
        <v>8.4080218261159897E-2</v>
      </c>
      <c r="V386" t="s">
        <v>84</v>
      </c>
    </row>
    <row r="387" spans="19:22" x14ac:dyDescent="0.45">
      <c r="S387" t="s">
        <v>157</v>
      </c>
      <c r="T387" t="s">
        <v>88</v>
      </c>
      <c r="U387">
        <v>0.14521631226787035</v>
      </c>
      <c r="V387" t="s">
        <v>84</v>
      </c>
    </row>
    <row r="388" spans="19:22" x14ac:dyDescent="0.45">
      <c r="S388" t="s">
        <v>157</v>
      </c>
      <c r="T388" t="s">
        <v>89</v>
      </c>
      <c r="U388">
        <v>5.9263343700377391E-2</v>
      </c>
      <c r="V388" t="s">
        <v>84</v>
      </c>
    </row>
    <row r="389" spans="19:22" x14ac:dyDescent="0.45">
      <c r="S389" t="s">
        <v>157</v>
      </c>
      <c r="T389" t="s">
        <v>90</v>
      </c>
      <c r="U389">
        <v>0.11528182832764403</v>
      </c>
      <c r="V389" t="s">
        <v>84</v>
      </c>
    </row>
    <row r="390" spans="19:22" x14ac:dyDescent="0.45">
      <c r="S390" t="s">
        <v>157</v>
      </c>
      <c r="T390" t="s">
        <v>91</v>
      </c>
      <c r="U390">
        <v>0.2084938440703715</v>
      </c>
      <c r="V390" t="s">
        <v>84</v>
      </c>
    </row>
    <row r="391" spans="19:22" x14ac:dyDescent="0.45">
      <c r="S391" t="s">
        <v>157</v>
      </c>
      <c r="T391" t="s">
        <v>92</v>
      </c>
      <c r="U391">
        <v>8.9707501075632329E-2</v>
      </c>
      <c r="V391" t="s">
        <v>84</v>
      </c>
    </row>
    <row r="392" spans="19:22" x14ac:dyDescent="0.45">
      <c r="S392" t="s">
        <v>157</v>
      </c>
      <c r="T392" t="s">
        <v>93</v>
      </c>
      <c r="U392">
        <v>4.2613179035052406E-2</v>
      </c>
      <c r="V392" t="s">
        <v>84</v>
      </c>
    </row>
    <row r="393" spans="19:22" x14ac:dyDescent="0.45">
      <c r="S393" t="s">
        <v>157</v>
      </c>
      <c r="T393" t="s">
        <v>94</v>
      </c>
      <c r="U393">
        <v>8.2794047334913232E-2</v>
      </c>
      <c r="V393" t="s">
        <v>84</v>
      </c>
    </row>
    <row r="394" spans="19:22" x14ac:dyDescent="0.45">
      <c r="S394" t="s">
        <v>157</v>
      </c>
      <c r="T394" t="s">
        <v>95</v>
      </c>
      <c r="U394">
        <v>3.535059796119093E-2</v>
      </c>
      <c r="V394" t="s">
        <v>84</v>
      </c>
    </row>
    <row r="395" spans="19:22" x14ac:dyDescent="0.45">
      <c r="S395" t="s">
        <v>158</v>
      </c>
      <c r="T395" t="s">
        <v>83</v>
      </c>
      <c r="U395">
        <v>4.3388058293715712E-2</v>
      </c>
      <c r="V395" t="s">
        <v>84</v>
      </c>
    </row>
    <row r="396" spans="19:22" x14ac:dyDescent="0.45">
      <c r="S396" t="s">
        <v>158</v>
      </c>
      <c r="T396" t="s">
        <v>85</v>
      </c>
      <c r="U396">
        <v>7.7545099036965798E-2</v>
      </c>
      <c r="V396" t="s">
        <v>84</v>
      </c>
    </row>
    <row r="397" spans="19:22" x14ac:dyDescent="0.45">
      <c r="S397" t="s">
        <v>158</v>
      </c>
      <c r="T397" t="s">
        <v>86</v>
      </c>
      <c r="U397">
        <v>3.3098257758359187E-2</v>
      </c>
      <c r="V397" t="s">
        <v>84</v>
      </c>
    </row>
    <row r="398" spans="19:22" x14ac:dyDescent="0.45">
      <c r="S398" t="s">
        <v>158</v>
      </c>
      <c r="T398" t="s">
        <v>87</v>
      </c>
      <c r="U398">
        <v>8.9190979535033993E-2</v>
      </c>
      <c r="V398" t="s">
        <v>84</v>
      </c>
    </row>
    <row r="399" spans="19:22" x14ac:dyDescent="0.45">
      <c r="S399" t="s">
        <v>158</v>
      </c>
      <c r="T399" t="s">
        <v>88</v>
      </c>
      <c r="U399">
        <v>0.15304566132603462</v>
      </c>
      <c r="V399" t="s">
        <v>84</v>
      </c>
    </row>
    <row r="400" spans="19:22" x14ac:dyDescent="0.45">
      <c r="S400" t="s">
        <v>158</v>
      </c>
      <c r="T400" t="s">
        <v>89</v>
      </c>
      <c r="U400">
        <v>6.4594414546685491E-2</v>
      </c>
      <c r="V400" t="s">
        <v>84</v>
      </c>
    </row>
    <row r="401" spans="19:22" x14ac:dyDescent="0.45">
      <c r="S401" t="s">
        <v>158</v>
      </c>
      <c r="T401" t="s">
        <v>90</v>
      </c>
      <c r="U401">
        <v>0.10753571614031303</v>
      </c>
      <c r="V401" t="s">
        <v>84</v>
      </c>
    </row>
    <row r="402" spans="19:22" x14ac:dyDescent="0.45">
      <c r="S402" t="s">
        <v>158</v>
      </c>
      <c r="T402" t="s">
        <v>91</v>
      </c>
      <c r="U402">
        <v>0.18926538287155928</v>
      </c>
      <c r="V402" t="s">
        <v>84</v>
      </c>
    </row>
    <row r="403" spans="19:22" x14ac:dyDescent="0.45">
      <c r="S403" t="s">
        <v>158</v>
      </c>
      <c r="T403" t="s">
        <v>92</v>
      </c>
      <c r="U403">
        <v>8.0056017253144457E-2</v>
      </c>
      <c r="V403" t="s">
        <v>84</v>
      </c>
    </row>
    <row r="404" spans="19:22" x14ac:dyDescent="0.45">
      <c r="S404" t="s">
        <v>158</v>
      </c>
      <c r="T404" t="s">
        <v>93</v>
      </c>
      <c r="U404">
        <v>4.4419579474073032E-2</v>
      </c>
      <c r="V404" t="s">
        <v>84</v>
      </c>
    </row>
    <row r="405" spans="19:22" x14ac:dyDescent="0.45">
      <c r="S405" t="s">
        <v>158</v>
      </c>
      <c r="T405" t="s">
        <v>94</v>
      </c>
      <c r="U405">
        <v>8.4150993969249369E-2</v>
      </c>
      <c r="V405" t="s">
        <v>84</v>
      </c>
    </row>
    <row r="406" spans="19:22" x14ac:dyDescent="0.45">
      <c r="S406" t="s">
        <v>158</v>
      </c>
      <c r="T406" t="s">
        <v>95</v>
      </c>
      <c r="U406">
        <v>3.3709839794860245E-2</v>
      </c>
      <c r="V406" t="s">
        <v>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52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238</v>
      </c>
      <c r="AC10" t="s">
        <v>238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72</v>
      </c>
      <c r="D11" t="s">
        <v>73</v>
      </c>
      <c r="E11" t="s">
        <v>74</v>
      </c>
      <c r="F11" t="s">
        <v>169</v>
      </c>
      <c r="G11" t="s">
        <v>73</v>
      </c>
      <c r="I11" t="s">
        <v>82</v>
      </c>
      <c r="J11" t="s">
        <v>83</v>
      </c>
      <c r="K11">
        <v>4.1842274295740582E-3</v>
      </c>
      <c r="L11" t="s">
        <v>84</v>
      </c>
      <c r="N11" t="s">
        <v>111</v>
      </c>
      <c r="O11" t="s">
        <v>83</v>
      </c>
      <c r="P11">
        <v>2.5936807398782877E-2</v>
      </c>
      <c r="Q11" t="s">
        <v>84</v>
      </c>
      <c r="S11" t="s">
        <v>126</v>
      </c>
      <c r="T11" t="s">
        <v>83</v>
      </c>
      <c r="U11">
        <v>2.3217639751077563E-2</v>
      </c>
      <c r="V11" t="s">
        <v>84</v>
      </c>
      <c r="X11">
        <v>2.4771689497716895E-2</v>
      </c>
      <c r="Y11">
        <v>9.7827942553597048E-3</v>
      </c>
      <c r="Z11" t="s">
        <v>83</v>
      </c>
      <c r="AA11" t="s">
        <v>239</v>
      </c>
      <c r="AC11" t="s">
        <v>240</v>
      </c>
      <c r="AD11" t="s">
        <v>83</v>
      </c>
      <c r="AE11">
        <v>2.6948593496835788E-2</v>
      </c>
      <c r="AG11" t="s">
        <v>27</v>
      </c>
      <c r="AH11" t="s">
        <v>83</v>
      </c>
      <c r="AI11">
        <v>5.4264398046266926E-2</v>
      </c>
      <c r="AK11">
        <v>2020</v>
      </c>
      <c r="AL11" t="s">
        <v>72</v>
      </c>
      <c r="AM11">
        <v>0.48179554079696391</v>
      </c>
      <c r="AN11" t="s">
        <v>168</v>
      </c>
    </row>
    <row r="12" spans="1:40" x14ac:dyDescent="0.45">
      <c r="C12" t="s">
        <v>76</v>
      </c>
      <c r="E12" t="s">
        <v>77</v>
      </c>
      <c r="G12" t="s">
        <v>73</v>
      </c>
      <c r="I12" t="s">
        <v>82</v>
      </c>
      <c r="J12" t="s">
        <v>85</v>
      </c>
      <c r="K12">
        <v>3.9939233176185591E-2</v>
      </c>
      <c r="L12" t="s">
        <v>84</v>
      </c>
      <c r="N12" t="s">
        <v>111</v>
      </c>
      <c r="O12" t="s">
        <v>85</v>
      </c>
      <c r="P12">
        <v>1.4587779726022801E-2</v>
      </c>
      <c r="Q12" t="s">
        <v>84</v>
      </c>
      <c r="S12" t="s">
        <v>126</v>
      </c>
      <c r="T12" t="s">
        <v>85</v>
      </c>
      <c r="U12">
        <v>1.4011286775350327E-2</v>
      </c>
      <c r="V12" t="s">
        <v>84</v>
      </c>
      <c r="X12">
        <v>1.4155251141552512E-2</v>
      </c>
      <c r="Y12">
        <v>1.9277859267914713E-2</v>
      </c>
      <c r="Z12" t="s">
        <v>85</v>
      </c>
      <c r="AA12" t="s">
        <v>239</v>
      </c>
      <c r="AC12" t="s">
        <v>240</v>
      </c>
      <c r="AD12" t="s">
        <v>85</v>
      </c>
      <c r="AE12">
        <v>1.3843155219920246E-2</v>
      </c>
      <c r="AG12" t="s">
        <v>27</v>
      </c>
      <c r="AH12" t="s">
        <v>85</v>
      </c>
      <c r="AI12">
        <v>9.633220260893971E-2</v>
      </c>
      <c r="AK12">
        <v>2020</v>
      </c>
      <c r="AL12" t="s">
        <v>76</v>
      </c>
      <c r="AM12">
        <v>0.4938936781609195</v>
      </c>
      <c r="AN12" t="s">
        <v>168</v>
      </c>
    </row>
    <row r="13" spans="1:40" x14ac:dyDescent="0.45">
      <c r="C13" t="s">
        <v>78</v>
      </c>
      <c r="E13" t="s">
        <v>79</v>
      </c>
      <c r="G13" t="s">
        <v>73</v>
      </c>
      <c r="I13" t="s">
        <v>82</v>
      </c>
      <c r="J13" t="s">
        <v>86</v>
      </c>
      <c r="K13">
        <v>7.3477667041835976E-2</v>
      </c>
      <c r="L13" t="s">
        <v>84</v>
      </c>
      <c r="N13" t="s">
        <v>111</v>
      </c>
      <c r="O13" t="s">
        <v>86</v>
      </c>
      <c r="P13">
        <v>2.5110526590042564E-2</v>
      </c>
      <c r="Q13" t="s">
        <v>84</v>
      </c>
      <c r="S13" t="s">
        <v>126</v>
      </c>
      <c r="T13" t="s">
        <v>86</v>
      </c>
      <c r="U13">
        <v>2.2880024463189829E-2</v>
      </c>
      <c r="V13" t="s">
        <v>84</v>
      </c>
      <c r="X13">
        <v>2.1232876712328767E-2</v>
      </c>
      <c r="Y13">
        <v>3.0283502805194377E-2</v>
      </c>
      <c r="Z13" t="s">
        <v>86</v>
      </c>
      <c r="AA13" t="s">
        <v>239</v>
      </c>
      <c r="AC13" t="s">
        <v>240</v>
      </c>
      <c r="AD13" t="s">
        <v>86</v>
      </c>
      <c r="AE13">
        <v>1.4709479401875421E-2</v>
      </c>
      <c r="AG13" t="s">
        <v>27</v>
      </c>
      <c r="AH13" t="s">
        <v>86</v>
      </c>
      <c r="AI13">
        <v>8.2587404804680631E-2</v>
      </c>
      <c r="AK13">
        <v>2020</v>
      </c>
      <c r="AL13" t="s">
        <v>78</v>
      </c>
      <c r="AM13">
        <v>0.4694418089816571</v>
      </c>
      <c r="AN13" t="s">
        <v>168</v>
      </c>
    </row>
    <row r="14" spans="1:40" x14ac:dyDescent="0.45">
      <c r="C14" t="s">
        <v>80</v>
      </c>
      <c r="E14" t="s">
        <v>170</v>
      </c>
      <c r="G14" t="s">
        <v>73</v>
      </c>
      <c r="I14" t="s">
        <v>82</v>
      </c>
      <c r="J14" t="s">
        <v>177</v>
      </c>
      <c r="K14">
        <v>1.0567856299783294E-2</v>
      </c>
      <c r="L14" t="s">
        <v>84</v>
      </c>
      <c r="N14" t="s">
        <v>111</v>
      </c>
      <c r="O14" t="s">
        <v>177</v>
      </c>
      <c r="P14">
        <v>4.3965162491487351E-3</v>
      </c>
      <c r="Q14" t="s">
        <v>84</v>
      </c>
      <c r="S14" t="s">
        <v>126</v>
      </c>
      <c r="T14" t="s">
        <v>177</v>
      </c>
      <c r="U14">
        <v>3.9554147195334406E-3</v>
      </c>
      <c r="V14" t="s">
        <v>84</v>
      </c>
      <c r="X14">
        <v>3.5388127853881279E-3</v>
      </c>
      <c r="Y14">
        <v>6.8849497385409693E-3</v>
      </c>
      <c r="Z14" t="s">
        <v>177</v>
      </c>
      <c r="AA14" t="s">
        <v>239</v>
      </c>
      <c r="AC14" t="s">
        <v>240</v>
      </c>
      <c r="AD14" t="s">
        <v>177</v>
      </c>
      <c r="AE14">
        <v>2.8888684085137343E-3</v>
      </c>
      <c r="AG14" t="s">
        <v>27</v>
      </c>
      <c r="AH14" t="s">
        <v>177</v>
      </c>
      <c r="AI14">
        <v>4.769630815364212E-2</v>
      </c>
      <c r="AK14">
        <v>2020</v>
      </c>
      <c r="AL14" t="s">
        <v>80</v>
      </c>
      <c r="AM14">
        <v>0.46384145055871806</v>
      </c>
      <c r="AN14" t="s">
        <v>168</v>
      </c>
    </row>
    <row r="15" spans="1:40" x14ac:dyDescent="0.45">
      <c r="C15" t="s">
        <v>171</v>
      </c>
      <c r="E15" t="s">
        <v>172</v>
      </c>
      <c r="G15" t="s">
        <v>73</v>
      </c>
      <c r="I15" t="s">
        <v>82</v>
      </c>
      <c r="J15" t="s">
        <v>178</v>
      </c>
      <c r="K15">
        <v>9.4078835258249623E-3</v>
      </c>
      <c r="L15" t="s">
        <v>84</v>
      </c>
      <c r="N15" t="s">
        <v>111</v>
      </c>
      <c r="O15" t="s">
        <v>178</v>
      </c>
      <c r="P15">
        <v>4.3080541988071578E-3</v>
      </c>
      <c r="Q15" t="s">
        <v>84</v>
      </c>
      <c r="S15" t="s">
        <v>126</v>
      </c>
      <c r="T15" t="s">
        <v>178</v>
      </c>
      <c r="U15">
        <v>3.911441428243791E-3</v>
      </c>
      <c r="V15" t="s">
        <v>84</v>
      </c>
      <c r="X15">
        <v>3.5388127853881279E-3</v>
      </c>
      <c r="Y15">
        <v>5.3435430806586613E-3</v>
      </c>
      <c r="Z15" t="s">
        <v>178</v>
      </c>
      <c r="AA15" t="s">
        <v>239</v>
      </c>
      <c r="AC15" t="s">
        <v>240</v>
      </c>
      <c r="AD15" t="s">
        <v>178</v>
      </c>
      <c r="AE15">
        <v>3.3517518583378253E-3</v>
      </c>
      <c r="AG15" t="s">
        <v>27</v>
      </c>
      <c r="AH15" t="s">
        <v>178</v>
      </c>
      <c r="AI15">
        <v>8.9389987156230699E-2</v>
      </c>
      <c r="AK15">
        <v>2020</v>
      </c>
      <c r="AL15" t="s">
        <v>171</v>
      </c>
      <c r="AM15">
        <v>0.46211192810457508</v>
      </c>
      <c r="AN15" t="s">
        <v>168</v>
      </c>
    </row>
    <row r="16" spans="1:40" x14ac:dyDescent="0.45">
      <c r="C16" t="s">
        <v>173</v>
      </c>
      <c r="E16" t="s">
        <v>174</v>
      </c>
      <c r="G16" t="s">
        <v>73</v>
      </c>
      <c r="I16" t="s">
        <v>82</v>
      </c>
      <c r="J16" t="s">
        <v>179</v>
      </c>
      <c r="K16">
        <v>7.7347369509369627E-3</v>
      </c>
      <c r="L16" t="s">
        <v>84</v>
      </c>
      <c r="N16" t="s">
        <v>111</v>
      </c>
      <c r="O16" t="s">
        <v>179</v>
      </c>
      <c r="P16">
        <v>1.9443493126073737E-2</v>
      </c>
      <c r="Q16" t="s">
        <v>84</v>
      </c>
      <c r="S16" t="s">
        <v>126</v>
      </c>
      <c r="T16" t="s">
        <v>179</v>
      </c>
      <c r="U16">
        <v>1.8575418220902827E-2</v>
      </c>
      <c r="V16" t="s">
        <v>84</v>
      </c>
      <c r="X16">
        <v>1.7694063926940638E-2</v>
      </c>
      <c r="Y16">
        <v>1.3358857701646654E-2</v>
      </c>
      <c r="Z16" t="s">
        <v>179</v>
      </c>
      <c r="AA16" t="s">
        <v>239</v>
      </c>
      <c r="AC16" t="s">
        <v>240</v>
      </c>
      <c r="AD16" t="s">
        <v>179</v>
      </c>
      <c r="AE16">
        <v>1.8772667685821743E-2</v>
      </c>
      <c r="AG16" t="s">
        <v>27</v>
      </c>
      <c r="AH16" t="s">
        <v>179</v>
      </c>
      <c r="AI16">
        <v>7.3528596507437927E-2</v>
      </c>
      <c r="AK16">
        <v>2020</v>
      </c>
      <c r="AL16" t="s">
        <v>173</v>
      </c>
      <c r="AM16">
        <v>0.50502055660974055</v>
      </c>
      <c r="AN16" t="s">
        <v>168</v>
      </c>
    </row>
    <row r="17" spans="3:40" x14ac:dyDescent="0.45">
      <c r="C17" t="s">
        <v>175</v>
      </c>
      <c r="I17" t="s">
        <v>82</v>
      </c>
      <c r="J17" t="s">
        <v>87</v>
      </c>
      <c r="K17">
        <v>1.9521225503249217E-5</v>
      </c>
      <c r="L17" t="s">
        <v>84</v>
      </c>
      <c r="N17" t="s">
        <v>111</v>
      </c>
      <c r="O17" t="s">
        <v>87</v>
      </c>
      <c r="P17">
        <v>1.4985970773167757E-2</v>
      </c>
      <c r="Q17" t="s">
        <v>84</v>
      </c>
      <c r="S17" t="s">
        <v>126</v>
      </c>
      <c r="T17" t="s">
        <v>87</v>
      </c>
      <c r="U17">
        <v>3.0125242507421254E-2</v>
      </c>
      <c r="V17" t="s">
        <v>84</v>
      </c>
      <c r="X17">
        <v>2.2374429223744292E-2</v>
      </c>
      <c r="Y17">
        <v>8.8360722306474754E-3</v>
      </c>
      <c r="Z17" t="s">
        <v>87</v>
      </c>
      <c r="AA17" t="s">
        <v>239</v>
      </c>
      <c r="AC17" t="s">
        <v>240</v>
      </c>
      <c r="AD17" t="s">
        <v>87</v>
      </c>
      <c r="AE17">
        <v>2.4320456878082115E-2</v>
      </c>
      <c r="AG17" t="s">
        <v>27</v>
      </c>
      <c r="AH17" t="s">
        <v>87</v>
      </c>
      <c r="AI17">
        <v>4.9179699037579905E-2</v>
      </c>
      <c r="AK17">
        <v>2020</v>
      </c>
      <c r="AL17" t="s">
        <v>175</v>
      </c>
      <c r="AM17">
        <v>0.50403225806451613</v>
      </c>
      <c r="AN17" t="s">
        <v>168</v>
      </c>
    </row>
    <row r="18" spans="3:40" x14ac:dyDescent="0.45">
      <c r="C18" t="s">
        <v>176</v>
      </c>
      <c r="I18" t="s">
        <v>82</v>
      </c>
      <c r="J18" t="s">
        <v>88</v>
      </c>
      <c r="K18">
        <v>3.066475789032768E-2</v>
      </c>
      <c r="L18" t="s">
        <v>84</v>
      </c>
      <c r="N18" t="s">
        <v>111</v>
      </c>
      <c r="O18" t="s">
        <v>88</v>
      </c>
      <c r="P18">
        <v>7.6013200465799647E-3</v>
      </c>
      <c r="Q18" t="s">
        <v>84</v>
      </c>
      <c r="S18" t="s">
        <v>126</v>
      </c>
      <c r="T18" t="s">
        <v>88</v>
      </c>
      <c r="U18">
        <v>1.7599311911380141E-2</v>
      </c>
      <c r="V18" t="s">
        <v>84</v>
      </c>
      <c r="X18">
        <v>1.2785388127853882E-2</v>
      </c>
      <c r="Y18">
        <v>1.7412259983922967E-2</v>
      </c>
      <c r="Z18" t="s">
        <v>88</v>
      </c>
      <c r="AA18" t="s">
        <v>239</v>
      </c>
      <c r="AC18" t="s">
        <v>240</v>
      </c>
      <c r="AD18" t="s">
        <v>88</v>
      </c>
      <c r="AE18">
        <v>1.2526760686626118E-2</v>
      </c>
      <c r="AG18" t="s">
        <v>27</v>
      </c>
      <c r="AH18" t="s">
        <v>88</v>
      </c>
      <c r="AI18">
        <v>9.4022736527880513E-2</v>
      </c>
      <c r="AK18">
        <v>2020</v>
      </c>
      <c r="AL18" t="s">
        <v>176</v>
      </c>
      <c r="AM18">
        <v>0.50868549704828159</v>
      </c>
      <c r="AN18" t="s">
        <v>168</v>
      </c>
    </row>
    <row r="19" spans="3:40" x14ac:dyDescent="0.45">
      <c r="I19" t="s">
        <v>82</v>
      </c>
      <c r="J19" t="s">
        <v>89</v>
      </c>
      <c r="K19">
        <v>6.0385454142001832E-2</v>
      </c>
      <c r="L19" t="s">
        <v>84</v>
      </c>
      <c r="N19" t="s">
        <v>111</v>
      </c>
      <c r="O19" t="s">
        <v>89</v>
      </c>
      <c r="P19">
        <v>1.2823580404344044E-2</v>
      </c>
      <c r="Q19" t="s">
        <v>84</v>
      </c>
      <c r="S19" t="s">
        <v>126</v>
      </c>
      <c r="T19" t="s">
        <v>89</v>
      </c>
      <c r="U19">
        <v>2.6873653520120493E-2</v>
      </c>
      <c r="V19" t="s">
        <v>84</v>
      </c>
      <c r="X19">
        <v>1.9178082191780823E-2</v>
      </c>
      <c r="Y19">
        <v>2.7352841243401378E-2</v>
      </c>
      <c r="Z19" t="s">
        <v>89</v>
      </c>
      <c r="AA19" t="s">
        <v>239</v>
      </c>
      <c r="AC19" t="s">
        <v>240</v>
      </c>
      <c r="AD19" t="s">
        <v>89</v>
      </c>
      <c r="AE19">
        <v>1.3278655344992885E-2</v>
      </c>
      <c r="AG19" t="s">
        <v>27</v>
      </c>
      <c r="AH19" t="s">
        <v>89</v>
      </c>
      <c r="AI19">
        <v>7.0809483913471416E-2</v>
      </c>
      <c r="AK19">
        <v>2021</v>
      </c>
      <c r="AL19" t="s">
        <v>72</v>
      </c>
      <c r="AM19">
        <v>0.43732210626185958</v>
      </c>
      <c r="AN19" t="s">
        <v>168</v>
      </c>
    </row>
    <row r="20" spans="3:40" x14ac:dyDescent="0.45">
      <c r="I20" t="s">
        <v>82</v>
      </c>
      <c r="J20" t="s">
        <v>180</v>
      </c>
      <c r="K20">
        <v>9.0524913644038432E-3</v>
      </c>
      <c r="L20" t="s">
        <v>84</v>
      </c>
      <c r="N20" t="s">
        <v>111</v>
      </c>
      <c r="O20" t="s">
        <v>180</v>
      </c>
      <c r="P20">
        <v>2.3089262048028325E-3</v>
      </c>
      <c r="Q20" t="s">
        <v>84</v>
      </c>
      <c r="S20" t="s">
        <v>126</v>
      </c>
      <c r="T20" t="s">
        <v>180</v>
      </c>
      <c r="U20">
        <v>4.5180671039036944E-3</v>
      </c>
      <c r="V20" t="s">
        <v>84</v>
      </c>
      <c r="X20">
        <v>3.1963470319634705E-3</v>
      </c>
      <c r="Y20">
        <v>6.2186642799724884E-3</v>
      </c>
      <c r="Z20" t="s">
        <v>180</v>
      </c>
      <c r="AA20" t="s">
        <v>239</v>
      </c>
      <c r="AC20" t="s">
        <v>240</v>
      </c>
      <c r="AD20" t="s">
        <v>180</v>
      </c>
      <c r="AE20">
        <v>2.6016734713987673E-3</v>
      </c>
      <c r="AG20" t="s">
        <v>27</v>
      </c>
      <c r="AH20" t="s">
        <v>180</v>
      </c>
      <c r="AI20">
        <v>4.295158608391092E-2</v>
      </c>
      <c r="AK20">
        <v>2021</v>
      </c>
      <c r="AL20" t="s">
        <v>76</v>
      </c>
      <c r="AM20">
        <v>0.45135241596638648</v>
      </c>
      <c r="AN20" t="s">
        <v>168</v>
      </c>
    </row>
    <row r="21" spans="3:40" x14ac:dyDescent="0.45">
      <c r="I21" t="s">
        <v>82</v>
      </c>
      <c r="J21" t="s">
        <v>181</v>
      </c>
      <c r="K21">
        <v>7.9014363452491951E-3</v>
      </c>
      <c r="L21" t="s">
        <v>84</v>
      </c>
      <c r="N21" t="s">
        <v>111</v>
      </c>
      <c r="O21" t="s">
        <v>181</v>
      </c>
      <c r="P21">
        <v>2.2886932599637979E-3</v>
      </c>
      <c r="Q21" t="s">
        <v>84</v>
      </c>
      <c r="S21" t="s">
        <v>126</v>
      </c>
      <c r="T21" t="s">
        <v>181</v>
      </c>
      <c r="U21">
        <v>4.490616737257095E-3</v>
      </c>
      <c r="V21" t="s">
        <v>84</v>
      </c>
      <c r="X21">
        <v>3.1963470319634705E-3</v>
      </c>
      <c r="Y21">
        <v>4.8264260083368555E-3</v>
      </c>
      <c r="Z21" t="s">
        <v>181</v>
      </c>
      <c r="AA21" t="s">
        <v>239</v>
      </c>
      <c r="AC21" t="s">
        <v>240</v>
      </c>
      <c r="AD21" t="s">
        <v>181</v>
      </c>
      <c r="AE21">
        <v>3.019177588791124E-3</v>
      </c>
      <c r="AG21" t="s">
        <v>27</v>
      </c>
      <c r="AH21" t="s">
        <v>181</v>
      </c>
      <c r="AI21">
        <v>8.5249006982327513E-2</v>
      </c>
      <c r="AK21">
        <v>2021</v>
      </c>
      <c r="AL21" t="s">
        <v>78</v>
      </c>
      <c r="AM21">
        <v>0.43238061353573681</v>
      </c>
      <c r="AN21" t="s">
        <v>168</v>
      </c>
    </row>
    <row r="22" spans="3:40" x14ac:dyDescent="0.45">
      <c r="I22" t="s">
        <v>82</v>
      </c>
      <c r="J22" t="s">
        <v>182</v>
      </c>
      <c r="K22">
        <v>5.3435736687804788E-3</v>
      </c>
      <c r="L22" t="s">
        <v>84</v>
      </c>
      <c r="N22" t="s">
        <v>111</v>
      </c>
      <c r="O22" t="s">
        <v>182</v>
      </c>
      <c r="P22">
        <v>1.133466010121335E-2</v>
      </c>
      <c r="Q22" t="s">
        <v>84</v>
      </c>
      <c r="S22" t="s">
        <v>126</v>
      </c>
      <c r="T22" t="s">
        <v>182</v>
      </c>
      <c r="U22">
        <v>2.2147978440995576E-2</v>
      </c>
      <c r="V22" t="s">
        <v>84</v>
      </c>
      <c r="X22">
        <v>1.5981735159817351E-2</v>
      </c>
      <c r="Y22">
        <v>1.2066065020842141E-2</v>
      </c>
      <c r="Z22" t="s">
        <v>182</v>
      </c>
      <c r="AA22" t="s">
        <v>239</v>
      </c>
      <c r="AC22" t="s">
        <v>240</v>
      </c>
      <c r="AD22" t="s">
        <v>182</v>
      </c>
      <c r="AE22">
        <v>1.6910348290204848E-2</v>
      </c>
      <c r="AG22" t="s">
        <v>27</v>
      </c>
      <c r="AH22" t="s">
        <v>182</v>
      </c>
      <c r="AI22">
        <v>7.3855213449832924E-2</v>
      </c>
      <c r="AK22">
        <v>2021</v>
      </c>
      <c r="AL22" t="s">
        <v>80</v>
      </c>
      <c r="AM22">
        <v>0.42295059825005266</v>
      </c>
      <c r="AN22" t="s">
        <v>168</v>
      </c>
    </row>
    <row r="23" spans="3:40" x14ac:dyDescent="0.45">
      <c r="I23" t="s">
        <v>82</v>
      </c>
      <c r="J23" t="s">
        <v>90</v>
      </c>
      <c r="K23">
        <v>0</v>
      </c>
      <c r="L23" t="s">
        <v>84</v>
      </c>
      <c r="N23" t="s">
        <v>111</v>
      </c>
      <c r="O23" t="s">
        <v>90</v>
      </c>
      <c r="P23">
        <v>1.739423116940355E-2</v>
      </c>
      <c r="Q23" t="s">
        <v>84</v>
      </c>
      <c r="S23" t="s">
        <v>126</v>
      </c>
      <c r="T23" t="s">
        <v>90</v>
      </c>
      <c r="U23">
        <v>2.3754199588401127E-2</v>
      </c>
      <c r="V23" t="s">
        <v>84</v>
      </c>
      <c r="X23">
        <v>2.4771689497716895E-2</v>
      </c>
      <c r="Y23">
        <v>9.7827942553597048E-3</v>
      </c>
      <c r="Z23" t="s">
        <v>90</v>
      </c>
      <c r="AA23" t="s">
        <v>239</v>
      </c>
      <c r="AC23" t="s">
        <v>240</v>
      </c>
      <c r="AD23" t="s">
        <v>90</v>
      </c>
      <c r="AE23">
        <v>2.657636522791464E-2</v>
      </c>
      <c r="AG23" t="s">
        <v>27</v>
      </c>
      <c r="AH23" t="s">
        <v>90</v>
      </c>
      <c r="AI23">
        <v>6.3245169905943976E-2</v>
      </c>
      <c r="AK23">
        <v>2021</v>
      </c>
      <c r="AL23" t="s">
        <v>171</v>
      </c>
      <c r="AM23">
        <v>0.4697712418300653</v>
      </c>
      <c r="AN23" t="s">
        <v>168</v>
      </c>
    </row>
    <row r="24" spans="3:40" x14ac:dyDescent="0.45">
      <c r="I24" t="s">
        <v>82</v>
      </c>
      <c r="J24" t="s">
        <v>91</v>
      </c>
      <c r="K24">
        <v>2.5419241560188842E-2</v>
      </c>
      <c r="L24" t="s">
        <v>84</v>
      </c>
      <c r="N24" t="s">
        <v>111</v>
      </c>
      <c r="O24" t="s">
        <v>91</v>
      </c>
      <c r="P24">
        <v>9.9353289733509799E-3</v>
      </c>
      <c r="Q24" t="s">
        <v>84</v>
      </c>
      <c r="S24" t="s">
        <v>126</v>
      </c>
      <c r="T24" t="s">
        <v>91</v>
      </c>
      <c r="U24">
        <v>1.3764118276652781E-2</v>
      </c>
      <c r="V24" t="s">
        <v>84</v>
      </c>
      <c r="X24">
        <v>1.4155251141552512E-2</v>
      </c>
      <c r="Y24">
        <v>1.9277859267914713E-2</v>
      </c>
      <c r="Z24" t="s">
        <v>91</v>
      </c>
      <c r="AA24" t="s">
        <v>239</v>
      </c>
      <c r="AC24" t="s">
        <v>240</v>
      </c>
      <c r="AD24" t="s">
        <v>91</v>
      </c>
      <c r="AE24">
        <v>1.3719200476450526E-2</v>
      </c>
      <c r="AG24" t="s">
        <v>27</v>
      </c>
      <c r="AH24" t="s">
        <v>91</v>
      </c>
      <c r="AI24">
        <v>0.10125591257543642</v>
      </c>
      <c r="AK24">
        <v>2021</v>
      </c>
      <c r="AL24" t="s">
        <v>173</v>
      </c>
      <c r="AM24">
        <v>0.54537608053974285</v>
      </c>
      <c r="AN24" t="s">
        <v>168</v>
      </c>
    </row>
    <row r="25" spans="3:40" x14ac:dyDescent="0.45">
      <c r="I25" t="s">
        <v>82</v>
      </c>
      <c r="J25" t="s">
        <v>92</v>
      </c>
      <c r="K25">
        <v>5.3746392741990792E-2</v>
      </c>
      <c r="L25" t="s">
        <v>84</v>
      </c>
      <c r="N25" t="s">
        <v>111</v>
      </c>
      <c r="O25" t="s">
        <v>92</v>
      </c>
      <c r="P25">
        <v>1.5840702473148675E-2</v>
      </c>
      <c r="Q25" t="s">
        <v>84</v>
      </c>
      <c r="S25" t="s">
        <v>126</v>
      </c>
      <c r="T25" t="s">
        <v>92</v>
      </c>
      <c r="U25">
        <v>2.2001134687296163E-2</v>
      </c>
      <c r="V25" t="s">
        <v>84</v>
      </c>
      <c r="X25">
        <v>2.1232876712328767E-2</v>
      </c>
      <c r="Y25">
        <v>3.0283502805194377E-2</v>
      </c>
      <c r="Z25" t="s">
        <v>92</v>
      </c>
      <c r="AA25" t="s">
        <v>239</v>
      </c>
      <c r="AC25" t="s">
        <v>240</v>
      </c>
      <c r="AD25" t="s">
        <v>92</v>
      </c>
      <c r="AE25">
        <v>1.4603486919803727E-2</v>
      </c>
      <c r="AG25" t="s">
        <v>27</v>
      </c>
      <c r="AH25" t="s">
        <v>92</v>
      </c>
      <c r="AI25">
        <v>6.7234198726643157E-2</v>
      </c>
      <c r="AK25">
        <v>2021</v>
      </c>
      <c r="AL25" t="s">
        <v>175</v>
      </c>
      <c r="AM25">
        <v>0.53862270714737503</v>
      </c>
      <c r="AN25" t="s">
        <v>168</v>
      </c>
    </row>
    <row r="26" spans="3:40" x14ac:dyDescent="0.45">
      <c r="I26" t="s">
        <v>82</v>
      </c>
      <c r="J26" t="s">
        <v>183</v>
      </c>
      <c r="K26">
        <v>7.6232417221596994E-3</v>
      </c>
      <c r="L26" t="s">
        <v>84</v>
      </c>
      <c r="N26" t="s">
        <v>111</v>
      </c>
      <c r="O26" t="s">
        <v>183</v>
      </c>
      <c r="P26">
        <v>2.648894608935747E-3</v>
      </c>
      <c r="Q26" t="s">
        <v>84</v>
      </c>
      <c r="S26" t="s">
        <v>126</v>
      </c>
      <c r="T26" t="s">
        <v>183</v>
      </c>
      <c r="U26">
        <v>3.8209577525813278E-3</v>
      </c>
      <c r="V26" t="s">
        <v>84</v>
      </c>
      <c r="X26">
        <v>3.5388127853881279E-3</v>
      </c>
      <c r="Y26">
        <v>6.8849497385409693E-3</v>
      </c>
      <c r="Z26" t="s">
        <v>183</v>
      </c>
      <c r="AA26" t="s">
        <v>239</v>
      </c>
      <c r="AC26" t="s">
        <v>240</v>
      </c>
      <c r="AD26" t="s">
        <v>183</v>
      </c>
      <c r="AE26">
        <v>2.8599027211659439E-3</v>
      </c>
      <c r="AG26" t="s">
        <v>27</v>
      </c>
      <c r="AH26" t="s">
        <v>183</v>
      </c>
      <c r="AI26">
        <v>5.4724375036419692E-2</v>
      </c>
      <c r="AK26">
        <v>2021</v>
      </c>
      <c r="AL26" t="s">
        <v>176</v>
      </c>
      <c r="AM26">
        <v>0.52120394528779257</v>
      </c>
      <c r="AN26" t="s">
        <v>168</v>
      </c>
    </row>
    <row r="27" spans="3:40" x14ac:dyDescent="0.45">
      <c r="I27" t="s">
        <v>82</v>
      </c>
      <c r="J27" t="s">
        <v>184</v>
      </c>
      <c r="K27">
        <v>6.1286985763506184E-3</v>
      </c>
      <c r="L27" t="s">
        <v>84</v>
      </c>
      <c r="N27" t="s">
        <v>111</v>
      </c>
      <c r="O27" t="s">
        <v>184</v>
      </c>
      <c r="P27">
        <v>2.6421816970874762E-3</v>
      </c>
      <c r="Q27" t="s">
        <v>84</v>
      </c>
      <c r="S27" t="s">
        <v>126</v>
      </c>
      <c r="T27" t="s">
        <v>184</v>
      </c>
      <c r="U27">
        <v>3.8358859577114959E-3</v>
      </c>
      <c r="V27" t="s">
        <v>84</v>
      </c>
      <c r="X27">
        <v>3.5388127853881279E-3</v>
      </c>
      <c r="Y27">
        <v>5.3435430806586613E-3</v>
      </c>
      <c r="Z27" t="s">
        <v>184</v>
      </c>
      <c r="AA27" t="s">
        <v>239</v>
      </c>
      <c r="AC27" t="s">
        <v>240</v>
      </c>
      <c r="AD27" t="s">
        <v>184</v>
      </c>
      <c r="AE27">
        <v>3.3137316930342922E-3</v>
      </c>
      <c r="AG27" t="s">
        <v>27</v>
      </c>
      <c r="AH27" t="s">
        <v>184</v>
      </c>
      <c r="AI27">
        <v>9.8500856558169314E-2</v>
      </c>
      <c r="AK27">
        <v>2022</v>
      </c>
      <c r="AL27" t="s">
        <v>72</v>
      </c>
      <c r="AM27">
        <v>0.45670528547629868</v>
      </c>
      <c r="AN27" t="s">
        <v>168</v>
      </c>
    </row>
    <row r="28" spans="3:40" x14ac:dyDescent="0.45">
      <c r="I28" t="s">
        <v>82</v>
      </c>
      <c r="J28" t="s">
        <v>185</v>
      </c>
      <c r="K28">
        <v>1.3351280726390463E-3</v>
      </c>
      <c r="L28" t="s">
        <v>84</v>
      </c>
      <c r="N28" t="s">
        <v>111</v>
      </c>
      <c r="O28" t="s">
        <v>185</v>
      </c>
      <c r="P28">
        <v>1.2578828596512064E-2</v>
      </c>
      <c r="Q28" t="s">
        <v>84</v>
      </c>
      <c r="S28" t="s">
        <v>126</v>
      </c>
      <c r="T28" t="s">
        <v>185</v>
      </c>
      <c r="U28">
        <v>1.8359008357708387E-2</v>
      </c>
      <c r="V28" t="s">
        <v>84</v>
      </c>
      <c r="X28">
        <v>1.7694063926940638E-2</v>
      </c>
      <c r="Y28">
        <v>1.3358857701646654E-2</v>
      </c>
      <c r="Z28" t="s">
        <v>185</v>
      </c>
      <c r="AA28" t="s">
        <v>239</v>
      </c>
      <c r="AC28" t="s">
        <v>240</v>
      </c>
      <c r="AD28" t="s">
        <v>185</v>
      </c>
      <c r="AE28">
        <v>1.8478476010364044E-2</v>
      </c>
      <c r="AG28" t="s">
        <v>27</v>
      </c>
      <c r="AH28" t="s">
        <v>185</v>
      </c>
      <c r="AI28">
        <v>8.5831249144549426E-2</v>
      </c>
      <c r="AK28">
        <v>2022</v>
      </c>
      <c r="AL28" t="s">
        <v>76</v>
      </c>
      <c r="AM28">
        <v>0.44276073105298458</v>
      </c>
      <c r="AN28" t="s">
        <v>168</v>
      </c>
    </row>
    <row r="29" spans="3:40" x14ac:dyDescent="0.45">
      <c r="I29" t="s">
        <v>82</v>
      </c>
      <c r="J29" t="s">
        <v>93</v>
      </c>
      <c r="K29">
        <v>0</v>
      </c>
      <c r="L29" t="s">
        <v>84</v>
      </c>
      <c r="N29" t="s">
        <v>111</v>
      </c>
      <c r="O29" t="s">
        <v>93</v>
      </c>
      <c r="P29">
        <v>4.6108664583707999E-2</v>
      </c>
      <c r="Q29" t="s">
        <v>84</v>
      </c>
      <c r="S29" t="s">
        <v>126</v>
      </c>
      <c r="T29" t="s">
        <v>93</v>
      </c>
      <c r="U29">
        <v>4.6980910795041964E-2</v>
      </c>
      <c r="V29" t="s">
        <v>84</v>
      </c>
      <c r="X29">
        <v>4.8744292237442921E-2</v>
      </c>
      <c r="Y29">
        <v>1.9250014502482003E-2</v>
      </c>
      <c r="Z29" t="s">
        <v>93</v>
      </c>
      <c r="AA29" t="s">
        <v>239</v>
      </c>
      <c r="AC29" t="s">
        <v>240</v>
      </c>
      <c r="AD29" t="s">
        <v>93</v>
      </c>
      <c r="AE29">
        <v>5.4699967707002035E-2</v>
      </c>
      <c r="AG29" t="s">
        <v>27</v>
      </c>
      <c r="AH29" t="s">
        <v>93</v>
      </c>
      <c r="AI29">
        <v>0.19001068869164039</v>
      </c>
      <c r="AK29">
        <v>2022</v>
      </c>
      <c r="AL29" t="s">
        <v>78</v>
      </c>
      <c r="AM29">
        <v>0.42594275329395731</v>
      </c>
      <c r="AN29" t="s">
        <v>168</v>
      </c>
    </row>
    <row r="30" spans="3:40" x14ac:dyDescent="0.45">
      <c r="I30" t="s">
        <v>82</v>
      </c>
      <c r="J30" t="s">
        <v>94</v>
      </c>
      <c r="K30">
        <v>2.7554230834063987E-2</v>
      </c>
      <c r="L30" t="s">
        <v>84</v>
      </c>
      <c r="N30" t="s">
        <v>111</v>
      </c>
      <c r="O30" t="s">
        <v>94</v>
      </c>
      <c r="P30">
        <v>2.6855774217183662E-2</v>
      </c>
      <c r="Q30" t="s">
        <v>84</v>
      </c>
      <c r="S30" t="s">
        <v>126</v>
      </c>
      <c r="T30" t="s">
        <v>94</v>
      </c>
      <c r="U30">
        <v>2.7335634228864817E-2</v>
      </c>
      <c r="V30" t="s">
        <v>84</v>
      </c>
      <c r="X30">
        <v>2.7853881278538814E-2</v>
      </c>
      <c r="Y30">
        <v>3.7933852107832171E-2</v>
      </c>
      <c r="Z30" t="s">
        <v>94</v>
      </c>
      <c r="AA30" t="s">
        <v>239</v>
      </c>
      <c r="AC30" t="s">
        <v>240</v>
      </c>
      <c r="AD30" t="s">
        <v>94</v>
      </c>
      <c r="AE30">
        <v>3.0267741903327598E-2</v>
      </c>
      <c r="AG30" t="s">
        <v>27</v>
      </c>
      <c r="AH30" t="s">
        <v>94</v>
      </c>
      <c r="AI30">
        <v>0.21001996900563613</v>
      </c>
      <c r="AK30">
        <v>2022</v>
      </c>
      <c r="AL30" t="s">
        <v>80</v>
      </c>
      <c r="AM30">
        <v>0.42298481750719374</v>
      </c>
      <c r="AN30" t="s">
        <v>168</v>
      </c>
    </row>
    <row r="31" spans="3:40" x14ac:dyDescent="0.45">
      <c r="I31" t="s">
        <v>82</v>
      </c>
      <c r="J31" t="s">
        <v>95</v>
      </c>
      <c r="K31">
        <v>6.6179354257908884E-2</v>
      </c>
      <c r="L31" t="s">
        <v>84</v>
      </c>
      <c r="N31" t="s">
        <v>111</v>
      </c>
      <c r="O31" t="s">
        <v>95</v>
      </c>
      <c r="P31">
        <v>4.243663025707882E-2</v>
      </c>
      <c r="Q31" t="s">
        <v>84</v>
      </c>
      <c r="S31" t="s">
        <v>126</v>
      </c>
      <c r="T31" t="s">
        <v>95</v>
      </c>
      <c r="U31">
        <v>4.0516112795727886E-2</v>
      </c>
      <c r="V31" t="s">
        <v>84</v>
      </c>
      <c r="X31">
        <v>4.1780821917808221E-2</v>
      </c>
      <c r="Y31">
        <v>5.9590118423124429E-2</v>
      </c>
      <c r="Z31" t="s">
        <v>95</v>
      </c>
      <c r="AA31" t="s">
        <v>239</v>
      </c>
      <c r="AC31" t="s">
        <v>240</v>
      </c>
      <c r="AD31" t="s">
        <v>95</v>
      </c>
      <c r="AE31">
        <v>3.026085027809227E-2</v>
      </c>
      <c r="AG31" t="s">
        <v>27</v>
      </c>
      <c r="AH31" t="s">
        <v>95</v>
      </c>
      <c r="AI31">
        <v>0.24496508370704495</v>
      </c>
      <c r="AK31">
        <v>2022</v>
      </c>
      <c r="AL31" t="s">
        <v>171</v>
      </c>
      <c r="AM31">
        <v>0.51594287949921747</v>
      </c>
      <c r="AN31" t="s">
        <v>168</v>
      </c>
    </row>
    <row r="32" spans="3:40" x14ac:dyDescent="0.45">
      <c r="I32" t="s">
        <v>82</v>
      </c>
      <c r="J32" t="s">
        <v>186</v>
      </c>
      <c r="K32">
        <v>7.9950934940566966E-3</v>
      </c>
      <c r="L32" t="s">
        <v>84</v>
      </c>
      <c r="N32" t="s">
        <v>111</v>
      </c>
      <c r="O32" t="s">
        <v>186</v>
      </c>
      <c r="P32">
        <v>7.0155457536233701E-3</v>
      </c>
      <c r="Q32" t="s">
        <v>84</v>
      </c>
      <c r="S32" t="s">
        <v>126</v>
      </c>
      <c r="T32" t="s">
        <v>186</v>
      </c>
      <c r="U32">
        <v>6.6093236617444208E-3</v>
      </c>
      <c r="V32" t="s">
        <v>84</v>
      </c>
      <c r="X32">
        <v>6.9634703196347035E-3</v>
      </c>
      <c r="Y32">
        <v>1.354780432422577E-2</v>
      </c>
      <c r="Z32" t="s">
        <v>186</v>
      </c>
      <c r="AA32" t="s">
        <v>239</v>
      </c>
      <c r="AC32" t="s">
        <v>240</v>
      </c>
      <c r="AD32" t="s">
        <v>186</v>
      </c>
      <c r="AE32">
        <v>5.1845918182678715E-3</v>
      </c>
      <c r="AG32" t="s">
        <v>27</v>
      </c>
      <c r="AH32" t="s">
        <v>186</v>
      </c>
      <c r="AI32">
        <v>0.10567861332753226</v>
      </c>
      <c r="AK32">
        <v>2022</v>
      </c>
      <c r="AL32" t="s">
        <v>173</v>
      </c>
      <c r="AM32">
        <v>0.57586408534841071</v>
      </c>
      <c r="AN32" t="s">
        <v>168</v>
      </c>
    </row>
    <row r="33" spans="9:40" x14ac:dyDescent="0.45">
      <c r="I33" t="s">
        <v>82</v>
      </c>
      <c r="J33" t="s">
        <v>187</v>
      </c>
      <c r="K33">
        <v>2.0066492634273191E-3</v>
      </c>
      <c r="L33" t="s">
        <v>84</v>
      </c>
      <c r="N33" t="s">
        <v>111</v>
      </c>
      <c r="O33" t="s">
        <v>187</v>
      </c>
      <c r="P33">
        <v>7.0363125166566102E-3</v>
      </c>
      <c r="Q33" t="s">
        <v>84</v>
      </c>
      <c r="S33" t="s">
        <v>126</v>
      </c>
      <c r="T33" t="s">
        <v>187</v>
      </c>
      <c r="U33">
        <v>6.5145178675228097E-3</v>
      </c>
      <c r="V33" t="s">
        <v>84</v>
      </c>
      <c r="X33">
        <v>6.9634703196347035E-3</v>
      </c>
      <c r="Y33">
        <v>1.0514713803876726E-2</v>
      </c>
      <c r="Z33" t="s">
        <v>187</v>
      </c>
      <c r="AA33" t="s">
        <v>239</v>
      </c>
      <c r="AC33" t="s">
        <v>240</v>
      </c>
      <c r="AD33" t="s">
        <v>187</v>
      </c>
      <c r="AE33">
        <v>6.0119358295861094E-3</v>
      </c>
      <c r="AG33" t="s">
        <v>27</v>
      </c>
      <c r="AH33" t="s">
        <v>187</v>
      </c>
      <c r="AI33">
        <v>0.15356820878662725</v>
      </c>
      <c r="AK33">
        <v>2022</v>
      </c>
      <c r="AL33" t="s">
        <v>175</v>
      </c>
      <c r="AM33">
        <v>0.544260184764501</v>
      </c>
      <c r="AN33" t="s">
        <v>168</v>
      </c>
    </row>
    <row r="34" spans="9:40" x14ac:dyDescent="0.45">
      <c r="I34" t="s">
        <v>82</v>
      </c>
      <c r="J34" t="s">
        <v>188</v>
      </c>
      <c r="K34">
        <v>0</v>
      </c>
      <c r="L34" t="s">
        <v>84</v>
      </c>
      <c r="N34" t="s">
        <v>111</v>
      </c>
      <c r="O34" t="s">
        <v>188</v>
      </c>
      <c r="P34">
        <v>3.3157604925628401E-2</v>
      </c>
      <c r="Q34" t="s">
        <v>84</v>
      </c>
      <c r="S34" t="s">
        <v>126</v>
      </c>
      <c r="T34" t="s">
        <v>188</v>
      </c>
      <c r="U34">
        <v>3.2005904830511391E-2</v>
      </c>
      <c r="V34" t="s">
        <v>84</v>
      </c>
      <c r="X34">
        <v>3.4817351598173514E-2</v>
      </c>
      <c r="Y34">
        <v>2.6286784509691803E-2</v>
      </c>
      <c r="Z34" t="s">
        <v>188</v>
      </c>
      <c r="AA34" t="s">
        <v>239</v>
      </c>
      <c r="AC34" t="s">
        <v>240</v>
      </c>
      <c r="AD34" t="s">
        <v>188</v>
      </c>
      <c r="AE34">
        <v>3.7399795080651291E-2</v>
      </c>
      <c r="AG34" t="s">
        <v>27</v>
      </c>
      <c r="AH34" t="s">
        <v>188</v>
      </c>
      <c r="AI34">
        <v>0.16953158453087291</v>
      </c>
      <c r="AK34">
        <v>2022</v>
      </c>
      <c r="AL34" t="s">
        <v>176</v>
      </c>
      <c r="AM34">
        <v>0.55699902821949621</v>
      </c>
      <c r="AN34" t="s">
        <v>168</v>
      </c>
    </row>
    <row r="35" spans="9:40" x14ac:dyDescent="0.45">
      <c r="I35" t="s">
        <v>82</v>
      </c>
      <c r="J35" t="s">
        <v>189</v>
      </c>
      <c r="K35">
        <v>0</v>
      </c>
      <c r="L35" t="s">
        <v>84</v>
      </c>
      <c r="N35" t="s">
        <v>111</v>
      </c>
      <c r="O35" t="s">
        <v>189</v>
      </c>
      <c r="P35">
        <v>2.2333703766040672E-2</v>
      </c>
      <c r="Q35" t="s">
        <v>84</v>
      </c>
      <c r="S35" t="s">
        <v>126</v>
      </c>
      <c r="T35" t="s">
        <v>189</v>
      </c>
      <c r="U35">
        <v>3.3925078717178599E-2</v>
      </c>
      <c r="V35" t="s">
        <v>84</v>
      </c>
      <c r="X35">
        <v>2.3972602739726026E-2</v>
      </c>
      <c r="Y35">
        <v>9.4672202471222967E-3</v>
      </c>
      <c r="Z35" t="s">
        <v>189</v>
      </c>
      <c r="AA35" t="s">
        <v>239</v>
      </c>
      <c r="AC35" t="s">
        <v>240</v>
      </c>
      <c r="AD35" t="s">
        <v>189</v>
      </c>
      <c r="AE35">
        <v>2.9262689938114154E-2</v>
      </c>
      <c r="AG35" t="s">
        <v>27</v>
      </c>
      <c r="AH35" t="s">
        <v>189</v>
      </c>
      <c r="AI35">
        <v>0.13649484604592166</v>
      </c>
      <c r="AK35">
        <v>2025</v>
      </c>
      <c r="AL35" t="s">
        <v>72</v>
      </c>
      <c r="AM35">
        <v>0.47420000000000001</v>
      </c>
      <c r="AN35" t="s">
        <v>168</v>
      </c>
    </row>
    <row r="36" spans="9:40" x14ac:dyDescent="0.45">
      <c r="I36" t="s">
        <v>82</v>
      </c>
      <c r="J36" t="s">
        <v>190</v>
      </c>
      <c r="K36">
        <v>6.4733097878018862E-3</v>
      </c>
      <c r="L36" t="s">
        <v>84</v>
      </c>
      <c r="N36" t="s">
        <v>111</v>
      </c>
      <c r="O36" t="s">
        <v>190</v>
      </c>
      <c r="P36">
        <v>1.218070814491445E-2</v>
      </c>
      <c r="Q36" t="s">
        <v>84</v>
      </c>
      <c r="S36" t="s">
        <v>126</v>
      </c>
      <c r="T36" t="s">
        <v>190</v>
      </c>
      <c r="U36">
        <v>1.9247126832521062E-2</v>
      </c>
      <c r="V36" t="s">
        <v>84</v>
      </c>
      <c r="X36">
        <v>1.3698630136986301E-2</v>
      </c>
      <c r="Y36">
        <v>1.8655992839917462E-2</v>
      </c>
      <c r="Z36" t="s">
        <v>190</v>
      </c>
      <c r="AA36" t="s">
        <v>239</v>
      </c>
      <c r="AC36" t="s">
        <v>240</v>
      </c>
      <c r="AD36" t="s">
        <v>190</v>
      </c>
      <c r="AE36">
        <v>1.6594860988737279E-2</v>
      </c>
      <c r="AG36" t="s">
        <v>27</v>
      </c>
      <c r="AH36" t="s">
        <v>190</v>
      </c>
      <c r="AI36">
        <v>0.14011669450325925</v>
      </c>
      <c r="AK36">
        <v>2025</v>
      </c>
      <c r="AL36" t="s">
        <v>76</v>
      </c>
      <c r="AM36">
        <v>0.50629999999999997</v>
      </c>
      <c r="AN36" t="s">
        <v>168</v>
      </c>
    </row>
    <row r="37" spans="9:40" x14ac:dyDescent="0.45">
      <c r="I37" t="s">
        <v>82</v>
      </c>
      <c r="J37" t="s">
        <v>191</v>
      </c>
      <c r="K37">
        <v>2.0585180275666467E-2</v>
      </c>
      <c r="L37" t="s">
        <v>84</v>
      </c>
      <c r="N37" t="s">
        <v>111</v>
      </c>
      <c r="O37" t="s">
        <v>191</v>
      </c>
      <c r="P37">
        <v>1.7566220209362965E-2</v>
      </c>
      <c r="Q37" t="s">
        <v>84</v>
      </c>
      <c r="S37" t="s">
        <v>126</v>
      </c>
      <c r="T37" t="s">
        <v>191</v>
      </c>
      <c r="U37">
        <v>2.8999591132722068E-2</v>
      </c>
      <c r="V37" t="s">
        <v>84</v>
      </c>
      <c r="X37">
        <v>2.0547945205479451E-2</v>
      </c>
      <c r="Y37">
        <v>2.9306615617930045E-2</v>
      </c>
      <c r="Z37" t="s">
        <v>191</v>
      </c>
      <c r="AA37" t="s">
        <v>239</v>
      </c>
      <c r="AC37" t="s">
        <v>240</v>
      </c>
      <c r="AD37" t="s">
        <v>191</v>
      </c>
      <c r="AE37">
        <v>1.6415535562755903E-2</v>
      </c>
      <c r="AG37" t="s">
        <v>27</v>
      </c>
      <c r="AH37" t="s">
        <v>191</v>
      </c>
      <c r="AI37">
        <v>0.25061332542191073</v>
      </c>
      <c r="AK37">
        <v>2025</v>
      </c>
      <c r="AL37" t="s">
        <v>78</v>
      </c>
      <c r="AM37">
        <v>0.4834</v>
      </c>
      <c r="AN37" t="s">
        <v>168</v>
      </c>
    </row>
    <row r="38" spans="9:40" x14ac:dyDescent="0.45">
      <c r="I38" t="s">
        <v>82</v>
      </c>
      <c r="J38" t="s">
        <v>192</v>
      </c>
      <c r="K38">
        <v>2.450114261021645E-3</v>
      </c>
      <c r="L38" t="s">
        <v>84</v>
      </c>
      <c r="N38" t="s">
        <v>111</v>
      </c>
      <c r="O38" t="s">
        <v>192</v>
      </c>
      <c r="P38">
        <v>3.0514463773639996E-3</v>
      </c>
      <c r="Q38" t="s">
        <v>84</v>
      </c>
      <c r="S38" t="s">
        <v>126</v>
      </c>
      <c r="T38" t="s">
        <v>192</v>
      </c>
      <c r="U38">
        <v>4.80417276534441E-3</v>
      </c>
      <c r="V38" t="s">
        <v>84</v>
      </c>
      <c r="X38">
        <v>3.4246575342465752E-3</v>
      </c>
      <c r="Y38">
        <v>6.662854585684809E-3</v>
      </c>
      <c r="Z38" t="s">
        <v>192</v>
      </c>
      <c r="AA38" t="s">
        <v>239</v>
      </c>
      <c r="AC38" t="s">
        <v>240</v>
      </c>
      <c r="AD38" t="s">
        <v>192</v>
      </c>
      <c r="AE38">
        <v>2.8707238079250961E-3</v>
      </c>
      <c r="AG38" t="s">
        <v>27</v>
      </c>
      <c r="AH38" t="s">
        <v>192</v>
      </c>
      <c r="AI38">
        <v>5.3483883848355118E-2</v>
      </c>
      <c r="AK38">
        <v>2025</v>
      </c>
      <c r="AL38" t="s">
        <v>80</v>
      </c>
      <c r="AM38">
        <v>0.49914999999999998</v>
      </c>
      <c r="AN38" t="s">
        <v>168</v>
      </c>
    </row>
    <row r="39" spans="9:40" x14ac:dyDescent="0.45">
      <c r="I39" t="s">
        <v>82</v>
      </c>
      <c r="J39" t="s">
        <v>193</v>
      </c>
      <c r="K39">
        <v>0</v>
      </c>
      <c r="L39" t="s">
        <v>84</v>
      </c>
      <c r="N39" t="s">
        <v>111</v>
      </c>
      <c r="O39" t="s">
        <v>193</v>
      </c>
      <c r="P39">
        <v>3.0757181953937366E-3</v>
      </c>
      <c r="Q39" t="s">
        <v>84</v>
      </c>
      <c r="S39" t="s">
        <v>126</v>
      </c>
      <c r="T39" t="s">
        <v>193</v>
      </c>
      <c r="U39">
        <v>4.7407935020689421E-3</v>
      </c>
      <c r="V39" t="s">
        <v>84</v>
      </c>
      <c r="X39">
        <v>3.4246575342465752E-3</v>
      </c>
      <c r="Y39">
        <v>5.1711707232180593E-3</v>
      </c>
      <c r="Z39" t="s">
        <v>193</v>
      </c>
      <c r="AA39" t="s">
        <v>239</v>
      </c>
      <c r="AC39" t="s">
        <v>240</v>
      </c>
      <c r="AD39" t="s">
        <v>193</v>
      </c>
      <c r="AE39">
        <v>3.4975146972787332E-3</v>
      </c>
      <c r="AG39" t="s">
        <v>27</v>
      </c>
      <c r="AH39" t="s">
        <v>193</v>
      </c>
      <c r="AI39">
        <v>0.13447192775814676</v>
      </c>
      <c r="AK39">
        <v>2025</v>
      </c>
      <c r="AL39" t="s">
        <v>171</v>
      </c>
      <c r="AM39">
        <v>0.51870000000000005</v>
      </c>
      <c r="AN39" t="s">
        <v>168</v>
      </c>
    </row>
    <row r="40" spans="9:40" x14ac:dyDescent="0.45">
      <c r="I40" t="s">
        <v>82</v>
      </c>
      <c r="J40" t="s">
        <v>194</v>
      </c>
      <c r="K40">
        <v>0</v>
      </c>
      <c r="L40" t="s">
        <v>84</v>
      </c>
      <c r="N40" t="s">
        <v>111</v>
      </c>
      <c r="O40" t="s">
        <v>194</v>
      </c>
      <c r="P40">
        <v>1.5722070607830294E-2</v>
      </c>
      <c r="Q40" t="s">
        <v>84</v>
      </c>
      <c r="S40" t="s">
        <v>126</v>
      </c>
      <c r="T40" t="s">
        <v>194</v>
      </c>
      <c r="U40">
        <v>2.2841141414312118E-2</v>
      </c>
      <c r="V40" t="s">
        <v>84</v>
      </c>
      <c r="X40">
        <v>1.7123287671232876E-2</v>
      </c>
      <c r="Y40">
        <v>1.2927926808045149E-2</v>
      </c>
      <c r="Z40" t="s">
        <v>194</v>
      </c>
      <c r="AA40" t="s">
        <v>239</v>
      </c>
      <c r="AC40" t="s">
        <v>240</v>
      </c>
      <c r="AD40" t="s">
        <v>194</v>
      </c>
      <c r="AE40">
        <v>2.0858441557153454E-2</v>
      </c>
      <c r="AG40" t="s">
        <v>27</v>
      </c>
      <c r="AH40" t="s">
        <v>194</v>
      </c>
      <c r="AI40">
        <v>0.16518626093417543</v>
      </c>
      <c r="AK40">
        <v>2025</v>
      </c>
      <c r="AL40" t="s">
        <v>173</v>
      </c>
      <c r="AM40">
        <v>0.52516666666666667</v>
      </c>
      <c r="AN40" t="s">
        <v>168</v>
      </c>
    </row>
    <row r="41" spans="9:40" x14ac:dyDescent="0.45">
      <c r="I41" t="s">
        <v>82</v>
      </c>
      <c r="J41" t="s">
        <v>195</v>
      </c>
      <c r="K41">
        <v>0</v>
      </c>
      <c r="L41" t="s">
        <v>84</v>
      </c>
      <c r="N41" t="s">
        <v>111</v>
      </c>
      <c r="O41" t="s">
        <v>195</v>
      </c>
      <c r="P41">
        <v>8.2351135530327468E-2</v>
      </c>
      <c r="Q41" t="s">
        <v>84</v>
      </c>
      <c r="S41" t="s">
        <v>126</v>
      </c>
      <c r="T41" t="s">
        <v>195</v>
      </c>
      <c r="U41">
        <v>8.1576795158282756E-2</v>
      </c>
      <c r="V41" t="s">
        <v>84</v>
      </c>
      <c r="X41">
        <v>7.3515981735159816E-2</v>
      </c>
      <c r="Y41">
        <v>2.9032808757841703E-2</v>
      </c>
      <c r="Z41" t="s">
        <v>195</v>
      </c>
      <c r="AA41" t="s">
        <v>239</v>
      </c>
      <c r="AC41" t="s">
        <v>240</v>
      </c>
      <c r="AD41" t="s">
        <v>195</v>
      </c>
      <c r="AE41">
        <v>8.9347711205685326E-2</v>
      </c>
      <c r="AG41" t="s">
        <v>27</v>
      </c>
      <c r="AH41" t="s">
        <v>195</v>
      </c>
      <c r="AI41">
        <v>0.16554389641884248</v>
      </c>
      <c r="AK41">
        <v>2025</v>
      </c>
      <c r="AL41" t="s">
        <v>175</v>
      </c>
      <c r="AM41">
        <v>0.52439999999999998</v>
      </c>
      <c r="AN41" t="s">
        <v>168</v>
      </c>
    </row>
    <row r="42" spans="9:40" x14ac:dyDescent="0.45">
      <c r="I42" t="s">
        <v>82</v>
      </c>
      <c r="J42" t="s">
        <v>196</v>
      </c>
      <c r="K42">
        <v>4.0327636738248268E-2</v>
      </c>
      <c r="L42" t="s">
        <v>84</v>
      </c>
      <c r="N42" t="s">
        <v>111</v>
      </c>
      <c r="O42" t="s">
        <v>196</v>
      </c>
      <c r="P42">
        <v>4.7583527367179308E-2</v>
      </c>
      <c r="Q42" t="s">
        <v>84</v>
      </c>
      <c r="S42" t="s">
        <v>126</v>
      </c>
      <c r="T42" t="s">
        <v>196</v>
      </c>
      <c r="U42">
        <v>4.7363487690845966E-2</v>
      </c>
      <c r="V42" t="s">
        <v>84</v>
      </c>
      <c r="X42">
        <v>4.2009132420091327E-2</v>
      </c>
      <c r="Y42">
        <v>5.721171137574689E-2</v>
      </c>
      <c r="Z42" t="s">
        <v>196</v>
      </c>
      <c r="AA42" t="s">
        <v>239</v>
      </c>
      <c r="AC42" t="s">
        <v>240</v>
      </c>
      <c r="AD42" t="s">
        <v>196</v>
      </c>
      <c r="AE42">
        <v>5.0748904468000976E-2</v>
      </c>
      <c r="AG42" t="s">
        <v>27</v>
      </c>
      <c r="AH42" t="s">
        <v>196</v>
      </c>
      <c r="AI42">
        <v>0.17138772811993608</v>
      </c>
      <c r="AK42">
        <v>2025</v>
      </c>
      <c r="AL42" t="s">
        <v>176</v>
      </c>
      <c r="AM42">
        <v>0.50445000000000007</v>
      </c>
      <c r="AN42" t="s">
        <v>168</v>
      </c>
    </row>
    <row r="43" spans="9:40" x14ac:dyDescent="0.45">
      <c r="I43" t="s">
        <v>82</v>
      </c>
      <c r="J43" t="s">
        <v>197</v>
      </c>
      <c r="K43">
        <v>0.10172351018781468</v>
      </c>
      <c r="L43" t="s">
        <v>84</v>
      </c>
      <c r="N43" t="s">
        <v>111</v>
      </c>
      <c r="O43" t="s">
        <v>197</v>
      </c>
      <c r="P43">
        <v>7.5202290354931922E-2</v>
      </c>
      <c r="Q43" t="s">
        <v>84</v>
      </c>
      <c r="S43" t="s">
        <v>126</v>
      </c>
      <c r="T43" t="s">
        <v>197</v>
      </c>
      <c r="U43">
        <v>7.1596241175866021E-2</v>
      </c>
      <c r="V43" t="s">
        <v>84</v>
      </c>
      <c r="X43">
        <v>6.3013698630136991E-2</v>
      </c>
      <c r="Y43">
        <v>8.9873621228318795E-2</v>
      </c>
      <c r="Z43" t="s">
        <v>197</v>
      </c>
      <c r="AA43" t="s">
        <v>239</v>
      </c>
      <c r="AC43" t="s">
        <v>240</v>
      </c>
      <c r="AD43" t="s">
        <v>197</v>
      </c>
      <c r="AE43">
        <v>4.9842324488621678E-2</v>
      </c>
      <c r="AG43" t="s">
        <v>27</v>
      </c>
      <c r="AH43" t="s">
        <v>197</v>
      </c>
      <c r="AI43">
        <v>0.29679815550343269</v>
      </c>
      <c r="AK43">
        <v>2026</v>
      </c>
      <c r="AL43" t="s">
        <v>72</v>
      </c>
      <c r="AM43">
        <v>0.44090000000000001</v>
      </c>
      <c r="AN43" t="s">
        <v>168</v>
      </c>
    </row>
    <row r="44" spans="9:40" x14ac:dyDescent="0.45">
      <c r="I44" t="s">
        <v>82</v>
      </c>
      <c r="J44" t="s">
        <v>198</v>
      </c>
      <c r="K44">
        <v>1.3329150491422007E-2</v>
      </c>
      <c r="L44" t="s">
        <v>84</v>
      </c>
      <c r="N44" t="s">
        <v>111</v>
      </c>
      <c r="O44" t="s">
        <v>198</v>
      </c>
      <c r="P44">
        <v>1.2111588318617911E-2</v>
      </c>
      <c r="Q44" t="s">
        <v>84</v>
      </c>
      <c r="S44" t="s">
        <v>126</v>
      </c>
      <c r="T44" t="s">
        <v>198</v>
      </c>
      <c r="U44">
        <v>1.1662432248625702E-2</v>
      </c>
      <c r="V44" t="s">
        <v>84</v>
      </c>
      <c r="X44">
        <v>1.0502283105022832E-2</v>
      </c>
      <c r="Y44">
        <v>2.0432754062766744E-2</v>
      </c>
      <c r="Z44" t="s">
        <v>198</v>
      </c>
      <c r="AA44" t="s">
        <v>239</v>
      </c>
      <c r="AC44" t="s">
        <v>240</v>
      </c>
      <c r="AD44" t="s">
        <v>198</v>
      </c>
      <c r="AE44">
        <v>8.6422361210374589E-3</v>
      </c>
      <c r="AG44" t="s">
        <v>27</v>
      </c>
      <c r="AH44" t="s">
        <v>198</v>
      </c>
      <c r="AI44">
        <v>9.6447294343016354E-2</v>
      </c>
      <c r="AK44">
        <v>2026</v>
      </c>
      <c r="AL44" t="s">
        <v>76</v>
      </c>
      <c r="AM44">
        <v>0.52190000000000003</v>
      </c>
      <c r="AN44" t="s">
        <v>168</v>
      </c>
    </row>
    <row r="45" spans="9:40" x14ac:dyDescent="0.45">
      <c r="I45" t="s">
        <v>82</v>
      </c>
      <c r="J45" t="s">
        <v>199</v>
      </c>
      <c r="K45">
        <v>5.3043927842254066E-3</v>
      </c>
      <c r="L45" t="s">
        <v>84</v>
      </c>
      <c r="N45" t="s">
        <v>111</v>
      </c>
      <c r="O45" t="s">
        <v>199</v>
      </c>
      <c r="P45">
        <v>1.2005859634772622E-2</v>
      </c>
      <c r="Q45" t="s">
        <v>84</v>
      </c>
      <c r="S45" t="s">
        <v>126</v>
      </c>
      <c r="T45" t="s">
        <v>199</v>
      </c>
      <c r="U45">
        <v>1.1522787252311709E-2</v>
      </c>
      <c r="V45" t="s">
        <v>84</v>
      </c>
      <c r="X45">
        <v>1.0502283105022832E-2</v>
      </c>
      <c r="Y45">
        <v>1.585825688453538E-2</v>
      </c>
      <c r="Z45" t="s">
        <v>199</v>
      </c>
      <c r="AA45" t="s">
        <v>239</v>
      </c>
      <c r="AC45" t="s">
        <v>240</v>
      </c>
      <c r="AD45" t="s">
        <v>199</v>
      </c>
      <c r="AE45">
        <v>1.0438979634436277E-2</v>
      </c>
      <c r="AG45" t="s">
        <v>27</v>
      </c>
      <c r="AH45" t="s">
        <v>199</v>
      </c>
      <c r="AI45">
        <v>0.16140739293698858</v>
      </c>
      <c r="AK45">
        <v>2026</v>
      </c>
      <c r="AL45" t="s">
        <v>78</v>
      </c>
      <c r="AM45">
        <v>0.40870000000000001</v>
      </c>
      <c r="AN45" t="s">
        <v>168</v>
      </c>
    </row>
    <row r="46" spans="9:40" x14ac:dyDescent="0.45">
      <c r="I46" t="s">
        <v>82</v>
      </c>
      <c r="J46" t="s">
        <v>200</v>
      </c>
      <c r="K46">
        <v>0</v>
      </c>
      <c r="L46" t="s">
        <v>84</v>
      </c>
      <c r="N46" t="s">
        <v>111</v>
      </c>
      <c r="O46" t="s">
        <v>200</v>
      </c>
      <c r="P46">
        <v>5.9431953987398638E-2</v>
      </c>
      <c r="Q46" t="s">
        <v>84</v>
      </c>
      <c r="S46" t="s">
        <v>126</v>
      </c>
      <c r="T46" t="s">
        <v>200</v>
      </c>
      <c r="U46">
        <v>5.7456466648824978E-2</v>
      </c>
      <c r="V46" t="s">
        <v>84</v>
      </c>
      <c r="X46">
        <v>5.2511415525114152E-2</v>
      </c>
      <c r="Y46">
        <v>3.9645642211338455E-2</v>
      </c>
      <c r="Z46" t="s">
        <v>200</v>
      </c>
      <c r="AA46" t="s">
        <v>239</v>
      </c>
      <c r="AC46" t="s">
        <v>240</v>
      </c>
      <c r="AD46" t="s">
        <v>200</v>
      </c>
      <c r="AE46">
        <v>6.2875831290163123E-2</v>
      </c>
      <c r="AG46" t="s">
        <v>27</v>
      </c>
      <c r="AH46" t="s">
        <v>200</v>
      </c>
      <c r="AI46">
        <v>0.22458105022480224</v>
      </c>
      <c r="AK46">
        <v>2026</v>
      </c>
      <c r="AL46" t="s">
        <v>80</v>
      </c>
      <c r="AM46">
        <v>0.4446</v>
      </c>
      <c r="AN46" t="s">
        <v>168</v>
      </c>
    </row>
    <row r="47" spans="9:40" x14ac:dyDescent="0.45">
      <c r="I47" t="s">
        <v>82</v>
      </c>
      <c r="J47" t="s">
        <v>201</v>
      </c>
      <c r="K47">
        <v>2.0006380832013108E-3</v>
      </c>
      <c r="L47" t="s">
        <v>84</v>
      </c>
      <c r="N47" t="s">
        <v>111</v>
      </c>
      <c r="O47" t="s">
        <v>201</v>
      </c>
      <c r="P47">
        <v>3.0534403276551065E-2</v>
      </c>
      <c r="Q47" t="s">
        <v>84</v>
      </c>
      <c r="S47" t="s">
        <v>126</v>
      </c>
      <c r="T47" t="s">
        <v>201</v>
      </c>
      <c r="U47">
        <v>1.5152803122201883E-2</v>
      </c>
      <c r="V47" t="s">
        <v>84</v>
      </c>
      <c r="X47">
        <v>2.4771689497716895E-2</v>
      </c>
      <c r="Y47">
        <v>9.7827942553597048E-3</v>
      </c>
      <c r="Z47" t="s">
        <v>201</v>
      </c>
      <c r="AA47" t="s">
        <v>239</v>
      </c>
      <c r="AC47" t="s">
        <v>240</v>
      </c>
      <c r="AD47" t="s">
        <v>201</v>
      </c>
      <c r="AE47">
        <v>2.8314003582872626E-2</v>
      </c>
      <c r="AG47" t="s">
        <v>27</v>
      </c>
      <c r="AH47" t="s">
        <v>201</v>
      </c>
      <c r="AI47">
        <v>0.13096952490386093</v>
      </c>
      <c r="AK47">
        <v>2026</v>
      </c>
      <c r="AL47" t="s">
        <v>171</v>
      </c>
      <c r="AM47">
        <v>0.55740000000000001</v>
      </c>
      <c r="AN47" t="s">
        <v>168</v>
      </c>
    </row>
    <row r="48" spans="9:40" x14ac:dyDescent="0.45">
      <c r="I48" t="s">
        <v>82</v>
      </c>
      <c r="J48" t="s">
        <v>202</v>
      </c>
      <c r="K48">
        <v>3.4055407361702324E-2</v>
      </c>
      <c r="L48" t="s">
        <v>84</v>
      </c>
      <c r="N48" t="s">
        <v>111</v>
      </c>
      <c r="O48" t="s">
        <v>202</v>
      </c>
      <c r="P48">
        <v>1.7072556389608334E-2</v>
      </c>
      <c r="Q48" t="s">
        <v>84</v>
      </c>
      <c r="S48" t="s">
        <v>126</v>
      </c>
      <c r="T48" t="s">
        <v>202</v>
      </c>
      <c r="U48">
        <v>9.0962652096434268E-3</v>
      </c>
      <c r="V48" t="s">
        <v>84</v>
      </c>
      <c r="X48">
        <v>1.4155251141552512E-2</v>
      </c>
      <c r="Y48">
        <v>1.9277859267914713E-2</v>
      </c>
      <c r="Z48" t="s">
        <v>202</v>
      </c>
      <c r="AA48" t="s">
        <v>239</v>
      </c>
      <c r="AC48" t="s">
        <v>240</v>
      </c>
      <c r="AD48" t="s">
        <v>202</v>
      </c>
      <c r="AE48">
        <v>1.4818060830846908E-2</v>
      </c>
      <c r="AG48" t="s">
        <v>27</v>
      </c>
      <c r="AH48" t="s">
        <v>202</v>
      </c>
      <c r="AI48">
        <v>0.16843617636631669</v>
      </c>
      <c r="AK48">
        <v>2026</v>
      </c>
      <c r="AL48" t="s">
        <v>173</v>
      </c>
      <c r="AM48">
        <v>0.54216666666666669</v>
      </c>
      <c r="AN48" t="s">
        <v>168</v>
      </c>
    </row>
    <row r="49" spans="9:40" x14ac:dyDescent="0.45">
      <c r="I49" t="s">
        <v>82</v>
      </c>
      <c r="J49" t="s">
        <v>203</v>
      </c>
      <c r="K49">
        <v>6.05767054327477E-2</v>
      </c>
      <c r="L49" t="s">
        <v>84</v>
      </c>
      <c r="N49" t="s">
        <v>111</v>
      </c>
      <c r="O49" t="s">
        <v>203</v>
      </c>
      <c r="P49">
        <v>2.875549337847335E-2</v>
      </c>
      <c r="Q49" t="s">
        <v>84</v>
      </c>
      <c r="S49" t="s">
        <v>126</v>
      </c>
      <c r="T49" t="s">
        <v>203</v>
      </c>
      <c r="U49">
        <v>1.4186505819508298E-2</v>
      </c>
      <c r="V49" t="s">
        <v>84</v>
      </c>
      <c r="X49">
        <v>2.1232876712328767E-2</v>
      </c>
      <c r="Y49">
        <v>3.0283502805194377E-2</v>
      </c>
      <c r="Z49" t="s">
        <v>203</v>
      </c>
      <c r="AA49" t="s">
        <v>239</v>
      </c>
      <c r="AC49" t="s">
        <v>240</v>
      </c>
      <c r="AD49" t="s">
        <v>203</v>
      </c>
      <c r="AE49">
        <v>1.4966255466988876E-2</v>
      </c>
      <c r="AG49" t="s">
        <v>27</v>
      </c>
      <c r="AH49" t="s">
        <v>203</v>
      </c>
      <c r="AI49">
        <v>7.7152130777014216E-2</v>
      </c>
      <c r="AK49">
        <v>2026</v>
      </c>
      <c r="AL49" t="s">
        <v>175</v>
      </c>
      <c r="AM49">
        <v>0.55249999999999999</v>
      </c>
      <c r="AN49" t="s">
        <v>168</v>
      </c>
    </row>
    <row r="50" spans="9:40" x14ac:dyDescent="0.45">
      <c r="I50" t="s">
        <v>82</v>
      </c>
      <c r="J50" t="s">
        <v>204</v>
      </c>
      <c r="K50">
        <v>8.1878257839807546E-3</v>
      </c>
      <c r="L50" t="s">
        <v>84</v>
      </c>
      <c r="N50" t="s">
        <v>111</v>
      </c>
      <c r="O50" t="s">
        <v>204</v>
      </c>
      <c r="P50">
        <v>4.7096517698128693E-3</v>
      </c>
      <c r="Q50" t="s">
        <v>84</v>
      </c>
      <c r="S50" t="s">
        <v>126</v>
      </c>
      <c r="T50" t="s">
        <v>204</v>
      </c>
      <c r="U50">
        <v>2.2999689373796044E-3</v>
      </c>
      <c r="V50" t="s">
        <v>84</v>
      </c>
      <c r="X50">
        <v>3.5388127853881279E-3</v>
      </c>
      <c r="Y50">
        <v>6.8849497385409693E-3</v>
      </c>
      <c r="Z50" t="s">
        <v>204</v>
      </c>
      <c r="AA50" t="s">
        <v>239</v>
      </c>
      <c r="AC50" t="s">
        <v>240</v>
      </c>
      <c r="AD50" t="s">
        <v>204</v>
      </c>
      <c r="AE50">
        <v>3.0611125595888921E-3</v>
      </c>
      <c r="AG50" t="s">
        <v>27</v>
      </c>
      <c r="AH50" t="s">
        <v>204</v>
      </c>
      <c r="AI50">
        <v>0.1241925313529042</v>
      </c>
      <c r="AK50">
        <v>2026</v>
      </c>
      <c r="AL50" t="s">
        <v>176</v>
      </c>
      <c r="AM50">
        <v>0.53075000000000006</v>
      </c>
      <c r="AN50" t="s">
        <v>168</v>
      </c>
    </row>
    <row r="51" spans="9:40" x14ac:dyDescent="0.45">
      <c r="I51" t="s">
        <v>82</v>
      </c>
      <c r="J51" t="s">
        <v>205</v>
      </c>
      <c r="K51">
        <v>6.0994303032090883E-3</v>
      </c>
      <c r="L51" t="s">
        <v>84</v>
      </c>
      <c r="N51" t="s">
        <v>111</v>
      </c>
      <c r="O51" t="s">
        <v>205</v>
      </c>
      <c r="P51">
        <v>4.7379416014815675E-3</v>
      </c>
      <c r="Q51" t="s">
        <v>84</v>
      </c>
      <c r="S51" t="s">
        <v>126</v>
      </c>
      <c r="T51" t="s">
        <v>205</v>
      </c>
      <c r="U51">
        <v>2.2090350543717994E-3</v>
      </c>
      <c r="V51" t="s">
        <v>84</v>
      </c>
      <c r="X51">
        <v>3.5388127853881279E-3</v>
      </c>
      <c r="Y51">
        <v>5.3435430806586613E-3</v>
      </c>
      <c r="Z51" t="s">
        <v>205</v>
      </c>
      <c r="AA51" t="s">
        <v>239</v>
      </c>
      <c r="AC51" t="s">
        <v>240</v>
      </c>
      <c r="AD51" t="s">
        <v>205</v>
      </c>
      <c r="AE51">
        <v>3.6574247928316634E-3</v>
      </c>
      <c r="AG51" t="s">
        <v>27</v>
      </c>
      <c r="AH51" t="s">
        <v>205</v>
      </c>
      <c r="AI51">
        <v>0.1429279183233203</v>
      </c>
      <c r="AK51">
        <v>2027</v>
      </c>
      <c r="AL51" t="s">
        <v>72</v>
      </c>
      <c r="AM51">
        <v>0.49230000000000002</v>
      </c>
      <c r="AN51" t="s">
        <v>168</v>
      </c>
    </row>
    <row r="52" spans="9:40" x14ac:dyDescent="0.45">
      <c r="I52" t="s">
        <v>82</v>
      </c>
      <c r="J52" t="s">
        <v>206</v>
      </c>
      <c r="K52">
        <v>8.9412695927761153E-4</v>
      </c>
      <c r="L52" t="s">
        <v>84</v>
      </c>
      <c r="N52" t="s">
        <v>111</v>
      </c>
      <c r="O52" t="s">
        <v>206</v>
      </c>
      <c r="P52">
        <v>2.3884268428013389E-2</v>
      </c>
      <c r="Q52" t="s">
        <v>84</v>
      </c>
      <c r="S52" t="s">
        <v>126</v>
      </c>
      <c r="T52" t="s">
        <v>206</v>
      </c>
      <c r="U52">
        <v>1.0047725128211334E-2</v>
      </c>
      <c r="V52" t="s">
        <v>84</v>
      </c>
      <c r="X52">
        <v>1.7694063926940638E-2</v>
      </c>
      <c r="Y52">
        <v>1.3358857701646654E-2</v>
      </c>
      <c r="Z52" t="s">
        <v>206</v>
      </c>
      <c r="AA52" t="s">
        <v>239</v>
      </c>
      <c r="AC52" t="s">
        <v>240</v>
      </c>
      <c r="AD52" t="s">
        <v>206</v>
      </c>
      <c r="AE52">
        <v>1.9663939326696311E-2</v>
      </c>
      <c r="AG52" t="s">
        <v>27</v>
      </c>
      <c r="AH52" t="s">
        <v>206</v>
      </c>
      <c r="AI52">
        <v>0.1361050731356015</v>
      </c>
      <c r="AK52">
        <v>2027</v>
      </c>
      <c r="AL52" t="s">
        <v>76</v>
      </c>
      <c r="AM52">
        <v>0.47570000000000001</v>
      </c>
      <c r="AN52" t="s">
        <v>168</v>
      </c>
    </row>
    <row r="53" spans="9:40" x14ac:dyDescent="0.45">
      <c r="I53" t="s">
        <v>82</v>
      </c>
      <c r="J53" t="s">
        <v>207</v>
      </c>
      <c r="K53">
        <v>7.4078848212524922E-3</v>
      </c>
      <c r="L53" t="s">
        <v>84</v>
      </c>
      <c r="N53" t="s">
        <v>111</v>
      </c>
      <c r="O53" t="s">
        <v>207</v>
      </c>
      <c r="P53">
        <v>4.2008123891141565E-2</v>
      </c>
      <c r="Q53" t="s">
        <v>84</v>
      </c>
      <c r="S53" t="s">
        <v>126</v>
      </c>
      <c r="T53" t="s">
        <v>207</v>
      </c>
      <c r="U53">
        <v>3.336468105807603E-2</v>
      </c>
      <c r="V53" t="s">
        <v>84</v>
      </c>
      <c r="X53">
        <v>4.8744292237442921E-2</v>
      </c>
      <c r="Y53">
        <v>1.9250014502482003E-2</v>
      </c>
      <c r="Z53" t="s">
        <v>207</v>
      </c>
      <c r="AA53" t="s">
        <v>239</v>
      </c>
      <c r="AC53" t="s">
        <v>240</v>
      </c>
      <c r="AD53" t="s">
        <v>207</v>
      </c>
      <c r="AE53">
        <v>5.2561570545679032E-2</v>
      </c>
      <c r="AG53" t="s">
        <v>27</v>
      </c>
      <c r="AH53" t="s">
        <v>207</v>
      </c>
      <c r="AI53">
        <v>7.8199338361619963E-2</v>
      </c>
      <c r="AK53">
        <v>2027</v>
      </c>
      <c r="AL53" t="s">
        <v>78</v>
      </c>
      <c r="AM53">
        <v>0.48230000000000001</v>
      </c>
      <c r="AN53" t="s">
        <v>168</v>
      </c>
    </row>
    <row r="54" spans="9:40" x14ac:dyDescent="0.45">
      <c r="I54" t="s">
        <v>82</v>
      </c>
      <c r="J54" t="s">
        <v>208</v>
      </c>
      <c r="K54">
        <v>7.1514676059219781E-2</v>
      </c>
      <c r="L54" t="s">
        <v>84</v>
      </c>
      <c r="N54" t="s">
        <v>111</v>
      </c>
      <c r="O54" t="s">
        <v>208</v>
      </c>
      <c r="P54">
        <v>2.5776406569542228E-2</v>
      </c>
      <c r="Q54" t="s">
        <v>84</v>
      </c>
      <c r="S54" t="s">
        <v>126</v>
      </c>
      <c r="T54" t="s">
        <v>208</v>
      </c>
      <c r="U54">
        <v>1.9072133142126975E-2</v>
      </c>
      <c r="V54" t="s">
        <v>84</v>
      </c>
      <c r="X54">
        <v>2.7853881278538814E-2</v>
      </c>
      <c r="Y54">
        <v>3.7933852107832171E-2</v>
      </c>
      <c r="Z54" t="s">
        <v>208</v>
      </c>
      <c r="AA54" t="s">
        <v>239</v>
      </c>
      <c r="AC54" t="s">
        <v>240</v>
      </c>
      <c r="AD54" t="s">
        <v>208</v>
      </c>
      <c r="AE54">
        <v>2.7357603947702952E-2</v>
      </c>
      <c r="AG54" t="s">
        <v>27</v>
      </c>
      <c r="AH54" t="s">
        <v>208</v>
      </c>
      <c r="AI54">
        <v>0.12010522854324246</v>
      </c>
      <c r="AK54">
        <v>2027</v>
      </c>
      <c r="AL54" t="s">
        <v>80</v>
      </c>
      <c r="AM54">
        <v>0.4355</v>
      </c>
      <c r="AN54" t="s">
        <v>168</v>
      </c>
    </row>
    <row r="55" spans="9:40" x14ac:dyDescent="0.45">
      <c r="I55" t="s">
        <v>82</v>
      </c>
      <c r="J55" t="s">
        <v>209</v>
      </c>
      <c r="K55">
        <v>0.12420596735607171</v>
      </c>
      <c r="L55" t="s">
        <v>84</v>
      </c>
      <c r="N55" t="s">
        <v>111</v>
      </c>
      <c r="O55" t="s">
        <v>209</v>
      </c>
      <c r="P55">
        <v>4.3959922383678574E-2</v>
      </c>
      <c r="Q55" t="s">
        <v>84</v>
      </c>
      <c r="S55" t="s">
        <v>126</v>
      </c>
      <c r="T55" t="s">
        <v>209</v>
      </c>
      <c r="U55">
        <v>2.7563334539383786E-2</v>
      </c>
      <c r="V55" t="s">
        <v>84</v>
      </c>
      <c r="X55">
        <v>4.1780821917808221E-2</v>
      </c>
      <c r="Y55">
        <v>5.9590118423124429E-2</v>
      </c>
      <c r="Z55" t="s">
        <v>209</v>
      </c>
      <c r="AA55" t="s">
        <v>239</v>
      </c>
      <c r="AC55" t="s">
        <v>240</v>
      </c>
      <c r="AD55" t="s">
        <v>209</v>
      </c>
      <c r="AE55">
        <v>2.8681535103392497E-2</v>
      </c>
      <c r="AG55" t="s">
        <v>27</v>
      </c>
      <c r="AH55" t="s">
        <v>209</v>
      </c>
      <c r="AI55">
        <v>5.9605579371265316E-2</v>
      </c>
      <c r="AK55">
        <v>2027</v>
      </c>
      <c r="AL55" t="s">
        <v>171</v>
      </c>
      <c r="AM55">
        <v>0.49099999999999999</v>
      </c>
      <c r="AN55" t="s">
        <v>168</v>
      </c>
    </row>
    <row r="56" spans="9:40" x14ac:dyDescent="0.45">
      <c r="I56" t="s">
        <v>82</v>
      </c>
      <c r="J56" t="s">
        <v>210</v>
      </c>
      <c r="K56">
        <v>1.6037170489253658E-2</v>
      </c>
      <c r="L56" t="s">
        <v>84</v>
      </c>
      <c r="N56" t="s">
        <v>111</v>
      </c>
      <c r="O56" t="s">
        <v>210</v>
      </c>
      <c r="P56">
        <v>7.1140787583909198E-3</v>
      </c>
      <c r="Q56" t="s">
        <v>84</v>
      </c>
      <c r="S56" t="s">
        <v>126</v>
      </c>
      <c r="T56" t="s">
        <v>210</v>
      </c>
      <c r="U56">
        <v>4.7713109685604905E-3</v>
      </c>
      <c r="V56" t="s">
        <v>84</v>
      </c>
      <c r="X56">
        <v>6.9634703196347035E-3</v>
      </c>
      <c r="Y56">
        <v>1.354780432422577E-2</v>
      </c>
      <c r="Z56" t="s">
        <v>210</v>
      </c>
      <c r="AA56" t="s">
        <v>239</v>
      </c>
      <c r="AC56" t="s">
        <v>240</v>
      </c>
      <c r="AD56" t="s">
        <v>210</v>
      </c>
      <c r="AE56">
        <v>5.6920132626679014E-3</v>
      </c>
      <c r="AG56" t="s">
        <v>27</v>
      </c>
      <c r="AH56" t="s">
        <v>210</v>
      </c>
      <c r="AI56">
        <v>6.2906150128901439E-2</v>
      </c>
      <c r="AK56">
        <v>2027</v>
      </c>
      <c r="AL56" t="s">
        <v>173</v>
      </c>
      <c r="AM56">
        <v>0.54346666666666665</v>
      </c>
      <c r="AN56" t="s">
        <v>168</v>
      </c>
    </row>
    <row r="57" spans="9:40" x14ac:dyDescent="0.45">
      <c r="I57" t="s">
        <v>82</v>
      </c>
      <c r="J57" t="s">
        <v>211</v>
      </c>
      <c r="K57">
        <v>1.328244919390386E-2</v>
      </c>
      <c r="L57" t="s">
        <v>84</v>
      </c>
      <c r="N57" t="s">
        <v>111</v>
      </c>
      <c r="O57" t="s">
        <v>211</v>
      </c>
      <c r="P57">
        <v>6.9675303450956226E-3</v>
      </c>
      <c r="Q57" t="s">
        <v>84</v>
      </c>
      <c r="S57" t="s">
        <v>126</v>
      </c>
      <c r="T57" t="s">
        <v>211</v>
      </c>
      <c r="U57">
        <v>4.8336229884877752E-3</v>
      </c>
      <c r="V57" t="s">
        <v>84</v>
      </c>
      <c r="X57">
        <v>6.9634703196347035E-3</v>
      </c>
      <c r="Y57">
        <v>1.0514713803876726E-2</v>
      </c>
      <c r="Z57" t="s">
        <v>211</v>
      </c>
      <c r="AA57" t="s">
        <v>239</v>
      </c>
      <c r="AC57" t="s">
        <v>240</v>
      </c>
      <c r="AD57" t="s">
        <v>211</v>
      </c>
      <c r="AE57">
        <v>6.6306489282295595E-3</v>
      </c>
      <c r="AG57" t="s">
        <v>27</v>
      </c>
      <c r="AH57" t="s">
        <v>211</v>
      </c>
      <c r="AI57">
        <v>0.10201043440940971</v>
      </c>
      <c r="AK57">
        <v>2027</v>
      </c>
      <c r="AL57" t="s">
        <v>175</v>
      </c>
      <c r="AM57">
        <v>0.51329999999999998</v>
      </c>
      <c r="AN57" t="s">
        <v>168</v>
      </c>
    </row>
    <row r="58" spans="9:40" x14ac:dyDescent="0.45">
      <c r="I58" t="s">
        <v>82</v>
      </c>
      <c r="J58" t="s">
        <v>212</v>
      </c>
      <c r="K58">
        <v>8.8775540467846258E-3</v>
      </c>
      <c r="L58" t="s">
        <v>84</v>
      </c>
      <c r="N58" t="s">
        <v>111</v>
      </c>
      <c r="O58" t="s">
        <v>212</v>
      </c>
      <c r="P58">
        <v>3.3086372862809667E-2</v>
      </c>
      <c r="Q58" t="s">
        <v>84</v>
      </c>
      <c r="S58" t="s">
        <v>126</v>
      </c>
      <c r="T58" t="s">
        <v>212</v>
      </c>
      <c r="U58">
        <v>2.3862695114008129E-2</v>
      </c>
      <c r="V58" t="s">
        <v>84</v>
      </c>
      <c r="X58">
        <v>3.4817351598173514E-2</v>
      </c>
      <c r="Y58">
        <v>2.6286784509691803E-2</v>
      </c>
      <c r="Z58" t="s">
        <v>212</v>
      </c>
      <c r="AA58" t="s">
        <v>239</v>
      </c>
      <c r="AC58" t="s">
        <v>240</v>
      </c>
      <c r="AD58" t="s">
        <v>212</v>
      </c>
      <c r="AE58">
        <v>3.6652443895532287E-2</v>
      </c>
      <c r="AG58" t="s">
        <v>27</v>
      </c>
      <c r="AH58" t="s">
        <v>212</v>
      </c>
      <c r="AI58">
        <v>0.10188180178320994</v>
      </c>
      <c r="AK58">
        <v>2027</v>
      </c>
      <c r="AL58" t="s">
        <v>176</v>
      </c>
      <c r="AM58">
        <v>0.52049999999999996</v>
      </c>
      <c r="AN58" t="s">
        <v>168</v>
      </c>
    </row>
    <row r="59" spans="9:40" x14ac:dyDescent="0.45">
      <c r="I59" t="s">
        <v>96</v>
      </c>
      <c r="J59" t="s">
        <v>83</v>
      </c>
      <c r="K59">
        <v>6.9219745079349797E-3</v>
      </c>
      <c r="L59" t="s">
        <v>84</v>
      </c>
      <c r="N59" t="s">
        <v>112</v>
      </c>
      <c r="O59" t="s">
        <v>83</v>
      </c>
      <c r="P59">
        <v>2.4946850305775467E-2</v>
      </c>
      <c r="Q59" t="s">
        <v>84</v>
      </c>
      <c r="S59" t="s">
        <v>127</v>
      </c>
      <c r="T59" t="s">
        <v>83</v>
      </c>
      <c r="U59">
        <v>2.7752226989257795E-2</v>
      </c>
      <c r="V59" t="s">
        <v>84</v>
      </c>
      <c r="AC59" t="s">
        <v>240</v>
      </c>
      <c r="AD59" t="s">
        <v>83</v>
      </c>
      <c r="AE59">
        <v>2.4984137855619697E-2</v>
      </c>
      <c r="AK59">
        <v>2028</v>
      </c>
      <c r="AL59" t="s">
        <v>72</v>
      </c>
      <c r="AM59">
        <v>0.47770000000000001</v>
      </c>
      <c r="AN59" t="s">
        <v>168</v>
      </c>
    </row>
    <row r="60" spans="9:40" x14ac:dyDescent="0.45">
      <c r="I60" t="s">
        <v>96</v>
      </c>
      <c r="J60" t="s">
        <v>85</v>
      </c>
      <c r="K60">
        <v>3.9238986507721216E-2</v>
      </c>
      <c r="L60" t="s">
        <v>84</v>
      </c>
      <c r="N60" t="s">
        <v>112</v>
      </c>
      <c r="O60" t="s">
        <v>85</v>
      </c>
      <c r="P60">
        <v>1.493433216301625E-2</v>
      </c>
      <c r="Q60" t="s">
        <v>84</v>
      </c>
      <c r="S60" t="s">
        <v>127</v>
      </c>
      <c r="T60" t="s">
        <v>85</v>
      </c>
      <c r="U60">
        <v>1.5934955719087724E-2</v>
      </c>
      <c r="V60" t="s">
        <v>84</v>
      </c>
      <c r="AC60" t="s">
        <v>240</v>
      </c>
      <c r="AD60" t="s">
        <v>85</v>
      </c>
      <c r="AE60">
        <v>1.41777010076897E-2</v>
      </c>
      <c r="AK60">
        <v>2028</v>
      </c>
      <c r="AL60" t="s">
        <v>76</v>
      </c>
      <c r="AM60">
        <v>0.44159999999999999</v>
      </c>
      <c r="AN60" t="s">
        <v>168</v>
      </c>
    </row>
    <row r="61" spans="9:40" x14ac:dyDescent="0.45">
      <c r="I61" t="s">
        <v>96</v>
      </c>
      <c r="J61" t="s">
        <v>86</v>
      </c>
      <c r="K61">
        <v>6.9974949651261095E-2</v>
      </c>
      <c r="L61" t="s">
        <v>84</v>
      </c>
      <c r="N61" t="s">
        <v>112</v>
      </c>
      <c r="O61" t="s">
        <v>86</v>
      </c>
      <c r="P61">
        <v>2.5092017743232862E-2</v>
      </c>
      <c r="Q61" t="s">
        <v>84</v>
      </c>
      <c r="S61" t="s">
        <v>127</v>
      </c>
      <c r="T61" t="s">
        <v>86</v>
      </c>
      <c r="U61">
        <v>2.3843764581817618E-2</v>
      </c>
      <c r="V61" t="s">
        <v>84</v>
      </c>
      <c r="AC61" t="s">
        <v>240</v>
      </c>
      <c r="AD61" t="s">
        <v>86</v>
      </c>
      <c r="AE61">
        <v>2.0881495828077575E-2</v>
      </c>
      <c r="AK61">
        <v>2028</v>
      </c>
      <c r="AL61" t="s">
        <v>78</v>
      </c>
      <c r="AM61">
        <v>0.44979999999999998</v>
      </c>
      <c r="AN61" t="s">
        <v>168</v>
      </c>
    </row>
    <row r="62" spans="9:40" x14ac:dyDescent="0.45">
      <c r="I62" t="s">
        <v>96</v>
      </c>
      <c r="J62" t="s">
        <v>177</v>
      </c>
      <c r="K62">
        <v>8.8912196111583849E-3</v>
      </c>
      <c r="L62" t="s">
        <v>84</v>
      </c>
      <c r="N62" t="s">
        <v>112</v>
      </c>
      <c r="O62" t="s">
        <v>177</v>
      </c>
      <c r="P62">
        <v>4.1736202292116656E-3</v>
      </c>
      <c r="Q62" t="s">
        <v>84</v>
      </c>
      <c r="S62" t="s">
        <v>127</v>
      </c>
      <c r="T62" t="s">
        <v>177</v>
      </c>
      <c r="U62">
        <v>4.2263185759843632E-3</v>
      </c>
      <c r="V62" t="s">
        <v>84</v>
      </c>
      <c r="AC62" t="s">
        <v>240</v>
      </c>
      <c r="AD62" t="s">
        <v>177</v>
      </c>
      <c r="AE62">
        <v>3.5080566338682533E-3</v>
      </c>
      <c r="AK62">
        <v>2028</v>
      </c>
      <c r="AL62" t="s">
        <v>80</v>
      </c>
      <c r="AM62">
        <v>0.46335000000000004</v>
      </c>
      <c r="AN62" t="s">
        <v>168</v>
      </c>
    </row>
    <row r="63" spans="9:40" x14ac:dyDescent="0.45">
      <c r="I63" t="s">
        <v>96</v>
      </c>
      <c r="J63" t="s">
        <v>178</v>
      </c>
      <c r="K63">
        <v>6.4664385476032463E-3</v>
      </c>
      <c r="L63" t="s">
        <v>84</v>
      </c>
      <c r="N63" t="s">
        <v>112</v>
      </c>
      <c r="O63" t="s">
        <v>178</v>
      </c>
      <c r="P63">
        <v>4.0339894527872105E-3</v>
      </c>
      <c r="Q63" t="s">
        <v>84</v>
      </c>
      <c r="S63" t="s">
        <v>127</v>
      </c>
      <c r="T63" t="s">
        <v>178</v>
      </c>
      <c r="U63">
        <v>4.2606251015598366E-3</v>
      </c>
      <c r="V63" t="s">
        <v>84</v>
      </c>
      <c r="AC63" t="s">
        <v>240</v>
      </c>
      <c r="AD63" t="s">
        <v>178</v>
      </c>
      <c r="AE63">
        <v>3.5374915543471578E-3</v>
      </c>
      <c r="AK63">
        <v>2028</v>
      </c>
      <c r="AL63" t="s">
        <v>171</v>
      </c>
      <c r="AM63">
        <v>0.4874</v>
      </c>
      <c r="AN63" t="s">
        <v>168</v>
      </c>
    </row>
    <row r="64" spans="9:40" x14ac:dyDescent="0.45">
      <c r="I64" t="s">
        <v>96</v>
      </c>
      <c r="J64" t="s">
        <v>179</v>
      </c>
      <c r="K64">
        <v>2.9512368234676047E-3</v>
      </c>
      <c r="L64" t="s">
        <v>84</v>
      </c>
      <c r="N64" t="s">
        <v>112</v>
      </c>
      <c r="O64" t="s">
        <v>179</v>
      </c>
      <c r="P64">
        <v>1.876750700753866E-2</v>
      </c>
      <c r="Q64" t="s">
        <v>84</v>
      </c>
      <c r="S64" t="s">
        <v>127</v>
      </c>
      <c r="T64" t="s">
        <v>179</v>
      </c>
      <c r="U64">
        <v>2.1567870696797279E-2</v>
      </c>
      <c r="V64" t="s">
        <v>84</v>
      </c>
      <c r="AC64" t="s">
        <v>240</v>
      </c>
      <c r="AD64" t="s">
        <v>179</v>
      </c>
      <c r="AE64">
        <v>1.7815522910931452E-2</v>
      </c>
      <c r="AK64">
        <v>2028</v>
      </c>
      <c r="AL64" t="s">
        <v>173</v>
      </c>
      <c r="AM64">
        <v>0.55059999999999998</v>
      </c>
      <c r="AN64" t="s">
        <v>168</v>
      </c>
    </row>
    <row r="65" spans="9:40" x14ac:dyDescent="0.45">
      <c r="I65" t="s">
        <v>96</v>
      </c>
      <c r="J65" t="s">
        <v>87</v>
      </c>
      <c r="K65">
        <v>4.3861475808091776E-3</v>
      </c>
      <c r="L65" t="s">
        <v>84</v>
      </c>
      <c r="N65" t="s">
        <v>112</v>
      </c>
      <c r="O65" t="s">
        <v>87</v>
      </c>
      <c r="P65">
        <v>1.2187610918374388E-2</v>
      </c>
      <c r="Q65" t="s">
        <v>84</v>
      </c>
      <c r="S65" t="s">
        <v>127</v>
      </c>
      <c r="T65" t="s">
        <v>87</v>
      </c>
      <c r="U65">
        <v>2.4453926296403288E-2</v>
      </c>
      <c r="V65" t="s">
        <v>84</v>
      </c>
      <c r="AC65" t="s">
        <v>240</v>
      </c>
      <c r="AD65" t="s">
        <v>87</v>
      </c>
      <c r="AE65">
        <v>2.2566134267185518E-2</v>
      </c>
      <c r="AK65">
        <v>2028</v>
      </c>
      <c r="AL65" t="s">
        <v>175</v>
      </c>
      <c r="AM65">
        <v>0.46960000000000002</v>
      </c>
      <c r="AN65" t="s">
        <v>168</v>
      </c>
    </row>
    <row r="66" spans="9:40" x14ac:dyDescent="0.45">
      <c r="I66" t="s">
        <v>96</v>
      </c>
      <c r="J66" t="s">
        <v>88</v>
      </c>
      <c r="K66">
        <v>3.2324256329938884E-2</v>
      </c>
      <c r="L66" t="s">
        <v>84</v>
      </c>
      <c r="N66" t="s">
        <v>112</v>
      </c>
      <c r="O66" t="s">
        <v>88</v>
      </c>
      <c r="P66">
        <v>6.6050792112240034E-3</v>
      </c>
      <c r="Q66" t="s">
        <v>84</v>
      </c>
      <c r="S66" t="s">
        <v>127</v>
      </c>
      <c r="T66" t="s">
        <v>88</v>
      </c>
      <c r="U66">
        <v>1.4606829460743237E-2</v>
      </c>
      <c r="V66" t="s">
        <v>84</v>
      </c>
      <c r="AC66" t="s">
        <v>240</v>
      </c>
      <c r="AD66" t="s">
        <v>88</v>
      </c>
      <c r="AE66">
        <v>1.2807774183680501E-2</v>
      </c>
      <c r="AK66">
        <v>2028</v>
      </c>
      <c r="AL66" t="s">
        <v>176</v>
      </c>
      <c r="AM66">
        <v>0.46905000000000002</v>
      </c>
      <c r="AN66" t="s">
        <v>168</v>
      </c>
    </row>
    <row r="67" spans="9:40" x14ac:dyDescent="0.45">
      <c r="I67" t="s">
        <v>96</v>
      </c>
      <c r="J67" t="s">
        <v>89</v>
      </c>
      <c r="K67">
        <v>5.5196523323726605E-2</v>
      </c>
      <c r="L67" t="s">
        <v>84</v>
      </c>
      <c r="N67" t="s">
        <v>112</v>
      </c>
      <c r="O67" t="s">
        <v>89</v>
      </c>
      <c r="P67">
        <v>1.2117109041099727E-2</v>
      </c>
      <c r="Q67" t="s">
        <v>84</v>
      </c>
      <c r="S67" t="s">
        <v>127</v>
      </c>
      <c r="T67" t="s">
        <v>89</v>
      </c>
      <c r="U67">
        <v>2.068465548134053E-2</v>
      </c>
      <c r="V67" t="s">
        <v>84</v>
      </c>
      <c r="AC67" t="s">
        <v>240</v>
      </c>
      <c r="AD67" t="s">
        <v>89</v>
      </c>
      <c r="AE67">
        <v>1.8861183973040686E-2</v>
      </c>
      <c r="AK67">
        <v>2029</v>
      </c>
      <c r="AL67" t="s">
        <v>72</v>
      </c>
      <c r="AM67">
        <v>0.50739999999999996</v>
      </c>
      <c r="AN67" t="s">
        <v>168</v>
      </c>
    </row>
    <row r="68" spans="9:40" x14ac:dyDescent="0.45">
      <c r="I68" t="s">
        <v>96</v>
      </c>
      <c r="J68" t="s">
        <v>180</v>
      </c>
      <c r="K68">
        <v>6.8005047787672145E-3</v>
      </c>
      <c r="L68" t="s">
        <v>84</v>
      </c>
      <c r="N68" t="s">
        <v>112</v>
      </c>
      <c r="O68" t="s">
        <v>180</v>
      </c>
      <c r="P68">
        <v>2.2974707075910069E-3</v>
      </c>
      <c r="Q68" t="s">
        <v>84</v>
      </c>
      <c r="S68" t="s">
        <v>127</v>
      </c>
      <c r="T68" t="s">
        <v>180</v>
      </c>
      <c r="U68">
        <v>3.4246628408206958E-3</v>
      </c>
      <c r="V68" t="s">
        <v>84</v>
      </c>
      <c r="AC68" t="s">
        <v>240</v>
      </c>
      <c r="AD68" t="s">
        <v>180</v>
      </c>
      <c r="AE68">
        <v>3.1682395985646789E-3</v>
      </c>
      <c r="AK68">
        <v>2029</v>
      </c>
      <c r="AL68" t="s">
        <v>76</v>
      </c>
      <c r="AM68">
        <v>0.53039999999999998</v>
      </c>
      <c r="AN68" t="s">
        <v>168</v>
      </c>
    </row>
    <row r="69" spans="9:40" x14ac:dyDescent="0.45">
      <c r="I69" t="s">
        <v>96</v>
      </c>
      <c r="J69" t="s">
        <v>181</v>
      </c>
      <c r="K69">
        <v>4.8577268531349227E-3</v>
      </c>
      <c r="L69" t="s">
        <v>84</v>
      </c>
      <c r="N69" t="s">
        <v>112</v>
      </c>
      <c r="O69" t="s">
        <v>181</v>
      </c>
      <c r="P69">
        <v>2.2293837873190434E-3</v>
      </c>
      <c r="Q69" t="s">
        <v>84</v>
      </c>
      <c r="S69" t="s">
        <v>127</v>
      </c>
      <c r="T69" t="s">
        <v>181</v>
      </c>
      <c r="U69">
        <v>3.3772045122079579E-3</v>
      </c>
      <c r="V69" t="s">
        <v>84</v>
      </c>
      <c r="AC69" t="s">
        <v>240</v>
      </c>
      <c r="AD69" t="s">
        <v>181</v>
      </c>
      <c r="AE69">
        <v>3.1947888314217392E-3</v>
      </c>
      <c r="AK69">
        <v>2029</v>
      </c>
      <c r="AL69" t="s">
        <v>78</v>
      </c>
      <c r="AM69">
        <v>0.50580000000000003</v>
      </c>
      <c r="AN69" t="s">
        <v>168</v>
      </c>
    </row>
    <row r="70" spans="9:40" x14ac:dyDescent="0.45">
      <c r="I70" t="s">
        <v>96</v>
      </c>
      <c r="J70" t="s">
        <v>182</v>
      </c>
      <c r="K70">
        <v>0</v>
      </c>
      <c r="L70" t="s">
        <v>84</v>
      </c>
      <c r="N70" t="s">
        <v>112</v>
      </c>
      <c r="O70" t="s">
        <v>182</v>
      </c>
      <c r="P70">
        <v>9.9134726091444653E-3</v>
      </c>
      <c r="Q70" t="s">
        <v>84</v>
      </c>
      <c r="S70" t="s">
        <v>127</v>
      </c>
      <c r="T70" t="s">
        <v>182</v>
      </c>
      <c r="U70">
        <v>1.5685610164785379E-2</v>
      </c>
      <c r="V70" t="s">
        <v>84</v>
      </c>
      <c r="AC70" t="s">
        <v>240</v>
      </c>
      <c r="AD70" t="s">
        <v>182</v>
      </c>
      <c r="AE70">
        <v>1.6089326325177719E-2</v>
      </c>
      <c r="AK70">
        <v>2029</v>
      </c>
      <c r="AL70" t="s">
        <v>80</v>
      </c>
      <c r="AM70">
        <v>0.53634999999999999</v>
      </c>
      <c r="AN70" t="s">
        <v>168</v>
      </c>
    </row>
    <row r="71" spans="9:40" x14ac:dyDescent="0.45">
      <c r="I71" t="s">
        <v>96</v>
      </c>
      <c r="J71" t="s">
        <v>90</v>
      </c>
      <c r="K71">
        <v>1.9474199826339808E-3</v>
      </c>
      <c r="L71" t="s">
        <v>84</v>
      </c>
      <c r="N71" t="s">
        <v>112</v>
      </c>
      <c r="O71" t="s">
        <v>90</v>
      </c>
      <c r="P71">
        <v>1.1559772947138548E-2</v>
      </c>
      <c r="Q71" t="s">
        <v>84</v>
      </c>
      <c r="S71" t="s">
        <v>127</v>
      </c>
      <c r="T71" t="s">
        <v>90</v>
      </c>
      <c r="U71">
        <v>2.3793868851271202E-2</v>
      </c>
      <c r="V71" t="s">
        <v>84</v>
      </c>
      <c r="AC71" t="s">
        <v>240</v>
      </c>
      <c r="AD71" t="s">
        <v>90</v>
      </c>
      <c r="AE71">
        <v>2.497661123764491E-2</v>
      </c>
      <c r="AK71">
        <v>2029</v>
      </c>
      <c r="AL71" t="s">
        <v>171</v>
      </c>
      <c r="AM71">
        <v>0.55200000000000005</v>
      </c>
      <c r="AN71" t="s">
        <v>168</v>
      </c>
    </row>
    <row r="72" spans="9:40" x14ac:dyDescent="0.45">
      <c r="I72" t="s">
        <v>96</v>
      </c>
      <c r="J72" t="s">
        <v>91</v>
      </c>
      <c r="K72">
        <v>3.0683717964864667E-2</v>
      </c>
      <c r="L72" t="s">
        <v>84</v>
      </c>
      <c r="N72" t="s">
        <v>112</v>
      </c>
      <c r="O72" t="s">
        <v>91</v>
      </c>
      <c r="P72">
        <v>8.2456140008480838E-3</v>
      </c>
      <c r="Q72" t="s">
        <v>84</v>
      </c>
      <c r="S72" t="s">
        <v>127</v>
      </c>
      <c r="T72" t="s">
        <v>91</v>
      </c>
      <c r="U72">
        <v>1.396357565508225E-2</v>
      </c>
      <c r="V72" t="s">
        <v>84</v>
      </c>
      <c r="AC72" t="s">
        <v>240</v>
      </c>
      <c r="AD72" t="s">
        <v>91</v>
      </c>
      <c r="AE72">
        <v>1.417904354382013E-2</v>
      </c>
      <c r="AK72">
        <v>2029</v>
      </c>
      <c r="AL72" t="s">
        <v>173</v>
      </c>
      <c r="AM72">
        <v>0.62453333333333338</v>
      </c>
      <c r="AN72" t="s">
        <v>168</v>
      </c>
    </row>
    <row r="73" spans="9:40" x14ac:dyDescent="0.45">
      <c r="I73" t="s">
        <v>96</v>
      </c>
      <c r="J73" t="s">
        <v>92</v>
      </c>
      <c r="K73">
        <v>5.3215741207007644E-2</v>
      </c>
      <c r="L73" t="s">
        <v>84</v>
      </c>
      <c r="N73" t="s">
        <v>112</v>
      </c>
      <c r="O73" t="s">
        <v>92</v>
      </c>
      <c r="P73">
        <v>1.3466531147174865E-2</v>
      </c>
      <c r="Q73" t="s">
        <v>84</v>
      </c>
      <c r="S73" t="s">
        <v>127</v>
      </c>
      <c r="T73" t="s">
        <v>92</v>
      </c>
      <c r="U73">
        <v>1.9908130930329587E-2</v>
      </c>
      <c r="V73" t="s">
        <v>84</v>
      </c>
      <c r="AC73" t="s">
        <v>240</v>
      </c>
      <c r="AD73" t="s">
        <v>92</v>
      </c>
      <c r="AE73">
        <v>2.0888593021504944E-2</v>
      </c>
      <c r="AK73">
        <v>2029</v>
      </c>
      <c r="AL73" t="s">
        <v>175</v>
      </c>
      <c r="AM73">
        <v>0.58279999999999998</v>
      </c>
      <c r="AN73" t="s">
        <v>168</v>
      </c>
    </row>
    <row r="74" spans="9:40" x14ac:dyDescent="0.45">
      <c r="I74" t="s">
        <v>96</v>
      </c>
      <c r="J74" t="s">
        <v>183</v>
      </c>
      <c r="K74">
        <v>6.2378250565083976E-3</v>
      </c>
      <c r="L74" t="s">
        <v>84</v>
      </c>
      <c r="N74" t="s">
        <v>112</v>
      </c>
      <c r="O74" t="s">
        <v>183</v>
      </c>
      <c r="P74">
        <v>2.1649568152047188E-3</v>
      </c>
      <c r="Q74" t="s">
        <v>84</v>
      </c>
      <c r="S74" t="s">
        <v>127</v>
      </c>
      <c r="T74" t="s">
        <v>183</v>
      </c>
      <c r="U74">
        <v>3.551234813782056E-3</v>
      </c>
      <c r="V74" t="s">
        <v>84</v>
      </c>
      <c r="AC74" t="s">
        <v>240</v>
      </c>
      <c r="AD74" t="s">
        <v>183</v>
      </c>
      <c r="AE74">
        <v>3.5085209110843167E-3</v>
      </c>
      <c r="AK74">
        <v>2029</v>
      </c>
      <c r="AL74" t="s">
        <v>176</v>
      </c>
      <c r="AM74">
        <v>0.54269999999999996</v>
      </c>
      <c r="AN74" t="s">
        <v>168</v>
      </c>
    </row>
    <row r="75" spans="9:40" x14ac:dyDescent="0.45">
      <c r="I75" t="s">
        <v>96</v>
      </c>
      <c r="J75" t="s">
        <v>184</v>
      </c>
      <c r="K75">
        <v>2.8681199608725488E-3</v>
      </c>
      <c r="L75" t="s">
        <v>84</v>
      </c>
      <c r="N75" t="s">
        <v>112</v>
      </c>
      <c r="O75" t="s">
        <v>184</v>
      </c>
      <c r="P75">
        <v>2.0348034359959203E-3</v>
      </c>
      <c r="Q75" t="s">
        <v>84</v>
      </c>
      <c r="S75" t="s">
        <v>127</v>
      </c>
      <c r="T75" t="s">
        <v>184</v>
      </c>
      <c r="U75">
        <v>3.6340153066660684E-3</v>
      </c>
      <c r="V75" t="s">
        <v>84</v>
      </c>
      <c r="AC75" t="s">
        <v>240</v>
      </c>
      <c r="AD75" t="s">
        <v>184</v>
      </c>
      <c r="AE75">
        <v>3.5373800541429949E-3</v>
      </c>
      <c r="AK75">
        <v>2030</v>
      </c>
      <c r="AL75" t="s">
        <v>72</v>
      </c>
      <c r="AM75">
        <v>0.56659999999999999</v>
      </c>
      <c r="AN75" t="s">
        <v>168</v>
      </c>
    </row>
    <row r="76" spans="9:40" x14ac:dyDescent="0.45">
      <c r="I76" t="s">
        <v>96</v>
      </c>
      <c r="J76" t="s">
        <v>185</v>
      </c>
      <c r="K76">
        <v>0</v>
      </c>
      <c r="L76" t="s">
        <v>84</v>
      </c>
      <c r="N76" t="s">
        <v>112</v>
      </c>
      <c r="O76" t="s">
        <v>185</v>
      </c>
      <c r="P76">
        <v>8.2567637139011572E-3</v>
      </c>
      <c r="Q76" t="s">
        <v>84</v>
      </c>
      <c r="S76" t="s">
        <v>127</v>
      </c>
      <c r="T76" t="s">
        <v>185</v>
      </c>
      <c r="U76">
        <v>1.7544191122849367E-2</v>
      </c>
      <c r="V76" t="s">
        <v>84</v>
      </c>
      <c r="AC76" t="s">
        <v>240</v>
      </c>
      <c r="AD76" t="s">
        <v>185</v>
      </c>
      <c r="AE76">
        <v>1.780834623641827E-2</v>
      </c>
      <c r="AK76">
        <v>2030</v>
      </c>
      <c r="AL76" t="s">
        <v>76</v>
      </c>
      <c r="AM76">
        <v>0.57250000000000001</v>
      </c>
      <c r="AN76" t="s">
        <v>168</v>
      </c>
    </row>
    <row r="77" spans="9:40" x14ac:dyDescent="0.45">
      <c r="I77" t="s">
        <v>96</v>
      </c>
      <c r="J77" t="s">
        <v>93</v>
      </c>
      <c r="K77">
        <v>0</v>
      </c>
      <c r="L77" t="s">
        <v>84</v>
      </c>
      <c r="N77" t="s">
        <v>112</v>
      </c>
      <c r="O77" t="s">
        <v>93</v>
      </c>
      <c r="P77">
        <v>4.6595477694152773E-2</v>
      </c>
      <c r="Q77" t="s">
        <v>84</v>
      </c>
      <c r="S77" t="s">
        <v>127</v>
      </c>
      <c r="T77" t="s">
        <v>93</v>
      </c>
      <c r="U77">
        <v>4.253969926083899E-2</v>
      </c>
      <c r="V77" t="s">
        <v>84</v>
      </c>
      <c r="AC77" t="s">
        <v>240</v>
      </c>
      <c r="AD77" t="s">
        <v>93</v>
      </c>
      <c r="AE77">
        <v>4.9178289155769474E-2</v>
      </c>
      <c r="AK77">
        <v>2030</v>
      </c>
      <c r="AL77" t="s">
        <v>78</v>
      </c>
      <c r="AM77">
        <v>0.53820000000000001</v>
      </c>
      <c r="AN77" t="s">
        <v>168</v>
      </c>
    </row>
    <row r="78" spans="9:40" x14ac:dyDescent="0.45">
      <c r="I78" t="s">
        <v>96</v>
      </c>
      <c r="J78" t="s">
        <v>94</v>
      </c>
      <c r="K78">
        <v>3.8346595497577469E-2</v>
      </c>
      <c r="L78" t="s">
        <v>84</v>
      </c>
      <c r="N78" t="s">
        <v>112</v>
      </c>
      <c r="O78" t="s">
        <v>94</v>
      </c>
      <c r="P78">
        <v>2.5401891762551223E-2</v>
      </c>
      <c r="Q78" t="s">
        <v>84</v>
      </c>
      <c r="S78" t="s">
        <v>127</v>
      </c>
      <c r="T78" t="s">
        <v>94</v>
      </c>
      <c r="U78">
        <v>2.3345369164968235E-2</v>
      </c>
      <c r="V78" t="s">
        <v>84</v>
      </c>
      <c r="AC78" t="s">
        <v>240</v>
      </c>
      <c r="AD78" t="s">
        <v>94</v>
      </c>
      <c r="AE78">
        <v>2.8038964338304457E-2</v>
      </c>
      <c r="AK78">
        <v>2030</v>
      </c>
      <c r="AL78" t="s">
        <v>80</v>
      </c>
      <c r="AM78">
        <v>0.50849999999999995</v>
      </c>
      <c r="AN78" t="s">
        <v>168</v>
      </c>
    </row>
    <row r="79" spans="9:40" x14ac:dyDescent="0.45">
      <c r="I79" t="s">
        <v>96</v>
      </c>
      <c r="J79" t="s">
        <v>95</v>
      </c>
      <c r="K79">
        <v>6.55829334742319E-2</v>
      </c>
      <c r="L79" t="s">
        <v>84</v>
      </c>
      <c r="N79" t="s">
        <v>112</v>
      </c>
      <c r="O79" t="s">
        <v>95</v>
      </c>
      <c r="P79">
        <v>4.1494214019041638E-2</v>
      </c>
      <c r="Q79" t="s">
        <v>84</v>
      </c>
      <c r="S79" t="s">
        <v>127</v>
      </c>
      <c r="T79" t="s">
        <v>95</v>
      </c>
      <c r="U79">
        <v>3.800001452443226E-2</v>
      </c>
      <c r="V79" t="s">
        <v>84</v>
      </c>
      <c r="AC79" t="s">
        <v>240</v>
      </c>
      <c r="AD79" t="s">
        <v>95</v>
      </c>
      <c r="AE79">
        <v>4.1095640119346757E-2</v>
      </c>
      <c r="AK79">
        <v>2030</v>
      </c>
      <c r="AL79" t="s">
        <v>171</v>
      </c>
      <c r="AM79">
        <v>0.57920000000000005</v>
      </c>
      <c r="AN79" t="s">
        <v>168</v>
      </c>
    </row>
    <row r="80" spans="9:40" x14ac:dyDescent="0.45">
      <c r="I80" t="s">
        <v>96</v>
      </c>
      <c r="J80" t="s">
        <v>186</v>
      </c>
      <c r="K80">
        <v>4.4319212206143151E-3</v>
      </c>
      <c r="L80" t="s">
        <v>84</v>
      </c>
      <c r="N80" t="s">
        <v>112</v>
      </c>
      <c r="O80" t="s">
        <v>186</v>
      </c>
      <c r="P80">
        <v>6.9091299697947896E-3</v>
      </c>
      <c r="Q80" t="s">
        <v>84</v>
      </c>
      <c r="S80" t="s">
        <v>127</v>
      </c>
      <c r="T80" t="s">
        <v>186</v>
      </c>
      <c r="U80">
        <v>6.3817841649166486E-3</v>
      </c>
      <c r="V80" t="s">
        <v>84</v>
      </c>
      <c r="AC80" t="s">
        <v>240</v>
      </c>
      <c r="AD80" t="s">
        <v>186</v>
      </c>
      <c r="AE80">
        <v>6.8582470181097746E-3</v>
      </c>
      <c r="AK80">
        <v>2030</v>
      </c>
      <c r="AL80" t="s">
        <v>173</v>
      </c>
      <c r="AM80">
        <v>0.58360000000000001</v>
      </c>
      <c r="AN80" t="s">
        <v>168</v>
      </c>
    </row>
    <row r="81" spans="9:40" x14ac:dyDescent="0.45">
      <c r="I81" t="s">
        <v>96</v>
      </c>
      <c r="J81" t="s">
        <v>187</v>
      </c>
      <c r="K81">
        <v>0</v>
      </c>
      <c r="L81" t="s">
        <v>84</v>
      </c>
      <c r="N81" t="s">
        <v>112</v>
      </c>
      <c r="O81" t="s">
        <v>187</v>
      </c>
      <c r="P81">
        <v>6.9301866225709415E-3</v>
      </c>
      <c r="Q81" t="s">
        <v>84</v>
      </c>
      <c r="S81" t="s">
        <v>127</v>
      </c>
      <c r="T81" t="s">
        <v>187</v>
      </c>
      <c r="U81">
        <v>6.3878509570138046E-3</v>
      </c>
      <c r="V81" t="s">
        <v>84</v>
      </c>
      <c r="AC81" t="s">
        <v>240</v>
      </c>
      <c r="AD81" t="s">
        <v>187</v>
      </c>
      <c r="AE81">
        <v>6.910858113172917E-3</v>
      </c>
      <c r="AK81">
        <v>2030</v>
      </c>
      <c r="AL81" t="s">
        <v>175</v>
      </c>
      <c r="AM81">
        <v>0.56559999999999999</v>
      </c>
      <c r="AN81" t="s">
        <v>168</v>
      </c>
    </row>
    <row r="82" spans="9:40" x14ac:dyDescent="0.45">
      <c r="I82" t="s">
        <v>96</v>
      </c>
      <c r="J82" t="s">
        <v>188</v>
      </c>
      <c r="K82">
        <v>0</v>
      </c>
      <c r="L82" t="s">
        <v>84</v>
      </c>
      <c r="N82" t="s">
        <v>112</v>
      </c>
      <c r="O82" t="s">
        <v>188</v>
      </c>
      <c r="P82">
        <v>3.3810008022765688E-2</v>
      </c>
      <c r="Q82" t="s">
        <v>84</v>
      </c>
      <c r="S82" t="s">
        <v>127</v>
      </c>
      <c r="T82" t="s">
        <v>188</v>
      </c>
      <c r="U82">
        <v>3.1403163712110348E-2</v>
      </c>
      <c r="V82" t="s">
        <v>84</v>
      </c>
      <c r="AC82" t="s">
        <v>240</v>
      </c>
      <c r="AD82" t="s">
        <v>188</v>
      </c>
      <c r="AE82">
        <v>3.5021051105407923E-2</v>
      </c>
      <c r="AK82">
        <v>2030</v>
      </c>
      <c r="AL82" t="s">
        <v>176</v>
      </c>
      <c r="AM82">
        <v>0.58745000000000003</v>
      </c>
      <c r="AN82" t="s">
        <v>168</v>
      </c>
    </row>
    <row r="83" spans="9:40" x14ac:dyDescent="0.45">
      <c r="I83" t="s">
        <v>96</v>
      </c>
      <c r="J83" t="s">
        <v>189</v>
      </c>
      <c r="K83">
        <v>0</v>
      </c>
      <c r="L83" t="s">
        <v>84</v>
      </c>
      <c r="N83" t="s">
        <v>112</v>
      </c>
      <c r="O83" t="s">
        <v>189</v>
      </c>
      <c r="P83">
        <v>2.3507056447395914E-2</v>
      </c>
      <c r="Q83" t="s">
        <v>84</v>
      </c>
      <c r="S83" t="s">
        <v>127</v>
      </c>
      <c r="T83" t="s">
        <v>189</v>
      </c>
      <c r="U83">
        <v>2.8551803080699663E-2</v>
      </c>
      <c r="V83" t="s">
        <v>84</v>
      </c>
      <c r="AC83" t="s">
        <v>240</v>
      </c>
      <c r="AD83" t="s">
        <v>189</v>
      </c>
      <c r="AE83">
        <v>2.418653675710929E-2</v>
      </c>
      <c r="AK83">
        <v>2031</v>
      </c>
      <c r="AL83" t="s">
        <v>72</v>
      </c>
      <c r="AM83">
        <v>0.53369999999999995</v>
      </c>
      <c r="AN83" t="s">
        <v>168</v>
      </c>
    </row>
    <row r="84" spans="9:40" x14ac:dyDescent="0.45">
      <c r="I84" t="s">
        <v>96</v>
      </c>
      <c r="J84" t="s">
        <v>190</v>
      </c>
      <c r="K84">
        <v>9.8029398944459636E-3</v>
      </c>
      <c r="L84" t="s">
        <v>84</v>
      </c>
      <c r="N84" t="s">
        <v>112</v>
      </c>
      <c r="O84" t="s">
        <v>190</v>
      </c>
      <c r="P84">
        <v>1.3263865204001595E-2</v>
      </c>
      <c r="Q84" t="s">
        <v>84</v>
      </c>
      <c r="S84" t="s">
        <v>127</v>
      </c>
      <c r="T84" t="s">
        <v>190</v>
      </c>
      <c r="U84">
        <v>1.5778690502046867E-2</v>
      </c>
      <c r="V84" t="s">
        <v>84</v>
      </c>
      <c r="AC84" t="s">
        <v>240</v>
      </c>
      <c r="AD84" t="s">
        <v>190</v>
      </c>
      <c r="AE84">
        <v>1.3812822768219856E-2</v>
      </c>
      <c r="AK84">
        <v>2031</v>
      </c>
      <c r="AL84" t="s">
        <v>76</v>
      </c>
      <c r="AM84">
        <v>0.53539999999999999</v>
      </c>
      <c r="AN84" t="s">
        <v>168</v>
      </c>
    </row>
    <row r="85" spans="9:40" x14ac:dyDescent="0.45">
      <c r="I85" t="s">
        <v>96</v>
      </c>
      <c r="J85" t="s">
        <v>191</v>
      </c>
      <c r="K85">
        <v>2.3146303187918257E-2</v>
      </c>
      <c r="L85" t="s">
        <v>84</v>
      </c>
      <c r="N85" t="s">
        <v>112</v>
      </c>
      <c r="O85" t="s">
        <v>191</v>
      </c>
      <c r="P85">
        <v>2.1589514455806091E-2</v>
      </c>
      <c r="Q85" t="s">
        <v>84</v>
      </c>
      <c r="S85" t="s">
        <v>127</v>
      </c>
      <c r="T85" t="s">
        <v>191</v>
      </c>
      <c r="U85">
        <v>2.3618781714178364E-2</v>
      </c>
      <c r="V85" t="s">
        <v>84</v>
      </c>
      <c r="AC85" t="s">
        <v>240</v>
      </c>
      <c r="AD85" t="s">
        <v>191</v>
      </c>
      <c r="AE85">
        <v>2.0180194278405998E-2</v>
      </c>
      <c r="AK85">
        <v>2031</v>
      </c>
      <c r="AL85" t="s">
        <v>78</v>
      </c>
      <c r="AM85">
        <v>0.46600000000000003</v>
      </c>
      <c r="AN85" t="s">
        <v>168</v>
      </c>
    </row>
    <row r="86" spans="9:40" x14ac:dyDescent="0.45">
      <c r="I86" t="s">
        <v>96</v>
      </c>
      <c r="J86" t="s">
        <v>192</v>
      </c>
      <c r="K86">
        <v>0</v>
      </c>
      <c r="L86" t="s">
        <v>84</v>
      </c>
      <c r="N86" t="s">
        <v>112</v>
      </c>
      <c r="O86" t="s">
        <v>192</v>
      </c>
      <c r="P86">
        <v>3.3198903663611357E-3</v>
      </c>
      <c r="Q86" t="s">
        <v>84</v>
      </c>
      <c r="S86" t="s">
        <v>127</v>
      </c>
      <c r="T86" t="s">
        <v>192</v>
      </c>
      <c r="U86">
        <v>3.740249304390585E-3</v>
      </c>
      <c r="V86" t="s">
        <v>84</v>
      </c>
      <c r="AC86" t="s">
        <v>240</v>
      </c>
      <c r="AD86" t="s">
        <v>192</v>
      </c>
      <c r="AE86">
        <v>3.3719377694243066E-3</v>
      </c>
      <c r="AK86">
        <v>2031</v>
      </c>
      <c r="AL86" t="s">
        <v>80</v>
      </c>
      <c r="AM86">
        <v>0.55759999999999998</v>
      </c>
      <c r="AN86" t="s">
        <v>168</v>
      </c>
    </row>
    <row r="87" spans="9:40" x14ac:dyDescent="0.45">
      <c r="I87" t="s">
        <v>96</v>
      </c>
      <c r="J87" t="s">
        <v>193</v>
      </c>
      <c r="K87">
        <v>0</v>
      </c>
      <c r="L87" t="s">
        <v>84</v>
      </c>
      <c r="N87" t="s">
        <v>112</v>
      </c>
      <c r="O87" t="s">
        <v>193</v>
      </c>
      <c r="P87">
        <v>3.2849922380741008E-3</v>
      </c>
      <c r="Q87" t="s">
        <v>84</v>
      </c>
      <c r="S87" t="s">
        <v>127</v>
      </c>
      <c r="T87" t="s">
        <v>193</v>
      </c>
      <c r="U87">
        <v>3.686710823219282E-3</v>
      </c>
      <c r="V87" t="s">
        <v>84</v>
      </c>
      <c r="AC87" t="s">
        <v>240</v>
      </c>
      <c r="AD87" t="s">
        <v>193</v>
      </c>
      <c r="AE87">
        <v>3.4117956213134538E-3</v>
      </c>
      <c r="AK87">
        <v>2031</v>
      </c>
      <c r="AL87" t="s">
        <v>171</v>
      </c>
      <c r="AM87">
        <v>0.64780000000000004</v>
      </c>
      <c r="AN87" t="s">
        <v>168</v>
      </c>
    </row>
    <row r="88" spans="9:40" x14ac:dyDescent="0.45">
      <c r="I88" t="s">
        <v>96</v>
      </c>
      <c r="J88" t="s">
        <v>194</v>
      </c>
      <c r="K88">
        <v>0</v>
      </c>
      <c r="L88" t="s">
        <v>84</v>
      </c>
      <c r="N88" t="s">
        <v>112</v>
      </c>
      <c r="O88" t="s">
        <v>194</v>
      </c>
      <c r="P88">
        <v>1.614879111639287E-2</v>
      </c>
      <c r="Q88" t="s">
        <v>84</v>
      </c>
      <c r="S88" t="s">
        <v>127</v>
      </c>
      <c r="T88" t="s">
        <v>194</v>
      </c>
      <c r="U88">
        <v>1.9385865860013531E-2</v>
      </c>
      <c r="V88" t="s">
        <v>84</v>
      </c>
      <c r="AC88" t="s">
        <v>240</v>
      </c>
      <c r="AD88" t="s">
        <v>194</v>
      </c>
      <c r="AE88">
        <v>1.7273332786228855E-2</v>
      </c>
      <c r="AK88">
        <v>2031</v>
      </c>
      <c r="AL88" t="s">
        <v>173</v>
      </c>
      <c r="AM88">
        <v>0.63496666666666668</v>
      </c>
      <c r="AN88" t="s">
        <v>168</v>
      </c>
    </row>
    <row r="89" spans="9:40" x14ac:dyDescent="0.45">
      <c r="I89" t="s">
        <v>96</v>
      </c>
      <c r="J89" t="s">
        <v>195</v>
      </c>
      <c r="K89">
        <v>1.3136516814202422E-3</v>
      </c>
      <c r="L89" t="s">
        <v>84</v>
      </c>
      <c r="N89" t="s">
        <v>112</v>
      </c>
      <c r="O89" t="s">
        <v>195</v>
      </c>
      <c r="P89">
        <v>8.6900087204080712E-2</v>
      </c>
      <c r="Q89" t="s">
        <v>84</v>
      </c>
      <c r="S89" t="s">
        <v>127</v>
      </c>
      <c r="T89" t="s">
        <v>195</v>
      </c>
      <c r="U89">
        <v>8.7877772678790267E-2</v>
      </c>
      <c r="V89" t="s">
        <v>84</v>
      </c>
      <c r="AC89" t="s">
        <v>240</v>
      </c>
      <c r="AD89" t="s">
        <v>195</v>
      </c>
      <c r="AE89">
        <v>7.4190235700681978E-2</v>
      </c>
      <c r="AK89">
        <v>2031</v>
      </c>
      <c r="AL89" t="s">
        <v>175</v>
      </c>
      <c r="AM89">
        <v>0.63090000000000002</v>
      </c>
      <c r="AN89" t="s">
        <v>168</v>
      </c>
    </row>
    <row r="90" spans="9:40" x14ac:dyDescent="0.45">
      <c r="I90" t="s">
        <v>96</v>
      </c>
      <c r="J90" t="s">
        <v>196</v>
      </c>
      <c r="K90">
        <v>5.406992861982951E-2</v>
      </c>
      <c r="L90" t="s">
        <v>84</v>
      </c>
      <c r="N90" t="s">
        <v>112</v>
      </c>
      <c r="O90" t="s">
        <v>196</v>
      </c>
      <c r="P90">
        <v>4.847962021359567E-2</v>
      </c>
      <c r="Q90" t="s">
        <v>84</v>
      </c>
      <c r="S90" t="s">
        <v>127</v>
      </c>
      <c r="T90" t="s">
        <v>196</v>
      </c>
      <c r="U90">
        <v>4.7581990841570956E-2</v>
      </c>
      <c r="V90" t="s">
        <v>84</v>
      </c>
      <c r="AC90" t="s">
        <v>240</v>
      </c>
      <c r="AD90" t="s">
        <v>196</v>
      </c>
      <c r="AE90">
        <v>4.2374902582113842E-2</v>
      </c>
      <c r="AK90">
        <v>2031</v>
      </c>
      <c r="AL90" t="s">
        <v>176</v>
      </c>
      <c r="AM90">
        <v>0.55754999999999999</v>
      </c>
      <c r="AN90" t="s">
        <v>168</v>
      </c>
    </row>
    <row r="91" spans="9:40" x14ac:dyDescent="0.45">
      <c r="I91" t="s">
        <v>96</v>
      </c>
      <c r="J91" t="s">
        <v>197</v>
      </c>
      <c r="K91">
        <v>9.9195330745736096E-2</v>
      </c>
      <c r="L91" t="s">
        <v>84</v>
      </c>
      <c r="N91" t="s">
        <v>112</v>
      </c>
      <c r="O91" t="s">
        <v>197</v>
      </c>
      <c r="P91">
        <v>8.1483656742213195E-2</v>
      </c>
      <c r="Q91" t="s">
        <v>84</v>
      </c>
      <c r="S91" t="s">
        <v>127</v>
      </c>
      <c r="T91" t="s">
        <v>197</v>
      </c>
      <c r="U91">
        <v>7.5566882491156576E-2</v>
      </c>
      <c r="V91" t="s">
        <v>84</v>
      </c>
      <c r="AC91" t="s">
        <v>240</v>
      </c>
      <c r="AD91" t="s">
        <v>197</v>
      </c>
      <c r="AE91">
        <v>6.1891133842300473E-2</v>
      </c>
      <c r="AK91">
        <v>2032</v>
      </c>
      <c r="AL91" t="s">
        <v>72</v>
      </c>
      <c r="AM91">
        <v>0.52590000000000003</v>
      </c>
      <c r="AN91" t="s">
        <v>168</v>
      </c>
    </row>
    <row r="92" spans="9:40" x14ac:dyDescent="0.45">
      <c r="I92" t="s">
        <v>96</v>
      </c>
      <c r="J92" t="s">
        <v>198</v>
      </c>
      <c r="K92">
        <v>7.2209578877565003E-3</v>
      </c>
      <c r="L92" t="s">
        <v>84</v>
      </c>
      <c r="N92" t="s">
        <v>112</v>
      </c>
      <c r="O92" t="s">
        <v>198</v>
      </c>
      <c r="P92">
        <v>1.2936079298975965E-2</v>
      </c>
      <c r="Q92" t="s">
        <v>84</v>
      </c>
      <c r="S92" t="s">
        <v>127</v>
      </c>
      <c r="T92" t="s">
        <v>198</v>
      </c>
      <c r="U92">
        <v>1.2857960492500568E-2</v>
      </c>
      <c r="V92" t="s">
        <v>84</v>
      </c>
      <c r="AC92" t="s">
        <v>240</v>
      </c>
      <c r="AD92" t="s">
        <v>198</v>
      </c>
      <c r="AE92">
        <v>1.0336503316852902E-2</v>
      </c>
      <c r="AK92">
        <v>2032</v>
      </c>
      <c r="AL92" t="s">
        <v>76</v>
      </c>
      <c r="AM92">
        <v>0.54579999999999995</v>
      </c>
      <c r="AN92" t="s">
        <v>168</v>
      </c>
    </row>
    <row r="93" spans="9:40" x14ac:dyDescent="0.45">
      <c r="I93" t="s">
        <v>96</v>
      </c>
      <c r="J93" t="s">
        <v>199</v>
      </c>
      <c r="K93">
        <v>0</v>
      </c>
      <c r="L93" t="s">
        <v>84</v>
      </c>
      <c r="N93" t="s">
        <v>112</v>
      </c>
      <c r="O93" t="s">
        <v>199</v>
      </c>
      <c r="P93">
        <v>1.2801309751284056E-2</v>
      </c>
      <c r="Q93" t="s">
        <v>84</v>
      </c>
      <c r="S93" t="s">
        <v>127</v>
      </c>
      <c r="T93" t="s">
        <v>199</v>
      </c>
      <c r="U93">
        <v>1.2795415303213382E-2</v>
      </c>
      <c r="V93" t="s">
        <v>84</v>
      </c>
      <c r="AC93" t="s">
        <v>240</v>
      </c>
      <c r="AD93" t="s">
        <v>199</v>
      </c>
      <c r="AE93">
        <v>1.0450758865324077E-2</v>
      </c>
      <c r="AK93">
        <v>2032</v>
      </c>
      <c r="AL93" t="s">
        <v>78</v>
      </c>
      <c r="AM93">
        <v>0.50609999999999999</v>
      </c>
      <c r="AN93" t="s">
        <v>168</v>
      </c>
    </row>
    <row r="94" spans="9:40" x14ac:dyDescent="0.45">
      <c r="I94" t="s">
        <v>96</v>
      </c>
      <c r="J94" t="s">
        <v>200</v>
      </c>
      <c r="K94">
        <v>0</v>
      </c>
      <c r="L94" t="s">
        <v>84</v>
      </c>
      <c r="N94" t="s">
        <v>112</v>
      </c>
      <c r="O94" t="s">
        <v>200</v>
      </c>
      <c r="P94">
        <v>6.3820815100491701E-2</v>
      </c>
      <c r="Q94" t="s">
        <v>84</v>
      </c>
      <c r="S94" t="s">
        <v>127</v>
      </c>
      <c r="T94" t="s">
        <v>200</v>
      </c>
      <c r="U94">
        <v>6.4831871917996442E-2</v>
      </c>
      <c r="V94" t="s">
        <v>84</v>
      </c>
      <c r="AC94" t="s">
        <v>240</v>
      </c>
      <c r="AD94" t="s">
        <v>200</v>
      </c>
      <c r="AE94">
        <v>5.2932998599505426E-2</v>
      </c>
      <c r="AK94">
        <v>2032</v>
      </c>
      <c r="AL94" t="s">
        <v>80</v>
      </c>
      <c r="AM94">
        <v>0.52315</v>
      </c>
      <c r="AN94" t="s">
        <v>168</v>
      </c>
    </row>
    <row r="95" spans="9:40" x14ac:dyDescent="0.45">
      <c r="I95" t="s">
        <v>96</v>
      </c>
      <c r="J95" t="s">
        <v>201</v>
      </c>
      <c r="K95">
        <v>5.9895939949357394E-3</v>
      </c>
      <c r="L95" t="s">
        <v>84</v>
      </c>
      <c r="N95" t="s">
        <v>112</v>
      </c>
      <c r="O95" t="s">
        <v>201</v>
      </c>
      <c r="P95">
        <v>3.2769439619879367E-2</v>
      </c>
      <c r="Q95" t="s">
        <v>84</v>
      </c>
      <c r="S95" t="s">
        <v>127</v>
      </c>
      <c r="T95" t="s">
        <v>201</v>
      </c>
      <c r="U95">
        <v>2.1186064460481283E-2</v>
      </c>
      <c r="V95" t="s">
        <v>84</v>
      </c>
      <c r="AC95" t="s">
        <v>240</v>
      </c>
      <c r="AD95" t="s">
        <v>201</v>
      </c>
      <c r="AE95">
        <v>2.5004499323017015E-2</v>
      </c>
      <c r="AK95">
        <v>2032</v>
      </c>
      <c r="AL95" t="s">
        <v>171</v>
      </c>
      <c r="AM95">
        <v>0.56499999999999995</v>
      </c>
      <c r="AN95" t="s">
        <v>168</v>
      </c>
    </row>
    <row r="96" spans="9:40" x14ac:dyDescent="0.45">
      <c r="I96" t="s">
        <v>96</v>
      </c>
      <c r="J96" t="s">
        <v>202</v>
      </c>
      <c r="K96">
        <v>3.8101832438477388E-2</v>
      </c>
      <c r="L96" t="s">
        <v>84</v>
      </c>
      <c r="N96" t="s">
        <v>112</v>
      </c>
      <c r="O96" t="s">
        <v>202</v>
      </c>
      <c r="P96">
        <v>1.9330334453392571E-2</v>
      </c>
      <c r="Q96" t="s">
        <v>84</v>
      </c>
      <c r="S96" t="s">
        <v>127</v>
      </c>
      <c r="T96" t="s">
        <v>202</v>
      </c>
      <c r="U96">
        <v>1.2538351493556648E-2</v>
      </c>
      <c r="V96" t="s">
        <v>84</v>
      </c>
      <c r="AC96" t="s">
        <v>240</v>
      </c>
      <c r="AD96" t="s">
        <v>202</v>
      </c>
      <c r="AE96">
        <v>1.4201715346451611E-2</v>
      </c>
      <c r="AK96">
        <v>2032</v>
      </c>
      <c r="AL96" t="s">
        <v>173</v>
      </c>
      <c r="AM96">
        <v>0.6277666666666667</v>
      </c>
      <c r="AN96" t="s">
        <v>168</v>
      </c>
    </row>
    <row r="97" spans="9:40" x14ac:dyDescent="0.45">
      <c r="I97" t="s">
        <v>96</v>
      </c>
      <c r="J97" t="s">
        <v>203</v>
      </c>
      <c r="K97">
        <v>6.1016267139762444E-2</v>
      </c>
      <c r="L97" t="s">
        <v>84</v>
      </c>
      <c r="N97" t="s">
        <v>112</v>
      </c>
      <c r="O97" t="s">
        <v>203</v>
      </c>
      <c r="P97">
        <v>3.3444802859639217E-2</v>
      </c>
      <c r="Q97" t="s">
        <v>84</v>
      </c>
      <c r="S97" t="s">
        <v>127</v>
      </c>
      <c r="T97" t="s">
        <v>203</v>
      </c>
      <c r="U97">
        <v>1.9815104805632595E-2</v>
      </c>
      <c r="V97" t="s">
        <v>84</v>
      </c>
      <c r="AC97" t="s">
        <v>240</v>
      </c>
      <c r="AD97" t="s">
        <v>203</v>
      </c>
      <c r="AE97">
        <v>2.0840853932821417E-2</v>
      </c>
      <c r="AK97">
        <v>2032</v>
      </c>
      <c r="AL97" t="s">
        <v>175</v>
      </c>
      <c r="AM97">
        <v>0.62039999999999995</v>
      </c>
      <c r="AN97" t="s">
        <v>168</v>
      </c>
    </row>
    <row r="98" spans="9:40" x14ac:dyDescent="0.45">
      <c r="I98" t="s">
        <v>96</v>
      </c>
      <c r="J98" t="s">
        <v>204</v>
      </c>
      <c r="K98">
        <v>6.5988569812469519E-3</v>
      </c>
      <c r="L98" t="s">
        <v>84</v>
      </c>
      <c r="N98" t="s">
        <v>112</v>
      </c>
      <c r="O98" t="s">
        <v>204</v>
      </c>
      <c r="P98">
        <v>5.340448820433585E-3</v>
      </c>
      <c r="Q98" t="s">
        <v>84</v>
      </c>
      <c r="S98" t="s">
        <v>127</v>
      </c>
      <c r="T98" t="s">
        <v>204</v>
      </c>
      <c r="U98">
        <v>3.3028108952673696E-3</v>
      </c>
      <c r="V98" t="s">
        <v>84</v>
      </c>
      <c r="AC98" t="s">
        <v>240</v>
      </c>
      <c r="AD98" t="s">
        <v>204</v>
      </c>
      <c r="AE98">
        <v>3.5095146371732612E-3</v>
      </c>
      <c r="AK98">
        <v>2032</v>
      </c>
      <c r="AL98" t="s">
        <v>176</v>
      </c>
      <c r="AM98">
        <v>0.59775</v>
      </c>
      <c r="AN98" t="s">
        <v>168</v>
      </c>
    </row>
    <row r="99" spans="9:40" x14ac:dyDescent="0.45">
      <c r="I99" t="s">
        <v>96</v>
      </c>
      <c r="J99" t="s">
        <v>205</v>
      </c>
      <c r="K99">
        <v>2.8425094941337643E-3</v>
      </c>
      <c r="L99" t="s">
        <v>84</v>
      </c>
      <c r="N99" t="s">
        <v>112</v>
      </c>
      <c r="O99" t="s">
        <v>205</v>
      </c>
      <c r="P99">
        <v>5.2605031345742993E-3</v>
      </c>
      <c r="Q99" t="s">
        <v>84</v>
      </c>
      <c r="S99" t="s">
        <v>127</v>
      </c>
      <c r="T99" t="s">
        <v>205</v>
      </c>
      <c r="U99">
        <v>3.2166197035459932E-3</v>
      </c>
      <c r="V99" t="s">
        <v>84</v>
      </c>
      <c r="AC99" t="s">
        <v>240</v>
      </c>
      <c r="AD99" t="s">
        <v>205</v>
      </c>
      <c r="AE99">
        <v>3.5474343406596775E-3</v>
      </c>
      <c r="AK99">
        <v>2033</v>
      </c>
      <c r="AL99" t="s">
        <v>72</v>
      </c>
      <c r="AM99">
        <v>0.59909999999999997</v>
      </c>
      <c r="AN99" t="s">
        <v>168</v>
      </c>
    </row>
    <row r="100" spans="9:40" x14ac:dyDescent="0.45">
      <c r="I100" t="s">
        <v>96</v>
      </c>
      <c r="J100" t="s">
        <v>206</v>
      </c>
      <c r="K100">
        <v>0</v>
      </c>
      <c r="L100" t="s">
        <v>84</v>
      </c>
      <c r="N100" t="s">
        <v>112</v>
      </c>
      <c r="O100" t="s">
        <v>206</v>
      </c>
      <c r="P100">
        <v>2.5742839356830246E-2</v>
      </c>
      <c r="Q100" t="s">
        <v>84</v>
      </c>
      <c r="S100" t="s">
        <v>127</v>
      </c>
      <c r="T100" t="s">
        <v>206</v>
      </c>
      <c r="U100">
        <v>1.5243894648657566E-2</v>
      </c>
      <c r="V100" t="s">
        <v>84</v>
      </c>
      <c r="AC100" t="s">
        <v>240</v>
      </c>
      <c r="AD100" t="s">
        <v>206</v>
      </c>
      <c r="AE100">
        <v>1.7824723873776378E-2</v>
      </c>
      <c r="AK100">
        <v>2033</v>
      </c>
      <c r="AL100" t="s">
        <v>76</v>
      </c>
      <c r="AM100">
        <v>0.60589999999999999</v>
      </c>
      <c r="AN100" t="s">
        <v>168</v>
      </c>
    </row>
    <row r="101" spans="9:40" x14ac:dyDescent="0.45">
      <c r="I101" t="s">
        <v>96</v>
      </c>
      <c r="J101" t="s">
        <v>207</v>
      </c>
      <c r="K101">
        <v>2.0455698100443696E-2</v>
      </c>
      <c r="L101" t="s">
        <v>84</v>
      </c>
      <c r="N101" t="s">
        <v>112</v>
      </c>
      <c r="O101" t="s">
        <v>207</v>
      </c>
      <c r="P101">
        <v>3.8940275456274077E-2</v>
      </c>
      <c r="Q101" t="s">
        <v>84</v>
      </c>
      <c r="S101" t="s">
        <v>127</v>
      </c>
      <c r="T101" t="s">
        <v>207</v>
      </c>
      <c r="U101">
        <v>3.5353436442136656E-2</v>
      </c>
      <c r="V101" t="s">
        <v>84</v>
      </c>
      <c r="AC101" t="s">
        <v>240</v>
      </c>
      <c r="AD101" t="s">
        <v>207</v>
      </c>
      <c r="AE101">
        <v>4.9147027247065968E-2</v>
      </c>
      <c r="AK101">
        <v>2033</v>
      </c>
      <c r="AL101" t="s">
        <v>78</v>
      </c>
      <c r="AM101">
        <v>0.50019999999999998</v>
      </c>
      <c r="AN101" t="s">
        <v>168</v>
      </c>
    </row>
    <row r="102" spans="9:40" x14ac:dyDescent="0.45">
      <c r="I102" t="s">
        <v>96</v>
      </c>
      <c r="J102" t="s">
        <v>208</v>
      </c>
      <c r="K102">
        <v>7.8638188947176432E-2</v>
      </c>
      <c r="L102" t="s">
        <v>84</v>
      </c>
      <c r="N102" t="s">
        <v>112</v>
      </c>
      <c r="O102" t="s">
        <v>208</v>
      </c>
      <c r="P102">
        <v>2.3635906581980181E-2</v>
      </c>
      <c r="Q102" t="s">
        <v>84</v>
      </c>
      <c r="S102" t="s">
        <v>127</v>
      </c>
      <c r="T102" t="s">
        <v>208</v>
      </c>
      <c r="U102">
        <v>1.845294745733677E-2</v>
      </c>
      <c r="V102" t="s">
        <v>84</v>
      </c>
      <c r="AC102" t="s">
        <v>240</v>
      </c>
      <c r="AD102" t="s">
        <v>208</v>
      </c>
      <c r="AE102">
        <v>2.7913747370524718E-2</v>
      </c>
      <c r="AK102">
        <v>2033</v>
      </c>
      <c r="AL102" t="s">
        <v>80</v>
      </c>
      <c r="AM102">
        <v>0.56074999999999997</v>
      </c>
      <c r="AN102" t="s">
        <v>168</v>
      </c>
    </row>
    <row r="103" spans="9:40" x14ac:dyDescent="0.45">
      <c r="I103" t="s">
        <v>96</v>
      </c>
      <c r="J103" t="s">
        <v>209</v>
      </c>
      <c r="K103">
        <v>0.12518989736932068</v>
      </c>
      <c r="L103" t="s">
        <v>84</v>
      </c>
      <c r="N103" t="s">
        <v>112</v>
      </c>
      <c r="O103" t="s">
        <v>209</v>
      </c>
      <c r="P103">
        <v>4.1177772702990972E-2</v>
      </c>
      <c r="Q103" t="s">
        <v>84</v>
      </c>
      <c r="S103" t="s">
        <v>127</v>
      </c>
      <c r="T103" t="s">
        <v>209</v>
      </c>
      <c r="U103">
        <v>2.8644721512792536E-2</v>
      </c>
      <c r="V103" t="s">
        <v>84</v>
      </c>
      <c r="AC103" t="s">
        <v>240</v>
      </c>
      <c r="AD103" t="s">
        <v>209</v>
      </c>
      <c r="AE103">
        <v>4.1084970499047711E-2</v>
      </c>
      <c r="AK103">
        <v>2033</v>
      </c>
      <c r="AL103" t="s">
        <v>171</v>
      </c>
      <c r="AM103">
        <v>0.67030000000000001</v>
      </c>
      <c r="AN103" t="s">
        <v>168</v>
      </c>
    </row>
    <row r="104" spans="9:40" x14ac:dyDescent="0.45">
      <c r="I104" t="s">
        <v>96</v>
      </c>
      <c r="J104" t="s">
        <v>210</v>
      </c>
      <c r="K104">
        <v>1.4548872721168338E-2</v>
      </c>
      <c r="L104" t="s">
        <v>84</v>
      </c>
      <c r="N104" t="s">
        <v>112</v>
      </c>
      <c r="O104" t="s">
        <v>210</v>
      </c>
      <c r="P104">
        <v>6.6459339742910156E-3</v>
      </c>
      <c r="Q104" t="s">
        <v>84</v>
      </c>
      <c r="S104" t="s">
        <v>127</v>
      </c>
      <c r="T104" t="s">
        <v>210</v>
      </c>
      <c r="U104">
        <v>5.2467123944751354E-3</v>
      </c>
      <c r="V104" t="s">
        <v>84</v>
      </c>
      <c r="AC104" t="s">
        <v>240</v>
      </c>
      <c r="AD104" t="s">
        <v>210</v>
      </c>
      <c r="AE104">
        <v>6.9054740559192432E-3</v>
      </c>
      <c r="AK104">
        <v>2033</v>
      </c>
      <c r="AL104" t="s">
        <v>173</v>
      </c>
      <c r="AM104">
        <v>0.64216666666666666</v>
      </c>
      <c r="AN104" t="s">
        <v>168</v>
      </c>
    </row>
    <row r="105" spans="9:40" x14ac:dyDescent="0.45">
      <c r="I105" t="s">
        <v>96</v>
      </c>
      <c r="J105" t="s">
        <v>211</v>
      </c>
      <c r="K105">
        <v>9.4630248387863446E-3</v>
      </c>
      <c r="L105" t="s">
        <v>84</v>
      </c>
      <c r="N105" t="s">
        <v>112</v>
      </c>
      <c r="O105" t="s">
        <v>211</v>
      </c>
      <c r="P105">
        <v>6.4116229874192918E-3</v>
      </c>
      <c r="Q105" t="s">
        <v>84</v>
      </c>
      <c r="S105" t="s">
        <v>127</v>
      </c>
      <c r="T105" t="s">
        <v>211</v>
      </c>
      <c r="U105">
        <v>5.3045576678170349E-3</v>
      </c>
      <c r="V105" t="s">
        <v>84</v>
      </c>
      <c r="AC105" t="s">
        <v>240</v>
      </c>
      <c r="AD105" t="s">
        <v>211</v>
      </c>
      <c r="AE105">
        <v>6.9651622262026491E-3</v>
      </c>
      <c r="AK105">
        <v>2033</v>
      </c>
      <c r="AL105" t="s">
        <v>175</v>
      </c>
      <c r="AM105">
        <v>0.62680000000000002</v>
      </c>
      <c r="AN105" t="s">
        <v>168</v>
      </c>
    </row>
    <row r="106" spans="9:40" x14ac:dyDescent="0.45">
      <c r="I106" t="s">
        <v>96</v>
      </c>
      <c r="J106" t="s">
        <v>212</v>
      </c>
      <c r="K106">
        <v>1.0819070776113837E-3</v>
      </c>
      <c r="L106" t="s">
        <v>84</v>
      </c>
      <c r="N106" t="s">
        <v>112</v>
      </c>
      <c r="O106" t="s">
        <v>212</v>
      </c>
      <c r="P106">
        <v>2.9596648586167736E-2</v>
      </c>
      <c r="Q106" t="s">
        <v>84</v>
      </c>
      <c r="S106" t="s">
        <v>127</v>
      </c>
      <c r="T106" t="s">
        <v>212</v>
      </c>
      <c r="U106">
        <v>2.5149234623461438E-2</v>
      </c>
      <c r="V106" t="s">
        <v>84</v>
      </c>
      <c r="AC106" t="s">
        <v>240</v>
      </c>
      <c r="AD106" t="s">
        <v>212</v>
      </c>
      <c r="AE106">
        <v>3.504832643552843E-2</v>
      </c>
      <c r="AK106">
        <v>2033</v>
      </c>
      <c r="AL106" t="s">
        <v>176</v>
      </c>
      <c r="AM106">
        <v>0.56835000000000002</v>
      </c>
      <c r="AN106" t="s">
        <v>168</v>
      </c>
    </row>
    <row r="107" spans="9:40" x14ac:dyDescent="0.45">
      <c r="I107" t="s">
        <v>97</v>
      </c>
      <c r="J107" t="s">
        <v>83</v>
      </c>
      <c r="K107">
        <v>9.2102711924524801E-3</v>
      </c>
      <c r="L107" t="s">
        <v>84</v>
      </c>
      <c r="N107" t="s">
        <v>113</v>
      </c>
      <c r="O107" t="s">
        <v>83</v>
      </c>
      <c r="P107">
        <v>2.7252826537809218E-2</v>
      </c>
      <c r="Q107" t="s">
        <v>84</v>
      </c>
      <c r="S107" t="s">
        <v>128</v>
      </c>
      <c r="T107" t="s">
        <v>83</v>
      </c>
      <c r="U107">
        <v>2.7072834220921597E-2</v>
      </c>
      <c r="V107" t="s">
        <v>84</v>
      </c>
      <c r="AK107">
        <v>2034</v>
      </c>
      <c r="AL107" t="s">
        <v>72</v>
      </c>
      <c r="AM107">
        <v>0.50349999999999995</v>
      </c>
      <c r="AN107" t="s">
        <v>168</v>
      </c>
    </row>
    <row r="108" spans="9:40" x14ac:dyDescent="0.45">
      <c r="I108" t="s">
        <v>97</v>
      </c>
      <c r="J108" t="s">
        <v>85</v>
      </c>
      <c r="K108">
        <v>4.1050953519614665E-2</v>
      </c>
      <c r="L108" t="s">
        <v>84</v>
      </c>
      <c r="N108" t="s">
        <v>113</v>
      </c>
      <c r="O108" t="s">
        <v>85</v>
      </c>
      <c r="P108">
        <v>1.6614597730509124E-2</v>
      </c>
      <c r="Q108" t="s">
        <v>84</v>
      </c>
      <c r="S108" t="s">
        <v>128</v>
      </c>
      <c r="T108" t="s">
        <v>85</v>
      </c>
      <c r="U108">
        <v>1.5266328368976642E-2</v>
      </c>
      <c r="V108" t="s">
        <v>84</v>
      </c>
      <c r="AK108">
        <v>2034</v>
      </c>
      <c r="AL108" t="s">
        <v>76</v>
      </c>
      <c r="AM108">
        <v>0.49840000000000001</v>
      </c>
      <c r="AN108" t="s">
        <v>168</v>
      </c>
    </row>
    <row r="109" spans="9:40" x14ac:dyDescent="0.45">
      <c r="I109" t="s">
        <v>97</v>
      </c>
      <c r="J109" t="s">
        <v>86</v>
      </c>
      <c r="K109">
        <v>6.9934590785569489E-2</v>
      </c>
      <c r="L109" t="s">
        <v>84</v>
      </c>
      <c r="N109" t="s">
        <v>113</v>
      </c>
      <c r="O109" t="s">
        <v>86</v>
      </c>
      <c r="P109">
        <v>2.6702116918147421E-2</v>
      </c>
      <c r="Q109" t="s">
        <v>84</v>
      </c>
      <c r="S109" t="s">
        <v>128</v>
      </c>
      <c r="T109" t="s">
        <v>86</v>
      </c>
      <c r="U109">
        <v>2.3446196801703914E-2</v>
      </c>
      <c r="V109" t="s">
        <v>84</v>
      </c>
      <c r="AK109">
        <v>2034</v>
      </c>
      <c r="AL109" t="s">
        <v>78</v>
      </c>
      <c r="AM109">
        <v>0.42399999999999999</v>
      </c>
      <c r="AN109" t="s">
        <v>168</v>
      </c>
    </row>
    <row r="110" spans="9:40" x14ac:dyDescent="0.45">
      <c r="I110" t="s">
        <v>97</v>
      </c>
      <c r="J110" t="s">
        <v>177</v>
      </c>
      <c r="K110">
        <v>8.8407027381123358E-3</v>
      </c>
      <c r="L110" t="s">
        <v>84</v>
      </c>
      <c r="N110" t="s">
        <v>113</v>
      </c>
      <c r="O110" t="s">
        <v>177</v>
      </c>
      <c r="P110">
        <v>4.6957658843603967E-3</v>
      </c>
      <c r="Q110" t="s">
        <v>84</v>
      </c>
      <c r="S110" t="s">
        <v>128</v>
      </c>
      <c r="T110" t="s">
        <v>177</v>
      </c>
      <c r="U110">
        <v>4.1387526357263499E-3</v>
      </c>
      <c r="V110" t="s">
        <v>84</v>
      </c>
      <c r="AK110">
        <v>2034</v>
      </c>
      <c r="AL110" t="s">
        <v>80</v>
      </c>
      <c r="AM110">
        <v>0.4763</v>
      </c>
      <c r="AN110" t="s">
        <v>168</v>
      </c>
    </row>
    <row r="111" spans="9:40" x14ac:dyDescent="0.45">
      <c r="I111" t="s">
        <v>97</v>
      </c>
      <c r="J111" t="s">
        <v>178</v>
      </c>
      <c r="K111">
        <v>6.578719552439322E-3</v>
      </c>
      <c r="L111" t="s">
        <v>84</v>
      </c>
      <c r="N111" t="s">
        <v>113</v>
      </c>
      <c r="O111" t="s">
        <v>178</v>
      </c>
      <c r="P111">
        <v>4.6544077180409316E-3</v>
      </c>
      <c r="Q111" t="s">
        <v>84</v>
      </c>
      <c r="S111" t="s">
        <v>128</v>
      </c>
      <c r="T111" t="s">
        <v>178</v>
      </c>
      <c r="U111">
        <v>4.2149223076914178E-3</v>
      </c>
      <c r="V111" t="s">
        <v>84</v>
      </c>
      <c r="AK111">
        <v>2034</v>
      </c>
      <c r="AL111" t="s">
        <v>171</v>
      </c>
      <c r="AM111">
        <v>0.495</v>
      </c>
      <c r="AN111" t="s">
        <v>168</v>
      </c>
    </row>
    <row r="112" spans="9:40" x14ac:dyDescent="0.45">
      <c r="I112" t="s">
        <v>97</v>
      </c>
      <c r="J112" t="s">
        <v>179</v>
      </c>
      <c r="K112">
        <v>1.9026290578419258E-3</v>
      </c>
      <c r="L112" t="s">
        <v>84</v>
      </c>
      <c r="N112" t="s">
        <v>113</v>
      </c>
      <c r="O112" t="s">
        <v>179</v>
      </c>
      <c r="P112">
        <v>2.1829564779610625E-2</v>
      </c>
      <c r="Q112" t="s">
        <v>84</v>
      </c>
      <c r="S112" t="s">
        <v>128</v>
      </c>
      <c r="T112" t="s">
        <v>179</v>
      </c>
      <c r="U112">
        <v>2.0703984880846505E-2</v>
      </c>
      <c r="V112" t="s">
        <v>84</v>
      </c>
      <c r="AK112">
        <v>2034</v>
      </c>
      <c r="AL112" t="s">
        <v>173</v>
      </c>
      <c r="AM112">
        <v>0.53783333333333327</v>
      </c>
      <c r="AN112" t="s">
        <v>168</v>
      </c>
    </row>
    <row r="113" spans="9:40" x14ac:dyDescent="0.45">
      <c r="I113" t="s">
        <v>97</v>
      </c>
      <c r="J113" t="s">
        <v>87</v>
      </c>
      <c r="K113">
        <v>4.8534997320340686E-3</v>
      </c>
      <c r="L113" t="s">
        <v>84</v>
      </c>
      <c r="N113" t="s">
        <v>113</v>
      </c>
      <c r="O113" t="s">
        <v>87</v>
      </c>
      <c r="P113">
        <v>1.5711083563746338E-2</v>
      </c>
      <c r="Q113" t="s">
        <v>84</v>
      </c>
      <c r="S113" t="s">
        <v>128</v>
      </c>
      <c r="T113" t="s">
        <v>87</v>
      </c>
      <c r="U113">
        <v>1.9874230975901089E-2</v>
      </c>
      <c r="V113" t="s">
        <v>84</v>
      </c>
      <c r="AK113">
        <v>2034</v>
      </c>
      <c r="AL113" t="s">
        <v>175</v>
      </c>
      <c r="AM113">
        <v>0.55210000000000004</v>
      </c>
      <c r="AN113" t="s">
        <v>168</v>
      </c>
    </row>
    <row r="114" spans="9:40" x14ac:dyDescent="0.45">
      <c r="I114" t="s">
        <v>97</v>
      </c>
      <c r="J114" t="s">
        <v>88</v>
      </c>
      <c r="K114">
        <v>3.5109743201726502E-2</v>
      </c>
      <c r="L114" t="s">
        <v>84</v>
      </c>
      <c r="N114" t="s">
        <v>113</v>
      </c>
      <c r="O114" t="s">
        <v>88</v>
      </c>
      <c r="P114">
        <v>9.9557976723854223E-3</v>
      </c>
      <c r="Q114" t="s">
        <v>84</v>
      </c>
      <c r="S114" t="s">
        <v>128</v>
      </c>
      <c r="T114" t="s">
        <v>88</v>
      </c>
      <c r="U114">
        <v>1.2495781482139619E-2</v>
      </c>
      <c r="V114" t="s">
        <v>84</v>
      </c>
      <c r="AK114">
        <v>2034</v>
      </c>
      <c r="AL114" t="s">
        <v>176</v>
      </c>
      <c r="AM114">
        <v>0.49629999999999996</v>
      </c>
      <c r="AN114" t="s">
        <v>168</v>
      </c>
    </row>
    <row r="115" spans="9:40" x14ac:dyDescent="0.45">
      <c r="I115" t="s">
        <v>97</v>
      </c>
      <c r="J115" t="s">
        <v>89</v>
      </c>
      <c r="K115">
        <v>6.0202868656817218E-2</v>
      </c>
      <c r="L115" t="s">
        <v>84</v>
      </c>
      <c r="N115" t="s">
        <v>113</v>
      </c>
      <c r="O115" t="s">
        <v>89</v>
      </c>
      <c r="P115">
        <v>1.5590799680582003E-2</v>
      </c>
      <c r="Q115" t="s">
        <v>84</v>
      </c>
      <c r="S115" t="s">
        <v>128</v>
      </c>
      <c r="T115" t="s">
        <v>89</v>
      </c>
      <c r="U115">
        <v>1.7900631935140621E-2</v>
      </c>
      <c r="V115" t="s">
        <v>84</v>
      </c>
      <c r="AK115">
        <v>2035</v>
      </c>
      <c r="AL115" t="s">
        <v>72</v>
      </c>
      <c r="AM115">
        <v>0.50539999999999996</v>
      </c>
      <c r="AN115" t="s">
        <v>168</v>
      </c>
    </row>
    <row r="116" spans="9:40" x14ac:dyDescent="0.45">
      <c r="I116" t="s">
        <v>97</v>
      </c>
      <c r="J116" t="s">
        <v>180</v>
      </c>
      <c r="K116">
        <v>7.890831182289745E-3</v>
      </c>
      <c r="L116" t="s">
        <v>84</v>
      </c>
      <c r="N116" t="s">
        <v>113</v>
      </c>
      <c r="O116" t="s">
        <v>180</v>
      </c>
      <c r="P116">
        <v>2.9185946736372727E-3</v>
      </c>
      <c r="Q116" t="s">
        <v>84</v>
      </c>
      <c r="S116" t="s">
        <v>128</v>
      </c>
      <c r="T116" t="s">
        <v>180</v>
      </c>
      <c r="U116">
        <v>2.9428778324078813E-3</v>
      </c>
      <c r="V116" t="s">
        <v>84</v>
      </c>
      <c r="AK116">
        <v>2035</v>
      </c>
      <c r="AL116" t="s">
        <v>76</v>
      </c>
      <c r="AM116">
        <v>0.57240000000000002</v>
      </c>
      <c r="AN116" t="s">
        <v>168</v>
      </c>
    </row>
    <row r="117" spans="9:40" x14ac:dyDescent="0.45">
      <c r="I117" t="s">
        <v>97</v>
      </c>
      <c r="J117" t="s">
        <v>181</v>
      </c>
      <c r="K117">
        <v>5.4523811081887454E-3</v>
      </c>
      <c r="L117" t="s">
        <v>84</v>
      </c>
      <c r="N117" t="s">
        <v>113</v>
      </c>
      <c r="O117" t="s">
        <v>181</v>
      </c>
      <c r="P117">
        <v>2.873679648135819E-3</v>
      </c>
      <c r="Q117" t="s">
        <v>84</v>
      </c>
      <c r="S117" t="s">
        <v>128</v>
      </c>
      <c r="T117" t="s">
        <v>181</v>
      </c>
      <c r="U117">
        <v>2.9557626130989056E-3</v>
      </c>
      <c r="V117" t="s">
        <v>84</v>
      </c>
      <c r="AK117">
        <v>2035</v>
      </c>
      <c r="AL117" t="s">
        <v>78</v>
      </c>
      <c r="AM117">
        <v>0.55720000000000003</v>
      </c>
      <c r="AN117" t="s">
        <v>168</v>
      </c>
    </row>
    <row r="118" spans="9:40" x14ac:dyDescent="0.45">
      <c r="I118" t="s">
        <v>97</v>
      </c>
      <c r="J118" t="s">
        <v>182</v>
      </c>
      <c r="K118">
        <v>0</v>
      </c>
      <c r="L118" t="s">
        <v>84</v>
      </c>
      <c r="N118" t="s">
        <v>113</v>
      </c>
      <c r="O118" t="s">
        <v>182</v>
      </c>
      <c r="P118">
        <v>1.2231943349907046E-2</v>
      </c>
      <c r="Q118" t="s">
        <v>84</v>
      </c>
      <c r="S118" t="s">
        <v>128</v>
      </c>
      <c r="T118" t="s">
        <v>182</v>
      </c>
      <c r="U118">
        <v>1.3925452167574426E-2</v>
      </c>
      <c r="V118" t="s">
        <v>84</v>
      </c>
      <c r="AK118">
        <v>2035</v>
      </c>
      <c r="AL118" t="s">
        <v>80</v>
      </c>
      <c r="AM118">
        <v>0.53374999999999995</v>
      </c>
      <c r="AN118" t="s">
        <v>168</v>
      </c>
    </row>
    <row r="119" spans="9:40" x14ac:dyDescent="0.45">
      <c r="I119" t="s">
        <v>97</v>
      </c>
      <c r="J119" t="s">
        <v>90</v>
      </c>
      <c r="K119">
        <v>3.3306356076633933E-3</v>
      </c>
      <c r="L119" t="s">
        <v>84</v>
      </c>
      <c r="N119" t="s">
        <v>113</v>
      </c>
      <c r="O119" t="s">
        <v>90</v>
      </c>
      <c r="P119">
        <v>1.6364913025833046E-2</v>
      </c>
      <c r="Q119" t="s">
        <v>84</v>
      </c>
      <c r="S119" t="s">
        <v>128</v>
      </c>
      <c r="T119" t="s">
        <v>90</v>
      </c>
      <c r="U119">
        <v>2.141091869781275E-2</v>
      </c>
      <c r="V119" t="s">
        <v>84</v>
      </c>
      <c r="AK119">
        <v>2035</v>
      </c>
      <c r="AL119" t="s">
        <v>171</v>
      </c>
      <c r="AM119">
        <v>0.60260000000000002</v>
      </c>
      <c r="AN119" t="s">
        <v>168</v>
      </c>
    </row>
    <row r="120" spans="9:40" x14ac:dyDescent="0.45">
      <c r="I120" t="s">
        <v>97</v>
      </c>
      <c r="J120" t="s">
        <v>91</v>
      </c>
      <c r="K120">
        <v>3.2437984675639443E-2</v>
      </c>
      <c r="L120" t="s">
        <v>84</v>
      </c>
      <c r="N120" t="s">
        <v>113</v>
      </c>
      <c r="O120" t="s">
        <v>91</v>
      </c>
      <c r="P120">
        <v>9.6086188550877083E-3</v>
      </c>
      <c r="Q120" t="s">
        <v>84</v>
      </c>
      <c r="S120" t="s">
        <v>128</v>
      </c>
      <c r="T120" t="s">
        <v>91</v>
      </c>
      <c r="U120">
        <v>1.3172925196087365E-2</v>
      </c>
      <c r="V120" t="s">
        <v>84</v>
      </c>
      <c r="AK120">
        <v>2035</v>
      </c>
      <c r="AL120" t="s">
        <v>173</v>
      </c>
      <c r="AM120">
        <v>0.62950000000000006</v>
      </c>
      <c r="AN120" t="s">
        <v>168</v>
      </c>
    </row>
    <row r="121" spans="9:40" x14ac:dyDescent="0.45">
      <c r="I121" t="s">
        <v>97</v>
      </c>
      <c r="J121" t="s">
        <v>92</v>
      </c>
      <c r="K121">
        <v>5.3501274068615538E-2</v>
      </c>
      <c r="L121" t="s">
        <v>84</v>
      </c>
      <c r="N121" t="s">
        <v>113</v>
      </c>
      <c r="O121" t="s">
        <v>92</v>
      </c>
      <c r="P121">
        <v>1.5978069950418158E-2</v>
      </c>
      <c r="Q121" t="s">
        <v>84</v>
      </c>
      <c r="S121" t="s">
        <v>128</v>
      </c>
      <c r="T121" t="s">
        <v>92</v>
      </c>
      <c r="U121">
        <v>2.0246810761676056E-2</v>
      </c>
      <c r="V121" t="s">
        <v>84</v>
      </c>
      <c r="AK121">
        <v>2035</v>
      </c>
      <c r="AL121" t="s">
        <v>175</v>
      </c>
      <c r="AM121">
        <v>0.6139</v>
      </c>
      <c r="AN121" t="s">
        <v>168</v>
      </c>
    </row>
    <row r="122" spans="9:40" x14ac:dyDescent="0.45">
      <c r="I122" t="s">
        <v>97</v>
      </c>
      <c r="J122" t="s">
        <v>183</v>
      </c>
      <c r="K122">
        <v>6.244183501480924E-3</v>
      </c>
      <c r="L122" t="s">
        <v>84</v>
      </c>
      <c r="N122" t="s">
        <v>113</v>
      </c>
      <c r="O122" t="s">
        <v>183</v>
      </c>
      <c r="P122">
        <v>3.0183687205830199E-3</v>
      </c>
      <c r="Q122" t="s">
        <v>84</v>
      </c>
      <c r="S122" t="s">
        <v>128</v>
      </c>
      <c r="T122" t="s">
        <v>183</v>
      </c>
      <c r="U122">
        <v>3.5816672446215788E-3</v>
      </c>
      <c r="V122" t="s">
        <v>84</v>
      </c>
      <c r="AK122">
        <v>2035</v>
      </c>
      <c r="AL122" t="s">
        <v>176</v>
      </c>
      <c r="AM122">
        <v>0.60055000000000003</v>
      </c>
      <c r="AN122" t="s">
        <v>168</v>
      </c>
    </row>
    <row r="123" spans="9:40" x14ac:dyDescent="0.45">
      <c r="I123" t="s">
        <v>97</v>
      </c>
      <c r="J123" t="s">
        <v>184</v>
      </c>
      <c r="K123">
        <v>2.4684788440562113E-3</v>
      </c>
      <c r="L123" t="s">
        <v>84</v>
      </c>
      <c r="N123" t="s">
        <v>113</v>
      </c>
      <c r="O123" t="s">
        <v>184</v>
      </c>
      <c r="P123">
        <v>2.9981109503593711E-3</v>
      </c>
      <c r="Q123" t="s">
        <v>84</v>
      </c>
      <c r="S123" t="s">
        <v>128</v>
      </c>
      <c r="T123" t="s">
        <v>184</v>
      </c>
      <c r="U123">
        <v>3.5496931278383962E-3</v>
      </c>
      <c r="V123" t="s">
        <v>84</v>
      </c>
      <c r="AK123">
        <v>2036</v>
      </c>
      <c r="AL123" t="s">
        <v>72</v>
      </c>
      <c r="AM123">
        <v>0.55369999999999997</v>
      </c>
      <c r="AN123" t="s">
        <v>168</v>
      </c>
    </row>
    <row r="124" spans="9:40" x14ac:dyDescent="0.45">
      <c r="I124" t="s">
        <v>97</v>
      </c>
      <c r="J124" t="s">
        <v>185</v>
      </c>
      <c r="K124">
        <v>0</v>
      </c>
      <c r="L124" t="s">
        <v>84</v>
      </c>
      <c r="N124" t="s">
        <v>113</v>
      </c>
      <c r="O124" t="s">
        <v>185</v>
      </c>
      <c r="P124">
        <v>1.3403099769151354E-2</v>
      </c>
      <c r="Q124" t="s">
        <v>84</v>
      </c>
      <c r="S124" t="s">
        <v>128</v>
      </c>
      <c r="T124" t="s">
        <v>185</v>
      </c>
      <c r="U124">
        <v>1.6698319884334716E-2</v>
      </c>
      <c r="V124" t="s">
        <v>84</v>
      </c>
      <c r="AK124">
        <v>2036</v>
      </c>
      <c r="AL124" t="s">
        <v>76</v>
      </c>
      <c r="AM124">
        <v>0.53100000000000003</v>
      </c>
      <c r="AN124" t="s">
        <v>168</v>
      </c>
    </row>
    <row r="125" spans="9:40" x14ac:dyDescent="0.45">
      <c r="I125" t="s">
        <v>97</v>
      </c>
      <c r="J125" t="s">
        <v>93</v>
      </c>
      <c r="K125">
        <v>0</v>
      </c>
      <c r="L125" t="s">
        <v>84</v>
      </c>
      <c r="N125" t="s">
        <v>113</v>
      </c>
      <c r="O125" t="s">
        <v>93</v>
      </c>
      <c r="P125">
        <v>4.5902471811865297E-2</v>
      </c>
      <c r="Q125" t="s">
        <v>84</v>
      </c>
      <c r="S125" t="s">
        <v>128</v>
      </c>
      <c r="T125" t="s">
        <v>93</v>
      </c>
      <c r="U125">
        <v>4.8523993853621342E-2</v>
      </c>
      <c r="V125" t="s">
        <v>84</v>
      </c>
      <c r="AK125">
        <v>2036</v>
      </c>
      <c r="AL125" t="s">
        <v>78</v>
      </c>
      <c r="AM125">
        <v>0.47049999999999997</v>
      </c>
      <c r="AN125" t="s">
        <v>168</v>
      </c>
    </row>
    <row r="126" spans="9:40" x14ac:dyDescent="0.45">
      <c r="I126" t="s">
        <v>97</v>
      </c>
      <c r="J126" t="s">
        <v>94</v>
      </c>
      <c r="K126">
        <v>3.7545137099075539E-2</v>
      </c>
      <c r="L126" t="s">
        <v>84</v>
      </c>
      <c r="N126" t="s">
        <v>113</v>
      </c>
      <c r="O126" t="s">
        <v>94</v>
      </c>
      <c r="P126">
        <v>2.3530301867670071E-2</v>
      </c>
      <c r="Q126" t="s">
        <v>84</v>
      </c>
      <c r="S126" t="s">
        <v>128</v>
      </c>
      <c r="T126" t="s">
        <v>94</v>
      </c>
      <c r="U126">
        <v>2.6998021825956273E-2</v>
      </c>
      <c r="V126" t="s">
        <v>84</v>
      </c>
      <c r="AK126">
        <v>2036</v>
      </c>
      <c r="AL126" t="s">
        <v>80</v>
      </c>
      <c r="AM126">
        <v>0.51100000000000001</v>
      </c>
      <c r="AN126" t="s">
        <v>168</v>
      </c>
    </row>
    <row r="127" spans="9:40" x14ac:dyDescent="0.45">
      <c r="I127" t="s">
        <v>97</v>
      </c>
      <c r="J127" t="s">
        <v>95</v>
      </c>
      <c r="K127">
        <v>6.3998786029758212E-2</v>
      </c>
      <c r="L127" t="s">
        <v>84</v>
      </c>
      <c r="N127" t="s">
        <v>113</v>
      </c>
      <c r="O127" t="s">
        <v>95</v>
      </c>
      <c r="P127">
        <v>4.0863467259062924E-2</v>
      </c>
      <c r="Q127" t="s">
        <v>84</v>
      </c>
      <c r="S127" t="s">
        <v>128</v>
      </c>
      <c r="T127" t="s">
        <v>95</v>
      </c>
      <c r="U127">
        <v>4.2467172687827369E-2</v>
      </c>
      <c r="V127" t="s">
        <v>84</v>
      </c>
      <c r="AK127">
        <v>2036</v>
      </c>
      <c r="AL127" t="s">
        <v>171</v>
      </c>
      <c r="AM127">
        <v>0.5716</v>
      </c>
      <c r="AN127" t="s">
        <v>168</v>
      </c>
    </row>
    <row r="128" spans="9:40" x14ac:dyDescent="0.45">
      <c r="I128" t="s">
        <v>97</v>
      </c>
      <c r="J128" t="s">
        <v>186</v>
      </c>
      <c r="K128">
        <v>3.117624891636805E-3</v>
      </c>
      <c r="L128" t="s">
        <v>84</v>
      </c>
      <c r="N128" t="s">
        <v>113</v>
      </c>
      <c r="O128" t="s">
        <v>186</v>
      </c>
      <c r="P128">
        <v>6.7786858604049153E-3</v>
      </c>
      <c r="Q128" t="s">
        <v>84</v>
      </c>
      <c r="S128" t="s">
        <v>128</v>
      </c>
      <c r="T128" t="s">
        <v>186</v>
      </c>
      <c r="U128">
        <v>6.7705992160926043E-3</v>
      </c>
      <c r="V128" t="s">
        <v>84</v>
      </c>
      <c r="AK128">
        <v>2036</v>
      </c>
      <c r="AL128" t="s">
        <v>173</v>
      </c>
      <c r="AM128">
        <v>0.64613333333333334</v>
      </c>
      <c r="AN128" t="s">
        <v>168</v>
      </c>
    </row>
    <row r="129" spans="9:40" x14ac:dyDescent="0.45">
      <c r="I129" t="s">
        <v>97</v>
      </c>
      <c r="J129" t="s">
        <v>187</v>
      </c>
      <c r="K129">
        <v>0</v>
      </c>
      <c r="L129" t="s">
        <v>84</v>
      </c>
      <c r="N129" t="s">
        <v>113</v>
      </c>
      <c r="O129" t="s">
        <v>187</v>
      </c>
      <c r="P129">
        <v>6.7149543242297624E-3</v>
      </c>
      <c r="Q129" t="s">
        <v>84</v>
      </c>
      <c r="S129" t="s">
        <v>128</v>
      </c>
      <c r="T129" t="s">
        <v>187</v>
      </c>
      <c r="U129">
        <v>6.5640969205077474E-3</v>
      </c>
      <c r="V129" t="s">
        <v>84</v>
      </c>
      <c r="AK129">
        <v>2036</v>
      </c>
      <c r="AL129" t="s">
        <v>175</v>
      </c>
      <c r="AM129">
        <v>0.60499999999999998</v>
      </c>
      <c r="AN129" t="s">
        <v>168</v>
      </c>
    </row>
    <row r="130" spans="9:40" x14ac:dyDescent="0.45">
      <c r="I130" t="s">
        <v>97</v>
      </c>
      <c r="J130" t="s">
        <v>188</v>
      </c>
      <c r="K130">
        <v>0</v>
      </c>
      <c r="L130" t="s">
        <v>84</v>
      </c>
      <c r="N130" t="s">
        <v>113</v>
      </c>
      <c r="O130" t="s">
        <v>188</v>
      </c>
      <c r="P130">
        <v>3.3402123393989624E-2</v>
      </c>
      <c r="Q130" t="s">
        <v>84</v>
      </c>
      <c r="S130" t="s">
        <v>128</v>
      </c>
      <c r="T130" t="s">
        <v>188</v>
      </c>
      <c r="U130">
        <v>3.2127331162418012E-2</v>
      </c>
      <c r="V130" t="s">
        <v>84</v>
      </c>
      <c r="AK130">
        <v>2036</v>
      </c>
      <c r="AL130" t="s">
        <v>176</v>
      </c>
      <c r="AM130">
        <v>0.58830000000000005</v>
      </c>
      <c r="AN130" t="s">
        <v>168</v>
      </c>
    </row>
    <row r="131" spans="9:40" x14ac:dyDescent="0.45">
      <c r="I131" t="s">
        <v>97</v>
      </c>
      <c r="J131" t="s">
        <v>189</v>
      </c>
      <c r="K131">
        <v>0</v>
      </c>
      <c r="L131" t="s">
        <v>84</v>
      </c>
      <c r="N131" t="s">
        <v>113</v>
      </c>
      <c r="O131" t="s">
        <v>189</v>
      </c>
      <c r="P131">
        <v>2.8348131347107331E-2</v>
      </c>
      <c r="Q131" t="s">
        <v>84</v>
      </c>
      <c r="S131" t="s">
        <v>128</v>
      </c>
      <c r="T131" t="s">
        <v>189</v>
      </c>
      <c r="U131">
        <v>2.9868125660650207E-2</v>
      </c>
      <c r="V131" t="s">
        <v>84</v>
      </c>
      <c r="AK131">
        <v>2037</v>
      </c>
      <c r="AL131" t="s">
        <v>72</v>
      </c>
      <c r="AM131">
        <v>0.3775</v>
      </c>
      <c r="AN131" t="s">
        <v>168</v>
      </c>
    </row>
    <row r="132" spans="9:40" x14ac:dyDescent="0.45">
      <c r="I132" t="s">
        <v>97</v>
      </c>
      <c r="J132" t="s">
        <v>190</v>
      </c>
      <c r="K132">
        <v>9.6984735435570891E-3</v>
      </c>
      <c r="L132" t="s">
        <v>84</v>
      </c>
      <c r="N132" t="s">
        <v>113</v>
      </c>
      <c r="O132" t="s">
        <v>190</v>
      </c>
      <c r="P132">
        <v>1.5404522905097556E-2</v>
      </c>
      <c r="Q132" t="s">
        <v>84</v>
      </c>
      <c r="S132" t="s">
        <v>128</v>
      </c>
      <c r="T132" t="s">
        <v>190</v>
      </c>
      <c r="U132">
        <v>1.7307674149033881E-2</v>
      </c>
      <c r="V132" t="s">
        <v>84</v>
      </c>
      <c r="AK132">
        <v>2037</v>
      </c>
      <c r="AL132" t="s">
        <v>76</v>
      </c>
      <c r="AM132">
        <v>0.44130000000000003</v>
      </c>
      <c r="AN132" t="s">
        <v>168</v>
      </c>
    </row>
    <row r="133" spans="9:40" x14ac:dyDescent="0.45">
      <c r="I133" t="s">
        <v>97</v>
      </c>
      <c r="J133" t="s">
        <v>191</v>
      </c>
      <c r="K133">
        <v>2.0493116930755208E-2</v>
      </c>
      <c r="L133" t="s">
        <v>84</v>
      </c>
      <c r="N133" t="s">
        <v>113</v>
      </c>
      <c r="O133" t="s">
        <v>191</v>
      </c>
      <c r="P133">
        <v>2.4795557654696633E-2</v>
      </c>
      <c r="Q133" t="s">
        <v>84</v>
      </c>
      <c r="S133" t="s">
        <v>128</v>
      </c>
      <c r="T133" t="s">
        <v>191</v>
      </c>
      <c r="U133">
        <v>2.5736364185520579E-2</v>
      </c>
      <c r="V133" t="s">
        <v>84</v>
      </c>
      <c r="AK133">
        <v>2037</v>
      </c>
      <c r="AL133" t="s">
        <v>78</v>
      </c>
      <c r="AM133">
        <v>0.39560000000000001</v>
      </c>
      <c r="AN133" t="s">
        <v>168</v>
      </c>
    </row>
    <row r="134" spans="9:40" x14ac:dyDescent="0.45">
      <c r="I134" t="s">
        <v>97</v>
      </c>
      <c r="J134" t="s">
        <v>192</v>
      </c>
      <c r="K134">
        <v>0</v>
      </c>
      <c r="L134" t="s">
        <v>84</v>
      </c>
      <c r="N134" t="s">
        <v>113</v>
      </c>
      <c r="O134" t="s">
        <v>192</v>
      </c>
      <c r="P134">
        <v>4.0287692821682451E-3</v>
      </c>
      <c r="Q134" t="s">
        <v>84</v>
      </c>
      <c r="S134" t="s">
        <v>128</v>
      </c>
      <c r="T134" t="s">
        <v>192</v>
      </c>
      <c r="U134">
        <v>4.1753514935250679E-3</v>
      </c>
      <c r="V134" t="s">
        <v>84</v>
      </c>
      <c r="AK134">
        <v>2037</v>
      </c>
      <c r="AL134" t="s">
        <v>80</v>
      </c>
      <c r="AM134">
        <v>0.41000000000000003</v>
      </c>
      <c r="AN134" t="s">
        <v>168</v>
      </c>
    </row>
    <row r="135" spans="9:40" x14ac:dyDescent="0.45">
      <c r="I135" t="s">
        <v>97</v>
      </c>
      <c r="J135" t="s">
        <v>193</v>
      </c>
      <c r="K135">
        <v>0</v>
      </c>
      <c r="L135" t="s">
        <v>84</v>
      </c>
      <c r="N135" t="s">
        <v>113</v>
      </c>
      <c r="O135" t="s">
        <v>193</v>
      </c>
      <c r="P135">
        <v>4.0028156298539709E-3</v>
      </c>
      <c r="Q135" t="s">
        <v>84</v>
      </c>
      <c r="S135" t="s">
        <v>128</v>
      </c>
      <c r="T135" t="s">
        <v>193</v>
      </c>
      <c r="U135">
        <v>4.1325409209915249E-3</v>
      </c>
      <c r="V135" t="s">
        <v>84</v>
      </c>
      <c r="AK135">
        <v>2037</v>
      </c>
      <c r="AL135" t="s">
        <v>171</v>
      </c>
      <c r="AM135">
        <v>0.4204</v>
      </c>
      <c r="AN135" t="s">
        <v>168</v>
      </c>
    </row>
    <row r="136" spans="9:40" x14ac:dyDescent="0.45">
      <c r="I136" t="s">
        <v>97</v>
      </c>
      <c r="J136" t="s">
        <v>194</v>
      </c>
      <c r="K136">
        <v>0</v>
      </c>
      <c r="L136" t="s">
        <v>84</v>
      </c>
      <c r="N136" t="s">
        <v>113</v>
      </c>
      <c r="O136" t="s">
        <v>194</v>
      </c>
      <c r="P136">
        <v>1.9440184681638922E-2</v>
      </c>
      <c r="Q136" t="s">
        <v>84</v>
      </c>
      <c r="S136" t="s">
        <v>128</v>
      </c>
      <c r="T136" t="s">
        <v>194</v>
      </c>
      <c r="U136">
        <v>2.0484286553762547E-2</v>
      </c>
      <c r="V136" t="s">
        <v>84</v>
      </c>
      <c r="AK136">
        <v>2037</v>
      </c>
      <c r="AL136" t="s">
        <v>173</v>
      </c>
      <c r="AM136">
        <v>0.45569999999999999</v>
      </c>
      <c r="AN136" t="s">
        <v>168</v>
      </c>
    </row>
    <row r="137" spans="9:40" x14ac:dyDescent="0.45">
      <c r="I137" t="s">
        <v>97</v>
      </c>
      <c r="J137" t="s">
        <v>195</v>
      </c>
      <c r="K137">
        <v>1.4742790685089886E-3</v>
      </c>
      <c r="L137" t="s">
        <v>84</v>
      </c>
      <c r="N137" t="s">
        <v>113</v>
      </c>
      <c r="O137" t="s">
        <v>195</v>
      </c>
      <c r="P137">
        <v>8.7496673510031694E-2</v>
      </c>
      <c r="Q137" t="s">
        <v>84</v>
      </c>
      <c r="S137" t="s">
        <v>128</v>
      </c>
      <c r="T137" t="s">
        <v>195</v>
      </c>
      <c r="U137">
        <v>8.585476419620465E-2</v>
      </c>
      <c r="V137" t="s">
        <v>84</v>
      </c>
      <c r="AK137">
        <v>2037</v>
      </c>
      <c r="AL137" t="s">
        <v>175</v>
      </c>
      <c r="AM137">
        <v>0.46860000000000002</v>
      </c>
      <c r="AN137" t="s">
        <v>168</v>
      </c>
    </row>
    <row r="138" spans="9:40" x14ac:dyDescent="0.45">
      <c r="I138" t="s">
        <v>97</v>
      </c>
      <c r="J138" t="s">
        <v>196</v>
      </c>
      <c r="K138">
        <v>5.3912158547294718E-2</v>
      </c>
      <c r="L138" t="s">
        <v>84</v>
      </c>
      <c r="N138" t="s">
        <v>113</v>
      </c>
      <c r="O138" t="s">
        <v>196</v>
      </c>
      <c r="P138">
        <v>4.7751715128503798E-2</v>
      </c>
      <c r="Q138" t="s">
        <v>84</v>
      </c>
      <c r="S138" t="s">
        <v>128</v>
      </c>
      <c r="T138" t="s">
        <v>196</v>
      </c>
      <c r="U138">
        <v>4.8021962778450888E-2</v>
      </c>
      <c r="V138" t="s">
        <v>84</v>
      </c>
      <c r="AK138">
        <v>2037</v>
      </c>
      <c r="AL138" t="s">
        <v>176</v>
      </c>
      <c r="AM138">
        <v>0.44240000000000002</v>
      </c>
      <c r="AN138" t="s">
        <v>168</v>
      </c>
    </row>
    <row r="139" spans="9:40" x14ac:dyDescent="0.45">
      <c r="I139" t="s">
        <v>97</v>
      </c>
      <c r="J139" t="s">
        <v>197</v>
      </c>
      <c r="K139">
        <v>9.6317784025762299E-2</v>
      </c>
      <c r="L139" t="s">
        <v>84</v>
      </c>
      <c r="N139" t="s">
        <v>113</v>
      </c>
      <c r="O139" t="s">
        <v>197</v>
      </c>
      <c r="P139">
        <v>7.7399095354675693E-2</v>
      </c>
      <c r="Q139" t="s">
        <v>84</v>
      </c>
      <c r="S139" t="s">
        <v>128</v>
      </c>
      <c r="T139" t="s">
        <v>197</v>
      </c>
      <c r="U139">
        <v>7.6704701512730913E-2</v>
      </c>
      <c r="V139" t="s">
        <v>84</v>
      </c>
      <c r="AK139">
        <v>2038</v>
      </c>
      <c r="AL139" t="s">
        <v>72</v>
      </c>
      <c r="AM139">
        <v>0.54530000000000001</v>
      </c>
      <c r="AN139" t="s">
        <v>168</v>
      </c>
    </row>
    <row r="140" spans="9:40" x14ac:dyDescent="0.45">
      <c r="I140" t="s">
        <v>97</v>
      </c>
      <c r="J140" t="s">
        <v>198</v>
      </c>
      <c r="K140">
        <v>5.7507873107750362E-3</v>
      </c>
      <c r="L140" t="s">
        <v>84</v>
      </c>
      <c r="N140" t="s">
        <v>113</v>
      </c>
      <c r="O140" t="s">
        <v>198</v>
      </c>
      <c r="P140">
        <v>1.2298230163012463E-2</v>
      </c>
      <c r="Q140" t="s">
        <v>84</v>
      </c>
      <c r="S140" t="s">
        <v>128</v>
      </c>
      <c r="T140" t="s">
        <v>198</v>
      </c>
      <c r="U140">
        <v>1.3132721788333402E-2</v>
      </c>
      <c r="V140" t="s">
        <v>84</v>
      </c>
      <c r="AK140">
        <v>2038</v>
      </c>
      <c r="AL140" t="s">
        <v>76</v>
      </c>
      <c r="AM140">
        <v>0.55520000000000003</v>
      </c>
      <c r="AN140" t="s">
        <v>168</v>
      </c>
    </row>
    <row r="141" spans="9:40" x14ac:dyDescent="0.45">
      <c r="I141" t="s">
        <v>97</v>
      </c>
      <c r="J141" t="s">
        <v>199</v>
      </c>
      <c r="K141">
        <v>0</v>
      </c>
      <c r="L141" t="s">
        <v>84</v>
      </c>
      <c r="N141" t="s">
        <v>113</v>
      </c>
      <c r="O141" t="s">
        <v>199</v>
      </c>
      <c r="P141">
        <v>1.2135316426031014E-2</v>
      </c>
      <c r="Q141" t="s">
        <v>84</v>
      </c>
      <c r="S141" t="s">
        <v>128</v>
      </c>
      <c r="T141" t="s">
        <v>199</v>
      </c>
      <c r="U141">
        <v>1.3043230480633321E-2</v>
      </c>
      <c r="V141" t="s">
        <v>84</v>
      </c>
      <c r="AK141">
        <v>2038</v>
      </c>
      <c r="AL141" t="s">
        <v>78</v>
      </c>
      <c r="AM141">
        <v>0.4753</v>
      </c>
      <c r="AN141" t="s">
        <v>168</v>
      </c>
    </row>
    <row r="142" spans="9:40" x14ac:dyDescent="0.45">
      <c r="I142" t="s">
        <v>97</v>
      </c>
      <c r="J142" t="s">
        <v>200</v>
      </c>
      <c r="K142">
        <v>0</v>
      </c>
      <c r="L142" t="s">
        <v>84</v>
      </c>
      <c r="N142" t="s">
        <v>113</v>
      </c>
      <c r="O142" t="s">
        <v>200</v>
      </c>
      <c r="P142">
        <v>6.2120124012242713E-2</v>
      </c>
      <c r="Q142" t="s">
        <v>84</v>
      </c>
      <c r="S142" t="s">
        <v>128</v>
      </c>
      <c r="T142" t="s">
        <v>200</v>
      </c>
      <c r="U142">
        <v>6.3506374289776346E-2</v>
      </c>
      <c r="V142" t="s">
        <v>84</v>
      </c>
      <c r="AK142">
        <v>2038</v>
      </c>
      <c r="AL142" t="s">
        <v>80</v>
      </c>
      <c r="AM142">
        <v>0.54735</v>
      </c>
      <c r="AN142" t="s">
        <v>168</v>
      </c>
    </row>
    <row r="143" spans="9:40" x14ac:dyDescent="0.45">
      <c r="I143" t="s">
        <v>97</v>
      </c>
      <c r="J143" t="s">
        <v>201</v>
      </c>
      <c r="K143">
        <v>6.9088655033801719E-3</v>
      </c>
      <c r="L143" t="s">
        <v>84</v>
      </c>
      <c r="N143" t="s">
        <v>113</v>
      </c>
      <c r="O143" t="s">
        <v>201</v>
      </c>
      <c r="P143">
        <v>2.4985811142429967E-2</v>
      </c>
      <c r="Q143" t="s">
        <v>84</v>
      </c>
      <c r="S143" t="s">
        <v>128</v>
      </c>
      <c r="T143" t="s">
        <v>201</v>
      </c>
      <c r="U143">
        <v>2.2645731601117252E-2</v>
      </c>
      <c r="V143" t="s">
        <v>84</v>
      </c>
      <c r="AK143">
        <v>2038</v>
      </c>
      <c r="AL143" t="s">
        <v>171</v>
      </c>
      <c r="AM143">
        <v>0.66739999999999999</v>
      </c>
      <c r="AN143" t="s">
        <v>168</v>
      </c>
    </row>
    <row r="144" spans="9:40" x14ac:dyDescent="0.45">
      <c r="I144" t="s">
        <v>97</v>
      </c>
      <c r="J144" t="s">
        <v>202</v>
      </c>
      <c r="K144">
        <v>3.6379868951542958E-2</v>
      </c>
      <c r="L144" t="s">
        <v>84</v>
      </c>
      <c r="N144" t="s">
        <v>113</v>
      </c>
      <c r="O144" t="s">
        <v>202</v>
      </c>
      <c r="P144">
        <v>1.5324281212456294E-2</v>
      </c>
      <c r="Q144" t="s">
        <v>84</v>
      </c>
      <c r="S144" t="s">
        <v>128</v>
      </c>
      <c r="T144" t="s">
        <v>202</v>
      </c>
      <c r="U144">
        <v>1.2350151447033093E-2</v>
      </c>
      <c r="V144" t="s">
        <v>84</v>
      </c>
      <c r="AK144">
        <v>2038</v>
      </c>
      <c r="AL144" t="s">
        <v>173</v>
      </c>
      <c r="AM144">
        <v>0.59783333333333344</v>
      </c>
      <c r="AN144" t="s">
        <v>168</v>
      </c>
    </row>
    <row r="145" spans="9:40" x14ac:dyDescent="0.45">
      <c r="I145" t="s">
        <v>97</v>
      </c>
      <c r="J145" t="s">
        <v>203</v>
      </c>
      <c r="K145">
        <v>5.7377316089166776E-2</v>
      </c>
      <c r="L145" t="s">
        <v>84</v>
      </c>
      <c r="N145" t="s">
        <v>113</v>
      </c>
      <c r="O145" t="s">
        <v>203</v>
      </c>
      <c r="P145">
        <v>2.7020763381087203E-2</v>
      </c>
      <c r="Q145" t="s">
        <v>84</v>
      </c>
      <c r="S145" t="s">
        <v>128</v>
      </c>
      <c r="T145" t="s">
        <v>203</v>
      </c>
      <c r="U145">
        <v>1.8787399702472087E-2</v>
      </c>
      <c r="V145" t="s">
        <v>84</v>
      </c>
      <c r="AK145">
        <v>2038</v>
      </c>
      <c r="AL145" t="s">
        <v>175</v>
      </c>
      <c r="AM145">
        <v>0.60189999999999999</v>
      </c>
      <c r="AN145" t="s">
        <v>168</v>
      </c>
    </row>
    <row r="146" spans="9:40" x14ac:dyDescent="0.45">
      <c r="I146" t="s">
        <v>97</v>
      </c>
      <c r="J146" t="s">
        <v>204</v>
      </c>
      <c r="K146">
        <v>6.0540292104993565E-3</v>
      </c>
      <c r="L146" t="s">
        <v>84</v>
      </c>
      <c r="N146" t="s">
        <v>113</v>
      </c>
      <c r="O146" t="s">
        <v>204</v>
      </c>
      <c r="P146">
        <v>4.3386193636784356E-3</v>
      </c>
      <c r="Q146" t="s">
        <v>84</v>
      </c>
      <c r="S146" t="s">
        <v>128</v>
      </c>
      <c r="T146" t="s">
        <v>204</v>
      </c>
      <c r="U146">
        <v>3.0755831884527432E-3</v>
      </c>
      <c r="V146" t="s">
        <v>84</v>
      </c>
      <c r="AK146">
        <v>2038</v>
      </c>
      <c r="AL146" t="s">
        <v>176</v>
      </c>
      <c r="AM146">
        <v>0.56969999999999998</v>
      </c>
      <c r="AN146" t="s">
        <v>168</v>
      </c>
    </row>
    <row r="147" spans="9:40" x14ac:dyDescent="0.45">
      <c r="I147" t="s">
        <v>97</v>
      </c>
      <c r="J147" t="s">
        <v>205</v>
      </c>
      <c r="K147">
        <v>1.8495652015111715E-3</v>
      </c>
      <c r="L147" t="s">
        <v>84</v>
      </c>
      <c r="N147" t="s">
        <v>113</v>
      </c>
      <c r="O147" t="s">
        <v>205</v>
      </c>
      <c r="P147">
        <v>4.1670719910647074E-3</v>
      </c>
      <c r="Q147" t="s">
        <v>84</v>
      </c>
      <c r="S147" t="s">
        <v>128</v>
      </c>
      <c r="T147" t="s">
        <v>205</v>
      </c>
      <c r="U147">
        <v>3.0136914857066409E-3</v>
      </c>
      <c r="V147" t="s">
        <v>84</v>
      </c>
      <c r="AK147">
        <v>2039</v>
      </c>
      <c r="AL147" t="s">
        <v>72</v>
      </c>
      <c r="AM147">
        <v>0.43109999999999998</v>
      </c>
      <c r="AN147" t="s">
        <v>168</v>
      </c>
    </row>
    <row r="148" spans="9:40" x14ac:dyDescent="0.45">
      <c r="I148" t="s">
        <v>97</v>
      </c>
      <c r="J148" t="s">
        <v>206</v>
      </c>
      <c r="K148">
        <v>0</v>
      </c>
      <c r="L148" t="s">
        <v>84</v>
      </c>
      <c r="N148" t="s">
        <v>113</v>
      </c>
      <c r="O148" t="s">
        <v>206</v>
      </c>
      <c r="P148">
        <v>1.8690407466519024E-2</v>
      </c>
      <c r="Q148" t="s">
        <v>84</v>
      </c>
      <c r="S148" t="s">
        <v>128</v>
      </c>
      <c r="T148" t="s">
        <v>206</v>
      </c>
      <c r="U148">
        <v>1.4202433158030981E-2</v>
      </c>
      <c r="V148" t="s">
        <v>84</v>
      </c>
      <c r="AK148">
        <v>2039</v>
      </c>
      <c r="AL148" t="s">
        <v>76</v>
      </c>
      <c r="AM148">
        <v>0.37430000000000002</v>
      </c>
      <c r="AN148" t="s">
        <v>168</v>
      </c>
    </row>
    <row r="149" spans="9:40" x14ac:dyDescent="0.45">
      <c r="I149" t="s">
        <v>97</v>
      </c>
      <c r="J149" t="s">
        <v>207</v>
      </c>
      <c r="K149">
        <v>2.1021324354044881E-2</v>
      </c>
      <c r="L149" t="s">
        <v>84</v>
      </c>
      <c r="N149" t="s">
        <v>113</v>
      </c>
      <c r="O149" t="s">
        <v>207</v>
      </c>
      <c r="P149">
        <v>3.5454886916611895E-2</v>
      </c>
      <c r="Q149" t="s">
        <v>84</v>
      </c>
      <c r="S149" t="s">
        <v>128</v>
      </c>
      <c r="T149" t="s">
        <v>207</v>
      </c>
      <c r="U149">
        <v>3.4690647384655243E-2</v>
      </c>
      <c r="V149" t="s">
        <v>84</v>
      </c>
      <c r="AK149">
        <v>2039</v>
      </c>
      <c r="AL149" t="s">
        <v>78</v>
      </c>
      <c r="AM149">
        <v>0.36890000000000001</v>
      </c>
      <c r="AN149" t="s">
        <v>168</v>
      </c>
    </row>
    <row r="150" spans="9:40" x14ac:dyDescent="0.45">
      <c r="I150" t="s">
        <v>97</v>
      </c>
      <c r="J150" t="s">
        <v>208</v>
      </c>
      <c r="K150">
        <v>7.9437596107474404E-2</v>
      </c>
      <c r="L150" t="s">
        <v>84</v>
      </c>
      <c r="N150" t="s">
        <v>113</v>
      </c>
      <c r="O150" t="s">
        <v>208</v>
      </c>
      <c r="P150">
        <v>2.0308936936926654E-2</v>
      </c>
      <c r="Q150" t="s">
        <v>84</v>
      </c>
      <c r="S150" t="s">
        <v>128</v>
      </c>
      <c r="T150" t="s">
        <v>208</v>
      </c>
      <c r="U150">
        <v>1.8335957000978391E-2</v>
      </c>
      <c r="V150" t="s">
        <v>84</v>
      </c>
      <c r="AK150">
        <v>2039</v>
      </c>
      <c r="AL150" t="s">
        <v>80</v>
      </c>
      <c r="AM150">
        <v>0.39454999999999996</v>
      </c>
      <c r="AN150" t="s">
        <v>168</v>
      </c>
    </row>
    <row r="151" spans="9:40" x14ac:dyDescent="0.45">
      <c r="I151" t="s">
        <v>97</v>
      </c>
      <c r="J151" t="s">
        <v>209</v>
      </c>
      <c r="K151">
        <v>0.12489891305684948</v>
      </c>
      <c r="L151" t="s">
        <v>84</v>
      </c>
      <c r="N151" t="s">
        <v>113</v>
      </c>
      <c r="O151" t="s">
        <v>209</v>
      </c>
      <c r="P151">
        <v>3.5428950553809277E-2</v>
      </c>
      <c r="Q151" t="s">
        <v>84</v>
      </c>
      <c r="S151" t="s">
        <v>128</v>
      </c>
      <c r="T151" t="s">
        <v>209</v>
      </c>
      <c r="U151">
        <v>3.050094813983829E-2</v>
      </c>
      <c r="V151" t="s">
        <v>84</v>
      </c>
      <c r="AK151">
        <v>2039</v>
      </c>
      <c r="AL151" t="s">
        <v>171</v>
      </c>
      <c r="AM151">
        <v>0.42709999999999998</v>
      </c>
      <c r="AN151" t="s">
        <v>168</v>
      </c>
    </row>
    <row r="152" spans="9:40" x14ac:dyDescent="0.45">
      <c r="I152" t="s">
        <v>97</v>
      </c>
      <c r="J152" t="s">
        <v>210</v>
      </c>
      <c r="K152">
        <v>1.4584084491767494E-2</v>
      </c>
      <c r="L152" t="s">
        <v>84</v>
      </c>
      <c r="N152" t="s">
        <v>113</v>
      </c>
      <c r="O152" t="s">
        <v>210</v>
      </c>
      <c r="P152">
        <v>6.2787075943437076E-3</v>
      </c>
      <c r="Q152" t="s">
        <v>84</v>
      </c>
      <c r="S152" t="s">
        <v>128</v>
      </c>
      <c r="T152" t="s">
        <v>210</v>
      </c>
      <c r="U152">
        <v>5.1370676217294816E-3</v>
      </c>
      <c r="V152" t="s">
        <v>84</v>
      </c>
      <c r="AK152">
        <v>2039</v>
      </c>
      <c r="AL152" t="s">
        <v>173</v>
      </c>
      <c r="AM152">
        <v>0.44466666666666671</v>
      </c>
      <c r="AN152" t="s">
        <v>168</v>
      </c>
    </row>
    <row r="153" spans="9:40" x14ac:dyDescent="0.45">
      <c r="I153" t="s">
        <v>97</v>
      </c>
      <c r="J153" t="s">
        <v>211</v>
      </c>
      <c r="K153">
        <v>9.4948967343256672E-3</v>
      </c>
      <c r="L153" t="s">
        <v>84</v>
      </c>
      <c r="N153" t="s">
        <v>113</v>
      </c>
      <c r="O153" t="s">
        <v>211</v>
      </c>
      <c r="P153">
        <v>6.0850608383989516E-3</v>
      </c>
      <c r="Q153" t="s">
        <v>84</v>
      </c>
      <c r="S153" t="s">
        <v>128</v>
      </c>
      <c r="T153" t="s">
        <v>211</v>
      </c>
      <c r="U153">
        <v>5.0320358210778201E-3</v>
      </c>
      <c r="V153" t="s">
        <v>84</v>
      </c>
      <c r="AK153">
        <v>2039</v>
      </c>
      <c r="AL153" t="s">
        <v>175</v>
      </c>
      <c r="AM153">
        <v>0.46970000000000001</v>
      </c>
      <c r="AN153" t="s">
        <v>168</v>
      </c>
    </row>
    <row r="154" spans="9:40" x14ac:dyDescent="0.45">
      <c r="I154" t="s">
        <v>97</v>
      </c>
      <c r="J154" t="s">
        <v>212</v>
      </c>
      <c r="K154">
        <v>6.7564542777169686E-4</v>
      </c>
      <c r="L154" t="s">
        <v>84</v>
      </c>
      <c r="N154" t="s">
        <v>113</v>
      </c>
      <c r="O154" t="s">
        <v>212</v>
      </c>
      <c r="P154">
        <v>2.7101002562088475E-2</v>
      </c>
      <c r="Q154" t="s">
        <v>84</v>
      </c>
      <c r="S154" t="s">
        <v>128</v>
      </c>
      <c r="T154" t="s">
        <v>212</v>
      </c>
      <c r="U154">
        <v>2.3210948638372208E-2</v>
      </c>
      <c r="V154" t="s">
        <v>84</v>
      </c>
      <c r="AK154">
        <v>2039</v>
      </c>
      <c r="AL154" t="s">
        <v>176</v>
      </c>
      <c r="AM154">
        <v>0.40334999999999999</v>
      </c>
      <c r="AN154" t="s">
        <v>168</v>
      </c>
    </row>
    <row r="155" spans="9:40" x14ac:dyDescent="0.45">
      <c r="I155" t="s">
        <v>98</v>
      </c>
      <c r="J155" t="s">
        <v>83</v>
      </c>
      <c r="K155">
        <v>1.162309918323419E-2</v>
      </c>
      <c r="L155" t="s">
        <v>84</v>
      </c>
      <c r="N155" t="s">
        <v>114</v>
      </c>
      <c r="O155" t="s">
        <v>83</v>
      </c>
      <c r="P155">
        <v>1.8501615045555128E-2</v>
      </c>
      <c r="Q155" t="s">
        <v>84</v>
      </c>
      <c r="S155" t="s">
        <v>129</v>
      </c>
      <c r="T155" t="s">
        <v>83</v>
      </c>
      <c r="U155">
        <v>2.7112727373636604E-2</v>
      </c>
      <c r="V155" t="s">
        <v>84</v>
      </c>
      <c r="AK155">
        <v>2040</v>
      </c>
      <c r="AL155" t="s">
        <v>72</v>
      </c>
      <c r="AM155">
        <v>0.43049999999999999</v>
      </c>
      <c r="AN155" t="s">
        <v>168</v>
      </c>
    </row>
    <row r="156" spans="9:40" x14ac:dyDescent="0.45">
      <c r="I156" t="s">
        <v>98</v>
      </c>
      <c r="J156" t="s">
        <v>85</v>
      </c>
      <c r="K156">
        <v>4.4729826554646288E-2</v>
      </c>
      <c r="L156" t="s">
        <v>84</v>
      </c>
      <c r="N156" t="s">
        <v>114</v>
      </c>
      <c r="O156" t="s">
        <v>85</v>
      </c>
      <c r="P156">
        <v>1.3828986343825228E-2</v>
      </c>
      <c r="Q156" t="s">
        <v>84</v>
      </c>
      <c r="S156" t="s">
        <v>129</v>
      </c>
      <c r="T156" t="s">
        <v>85</v>
      </c>
      <c r="U156">
        <v>1.3542254919538459E-2</v>
      </c>
      <c r="V156" t="s">
        <v>84</v>
      </c>
      <c r="AK156">
        <v>2040</v>
      </c>
      <c r="AL156" t="s">
        <v>76</v>
      </c>
      <c r="AM156">
        <v>0.4269</v>
      </c>
      <c r="AN156" t="s">
        <v>168</v>
      </c>
    </row>
    <row r="157" spans="9:40" x14ac:dyDescent="0.45">
      <c r="I157" t="s">
        <v>98</v>
      </c>
      <c r="J157" t="s">
        <v>86</v>
      </c>
      <c r="K157">
        <v>7.3278204891059573E-2</v>
      </c>
      <c r="L157" t="s">
        <v>84</v>
      </c>
      <c r="N157" t="s">
        <v>114</v>
      </c>
      <c r="O157" t="s">
        <v>86</v>
      </c>
      <c r="P157">
        <v>2.7157125674973862E-2</v>
      </c>
      <c r="Q157" t="s">
        <v>84</v>
      </c>
      <c r="S157" t="s">
        <v>129</v>
      </c>
      <c r="T157" t="s">
        <v>86</v>
      </c>
      <c r="U157">
        <v>2.3248529078826199E-2</v>
      </c>
      <c r="V157" t="s">
        <v>84</v>
      </c>
      <c r="AK157">
        <v>2040</v>
      </c>
      <c r="AL157" t="s">
        <v>78</v>
      </c>
      <c r="AM157">
        <v>0.40289999999999998</v>
      </c>
      <c r="AN157" t="s">
        <v>168</v>
      </c>
    </row>
    <row r="158" spans="9:40" x14ac:dyDescent="0.45">
      <c r="I158" t="s">
        <v>98</v>
      </c>
      <c r="J158" t="s">
        <v>177</v>
      </c>
      <c r="K158">
        <v>9.6031602425343341E-3</v>
      </c>
      <c r="L158" t="s">
        <v>84</v>
      </c>
      <c r="N158" t="s">
        <v>114</v>
      </c>
      <c r="O158" t="s">
        <v>177</v>
      </c>
      <c r="P158">
        <v>4.2661348924619433E-3</v>
      </c>
      <c r="Q158" t="s">
        <v>84</v>
      </c>
      <c r="S158" t="s">
        <v>129</v>
      </c>
      <c r="T158" t="s">
        <v>177</v>
      </c>
      <c r="U158">
        <v>4.2500997919655576E-3</v>
      </c>
      <c r="V158" t="s">
        <v>84</v>
      </c>
      <c r="AK158">
        <v>2040</v>
      </c>
      <c r="AL158" t="s">
        <v>80</v>
      </c>
      <c r="AM158">
        <v>0.3805</v>
      </c>
      <c r="AN158" t="s">
        <v>168</v>
      </c>
    </row>
    <row r="159" spans="9:40" x14ac:dyDescent="0.45">
      <c r="I159" t="s">
        <v>98</v>
      </c>
      <c r="J159" t="s">
        <v>178</v>
      </c>
      <c r="K159">
        <v>7.4626828620374553E-3</v>
      </c>
      <c r="L159" t="s">
        <v>84</v>
      </c>
      <c r="N159" t="s">
        <v>114</v>
      </c>
      <c r="O159" t="s">
        <v>178</v>
      </c>
      <c r="P159">
        <v>3.9640141464253025E-3</v>
      </c>
      <c r="Q159" t="s">
        <v>84</v>
      </c>
      <c r="S159" t="s">
        <v>129</v>
      </c>
      <c r="T159" t="s">
        <v>178</v>
      </c>
      <c r="U159">
        <v>4.2553851536171489E-3</v>
      </c>
      <c r="V159" t="s">
        <v>84</v>
      </c>
      <c r="AK159">
        <v>2040</v>
      </c>
      <c r="AL159" t="s">
        <v>171</v>
      </c>
      <c r="AM159">
        <v>0.42649999999999999</v>
      </c>
      <c r="AN159" t="s">
        <v>168</v>
      </c>
    </row>
    <row r="160" spans="9:40" x14ac:dyDescent="0.45">
      <c r="I160" t="s">
        <v>98</v>
      </c>
      <c r="J160" t="s">
        <v>179</v>
      </c>
      <c r="K160">
        <v>4.3572730919387535E-3</v>
      </c>
      <c r="L160" t="s">
        <v>84</v>
      </c>
      <c r="N160" t="s">
        <v>114</v>
      </c>
      <c r="O160" t="s">
        <v>179</v>
      </c>
      <c r="P160">
        <v>1.7140446717158402E-2</v>
      </c>
      <c r="Q160" t="s">
        <v>84</v>
      </c>
      <c r="S160" t="s">
        <v>129</v>
      </c>
      <c r="T160" t="s">
        <v>179</v>
      </c>
      <c r="U160">
        <v>2.0136122260948006E-2</v>
      </c>
      <c r="V160" t="s">
        <v>84</v>
      </c>
      <c r="AK160">
        <v>2040</v>
      </c>
      <c r="AL160" t="s">
        <v>173</v>
      </c>
      <c r="AM160">
        <v>0.46426666666666666</v>
      </c>
      <c r="AN160" t="s">
        <v>168</v>
      </c>
    </row>
    <row r="161" spans="9:40" x14ac:dyDescent="0.45">
      <c r="I161" t="s">
        <v>98</v>
      </c>
      <c r="J161" t="s">
        <v>87</v>
      </c>
      <c r="K161">
        <v>5.4252903017009916E-3</v>
      </c>
      <c r="L161" t="s">
        <v>84</v>
      </c>
      <c r="N161" t="s">
        <v>114</v>
      </c>
      <c r="O161" t="s">
        <v>87</v>
      </c>
      <c r="P161">
        <v>6.9514254577474855E-3</v>
      </c>
      <c r="Q161" t="s">
        <v>84</v>
      </c>
      <c r="S161" t="s">
        <v>129</v>
      </c>
      <c r="T161" t="s">
        <v>87</v>
      </c>
      <c r="U161">
        <v>1.8599547547463322E-2</v>
      </c>
      <c r="V161" t="s">
        <v>84</v>
      </c>
      <c r="AK161">
        <v>2040</v>
      </c>
      <c r="AL161" t="s">
        <v>175</v>
      </c>
      <c r="AM161">
        <v>0.44319999999999998</v>
      </c>
      <c r="AN161" t="s">
        <v>168</v>
      </c>
    </row>
    <row r="162" spans="9:40" x14ac:dyDescent="0.45">
      <c r="I162" t="s">
        <v>98</v>
      </c>
      <c r="J162" t="s">
        <v>88</v>
      </c>
      <c r="K162">
        <v>3.6218270821577879E-2</v>
      </c>
      <c r="L162" t="s">
        <v>84</v>
      </c>
      <c r="N162" t="s">
        <v>114</v>
      </c>
      <c r="O162" t="s">
        <v>88</v>
      </c>
      <c r="P162">
        <v>4.4006646936773685E-3</v>
      </c>
      <c r="Q162" t="s">
        <v>84</v>
      </c>
      <c r="S162" t="s">
        <v>129</v>
      </c>
      <c r="T162" t="s">
        <v>88</v>
      </c>
      <c r="U162">
        <v>1.1086265773029992E-2</v>
      </c>
      <c r="V162" t="s">
        <v>84</v>
      </c>
      <c r="AK162">
        <v>2040</v>
      </c>
      <c r="AL162" t="s">
        <v>176</v>
      </c>
      <c r="AM162">
        <v>0.43935000000000002</v>
      </c>
      <c r="AN162" t="s">
        <v>168</v>
      </c>
    </row>
    <row r="163" spans="9:40" x14ac:dyDescent="0.45">
      <c r="I163" t="s">
        <v>98</v>
      </c>
      <c r="J163" t="s">
        <v>89</v>
      </c>
      <c r="K163">
        <v>6.2628660651491738E-2</v>
      </c>
      <c r="L163" t="s">
        <v>84</v>
      </c>
      <c r="N163" t="s">
        <v>114</v>
      </c>
      <c r="O163" t="s">
        <v>89</v>
      </c>
      <c r="P163">
        <v>1.0613618604182178E-2</v>
      </c>
      <c r="Q163" t="s">
        <v>84</v>
      </c>
      <c r="S163" t="s">
        <v>129</v>
      </c>
      <c r="T163" t="s">
        <v>89</v>
      </c>
      <c r="U163">
        <v>1.9560576344195627E-2</v>
      </c>
      <c r="V163" t="s">
        <v>84</v>
      </c>
      <c r="AK163">
        <v>2041</v>
      </c>
      <c r="AL163" t="s">
        <v>72</v>
      </c>
      <c r="AM163">
        <v>0.3916</v>
      </c>
      <c r="AN163" t="s">
        <v>168</v>
      </c>
    </row>
    <row r="164" spans="9:40" x14ac:dyDescent="0.45">
      <c r="I164" t="s">
        <v>98</v>
      </c>
      <c r="J164" t="s">
        <v>180</v>
      </c>
      <c r="K164">
        <v>9.1174883437250293E-3</v>
      </c>
      <c r="L164" t="s">
        <v>84</v>
      </c>
      <c r="N164" t="s">
        <v>114</v>
      </c>
      <c r="O164" t="s">
        <v>180</v>
      </c>
      <c r="P164">
        <v>2.7474044361212777E-3</v>
      </c>
      <c r="Q164" t="s">
        <v>84</v>
      </c>
      <c r="S164" t="s">
        <v>129</v>
      </c>
      <c r="T164" t="s">
        <v>180</v>
      </c>
      <c r="U164">
        <v>3.5145882658315524E-3</v>
      </c>
      <c r="V164" t="s">
        <v>84</v>
      </c>
      <c r="AK164">
        <v>2041</v>
      </c>
      <c r="AL164" t="s">
        <v>76</v>
      </c>
      <c r="AM164">
        <v>0.40179999999999999</v>
      </c>
      <c r="AN164" t="s">
        <v>168</v>
      </c>
    </row>
    <row r="165" spans="9:40" x14ac:dyDescent="0.45">
      <c r="I165" t="s">
        <v>98</v>
      </c>
      <c r="J165" t="s">
        <v>181</v>
      </c>
      <c r="K165">
        <v>6.4922924025618955E-3</v>
      </c>
      <c r="L165" t="s">
        <v>84</v>
      </c>
      <c r="N165" t="s">
        <v>114</v>
      </c>
      <c r="O165" t="s">
        <v>181</v>
      </c>
      <c r="P165">
        <v>3.0711008144889197E-3</v>
      </c>
      <c r="Q165" t="s">
        <v>84</v>
      </c>
      <c r="S165" t="s">
        <v>129</v>
      </c>
      <c r="T165" t="s">
        <v>181</v>
      </c>
      <c r="U165">
        <v>3.5172360247878688E-3</v>
      </c>
      <c r="V165" t="s">
        <v>84</v>
      </c>
      <c r="AK165">
        <v>2041</v>
      </c>
      <c r="AL165" t="s">
        <v>78</v>
      </c>
      <c r="AM165">
        <v>0.3725</v>
      </c>
      <c r="AN165" t="s">
        <v>168</v>
      </c>
    </row>
    <row r="166" spans="9:40" x14ac:dyDescent="0.45">
      <c r="I166" t="s">
        <v>98</v>
      </c>
      <c r="J166" t="s">
        <v>182</v>
      </c>
      <c r="K166">
        <v>4.3237161635306144E-4</v>
      </c>
      <c r="L166" t="s">
        <v>84</v>
      </c>
      <c r="N166" t="s">
        <v>114</v>
      </c>
      <c r="O166" t="s">
        <v>182</v>
      </c>
      <c r="P166">
        <v>1.0297203062911625E-2</v>
      </c>
      <c r="Q166" t="s">
        <v>84</v>
      </c>
      <c r="S166" t="s">
        <v>129</v>
      </c>
      <c r="T166" t="s">
        <v>182</v>
      </c>
      <c r="U166">
        <v>1.6340360200889643E-2</v>
      </c>
      <c r="V166" t="s">
        <v>84</v>
      </c>
      <c r="AK166">
        <v>2041</v>
      </c>
      <c r="AL166" t="s">
        <v>80</v>
      </c>
      <c r="AM166">
        <v>0.4</v>
      </c>
      <c r="AN166" t="s">
        <v>168</v>
      </c>
    </row>
    <row r="167" spans="9:40" x14ac:dyDescent="0.45">
      <c r="I167" t="s">
        <v>98</v>
      </c>
      <c r="J167" t="s">
        <v>90</v>
      </c>
      <c r="K167">
        <v>2.6151972276476352E-3</v>
      </c>
      <c r="L167" t="s">
        <v>84</v>
      </c>
      <c r="N167" t="s">
        <v>114</v>
      </c>
      <c r="O167" t="s">
        <v>90</v>
      </c>
      <c r="P167">
        <v>8.8262493060485975E-3</v>
      </c>
      <c r="Q167" t="s">
        <v>84</v>
      </c>
      <c r="S167" t="s">
        <v>129</v>
      </c>
      <c r="T167" t="s">
        <v>90</v>
      </c>
      <c r="U167">
        <v>2.1335737603406364E-2</v>
      </c>
      <c r="V167" t="s">
        <v>84</v>
      </c>
      <c r="AK167">
        <v>2041</v>
      </c>
      <c r="AL167" t="s">
        <v>171</v>
      </c>
      <c r="AM167">
        <v>0.49469999999999997</v>
      </c>
      <c r="AN167" t="s">
        <v>168</v>
      </c>
    </row>
    <row r="168" spans="9:40" x14ac:dyDescent="0.45">
      <c r="I168" t="s">
        <v>98</v>
      </c>
      <c r="J168" t="s">
        <v>91</v>
      </c>
      <c r="K168">
        <v>3.0580884313108143E-2</v>
      </c>
      <c r="L168" t="s">
        <v>84</v>
      </c>
      <c r="N168" t="s">
        <v>114</v>
      </c>
      <c r="O168" t="s">
        <v>91</v>
      </c>
      <c r="P168">
        <v>6.8219269917929905E-3</v>
      </c>
      <c r="Q168" t="s">
        <v>84</v>
      </c>
      <c r="S168" t="s">
        <v>129</v>
      </c>
      <c r="T168" t="s">
        <v>91</v>
      </c>
      <c r="U168">
        <v>1.2273305498355763E-2</v>
      </c>
      <c r="V168" t="s">
        <v>84</v>
      </c>
      <c r="AK168">
        <v>2041</v>
      </c>
      <c r="AL168" t="s">
        <v>173</v>
      </c>
      <c r="AM168">
        <v>0.48100000000000004</v>
      </c>
      <c r="AN168" t="s">
        <v>168</v>
      </c>
    </row>
    <row r="169" spans="9:40" x14ac:dyDescent="0.45">
      <c r="I169" t="s">
        <v>98</v>
      </c>
      <c r="J169" t="s">
        <v>92</v>
      </c>
      <c r="K169">
        <v>5.3097146288299507E-2</v>
      </c>
      <c r="L169" t="s">
        <v>84</v>
      </c>
      <c r="N169" t="s">
        <v>114</v>
      </c>
      <c r="O169" t="s">
        <v>92</v>
      </c>
      <c r="P169">
        <v>1.2521062873371134E-2</v>
      </c>
      <c r="Q169" t="s">
        <v>84</v>
      </c>
      <c r="S169" t="s">
        <v>129</v>
      </c>
      <c r="T169" t="s">
        <v>92</v>
      </c>
      <c r="U169">
        <v>2.0745452238477645E-2</v>
      </c>
      <c r="V169" t="s">
        <v>84</v>
      </c>
      <c r="AK169">
        <v>2041</v>
      </c>
      <c r="AL169" t="s">
        <v>175</v>
      </c>
      <c r="AM169">
        <v>0.47310000000000002</v>
      </c>
      <c r="AN169" t="s">
        <v>168</v>
      </c>
    </row>
    <row r="170" spans="9:40" x14ac:dyDescent="0.45">
      <c r="I170" t="s">
        <v>98</v>
      </c>
      <c r="J170" t="s">
        <v>183</v>
      </c>
      <c r="K170">
        <v>6.7192712348037613E-3</v>
      </c>
      <c r="L170" t="s">
        <v>84</v>
      </c>
      <c r="N170" t="s">
        <v>114</v>
      </c>
      <c r="O170" t="s">
        <v>183</v>
      </c>
      <c r="P170">
        <v>2.4603213706034465E-3</v>
      </c>
      <c r="Q170" t="s">
        <v>84</v>
      </c>
      <c r="S170" t="s">
        <v>129</v>
      </c>
      <c r="T170" t="s">
        <v>183</v>
      </c>
      <c r="U170">
        <v>3.8036450704110681E-3</v>
      </c>
      <c r="V170" t="s">
        <v>84</v>
      </c>
      <c r="AK170">
        <v>2041</v>
      </c>
      <c r="AL170" t="s">
        <v>176</v>
      </c>
      <c r="AM170">
        <v>0.43785000000000002</v>
      </c>
      <c r="AN170" t="s">
        <v>168</v>
      </c>
    </row>
    <row r="171" spans="9:40" x14ac:dyDescent="0.45">
      <c r="I171" t="s">
        <v>98</v>
      </c>
      <c r="J171" t="s">
        <v>184</v>
      </c>
      <c r="K171">
        <v>2.6693580910309694E-3</v>
      </c>
      <c r="L171" t="s">
        <v>84</v>
      </c>
      <c r="N171" t="s">
        <v>114</v>
      </c>
      <c r="O171" t="s">
        <v>184</v>
      </c>
      <c r="P171">
        <v>2.4816309298888346E-3</v>
      </c>
      <c r="Q171" t="s">
        <v>84</v>
      </c>
      <c r="S171" t="s">
        <v>129</v>
      </c>
      <c r="T171" t="s">
        <v>184</v>
      </c>
      <c r="U171">
        <v>3.7946462864459477E-3</v>
      </c>
      <c r="V171" t="s">
        <v>84</v>
      </c>
      <c r="AK171">
        <v>2042</v>
      </c>
      <c r="AL171" t="s">
        <v>72</v>
      </c>
      <c r="AM171">
        <v>0.39169999999999999</v>
      </c>
      <c r="AN171" t="s">
        <v>168</v>
      </c>
    </row>
    <row r="172" spans="9:40" x14ac:dyDescent="0.45">
      <c r="I172" t="s">
        <v>98</v>
      </c>
      <c r="J172" t="s">
        <v>185</v>
      </c>
      <c r="K172">
        <v>0</v>
      </c>
      <c r="L172" t="s">
        <v>84</v>
      </c>
      <c r="N172" t="s">
        <v>114</v>
      </c>
      <c r="O172" t="s">
        <v>185</v>
      </c>
      <c r="P172">
        <v>8.0743192691315226E-3</v>
      </c>
      <c r="Q172" t="s">
        <v>84</v>
      </c>
      <c r="S172" t="s">
        <v>129</v>
      </c>
      <c r="T172" t="s">
        <v>185</v>
      </c>
      <c r="U172">
        <v>1.7223428584317965E-2</v>
      </c>
      <c r="V172" t="s">
        <v>84</v>
      </c>
      <c r="AK172">
        <v>2042</v>
      </c>
      <c r="AL172" t="s">
        <v>76</v>
      </c>
      <c r="AM172">
        <v>0.38500000000000001</v>
      </c>
      <c r="AN172" t="s">
        <v>168</v>
      </c>
    </row>
    <row r="173" spans="9:40" x14ac:dyDescent="0.45">
      <c r="I173" t="s">
        <v>98</v>
      </c>
      <c r="J173" t="s">
        <v>93</v>
      </c>
      <c r="K173">
        <v>0</v>
      </c>
      <c r="L173" t="s">
        <v>84</v>
      </c>
      <c r="N173" t="s">
        <v>114</v>
      </c>
      <c r="O173" t="s">
        <v>93</v>
      </c>
      <c r="P173">
        <v>4.61499157082269E-2</v>
      </c>
      <c r="Q173" t="s">
        <v>84</v>
      </c>
      <c r="S173" t="s">
        <v>129</v>
      </c>
      <c r="T173" t="s">
        <v>93</v>
      </c>
      <c r="U173">
        <v>4.8000509390643493E-2</v>
      </c>
      <c r="V173" t="s">
        <v>84</v>
      </c>
      <c r="AK173">
        <v>2042</v>
      </c>
      <c r="AL173" t="s">
        <v>78</v>
      </c>
      <c r="AM173">
        <v>0.3614</v>
      </c>
      <c r="AN173" t="s">
        <v>168</v>
      </c>
    </row>
    <row r="174" spans="9:40" x14ac:dyDescent="0.45">
      <c r="I174" t="s">
        <v>98</v>
      </c>
      <c r="J174" t="s">
        <v>94</v>
      </c>
      <c r="K174">
        <v>3.2241817019291324E-2</v>
      </c>
      <c r="L174" t="s">
        <v>84</v>
      </c>
      <c r="N174" t="s">
        <v>114</v>
      </c>
      <c r="O174" t="s">
        <v>94</v>
      </c>
      <c r="P174">
        <v>2.270496715328171E-2</v>
      </c>
      <c r="Q174" t="s">
        <v>84</v>
      </c>
      <c r="S174" t="s">
        <v>129</v>
      </c>
      <c r="T174" t="s">
        <v>94</v>
      </c>
      <c r="U174">
        <v>2.4361951750812232E-2</v>
      </c>
      <c r="V174" t="s">
        <v>84</v>
      </c>
      <c r="AK174">
        <v>2042</v>
      </c>
      <c r="AL174" t="s">
        <v>80</v>
      </c>
      <c r="AM174">
        <v>0.36654999999999999</v>
      </c>
      <c r="AN174" t="s">
        <v>168</v>
      </c>
    </row>
    <row r="175" spans="9:40" x14ac:dyDescent="0.45">
      <c r="I175" t="s">
        <v>98</v>
      </c>
      <c r="J175" t="s">
        <v>95</v>
      </c>
      <c r="K175">
        <v>5.9185546836007949E-2</v>
      </c>
      <c r="L175" t="s">
        <v>84</v>
      </c>
      <c r="N175" t="s">
        <v>114</v>
      </c>
      <c r="O175" t="s">
        <v>95</v>
      </c>
      <c r="P175">
        <v>4.3677221396781436E-2</v>
      </c>
      <c r="Q175" t="s">
        <v>84</v>
      </c>
      <c r="S175" t="s">
        <v>129</v>
      </c>
      <c r="T175" t="s">
        <v>95</v>
      </c>
      <c r="U175">
        <v>3.9166743248732962E-2</v>
      </c>
      <c r="V175" t="s">
        <v>84</v>
      </c>
      <c r="AK175">
        <v>2042</v>
      </c>
      <c r="AL175" t="s">
        <v>171</v>
      </c>
      <c r="AM175">
        <v>0.45750000000000002</v>
      </c>
      <c r="AN175" t="s">
        <v>168</v>
      </c>
    </row>
    <row r="176" spans="9:40" x14ac:dyDescent="0.45">
      <c r="I176" t="s">
        <v>98</v>
      </c>
      <c r="J176" t="s">
        <v>186</v>
      </c>
      <c r="K176">
        <v>2.4662382012910038E-3</v>
      </c>
      <c r="L176" t="s">
        <v>84</v>
      </c>
      <c r="N176" t="s">
        <v>114</v>
      </c>
      <c r="O176" t="s">
        <v>186</v>
      </c>
      <c r="P176">
        <v>6.5624601178513693E-3</v>
      </c>
      <c r="Q176" t="s">
        <v>84</v>
      </c>
      <c r="S176" t="s">
        <v>129</v>
      </c>
      <c r="T176" t="s">
        <v>186</v>
      </c>
      <c r="U176">
        <v>6.9678100232216343E-3</v>
      </c>
      <c r="V176" t="s">
        <v>84</v>
      </c>
      <c r="AK176">
        <v>2042</v>
      </c>
      <c r="AL176" t="s">
        <v>173</v>
      </c>
      <c r="AM176">
        <v>0.45033333333333331</v>
      </c>
      <c r="AN176" t="s">
        <v>168</v>
      </c>
    </row>
    <row r="177" spans="9:40" x14ac:dyDescent="0.45">
      <c r="I177" t="s">
        <v>98</v>
      </c>
      <c r="J177" t="s">
        <v>187</v>
      </c>
      <c r="K177">
        <v>0</v>
      </c>
      <c r="L177" t="s">
        <v>84</v>
      </c>
      <c r="N177" t="s">
        <v>114</v>
      </c>
      <c r="O177" t="s">
        <v>187</v>
      </c>
      <c r="P177">
        <v>6.727149091411519E-3</v>
      </c>
      <c r="Q177" t="s">
        <v>84</v>
      </c>
      <c r="S177" t="s">
        <v>129</v>
      </c>
      <c r="T177" t="s">
        <v>187</v>
      </c>
      <c r="U177">
        <v>6.9305859461600743E-3</v>
      </c>
      <c r="V177" t="s">
        <v>84</v>
      </c>
      <c r="AK177">
        <v>2042</v>
      </c>
      <c r="AL177" t="s">
        <v>175</v>
      </c>
      <c r="AM177">
        <v>0.42420000000000002</v>
      </c>
      <c r="AN177" t="s">
        <v>168</v>
      </c>
    </row>
    <row r="178" spans="9:40" x14ac:dyDescent="0.45">
      <c r="I178" t="s">
        <v>98</v>
      </c>
      <c r="J178" t="s">
        <v>188</v>
      </c>
      <c r="K178">
        <v>0</v>
      </c>
      <c r="L178" t="s">
        <v>84</v>
      </c>
      <c r="N178" t="s">
        <v>114</v>
      </c>
      <c r="O178" t="s">
        <v>188</v>
      </c>
      <c r="P178">
        <v>3.5943676689608128E-2</v>
      </c>
      <c r="Q178" t="s">
        <v>84</v>
      </c>
      <c r="S178" t="s">
        <v>129</v>
      </c>
      <c r="T178" t="s">
        <v>188</v>
      </c>
      <c r="U178">
        <v>3.4974555191805916E-2</v>
      </c>
      <c r="V178" t="s">
        <v>84</v>
      </c>
      <c r="AK178">
        <v>2042</v>
      </c>
      <c r="AL178" t="s">
        <v>176</v>
      </c>
      <c r="AM178">
        <v>0.39600000000000002</v>
      </c>
      <c r="AN178" t="s">
        <v>168</v>
      </c>
    </row>
    <row r="179" spans="9:40" x14ac:dyDescent="0.45">
      <c r="I179" t="s">
        <v>98</v>
      </c>
      <c r="J179" t="s">
        <v>189</v>
      </c>
      <c r="K179">
        <v>0</v>
      </c>
      <c r="L179" t="s">
        <v>84</v>
      </c>
      <c r="N179" t="s">
        <v>114</v>
      </c>
      <c r="O179" t="s">
        <v>189</v>
      </c>
      <c r="P179">
        <v>2.3295708279971596E-2</v>
      </c>
      <c r="Q179" t="s">
        <v>84</v>
      </c>
      <c r="S179" t="s">
        <v>129</v>
      </c>
      <c r="T179" t="s">
        <v>189</v>
      </c>
      <c r="U179">
        <v>2.5540044928806054E-2</v>
      </c>
      <c r="V179" t="s">
        <v>84</v>
      </c>
      <c r="AK179">
        <v>2043</v>
      </c>
      <c r="AL179" t="s">
        <v>72</v>
      </c>
      <c r="AM179">
        <v>0.42180000000000001</v>
      </c>
      <c r="AN179" t="s">
        <v>168</v>
      </c>
    </row>
    <row r="180" spans="9:40" x14ac:dyDescent="0.45">
      <c r="I180" t="s">
        <v>98</v>
      </c>
      <c r="J180" t="s">
        <v>190</v>
      </c>
      <c r="K180">
        <v>7.6358211769694505E-3</v>
      </c>
      <c r="L180" t="s">
        <v>84</v>
      </c>
      <c r="N180" t="s">
        <v>114</v>
      </c>
      <c r="O180" t="s">
        <v>190</v>
      </c>
      <c r="P180">
        <v>1.4159305877056071E-2</v>
      </c>
      <c r="Q180" t="s">
        <v>84</v>
      </c>
      <c r="S180" t="s">
        <v>129</v>
      </c>
      <c r="T180" t="s">
        <v>190</v>
      </c>
      <c r="U180">
        <v>1.3979920081420752E-2</v>
      </c>
      <c r="V180" t="s">
        <v>84</v>
      </c>
      <c r="AK180">
        <v>2043</v>
      </c>
      <c r="AL180" t="s">
        <v>76</v>
      </c>
      <c r="AM180">
        <v>0.41020000000000001</v>
      </c>
      <c r="AN180" t="s">
        <v>168</v>
      </c>
    </row>
    <row r="181" spans="9:40" x14ac:dyDescent="0.45">
      <c r="I181" t="s">
        <v>98</v>
      </c>
      <c r="J181" t="s">
        <v>191</v>
      </c>
      <c r="K181">
        <v>1.692895000936703E-2</v>
      </c>
      <c r="L181" t="s">
        <v>84</v>
      </c>
      <c r="N181" t="s">
        <v>114</v>
      </c>
      <c r="O181" t="s">
        <v>191</v>
      </c>
      <c r="P181">
        <v>2.5351872047457803E-2</v>
      </c>
      <c r="Q181" t="s">
        <v>84</v>
      </c>
      <c r="S181" t="s">
        <v>129</v>
      </c>
      <c r="T181" t="s">
        <v>191</v>
      </c>
      <c r="U181">
        <v>2.3994228999367477E-2</v>
      </c>
      <c r="V181" t="s">
        <v>84</v>
      </c>
      <c r="AK181">
        <v>2043</v>
      </c>
      <c r="AL181" t="s">
        <v>78</v>
      </c>
      <c r="AM181">
        <v>0.39419999999999999</v>
      </c>
      <c r="AN181" t="s">
        <v>168</v>
      </c>
    </row>
    <row r="182" spans="9:40" x14ac:dyDescent="0.45">
      <c r="I182" t="s">
        <v>98</v>
      </c>
      <c r="J182" t="s">
        <v>192</v>
      </c>
      <c r="K182">
        <v>0</v>
      </c>
      <c r="L182" t="s">
        <v>84</v>
      </c>
      <c r="N182" t="s">
        <v>114</v>
      </c>
      <c r="O182" t="s">
        <v>192</v>
      </c>
      <c r="P182">
        <v>3.7486557377215033E-3</v>
      </c>
      <c r="Q182" t="s">
        <v>84</v>
      </c>
      <c r="S182" t="s">
        <v>129</v>
      </c>
      <c r="T182" t="s">
        <v>192</v>
      </c>
      <c r="U182">
        <v>4.1430157032202129E-3</v>
      </c>
      <c r="V182" t="s">
        <v>84</v>
      </c>
      <c r="AK182">
        <v>2043</v>
      </c>
      <c r="AL182" t="s">
        <v>80</v>
      </c>
      <c r="AM182">
        <v>0.37014999999999998</v>
      </c>
      <c r="AN182" t="s">
        <v>168</v>
      </c>
    </row>
    <row r="183" spans="9:40" x14ac:dyDescent="0.45">
      <c r="I183" t="s">
        <v>98</v>
      </c>
      <c r="J183" t="s">
        <v>193</v>
      </c>
      <c r="K183">
        <v>0</v>
      </c>
      <c r="L183" t="s">
        <v>84</v>
      </c>
      <c r="N183" t="s">
        <v>114</v>
      </c>
      <c r="O183" t="s">
        <v>193</v>
      </c>
      <c r="P183">
        <v>3.4838971334120016E-3</v>
      </c>
      <c r="Q183" t="s">
        <v>84</v>
      </c>
      <c r="S183" t="s">
        <v>129</v>
      </c>
      <c r="T183" t="s">
        <v>193</v>
      </c>
      <c r="U183">
        <v>4.116610652861152E-3</v>
      </c>
      <c r="V183" t="s">
        <v>84</v>
      </c>
      <c r="AK183">
        <v>2043</v>
      </c>
      <c r="AL183" t="s">
        <v>171</v>
      </c>
      <c r="AM183">
        <v>0.4788</v>
      </c>
      <c r="AN183" t="s">
        <v>168</v>
      </c>
    </row>
    <row r="184" spans="9:40" x14ac:dyDescent="0.45">
      <c r="I184" t="s">
        <v>98</v>
      </c>
      <c r="J184" t="s">
        <v>194</v>
      </c>
      <c r="K184">
        <v>0</v>
      </c>
      <c r="L184" t="s">
        <v>84</v>
      </c>
      <c r="N184" t="s">
        <v>114</v>
      </c>
      <c r="O184" t="s">
        <v>194</v>
      </c>
      <c r="P184">
        <v>1.4655370584829403E-2</v>
      </c>
      <c r="Q184" t="s">
        <v>84</v>
      </c>
      <c r="S184" t="s">
        <v>129</v>
      </c>
      <c r="T184" t="s">
        <v>194</v>
      </c>
      <c r="U184">
        <v>1.9845331416987022E-2</v>
      </c>
      <c r="V184" t="s">
        <v>84</v>
      </c>
      <c r="AK184">
        <v>2043</v>
      </c>
      <c r="AL184" t="s">
        <v>173</v>
      </c>
      <c r="AM184">
        <v>0.46019999999999994</v>
      </c>
      <c r="AN184" t="s">
        <v>168</v>
      </c>
    </row>
    <row r="185" spans="9:40" x14ac:dyDescent="0.45">
      <c r="I185" t="s">
        <v>98</v>
      </c>
      <c r="J185" t="s">
        <v>195</v>
      </c>
      <c r="K185">
        <v>1.2934519299620524E-3</v>
      </c>
      <c r="L185" t="s">
        <v>84</v>
      </c>
      <c r="N185" t="s">
        <v>114</v>
      </c>
      <c r="O185" t="s">
        <v>195</v>
      </c>
      <c r="P185">
        <v>8.692733794209552E-2</v>
      </c>
      <c r="Q185" t="s">
        <v>84</v>
      </c>
      <c r="S185" t="s">
        <v>129</v>
      </c>
      <c r="T185" t="s">
        <v>195</v>
      </c>
      <c r="U185">
        <v>7.7809035202886706E-2</v>
      </c>
      <c r="V185" t="s">
        <v>84</v>
      </c>
      <c r="AK185">
        <v>2043</v>
      </c>
      <c r="AL185" t="s">
        <v>175</v>
      </c>
      <c r="AM185">
        <v>0.42549999999999999</v>
      </c>
      <c r="AN185" t="s">
        <v>168</v>
      </c>
    </row>
    <row r="186" spans="9:40" x14ac:dyDescent="0.45">
      <c r="I186" t="s">
        <v>98</v>
      </c>
      <c r="J186" t="s">
        <v>196</v>
      </c>
      <c r="K186">
        <v>5.1852491793907142E-2</v>
      </c>
      <c r="L186" t="s">
        <v>84</v>
      </c>
      <c r="N186" t="s">
        <v>114</v>
      </c>
      <c r="O186" t="s">
        <v>196</v>
      </c>
      <c r="P186">
        <v>5.0803640770573325E-2</v>
      </c>
      <c r="Q186" t="s">
        <v>84</v>
      </c>
      <c r="S186" t="s">
        <v>129</v>
      </c>
      <c r="T186" t="s">
        <v>196</v>
      </c>
      <c r="U186">
        <v>4.2938164746614937E-2</v>
      </c>
      <c r="V186" t="s">
        <v>84</v>
      </c>
      <c r="AK186">
        <v>2043</v>
      </c>
      <c r="AL186" t="s">
        <v>176</v>
      </c>
      <c r="AM186">
        <v>0.43049999999999999</v>
      </c>
      <c r="AN186" t="s">
        <v>168</v>
      </c>
    </row>
    <row r="187" spans="9:40" x14ac:dyDescent="0.45">
      <c r="I187" t="s">
        <v>98</v>
      </c>
      <c r="J187" t="s">
        <v>197</v>
      </c>
      <c r="K187">
        <v>9.8571684607712415E-2</v>
      </c>
      <c r="L187" t="s">
        <v>84</v>
      </c>
      <c r="N187" t="s">
        <v>114</v>
      </c>
      <c r="O187" t="s">
        <v>197</v>
      </c>
      <c r="P187">
        <v>9.1784089971325811E-2</v>
      </c>
      <c r="Q187" t="s">
        <v>84</v>
      </c>
      <c r="S187" t="s">
        <v>129</v>
      </c>
      <c r="T187" t="s">
        <v>197</v>
      </c>
      <c r="U187">
        <v>6.7256327663115942E-2</v>
      </c>
      <c r="V187" t="s">
        <v>84</v>
      </c>
      <c r="AK187">
        <v>2044</v>
      </c>
      <c r="AL187" t="s">
        <v>72</v>
      </c>
      <c r="AM187">
        <v>0.4073</v>
      </c>
      <c r="AN187" t="s">
        <v>168</v>
      </c>
    </row>
    <row r="188" spans="9:40" x14ac:dyDescent="0.45">
      <c r="I188" t="s">
        <v>98</v>
      </c>
      <c r="J188" t="s">
        <v>198</v>
      </c>
      <c r="K188">
        <v>6.4662219983677351E-3</v>
      </c>
      <c r="L188" t="s">
        <v>84</v>
      </c>
      <c r="N188" t="s">
        <v>114</v>
      </c>
      <c r="O188" t="s">
        <v>198</v>
      </c>
      <c r="P188">
        <v>1.2410854097756201E-2</v>
      </c>
      <c r="Q188" t="s">
        <v>84</v>
      </c>
      <c r="S188" t="s">
        <v>129</v>
      </c>
      <c r="T188" t="s">
        <v>198</v>
      </c>
      <c r="U188">
        <v>1.1106032909069669E-2</v>
      </c>
      <c r="V188" t="s">
        <v>84</v>
      </c>
      <c r="AK188">
        <v>2044</v>
      </c>
      <c r="AL188" t="s">
        <v>76</v>
      </c>
      <c r="AM188">
        <v>0.38979999999999998</v>
      </c>
      <c r="AN188" t="s">
        <v>168</v>
      </c>
    </row>
    <row r="189" spans="9:40" x14ac:dyDescent="0.45">
      <c r="I189" t="s">
        <v>98</v>
      </c>
      <c r="J189" t="s">
        <v>199</v>
      </c>
      <c r="K189">
        <v>0</v>
      </c>
      <c r="L189" t="s">
        <v>84</v>
      </c>
      <c r="N189" t="s">
        <v>114</v>
      </c>
      <c r="O189" t="s">
        <v>199</v>
      </c>
      <c r="P189">
        <v>1.1983264463288458E-2</v>
      </c>
      <c r="Q189" t="s">
        <v>84</v>
      </c>
      <c r="S189" t="s">
        <v>129</v>
      </c>
      <c r="T189" t="s">
        <v>199</v>
      </c>
      <c r="U189">
        <v>1.0967429296901025E-2</v>
      </c>
      <c r="V189" t="s">
        <v>84</v>
      </c>
      <c r="AK189">
        <v>2044</v>
      </c>
      <c r="AL189" t="s">
        <v>78</v>
      </c>
      <c r="AM189">
        <v>0.40560000000000002</v>
      </c>
      <c r="AN189" t="s">
        <v>168</v>
      </c>
    </row>
    <row r="190" spans="9:40" x14ac:dyDescent="0.45">
      <c r="I190" t="s">
        <v>98</v>
      </c>
      <c r="J190" t="s">
        <v>200</v>
      </c>
      <c r="K190">
        <v>0</v>
      </c>
      <c r="L190" t="s">
        <v>84</v>
      </c>
      <c r="N190" t="s">
        <v>114</v>
      </c>
      <c r="O190" t="s">
        <v>200</v>
      </c>
      <c r="P190">
        <v>6.0868334912103812E-2</v>
      </c>
      <c r="Q190" t="s">
        <v>84</v>
      </c>
      <c r="S190" t="s">
        <v>129</v>
      </c>
      <c r="T190" t="s">
        <v>200</v>
      </c>
      <c r="U190">
        <v>5.4429258797171025E-2</v>
      </c>
      <c r="V190" t="s">
        <v>84</v>
      </c>
      <c r="AK190">
        <v>2044</v>
      </c>
      <c r="AL190" t="s">
        <v>80</v>
      </c>
      <c r="AM190">
        <v>0.40500000000000003</v>
      </c>
      <c r="AN190" t="s">
        <v>168</v>
      </c>
    </row>
    <row r="191" spans="9:40" x14ac:dyDescent="0.45">
      <c r="I191" t="s">
        <v>98</v>
      </c>
      <c r="J191" t="s">
        <v>201</v>
      </c>
      <c r="K191">
        <v>6.7527313559942962E-3</v>
      </c>
      <c r="L191" t="s">
        <v>84</v>
      </c>
      <c r="N191" t="s">
        <v>114</v>
      </c>
      <c r="O191" t="s">
        <v>201</v>
      </c>
      <c r="P191">
        <v>2.9266503006062681E-2</v>
      </c>
      <c r="Q191" t="s">
        <v>84</v>
      </c>
      <c r="S191" t="s">
        <v>129</v>
      </c>
      <c r="T191" t="s">
        <v>201</v>
      </c>
      <c r="U191">
        <v>2.5224562894928835E-2</v>
      </c>
      <c r="V191" t="s">
        <v>84</v>
      </c>
      <c r="AK191">
        <v>2044</v>
      </c>
      <c r="AL191" t="s">
        <v>171</v>
      </c>
      <c r="AM191">
        <v>0.4738</v>
      </c>
      <c r="AN191" t="s">
        <v>168</v>
      </c>
    </row>
    <row r="192" spans="9:40" x14ac:dyDescent="0.45">
      <c r="I192" t="s">
        <v>98</v>
      </c>
      <c r="J192" t="s">
        <v>202</v>
      </c>
      <c r="K192">
        <v>3.4456788875640555E-2</v>
      </c>
      <c r="L192" t="s">
        <v>84</v>
      </c>
      <c r="N192" t="s">
        <v>114</v>
      </c>
      <c r="O192" t="s">
        <v>202</v>
      </c>
      <c r="P192">
        <v>2.3595530648478635E-2</v>
      </c>
      <c r="Q192" t="s">
        <v>84</v>
      </c>
      <c r="S192" t="s">
        <v>129</v>
      </c>
      <c r="T192" t="s">
        <v>202</v>
      </c>
      <c r="U192">
        <v>1.3253465641079799E-2</v>
      </c>
      <c r="V192" t="s">
        <v>84</v>
      </c>
      <c r="AK192">
        <v>2044</v>
      </c>
      <c r="AL192" t="s">
        <v>173</v>
      </c>
      <c r="AM192">
        <v>0.43969999999999998</v>
      </c>
      <c r="AN192" t="s">
        <v>168</v>
      </c>
    </row>
    <row r="193" spans="9:40" x14ac:dyDescent="0.45">
      <c r="I193" t="s">
        <v>98</v>
      </c>
      <c r="J193" t="s">
        <v>203</v>
      </c>
      <c r="K193">
        <v>5.5655162705388034E-2</v>
      </c>
      <c r="L193" t="s">
        <v>84</v>
      </c>
      <c r="N193" t="s">
        <v>114</v>
      </c>
      <c r="O193" t="s">
        <v>203</v>
      </c>
      <c r="P193">
        <v>4.4379791762065246E-2</v>
      </c>
      <c r="Q193" t="s">
        <v>84</v>
      </c>
      <c r="S193" t="s">
        <v>129</v>
      </c>
      <c r="T193" t="s">
        <v>203</v>
      </c>
      <c r="U193">
        <v>2.1472837659404904E-2</v>
      </c>
      <c r="V193" t="s">
        <v>84</v>
      </c>
      <c r="AK193">
        <v>2044</v>
      </c>
      <c r="AL193" t="s">
        <v>175</v>
      </c>
      <c r="AM193">
        <v>0.42349999999999999</v>
      </c>
      <c r="AN193" t="s">
        <v>168</v>
      </c>
    </row>
    <row r="194" spans="9:40" x14ac:dyDescent="0.45">
      <c r="I194" t="s">
        <v>98</v>
      </c>
      <c r="J194" t="s">
        <v>204</v>
      </c>
      <c r="K194">
        <v>6.1289934149500848E-3</v>
      </c>
      <c r="L194" t="s">
        <v>84</v>
      </c>
      <c r="N194" t="s">
        <v>114</v>
      </c>
      <c r="O194" t="s">
        <v>204</v>
      </c>
      <c r="P194">
        <v>6.1080070739713164E-3</v>
      </c>
      <c r="Q194" t="s">
        <v>84</v>
      </c>
      <c r="S194" t="s">
        <v>129</v>
      </c>
      <c r="T194" t="s">
        <v>204</v>
      </c>
      <c r="U194">
        <v>3.9285893317100393E-3</v>
      </c>
      <c r="V194" t="s">
        <v>84</v>
      </c>
      <c r="AK194">
        <v>2044</v>
      </c>
      <c r="AL194" t="s">
        <v>176</v>
      </c>
      <c r="AM194">
        <v>0.39300000000000002</v>
      </c>
      <c r="AN194" t="s">
        <v>168</v>
      </c>
    </row>
    <row r="195" spans="9:40" x14ac:dyDescent="0.45">
      <c r="I195" t="s">
        <v>98</v>
      </c>
      <c r="J195" t="s">
        <v>205</v>
      </c>
      <c r="K195">
        <v>2.6639276121120702E-3</v>
      </c>
      <c r="L195" t="s">
        <v>84</v>
      </c>
      <c r="N195" t="s">
        <v>114</v>
      </c>
      <c r="O195" t="s">
        <v>205</v>
      </c>
      <c r="P195">
        <v>5.6219524111589605E-3</v>
      </c>
      <c r="Q195" t="s">
        <v>84</v>
      </c>
      <c r="S195" t="s">
        <v>129</v>
      </c>
      <c r="T195" t="s">
        <v>205</v>
      </c>
      <c r="U195">
        <v>3.9619699842233999E-3</v>
      </c>
      <c r="V195" t="s">
        <v>84</v>
      </c>
      <c r="AK195">
        <v>2045</v>
      </c>
      <c r="AL195" t="s">
        <v>72</v>
      </c>
      <c r="AM195">
        <v>0.54359999999999997</v>
      </c>
      <c r="AN195" t="s">
        <v>168</v>
      </c>
    </row>
    <row r="196" spans="9:40" x14ac:dyDescent="0.45">
      <c r="I196" t="s">
        <v>98</v>
      </c>
      <c r="J196" t="s">
        <v>206</v>
      </c>
      <c r="K196">
        <v>0</v>
      </c>
      <c r="L196" t="s">
        <v>84</v>
      </c>
      <c r="N196" t="s">
        <v>114</v>
      </c>
      <c r="O196" t="s">
        <v>206</v>
      </c>
      <c r="P196">
        <v>2.3566527978050499E-2</v>
      </c>
      <c r="Q196" t="s">
        <v>84</v>
      </c>
      <c r="S196" t="s">
        <v>129</v>
      </c>
      <c r="T196" t="s">
        <v>206</v>
      </c>
      <c r="U196">
        <v>1.9610435903936581E-2</v>
      </c>
      <c r="V196" t="s">
        <v>84</v>
      </c>
      <c r="AK196">
        <v>2045</v>
      </c>
      <c r="AL196" t="s">
        <v>76</v>
      </c>
      <c r="AM196">
        <v>0.59030000000000005</v>
      </c>
      <c r="AN196" t="s">
        <v>168</v>
      </c>
    </row>
    <row r="197" spans="9:40" x14ac:dyDescent="0.45">
      <c r="I197" t="s">
        <v>98</v>
      </c>
      <c r="J197" t="s">
        <v>207</v>
      </c>
      <c r="K197">
        <v>2.1511440921896056E-2</v>
      </c>
      <c r="L197" t="s">
        <v>84</v>
      </c>
      <c r="N197" t="s">
        <v>114</v>
      </c>
      <c r="O197" t="s">
        <v>207</v>
      </c>
      <c r="P197">
        <v>3.2008533477595517E-2</v>
      </c>
      <c r="Q197" t="s">
        <v>84</v>
      </c>
      <c r="S197" t="s">
        <v>129</v>
      </c>
      <c r="T197" t="s">
        <v>207</v>
      </c>
      <c r="U197">
        <v>4.3593567701215946E-2</v>
      </c>
      <c r="V197" t="s">
        <v>84</v>
      </c>
      <c r="AK197">
        <v>2045</v>
      </c>
      <c r="AL197" t="s">
        <v>78</v>
      </c>
      <c r="AM197">
        <v>0.52100000000000002</v>
      </c>
      <c r="AN197" t="s">
        <v>168</v>
      </c>
    </row>
    <row r="198" spans="9:40" x14ac:dyDescent="0.45">
      <c r="I198" t="s">
        <v>98</v>
      </c>
      <c r="J198" t="s">
        <v>208</v>
      </c>
      <c r="K198">
        <v>7.7691975355620876E-2</v>
      </c>
      <c r="L198" t="s">
        <v>84</v>
      </c>
      <c r="N198" t="s">
        <v>114</v>
      </c>
      <c r="O198" t="s">
        <v>208</v>
      </c>
      <c r="P198">
        <v>2.4733755717555771E-2</v>
      </c>
      <c r="Q198" t="s">
        <v>84</v>
      </c>
      <c r="S198" t="s">
        <v>129</v>
      </c>
      <c r="T198" t="s">
        <v>208</v>
      </c>
      <c r="U198">
        <v>2.2696701422051262E-2</v>
      </c>
      <c r="V198" t="s">
        <v>84</v>
      </c>
      <c r="AK198">
        <v>2045</v>
      </c>
      <c r="AL198" t="s">
        <v>80</v>
      </c>
      <c r="AM198">
        <v>0.56214999999999993</v>
      </c>
      <c r="AN198" t="s">
        <v>168</v>
      </c>
    </row>
    <row r="199" spans="9:40" x14ac:dyDescent="0.45">
      <c r="I199" t="s">
        <v>98</v>
      </c>
      <c r="J199" t="s">
        <v>209</v>
      </c>
      <c r="K199">
        <v>0.12356021270678938</v>
      </c>
      <c r="L199" t="s">
        <v>84</v>
      </c>
      <c r="N199" t="s">
        <v>114</v>
      </c>
      <c r="O199" t="s">
        <v>209</v>
      </c>
      <c r="P199">
        <v>4.4947384251684284E-2</v>
      </c>
      <c r="Q199" t="s">
        <v>84</v>
      </c>
      <c r="S199" t="s">
        <v>129</v>
      </c>
      <c r="T199" t="s">
        <v>209</v>
      </c>
      <c r="U199">
        <v>3.90100749227087E-2</v>
      </c>
      <c r="V199" t="s">
        <v>84</v>
      </c>
      <c r="AK199">
        <v>2045</v>
      </c>
      <c r="AL199" t="s">
        <v>171</v>
      </c>
      <c r="AM199">
        <v>0.61639999999999995</v>
      </c>
      <c r="AN199" t="s">
        <v>168</v>
      </c>
    </row>
    <row r="200" spans="9:40" x14ac:dyDescent="0.45">
      <c r="I200" t="s">
        <v>98</v>
      </c>
      <c r="J200" t="s">
        <v>210</v>
      </c>
      <c r="K200">
        <v>1.4682887691022151E-2</v>
      </c>
      <c r="L200" t="s">
        <v>84</v>
      </c>
      <c r="N200" t="s">
        <v>114</v>
      </c>
      <c r="O200" t="s">
        <v>210</v>
      </c>
      <c r="P200">
        <v>7.2699687016120418E-3</v>
      </c>
      <c r="Q200" t="s">
        <v>84</v>
      </c>
      <c r="S200" t="s">
        <v>129</v>
      </c>
      <c r="T200" t="s">
        <v>210</v>
      </c>
      <c r="U200">
        <v>6.8126975092413933E-3</v>
      </c>
      <c r="V200" t="s">
        <v>84</v>
      </c>
      <c r="AK200">
        <v>2045</v>
      </c>
      <c r="AL200" t="s">
        <v>173</v>
      </c>
      <c r="AM200">
        <v>0.61373333333333335</v>
      </c>
      <c r="AN200" t="s">
        <v>168</v>
      </c>
    </row>
    <row r="201" spans="9:40" x14ac:dyDescent="0.45">
      <c r="I201" t="s">
        <v>98</v>
      </c>
      <c r="J201" t="s">
        <v>211</v>
      </c>
      <c r="K201">
        <v>1.0238874663108568E-2</v>
      </c>
      <c r="L201" t="s">
        <v>84</v>
      </c>
      <c r="N201" t="s">
        <v>114</v>
      </c>
      <c r="O201" t="s">
        <v>211</v>
      </c>
      <c r="P201">
        <v>6.7286308389672648E-3</v>
      </c>
      <c r="Q201" t="s">
        <v>84</v>
      </c>
      <c r="S201" t="s">
        <v>129</v>
      </c>
      <c r="T201" t="s">
        <v>211</v>
      </c>
      <c r="U201">
        <v>6.6828866109652288E-3</v>
      </c>
      <c r="V201" t="s">
        <v>84</v>
      </c>
      <c r="AK201">
        <v>2045</v>
      </c>
      <c r="AL201" t="s">
        <v>175</v>
      </c>
      <c r="AM201">
        <v>0.6048</v>
      </c>
      <c r="AN201" t="s">
        <v>168</v>
      </c>
    </row>
    <row r="202" spans="9:40" x14ac:dyDescent="0.45">
      <c r="I202" t="s">
        <v>98</v>
      </c>
      <c r="J202" t="s">
        <v>212</v>
      </c>
      <c r="K202">
        <v>2.9643030068524376E-3</v>
      </c>
      <c r="L202" t="s">
        <v>84</v>
      </c>
      <c r="N202" t="s">
        <v>114</v>
      </c>
      <c r="O202" t="s">
        <v>212</v>
      </c>
      <c r="P202">
        <v>2.641044152768016E-2</v>
      </c>
      <c r="Q202" t="s">
        <v>84</v>
      </c>
      <c r="S202" t="s">
        <v>129</v>
      </c>
      <c r="T202" t="s">
        <v>212</v>
      </c>
      <c r="U202">
        <v>3.2884746452590041E-2</v>
      </c>
      <c r="V202" t="s">
        <v>84</v>
      </c>
      <c r="AK202">
        <v>2045</v>
      </c>
      <c r="AL202" t="s">
        <v>176</v>
      </c>
      <c r="AM202">
        <v>0.59870000000000001</v>
      </c>
      <c r="AN202" t="s">
        <v>168</v>
      </c>
    </row>
    <row r="203" spans="9:40" x14ac:dyDescent="0.45">
      <c r="I203" t="s">
        <v>99</v>
      </c>
      <c r="J203" t="s">
        <v>83</v>
      </c>
      <c r="K203">
        <v>9.5101177234689169E-3</v>
      </c>
      <c r="L203" t="s">
        <v>84</v>
      </c>
      <c r="N203" t="s">
        <v>115</v>
      </c>
      <c r="O203" t="s">
        <v>83</v>
      </c>
      <c r="P203">
        <v>2.3383687306677142E-2</v>
      </c>
      <c r="Q203" t="s">
        <v>84</v>
      </c>
      <c r="S203" t="s">
        <v>130</v>
      </c>
      <c r="T203" t="s">
        <v>83</v>
      </c>
      <c r="U203">
        <v>2.1627076345128445E-2</v>
      </c>
      <c r="V203" t="s">
        <v>84</v>
      </c>
      <c r="AK203">
        <v>2046</v>
      </c>
      <c r="AL203" t="s">
        <v>72</v>
      </c>
      <c r="AM203">
        <v>0.50470000000000004</v>
      </c>
      <c r="AN203" t="s">
        <v>168</v>
      </c>
    </row>
    <row r="204" spans="9:40" x14ac:dyDescent="0.45">
      <c r="I204" t="s">
        <v>99</v>
      </c>
      <c r="J204" t="s">
        <v>85</v>
      </c>
      <c r="K204">
        <v>4.2605317220434119E-2</v>
      </c>
      <c r="L204" t="s">
        <v>84</v>
      </c>
      <c r="N204" t="s">
        <v>115</v>
      </c>
      <c r="O204" t="s">
        <v>85</v>
      </c>
      <c r="P204">
        <v>1.3248783017107378E-2</v>
      </c>
      <c r="Q204" t="s">
        <v>84</v>
      </c>
      <c r="S204" t="s">
        <v>130</v>
      </c>
      <c r="T204" t="s">
        <v>85</v>
      </c>
      <c r="U204">
        <v>1.079208936100693E-2</v>
      </c>
      <c r="V204" t="s">
        <v>84</v>
      </c>
      <c r="AK204">
        <v>2046</v>
      </c>
      <c r="AL204" t="s">
        <v>76</v>
      </c>
      <c r="AM204">
        <v>0.6038</v>
      </c>
      <c r="AN204" t="s">
        <v>168</v>
      </c>
    </row>
    <row r="205" spans="9:40" x14ac:dyDescent="0.45">
      <c r="I205" t="s">
        <v>99</v>
      </c>
      <c r="J205" t="s">
        <v>86</v>
      </c>
      <c r="K205">
        <v>7.4066765946739888E-2</v>
      </c>
      <c r="L205" t="s">
        <v>84</v>
      </c>
      <c r="N205" t="s">
        <v>115</v>
      </c>
      <c r="O205" t="s">
        <v>86</v>
      </c>
      <c r="P205">
        <v>2.4684314971702599E-2</v>
      </c>
      <c r="Q205" t="s">
        <v>84</v>
      </c>
      <c r="S205" t="s">
        <v>130</v>
      </c>
      <c r="T205" t="s">
        <v>86</v>
      </c>
      <c r="U205">
        <v>2.1264280617425711E-2</v>
      </c>
      <c r="V205" t="s">
        <v>84</v>
      </c>
      <c r="AK205">
        <v>2046</v>
      </c>
      <c r="AL205" t="s">
        <v>78</v>
      </c>
      <c r="AM205">
        <v>0.50800000000000001</v>
      </c>
      <c r="AN205" t="s">
        <v>168</v>
      </c>
    </row>
    <row r="206" spans="9:40" x14ac:dyDescent="0.45">
      <c r="I206" t="s">
        <v>99</v>
      </c>
      <c r="J206" t="s">
        <v>177</v>
      </c>
      <c r="K206">
        <v>9.6603050436452776E-3</v>
      </c>
      <c r="L206" t="s">
        <v>84</v>
      </c>
      <c r="N206" t="s">
        <v>115</v>
      </c>
      <c r="O206" t="s">
        <v>177</v>
      </c>
      <c r="P206">
        <v>4.4851988629479944E-3</v>
      </c>
      <c r="Q206" t="s">
        <v>84</v>
      </c>
      <c r="S206" t="s">
        <v>130</v>
      </c>
      <c r="T206" t="s">
        <v>177</v>
      </c>
      <c r="U206">
        <v>4.4269843976601359E-3</v>
      </c>
      <c r="V206" t="s">
        <v>84</v>
      </c>
      <c r="AK206">
        <v>2046</v>
      </c>
      <c r="AL206" t="s">
        <v>80</v>
      </c>
      <c r="AM206">
        <v>0.52899999999999991</v>
      </c>
      <c r="AN206" t="s">
        <v>168</v>
      </c>
    </row>
    <row r="207" spans="9:40" x14ac:dyDescent="0.45">
      <c r="I207" t="s">
        <v>99</v>
      </c>
      <c r="J207" t="s">
        <v>178</v>
      </c>
      <c r="K207">
        <v>7.8752351106753122E-3</v>
      </c>
      <c r="L207" t="s">
        <v>84</v>
      </c>
      <c r="N207" t="s">
        <v>115</v>
      </c>
      <c r="O207" t="s">
        <v>178</v>
      </c>
      <c r="P207">
        <v>4.238831715113826E-3</v>
      </c>
      <c r="Q207" t="s">
        <v>84</v>
      </c>
      <c r="S207" t="s">
        <v>130</v>
      </c>
      <c r="T207" t="s">
        <v>178</v>
      </c>
      <c r="U207">
        <v>4.246568387118144E-3</v>
      </c>
      <c r="V207" t="s">
        <v>84</v>
      </c>
      <c r="AK207">
        <v>2046</v>
      </c>
      <c r="AL207" t="s">
        <v>171</v>
      </c>
      <c r="AM207">
        <v>0.60919999999999996</v>
      </c>
      <c r="AN207" t="s">
        <v>168</v>
      </c>
    </row>
    <row r="208" spans="9:40" x14ac:dyDescent="0.45">
      <c r="I208" t="s">
        <v>99</v>
      </c>
      <c r="J208" t="s">
        <v>179</v>
      </c>
      <c r="K208">
        <v>3.7121104351803933E-3</v>
      </c>
      <c r="L208" t="s">
        <v>84</v>
      </c>
      <c r="N208" t="s">
        <v>115</v>
      </c>
      <c r="O208" t="s">
        <v>179</v>
      </c>
      <c r="P208">
        <v>1.856277792156677E-2</v>
      </c>
      <c r="Q208" t="s">
        <v>84</v>
      </c>
      <c r="S208" t="s">
        <v>130</v>
      </c>
      <c r="T208" t="s">
        <v>179</v>
      </c>
      <c r="U208">
        <v>1.9523146249040883E-2</v>
      </c>
      <c r="V208" t="s">
        <v>84</v>
      </c>
      <c r="AK208">
        <v>2046</v>
      </c>
      <c r="AL208" t="s">
        <v>173</v>
      </c>
      <c r="AM208">
        <v>0.63726666666666665</v>
      </c>
      <c r="AN208" t="s">
        <v>168</v>
      </c>
    </row>
    <row r="209" spans="9:40" x14ac:dyDescent="0.45">
      <c r="I209" t="s">
        <v>99</v>
      </c>
      <c r="J209" t="s">
        <v>87</v>
      </c>
      <c r="K209">
        <v>5.3613249508997944E-3</v>
      </c>
      <c r="L209" t="s">
        <v>84</v>
      </c>
      <c r="N209" t="s">
        <v>115</v>
      </c>
      <c r="O209" t="s">
        <v>87</v>
      </c>
      <c r="P209">
        <v>1.2822918741406345E-2</v>
      </c>
      <c r="Q209" t="s">
        <v>84</v>
      </c>
      <c r="S209" t="s">
        <v>130</v>
      </c>
      <c r="T209" t="s">
        <v>87</v>
      </c>
      <c r="U209">
        <v>1.3932097437982616E-2</v>
      </c>
      <c r="V209" t="s">
        <v>84</v>
      </c>
      <c r="AK209">
        <v>2046</v>
      </c>
      <c r="AL209" t="s">
        <v>175</v>
      </c>
      <c r="AM209">
        <v>0.56720000000000004</v>
      </c>
      <c r="AN209" t="s">
        <v>168</v>
      </c>
    </row>
    <row r="210" spans="9:40" x14ac:dyDescent="0.45">
      <c r="I210" t="s">
        <v>99</v>
      </c>
      <c r="J210" t="s">
        <v>88</v>
      </c>
      <c r="K210">
        <v>3.8297859062559864E-2</v>
      </c>
      <c r="L210" t="s">
        <v>84</v>
      </c>
      <c r="N210" t="s">
        <v>115</v>
      </c>
      <c r="O210" t="s">
        <v>88</v>
      </c>
      <c r="P210">
        <v>7.7167011766884593E-3</v>
      </c>
      <c r="Q210" t="s">
        <v>84</v>
      </c>
      <c r="S210" t="s">
        <v>130</v>
      </c>
      <c r="T210" t="s">
        <v>88</v>
      </c>
      <c r="U210">
        <v>8.5875707511694783E-3</v>
      </c>
      <c r="V210" t="s">
        <v>84</v>
      </c>
      <c r="AK210">
        <v>2046</v>
      </c>
      <c r="AL210" t="s">
        <v>176</v>
      </c>
      <c r="AM210">
        <v>0.58909999999999996</v>
      </c>
      <c r="AN210" t="s">
        <v>168</v>
      </c>
    </row>
    <row r="211" spans="9:40" x14ac:dyDescent="0.45">
      <c r="I211" t="s">
        <v>99</v>
      </c>
      <c r="J211" t="s">
        <v>89</v>
      </c>
      <c r="K211">
        <v>6.452898134109393E-2</v>
      </c>
      <c r="L211" t="s">
        <v>84</v>
      </c>
      <c r="N211" t="s">
        <v>115</v>
      </c>
      <c r="O211" t="s">
        <v>89</v>
      </c>
      <c r="P211">
        <v>1.5276298136331173E-2</v>
      </c>
      <c r="Q211" t="s">
        <v>84</v>
      </c>
      <c r="S211" t="s">
        <v>130</v>
      </c>
      <c r="T211" t="s">
        <v>89</v>
      </c>
      <c r="U211">
        <v>1.8661034563919314E-2</v>
      </c>
      <c r="V211" t="s">
        <v>84</v>
      </c>
      <c r="AK211">
        <v>2047</v>
      </c>
      <c r="AL211" t="s">
        <v>72</v>
      </c>
      <c r="AM211">
        <v>0.50749999999999995</v>
      </c>
      <c r="AN211" t="s">
        <v>168</v>
      </c>
    </row>
    <row r="212" spans="9:40" x14ac:dyDescent="0.45">
      <c r="I212" t="s">
        <v>99</v>
      </c>
      <c r="J212" t="s">
        <v>180</v>
      </c>
      <c r="K212">
        <v>9.2521145792464794E-3</v>
      </c>
      <c r="L212" t="s">
        <v>84</v>
      </c>
      <c r="N212" t="s">
        <v>115</v>
      </c>
      <c r="O212" t="s">
        <v>180</v>
      </c>
      <c r="P212">
        <v>3.1876116168918652E-3</v>
      </c>
      <c r="Q212" t="s">
        <v>84</v>
      </c>
      <c r="S212" t="s">
        <v>130</v>
      </c>
      <c r="T212" t="s">
        <v>180</v>
      </c>
      <c r="U212">
        <v>4.0778449176137668E-3</v>
      </c>
      <c r="V212" t="s">
        <v>84</v>
      </c>
      <c r="AK212">
        <v>2047</v>
      </c>
      <c r="AL212" t="s">
        <v>76</v>
      </c>
      <c r="AM212">
        <v>0.56620000000000004</v>
      </c>
      <c r="AN212" t="s">
        <v>168</v>
      </c>
    </row>
    <row r="213" spans="9:40" x14ac:dyDescent="0.45">
      <c r="I213" t="s">
        <v>99</v>
      </c>
      <c r="J213" t="s">
        <v>181</v>
      </c>
      <c r="K213">
        <v>6.6705349991273526E-3</v>
      </c>
      <c r="L213" t="s">
        <v>84</v>
      </c>
      <c r="N213" t="s">
        <v>115</v>
      </c>
      <c r="O213" t="s">
        <v>181</v>
      </c>
      <c r="P213">
        <v>3.0927405114769685E-3</v>
      </c>
      <c r="Q213" t="s">
        <v>84</v>
      </c>
      <c r="S213" t="s">
        <v>130</v>
      </c>
      <c r="T213" t="s">
        <v>181</v>
      </c>
      <c r="U213">
        <v>3.8745773153371667E-3</v>
      </c>
      <c r="V213" t="s">
        <v>84</v>
      </c>
      <c r="AK213">
        <v>2047</v>
      </c>
      <c r="AL213" t="s">
        <v>78</v>
      </c>
      <c r="AM213">
        <v>0.46360000000000001</v>
      </c>
      <c r="AN213" t="s">
        <v>168</v>
      </c>
    </row>
    <row r="214" spans="9:40" x14ac:dyDescent="0.45">
      <c r="I214" t="s">
        <v>99</v>
      </c>
      <c r="J214" t="s">
        <v>182</v>
      </c>
      <c r="K214">
        <v>0</v>
      </c>
      <c r="L214" t="s">
        <v>84</v>
      </c>
      <c r="N214" t="s">
        <v>115</v>
      </c>
      <c r="O214" t="s">
        <v>182</v>
      </c>
      <c r="P214">
        <v>1.2524095512485805E-2</v>
      </c>
      <c r="Q214" t="s">
        <v>84</v>
      </c>
      <c r="S214" t="s">
        <v>130</v>
      </c>
      <c r="T214" t="s">
        <v>182</v>
      </c>
      <c r="U214">
        <v>1.4627662402141816E-2</v>
      </c>
      <c r="V214" t="s">
        <v>84</v>
      </c>
      <c r="AK214">
        <v>2047</v>
      </c>
      <c r="AL214" t="s">
        <v>80</v>
      </c>
      <c r="AM214">
        <v>0.54994999999999994</v>
      </c>
      <c r="AN214" t="s">
        <v>168</v>
      </c>
    </row>
    <row r="215" spans="9:40" x14ac:dyDescent="0.45">
      <c r="I215" t="s">
        <v>99</v>
      </c>
      <c r="J215" t="s">
        <v>90</v>
      </c>
      <c r="K215">
        <v>3.2475431875624706E-3</v>
      </c>
      <c r="L215" t="s">
        <v>84</v>
      </c>
      <c r="N215" t="s">
        <v>115</v>
      </c>
      <c r="O215" t="s">
        <v>90</v>
      </c>
      <c r="P215">
        <v>1.4060479538189407E-2</v>
      </c>
      <c r="Q215" t="s">
        <v>84</v>
      </c>
      <c r="S215" t="s">
        <v>130</v>
      </c>
      <c r="T215" t="s">
        <v>90</v>
      </c>
      <c r="U215">
        <v>1.2123574377033481E-2</v>
      </c>
      <c r="V215" t="s">
        <v>84</v>
      </c>
      <c r="AK215">
        <v>2047</v>
      </c>
      <c r="AL215" t="s">
        <v>171</v>
      </c>
      <c r="AM215">
        <v>0.66120000000000001</v>
      </c>
      <c r="AN215" t="s">
        <v>168</v>
      </c>
    </row>
    <row r="216" spans="9:40" x14ac:dyDescent="0.45">
      <c r="I216" t="s">
        <v>99</v>
      </c>
      <c r="J216" t="s">
        <v>91</v>
      </c>
      <c r="K216">
        <v>3.3710644246441733E-2</v>
      </c>
      <c r="L216" t="s">
        <v>84</v>
      </c>
      <c r="N216" t="s">
        <v>115</v>
      </c>
      <c r="O216" t="s">
        <v>91</v>
      </c>
      <c r="P216">
        <v>9.4021137554810841E-3</v>
      </c>
      <c r="Q216" t="s">
        <v>84</v>
      </c>
      <c r="S216" t="s">
        <v>130</v>
      </c>
      <c r="T216" t="s">
        <v>91</v>
      </c>
      <c r="U216">
        <v>7.9581744748911873E-3</v>
      </c>
      <c r="V216" t="s">
        <v>84</v>
      </c>
      <c r="AK216">
        <v>2047</v>
      </c>
      <c r="AL216" t="s">
        <v>173</v>
      </c>
      <c r="AM216">
        <v>0.58140000000000003</v>
      </c>
      <c r="AN216" t="s">
        <v>168</v>
      </c>
    </row>
    <row r="217" spans="9:40" x14ac:dyDescent="0.45">
      <c r="I217" t="s">
        <v>99</v>
      </c>
      <c r="J217" t="s">
        <v>92</v>
      </c>
      <c r="K217">
        <v>5.4092080081807339E-2</v>
      </c>
      <c r="L217" t="s">
        <v>84</v>
      </c>
      <c r="N217" t="s">
        <v>115</v>
      </c>
      <c r="O217" t="s">
        <v>92</v>
      </c>
      <c r="P217">
        <v>1.6993576146493564E-2</v>
      </c>
      <c r="Q217" t="s">
        <v>84</v>
      </c>
      <c r="S217" t="s">
        <v>130</v>
      </c>
      <c r="T217" t="s">
        <v>92</v>
      </c>
      <c r="U217">
        <v>1.742235782482135E-2</v>
      </c>
      <c r="V217" t="s">
        <v>84</v>
      </c>
      <c r="AK217">
        <v>2047</v>
      </c>
      <c r="AL217" t="s">
        <v>175</v>
      </c>
      <c r="AM217">
        <v>0.62370000000000003</v>
      </c>
      <c r="AN217" t="s">
        <v>168</v>
      </c>
    </row>
    <row r="218" spans="9:40" x14ac:dyDescent="0.45">
      <c r="I218" t="s">
        <v>99</v>
      </c>
      <c r="J218" t="s">
        <v>183</v>
      </c>
      <c r="K218">
        <v>6.0375766559796771E-3</v>
      </c>
      <c r="L218" t="s">
        <v>84</v>
      </c>
      <c r="N218" t="s">
        <v>115</v>
      </c>
      <c r="O218" t="s">
        <v>183</v>
      </c>
      <c r="P218">
        <v>3.1059589187836184E-3</v>
      </c>
      <c r="Q218" t="s">
        <v>84</v>
      </c>
      <c r="S218" t="s">
        <v>130</v>
      </c>
      <c r="T218" t="s">
        <v>183</v>
      </c>
      <c r="U218">
        <v>3.5707361599799582E-3</v>
      </c>
      <c r="V218" t="s">
        <v>84</v>
      </c>
      <c r="AK218">
        <v>2047</v>
      </c>
      <c r="AL218" t="s">
        <v>176</v>
      </c>
      <c r="AM218">
        <v>0.55204999999999993</v>
      </c>
      <c r="AN218" t="s">
        <v>168</v>
      </c>
    </row>
    <row r="219" spans="9:40" x14ac:dyDescent="0.45">
      <c r="I219" t="s">
        <v>99</v>
      </c>
      <c r="J219" t="s">
        <v>184</v>
      </c>
      <c r="K219">
        <v>2.5506979058109412E-3</v>
      </c>
      <c r="L219" t="s">
        <v>84</v>
      </c>
      <c r="N219" t="s">
        <v>115</v>
      </c>
      <c r="O219" t="s">
        <v>184</v>
      </c>
      <c r="P219">
        <v>2.9685362002036969E-3</v>
      </c>
      <c r="Q219" t="s">
        <v>84</v>
      </c>
      <c r="S219" t="s">
        <v>130</v>
      </c>
      <c r="T219" t="s">
        <v>184</v>
      </c>
      <c r="U219">
        <v>3.5032419318293041E-3</v>
      </c>
      <c r="V219" t="s">
        <v>84</v>
      </c>
      <c r="AK219">
        <v>2048</v>
      </c>
      <c r="AL219" t="s">
        <v>72</v>
      </c>
      <c r="AM219">
        <v>0.5726</v>
      </c>
      <c r="AN219" t="s">
        <v>168</v>
      </c>
    </row>
    <row r="220" spans="9:40" x14ac:dyDescent="0.45">
      <c r="I220" t="s">
        <v>99</v>
      </c>
      <c r="J220" t="s">
        <v>185</v>
      </c>
      <c r="K220">
        <v>0</v>
      </c>
      <c r="L220" t="s">
        <v>84</v>
      </c>
      <c r="N220" t="s">
        <v>115</v>
      </c>
      <c r="O220" t="s">
        <v>185</v>
      </c>
      <c r="P220">
        <v>1.2067265788429954E-2</v>
      </c>
      <c r="Q220" t="s">
        <v>84</v>
      </c>
      <c r="S220" t="s">
        <v>130</v>
      </c>
      <c r="T220" t="s">
        <v>185</v>
      </c>
      <c r="U220">
        <v>1.2944594546721823E-2</v>
      </c>
      <c r="V220" t="s">
        <v>84</v>
      </c>
      <c r="AK220">
        <v>2048</v>
      </c>
      <c r="AL220" t="s">
        <v>76</v>
      </c>
      <c r="AM220">
        <v>0.60429999999999995</v>
      </c>
      <c r="AN220" t="s">
        <v>168</v>
      </c>
    </row>
    <row r="221" spans="9:40" x14ac:dyDescent="0.45">
      <c r="I221" t="s">
        <v>99</v>
      </c>
      <c r="J221" t="s">
        <v>93</v>
      </c>
      <c r="K221">
        <v>0</v>
      </c>
      <c r="L221" t="s">
        <v>84</v>
      </c>
      <c r="N221" t="s">
        <v>115</v>
      </c>
      <c r="O221" t="s">
        <v>93</v>
      </c>
      <c r="P221">
        <v>4.9189725579923703E-2</v>
      </c>
      <c r="Q221" t="s">
        <v>84</v>
      </c>
      <c r="S221" t="s">
        <v>130</v>
      </c>
      <c r="T221" t="s">
        <v>93</v>
      </c>
      <c r="U221">
        <v>4.8518339688895316E-2</v>
      </c>
      <c r="V221" t="s">
        <v>84</v>
      </c>
      <c r="AK221">
        <v>2048</v>
      </c>
      <c r="AL221" t="s">
        <v>78</v>
      </c>
      <c r="AM221">
        <v>0.49690000000000001</v>
      </c>
      <c r="AN221" t="s">
        <v>168</v>
      </c>
    </row>
    <row r="222" spans="9:40" x14ac:dyDescent="0.45">
      <c r="I222" t="s">
        <v>99</v>
      </c>
      <c r="J222" t="s">
        <v>94</v>
      </c>
      <c r="K222">
        <v>3.5319656661890325E-2</v>
      </c>
      <c r="L222" t="s">
        <v>84</v>
      </c>
      <c r="N222" t="s">
        <v>115</v>
      </c>
      <c r="O222" t="s">
        <v>94</v>
      </c>
      <c r="P222">
        <v>2.4035164558186644E-2</v>
      </c>
      <c r="Q222" t="s">
        <v>84</v>
      </c>
      <c r="S222" t="s">
        <v>130</v>
      </c>
      <c r="T222" t="s">
        <v>94</v>
      </c>
      <c r="U222">
        <v>2.3542230447725177E-2</v>
      </c>
      <c r="V222" t="s">
        <v>84</v>
      </c>
      <c r="AK222">
        <v>2048</v>
      </c>
      <c r="AL222" t="s">
        <v>80</v>
      </c>
      <c r="AM222">
        <v>0.50805</v>
      </c>
      <c r="AN222" t="s">
        <v>168</v>
      </c>
    </row>
    <row r="223" spans="9:40" x14ac:dyDescent="0.45">
      <c r="I223" t="s">
        <v>99</v>
      </c>
      <c r="J223" t="s">
        <v>95</v>
      </c>
      <c r="K223">
        <v>6.2449707266185921E-2</v>
      </c>
      <c r="L223" t="s">
        <v>84</v>
      </c>
      <c r="N223" t="s">
        <v>115</v>
      </c>
      <c r="O223" t="s">
        <v>95</v>
      </c>
      <c r="P223">
        <v>4.1264262411589862E-2</v>
      </c>
      <c r="Q223" t="s">
        <v>84</v>
      </c>
      <c r="S223" t="s">
        <v>130</v>
      </c>
      <c r="T223" t="s">
        <v>95</v>
      </c>
      <c r="U223">
        <v>4.0311023658764669E-2</v>
      </c>
      <c r="V223" t="s">
        <v>84</v>
      </c>
      <c r="AK223">
        <v>2048</v>
      </c>
      <c r="AL223" t="s">
        <v>171</v>
      </c>
      <c r="AM223">
        <v>0.54779999999999995</v>
      </c>
      <c r="AN223" t="s">
        <v>168</v>
      </c>
    </row>
    <row r="224" spans="9:40" x14ac:dyDescent="0.45">
      <c r="I224" t="s">
        <v>99</v>
      </c>
      <c r="J224" t="s">
        <v>186</v>
      </c>
      <c r="K224">
        <v>2.702868808296116E-3</v>
      </c>
      <c r="L224" t="s">
        <v>84</v>
      </c>
      <c r="N224" t="s">
        <v>115</v>
      </c>
      <c r="O224" t="s">
        <v>186</v>
      </c>
      <c r="P224">
        <v>6.491460652569744E-3</v>
      </c>
      <c r="Q224" t="s">
        <v>84</v>
      </c>
      <c r="S224" t="s">
        <v>130</v>
      </c>
      <c r="T224" t="s">
        <v>186</v>
      </c>
      <c r="U224">
        <v>6.7096023905300521E-3</v>
      </c>
      <c r="V224" t="s">
        <v>84</v>
      </c>
      <c r="AK224">
        <v>2048</v>
      </c>
      <c r="AL224" t="s">
        <v>173</v>
      </c>
      <c r="AM224">
        <v>0.60516666666666674</v>
      </c>
      <c r="AN224" t="s">
        <v>168</v>
      </c>
    </row>
    <row r="225" spans="9:40" x14ac:dyDescent="0.45">
      <c r="I225" t="s">
        <v>99</v>
      </c>
      <c r="J225" t="s">
        <v>187</v>
      </c>
      <c r="K225">
        <v>0</v>
      </c>
      <c r="L225" t="s">
        <v>84</v>
      </c>
      <c r="N225" t="s">
        <v>115</v>
      </c>
      <c r="O225" t="s">
        <v>187</v>
      </c>
      <c r="P225">
        <v>6.4394897012586055E-3</v>
      </c>
      <c r="Q225" t="s">
        <v>84</v>
      </c>
      <c r="S225" t="s">
        <v>130</v>
      </c>
      <c r="T225" t="s">
        <v>187</v>
      </c>
      <c r="U225">
        <v>6.6338084926887498E-3</v>
      </c>
      <c r="V225" t="s">
        <v>84</v>
      </c>
      <c r="AK225">
        <v>2048</v>
      </c>
      <c r="AL225" t="s">
        <v>175</v>
      </c>
      <c r="AM225">
        <v>0.5736</v>
      </c>
      <c r="AN225" t="s">
        <v>168</v>
      </c>
    </row>
    <row r="226" spans="9:40" x14ac:dyDescent="0.45">
      <c r="I226" t="s">
        <v>99</v>
      </c>
      <c r="J226" t="s">
        <v>188</v>
      </c>
      <c r="K226">
        <v>0</v>
      </c>
      <c r="L226" t="s">
        <v>84</v>
      </c>
      <c r="N226" t="s">
        <v>115</v>
      </c>
      <c r="O226" t="s">
        <v>188</v>
      </c>
      <c r="P226">
        <v>3.3796549580115687E-2</v>
      </c>
      <c r="Q226" t="s">
        <v>84</v>
      </c>
      <c r="S226" t="s">
        <v>130</v>
      </c>
      <c r="T226" t="s">
        <v>188</v>
      </c>
      <c r="U226">
        <v>3.4151972367308707E-2</v>
      </c>
      <c r="V226" t="s">
        <v>84</v>
      </c>
      <c r="AK226">
        <v>2048</v>
      </c>
      <c r="AL226" t="s">
        <v>176</v>
      </c>
      <c r="AM226">
        <v>0.60170000000000001</v>
      </c>
      <c r="AN226" t="s">
        <v>168</v>
      </c>
    </row>
    <row r="227" spans="9:40" x14ac:dyDescent="0.45">
      <c r="I227" t="s">
        <v>99</v>
      </c>
      <c r="J227" t="s">
        <v>189</v>
      </c>
      <c r="K227">
        <v>0</v>
      </c>
      <c r="L227" t="s">
        <v>84</v>
      </c>
      <c r="N227" t="s">
        <v>115</v>
      </c>
      <c r="O227" t="s">
        <v>189</v>
      </c>
      <c r="P227">
        <v>2.3802141761981459E-2</v>
      </c>
      <c r="Q227" t="s">
        <v>84</v>
      </c>
      <c r="S227" t="s">
        <v>130</v>
      </c>
      <c r="T227" t="s">
        <v>189</v>
      </c>
      <c r="U227">
        <v>2.5862402418812269E-2</v>
      </c>
      <c r="V227" t="s">
        <v>84</v>
      </c>
      <c r="AK227">
        <v>2049</v>
      </c>
      <c r="AL227" t="s">
        <v>72</v>
      </c>
      <c r="AM227">
        <v>0.49769999999999998</v>
      </c>
      <c r="AN227" t="s">
        <v>168</v>
      </c>
    </row>
    <row r="228" spans="9:40" x14ac:dyDescent="0.45">
      <c r="I228" t="s">
        <v>99</v>
      </c>
      <c r="J228" t="s">
        <v>190</v>
      </c>
      <c r="K228">
        <v>9.0408175380450352E-3</v>
      </c>
      <c r="L228" t="s">
        <v>84</v>
      </c>
      <c r="N228" t="s">
        <v>115</v>
      </c>
      <c r="O228" t="s">
        <v>190</v>
      </c>
      <c r="P228">
        <v>1.3454242422584188E-2</v>
      </c>
      <c r="Q228" t="s">
        <v>84</v>
      </c>
      <c r="S228" t="s">
        <v>130</v>
      </c>
      <c r="T228" t="s">
        <v>190</v>
      </c>
      <c r="U228">
        <v>1.4733755066782093E-2</v>
      </c>
      <c r="V228" t="s">
        <v>84</v>
      </c>
      <c r="AK228">
        <v>2049</v>
      </c>
      <c r="AL228" t="s">
        <v>76</v>
      </c>
      <c r="AM228">
        <v>0.49020000000000002</v>
      </c>
      <c r="AN228" t="s">
        <v>168</v>
      </c>
    </row>
    <row r="229" spans="9:40" x14ac:dyDescent="0.45">
      <c r="I229" t="s">
        <v>99</v>
      </c>
      <c r="J229" t="s">
        <v>191</v>
      </c>
      <c r="K229">
        <v>1.9962560936667682E-2</v>
      </c>
      <c r="L229" t="s">
        <v>84</v>
      </c>
      <c r="N229" t="s">
        <v>115</v>
      </c>
      <c r="O229" t="s">
        <v>191</v>
      </c>
      <c r="P229">
        <v>2.4095894006332441E-2</v>
      </c>
      <c r="Q229" t="s">
        <v>84</v>
      </c>
      <c r="S229" t="s">
        <v>130</v>
      </c>
      <c r="T229" t="s">
        <v>191</v>
      </c>
      <c r="U229">
        <v>2.5770892594080521E-2</v>
      </c>
      <c r="V229" t="s">
        <v>84</v>
      </c>
      <c r="AK229">
        <v>2049</v>
      </c>
      <c r="AL229" t="s">
        <v>78</v>
      </c>
      <c r="AM229">
        <v>0.46439999999999998</v>
      </c>
      <c r="AN229" t="s">
        <v>168</v>
      </c>
    </row>
    <row r="230" spans="9:40" x14ac:dyDescent="0.45">
      <c r="I230" t="s">
        <v>99</v>
      </c>
      <c r="J230" t="s">
        <v>192</v>
      </c>
      <c r="K230">
        <v>0</v>
      </c>
      <c r="L230" t="s">
        <v>84</v>
      </c>
      <c r="N230" t="s">
        <v>115</v>
      </c>
      <c r="O230" t="s">
        <v>192</v>
      </c>
      <c r="P230">
        <v>3.9387100143004321E-3</v>
      </c>
      <c r="Q230" t="s">
        <v>84</v>
      </c>
      <c r="S230" t="s">
        <v>130</v>
      </c>
      <c r="T230" t="s">
        <v>192</v>
      </c>
      <c r="U230">
        <v>4.3991013969563193E-3</v>
      </c>
      <c r="V230" t="s">
        <v>84</v>
      </c>
      <c r="AK230">
        <v>2049</v>
      </c>
      <c r="AL230" t="s">
        <v>80</v>
      </c>
      <c r="AM230">
        <v>0.4551</v>
      </c>
      <c r="AN230" t="s">
        <v>168</v>
      </c>
    </row>
    <row r="231" spans="9:40" x14ac:dyDescent="0.45">
      <c r="I231" t="s">
        <v>99</v>
      </c>
      <c r="J231" t="s">
        <v>193</v>
      </c>
      <c r="K231">
        <v>0</v>
      </c>
      <c r="L231" t="s">
        <v>84</v>
      </c>
      <c r="N231" t="s">
        <v>115</v>
      </c>
      <c r="O231" t="s">
        <v>193</v>
      </c>
      <c r="P231">
        <v>3.9067694662590028E-3</v>
      </c>
      <c r="Q231" t="s">
        <v>84</v>
      </c>
      <c r="S231" t="s">
        <v>130</v>
      </c>
      <c r="T231" t="s">
        <v>193</v>
      </c>
      <c r="U231">
        <v>4.4758321771525044E-3</v>
      </c>
      <c r="V231" t="s">
        <v>84</v>
      </c>
      <c r="AK231">
        <v>2049</v>
      </c>
      <c r="AL231" t="s">
        <v>171</v>
      </c>
      <c r="AM231">
        <v>0.53439999999999999</v>
      </c>
      <c r="AN231" t="s">
        <v>168</v>
      </c>
    </row>
    <row r="232" spans="9:40" x14ac:dyDescent="0.45">
      <c r="I232" t="s">
        <v>99</v>
      </c>
      <c r="J232" t="s">
        <v>194</v>
      </c>
      <c r="K232">
        <v>0</v>
      </c>
      <c r="L232" t="s">
        <v>84</v>
      </c>
      <c r="N232" t="s">
        <v>115</v>
      </c>
      <c r="O232" t="s">
        <v>194</v>
      </c>
      <c r="P232">
        <v>1.8625754195966453E-2</v>
      </c>
      <c r="Q232" t="s">
        <v>84</v>
      </c>
      <c r="S232" t="s">
        <v>130</v>
      </c>
      <c r="T232" t="s">
        <v>194</v>
      </c>
      <c r="U232">
        <v>2.124316109046679E-2</v>
      </c>
      <c r="V232" t="s">
        <v>84</v>
      </c>
      <c r="AK232">
        <v>2049</v>
      </c>
      <c r="AL232" t="s">
        <v>173</v>
      </c>
      <c r="AM232">
        <v>0.52436666666666676</v>
      </c>
      <c r="AN232" t="s">
        <v>168</v>
      </c>
    </row>
    <row r="233" spans="9:40" x14ac:dyDescent="0.45">
      <c r="I233" t="s">
        <v>99</v>
      </c>
      <c r="J233" t="s">
        <v>195</v>
      </c>
      <c r="K233">
        <v>1.2546812474976644E-3</v>
      </c>
      <c r="L233" t="s">
        <v>84</v>
      </c>
      <c r="N233" t="s">
        <v>115</v>
      </c>
      <c r="O233" t="s">
        <v>195</v>
      </c>
      <c r="P233">
        <v>8.7252406940059465E-2</v>
      </c>
      <c r="Q233" t="s">
        <v>84</v>
      </c>
      <c r="S233" t="s">
        <v>130</v>
      </c>
      <c r="T233" t="s">
        <v>195</v>
      </c>
      <c r="U233">
        <v>8.8963716403020296E-2</v>
      </c>
      <c r="V233" t="s">
        <v>84</v>
      </c>
      <c r="AK233">
        <v>2049</v>
      </c>
      <c r="AL233" t="s">
        <v>175</v>
      </c>
      <c r="AM233">
        <v>0.47099999999999997</v>
      </c>
      <c r="AN233" t="s">
        <v>168</v>
      </c>
    </row>
    <row r="234" spans="9:40" x14ac:dyDescent="0.45">
      <c r="I234" t="s">
        <v>99</v>
      </c>
      <c r="J234" t="s">
        <v>196</v>
      </c>
      <c r="K234">
        <v>4.9307007248273221E-2</v>
      </c>
      <c r="L234" t="s">
        <v>84</v>
      </c>
      <c r="N234" t="s">
        <v>115</v>
      </c>
      <c r="O234" t="s">
        <v>196</v>
      </c>
      <c r="P234">
        <v>4.7699357538494067E-2</v>
      </c>
      <c r="Q234" t="s">
        <v>84</v>
      </c>
      <c r="S234" t="s">
        <v>130</v>
      </c>
      <c r="T234" t="s">
        <v>196</v>
      </c>
      <c r="U234">
        <v>4.5652677554171864E-2</v>
      </c>
      <c r="V234" t="s">
        <v>84</v>
      </c>
      <c r="AK234">
        <v>2049</v>
      </c>
      <c r="AL234" t="s">
        <v>176</v>
      </c>
      <c r="AM234">
        <v>0.50319999999999998</v>
      </c>
      <c r="AN234" t="s">
        <v>168</v>
      </c>
    </row>
    <row r="235" spans="9:40" x14ac:dyDescent="0.45">
      <c r="I235" t="s">
        <v>99</v>
      </c>
      <c r="J235" t="s">
        <v>197</v>
      </c>
      <c r="K235">
        <v>9.490847389575674E-2</v>
      </c>
      <c r="L235" t="s">
        <v>84</v>
      </c>
      <c r="N235" t="s">
        <v>115</v>
      </c>
      <c r="O235" t="s">
        <v>197</v>
      </c>
      <c r="P235">
        <v>8.0344333061427672E-2</v>
      </c>
      <c r="Q235" t="s">
        <v>84</v>
      </c>
      <c r="S235" t="s">
        <v>130</v>
      </c>
      <c r="T235" t="s">
        <v>197</v>
      </c>
      <c r="U235">
        <v>7.5917217056808997E-2</v>
      </c>
      <c r="V235" t="s">
        <v>84</v>
      </c>
      <c r="AK235">
        <v>2050</v>
      </c>
      <c r="AL235" t="s">
        <v>72</v>
      </c>
      <c r="AM235">
        <v>0.48499999999999999</v>
      </c>
      <c r="AN235" t="s">
        <v>168</v>
      </c>
    </row>
    <row r="236" spans="9:40" x14ac:dyDescent="0.45">
      <c r="I236" t="s">
        <v>99</v>
      </c>
      <c r="J236" t="s">
        <v>198</v>
      </c>
      <c r="K236">
        <v>6.05103189536763E-3</v>
      </c>
      <c r="L236" t="s">
        <v>84</v>
      </c>
      <c r="N236" t="s">
        <v>115</v>
      </c>
      <c r="O236" t="s">
        <v>198</v>
      </c>
      <c r="P236">
        <v>1.2315182555443529E-2</v>
      </c>
      <c r="Q236" t="s">
        <v>84</v>
      </c>
      <c r="S236" t="s">
        <v>130</v>
      </c>
      <c r="T236" t="s">
        <v>198</v>
      </c>
      <c r="U236">
        <v>1.2133363248081178E-2</v>
      </c>
      <c r="V236" t="s">
        <v>84</v>
      </c>
      <c r="AK236">
        <v>2050</v>
      </c>
      <c r="AL236" t="s">
        <v>76</v>
      </c>
      <c r="AM236">
        <v>0.44850000000000001</v>
      </c>
      <c r="AN236" t="s">
        <v>168</v>
      </c>
    </row>
    <row r="237" spans="9:40" x14ac:dyDescent="0.45">
      <c r="I237" t="s">
        <v>99</v>
      </c>
      <c r="J237" t="s">
        <v>199</v>
      </c>
      <c r="K237">
        <v>0</v>
      </c>
      <c r="L237" t="s">
        <v>84</v>
      </c>
      <c r="N237" t="s">
        <v>115</v>
      </c>
      <c r="O237" t="s">
        <v>199</v>
      </c>
      <c r="P237">
        <v>1.2114323871480707E-2</v>
      </c>
      <c r="Q237" t="s">
        <v>84</v>
      </c>
      <c r="S237" t="s">
        <v>130</v>
      </c>
      <c r="T237" t="s">
        <v>199</v>
      </c>
      <c r="U237">
        <v>1.2161784432952495E-2</v>
      </c>
      <c r="V237" t="s">
        <v>84</v>
      </c>
      <c r="AK237">
        <v>2050</v>
      </c>
      <c r="AL237" t="s">
        <v>78</v>
      </c>
      <c r="AM237">
        <v>0.4259</v>
      </c>
      <c r="AN237" t="s">
        <v>168</v>
      </c>
    </row>
    <row r="238" spans="9:40" x14ac:dyDescent="0.45">
      <c r="I238" t="s">
        <v>99</v>
      </c>
      <c r="J238" t="s">
        <v>200</v>
      </c>
      <c r="K238">
        <v>0</v>
      </c>
      <c r="L238" t="s">
        <v>84</v>
      </c>
      <c r="N238" t="s">
        <v>115</v>
      </c>
      <c r="O238" t="s">
        <v>200</v>
      </c>
      <c r="P238">
        <v>6.0060442038396243E-2</v>
      </c>
      <c r="Q238" t="s">
        <v>84</v>
      </c>
      <c r="S238" t="s">
        <v>130</v>
      </c>
      <c r="T238" t="s">
        <v>200</v>
      </c>
      <c r="U238">
        <v>6.2703198806356067E-2</v>
      </c>
      <c r="V238" t="s">
        <v>84</v>
      </c>
      <c r="AK238">
        <v>2050</v>
      </c>
      <c r="AL238" t="s">
        <v>80</v>
      </c>
      <c r="AM238">
        <v>0.46199999999999997</v>
      </c>
      <c r="AN238" t="s">
        <v>168</v>
      </c>
    </row>
    <row r="239" spans="9:40" x14ac:dyDescent="0.45">
      <c r="I239" t="s">
        <v>99</v>
      </c>
      <c r="J239" t="s">
        <v>201</v>
      </c>
      <c r="K239">
        <v>5.5175389951111868E-3</v>
      </c>
      <c r="L239" t="s">
        <v>84</v>
      </c>
      <c r="N239" t="s">
        <v>115</v>
      </c>
      <c r="O239" t="s">
        <v>201</v>
      </c>
      <c r="P239">
        <v>3.0571391694049415E-2</v>
      </c>
      <c r="Q239" t="s">
        <v>84</v>
      </c>
      <c r="S239" t="s">
        <v>130</v>
      </c>
      <c r="T239" t="s">
        <v>201</v>
      </c>
      <c r="U239">
        <v>3.1921690598580771E-2</v>
      </c>
      <c r="V239" t="s">
        <v>84</v>
      </c>
      <c r="AK239">
        <v>2050</v>
      </c>
      <c r="AL239" t="s">
        <v>171</v>
      </c>
      <c r="AM239">
        <v>0.49049999999999999</v>
      </c>
      <c r="AN239" t="s">
        <v>168</v>
      </c>
    </row>
    <row r="240" spans="9:40" x14ac:dyDescent="0.45">
      <c r="I240" t="s">
        <v>99</v>
      </c>
      <c r="J240" t="s">
        <v>202</v>
      </c>
      <c r="K240">
        <v>3.135615021538582E-2</v>
      </c>
      <c r="L240" t="s">
        <v>84</v>
      </c>
      <c r="N240" t="s">
        <v>115</v>
      </c>
      <c r="O240" t="s">
        <v>202</v>
      </c>
      <c r="P240">
        <v>1.7393155181707649E-2</v>
      </c>
      <c r="Q240" t="s">
        <v>84</v>
      </c>
      <c r="S240" t="s">
        <v>130</v>
      </c>
      <c r="T240" t="s">
        <v>202</v>
      </c>
      <c r="U240">
        <v>1.7539265989237812E-2</v>
      </c>
      <c r="V240" t="s">
        <v>84</v>
      </c>
      <c r="AK240">
        <v>2050</v>
      </c>
      <c r="AL240" t="s">
        <v>173</v>
      </c>
      <c r="AM240">
        <v>0.51446666666666674</v>
      </c>
      <c r="AN240" t="s">
        <v>168</v>
      </c>
    </row>
    <row r="241" spans="9:40" x14ac:dyDescent="0.45">
      <c r="I241" t="s">
        <v>99</v>
      </c>
      <c r="J241" t="s">
        <v>203</v>
      </c>
      <c r="K241">
        <v>5.361507652256451E-2</v>
      </c>
      <c r="L241" t="s">
        <v>84</v>
      </c>
      <c r="N241" t="s">
        <v>115</v>
      </c>
      <c r="O241" t="s">
        <v>203</v>
      </c>
      <c r="P241">
        <v>3.0752923087790544E-2</v>
      </c>
      <c r="Q241" t="s">
        <v>84</v>
      </c>
      <c r="S241" t="s">
        <v>130</v>
      </c>
      <c r="T241" t="s">
        <v>203</v>
      </c>
      <c r="U241">
        <v>2.6683429416918338E-2</v>
      </c>
      <c r="V241" t="s">
        <v>84</v>
      </c>
      <c r="AK241">
        <v>2050</v>
      </c>
      <c r="AL241" t="s">
        <v>175</v>
      </c>
      <c r="AM241">
        <v>0.49030000000000001</v>
      </c>
      <c r="AN241" t="s">
        <v>168</v>
      </c>
    </row>
    <row r="242" spans="9:40" x14ac:dyDescent="0.45">
      <c r="I242" t="s">
        <v>99</v>
      </c>
      <c r="J242" t="s">
        <v>204</v>
      </c>
      <c r="K242">
        <v>6.1000126623460211E-3</v>
      </c>
      <c r="L242" t="s">
        <v>84</v>
      </c>
      <c r="N242" t="s">
        <v>115</v>
      </c>
      <c r="O242" t="s">
        <v>204</v>
      </c>
      <c r="P242">
        <v>5.0352749601516988E-3</v>
      </c>
      <c r="Q242" t="s">
        <v>84</v>
      </c>
      <c r="S242" t="s">
        <v>130</v>
      </c>
      <c r="T242" t="s">
        <v>204</v>
      </c>
      <c r="U242">
        <v>4.4916220037344492E-3</v>
      </c>
      <c r="V242" t="s">
        <v>84</v>
      </c>
      <c r="AK242">
        <v>2050</v>
      </c>
      <c r="AL242" t="s">
        <v>176</v>
      </c>
      <c r="AM242">
        <v>0.49924999999999997</v>
      </c>
      <c r="AN242" t="s">
        <v>168</v>
      </c>
    </row>
    <row r="243" spans="9:40" x14ac:dyDescent="0.45">
      <c r="I243" t="s">
        <v>99</v>
      </c>
      <c r="J243" t="s">
        <v>205</v>
      </c>
      <c r="K243">
        <v>1.7899603446025743E-3</v>
      </c>
      <c r="L243" t="s">
        <v>84</v>
      </c>
      <c r="N243" t="s">
        <v>115</v>
      </c>
      <c r="O243" t="s">
        <v>205</v>
      </c>
      <c r="P243">
        <v>4.8922864564847814E-3</v>
      </c>
      <c r="Q243" t="s">
        <v>84</v>
      </c>
      <c r="S243" t="s">
        <v>130</v>
      </c>
      <c r="T243" t="s">
        <v>205</v>
      </c>
      <c r="U243">
        <v>4.5450225321030735E-3</v>
      </c>
      <c r="V243" t="s">
        <v>84</v>
      </c>
    </row>
    <row r="244" spans="9:40" x14ac:dyDescent="0.45">
      <c r="I244" t="s">
        <v>99</v>
      </c>
      <c r="J244" t="s">
        <v>206</v>
      </c>
      <c r="K244">
        <v>0</v>
      </c>
      <c r="L244" t="s">
        <v>84</v>
      </c>
      <c r="N244" t="s">
        <v>115</v>
      </c>
      <c r="O244" t="s">
        <v>206</v>
      </c>
      <c r="P244">
        <v>2.3129983130521461E-2</v>
      </c>
      <c r="Q244" t="s">
        <v>84</v>
      </c>
      <c r="S244" t="s">
        <v>130</v>
      </c>
      <c r="T244" t="s">
        <v>206</v>
      </c>
      <c r="U244">
        <v>2.2763854156702752E-2</v>
      </c>
      <c r="V244" t="s">
        <v>84</v>
      </c>
    </row>
    <row r="245" spans="9:40" x14ac:dyDescent="0.45">
      <c r="I245" t="s">
        <v>99</v>
      </c>
      <c r="J245" t="s">
        <v>207</v>
      </c>
      <c r="K245">
        <v>2.0181483623169745E-2</v>
      </c>
      <c r="L245" t="s">
        <v>84</v>
      </c>
      <c r="N245" t="s">
        <v>115</v>
      </c>
      <c r="O245" t="s">
        <v>207</v>
      </c>
      <c r="P245">
        <v>3.7353684265707301E-2</v>
      </c>
      <c r="Q245" t="s">
        <v>84</v>
      </c>
      <c r="S245" t="s">
        <v>130</v>
      </c>
      <c r="T245" t="s">
        <v>207</v>
      </c>
      <c r="U245">
        <v>3.6351630269662552E-2</v>
      </c>
      <c r="V245" t="s">
        <v>84</v>
      </c>
    </row>
    <row r="246" spans="9:40" x14ac:dyDescent="0.45">
      <c r="I246" t="s">
        <v>99</v>
      </c>
      <c r="J246" t="s">
        <v>208</v>
      </c>
      <c r="K246">
        <v>8.1305000160776852E-2</v>
      </c>
      <c r="L246" t="s">
        <v>84</v>
      </c>
      <c r="N246" t="s">
        <v>115</v>
      </c>
      <c r="O246" t="s">
        <v>208</v>
      </c>
      <c r="P246">
        <v>2.0906945005780119E-2</v>
      </c>
      <c r="Q246" t="s">
        <v>84</v>
      </c>
      <c r="S246" t="s">
        <v>130</v>
      </c>
      <c r="T246" t="s">
        <v>208</v>
      </c>
      <c r="U246">
        <v>1.9642150113168604E-2</v>
      </c>
      <c r="V246" t="s">
        <v>84</v>
      </c>
    </row>
    <row r="247" spans="9:40" x14ac:dyDescent="0.45">
      <c r="I247" t="s">
        <v>99</v>
      </c>
      <c r="J247" t="s">
        <v>209</v>
      </c>
      <c r="K247">
        <v>0.12173109027414987</v>
      </c>
      <c r="L247" t="s">
        <v>84</v>
      </c>
      <c r="N247" t="s">
        <v>115</v>
      </c>
      <c r="O247" t="s">
        <v>209</v>
      </c>
      <c r="P247">
        <v>3.7742480797463701E-2</v>
      </c>
      <c r="Q247" t="s">
        <v>84</v>
      </c>
      <c r="S247" t="s">
        <v>130</v>
      </c>
      <c r="T247" t="s">
        <v>209</v>
      </c>
      <c r="U247">
        <v>3.5870189377399025E-2</v>
      </c>
      <c r="V247" t="s">
        <v>84</v>
      </c>
    </row>
    <row r="248" spans="9:40" x14ac:dyDescent="0.45">
      <c r="I248" t="s">
        <v>99</v>
      </c>
      <c r="J248" t="s">
        <v>210</v>
      </c>
      <c r="K248">
        <v>1.4726550693058728E-2</v>
      </c>
      <c r="L248" t="s">
        <v>84</v>
      </c>
      <c r="N248" t="s">
        <v>115</v>
      </c>
      <c r="O248" t="s">
        <v>210</v>
      </c>
      <c r="P248">
        <v>6.6641666611696147E-3</v>
      </c>
      <c r="Q248" t="s">
        <v>84</v>
      </c>
      <c r="S248" t="s">
        <v>130</v>
      </c>
      <c r="T248" t="s">
        <v>210</v>
      </c>
      <c r="U248">
        <v>6.9827336863397919E-3</v>
      </c>
      <c r="V248" t="s">
        <v>84</v>
      </c>
    </row>
    <row r="249" spans="9:40" x14ac:dyDescent="0.45">
      <c r="I249" t="s">
        <v>99</v>
      </c>
      <c r="J249" t="s">
        <v>211</v>
      </c>
      <c r="K249">
        <v>9.9236236333029217E-3</v>
      </c>
      <c r="L249" t="s">
        <v>84</v>
      </c>
      <c r="N249" t="s">
        <v>115</v>
      </c>
      <c r="O249" t="s">
        <v>211</v>
      </c>
      <c r="P249">
        <v>6.2477625118025409E-3</v>
      </c>
      <c r="Q249" t="s">
        <v>84</v>
      </c>
      <c r="S249" t="s">
        <v>130</v>
      </c>
      <c r="T249" t="s">
        <v>211</v>
      </c>
      <c r="U249">
        <v>6.6335175137877981E-3</v>
      </c>
      <c r="V249" t="s">
        <v>84</v>
      </c>
    </row>
    <row r="250" spans="9:40" x14ac:dyDescent="0.45">
      <c r="I250" t="s">
        <v>99</v>
      </c>
      <c r="J250" t="s">
        <v>212</v>
      </c>
      <c r="K250">
        <v>1.577498886878863E-3</v>
      </c>
      <c r="L250" t="s">
        <v>84</v>
      </c>
      <c r="N250" t="s">
        <v>115</v>
      </c>
      <c r="O250" t="s">
        <v>212</v>
      </c>
      <c r="P250">
        <v>2.8661846053025002E-2</v>
      </c>
      <c r="Q250" t="s">
        <v>84</v>
      </c>
      <c r="S250" t="s">
        <v>130</v>
      </c>
      <c r="T250" t="s">
        <v>212</v>
      </c>
      <c r="U250">
        <v>2.952720298999149E-2</v>
      </c>
      <c r="V250" t="s">
        <v>84</v>
      </c>
    </row>
    <row r="251" spans="9:40" x14ac:dyDescent="0.45">
      <c r="I251" t="s">
        <v>100</v>
      </c>
      <c r="J251" t="s">
        <v>83</v>
      </c>
      <c r="K251">
        <v>1.0211278190469646E-2</v>
      </c>
      <c r="L251" t="s">
        <v>84</v>
      </c>
      <c r="N251" t="s">
        <v>116</v>
      </c>
      <c r="O251" t="s">
        <v>83</v>
      </c>
      <c r="P251">
        <v>1.9741769052151765E-2</v>
      </c>
      <c r="Q251" t="s">
        <v>84</v>
      </c>
      <c r="S251" t="s">
        <v>131</v>
      </c>
      <c r="T251" t="s">
        <v>83</v>
      </c>
      <c r="U251">
        <v>2.0715861096833967E-2</v>
      </c>
      <c r="V251" t="s">
        <v>84</v>
      </c>
    </row>
    <row r="252" spans="9:40" x14ac:dyDescent="0.45">
      <c r="I252" t="s">
        <v>100</v>
      </c>
      <c r="J252" t="s">
        <v>85</v>
      </c>
      <c r="K252">
        <v>4.4155683513636003E-2</v>
      </c>
      <c r="L252" t="s">
        <v>84</v>
      </c>
      <c r="N252" t="s">
        <v>116</v>
      </c>
      <c r="O252" t="s">
        <v>85</v>
      </c>
      <c r="P252">
        <v>1.5228565049321692E-2</v>
      </c>
      <c r="Q252" t="s">
        <v>84</v>
      </c>
      <c r="S252" t="s">
        <v>131</v>
      </c>
      <c r="T252" t="s">
        <v>85</v>
      </c>
      <c r="U252">
        <v>1.0772884083674071E-2</v>
      </c>
      <c r="V252" t="s">
        <v>84</v>
      </c>
    </row>
    <row r="253" spans="9:40" x14ac:dyDescent="0.45">
      <c r="I253" t="s">
        <v>100</v>
      </c>
      <c r="J253" t="s">
        <v>86</v>
      </c>
      <c r="K253">
        <v>7.4869383510304158E-2</v>
      </c>
      <c r="L253" t="s">
        <v>84</v>
      </c>
      <c r="N253" t="s">
        <v>116</v>
      </c>
      <c r="O253" t="s">
        <v>86</v>
      </c>
      <c r="P253">
        <v>4.3902302719009655E-2</v>
      </c>
      <c r="Q253" t="s">
        <v>84</v>
      </c>
      <c r="S253" t="s">
        <v>131</v>
      </c>
      <c r="T253" t="s">
        <v>86</v>
      </c>
      <c r="U253">
        <v>1.7616027228734503E-2</v>
      </c>
      <c r="V253" t="s">
        <v>84</v>
      </c>
    </row>
    <row r="254" spans="9:40" x14ac:dyDescent="0.45">
      <c r="I254" t="s">
        <v>100</v>
      </c>
      <c r="J254" t="s">
        <v>177</v>
      </c>
      <c r="K254">
        <v>1.0141383277617344E-2</v>
      </c>
      <c r="L254" t="s">
        <v>84</v>
      </c>
      <c r="N254" t="s">
        <v>116</v>
      </c>
      <c r="O254" t="s">
        <v>177</v>
      </c>
      <c r="P254">
        <v>6.2597532319200238E-3</v>
      </c>
      <c r="Q254" t="s">
        <v>84</v>
      </c>
      <c r="S254" t="s">
        <v>131</v>
      </c>
      <c r="T254" t="s">
        <v>177</v>
      </c>
      <c r="U254">
        <v>3.5420357895074401E-3</v>
      </c>
      <c r="V254" t="s">
        <v>84</v>
      </c>
    </row>
    <row r="255" spans="9:40" x14ac:dyDescent="0.45">
      <c r="I255" t="s">
        <v>100</v>
      </c>
      <c r="J255" t="s">
        <v>178</v>
      </c>
      <c r="K255">
        <v>7.7762843675890734E-3</v>
      </c>
      <c r="L255" t="s">
        <v>84</v>
      </c>
      <c r="N255" t="s">
        <v>116</v>
      </c>
      <c r="O255" t="s">
        <v>178</v>
      </c>
      <c r="P255">
        <v>5.4836596558104876E-3</v>
      </c>
      <c r="Q255" t="s">
        <v>84</v>
      </c>
      <c r="S255" t="s">
        <v>131</v>
      </c>
      <c r="T255" t="s">
        <v>178</v>
      </c>
      <c r="U255">
        <v>3.6897266349954793E-3</v>
      </c>
      <c r="V255" t="s">
        <v>84</v>
      </c>
    </row>
    <row r="256" spans="9:40" x14ac:dyDescent="0.45">
      <c r="I256" t="s">
        <v>100</v>
      </c>
      <c r="J256" t="s">
        <v>179</v>
      </c>
      <c r="K256">
        <v>4.1283611276079924E-3</v>
      </c>
      <c r="L256" t="s">
        <v>84</v>
      </c>
      <c r="N256" t="s">
        <v>116</v>
      </c>
      <c r="O256" t="s">
        <v>179</v>
      </c>
      <c r="P256">
        <v>2.0371960429152635E-2</v>
      </c>
      <c r="Q256" t="s">
        <v>84</v>
      </c>
      <c r="S256" t="s">
        <v>131</v>
      </c>
      <c r="T256" t="s">
        <v>179</v>
      </c>
      <c r="U256">
        <v>1.899206222897919E-2</v>
      </c>
      <c r="V256" t="s">
        <v>84</v>
      </c>
    </row>
    <row r="257" spans="9:22" x14ac:dyDescent="0.45">
      <c r="I257" t="s">
        <v>100</v>
      </c>
      <c r="J257" t="s">
        <v>87</v>
      </c>
      <c r="K257">
        <v>5.2980520208854784E-3</v>
      </c>
      <c r="L257" t="s">
        <v>84</v>
      </c>
      <c r="N257" t="s">
        <v>116</v>
      </c>
      <c r="O257" t="s">
        <v>87</v>
      </c>
      <c r="P257">
        <v>6.6762059204228839E-3</v>
      </c>
      <c r="Q257" t="s">
        <v>84</v>
      </c>
      <c r="S257" t="s">
        <v>131</v>
      </c>
      <c r="T257" t="s">
        <v>87</v>
      </c>
      <c r="U257">
        <v>1.7180748679325026E-2</v>
      </c>
      <c r="V257" t="s">
        <v>84</v>
      </c>
    </row>
    <row r="258" spans="9:22" x14ac:dyDescent="0.45">
      <c r="I258" t="s">
        <v>100</v>
      </c>
      <c r="J258" t="s">
        <v>88</v>
      </c>
      <c r="K258">
        <v>3.7322135540583556E-2</v>
      </c>
      <c r="L258" t="s">
        <v>84</v>
      </c>
      <c r="N258" t="s">
        <v>116</v>
      </c>
      <c r="O258" t="s">
        <v>88</v>
      </c>
      <c r="P258">
        <v>5.8290615606294534E-3</v>
      </c>
      <c r="Q258" t="s">
        <v>84</v>
      </c>
      <c r="S258" t="s">
        <v>131</v>
      </c>
      <c r="T258" t="s">
        <v>88</v>
      </c>
      <c r="U258">
        <v>9.3412003904414995E-3</v>
      </c>
      <c r="V258" t="s">
        <v>84</v>
      </c>
    </row>
    <row r="259" spans="9:22" x14ac:dyDescent="0.45">
      <c r="I259" t="s">
        <v>100</v>
      </c>
      <c r="J259" t="s">
        <v>89</v>
      </c>
      <c r="K259">
        <v>6.4213454066030698E-2</v>
      </c>
      <c r="L259" t="s">
        <v>84</v>
      </c>
      <c r="N259" t="s">
        <v>116</v>
      </c>
      <c r="O259" t="s">
        <v>89</v>
      </c>
      <c r="P259">
        <v>1.4993770650169862E-2</v>
      </c>
      <c r="Q259" t="s">
        <v>84</v>
      </c>
      <c r="S259" t="s">
        <v>131</v>
      </c>
      <c r="T259" t="s">
        <v>89</v>
      </c>
      <c r="U259">
        <v>1.583361506294553E-2</v>
      </c>
      <c r="V259" t="s">
        <v>84</v>
      </c>
    </row>
    <row r="260" spans="9:22" x14ac:dyDescent="0.45">
      <c r="I260" t="s">
        <v>100</v>
      </c>
      <c r="J260" t="s">
        <v>180</v>
      </c>
      <c r="K260">
        <v>9.4677502968843214E-3</v>
      </c>
      <c r="L260" t="s">
        <v>84</v>
      </c>
      <c r="N260" t="s">
        <v>116</v>
      </c>
      <c r="O260" t="s">
        <v>180</v>
      </c>
      <c r="P260">
        <v>2.3217751114050578E-3</v>
      </c>
      <c r="Q260" t="s">
        <v>84</v>
      </c>
      <c r="S260" t="s">
        <v>131</v>
      </c>
      <c r="T260" t="s">
        <v>180</v>
      </c>
      <c r="U260">
        <v>3.2224295241393402E-3</v>
      </c>
      <c r="V260" t="s">
        <v>84</v>
      </c>
    </row>
    <row r="261" spans="9:22" x14ac:dyDescent="0.45">
      <c r="I261" t="s">
        <v>100</v>
      </c>
      <c r="J261" t="s">
        <v>181</v>
      </c>
      <c r="K261">
        <v>6.7116157450215434E-3</v>
      </c>
      <c r="L261" t="s">
        <v>84</v>
      </c>
      <c r="N261" t="s">
        <v>116</v>
      </c>
      <c r="O261" t="s">
        <v>181</v>
      </c>
      <c r="P261">
        <v>1.9348997697770278E-3</v>
      </c>
      <c r="Q261" t="s">
        <v>84</v>
      </c>
      <c r="S261" t="s">
        <v>131</v>
      </c>
      <c r="T261" t="s">
        <v>181</v>
      </c>
      <c r="U261">
        <v>3.2729684367624494E-3</v>
      </c>
      <c r="V261" t="s">
        <v>84</v>
      </c>
    </row>
    <row r="262" spans="9:22" x14ac:dyDescent="0.45">
      <c r="I262" t="s">
        <v>100</v>
      </c>
      <c r="J262" t="s">
        <v>182</v>
      </c>
      <c r="K262">
        <v>7.2629902051767604E-5</v>
      </c>
      <c r="L262" t="s">
        <v>84</v>
      </c>
      <c r="N262" t="s">
        <v>116</v>
      </c>
      <c r="O262" t="s">
        <v>182</v>
      </c>
      <c r="P262">
        <v>6.2594397658283559E-3</v>
      </c>
      <c r="Q262" t="s">
        <v>84</v>
      </c>
      <c r="S262" t="s">
        <v>131</v>
      </c>
      <c r="T262" t="s">
        <v>182</v>
      </c>
      <c r="U262">
        <v>1.4669656815972123E-2</v>
      </c>
      <c r="V262" t="s">
        <v>84</v>
      </c>
    </row>
    <row r="263" spans="9:22" x14ac:dyDescent="0.45">
      <c r="I263" t="s">
        <v>100</v>
      </c>
      <c r="J263" t="s">
        <v>90</v>
      </c>
      <c r="K263">
        <v>3.0487842387893153E-3</v>
      </c>
      <c r="L263" t="s">
        <v>84</v>
      </c>
      <c r="N263" t="s">
        <v>116</v>
      </c>
      <c r="O263" t="s">
        <v>90</v>
      </c>
      <c r="P263">
        <v>1.1111166710040041E-2</v>
      </c>
      <c r="Q263" t="s">
        <v>84</v>
      </c>
      <c r="S263" t="s">
        <v>131</v>
      </c>
      <c r="T263" t="s">
        <v>90</v>
      </c>
      <c r="U263">
        <v>1.5097457144227843E-2</v>
      </c>
      <c r="V263" t="s">
        <v>84</v>
      </c>
    </row>
    <row r="264" spans="9:22" x14ac:dyDescent="0.45">
      <c r="I264" t="s">
        <v>100</v>
      </c>
      <c r="J264" t="s">
        <v>91</v>
      </c>
      <c r="K264">
        <v>3.3519197439220966E-2</v>
      </c>
      <c r="L264" t="s">
        <v>84</v>
      </c>
      <c r="N264" t="s">
        <v>116</v>
      </c>
      <c r="O264" t="s">
        <v>91</v>
      </c>
      <c r="P264">
        <v>6.211505011855167E-3</v>
      </c>
      <c r="Q264" t="s">
        <v>84</v>
      </c>
      <c r="S264" t="s">
        <v>131</v>
      </c>
      <c r="T264" t="s">
        <v>91</v>
      </c>
      <c r="U264">
        <v>8.5667466939698591E-3</v>
      </c>
      <c r="V264" t="s">
        <v>84</v>
      </c>
    </row>
    <row r="265" spans="9:22" x14ac:dyDescent="0.45">
      <c r="I265" t="s">
        <v>100</v>
      </c>
      <c r="J265" t="s">
        <v>92</v>
      </c>
      <c r="K265">
        <v>5.6563032763629242E-2</v>
      </c>
      <c r="L265" t="s">
        <v>84</v>
      </c>
      <c r="N265" t="s">
        <v>116</v>
      </c>
      <c r="O265" t="s">
        <v>92</v>
      </c>
      <c r="P265">
        <v>1.6720221411525384E-2</v>
      </c>
      <c r="Q265" t="s">
        <v>84</v>
      </c>
      <c r="S265" t="s">
        <v>131</v>
      </c>
      <c r="T265" t="s">
        <v>92</v>
      </c>
      <c r="U265">
        <v>1.5400714563188674E-2</v>
      </c>
      <c r="V265" t="s">
        <v>84</v>
      </c>
    </row>
    <row r="266" spans="9:22" x14ac:dyDescent="0.45">
      <c r="I266" t="s">
        <v>100</v>
      </c>
      <c r="J266" t="s">
        <v>183</v>
      </c>
      <c r="K266">
        <v>6.9538362125866216E-3</v>
      </c>
      <c r="L266" t="s">
        <v>84</v>
      </c>
      <c r="N266" t="s">
        <v>116</v>
      </c>
      <c r="O266" t="s">
        <v>183</v>
      </c>
      <c r="P266">
        <v>2.2653375875328449E-3</v>
      </c>
      <c r="Q266" t="s">
        <v>84</v>
      </c>
      <c r="S266" t="s">
        <v>131</v>
      </c>
      <c r="T266" t="s">
        <v>183</v>
      </c>
      <c r="U266">
        <v>3.2540632317494332E-3</v>
      </c>
      <c r="V266" t="s">
        <v>84</v>
      </c>
    </row>
    <row r="267" spans="9:22" x14ac:dyDescent="0.45">
      <c r="I267" t="s">
        <v>100</v>
      </c>
      <c r="J267" t="s">
        <v>184</v>
      </c>
      <c r="K267">
        <v>2.8806826473205044E-3</v>
      </c>
      <c r="L267" t="s">
        <v>84</v>
      </c>
      <c r="N267" t="s">
        <v>116</v>
      </c>
      <c r="O267" t="s">
        <v>184</v>
      </c>
      <c r="P267">
        <v>1.8620031613444236E-3</v>
      </c>
      <c r="Q267" t="s">
        <v>84</v>
      </c>
      <c r="S267" t="s">
        <v>131</v>
      </c>
      <c r="T267" t="s">
        <v>184</v>
      </c>
      <c r="U267">
        <v>3.3623040950079897E-3</v>
      </c>
      <c r="V267" t="s">
        <v>84</v>
      </c>
    </row>
    <row r="268" spans="9:22" x14ac:dyDescent="0.45">
      <c r="I268" t="s">
        <v>100</v>
      </c>
      <c r="J268" t="s">
        <v>185</v>
      </c>
      <c r="K268">
        <v>0</v>
      </c>
      <c r="L268" t="s">
        <v>84</v>
      </c>
      <c r="N268" t="s">
        <v>116</v>
      </c>
      <c r="O268" t="s">
        <v>185</v>
      </c>
      <c r="P268">
        <v>7.1086165333800874E-3</v>
      </c>
      <c r="Q268" t="s">
        <v>84</v>
      </c>
      <c r="S268" t="s">
        <v>131</v>
      </c>
      <c r="T268" t="s">
        <v>185</v>
      </c>
      <c r="U268">
        <v>1.4759231539622657E-2</v>
      </c>
      <c r="V268" t="s">
        <v>84</v>
      </c>
    </row>
    <row r="269" spans="9:22" x14ac:dyDescent="0.45">
      <c r="I269" t="s">
        <v>100</v>
      </c>
      <c r="J269" t="s">
        <v>93</v>
      </c>
      <c r="K269">
        <v>0</v>
      </c>
      <c r="L269" t="s">
        <v>84</v>
      </c>
      <c r="N269" t="s">
        <v>116</v>
      </c>
      <c r="O269" t="s">
        <v>93</v>
      </c>
      <c r="P269">
        <v>4.3919511029525654E-2</v>
      </c>
      <c r="Q269" t="s">
        <v>84</v>
      </c>
      <c r="S269" t="s">
        <v>131</v>
      </c>
      <c r="T269" t="s">
        <v>93</v>
      </c>
      <c r="U269">
        <v>5.1379174945182793E-2</v>
      </c>
      <c r="V269" t="s">
        <v>84</v>
      </c>
    </row>
    <row r="270" spans="9:22" x14ac:dyDescent="0.45">
      <c r="I270" t="s">
        <v>100</v>
      </c>
      <c r="J270" t="s">
        <v>94</v>
      </c>
      <c r="K270">
        <v>3.4653975429448099E-2</v>
      </c>
      <c r="L270" t="s">
        <v>84</v>
      </c>
      <c r="N270" t="s">
        <v>116</v>
      </c>
      <c r="O270" t="s">
        <v>94</v>
      </c>
      <c r="P270">
        <v>2.0920008581771805E-2</v>
      </c>
      <c r="Q270" t="s">
        <v>84</v>
      </c>
      <c r="S270" t="s">
        <v>131</v>
      </c>
      <c r="T270" t="s">
        <v>94</v>
      </c>
      <c r="U270">
        <v>2.7365521741011617E-2</v>
      </c>
      <c r="V270" t="s">
        <v>84</v>
      </c>
    </row>
    <row r="271" spans="9:22" x14ac:dyDescent="0.45">
      <c r="I271" t="s">
        <v>100</v>
      </c>
      <c r="J271" t="s">
        <v>95</v>
      </c>
      <c r="K271">
        <v>6.0415898813314134E-2</v>
      </c>
      <c r="L271" t="s">
        <v>84</v>
      </c>
      <c r="N271" t="s">
        <v>116</v>
      </c>
      <c r="O271" t="s">
        <v>95</v>
      </c>
      <c r="P271">
        <v>4.8952972307437614E-2</v>
      </c>
      <c r="Q271" t="s">
        <v>84</v>
      </c>
      <c r="S271" t="s">
        <v>131</v>
      </c>
      <c r="T271" t="s">
        <v>95</v>
      </c>
      <c r="U271">
        <v>4.3217700220201827E-2</v>
      </c>
      <c r="V271" t="s">
        <v>84</v>
      </c>
    </row>
    <row r="272" spans="9:22" x14ac:dyDescent="0.45">
      <c r="I272" t="s">
        <v>100</v>
      </c>
      <c r="J272" t="s">
        <v>186</v>
      </c>
      <c r="K272">
        <v>2.4927121982627398E-3</v>
      </c>
      <c r="L272" t="s">
        <v>84</v>
      </c>
      <c r="N272" t="s">
        <v>116</v>
      </c>
      <c r="O272" t="s">
        <v>186</v>
      </c>
      <c r="P272">
        <v>7.5413793605986924E-3</v>
      </c>
      <c r="Q272" t="s">
        <v>84</v>
      </c>
      <c r="S272" t="s">
        <v>131</v>
      </c>
      <c r="T272" t="s">
        <v>186</v>
      </c>
      <c r="U272">
        <v>7.373274025704017E-3</v>
      </c>
      <c r="V272" t="s">
        <v>84</v>
      </c>
    </row>
    <row r="273" spans="9:22" x14ac:dyDescent="0.45">
      <c r="I273" t="s">
        <v>100</v>
      </c>
      <c r="J273" t="s">
        <v>187</v>
      </c>
      <c r="K273">
        <v>0</v>
      </c>
      <c r="L273" t="s">
        <v>84</v>
      </c>
      <c r="N273" t="s">
        <v>116</v>
      </c>
      <c r="O273" t="s">
        <v>187</v>
      </c>
      <c r="P273">
        <v>6.9535253165741266E-3</v>
      </c>
      <c r="Q273" t="s">
        <v>84</v>
      </c>
      <c r="S273" t="s">
        <v>131</v>
      </c>
      <c r="T273" t="s">
        <v>187</v>
      </c>
      <c r="U273">
        <v>7.4292784552217987E-3</v>
      </c>
      <c r="V273" t="s">
        <v>84</v>
      </c>
    </row>
    <row r="274" spans="9:22" x14ac:dyDescent="0.45">
      <c r="I274" t="s">
        <v>100</v>
      </c>
      <c r="J274" t="s">
        <v>188</v>
      </c>
      <c r="K274">
        <v>0</v>
      </c>
      <c r="L274" t="s">
        <v>84</v>
      </c>
      <c r="N274" t="s">
        <v>116</v>
      </c>
      <c r="O274" t="s">
        <v>188</v>
      </c>
      <c r="P274">
        <v>3.1210330802746659E-2</v>
      </c>
      <c r="Q274" t="s">
        <v>84</v>
      </c>
      <c r="S274" t="s">
        <v>131</v>
      </c>
      <c r="T274" t="s">
        <v>188</v>
      </c>
      <c r="U274">
        <v>3.8281238991089733E-2</v>
      </c>
      <c r="V274" t="s">
        <v>84</v>
      </c>
    </row>
    <row r="275" spans="9:22" x14ac:dyDescent="0.45">
      <c r="I275" t="s">
        <v>100</v>
      </c>
      <c r="J275" t="s">
        <v>189</v>
      </c>
      <c r="K275">
        <v>0</v>
      </c>
      <c r="L275" t="s">
        <v>84</v>
      </c>
      <c r="N275" t="s">
        <v>116</v>
      </c>
      <c r="O275" t="s">
        <v>189</v>
      </c>
      <c r="P275">
        <v>2.2554776102801065E-2</v>
      </c>
      <c r="Q275" t="s">
        <v>84</v>
      </c>
      <c r="S275" t="s">
        <v>131</v>
      </c>
      <c r="T275" t="s">
        <v>189</v>
      </c>
      <c r="U275">
        <v>2.8636925012728777E-2</v>
      </c>
      <c r="V275" t="s">
        <v>84</v>
      </c>
    </row>
    <row r="276" spans="9:22" x14ac:dyDescent="0.45">
      <c r="I276" t="s">
        <v>100</v>
      </c>
      <c r="J276" t="s">
        <v>190</v>
      </c>
      <c r="K276">
        <v>7.6005955892487747E-3</v>
      </c>
      <c r="L276" t="s">
        <v>84</v>
      </c>
      <c r="N276" t="s">
        <v>116</v>
      </c>
      <c r="O276" t="s">
        <v>190</v>
      </c>
      <c r="P276">
        <v>1.3951349259243446E-2</v>
      </c>
      <c r="Q276" t="s">
        <v>84</v>
      </c>
      <c r="S276" t="s">
        <v>131</v>
      </c>
      <c r="T276" t="s">
        <v>190</v>
      </c>
      <c r="U276">
        <v>1.6318610484094893E-2</v>
      </c>
      <c r="V276" t="s">
        <v>84</v>
      </c>
    </row>
    <row r="277" spans="9:22" x14ac:dyDescent="0.45">
      <c r="I277" t="s">
        <v>100</v>
      </c>
      <c r="J277" t="s">
        <v>191</v>
      </c>
      <c r="K277">
        <v>1.7958311822763487E-2</v>
      </c>
      <c r="L277" t="s">
        <v>84</v>
      </c>
      <c r="N277" t="s">
        <v>116</v>
      </c>
      <c r="O277" t="s">
        <v>191</v>
      </c>
      <c r="P277">
        <v>1.7950900716346887E-2</v>
      </c>
      <c r="Q277" t="s">
        <v>84</v>
      </c>
      <c r="S277" t="s">
        <v>131</v>
      </c>
      <c r="T277" t="s">
        <v>191</v>
      </c>
      <c r="U277">
        <v>2.4573040868900504E-2</v>
      </c>
      <c r="V277" t="s">
        <v>84</v>
      </c>
    </row>
    <row r="278" spans="9:22" x14ac:dyDescent="0.45">
      <c r="I278" t="s">
        <v>100</v>
      </c>
      <c r="J278" t="s">
        <v>192</v>
      </c>
      <c r="K278">
        <v>0</v>
      </c>
      <c r="L278" t="s">
        <v>84</v>
      </c>
      <c r="N278" t="s">
        <v>116</v>
      </c>
      <c r="O278" t="s">
        <v>192</v>
      </c>
      <c r="P278">
        <v>2.6523039913211649E-3</v>
      </c>
      <c r="Q278" t="s">
        <v>84</v>
      </c>
      <c r="S278" t="s">
        <v>131</v>
      </c>
      <c r="T278" t="s">
        <v>192</v>
      </c>
      <c r="U278">
        <v>4.2245064746677238E-3</v>
      </c>
      <c r="V278" t="s">
        <v>84</v>
      </c>
    </row>
    <row r="279" spans="9:22" x14ac:dyDescent="0.45">
      <c r="I279" t="s">
        <v>100</v>
      </c>
      <c r="J279" t="s">
        <v>193</v>
      </c>
      <c r="K279">
        <v>0</v>
      </c>
      <c r="L279" t="s">
        <v>84</v>
      </c>
      <c r="N279" t="s">
        <v>116</v>
      </c>
      <c r="O279" t="s">
        <v>193</v>
      </c>
      <c r="P279">
        <v>2.5669252905251359E-3</v>
      </c>
      <c r="Q279" t="s">
        <v>84</v>
      </c>
      <c r="S279" t="s">
        <v>131</v>
      </c>
      <c r="T279" t="s">
        <v>193</v>
      </c>
      <c r="U279">
        <v>4.1973844689553418E-3</v>
      </c>
      <c r="V279" t="s">
        <v>84</v>
      </c>
    </row>
    <row r="280" spans="9:22" x14ac:dyDescent="0.45">
      <c r="I280" t="s">
        <v>100</v>
      </c>
      <c r="J280" t="s">
        <v>194</v>
      </c>
      <c r="K280">
        <v>0</v>
      </c>
      <c r="L280" t="s">
        <v>84</v>
      </c>
      <c r="N280" t="s">
        <v>116</v>
      </c>
      <c r="O280" t="s">
        <v>194</v>
      </c>
      <c r="P280">
        <v>1.3656300954214929E-2</v>
      </c>
      <c r="Q280" t="s">
        <v>84</v>
      </c>
      <c r="S280" t="s">
        <v>131</v>
      </c>
      <c r="T280" t="s">
        <v>194</v>
      </c>
      <c r="U280">
        <v>2.0753529888391731E-2</v>
      </c>
      <c r="V280" t="s">
        <v>84</v>
      </c>
    </row>
    <row r="281" spans="9:22" x14ac:dyDescent="0.45">
      <c r="I281" t="s">
        <v>100</v>
      </c>
      <c r="J281" t="s">
        <v>195</v>
      </c>
      <c r="K281">
        <v>1.280861029964913E-3</v>
      </c>
      <c r="L281" t="s">
        <v>84</v>
      </c>
      <c r="N281" t="s">
        <v>116</v>
      </c>
      <c r="O281" t="s">
        <v>195</v>
      </c>
      <c r="P281">
        <v>7.5316907272894029E-2</v>
      </c>
      <c r="Q281" t="s">
        <v>84</v>
      </c>
      <c r="S281" t="s">
        <v>131</v>
      </c>
      <c r="T281" t="s">
        <v>195</v>
      </c>
      <c r="U281">
        <v>8.4253619238344957E-2</v>
      </c>
      <c r="V281" t="s">
        <v>84</v>
      </c>
    </row>
    <row r="282" spans="9:22" x14ac:dyDescent="0.45">
      <c r="I282" t="s">
        <v>100</v>
      </c>
      <c r="J282" t="s">
        <v>196</v>
      </c>
      <c r="K282">
        <v>5.0368057406216554E-2</v>
      </c>
      <c r="L282" t="s">
        <v>84</v>
      </c>
      <c r="N282" t="s">
        <v>116</v>
      </c>
      <c r="O282" t="s">
        <v>196</v>
      </c>
      <c r="P282">
        <v>3.8401987470134645E-2</v>
      </c>
      <c r="Q282" t="s">
        <v>84</v>
      </c>
      <c r="S282" t="s">
        <v>131</v>
      </c>
      <c r="T282" t="s">
        <v>196</v>
      </c>
      <c r="U282">
        <v>4.835082181540979E-2</v>
      </c>
      <c r="V282" t="s">
        <v>84</v>
      </c>
    </row>
    <row r="283" spans="9:22" x14ac:dyDescent="0.45">
      <c r="I283" t="s">
        <v>100</v>
      </c>
      <c r="J283" t="s">
        <v>197</v>
      </c>
      <c r="K283">
        <v>9.6429723884530263E-2</v>
      </c>
      <c r="L283" t="s">
        <v>84</v>
      </c>
      <c r="N283" t="s">
        <v>116</v>
      </c>
      <c r="O283" t="s">
        <v>197</v>
      </c>
      <c r="P283">
        <v>8.1322665515273507E-2</v>
      </c>
      <c r="Q283" t="s">
        <v>84</v>
      </c>
      <c r="S283" t="s">
        <v>131</v>
      </c>
      <c r="T283" t="s">
        <v>197</v>
      </c>
      <c r="U283">
        <v>6.9235055672531853E-2</v>
      </c>
      <c r="V283" t="s">
        <v>84</v>
      </c>
    </row>
    <row r="284" spans="9:22" x14ac:dyDescent="0.45">
      <c r="I284" t="s">
        <v>100</v>
      </c>
      <c r="J284" t="s">
        <v>198</v>
      </c>
      <c r="K284">
        <v>6.3788753602831436E-3</v>
      </c>
      <c r="L284" t="s">
        <v>84</v>
      </c>
      <c r="N284" t="s">
        <v>116</v>
      </c>
      <c r="O284" t="s">
        <v>198</v>
      </c>
      <c r="P284">
        <v>1.2037745057790263E-2</v>
      </c>
      <c r="Q284" t="s">
        <v>84</v>
      </c>
      <c r="S284" t="s">
        <v>131</v>
      </c>
      <c r="T284" t="s">
        <v>198</v>
      </c>
      <c r="U284">
        <v>1.0897152550447752E-2</v>
      </c>
      <c r="V284" t="s">
        <v>84</v>
      </c>
    </row>
    <row r="285" spans="9:22" x14ac:dyDescent="0.45">
      <c r="I285" t="s">
        <v>100</v>
      </c>
      <c r="J285" t="s">
        <v>199</v>
      </c>
      <c r="K285">
        <v>0</v>
      </c>
      <c r="L285" t="s">
        <v>84</v>
      </c>
      <c r="N285" t="s">
        <v>116</v>
      </c>
      <c r="O285" t="s">
        <v>199</v>
      </c>
      <c r="P285">
        <v>1.15044604818098E-2</v>
      </c>
      <c r="Q285" t="s">
        <v>84</v>
      </c>
      <c r="S285" t="s">
        <v>131</v>
      </c>
      <c r="T285" t="s">
        <v>199</v>
      </c>
      <c r="U285">
        <v>1.0948332604135294E-2</v>
      </c>
      <c r="V285" t="s">
        <v>84</v>
      </c>
    </row>
    <row r="286" spans="9:22" x14ac:dyDescent="0.45">
      <c r="I286" t="s">
        <v>100</v>
      </c>
      <c r="J286" t="s">
        <v>200</v>
      </c>
      <c r="K286">
        <v>0</v>
      </c>
      <c r="L286" t="s">
        <v>84</v>
      </c>
      <c r="N286" t="s">
        <v>116</v>
      </c>
      <c r="O286" t="s">
        <v>200</v>
      </c>
      <c r="P286">
        <v>5.8881189210960728E-2</v>
      </c>
      <c r="Q286" t="s">
        <v>84</v>
      </c>
      <c r="S286" t="s">
        <v>131</v>
      </c>
      <c r="T286" t="s">
        <v>200</v>
      </c>
      <c r="U286">
        <v>5.7896424948563542E-2</v>
      </c>
      <c r="V286" t="s">
        <v>84</v>
      </c>
    </row>
    <row r="287" spans="9:22" x14ac:dyDescent="0.45">
      <c r="I287" t="s">
        <v>100</v>
      </c>
      <c r="J287" t="s">
        <v>201</v>
      </c>
      <c r="K287">
        <v>5.3878455654019792E-3</v>
      </c>
      <c r="L287" t="s">
        <v>84</v>
      </c>
      <c r="N287" t="s">
        <v>116</v>
      </c>
      <c r="O287" t="s">
        <v>201</v>
      </c>
      <c r="P287">
        <v>4.0877210116652324E-2</v>
      </c>
      <c r="Q287" t="s">
        <v>84</v>
      </c>
      <c r="S287" t="s">
        <v>131</v>
      </c>
      <c r="T287" t="s">
        <v>201</v>
      </c>
      <c r="U287">
        <v>2.8220833266294296E-2</v>
      </c>
      <c r="V287" t="s">
        <v>84</v>
      </c>
    </row>
    <row r="288" spans="9:22" x14ac:dyDescent="0.45">
      <c r="I288" t="s">
        <v>100</v>
      </c>
      <c r="J288" t="s">
        <v>202</v>
      </c>
      <c r="K288">
        <v>3.0957510673183589E-2</v>
      </c>
      <c r="L288" t="s">
        <v>84</v>
      </c>
      <c r="N288" t="s">
        <v>116</v>
      </c>
      <c r="O288" t="s">
        <v>202</v>
      </c>
      <c r="P288">
        <v>2.4728326447725529E-2</v>
      </c>
      <c r="Q288" t="s">
        <v>84</v>
      </c>
      <c r="S288" t="s">
        <v>131</v>
      </c>
      <c r="T288" t="s">
        <v>202</v>
      </c>
      <c r="U288">
        <v>1.4672608821571717E-2</v>
      </c>
      <c r="V288" t="s">
        <v>84</v>
      </c>
    </row>
    <row r="289" spans="9:22" x14ac:dyDescent="0.45">
      <c r="I289" t="s">
        <v>100</v>
      </c>
      <c r="J289" t="s">
        <v>203</v>
      </c>
      <c r="K289">
        <v>5.3288328373863866E-2</v>
      </c>
      <c r="L289" t="s">
        <v>84</v>
      </c>
      <c r="N289" t="s">
        <v>116</v>
      </c>
      <c r="O289" t="s">
        <v>203</v>
      </c>
      <c r="P289">
        <v>6.2195559130510197E-2</v>
      </c>
      <c r="Q289" t="s">
        <v>84</v>
      </c>
      <c r="S289" t="s">
        <v>131</v>
      </c>
      <c r="T289" t="s">
        <v>203</v>
      </c>
      <c r="U289">
        <v>1.891938863931748E-2</v>
      </c>
      <c r="V289" t="s">
        <v>84</v>
      </c>
    </row>
    <row r="290" spans="9:22" x14ac:dyDescent="0.45">
      <c r="I290" t="s">
        <v>100</v>
      </c>
      <c r="J290" t="s">
        <v>204</v>
      </c>
      <c r="K290">
        <v>5.9211218804853223E-3</v>
      </c>
      <c r="L290" t="s">
        <v>84</v>
      </c>
      <c r="N290" t="s">
        <v>116</v>
      </c>
      <c r="O290" t="s">
        <v>204</v>
      </c>
      <c r="P290">
        <v>8.2395655768635195E-3</v>
      </c>
      <c r="Q290" t="s">
        <v>84</v>
      </c>
      <c r="S290" t="s">
        <v>131</v>
      </c>
      <c r="T290" t="s">
        <v>204</v>
      </c>
      <c r="U290">
        <v>3.4088892900252851E-3</v>
      </c>
      <c r="V290" t="s">
        <v>84</v>
      </c>
    </row>
    <row r="291" spans="9:22" x14ac:dyDescent="0.45">
      <c r="I291" t="s">
        <v>100</v>
      </c>
      <c r="J291" t="s">
        <v>205</v>
      </c>
      <c r="K291">
        <v>2.2550563160178031E-3</v>
      </c>
      <c r="L291" t="s">
        <v>84</v>
      </c>
      <c r="N291" t="s">
        <v>116</v>
      </c>
      <c r="O291" t="s">
        <v>205</v>
      </c>
      <c r="P291">
        <v>7.9481688385463854E-3</v>
      </c>
      <c r="Q291" t="s">
        <v>84</v>
      </c>
      <c r="S291" t="s">
        <v>131</v>
      </c>
      <c r="T291" t="s">
        <v>205</v>
      </c>
      <c r="U291">
        <v>3.5943896684184199E-3</v>
      </c>
      <c r="V291" t="s">
        <v>84</v>
      </c>
    </row>
    <row r="292" spans="9:22" x14ac:dyDescent="0.45">
      <c r="I292" t="s">
        <v>100</v>
      </c>
      <c r="J292" t="s">
        <v>206</v>
      </c>
      <c r="K292">
        <v>0</v>
      </c>
      <c r="L292" t="s">
        <v>84</v>
      </c>
      <c r="N292" t="s">
        <v>116</v>
      </c>
      <c r="O292" t="s">
        <v>206</v>
      </c>
      <c r="P292">
        <v>2.9774917227771786E-2</v>
      </c>
      <c r="Q292" t="s">
        <v>84</v>
      </c>
      <c r="S292" t="s">
        <v>131</v>
      </c>
      <c r="T292" t="s">
        <v>206</v>
      </c>
      <c r="U292">
        <v>1.9423640005496869E-2</v>
      </c>
      <c r="V292" t="s">
        <v>84</v>
      </c>
    </row>
    <row r="293" spans="9:22" x14ac:dyDescent="0.45">
      <c r="I293" t="s">
        <v>100</v>
      </c>
      <c r="J293" t="s">
        <v>207</v>
      </c>
      <c r="K293">
        <v>2.0472599915346838E-2</v>
      </c>
      <c r="L293" t="s">
        <v>84</v>
      </c>
      <c r="N293" t="s">
        <v>116</v>
      </c>
      <c r="O293" t="s">
        <v>207</v>
      </c>
      <c r="P293">
        <v>2.381744400324097E-2</v>
      </c>
      <c r="Q293" t="s">
        <v>84</v>
      </c>
      <c r="S293" t="s">
        <v>131</v>
      </c>
      <c r="T293" t="s">
        <v>207</v>
      </c>
      <c r="U293">
        <v>4.7169294909694494E-2</v>
      </c>
      <c r="V293" t="s">
        <v>84</v>
      </c>
    </row>
    <row r="294" spans="9:22" x14ac:dyDescent="0.45">
      <c r="I294" t="s">
        <v>100</v>
      </c>
      <c r="J294" t="s">
        <v>208</v>
      </c>
      <c r="K294">
        <v>7.8609837749471154E-2</v>
      </c>
      <c r="L294" t="s">
        <v>84</v>
      </c>
      <c r="N294" t="s">
        <v>116</v>
      </c>
      <c r="O294" t="s">
        <v>208</v>
      </c>
      <c r="P294">
        <v>1.7817785318580154E-2</v>
      </c>
      <c r="Q294" t="s">
        <v>84</v>
      </c>
      <c r="S294" t="s">
        <v>131</v>
      </c>
      <c r="T294" t="s">
        <v>208</v>
      </c>
      <c r="U294">
        <v>2.4965645234472339E-2</v>
      </c>
      <c r="V294" t="s">
        <v>84</v>
      </c>
    </row>
    <row r="295" spans="9:22" x14ac:dyDescent="0.45">
      <c r="I295" t="s">
        <v>100</v>
      </c>
      <c r="J295" t="s">
        <v>209</v>
      </c>
      <c r="K295">
        <v>0.12164330072815437</v>
      </c>
      <c r="L295" t="s">
        <v>84</v>
      </c>
      <c r="N295" t="s">
        <v>116</v>
      </c>
      <c r="O295" t="s">
        <v>209</v>
      </c>
      <c r="P295">
        <v>4.5111113904222191E-2</v>
      </c>
      <c r="Q295" t="s">
        <v>84</v>
      </c>
      <c r="S295" t="s">
        <v>131</v>
      </c>
      <c r="T295" t="s">
        <v>209</v>
      </c>
      <c r="U295">
        <v>3.6258604229691183E-2</v>
      </c>
      <c r="V295" t="s">
        <v>84</v>
      </c>
    </row>
    <row r="296" spans="9:22" x14ac:dyDescent="0.45">
      <c r="I296" t="s">
        <v>100</v>
      </c>
      <c r="J296" t="s">
        <v>210</v>
      </c>
      <c r="K296">
        <v>1.4303480356462646E-2</v>
      </c>
      <c r="L296" t="s">
        <v>84</v>
      </c>
      <c r="N296" t="s">
        <v>116</v>
      </c>
      <c r="O296" t="s">
        <v>210</v>
      </c>
      <c r="P296">
        <v>6.4882406635227144E-3</v>
      </c>
      <c r="Q296" t="s">
        <v>84</v>
      </c>
      <c r="S296" t="s">
        <v>131</v>
      </c>
      <c r="T296" t="s">
        <v>210</v>
      </c>
      <c r="U296">
        <v>6.8411037273796663E-3</v>
      </c>
      <c r="V296" t="s">
        <v>84</v>
      </c>
    </row>
    <row r="297" spans="9:22" x14ac:dyDescent="0.45">
      <c r="I297" t="s">
        <v>100</v>
      </c>
      <c r="J297" t="s">
        <v>211</v>
      </c>
      <c r="K297">
        <v>9.7406622653492016E-3</v>
      </c>
      <c r="L297" t="s">
        <v>84</v>
      </c>
      <c r="N297" t="s">
        <v>116</v>
      </c>
      <c r="O297" t="s">
        <v>211</v>
      </c>
      <c r="P297">
        <v>6.0172972353646553E-3</v>
      </c>
      <c r="Q297" t="s">
        <v>84</v>
      </c>
      <c r="S297" t="s">
        <v>131</v>
      </c>
      <c r="T297" t="s">
        <v>211</v>
      </c>
      <c r="U297">
        <v>6.9639150293167723E-3</v>
      </c>
      <c r="V297" t="s">
        <v>84</v>
      </c>
    </row>
    <row r="298" spans="9:22" x14ac:dyDescent="0.45">
      <c r="I298" t="s">
        <v>100</v>
      </c>
      <c r="J298" t="s">
        <v>212</v>
      </c>
      <c r="K298">
        <v>2.5076997820017728E-3</v>
      </c>
      <c r="L298" t="s">
        <v>84</v>
      </c>
      <c r="N298" t="s">
        <v>116</v>
      </c>
      <c r="O298" t="s">
        <v>212</v>
      </c>
      <c r="P298">
        <v>2.2407119483753634E-2</v>
      </c>
      <c r="Q298" t="s">
        <v>84</v>
      </c>
      <c r="S298" t="s">
        <v>131</v>
      </c>
      <c r="T298" t="s">
        <v>212</v>
      </c>
      <c r="U298">
        <v>3.4940361532661841E-2</v>
      </c>
      <c r="V298" t="s">
        <v>84</v>
      </c>
    </row>
    <row r="299" spans="9:22" x14ac:dyDescent="0.45">
      <c r="I299" t="s">
        <v>101</v>
      </c>
      <c r="J299" t="s">
        <v>83</v>
      </c>
      <c r="K299">
        <v>7.9943530471960674E-3</v>
      </c>
      <c r="L299" t="s">
        <v>84</v>
      </c>
      <c r="N299" t="s">
        <v>117</v>
      </c>
      <c r="O299" t="s">
        <v>83</v>
      </c>
      <c r="P299">
        <v>2.1748801051019579E-2</v>
      </c>
      <c r="Q299" t="s">
        <v>84</v>
      </c>
      <c r="S299" t="s">
        <v>132</v>
      </c>
      <c r="T299" t="s">
        <v>83</v>
      </c>
      <c r="U299">
        <v>2.6771106155210053E-2</v>
      </c>
      <c r="V299" t="s">
        <v>84</v>
      </c>
    </row>
    <row r="300" spans="9:22" x14ac:dyDescent="0.45">
      <c r="I300" t="s">
        <v>101</v>
      </c>
      <c r="J300" t="s">
        <v>85</v>
      </c>
      <c r="K300">
        <v>4.3016702687801535E-2</v>
      </c>
      <c r="L300" t="s">
        <v>84</v>
      </c>
      <c r="N300" t="s">
        <v>117</v>
      </c>
      <c r="O300" t="s">
        <v>85</v>
      </c>
      <c r="P300">
        <v>1.4147433565153045E-2</v>
      </c>
      <c r="Q300" t="s">
        <v>84</v>
      </c>
      <c r="S300" t="s">
        <v>132</v>
      </c>
      <c r="T300" t="s">
        <v>85</v>
      </c>
      <c r="U300">
        <v>1.3511131881731047E-2</v>
      </c>
      <c r="V300" t="s">
        <v>84</v>
      </c>
    </row>
    <row r="301" spans="9:22" x14ac:dyDescent="0.45">
      <c r="I301" t="s">
        <v>101</v>
      </c>
      <c r="J301" t="s">
        <v>86</v>
      </c>
      <c r="K301">
        <v>7.5378701720726762E-2</v>
      </c>
      <c r="L301" t="s">
        <v>84</v>
      </c>
      <c r="N301" t="s">
        <v>117</v>
      </c>
      <c r="O301" t="s">
        <v>86</v>
      </c>
      <c r="P301">
        <v>2.9129102472929966E-2</v>
      </c>
      <c r="Q301" t="s">
        <v>84</v>
      </c>
      <c r="S301" t="s">
        <v>132</v>
      </c>
      <c r="T301" t="s">
        <v>86</v>
      </c>
      <c r="U301">
        <v>2.1872322308024848E-2</v>
      </c>
      <c r="V301" t="s">
        <v>84</v>
      </c>
    </row>
    <row r="302" spans="9:22" x14ac:dyDescent="0.45">
      <c r="I302" t="s">
        <v>101</v>
      </c>
      <c r="J302" t="s">
        <v>177</v>
      </c>
      <c r="K302">
        <v>1.0142795998964199E-2</v>
      </c>
      <c r="L302" t="s">
        <v>84</v>
      </c>
      <c r="N302" t="s">
        <v>117</v>
      </c>
      <c r="O302" t="s">
        <v>177</v>
      </c>
      <c r="P302">
        <v>4.228890898407593E-3</v>
      </c>
      <c r="Q302" t="s">
        <v>84</v>
      </c>
      <c r="S302" t="s">
        <v>132</v>
      </c>
      <c r="T302" t="s">
        <v>177</v>
      </c>
      <c r="U302">
        <v>4.5880031787646682E-3</v>
      </c>
      <c r="V302" t="s">
        <v>84</v>
      </c>
    </row>
    <row r="303" spans="9:22" x14ac:dyDescent="0.45">
      <c r="I303" t="s">
        <v>101</v>
      </c>
      <c r="J303" t="s">
        <v>178</v>
      </c>
      <c r="K303">
        <v>8.7521249823289699E-3</v>
      </c>
      <c r="L303" t="s">
        <v>84</v>
      </c>
      <c r="N303" t="s">
        <v>117</v>
      </c>
      <c r="O303" t="s">
        <v>178</v>
      </c>
      <c r="P303">
        <v>3.8453558936236377E-3</v>
      </c>
      <c r="Q303" t="s">
        <v>84</v>
      </c>
      <c r="S303" t="s">
        <v>132</v>
      </c>
      <c r="T303" t="s">
        <v>178</v>
      </c>
      <c r="U303">
        <v>4.7784995401055595E-3</v>
      </c>
      <c r="V303" t="s">
        <v>84</v>
      </c>
    </row>
    <row r="304" spans="9:22" x14ac:dyDescent="0.45">
      <c r="I304" t="s">
        <v>101</v>
      </c>
      <c r="J304" t="s">
        <v>179</v>
      </c>
      <c r="K304">
        <v>5.8050739462003516E-3</v>
      </c>
      <c r="L304" t="s">
        <v>84</v>
      </c>
      <c r="N304" t="s">
        <v>117</v>
      </c>
      <c r="O304" t="s">
        <v>179</v>
      </c>
      <c r="P304">
        <v>1.6633785255125651E-2</v>
      </c>
      <c r="Q304" t="s">
        <v>84</v>
      </c>
      <c r="S304" t="s">
        <v>132</v>
      </c>
      <c r="T304" t="s">
        <v>179</v>
      </c>
      <c r="U304">
        <v>2.2954843986737652E-2</v>
      </c>
      <c r="V304" t="s">
        <v>84</v>
      </c>
    </row>
    <row r="305" spans="9:22" x14ac:dyDescent="0.45">
      <c r="I305" t="s">
        <v>101</v>
      </c>
      <c r="J305" t="s">
        <v>87</v>
      </c>
      <c r="K305">
        <v>4.6279090322790461E-3</v>
      </c>
      <c r="L305" t="s">
        <v>84</v>
      </c>
      <c r="N305" t="s">
        <v>117</v>
      </c>
      <c r="O305" t="s">
        <v>87</v>
      </c>
      <c r="P305">
        <v>1.3026134616738001E-2</v>
      </c>
      <c r="Q305" t="s">
        <v>84</v>
      </c>
      <c r="S305" t="s">
        <v>132</v>
      </c>
      <c r="T305" t="s">
        <v>87</v>
      </c>
      <c r="U305">
        <v>1.4453341954504173E-2</v>
      </c>
      <c r="V305" t="s">
        <v>84</v>
      </c>
    </row>
    <row r="306" spans="9:22" x14ac:dyDescent="0.45">
      <c r="I306" t="s">
        <v>101</v>
      </c>
      <c r="J306" t="s">
        <v>88</v>
      </c>
      <c r="K306">
        <v>3.8020572415616953E-2</v>
      </c>
      <c r="L306" t="s">
        <v>84</v>
      </c>
      <c r="N306" t="s">
        <v>117</v>
      </c>
      <c r="O306" t="s">
        <v>88</v>
      </c>
      <c r="P306">
        <v>8.2530557309266634E-3</v>
      </c>
      <c r="Q306" t="s">
        <v>84</v>
      </c>
      <c r="S306" t="s">
        <v>132</v>
      </c>
      <c r="T306" t="s">
        <v>88</v>
      </c>
      <c r="U306">
        <v>6.8540989214898092E-3</v>
      </c>
      <c r="V306" t="s">
        <v>84</v>
      </c>
    </row>
    <row r="307" spans="9:22" x14ac:dyDescent="0.45">
      <c r="I307" t="s">
        <v>101</v>
      </c>
      <c r="J307" t="s">
        <v>89</v>
      </c>
      <c r="K307">
        <v>6.3987618794694168E-2</v>
      </c>
      <c r="L307" t="s">
        <v>84</v>
      </c>
      <c r="N307" t="s">
        <v>117</v>
      </c>
      <c r="O307" t="s">
        <v>89</v>
      </c>
      <c r="P307">
        <v>1.6249851141001175E-2</v>
      </c>
      <c r="Q307" t="s">
        <v>84</v>
      </c>
      <c r="S307" t="s">
        <v>132</v>
      </c>
      <c r="T307" t="s">
        <v>89</v>
      </c>
      <c r="U307">
        <v>9.0054934561915496E-3</v>
      </c>
      <c r="V307" t="s">
        <v>84</v>
      </c>
    </row>
    <row r="308" spans="9:22" x14ac:dyDescent="0.45">
      <c r="I308" t="s">
        <v>101</v>
      </c>
      <c r="J308" t="s">
        <v>180</v>
      </c>
      <c r="K308">
        <v>9.1220088197462371E-3</v>
      </c>
      <c r="L308" t="s">
        <v>84</v>
      </c>
      <c r="N308" t="s">
        <v>117</v>
      </c>
      <c r="O308" t="s">
        <v>180</v>
      </c>
      <c r="P308">
        <v>2.6204717691620844E-3</v>
      </c>
      <c r="Q308" t="s">
        <v>84</v>
      </c>
      <c r="S308" t="s">
        <v>132</v>
      </c>
      <c r="T308" t="s">
        <v>180</v>
      </c>
      <c r="U308">
        <v>2.0607679165430934E-3</v>
      </c>
      <c r="V308" t="s">
        <v>84</v>
      </c>
    </row>
    <row r="309" spans="9:22" x14ac:dyDescent="0.45">
      <c r="I309" t="s">
        <v>101</v>
      </c>
      <c r="J309" t="s">
        <v>181</v>
      </c>
      <c r="K309">
        <v>7.6816152843127055E-3</v>
      </c>
      <c r="L309" t="s">
        <v>84</v>
      </c>
      <c r="N309" t="s">
        <v>117</v>
      </c>
      <c r="O309" t="s">
        <v>181</v>
      </c>
      <c r="P309">
        <v>2.2968932507751263E-3</v>
      </c>
      <c r="Q309" t="s">
        <v>84</v>
      </c>
      <c r="S309" t="s">
        <v>132</v>
      </c>
      <c r="T309" t="s">
        <v>181</v>
      </c>
      <c r="U309">
        <v>2.2833408739701935E-3</v>
      </c>
      <c r="V309" t="s">
        <v>84</v>
      </c>
    </row>
    <row r="310" spans="9:22" x14ac:dyDescent="0.45">
      <c r="I310" t="s">
        <v>101</v>
      </c>
      <c r="J310" t="s">
        <v>182</v>
      </c>
      <c r="K310">
        <v>4.1431286931757592E-3</v>
      </c>
      <c r="L310" t="s">
        <v>84</v>
      </c>
      <c r="N310" t="s">
        <v>117</v>
      </c>
      <c r="O310" t="s">
        <v>182</v>
      </c>
      <c r="P310">
        <v>9.5189914325364625E-3</v>
      </c>
      <c r="Q310" t="s">
        <v>84</v>
      </c>
      <c r="S310" t="s">
        <v>132</v>
      </c>
      <c r="T310" t="s">
        <v>182</v>
      </c>
      <c r="U310">
        <v>1.3355850839878976E-2</v>
      </c>
      <c r="V310" t="s">
        <v>84</v>
      </c>
    </row>
    <row r="311" spans="9:22" x14ac:dyDescent="0.45">
      <c r="I311" t="s">
        <v>101</v>
      </c>
      <c r="J311" t="s">
        <v>90</v>
      </c>
      <c r="K311">
        <v>2.6306639430922341E-4</v>
      </c>
      <c r="L311" t="s">
        <v>84</v>
      </c>
      <c r="N311" t="s">
        <v>117</v>
      </c>
      <c r="O311" t="s">
        <v>90</v>
      </c>
      <c r="P311">
        <v>1.4838842937922836E-2</v>
      </c>
      <c r="Q311" t="s">
        <v>84</v>
      </c>
      <c r="S311" t="s">
        <v>132</v>
      </c>
      <c r="T311" t="s">
        <v>90</v>
      </c>
      <c r="U311">
        <v>1.5086018099939945E-2</v>
      </c>
      <c r="V311" t="s">
        <v>84</v>
      </c>
    </row>
    <row r="312" spans="9:22" x14ac:dyDescent="0.45">
      <c r="I312" t="s">
        <v>101</v>
      </c>
      <c r="J312" t="s">
        <v>91</v>
      </c>
      <c r="K312">
        <v>2.5973200707368221E-2</v>
      </c>
      <c r="L312" t="s">
        <v>84</v>
      </c>
      <c r="N312" t="s">
        <v>117</v>
      </c>
      <c r="O312" t="s">
        <v>91</v>
      </c>
      <c r="P312">
        <v>8.1740984850994843E-3</v>
      </c>
      <c r="Q312" t="s">
        <v>84</v>
      </c>
      <c r="S312" t="s">
        <v>132</v>
      </c>
      <c r="T312" t="s">
        <v>91</v>
      </c>
      <c r="U312">
        <v>8.3527122726753562E-3</v>
      </c>
      <c r="V312" t="s">
        <v>84</v>
      </c>
    </row>
    <row r="313" spans="9:22" x14ac:dyDescent="0.45">
      <c r="I313" t="s">
        <v>101</v>
      </c>
      <c r="J313" t="s">
        <v>92</v>
      </c>
      <c r="K313">
        <v>5.0589744935721957E-2</v>
      </c>
      <c r="L313" t="s">
        <v>84</v>
      </c>
      <c r="N313" t="s">
        <v>117</v>
      </c>
      <c r="O313" t="s">
        <v>92</v>
      </c>
      <c r="P313">
        <v>1.5100289787780784E-2</v>
      </c>
      <c r="Q313" t="s">
        <v>84</v>
      </c>
      <c r="S313" t="s">
        <v>132</v>
      </c>
      <c r="T313" t="s">
        <v>92</v>
      </c>
      <c r="U313">
        <v>1.1267088460832487E-2</v>
      </c>
      <c r="V313" t="s">
        <v>84</v>
      </c>
    </row>
    <row r="314" spans="9:22" x14ac:dyDescent="0.45">
      <c r="I314" t="s">
        <v>101</v>
      </c>
      <c r="J314" t="s">
        <v>183</v>
      </c>
      <c r="K314">
        <v>6.5988622489403541E-3</v>
      </c>
      <c r="L314" t="s">
        <v>84</v>
      </c>
      <c r="N314" t="s">
        <v>117</v>
      </c>
      <c r="O314" t="s">
        <v>183</v>
      </c>
      <c r="P314">
        <v>2.4061813489722255E-3</v>
      </c>
      <c r="Q314" t="s">
        <v>84</v>
      </c>
      <c r="S314" t="s">
        <v>132</v>
      </c>
      <c r="T314" t="s">
        <v>183</v>
      </c>
      <c r="U314">
        <v>2.1968461375600043E-3</v>
      </c>
      <c r="V314" t="s">
        <v>84</v>
      </c>
    </row>
    <row r="315" spans="9:22" x14ac:dyDescent="0.45">
      <c r="I315" t="s">
        <v>101</v>
      </c>
      <c r="J315" t="s">
        <v>184</v>
      </c>
      <c r="K315">
        <v>4.3871784910376023E-3</v>
      </c>
      <c r="L315" t="s">
        <v>84</v>
      </c>
      <c r="N315" t="s">
        <v>117</v>
      </c>
      <c r="O315" t="s">
        <v>184</v>
      </c>
      <c r="P315">
        <v>2.2911617172421588E-3</v>
      </c>
      <c r="Q315" t="s">
        <v>84</v>
      </c>
      <c r="S315" t="s">
        <v>132</v>
      </c>
      <c r="T315" t="s">
        <v>184</v>
      </c>
      <c r="U315">
        <v>2.3663508543528768E-3</v>
      </c>
      <c r="V315" t="s">
        <v>84</v>
      </c>
    </row>
    <row r="316" spans="9:22" x14ac:dyDescent="0.45">
      <c r="I316" t="s">
        <v>101</v>
      </c>
      <c r="J316" t="s">
        <v>185</v>
      </c>
      <c r="K316">
        <v>0</v>
      </c>
      <c r="L316" t="s">
        <v>84</v>
      </c>
      <c r="N316" t="s">
        <v>117</v>
      </c>
      <c r="O316" t="s">
        <v>185</v>
      </c>
      <c r="P316">
        <v>1.0872639461743159E-2</v>
      </c>
      <c r="Q316" t="s">
        <v>84</v>
      </c>
      <c r="S316" t="s">
        <v>132</v>
      </c>
      <c r="T316" t="s">
        <v>185</v>
      </c>
      <c r="U316">
        <v>1.283508426263355E-2</v>
      </c>
      <c r="V316" t="s">
        <v>84</v>
      </c>
    </row>
    <row r="317" spans="9:22" x14ac:dyDescent="0.45">
      <c r="I317" t="s">
        <v>101</v>
      </c>
      <c r="J317" t="s">
        <v>93</v>
      </c>
      <c r="K317">
        <v>0</v>
      </c>
      <c r="L317" t="s">
        <v>84</v>
      </c>
      <c r="N317" t="s">
        <v>117</v>
      </c>
      <c r="O317" t="s">
        <v>93</v>
      </c>
      <c r="P317">
        <v>4.7129181417993812E-2</v>
      </c>
      <c r="Q317" t="s">
        <v>84</v>
      </c>
      <c r="S317" t="s">
        <v>132</v>
      </c>
      <c r="T317" t="s">
        <v>93</v>
      </c>
      <c r="U317">
        <v>5.0925549514566903E-2</v>
      </c>
      <c r="V317" t="s">
        <v>84</v>
      </c>
    </row>
    <row r="318" spans="9:22" x14ac:dyDescent="0.45">
      <c r="I318" t="s">
        <v>101</v>
      </c>
      <c r="J318" t="s">
        <v>94</v>
      </c>
      <c r="K318">
        <v>2.5408172778601995E-2</v>
      </c>
      <c r="L318" t="s">
        <v>84</v>
      </c>
      <c r="N318" t="s">
        <v>117</v>
      </c>
      <c r="O318" t="s">
        <v>94</v>
      </c>
      <c r="P318">
        <v>2.6269694726415192E-2</v>
      </c>
      <c r="Q318" t="s">
        <v>84</v>
      </c>
      <c r="S318" t="s">
        <v>132</v>
      </c>
      <c r="T318" t="s">
        <v>94</v>
      </c>
      <c r="U318">
        <v>2.4527926384777986E-2</v>
      </c>
      <c r="V318" t="s">
        <v>84</v>
      </c>
    </row>
    <row r="319" spans="9:22" x14ac:dyDescent="0.45">
      <c r="I319" t="s">
        <v>101</v>
      </c>
      <c r="J319" t="s">
        <v>95</v>
      </c>
      <c r="K319">
        <v>5.8560001887967526E-2</v>
      </c>
      <c r="L319" t="s">
        <v>84</v>
      </c>
      <c r="N319" t="s">
        <v>117</v>
      </c>
      <c r="O319" t="s">
        <v>95</v>
      </c>
      <c r="P319">
        <v>4.8455321386712158E-2</v>
      </c>
      <c r="Q319" t="s">
        <v>84</v>
      </c>
      <c r="S319" t="s">
        <v>132</v>
      </c>
      <c r="T319" t="s">
        <v>95</v>
      </c>
      <c r="U319">
        <v>3.7659815127222843E-2</v>
      </c>
      <c r="V319" t="s">
        <v>84</v>
      </c>
    </row>
    <row r="320" spans="9:22" x14ac:dyDescent="0.45">
      <c r="I320" t="s">
        <v>101</v>
      </c>
      <c r="J320" t="s">
        <v>186</v>
      </c>
      <c r="K320">
        <v>4.3013885163001074E-3</v>
      </c>
      <c r="L320" t="s">
        <v>84</v>
      </c>
      <c r="N320" t="s">
        <v>117</v>
      </c>
      <c r="O320" t="s">
        <v>186</v>
      </c>
      <c r="P320">
        <v>7.7157054130119725E-3</v>
      </c>
      <c r="Q320" t="s">
        <v>84</v>
      </c>
      <c r="S320" t="s">
        <v>132</v>
      </c>
      <c r="T320" t="s">
        <v>186</v>
      </c>
      <c r="U320">
        <v>6.8837822344948556E-3</v>
      </c>
      <c r="V320" t="s">
        <v>84</v>
      </c>
    </row>
    <row r="321" spans="9:22" x14ac:dyDescent="0.45">
      <c r="I321" t="s">
        <v>101</v>
      </c>
      <c r="J321" t="s">
        <v>187</v>
      </c>
      <c r="K321">
        <v>0</v>
      </c>
      <c r="L321" t="s">
        <v>84</v>
      </c>
      <c r="N321" t="s">
        <v>117</v>
      </c>
      <c r="O321" t="s">
        <v>187</v>
      </c>
      <c r="P321">
        <v>7.5718989843001358E-3</v>
      </c>
      <c r="Q321" t="s">
        <v>84</v>
      </c>
      <c r="S321" t="s">
        <v>132</v>
      </c>
      <c r="T321" t="s">
        <v>187</v>
      </c>
      <c r="U321">
        <v>6.9637851450353727E-3</v>
      </c>
      <c r="V321" t="s">
        <v>84</v>
      </c>
    </row>
    <row r="322" spans="9:22" x14ac:dyDescent="0.45">
      <c r="I322" t="s">
        <v>101</v>
      </c>
      <c r="J322" t="s">
        <v>188</v>
      </c>
      <c r="K322">
        <v>0</v>
      </c>
      <c r="L322" t="s">
        <v>84</v>
      </c>
      <c r="N322" t="s">
        <v>117</v>
      </c>
      <c r="O322" t="s">
        <v>188</v>
      </c>
      <c r="P322">
        <v>3.5800906390282723E-2</v>
      </c>
      <c r="Q322" t="s">
        <v>84</v>
      </c>
      <c r="S322" t="s">
        <v>132</v>
      </c>
      <c r="T322" t="s">
        <v>188</v>
      </c>
      <c r="U322">
        <v>3.5996743274993755E-2</v>
      </c>
      <c r="V322" t="s">
        <v>84</v>
      </c>
    </row>
    <row r="323" spans="9:22" x14ac:dyDescent="0.45">
      <c r="I323" t="s">
        <v>101</v>
      </c>
      <c r="J323" t="s">
        <v>189</v>
      </c>
      <c r="K323">
        <v>0</v>
      </c>
      <c r="L323" t="s">
        <v>84</v>
      </c>
      <c r="N323" t="s">
        <v>117</v>
      </c>
      <c r="O323" t="s">
        <v>189</v>
      </c>
      <c r="P323">
        <v>2.4011614611627256E-2</v>
      </c>
      <c r="Q323" t="s">
        <v>84</v>
      </c>
      <c r="S323" t="s">
        <v>132</v>
      </c>
      <c r="T323" t="s">
        <v>189</v>
      </c>
      <c r="U323">
        <v>2.5497521677904953E-2</v>
      </c>
      <c r="V323" t="s">
        <v>84</v>
      </c>
    </row>
    <row r="324" spans="9:22" x14ac:dyDescent="0.45">
      <c r="I324" t="s">
        <v>101</v>
      </c>
      <c r="J324" t="s">
        <v>190</v>
      </c>
      <c r="K324">
        <v>4.8017274426813477E-3</v>
      </c>
      <c r="L324" t="s">
        <v>84</v>
      </c>
      <c r="N324" t="s">
        <v>117</v>
      </c>
      <c r="O324" t="s">
        <v>190</v>
      </c>
      <c r="P324">
        <v>1.4218734477585036E-2</v>
      </c>
      <c r="Q324" t="s">
        <v>84</v>
      </c>
      <c r="S324" t="s">
        <v>132</v>
      </c>
      <c r="T324" t="s">
        <v>190</v>
      </c>
      <c r="U324">
        <v>1.3794589845748616E-2</v>
      </c>
      <c r="V324" t="s">
        <v>84</v>
      </c>
    </row>
    <row r="325" spans="9:22" x14ac:dyDescent="0.45">
      <c r="I325" t="s">
        <v>101</v>
      </c>
      <c r="J325" t="s">
        <v>191</v>
      </c>
      <c r="K325">
        <v>1.6622886940765851E-2</v>
      </c>
      <c r="L325" t="s">
        <v>84</v>
      </c>
      <c r="N325" t="s">
        <v>117</v>
      </c>
      <c r="O325" t="s">
        <v>191</v>
      </c>
      <c r="P325">
        <v>2.1230309747115875E-2</v>
      </c>
      <c r="Q325" t="s">
        <v>84</v>
      </c>
      <c r="S325" t="s">
        <v>132</v>
      </c>
      <c r="T325" t="s">
        <v>191</v>
      </c>
      <c r="U325">
        <v>2.2633088510285854E-2</v>
      </c>
      <c r="V325" t="s">
        <v>84</v>
      </c>
    </row>
    <row r="326" spans="9:22" x14ac:dyDescent="0.45">
      <c r="I326" t="s">
        <v>101</v>
      </c>
      <c r="J326" t="s">
        <v>192</v>
      </c>
      <c r="K326">
        <v>0</v>
      </c>
      <c r="L326" t="s">
        <v>84</v>
      </c>
      <c r="N326" t="s">
        <v>117</v>
      </c>
      <c r="O326" t="s">
        <v>192</v>
      </c>
      <c r="P326">
        <v>3.4153007824992425E-3</v>
      </c>
      <c r="Q326" t="s">
        <v>84</v>
      </c>
      <c r="S326" t="s">
        <v>132</v>
      </c>
      <c r="T326" t="s">
        <v>192</v>
      </c>
      <c r="U326">
        <v>4.1839476925415427E-3</v>
      </c>
      <c r="V326" t="s">
        <v>84</v>
      </c>
    </row>
    <row r="327" spans="9:22" x14ac:dyDescent="0.45">
      <c r="I327" t="s">
        <v>101</v>
      </c>
      <c r="J327" t="s">
        <v>193</v>
      </c>
      <c r="K327">
        <v>0</v>
      </c>
      <c r="L327" t="s">
        <v>84</v>
      </c>
      <c r="N327" t="s">
        <v>117</v>
      </c>
      <c r="O327" t="s">
        <v>193</v>
      </c>
      <c r="P327">
        <v>3.4700198220850081E-3</v>
      </c>
      <c r="Q327" t="s">
        <v>84</v>
      </c>
      <c r="S327" t="s">
        <v>132</v>
      </c>
      <c r="T327" t="s">
        <v>193</v>
      </c>
      <c r="U327">
        <v>4.1179660008672063E-3</v>
      </c>
      <c r="V327" t="s">
        <v>84</v>
      </c>
    </row>
    <row r="328" spans="9:22" x14ac:dyDescent="0.45">
      <c r="I328" t="s">
        <v>101</v>
      </c>
      <c r="J328" t="s">
        <v>194</v>
      </c>
      <c r="K328">
        <v>0</v>
      </c>
      <c r="L328" t="s">
        <v>84</v>
      </c>
      <c r="N328" t="s">
        <v>117</v>
      </c>
      <c r="O328" t="s">
        <v>194</v>
      </c>
      <c r="P328">
        <v>1.7108054822949168E-2</v>
      </c>
      <c r="Q328" t="s">
        <v>84</v>
      </c>
      <c r="S328" t="s">
        <v>132</v>
      </c>
      <c r="T328" t="s">
        <v>194</v>
      </c>
      <c r="U328">
        <v>1.9607610581620163E-2</v>
      </c>
      <c r="V328" t="s">
        <v>84</v>
      </c>
    </row>
    <row r="329" spans="9:22" x14ac:dyDescent="0.45">
      <c r="I329" t="s">
        <v>101</v>
      </c>
      <c r="J329" t="s">
        <v>195</v>
      </c>
      <c r="K329">
        <v>1.1620306686259321E-4</v>
      </c>
      <c r="L329" t="s">
        <v>84</v>
      </c>
      <c r="N329" t="s">
        <v>117</v>
      </c>
      <c r="O329" t="s">
        <v>195</v>
      </c>
      <c r="P329">
        <v>7.6493442431473491E-2</v>
      </c>
      <c r="Q329" t="s">
        <v>84</v>
      </c>
      <c r="S329" t="s">
        <v>132</v>
      </c>
      <c r="T329" t="s">
        <v>195</v>
      </c>
      <c r="U329">
        <v>8.8777753376816801E-2</v>
      </c>
      <c r="V329" t="s">
        <v>84</v>
      </c>
    </row>
    <row r="330" spans="9:22" x14ac:dyDescent="0.45">
      <c r="I330" t="s">
        <v>101</v>
      </c>
      <c r="J330" t="s">
        <v>196</v>
      </c>
      <c r="K330">
        <v>4.4130977315555868E-2</v>
      </c>
      <c r="L330" t="s">
        <v>84</v>
      </c>
      <c r="N330" t="s">
        <v>117</v>
      </c>
      <c r="O330" t="s">
        <v>196</v>
      </c>
      <c r="P330">
        <v>4.0824759951258283E-2</v>
      </c>
      <c r="Q330" t="s">
        <v>84</v>
      </c>
      <c r="S330" t="s">
        <v>132</v>
      </c>
      <c r="T330" t="s">
        <v>196</v>
      </c>
      <c r="U330">
        <v>4.9257792652321677E-2</v>
      </c>
      <c r="V330" t="s">
        <v>84</v>
      </c>
    </row>
    <row r="331" spans="9:22" x14ac:dyDescent="0.45">
      <c r="I331" t="s">
        <v>101</v>
      </c>
      <c r="J331" t="s">
        <v>197</v>
      </c>
      <c r="K331">
        <v>0.10309230314200243</v>
      </c>
      <c r="L331" t="s">
        <v>84</v>
      </c>
      <c r="N331" t="s">
        <v>117</v>
      </c>
      <c r="O331" t="s">
        <v>197</v>
      </c>
      <c r="P331">
        <v>7.6865815955039912E-2</v>
      </c>
      <c r="Q331" t="s">
        <v>84</v>
      </c>
      <c r="S331" t="s">
        <v>132</v>
      </c>
      <c r="T331" t="s">
        <v>197</v>
      </c>
      <c r="U331">
        <v>7.6960401049888758E-2</v>
      </c>
      <c r="V331" t="s">
        <v>84</v>
      </c>
    </row>
    <row r="332" spans="9:22" x14ac:dyDescent="0.45">
      <c r="I332" t="s">
        <v>101</v>
      </c>
      <c r="J332" t="s">
        <v>198</v>
      </c>
      <c r="K332">
        <v>9.0327774504613215E-3</v>
      </c>
      <c r="L332" t="s">
        <v>84</v>
      </c>
      <c r="N332" t="s">
        <v>117</v>
      </c>
      <c r="O332" t="s">
        <v>198</v>
      </c>
      <c r="P332">
        <v>1.2182775289180704E-2</v>
      </c>
      <c r="Q332" t="s">
        <v>84</v>
      </c>
      <c r="S332" t="s">
        <v>132</v>
      </c>
      <c r="T332" t="s">
        <v>198</v>
      </c>
      <c r="U332">
        <v>1.3003713999639812E-2</v>
      </c>
      <c r="V332" t="s">
        <v>84</v>
      </c>
    </row>
    <row r="333" spans="9:22" x14ac:dyDescent="0.45">
      <c r="I333" t="s">
        <v>101</v>
      </c>
      <c r="J333" t="s">
        <v>199</v>
      </c>
      <c r="K333">
        <v>1.0799001765970948E-3</v>
      </c>
      <c r="L333" t="s">
        <v>84</v>
      </c>
      <c r="N333" t="s">
        <v>117</v>
      </c>
      <c r="O333" t="s">
        <v>199</v>
      </c>
      <c r="P333">
        <v>1.180764414671945E-2</v>
      </c>
      <c r="Q333" t="s">
        <v>84</v>
      </c>
      <c r="S333" t="s">
        <v>132</v>
      </c>
      <c r="T333" t="s">
        <v>199</v>
      </c>
      <c r="U333">
        <v>1.2774296954059919E-2</v>
      </c>
      <c r="V333" t="s">
        <v>84</v>
      </c>
    </row>
    <row r="334" spans="9:22" x14ac:dyDescent="0.45">
      <c r="I334" t="s">
        <v>101</v>
      </c>
      <c r="J334" t="s">
        <v>200</v>
      </c>
      <c r="K334">
        <v>0</v>
      </c>
      <c r="L334" t="s">
        <v>84</v>
      </c>
      <c r="N334" t="s">
        <v>117</v>
      </c>
      <c r="O334" t="s">
        <v>200</v>
      </c>
      <c r="P334">
        <v>5.7326879388878142E-2</v>
      </c>
      <c r="Q334" t="s">
        <v>84</v>
      </c>
      <c r="S334" t="s">
        <v>132</v>
      </c>
      <c r="T334" t="s">
        <v>200</v>
      </c>
      <c r="U334">
        <v>6.2032882400304017E-2</v>
      </c>
      <c r="V334" t="s">
        <v>84</v>
      </c>
    </row>
    <row r="335" spans="9:22" x14ac:dyDescent="0.45">
      <c r="I335" t="s">
        <v>101</v>
      </c>
      <c r="J335" t="s">
        <v>201</v>
      </c>
      <c r="K335">
        <v>4.3776334114469968E-3</v>
      </c>
      <c r="L335" t="s">
        <v>84</v>
      </c>
      <c r="N335" t="s">
        <v>117</v>
      </c>
      <c r="O335" t="s">
        <v>201</v>
      </c>
      <c r="P335">
        <v>3.1581673688520502E-2</v>
      </c>
      <c r="Q335" t="s">
        <v>84</v>
      </c>
      <c r="S335" t="s">
        <v>132</v>
      </c>
      <c r="T335" t="s">
        <v>201</v>
      </c>
      <c r="U335">
        <v>2.7721383716178445E-2</v>
      </c>
      <c r="V335" t="s">
        <v>84</v>
      </c>
    </row>
    <row r="336" spans="9:22" x14ac:dyDescent="0.45">
      <c r="I336" t="s">
        <v>101</v>
      </c>
      <c r="J336" t="s">
        <v>202</v>
      </c>
      <c r="K336">
        <v>3.3685444980821926E-2</v>
      </c>
      <c r="L336" t="s">
        <v>84</v>
      </c>
      <c r="N336" t="s">
        <v>117</v>
      </c>
      <c r="O336" t="s">
        <v>202</v>
      </c>
      <c r="P336">
        <v>1.8998867125564169E-2</v>
      </c>
      <c r="Q336" t="s">
        <v>84</v>
      </c>
      <c r="S336" t="s">
        <v>132</v>
      </c>
      <c r="T336" t="s">
        <v>202</v>
      </c>
      <c r="U336">
        <v>1.4978036078522194E-2</v>
      </c>
      <c r="V336" t="s">
        <v>84</v>
      </c>
    </row>
    <row r="337" spans="9:22" x14ac:dyDescent="0.45">
      <c r="I337" t="s">
        <v>101</v>
      </c>
      <c r="J337" t="s">
        <v>203</v>
      </c>
      <c r="K337">
        <v>6.0343413963922739E-2</v>
      </c>
      <c r="L337" t="s">
        <v>84</v>
      </c>
      <c r="N337" t="s">
        <v>117</v>
      </c>
      <c r="O337" t="s">
        <v>203</v>
      </c>
      <c r="P337">
        <v>4.0509656580713364E-2</v>
      </c>
      <c r="Q337" t="s">
        <v>84</v>
      </c>
      <c r="S337" t="s">
        <v>132</v>
      </c>
      <c r="T337" t="s">
        <v>203</v>
      </c>
      <c r="U337">
        <v>2.6767129611846234E-2</v>
      </c>
      <c r="V337" t="s">
        <v>84</v>
      </c>
    </row>
    <row r="338" spans="9:22" x14ac:dyDescent="0.45">
      <c r="I338" t="s">
        <v>101</v>
      </c>
      <c r="J338" t="s">
        <v>204</v>
      </c>
      <c r="K338">
        <v>7.4475482695628183E-3</v>
      </c>
      <c r="L338" t="s">
        <v>84</v>
      </c>
      <c r="N338" t="s">
        <v>117</v>
      </c>
      <c r="O338" t="s">
        <v>204</v>
      </c>
      <c r="P338">
        <v>6.1400488377712711E-3</v>
      </c>
      <c r="Q338" t="s">
        <v>84</v>
      </c>
      <c r="S338" t="s">
        <v>132</v>
      </c>
      <c r="T338" t="s">
        <v>204</v>
      </c>
      <c r="U338">
        <v>5.3693008065180559E-3</v>
      </c>
      <c r="V338" t="s">
        <v>84</v>
      </c>
    </row>
    <row r="339" spans="9:22" x14ac:dyDescent="0.45">
      <c r="I339" t="s">
        <v>101</v>
      </c>
      <c r="J339" t="s">
        <v>205</v>
      </c>
      <c r="K339">
        <v>5.2622327635085666E-3</v>
      </c>
      <c r="L339" t="s">
        <v>84</v>
      </c>
      <c r="N339" t="s">
        <v>117</v>
      </c>
      <c r="O339" t="s">
        <v>205</v>
      </c>
      <c r="P339">
        <v>6.0268050591794943E-3</v>
      </c>
      <c r="Q339" t="s">
        <v>84</v>
      </c>
      <c r="S339" t="s">
        <v>132</v>
      </c>
      <c r="T339" t="s">
        <v>205</v>
      </c>
      <c r="U339">
        <v>5.4643057166340846E-3</v>
      </c>
      <c r="V339" t="s">
        <v>84</v>
      </c>
    </row>
    <row r="340" spans="9:22" x14ac:dyDescent="0.45">
      <c r="I340" t="s">
        <v>101</v>
      </c>
      <c r="J340" t="s">
        <v>206</v>
      </c>
      <c r="K340">
        <v>0</v>
      </c>
      <c r="L340" t="s">
        <v>84</v>
      </c>
      <c r="N340" t="s">
        <v>117</v>
      </c>
      <c r="O340" t="s">
        <v>206</v>
      </c>
      <c r="P340">
        <v>2.4206086535682927E-2</v>
      </c>
      <c r="Q340" t="s">
        <v>84</v>
      </c>
      <c r="S340" t="s">
        <v>132</v>
      </c>
      <c r="T340" t="s">
        <v>206</v>
      </c>
      <c r="U340">
        <v>2.5402626738500841E-2</v>
      </c>
      <c r="V340" t="s">
        <v>84</v>
      </c>
    </row>
    <row r="341" spans="9:22" x14ac:dyDescent="0.45">
      <c r="I341" t="s">
        <v>101</v>
      </c>
      <c r="J341" t="s">
        <v>207</v>
      </c>
      <c r="K341">
        <v>1.9122052708198299E-2</v>
      </c>
      <c r="L341" t="s">
        <v>84</v>
      </c>
      <c r="N341" t="s">
        <v>117</v>
      </c>
      <c r="O341" t="s">
        <v>207</v>
      </c>
      <c r="P341">
        <v>3.3718295123501635E-2</v>
      </c>
      <c r="Q341" t="s">
        <v>84</v>
      </c>
      <c r="S341" t="s">
        <v>132</v>
      </c>
      <c r="T341" t="s">
        <v>207</v>
      </c>
      <c r="U341">
        <v>4.1676938671042225E-2</v>
      </c>
      <c r="V341" t="s">
        <v>84</v>
      </c>
    </row>
    <row r="342" spans="9:22" x14ac:dyDescent="0.45">
      <c r="I342" t="s">
        <v>101</v>
      </c>
      <c r="J342" t="s">
        <v>208</v>
      </c>
      <c r="K342">
        <v>7.7621874911965746E-2</v>
      </c>
      <c r="L342" t="s">
        <v>84</v>
      </c>
      <c r="N342" t="s">
        <v>117</v>
      </c>
      <c r="O342" t="s">
        <v>208</v>
      </c>
      <c r="P342">
        <v>2.3180621064127469E-2</v>
      </c>
      <c r="Q342" t="s">
        <v>84</v>
      </c>
      <c r="S342" t="s">
        <v>132</v>
      </c>
      <c r="T342" t="s">
        <v>208</v>
      </c>
      <c r="U342">
        <v>2.1094259724393643E-2</v>
      </c>
      <c r="V342" t="s">
        <v>84</v>
      </c>
    </row>
    <row r="343" spans="9:22" x14ac:dyDescent="0.45">
      <c r="I343" t="s">
        <v>101</v>
      </c>
      <c r="J343" t="s">
        <v>209</v>
      </c>
      <c r="K343">
        <v>0.1227972529268966</v>
      </c>
      <c r="L343" t="s">
        <v>84</v>
      </c>
      <c r="N343" t="s">
        <v>117</v>
      </c>
      <c r="O343" t="s">
        <v>209</v>
      </c>
      <c r="P343">
        <v>4.5952837959619706E-2</v>
      </c>
      <c r="Q343" t="s">
        <v>84</v>
      </c>
      <c r="S343" t="s">
        <v>132</v>
      </c>
      <c r="T343" t="s">
        <v>209</v>
      </c>
      <c r="U343">
        <v>3.3586384609483766E-2</v>
      </c>
      <c r="V343" t="s">
        <v>84</v>
      </c>
    </row>
    <row r="344" spans="9:22" x14ac:dyDescent="0.45">
      <c r="I344" t="s">
        <v>101</v>
      </c>
      <c r="J344" t="s">
        <v>210</v>
      </c>
      <c r="K344">
        <v>1.5322877954733539E-2</v>
      </c>
      <c r="L344" t="s">
        <v>84</v>
      </c>
      <c r="N344" t="s">
        <v>117</v>
      </c>
      <c r="O344" t="s">
        <v>210</v>
      </c>
      <c r="P344">
        <v>7.3922064765882369E-3</v>
      </c>
      <c r="Q344" t="s">
        <v>84</v>
      </c>
      <c r="S344" t="s">
        <v>132</v>
      </c>
      <c r="T344" t="s">
        <v>210</v>
      </c>
      <c r="U344">
        <v>6.5198586979317514E-3</v>
      </c>
      <c r="V344" t="s">
        <v>84</v>
      </c>
    </row>
    <row r="345" spans="9:22" x14ac:dyDescent="0.45">
      <c r="I345" t="s">
        <v>101</v>
      </c>
      <c r="J345" t="s">
        <v>211</v>
      </c>
      <c r="K345">
        <v>1.2894979789697574E-2</v>
      </c>
      <c r="L345" t="s">
        <v>84</v>
      </c>
      <c r="N345" t="s">
        <v>117</v>
      </c>
      <c r="O345" t="s">
        <v>211</v>
      </c>
      <c r="P345">
        <v>6.8174038001423704E-3</v>
      </c>
      <c r="Q345" t="s">
        <v>84</v>
      </c>
      <c r="S345" t="s">
        <v>132</v>
      </c>
      <c r="T345" t="s">
        <v>211</v>
      </c>
      <c r="U345">
        <v>6.7131803140201727E-3</v>
      </c>
      <c r="V345" t="s">
        <v>84</v>
      </c>
    </row>
    <row r="346" spans="9:22" x14ac:dyDescent="0.45">
      <c r="I346" t="s">
        <v>101</v>
      </c>
      <c r="J346" t="s">
        <v>212</v>
      </c>
      <c r="K346">
        <v>7.4936914010323413E-3</v>
      </c>
      <c r="L346" t="s">
        <v>84</v>
      </c>
      <c r="N346" t="s">
        <v>117</v>
      </c>
      <c r="O346" t="s">
        <v>212</v>
      </c>
      <c r="P346">
        <v>2.8195457187299506E-2</v>
      </c>
      <c r="Q346" t="s">
        <v>84</v>
      </c>
      <c r="S346" t="s">
        <v>132</v>
      </c>
      <c r="T346" t="s">
        <v>212</v>
      </c>
      <c r="U346">
        <v>3.4514527790690787E-2</v>
      </c>
      <c r="V346" t="s">
        <v>84</v>
      </c>
    </row>
    <row r="347" spans="9:22" x14ac:dyDescent="0.45">
      <c r="I347" t="s">
        <v>102</v>
      </c>
      <c r="J347" t="s">
        <v>83</v>
      </c>
      <c r="K347">
        <v>8.7275638183257793E-3</v>
      </c>
      <c r="L347" t="s">
        <v>84</v>
      </c>
      <c r="N347" t="s">
        <v>118</v>
      </c>
      <c r="O347" t="s">
        <v>83</v>
      </c>
      <c r="P347">
        <v>2.6856037000953282E-2</v>
      </c>
      <c r="Q347" t="s">
        <v>84</v>
      </c>
      <c r="S347" t="s">
        <v>133</v>
      </c>
      <c r="T347" t="s">
        <v>83</v>
      </c>
      <c r="U347">
        <v>2.8776403260890874E-2</v>
      </c>
      <c r="V347" t="s">
        <v>84</v>
      </c>
    </row>
    <row r="348" spans="9:22" x14ac:dyDescent="0.45">
      <c r="I348" t="s">
        <v>102</v>
      </c>
      <c r="J348" t="s">
        <v>85</v>
      </c>
      <c r="K348">
        <v>4.4398380981876297E-2</v>
      </c>
      <c r="L348" t="s">
        <v>84</v>
      </c>
      <c r="N348" t="s">
        <v>118</v>
      </c>
      <c r="O348" t="s">
        <v>85</v>
      </c>
      <c r="P348">
        <v>1.721098787917414E-2</v>
      </c>
      <c r="Q348" t="s">
        <v>84</v>
      </c>
      <c r="S348" t="s">
        <v>133</v>
      </c>
      <c r="T348" t="s">
        <v>85</v>
      </c>
      <c r="U348">
        <v>1.5663439251264451E-2</v>
      </c>
      <c r="V348" t="s">
        <v>84</v>
      </c>
    </row>
    <row r="349" spans="9:22" x14ac:dyDescent="0.45">
      <c r="I349" t="s">
        <v>102</v>
      </c>
      <c r="J349" t="s">
        <v>86</v>
      </c>
      <c r="K349">
        <v>7.5468400665149274E-2</v>
      </c>
      <c r="L349" t="s">
        <v>84</v>
      </c>
      <c r="N349" t="s">
        <v>118</v>
      </c>
      <c r="O349" t="s">
        <v>86</v>
      </c>
      <c r="P349">
        <v>3.7376704024488609E-2</v>
      </c>
      <c r="Q349" t="s">
        <v>84</v>
      </c>
      <c r="S349" t="s">
        <v>133</v>
      </c>
      <c r="T349" t="s">
        <v>86</v>
      </c>
      <c r="U349">
        <v>2.4018859979941735E-2</v>
      </c>
      <c r="V349" t="s">
        <v>84</v>
      </c>
    </row>
    <row r="350" spans="9:22" x14ac:dyDescent="0.45">
      <c r="I350" t="s">
        <v>102</v>
      </c>
      <c r="J350" t="s">
        <v>177</v>
      </c>
      <c r="K350">
        <v>9.8507601668856287E-3</v>
      </c>
      <c r="L350" t="s">
        <v>84</v>
      </c>
      <c r="N350" t="s">
        <v>118</v>
      </c>
      <c r="O350" t="s">
        <v>177</v>
      </c>
      <c r="P350">
        <v>5.6574116204049481E-3</v>
      </c>
      <c r="Q350" t="s">
        <v>84</v>
      </c>
      <c r="S350" t="s">
        <v>133</v>
      </c>
      <c r="T350" t="s">
        <v>177</v>
      </c>
      <c r="U350">
        <v>4.2576248579844211E-3</v>
      </c>
      <c r="V350" t="s">
        <v>84</v>
      </c>
    </row>
    <row r="351" spans="9:22" x14ac:dyDescent="0.45">
      <c r="I351" t="s">
        <v>102</v>
      </c>
      <c r="J351" t="s">
        <v>178</v>
      </c>
      <c r="K351">
        <v>8.4471911576629918E-3</v>
      </c>
      <c r="L351" t="s">
        <v>84</v>
      </c>
      <c r="N351" t="s">
        <v>118</v>
      </c>
      <c r="O351" t="s">
        <v>178</v>
      </c>
      <c r="P351">
        <v>4.7912245924507648E-3</v>
      </c>
      <c r="Q351" t="s">
        <v>84</v>
      </c>
      <c r="S351" t="s">
        <v>133</v>
      </c>
      <c r="T351" t="s">
        <v>178</v>
      </c>
      <c r="U351">
        <v>4.3164016375702666E-3</v>
      </c>
      <c r="V351" t="s">
        <v>84</v>
      </c>
    </row>
    <row r="352" spans="9:22" x14ac:dyDescent="0.45">
      <c r="I352" t="s">
        <v>102</v>
      </c>
      <c r="J352" t="s">
        <v>179</v>
      </c>
      <c r="K352">
        <v>5.6581266569582615E-3</v>
      </c>
      <c r="L352" t="s">
        <v>84</v>
      </c>
      <c r="N352" t="s">
        <v>118</v>
      </c>
      <c r="O352" t="s">
        <v>179</v>
      </c>
      <c r="P352">
        <v>1.831171238796913E-2</v>
      </c>
      <c r="Q352" t="s">
        <v>84</v>
      </c>
      <c r="S352" t="s">
        <v>133</v>
      </c>
      <c r="T352" t="s">
        <v>179</v>
      </c>
      <c r="U352">
        <v>2.1959303922138691E-2</v>
      </c>
      <c r="V352" t="s">
        <v>84</v>
      </c>
    </row>
    <row r="353" spans="9:22" x14ac:dyDescent="0.45">
      <c r="I353" t="s">
        <v>102</v>
      </c>
      <c r="J353" t="s">
        <v>87</v>
      </c>
      <c r="K353">
        <v>3.6672106316072328E-3</v>
      </c>
      <c r="L353" t="s">
        <v>84</v>
      </c>
      <c r="N353" t="s">
        <v>118</v>
      </c>
      <c r="O353" t="s">
        <v>87</v>
      </c>
      <c r="P353">
        <v>1.215200608737574E-2</v>
      </c>
      <c r="Q353" t="s">
        <v>84</v>
      </c>
      <c r="S353" t="s">
        <v>133</v>
      </c>
      <c r="T353" t="s">
        <v>87</v>
      </c>
      <c r="U353">
        <v>2.0858983770134454E-2</v>
      </c>
      <c r="V353" t="s">
        <v>84</v>
      </c>
    </row>
    <row r="354" spans="9:22" x14ac:dyDescent="0.45">
      <c r="I354" t="s">
        <v>102</v>
      </c>
      <c r="J354" t="s">
        <v>88</v>
      </c>
      <c r="K354">
        <v>3.2627770548881913E-2</v>
      </c>
      <c r="L354" t="s">
        <v>84</v>
      </c>
      <c r="N354" t="s">
        <v>118</v>
      </c>
      <c r="O354" t="s">
        <v>88</v>
      </c>
      <c r="P354">
        <v>6.514315930501031E-3</v>
      </c>
      <c r="Q354" t="s">
        <v>84</v>
      </c>
      <c r="S354" t="s">
        <v>133</v>
      </c>
      <c r="T354" t="s">
        <v>88</v>
      </c>
      <c r="U354">
        <v>1.1450746127792275E-2</v>
      </c>
      <c r="V354" t="s">
        <v>84</v>
      </c>
    </row>
    <row r="355" spans="9:22" x14ac:dyDescent="0.45">
      <c r="I355" t="s">
        <v>102</v>
      </c>
      <c r="J355" t="s">
        <v>89</v>
      </c>
      <c r="K355">
        <v>6.0669828842021246E-2</v>
      </c>
      <c r="L355" t="s">
        <v>84</v>
      </c>
      <c r="N355" t="s">
        <v>118</v>
      </c>
      <c r="O355" t="s">
        <v>89</v>
      </c>
      <c r="P355">
        <v>1.9640406884432075E-2</v>
      </c>
      <c r="Q355" t="s">
        <v>84</v>
      </c>
      <c r="S355" t="s">
        <v>133</v>
      </c>
      <c r="T355" t="s">
        <v>89</v>
      </c>
      <c r="U355">
        <v>1.5521339355948674E-2</v>
      </c>
      <c r="V355" t="s">
        <v>84</v>
      </c>
    </row>
    <row r="356" spans="9:22" x14ac:dyDescent="0.45">
      <c r="I356" t="s">
        <v>102</v>
      </c>
      <c r="J356" t="s">
        <v>180</v>
      </c>
      <c r="K356">
        <v>8.1211084030270182E-3</v>
      </c>
      <c r="L356" t="s">
        <v>84</v>
      </c>
      <c r="N356" t="s">
        <v>118</v>
      </c>
      <c r="O356" t="s">
        <v>180</v>
      </c>
      <c r="P356">
        <v>3.0661585996678855E-3</v>
      </c>
      <c r="Q356" t="s">
        <v>84</v>
      </c>
      <c r="S356" t="s">
        <v>133</v>
      </c>
      <c r="T356" t="s">
        <v>180</v>
      </c>
      <c r="U356">
        <v>2.5656600545549638E-3</v>
      </c>
      <c r="V356" t="s">
        <v>84</v>
      </c>
    </row>
    <row r="357" spans="9:22" x14ac:dyDescent="0.45">
      <c r="I357" t="s">
        <v>102</v>
      </c>
      <c r="J357" t="s">
        <v>181</v>
      </c>
      <c r="K357">
        <v>6.4695472224673475E-3</v>
      </c>
      <c r="L357" t="s">
        <v>84</v>
      </c>
      <c r="N357" t="s">
        <v>118</v>
      </c>
      <c r="O357" t="s">
        <v>181</v>
      </c>
      <c r="P357">
        <v>2.6814900009083744E-3</v>
      </c>
      <c r="Q357" t="s">
        <v>84</v>
      </c>
      <c r="S357" t="s">
        <v>133</v>
      </c>
      <c r="T357" t="s">
        <v>181</v>
      </c>
      <c r="U357">
        <v>2.6703265903237025E-3</v>
      </c>
      <c r="V357" t="s">
        <v>84</v>
      </c>
    </row>
    <row r="358" spans="9:22" x14ac:dyDescent="0.45">
      <c r="I358" t="s">
        <v>102</v>
      </c>
      <c r="J358" t="s">
        <v>182</v>
      </c>
      <c r="K358">
        <v>3.4777146489418367E-3</v>
      </c>
      <c r="L358" t="s">
        <v>84</v>
      </c>
      <c r="N358" t="s">
        <v>118</v>
      </c>
      <c r="O358" t="s">
        <v>182</v>
      </c>
      <c r="P358">
        <v>1.0490434072342354E-2</v>
      </c>
      <c r="Q358" t="s">
        <v>84</v>
      </c>
      <c r="S358" t="s">
        <v>133</v>
      </c>
      <c r="T358" t="s">
        <v>182</v>
      </c>
      <c r="U358">
        <v>1.4901137729619585E-2</v>
      </c>
      <c r="V358" t="s">
        <v>84</v>
      </c>
    </row>
    <row r="359" spans="9:22" x14ac:dyDescent="0.45">
      <c r="I359" t="s">
        <v>102</v>
      </c>
      <c r="J359" t="s">
        <v>90</v>
      </c>
      <c r="K359">
        <v>8.1649006898680605E-5</v>
      </c>
      <c r="L359" t="s">
        <v>84</v>
      </c>
      <c r="N359" t="s">
        <v>118</v>
      </c>
      <c r="O359" t="s">
        <v>90</v>
      </c>
      <c r="P359">
        <v>1.6490744595713345E-2</v>
      </c>
      <c r="Q359" t="s">
        <v>84</v>
      </c>
      <c r="S359" t="s">
        <v>133</v>
      </c>
      <c r="T359" t="s">
        <v>90</v>
      </c>
      <c r="U359">
        <v>2.1203175900478727E-2</v>
      </c>
      <c r="V359" t="s">
        <v>84</v>
      </c>
    </row>
    <row r="360" spans="9:22" x14ac:dyDescent="0.45">
      <c r="I360" t="s">
        <v>102</v>
      </c>
      <c r="J360" t="s">
        <v>91</v>
      </c>
      <c r="K360">
        <v>2.4697346779570657E-2</v>
      </c>
      <c r="L360" t="s">
        <v>84</v>
      </c>
      <c r="N360" t="s">
        <v>118</v>
      </c>
      <c r="O360" t="s">
        <v>91</v>
      </c>
      <c r="P360">
        <v>7.7247997430791096E-3</v>
      </c>
      <c r="Q360" t="s">
        <v>84</v>
      </c>
      <c r="S360" t="s">
        <v>133</v>
      </c>
      <c r="T360" t="s">
        <v>91</v>
      </c>
      <c r="U360">
        <v>1.154266237059192E-2</v>
      </c>
      <c r="V360" t="s">
        <v>84</v>
      </c>
    </row>
    <row r="361" spans="9:22" x14ac:dyDescent="0.45">
      <c r="I361" t="s">
        <v>102</v>
      </c>
      <c r="J361" t="s">
        <v>92</v>
      </c>
      <c r="K361">
        <v>4.9015728574135997E-2</v>
      </c>
      <c r="L361" t="s">
        <v>84</v>
      </c>
      <c r="N361" t="s">
        <v>118</v>
      </c>
      <c r="O361" t="s">
        <v>92</v>
      </c>
      <c r="P361">
        <v>2.1087507571700984E-2</v>
      </c>
      <c r="Q361" t="s">
        <v>84</v>
      </c>
      <c r="S361" t="s">
        <v>133</v>
      </c>
      <c r="T361" t="s">
        <v>92</v>
      </c>
      <c r="U361">
        <v>1.7435636672508387E-2</v>
      </c>
      <c r="V361" t="s">
        <v>84</v>
      </c>
    </row>
    <row r="362" spans="9:22" x14ac:dyDescent="0.45">
      <c r="I362" t="s">
        <v>102</v>
      </c>
      <c r="J362" t="s">
        <v>183</v>
      </c>
      <c r="K362">
        <v>6.774290604326722E-3</v>
      </c>
      <c r="L362" t="s">
        <v>84</v>
      </c>
      <c r="N362" t="s">
        <v>118</v>
      </c>
      <c r="O362" t="s">
        <v>183</v>
      </c>
      <c r="P362">
        <v>2.9576242972505205E-3</v>
      </c>
      <c r="Q362" t="s">
        <v>84</v>
      </c>
      <c r="S362" t="s">
        <v>133</v>
      </c>
      <c r="T362" t="s">
        <v>183</v>
      </c>
      <c r="U362">
        <v>3.1159444894412404E-3</v>
      </c>
      <c r="V362" t="s">
        <v>84</v>
      </c>
    </row>
    <row r="363" spans="9:22" x14ac:dyDescent="0.45">
      <c r="I363" t="s">
        <v>102</v>
      </c>
      <c r="J363" t="s">
        <v>184</v>
      </c>
      <c r="K363">
        <v>4.4269768416731652E-3</v>
      </c>
      <c r="L363" t="s">
        <v>84</v>
      </c>
      <c r="N363" t="s">
        <v>118</v>
      </c>
      <c r="O363" t="s">
        <v>184</v>
      </c>
      <c r="P363">
        <v>2.9816912442353107E-3</v>
      </c>
      <c r="Q363" t="s">
        <v>84</v>
      </c>
      <c r="S363" t="s">
        <v>133</v>
      </c>
      <c r="T363" t="s">
        <v>184</v>
      </c>
      <c r="U363">
        <v>3.1884783142946843E-3</v>
      </c>
      <c r="V363" t="s">
        <v>84</v>
      </c>
    </row>
    <row r="364" spans="9:22" x14ac:dyDescent="0.45">
      <c r="I364" t="s">
        <v>102</v>
      </c>
      <c r="J364" t="s">
        <v>185</v>
      </c>
      <c r="K364">
        <v>0</v>
      </c>
      <c r="L364" t="s">
        <v>84</v>
      </c>
      <c r="N364" t="s">
        <v>118</v>
      </c>
      <c r="O364" t="s">
        <v>185</v>
      </c>
      <c r="P364">
        <v>1.3630293045085414E-2</v>
      </c>
      <c r="Q364" t="s">
        <v>84</v>
      </c>
      <c r="S364" t="s">
        <v>133</v>
      </c>
      <c r="T364" t="s">
        <v>185</v>
      </c>
      <c r="U364">
        <v>1.6683271086003794E-2</v>
      </c>
      <c r="V364" t="s">
        <v>84</v>
      </c>
    </row>
    <row r="365" spans="9:22" x14ac:dyDescent="0.45">
      <c r="I365" t="s">
        <v>102</v>
      </c>
      <c r="J365" t="s">
        <v>93</v>
      </c>
      <c r="K365">
        <v>0</v>
      </c>
      <c r="L365" t="s">
        <v>84</v>
      </c>
      <c r="N365" t="s">
        <v>118</v>
      </c>
      <c r="O365" t="s">
        <v>93</v>
      </c>
      <c r="P365">
        <v>4.4077305969373294E-2</v>
      </c>
      <c r="Q365" t="s">
        <v>84</v>
      </c>
      <c r="S365" t="s">
        <v>133</v>
      </c>
      <c r="T365" t="s">
        <v>93</v>
      </c>
      <c r="U365">
        <v>4.6103278698370241E-2</v>
      </c>
      <c r="V365" t="s">
        <v>84</v>
      </c>
    </row>
    <row r="366" spans="9:22" x14ac:dyDescent="0.45">
      <c r="I366" t="s">
        <v>102</v>
      </c>
      <c r="J366" t="s">
        <v>94</v>
      </c>
      <c r="K366">
        <v>2.8028790008895441E-2</v>
      </c>
      <c r="L366" t="s">
        <v>84</v>
      </c>
      <c r="N366" t="s">
        <v>118</v>
      </c>
      <c r="O366" t="s">
        <v>94</v>
      </c>
      <c r="P366">
        <v>2.5886227336375345E-2</v>
      </c>
      <c r="Q366" t="s">
        <v>84</v>
      </c>
      <c r="S366" t="s">
        <v>133</v>
      </c>
      <c r="T366" t="s">
        <v>94</v>
      </c>
      <c r="U366">
        <v>2.3847214482049905E-2</v>
      </c>
      <c r="V366" t="s">
        <v>84</v>
      </c>
    </row>
    <row r="367" spans="9:22" x14ac:dyDescent="0.45">
      <c r="I367" t="s">
        <v>102</v>
      </c>
      <c r="J367" t="s">
        <v>95</v>
      </c>
      <c r="K367">
        <v>5.5886570840875685E-2</v>
      </c>
      <c r="L367" t="s">
        <v>84</v>
      </c>
      <c r="N367" t="s">
        <v>118</v>
      </c>
      <c r="O367" t="s">
        <v>95</v>
      </c>
      <c r="P367">
        <v>5.1165817296527819E-2</v>
      </c>
      <c r="Q367" t="s">
        <v>84</v>
      </c>
      <c r="S367" t="s">
        <v>133</v>
      </c>
      <c r="T367" t="s">
        <v>95</v>
      </c>
      <c r="U367">
        <v>3.7473546558366932E-2</v>
      </c>
      <c r="V367" t="s">
        <v>84</v>
      </c>
    </row>
    <row r="368" spans="9:22" x14ac:dyDescent="0.45">
      <c r="I368" t="s">
        <v>102</v>
      </c>
      <c r="J368" t="s">
        <v>186</v>
      </c>
      <c r="K368">
        <v>3.6684165095946216E-3</v>
      </c>
      <c r="L368" t="s">
        <v>84</v>
      </c>
      <c r="N368" t="s">
        <v>118</v>
      </c>
      <c r="O368" t="s">
        <v>186</v>
      </c>
      <c r="P368">
        <v>7.0625921611514311E-3</v>
      </c>
      <c r="Q368" t="s">
        <v>84</v>
      </c>
      <c r="S368" t="s">
        <v>133</v>
      </c>
      <c r="T368" t="s">
        <v>186</v>
      </c>
      <c r="U368">
        <v>6.690115927944577E-3</v>
      </c>
      <c r="V368" t="s">
        <v>84</v>
      </c>
    </row>
    <row r="369" spans="9:22" x14ac:dyDescent="0.45">
      <c r="I369" t="s">
        <v>102</v>
      </c>
      <c r="J369" t="s">
        <v>187</v>
      </c>
      <c r="K369">
        <v>0</v>
      </c>
      <c r="L369" t="s">
        <v>84</v>
      </c>
      <c r="N369" t="s">
        <v>118</v>
      </c>
      <c r="O369" t="s">
        <v>187</v>
      </c>
      <c r="P369">
        <v>6.3203976863358277E-3</v>
      </c>
      <c r="Q369" t="s">
        <v>84</v>
      </c>
      <c r="S369" t="s">
        <v>133</v>
      </c>
      <c r="T369" t="s">
        <v>187</v>
      </c>
      <c r="U369">
        <v>6.7355825152887391E-3</v>
      </c>
      <c r="V369" t="s">
        <v>84</v>
      </c>
    </row>
    <row r="370" spans="9:22" x14ac:dyDescent="0.45">
      <c r="I370" t="s">
        <v>102</v>
      </c>
      <c r="J370" t="s">
        <v>188</v>
      </c>
      <c r="K370">
        <v>0</v>
      </c>
      <c r="L370" t="s">
        <v>84</v>
      </c>
      <c r="N370" t="s">
        <v>118</v>
      </c>
      <c r="O370" t="s">
        <v>188</v>
      </c>
      <c r="P370">
        <v>2.9223719510988646E-2</v>
      </c>
      <c r="Q370" t="s">
        <v>84</v>
      </c>
      <c r="S370" t="s">
        <v>133</v>
      </c>
      <c r="T370" t="s">
        <v>188</v>
      </c>
      <c r="U370">
        <v>3.3944618470622669E-2</v>
      </c>
      <c r="V370" t="s">
        <v>84</v>
      </c>
    </row>
    <row r="371" spans="9:22" x14ac:dyDescent="0.45">
      <c r="I371" t="s">
        <v>102</v>
      </c>
      <c r="J371" t="s">
        <v>189</v>
      </c>
      <c r="K371">
        <v>0</v>
      </c>
      <c r="L371" t="s">
        <v>84</v>
      </c>
      <c r="N371" t="s">
        <v>118</v>
      </c>
      <c r="O371" t="s">
        <v>189</v>
      </c>
      <c r="P371">
        <v>1.6530321766609079E-2</v>
      </c>
      <c r="Q371" t="s">
        <v>84</v>
      </c>
      <c r="S371" t="s">
        <v>133</v>
      </c>
      <c r="T371" t="s">
        <v>189</v>
      </c>
      <c r="U371">
        <v>2.8034463795117714E-2</v>
      </c>
      <c r="V371" t="s">
        <v>84</v>
      </c>
    </row>
    <row r="372" spans="9:22" x14ac:dyDescent="0.45">
      <c r="I372" t="s">
        <v>102</v>
      </c>
      <c r="J372" t="s">
        <v>190</v>
      </c>
      <c r="K372">
        <v>4.0578929898232698E-3</v>
      </c>
      <c r="L372" t="s">
        <v>84</v>
      </c>
      <c r="N372" t="s">
        <v>118</v>
      </c>
      <c r="O372" t="s">
        <v>190</v>
      </c>
      <c r="P372">
        <v>8.5075013232565454E-3</v>
      </c>
      <c r="Q372" t="s">
        <v>84</v>
      </c>
      <c r="S372" t="s">
        <v>133</v>
      </c>
      <c r="T372" t="s">
        <v>190</v>
      </c>
      <c r="U372">
        <v>1.5630155587733223E-2</v>
      </c>
      <c r="V372" t="s">
        <v>84</v>
      </c>
    </row>
    <row r="373" spans="9:22" x14ac:dyDescent="0.45">
      <c r="I373" t="s">
        <v>102</v>
      </c>
      <c r="J373" t="s">
        <v>191</v>
      </c>
      <c r="K373">
        <v>1.4918121959292744E-2</v>
      </c>
      <c r="L373" t="s">
        <v>84</v>
      </c>
      <c r="N373" t="s">
        <v>118</v>
      </c>
      <c r="O373" t="s">
        <v>191</v>
      </c>
      <c r="P373">
        <v>1.3583948443635908E-2</v>
      </c>
      <c r="Q373" t="s">
        <v>84</v>
      </c>
      <c r="S373" t="s">
        <v>133</v>
      </c>
      <c r="T373" t="s">
        <v>191</v>
      </c>
      <c r="U373">
        <v>2.265074749196978E-2</v>
      </c>
      <c r="V373" t="s">
        <v>84</v>
      </c>
    </row>
    <row r="374" spans="9:22" x14ac:dyDescent="0.45">
      <c r="I374" t="s">
        <v>102</v>
      </c>
      <c r="J374" t="s">
        <v>192</v>
      </c>
      <c r="K374">
        <v>0</v>
      </c>
      <c r="L374" t="s">
        <v>84</v>
      </c>
      <c r="N374" t="s">
        <v>118</v>
      </c>
      <c r="O374" t="s">
        <v>192</v>
      </c>
      <c r="P374">
        <v>2.4908632056733658E-3</v>
      </c>
      <c r="Q374" t="s">
        <v>84</v>
      </c>
      <c r="S374" t="s">
        <v>133</v>
      </c>
      <c r="T374" t="s">
        <v>192</v>
      </c>
      <c r="U374">
        <v>3.8642515978666455E-3</v>
      </c>
      <c r="V374" t="s">
        <v>84</v>
      </c>
    </row>
    <row r="375" spans="9:22" x14ac:dyDescent="0.45">
      <c r="I375" t="s">
        <v>102</v>
      </c>
      <c r="J375" t="s">
        <v>193</v>
      </c>
      <c r="K375">
        <v>0</v>
      </c>
      <c r="L375" t="s">
        <v>84</v>
      </c>
      <c r="N375" t="s">
        <v>118</v>
      </c>
      <c r="O375" t="s">
        <v>193</v>
      </c>
      <c r="P375">
        <v>2.404759079702664E-3</v>
      </c>
      <c r="Q375" t="s">
        <v>84</v>
      </c>
      <c r="S375" t="s">
        <v>133</v>
      </c>
      <c r="T375" t="s">
        <v>193</v>
      </c>
      <c r="U375">
        <v>3.9243834412455245E-3</v>
      </c>
      <c r="V375" t="s">
        <v>84</v>
      </c>
    </row>
    <row r="376" spans="9:22" x14ac:dyDescent="0.45">
      <c r="I376" t="s">
        <v>102</v>
      </c>
      <c r="J376" t="s">
        <v>194</v>
      </c>
      <c r="K376">
        <v>0</v>
      </c>
      <c r="L376" t="s">
        <v>84</v>
      </c>
      <c r="N376" t="s">
        <v>118</v>
      </c>
      <c r="O376" t="s">
        <v>194</v>
      </c>
      <c r="P376">
        <v>1.1876389951930915E-2</v>
      </c>
      <c r="Q376" t="s">
        <v>84</v>
      </c>
      <c r="S376" t="s">
        <v>133</v>
      </c>
      <c r="T376" t="s">
        <v>194</v>
      </c>
      <c r="U376">
        <v>1.963133964767089E-2</v>
      </c>
      <c r="V376" t="s">
        <v>84</v>
      </c>
    </row>
    <row r="377" spans="9:22" x14ac:dyDescent="0.45">
      <c r="I377" t="s">
        <v>102</v>
      </c>
      <c r="J377" t="s">
        <v>195</v>
      </c>
      <c r="K377">
        <v>2.5146919265714234E-4</v>
      </c>
      <c r="L377" t="s">
        <v>84</v>
      </c>
      <c r="N377" t="s">
        <v>118</v>
      </c>
      <c r="O377" t="s">
        <v>195</v>
      </c>
      <c r="P377">
        <v>7.3181701979415134E-2</v>
      </c>
      <c r="Q377" t="s">
        <v>84</v>
      </c>
      <c r="S377" t="s">
        <v>133</v>
      </c>
      <c r="T377" t="s">
        <v>195</v>
      </c>
      <c r="U377">
        <v>8.8337345183020041E-2</v>
      </c>
      <c r="V377" t="s">
        <v>84</v>
      </c>
    </row>
    <row r="378" spans="9:22" x14ac:dyDescent="0.45">
      <c r="I378" t="s">
        <v>102</v>
      </c>
      <c r="J378" t="s">
        <v>196</v>
      </c>
      <c r="K378">
        <v>5.0196319691144194E-2</v>
      </c>
      <c r="L378" t="s">
        <v>84</v>
      </c>
      <c r="N378" t="s">
        <v>118</v>
      </c>
      <c r="O378" t="s">
        <v>196</v>
      </c>
      <c r="P378">
        <v>4.0538157028628667E-2</v>
      </c>
      <c r="Q378" t="s">
        <v>84</v>
      </c>
      <c r="S378" t="s">
        <v>133</v>
      </c>
      <c r="T378" t="s">
        <v>196</v>
      </c>
      <c r="U378">
        <v>4.8539288927033873E-2</v>
      </c>
      <c r="V378" t="s">
        <v>84</v>
      </c>
    </row>
    <row r="379" spans="9:22" x14ac:dyDescent="0.45">
      <c r="I379" t="s">
        <v>102</v>
      </c>
      <c r="J379" t="s">
        <v>197</v>
      </c>
      <c r="K379">
        <v>0.10226761427041312</v>
      </c>
      <c r="L379" t="s">
        <v>84</v>
      </c>
      <c r="N379" t="s">
        <v>118</v>
      </c>
      <c r="O379" t="s">
        <v>197</v>
      </c>
      <c r="P379">
        <v>7.3513189433583537E-2</v>
      </c>
      <c r="Q379" t="s">
        <v>84</v>
      </c>
      <c r="S379" t="s">
        <v>133</v>
      </c>
      <c r="T379" t="s">
        <v>197</v>
      </c>
      <c r="U379">
        <v>7.2713957117199843E-2</v>
      </c>
      <c r="V379" t="s">
        <v>84</v>
      </c>
    </row>
    <row r="380" spans="9:22" x14ac:dyDescent="0.45">
      <c r="I380" t="s">
        <v>102</v>
      </c>
      <c r="J380" t="s">
        <v>198</v>
      </c>
      <c r="K380">
        <v>8.9294099143698517E-3</v>
      </c>
      <c r="L380" t="s">
        <v>84</v>
      </c>
      <c r="N380" t="s">
        <v>118</v>
      </c>
      <c r="O380" t="s">
        <v>198</v>
      </c>
      <c r="P380">
        <v>1.0743045084534851E-2</v>
      </c>
      <c r="Q380" t="s">
        <v>84</v>
      </c>
      <c r="S380" t="s">
        <v>133</v>
      </c>
      <c r="T380" t="s">
        <v>198</v>
      </c>
      <c r="U380">
        <v>1.2162215313917039E-2</v>
      </c>
      <c r="V380" t="s">
        <v>84</v>
      </c>
    </row>
    <row r="381" spans="9:22" x14ac:dyDescent="0.45">
      <c r="I381" t="s">
        <v>102</v>
      </c>
      <c r="J381" t="s">
        <v>199</v>
      </c>
      <c r="K381">
        <v>1.3576921646201816E-3</v>
      </c>
      <c r="L381" t="s">
        <v>84</v>
      </c>
      <c r="N381" t="s">
        <v>118</v>
      </c>
      <c r="O381" t="s">
        <v>199</v>
      </c>
      <c r="P381">
        <v>1.0423302720397513E-2</v>
      </c>
      <c r="Q381" t="s">
        <v>84</v>
      </c>
      <c r="S381" t="s">
        <v>133</v>
      </c>
      <c r="T381" t="s">
        <v>199</v>
      </c>
      <c r="U381">
        <v>1.2152098585984285E-2</v>
      </c>
      <c r="V381" t="s">
        <v>84</v>
      </c>
    </row>
    <row r="382" spans="9:22" x14ac:dyDescent="0.45">
      <c r="I382" t="s">
        <v>102</v>
      </c>
      <c r="J382" t="s">
        <v>200</v>
      </c>
      <c r="K382">
        <v>0</v>
      </c>
      <c r="L382" t="s">
        <v>84</v>
      </c>
      <c r="N382" t="s">
        <v>118</v>
      </c>
      <c r="O382" t="s">
        <v>200</v>
      </c>
      <c r="P382">
        <v>5.1211742200523158E-2</v>
      </c>
      <c r="Q382" t="s">
        <v>84</v>
      </c>
      <c r="S382" t="s">
        <v>133</v>
      </c>
      <c r="T382" t="s">
        <v>200</v>
      </c>
      <c r="U382">
        <v>6.0680234849871652E-2</v>
      </c>
      <c r="V382" t="s">
        <v>84</v>
      </c>
    </row>
    <row r="383" spans="9:22" x14ac:dyDescent="0.45">
      <c r="I383" t="s">
        <v>102</v>
      </c>
      <c r="J383" t="s">
        <v>201</v>
      </c>
      <c r="K383">
        <v>5.9708600217112185E-3</v>
      </c>
      <c r="L383" t="s">
        <v>84</v>
      </c>
      <c r="N383" t="s">
        <v>118</v>
      </c>
      <c r="O383" t="s">
        <v>201</v>
      </c>
      <c r="P383">
        <v>4.6429092779344823E-2</v>
      </c>
      <c r="Q383" t="s">
        <v>84</v>
      </c>
      <c r="S383" t="s">
        <v>133</v>
      </c>
      <c r="T383" t="s">
        <v>201</v>
      </c>
      <c r="U383">
        <v>2.4815310526927297E-2</v>
      </c>
      <c r="V383" t="s">
        <v>84</v>
      </c>
    </row>
    <row r="384" spans="9:22" x14ac:dyDescent="0.45">
      <c r="I384" t="s">
        <v>102</v>
      </c>
      <c r="J384" t="s">
        <v>202</v>
      </c>
      <c r="K384">
        <v>3.8396640869078055E-2</v>
      </c>
      <c r="L384" t="s">
        <v>84</v>
      </c>
      <c r="N384" t="s">
        <v>118</v>
      </c>
      <c r="O384" t="s">
        <v>202</v>
      </c>
      <c r="P384">
        <v>2.8750458687750682E-2</v>
      </c>
      <c r="Q384" t="s">
        <v>84</v>
      </c>
      <c r="S384" t="s">
        <v>133</v>
      </c>
      <c r="T384" t="s">
        <v>202</v>
      </c>
      <c r="U384">
        <v>1.3283938111835127E-2</v>
      </c>
      <c r="V384" t="s">
        <v>84</v>
      </c>
    </row>
    <row r="385" spans="9:22" x14ac:dyDescent="0.45">
      <c r="I385" t="s">
        <v>102</v>
      </c>
      <c r="J385" t="s">
        <v>203</v>
      </c>
      <c r="K385">
        <v>6.1741142750010081E-2</v>
      </c>
      <c r="L385" t="s">
        <v>84</v>
      </c>
      <c r="N385" t="s">
        <v>118</v>
      </c>
      <c r="O385" t="s">
        <v>203</v>
      </c>
      <c r="P385">
        <v>5.3915225522737843E-2</v>
      </c>
      <c r="Q385" t="s">
        <v>84</v>
      </c>
      <c r="S385" t="s">
        <v>133</v>
      </c>
      <c r="T385" t="s">
        <v>203</v>
      </c>
      <c r="U385">
        <v>2.2106651749587432E-2</v>
      </c>
      <c r="V385" t="s">
        <v>84</v>
      </c>
    </row>
    <row r="386" spans="9:22" x14ac:dyDescent="0.45">
      <c r="I386" t="s">
        <v>102</v>
      </c>
      <c r="J386" t="s">
        <v>204</v>
      </c>
      <c r="K386">
        <v>7.5273334577179631E-3</v>
      </c>
      <c r="L386" t="s">
        <v>84</v>
      </c>
      <c r="N386" t="s">
        <v>118</v>
      </c>
      <c r="O386" t="s">
        <v>204</v>
      </c>
      <c r="P386">
        <v>7.4482010419545646E-3</v>
      </c>
      <c r="Q386" t="s">
        <v>84</v>
      </c>
      <c r="S386" t="s">
        <v>133</v>
      </c>
      <c r="T386" t="s">
        <v>204</v>
      </c>
      <c r="U386">
        <v>3.9465986131940129E-3</v>
      </c>
      <c r="V386" t="s">
        <v>84</v>
      </c>
    </row>
    <row r="387" spans="9:22" x14ac:dyDescent="0.45">
      <c r="I387" t="s">
        <v>102</v>
      </c>
      <c r="J387" t="s">
        <v>205</v>
      </c>
      <c r="K387">
        <v>5.4209777018717096E-3</v>
      </c>
      <c r="L387" t="s">
        <v>84</v>
      </c>
      <c r="N387" t="s">
        <v>118</v>
      </c>
      <c r="O387" t="s">
        <v>205</v>
      </c>
      <c r="P387">
        <v>6.9000697247936808E-3</v>
      </c>
      <c r="Q387" t="s">
        <v>84</v>
      </c>
      <c r="S387" t="s">
        <v>133</v>
      </c>
      <c r="T387" t="s">
        <v>205</v>
      </c>
      <c r="U387">
        <v>3.9618059188946658E-3</v>
      </c>
      <c r="V387" t="s">
        <v>84</v>
      </c>
    </row>
    <row r="388" spans="9:22" x14ac:dyDescent="0.45">
      <c r="I388" t="s">
        <v>102</v>
      </c>
      <c r="J388" t="s">
        <v>206</v>
      </c>
      <c r="K388">
        <v>0</v>
      </c>
      <c r="L388" t="s">
        <v>84</v>
      </c>
      <c r="N388" t="s">
        <v>118</v>
      </c>
      <c r="O388" t="s">
        <v>206</v>
      </c>
      <c r="P388">
        <v>2.889275916870505E-2</v>
      </c>
      <c r="Q388" t="s">
        <v>84</v>
      </c>
      <c r="S388" t="s">
        <v>133</v>
      </c>
      <c r="T388" t="s">
        <v>206</v>
      </c>
      <c r="U388">
        <v>1.977058578875868E-2</v>
      </c>
      <c r="V388" t="s">
        <v>84</v>
      </c>
    </row>
    <row r="389" spans="9:22" x14ac:dyDescent="0.45">
      <c r="I389" t="s">
        <v>102</v>
      </c>
      <c r="J389" t="s">
        <v>207</v>
      </c>
      <c r="K389">
        <v>2.0494156987491491E-2</v>
      </c>
      <c r="L389" t="s">
        <v>84</v>
      </c>
      <c r="N389" t="s">
        <v>118</v>
      </c>
      <c r="O389" t="s">
        <v>207</v>
      </c>
      <c r="P389">
        <v>2.2996406081166737E-2</v>
      </c>
      <c r="Q389" t="s">
        <v>84</v>
      </c>
      <c r="S389" t="s">
        <v>133</v>
      </c>
      <c r="T389" t="s">
        <v>207</v>
      </c>
      <c r="U389">
        <v>3.9524144219753254E-2</v>
      </c>
      <c r="V389" t="s">
        <v>84</v>
      </c>
    </row>
    <row r="390" spans="9:22" x14ac:dyDescent="0.45">
      <c r="I390" t="s">
        <v>102</v>
      </c>
      <c r="J390" t="s">
        <v>208</v>
      </c>
      <c r="K390">
        <v>7.8851862714480858E-2</v>
      </c>
      <c r="L390" t="s">
        <v>84</v>
      </c>
      <c r="N390" t="s">
        <v>118</v>
      </c>
      <c r="O390" t="s">
        <v>208</v>
      </c>
      <c r="P390">
        <v>1.9850633932736516E-2</v>
      </c>
      <c r="Q390" t="s">
        <v>84</v>
      </c>
      <c r="S390" t="s">
        <v>133</v>
      </c>
      <c r="T390" t="s">
        <v>208</v>
      </c>
      <c r="U390">
        <v>2.0472879836511595E-2</v>
      </c>
      <c r="V390" t="s">
        <v>84</v>
      </c>
    </row>
    <row r="391" spans="9:22" x14ac:dyDescent="0.45">
      <c r="I391" t="s">
        <v>102</v>
      </c>
      <c r="J391" t="s">
        <v>209</v>
      </c>
      <c r="K391">
        <v>0.12643128192043476</v>
      </c>
      <c r="L391" t="s">
        <v>84</v>
      </c>
      <c r="N391" t="s">
        <v>118</v>
      </c>
      <c r="O391" t="s">
        <v>209</v>
      </c>
      <c r="P391">
        <v>4.7288475426810153E-2</v>
      </c>
      <c r="Q391" t="s">
        <v>84</v>
      </c>
      <c r="S391" t="s">
        <v>133</v>
      </c>
      <c r="T391" t="s">
        <v>209</v>
      </c>
      <c r="U391">
        <v>2.9181832473907227E-2</v>
      </c>
      <c r="V391" t="s">
        <v>84</v>
      </c>
    </row>
    <row r="392" spans="9:22" x14ac:dyDescent="0.45">
      <c r="I392" t="s">
        <v>102</v>
      </c>
      <c r="J392" t="s">
        <v>210</v>
      </c>
      <c r="K392">
        <v>1.4678844404184776E-2</v>
      </c>
      <c r="L392" t="s">
        <v>84</v>
      </c>
      <c r="N392" t="s">
        <v>118</v>
      </c>
      <c r="O392" t="s">
        <v>210</v>
      </c>
      <c r="P392">
        <v>6.0469374891290771E-3</v>
      </c>
      <c r="Q392" t="s">
        <v>84</v>
      </c>
      <c r="S392" t="s">
        <v>133</v>
      </c>
      <c r="T392" t="s">
        <v>210</v>
      </c>
      <c r="U392">
        <v>5.1820957763008902E-3</v>
      </c>
      <c r="V392" t="s">
        <v>84</v>
      </c>
    </row>
    <row r="393" spans="9:22" x14ac:dyDescent="0.45">
      <c r="I393" t="s">
        <v>102</v>
      </c>
      <c r="J393" t="s">
        <v>211</v>
      </c>
      <c r="K393">
        <v>1.1634432047109105E-2</v>
      </c>
      <c r="L393" t="s">
        <v>84</v>
      </c>
      <c r="N393" t="s">
        <v>118</v>
      </c>
      <c r="O393" t="s">
        <v>211</v>
      </c>
      <c r="P393">
        <v>5.0353490160051136E-3</v>
      </c>
      <c r="Q393" t="s">
        <v>84</v>
      </c>
      <c r="S393" t="s">
        <v>133</v>
      </c>
      <c r="T393" t="s">
        <v>211</v>
      </c>
      <c r="U393">
        <v>5.4306017294708424E-3</v>
      </c>
      <c r="V393" t="s">
        <v>84</v>
      </c>
    </row>
    <row r="394" spans="9:22" x14ac:dyDescent="0.45">
      <c r="I394" t="s">
        <v>102</v>
      </c>
      <c r="J394" t="s">
        <v>212</v>
      </c>
      <c r="K394">
        <v>6.7105740338128175E-3</v>
      </c>
      <c r="L394" t="s">
        <v>84</v>
      </c>
      <c r="N394" t="s">
        <v>118</v>
      </c>
      <c r="O394" t="s">
        <v>212</v>
      </c>
      <c r="P394">
        <v>1.8083859372486646E-2</v>
      </c>
      <c r="Q394" t="s">
        <v>84</v>
      </c>
      <c r="S394" t="s">
        <v>133</v>
      </c>
      <c r="T394" t="s">
        <v>212</v>
      </c>
      <c r="U394">
        <v>2.9079321692100611E-2</v>
      </c>
      <c r="V394" t="s">
        <v>84</v>
      </c>
    </row>
    <row r="395" spans="9:22" x14ac:dyDescent="0.45">
      <c r="I395" t="s">
        <v>103</v>
      </c>
      <c r="J395" t="s">
        <v>83</v>
      </c>
      <c r="K395">
        <v>5.3951592681080506E-3</v>
      </c>
      <c r="L395" t="s">
        <v>84</v>
      </c>
      <c r="N395" t="s">
        <v>119</v>
      </c>
      <c r="O395" t="s">
        <v>83</v>
      </c>
      <c r="P395">
        <v>2.6737397812918888E-2</v>
      </c>
      <c r="Q395" t="s">
        <v>84</v>
      </c>
      <c r="S395" t="s">
        <v>134</v>
      </c>
      <c r="T395" t="s">
        <v>83</v>
      </c>
      <c r="U395">
        <v>2.1566374664203341E-2</v>
      </c>
      <c r="V395" t="s">
        <v>84</v>
      </c>
    </row>
    <row r="396" spans="9:22" x14ac:dyDescent="0.45">
      <c r="I396" t="s">
        <v>103</v>
      </c>
      <c r="J396" t="s">
        <v>85</v>
      </c>
      <c r="K396">
        <v>4.0600756363833992E-2</v>
      </c>
      <c r="L396" t="s">
        <v>84</v>
      </c>
      <c r="N396" t="s">
        <v>119</v>
      </c>
      <c r="O396" t="s">
        <v>85</v>
      </c>
      <c r="P396">
        <v>1.4897958491951755E-2</v>
      </c>
      <c r="Q396" t="s">
        <v>84</v>
      </c>
      <c r="S396" t="s">
        <v>134</v>
      </c>
      <c r="T396" t="s">
        <v>85</v>
      </c>
      <c r="U396">
        <v>1.4058846291075943E-2</v>
      </c>
      <c r="V396" t="s">
        <v>84</v>
      </c>
    </row>
    <row r="397" spans="9:22" x14ac:dyDescent="0.45">
      <c r="I397" t="s">
        <v>103</v>
      </c>
      <c r="J397" t="s">
        <v>86</v>
      </c>
      <c r="K397">
        <v>7.6574385446251891E-2</v>
      </c>
      <c r="L397" t="s">
        <v>84</v>
      </c>
      <c r="N397" t="s">
        <v>119</v>
      </c>
      <c r="O397" t="s">
        <v>86</v>
      </c>
      <c r="P397">
        <v>2.5353490289798993E-2</v>
      </c>
      <c r="Q397" t="s">
        <v>84</v>
      </c>
      <c r="S397" t="s">
        <v>134</v>
      </c>
      <c r="T397" t="s">
        <v>86</v>
      </c>
      <c r="U397">
        <v>2.6615899101131962E-2</v>
      </c>
      <c r="V397" t="s">
        <v>84</v>
      </c>
    </row>
    <row r="398" spans="9:22" x14ac:dyDescent="0.45">
      <c r="I398" t="s">
        <v>103</v>
      </c>
      <c r="J398" t="s">
        <v>177</v>
      </c>
      <c r="K398">
        <v>1.0092617892724467E-2</v>
      </c>
      <c r="L398" t="s">
        <v>84</v>
      </c>
      <c r="N398" t="s">
        <v>119</v>
      </c>
      <c r="O398" t="s">
        <v>177</v>
      </c>
      <c r="P398">
        <v>3.9754543683521481E-3</v>
      </c>
      <c r="Q398" t="s">
        <v>84</v>
      </c>
      <c r="S398" t="s">
        <v>134</v>
      </c>
      <c r="T398" t="s">
        <v>177</v>
      </c>
      <c r="U398">
        <v>4.5236354471314914E-3</v>
      </c>
      <c r="V398" t="s">
        <v>84</v>
      </c>
    </row>
    <row r="399" spans="9:22" x14ac:dyDescent="0.45">
      <c r="I399" t="s">
        <v>103</v>
      </c>
      <c r="J399" t="s">
        <v>178</v>
      </c>
      <c r="K399">
        <v>9.0207585007907702E-3</v>
      </c>
      <c r="L399" t="s">
        <v>84</v>
      </c>
      <c r="N399" t="s">
        <v>119</v>
      </c>
      <c r="O399" t="s">
        <v>178</v>
      </c>
      <c r="P399">
        <v>3.7724867646274618E-3</v>
      </c>
      <c r="Q399" t="s">
        <v>84</v>
      </c>
      <c r="S399" t="s">
        <v>134</v>
      </c>
      <c r="T399" t="s">
        <v>178</v>
      </c>
      <c r="U399">
        <v>4.1952299940400213E-3</v>
      </c>
      <c r="V399" t="s">
        <v>84</v>
      </c>
    </row>
    <row r="400" spans="9:22" x14ac:dyDescent="0.45">
      <c r="I400" t="s">
        <v>103</v>
      </c>
      <c r="J400" t="s">
        <v>179</v>
      </c>
      <c r="K400">
        <v>5.9084145227329696E-3</v>
      </c>
      <c r="L400" t="s">
        <v>84</v>
      </c>
      <c r="N400" t="s">
        <v>119</v>
      </c>
      <c r="O400" t="s">
        <v>179</v>
      </c>
      <c r="P400">
        <v>1.7750284376316004E-2</v>
      </c>
      <c r="Q400" t="s">
        <v>84</v>
      </c>
      <c r="S400" t="s">
        <v>134</v>
      </c>
      <c r="T400" t="s">
        <v>179</v>
      </c>
      <c r="U400">
        <v>1.8487675227174458E-2</v>
      </c>
      <c r="V400" t="s">
        <v>84</v>
      </c>
    </row>
    <row r="401" spans="9:22" x14ac:dyDescent="0.45">
      <c r="I401" t="s">
        <v>103</v>
      </c>
      <c r="J401" t="s">
        <v>87</v>
      </c>
      <c r="K401">
        <v>3.4334230520037959E-3</v>
      </c>
      <c r="L401" t="s">
        <v>84</v>
      </c>
      <c r="N401" t="s">
        <v>119</v>
      </c>
      <c r="O401" t="s">
        <v>87</v>
      </c>
      <c r="P401">
        <v>1.6870108046944929E-2</v>
      </c>
      <c r="Q401" t="s">
        <v>84</v>
      </c>
      <c r="S401" t="s">
        <v>134</v>
      </c>
      <c r="T401" t="s">
        <v>87</v>
      </c>
      <c r="U401">
        <v>9.8747472173165117E-3</v>
      </c>
      <c r="V401" t="s">
        <v>84</v>
      </c>
    </row>
    <row r="402" spans="9:22" x14ac:dyDescent="0.45">
      <c r="I402" t="s">
        <v>103</v>
      </c>
      <c r="J402" t="s">
        <v>88</v>
      </c>
      <c r="K402">
        <v>3.3919394455076871E-2</v>
      </c>
      <c r="L402" t="s">
        <v>84</v>
      </c>
      <c r="N402" t="s">
        <v>119</v>
      </c>
      <c r="O402" t="s">
        <v>88</v>
      </c>
      <c r="P402">
        <v>9.0619712315647399E-3</v>
      </c>
      <c r="Q402" t="s">
        <v>84</v>
      </c>
      <c r="S402" t="s">
        <v>134</v>
      </c>
      <c r="T402" t="s">
        <v>88</v>
      </c>
      <c r="U402">
        <v>5.7468643223093138E-3</v>
      </c>
      <c r="V402" t="s">
        <v>84</v>
      </c>
    </row>
    <row r="403" spans="9:22" x14ac:dyDescent="0.45">
      <c r="I403" t="s">
        <v>103</v>
      </c>
      <c r="J403" t="s">
        <v>89</v>
      </c>
      <c r="K403">
        <v>6.5568484995961226E-2</v>
      </c>
      <c r="L403" t="s">
        <v>84</v>
      </c>
      <c r="N403" t="s">
        <v>119</v>
      </c>
      <c r="O403" t="s">
        <v>89</v>
      </c>
      <c r="P403">
        <v>1.7489149045311559E-2</v>
      </c>
      <c r="Q403" t="s">
        <v>84</v>
      </c>
      <c r="S403" t="s">
        <v>134</v>
      </c>
      <c r="T403" t="s">
        <v>89</v>
      </c>
      <c r="U403">
        <v>1.2719337068070569E-2</v>
      </c>
      <c r="V403" t="s">
        <v>84</v>
      </c>
    </row>
    <row r="404" spans="9:22" x14ac:dyDescent="0.45">
      <c r="I404" t="s">
        <v>103</v>
      </c>
      <c r="J404" t="s">
        <v>180</v>
      </c>
      <c r="K404">
        <v>9.3862786900528027E-3</v>
      </c>
      <c r="L404" t="s">
        <v>84</v>
      </c>
      <c r="N404" t="s">
        <v>119</v>
      </c>
      <c r="O404" t="s">
        <v>180</v>
      </c>
      <c r="P404">
        <v>2.9989376058822768E-3</v>
      </c>
      <c r="Q404" t="s">
        <v>84</v>
      </c>
      <c r="S404" t="s">
        <v>134</v>
      </c>
      <c r="T404" t="s">
        <v>180</v>
      </c>
      <c r="U404">
        <v>2.9043316693030778E-3</v>
      </c>
      <c r="V404" t="s">
        <v>84</v>
      </c>
    </row>
    <row r="405" spans="9:22" x14ac:dyDescent="0.45">
      <c r="I405" t="s">
        <v>103</v>
      </c>
      <c r="J405" t="s">
        <v>181</v>
      </c>
      <c r="K405">
        <v>7.9440768516049129E-3</v>
      </c>
      <c r="L405" t="s">
        <v>84</v>
      </c>
      <c r="N405" t="s">
        <v>119</v>
      </c>
      <c r="O405" t="s">
        <v>181</v>
      </c>
      <c r="P405">
        <v>3.0032376335479036E-3</v>
      </c>
      <c r="Q405" t="s">
        <v>84</v>
      </c>
      <c r="S405" t="s">
        <v>134</v>
      </c>
      <c r="T405" t="s">
        <v>181</v>
      </c>
      <c r="U405">
        <v>2.8661976899083852E-3</v>
      </c>
      <c r="V405" t="s">
        <v>84</v>
      </c>
    </row>
    <row r="406" spans="9:22" x14ac:dyDescent="0.45">
      <c r="I406" t="s">
        <v>103</v>
      </c>
      <c r="J406" t="s">
        <v>182</v>
      </c>
      <c r="K406">
        <v>4.9919323415890306E-3</v>
      </c>
      <c r="L406" t="s">
        <v>84</v>
      </c>
      <c r="N406" t="s">
        <v>119</v>
      </c>
      <c r="O406" t="s">
        <v>182</v>
      </c>
      <c r="P406">
        <v>1.3995465621526546E-2</v>
      </c>
      <c r="Q406" t="s">
        <v>84</v>
      </c>
      <c r="S406" t="s">
        <v>134</v>
      </c>
      <c r="T406" t="s">
        <v>182</v>
      </c>
      <c r="U406">
        <v>1.0409961139881232E-2</v>
      </c>
      <c r="V406" t="s">
        <v>84</v>
      </c>
    </row>
    <row r="407" spans="9:22" x14ac:dyDescent="0.45">
      <c r="I407" t="s">
        <v>103</v>
      </c>
      <c r="J407" t="s">
        <v>90</v>
      </c>
      <c r="K407">
        <v>0</v>
      </c>
      <c r="L407" t="s">
        <v>84</v>
      </c>
      <c r="N407" t="s">
        <v>119</v>
      </c>
      <c r="O407" t="s">
        <v>90</v>
      </c>
      <c r="P407">
        <v>1.7734138175326684E-2</v>
      </c>
      <c r="Q407" t="s">
        <v>84</v>
      </c>
      <c r="S407" t="s">
        <v>134</v>
      </c>
      <c r="T407" t="s">
        <v>90</v>
      </c>
      <c r="U407">
        <v>1.0544516593747172E-2</v>
      </c>
      <c r="V407" t="s">
        <v>84</v>
      </c>
    </row>
    <row r="408" spans="9:22" x14ac:dyDescent="0.45">
      <c r="I408" t="s">
        <v>103</v>
      </c>
      <c r="J408" t="s">
        <v>91</v>
      </c>
      <c r="K408">
        <v>2.4458056821217274E-2</v>
      </c>
      <c r="L408" t="s">
        <v>84</v>
      </c>
      <c r="N408" t="s">
        <v>119</v>
      </c>
      <c r="O408" t="s">
        <v>91</v>
      </c>
      <c r="P408">
        <v>8.8109869169107052E-3</v>
      </c>
      <c r="Q408" t="s">
        <v>84</v>
      </c>
      <c r="S408" t="s">
        <v>134</v>
      </c>
      <c r="T408" t="s">
        <v>91</v>
      </c>
      <c r="U408">
        <v>6.6776038431532831E-3</v>
      </c>
      <c r="V408" t="s">
        <v>84</v>
      </c>
    </row>
    <row r="409" spans="9:22" x14ac:dyDescent="0.45">
      <c r="I409" t="s">
        <v>103</v>
      </c>
      <c r="J409" t="s">
        <v>92</v>
      </c>
      <c r="K409">
        <v>5.1096700422266092E-2</v>
      </c>
      <c r="L409" t="s">
        <v>84</v>
      </c>
      <c r="N409" t="s">
        <v>119</v>
      </c>
      <c r="O409" t="s">
        <v>92</v>
      </c>
      <c r="P409">
        <v>1.6491542502155745E-2</v>
      </c>
      <c r="Q409" t="s">
        <v>84</v>
      </c>
      <c r="S409" t="s">
        <v>134</v>
      </c>
      <c r="T409" t="s">
        <v>92</v>
      </c>
      <c r="U409">
        <v>1.3440619449697643E-2</v>
      </c>
      <c r="V409" t="s">
        <v>84</v>
      </c>
    </row>
    <row r="410" spans="9:22" x14ac:dyDescent="0.45">
      <c r="I410" t="s">
        <v>103</v>
      </c>
      <c r="J410" t="s">
        <v>183</v>
      </c>
      <c r="K410">
        <v>7.0833692887296582E-3</v>
      </c>
      <c r="L410" t="s">
        <v>84</v>
      </c>
      <c r="N410" t="s">
        <v>119</v>
      </c>
      <c r="O410" t="s">
        <v>183</v>
      </c>
      <c r="P410">
        <v>2.8905129819456537E-3</v>
      </c>
      <c r="Q410" t="s">
        <v>84</v>
      </c>
      <c r="S410" t="s">
        <v>134</v>
      </c>
      <c r="T410" t="s">
        <v>183</v>
      </c>
      <c r="U410">
        <v>2.6834192108476668E-3</v>
      </c>
      <c r="V410" t="s">
        <v>84</v>
      </c>
    </row>
    <row r="411" spans="9:22" x14ac:dyDescent="0.45">
      <c r="I411" t="s">
        <v>103</v>
      </c>
      <c r="J411" t="s">
        <v>184</v>
      </c>
      <c r="K411">
        <v>5.4959725082033535E-3</v>
      </c>
      <c r="L411" t="s">
        <v>84</v>
      </c>
      <c r="N411" t="s">
        <v>119</v>
      </c>
      <c r="O411" t="s">
        <v>184</v>
      </c>
      <c r="P411">
        <v>2.9783718716865876E-3</v>
      </c>
      <c r="Q411" t="s">
        <v>84</v>
      </c>
      <c r="S411" t="s">
        <v>134</v>
      </c>
      <c r="T411" t="s">
        <v>184</v>
      </c>
      <c r="U411">
        <v>2.5912416120513564E-3</v>
      </c>
      <c r="V411" t="s">
        <v>84</v>
      </c>
    </row>
    <row r="412" spans="9:22" x14ac:dyDescent="0.45">
      <c r="I412" t="s">
        <v>103</v>
      </c>
      <c r="J412" t="s">
        <v>185</v>
      </c>
      <c r="K412">
        <v>0</v>
      </c>
      <c r="L412" t="s">
        <v>84</v>
      </c>
      <c r="N412" t="s">
        <v>119</v>
      </c>
      <c r="O412" t="s">
        <v>185</v>
      </c>
      <c r="P412">
        <v>1.4809099685823236E-2</v>
      </c>
      <c r="Q412" t="s">
        <v>84</v>
      </c>
      <c r="S412" t="s">
        <v>134</v>
      </c>
      <c r="T412" t="s">
        <v>185</v>
      </c>
      <c r="U412">
        <v>9.4380232853920523E-3</v>
      </c>
      <c r="V412" t="s">
        <v>84</v>
      </c>
    </row>
    <row r="413" spans="9:22" x14ac:dyDescent="0.45">
      <c r="I413" t="s">
        <v>103</v>
      </c>
      <c r="J413" t="s">
        <v>93</v>
      </c>
      <c r="K413">
        <v>0</v>
      </c>
      <c r="L413" t="s">
        <v>84</v>
      </c>
      <c r="N413" t="s">
        <v>119</v>
      </c>
      <c r="O413" t="s">
        <v>93</v>
      </c>
      <c r="P413">
        <v>5.2551990845177102E-2</v>
      </c>
      <c r="Q413" t="s">
        <v>84</v>
      </c>
      <c r="S413" t="s">
        <v>134</v>
      </c>
      <c r="T413" t="s">
        <v>93</v>
      </c>
      <c r="U413">
        <v>4.7175946438178122E-2</v>
      </c>
      <c r="V413" t="s">
        <v>84</v>
      </c>
    </row>
    <row r="414" spans="9:22" x14ac:dyDescent="0.45">
      <c r="I414" t="s">
        <v>103</v>
      </c>
      <c r="J414" t="s">
        <v>94</v>
      </c>
      <c r="K414">
        <v>2.5337374036576002E-2</v>
      </c>
      <c r="L414" t="s">
        <v>84</v>
      </c>
      <c r="N414" t="s">
        <v>119</v>
      </c>
      <c r="O414" t="s">
        <v>94</v>
      </c>
      <c r="P414">
        <v>2.9525760686179448E-2</v>
      </c>
      <c r="Q414" t="s">
        <v>84</v>
      </c>
      <c r="S414" t="s">
        <v>134</v>
      </c>
      <c r="T414" t="s">
        <v>94</v>
      </c>
      <c r="U414">
        <v>2.2664159999563383E-2</v>
      </c>
      <c r="V414" t="s">
        <v>84</v>
      </c>
    </row>
    <row r="415" spans="9:22" x14ac:dyDescent="0.45">
      <c r="I415" t="s">
        <v>103</v>
      </c>
      <c r="J415" t="s">
        <v>95</v>
      </c>
      <c r="K415">
        <v>5.9581209446498994E-2</v>
      </c>
      <c r="L415" t="s">
        <v>84</v>
      </c>
      <c r="N415" t="s">
        <v>119</v>
      </c>
      <c r="O415" t="s">
        <v>95</v>
      </c>
      <c r="P415">
        <v>4.7893694264945275E-2</v>
      </c>
      <c r="Q415" t="s">
        <v>84</v>
      </c>
      <c r="S415" t="s">
        <v>134</v>
      </c>
      <c r="T415" t="s">
        <v>95</v>
      </c>
      <c r="U415">
        <v>4.1153611984491661E-2</v>
      </c>
      <c r="V415" t="s">
        <v>84</v>
      </c>
    </row>
    <row r="416" spans="9:22" x14ac:dyDescent="0.45">
      <c r="I416" t="s">
        <v>103</v>
      </c>
      <c r="J416" t="s">
        <v>186</v>
      </c>
      <c r="K416">
        <v>4.809034222390529E-3</v>
      </c>
      <c r="L416" t="s">
        <v>84</v>
      </c>
      <c r="N416" t="s">
        <v>119</v>
      </c>
      <c r="O416" t="s">
        <v>186</v>
      </c>
      <c r="P416">
        <v>8.0150172609641055E-3</v>
      </c>
      <c r="Q416" t="s">
        <v>84</v>
      </c>
      <c r="S416" t="s">
        <v>134</v>
      </c>
      <c r="T416" t="s">
        <v>186</v>
      </c>
      <c r="U416">
        <v>6.7792481481870883E-3</v>
      </c>
      <c r="V416" t="s">
        <v>84</v>
      </c>
    </row>
    <row r="417" spans="9:22" x14ac:dyDescent="0.45">
      <c r="I417" t="s">
        <v>103</v>
      </c>
      <c r="J417" t="s">
        <v>187</v>
      </c>
      <c r="K417">
        <v>8.7079376234935778E-6</v>
      </c>
      <c r="L417" t="s">
        <v>84</v>
      </c>
      <c r="N417" t="s">
        <v>119</v>
      </c>
      <c r="O417" t="s">
        <v>187</v>
      </c>
      <c r="P417">
        <v>8.00505245204307E-3</v>
      </c>
      <c r="Q417" t="s">
        <v>84</v>
      </c>
      <c r="S417" t="s">
        <v>134</v>
      </c>
      <c r="T417" t="s">
        <v>187</v>
      </c>
      <c r="U417">
        <v>6.9625990318921841E-3</v>
      </c>
      <c r="V417" t="s">
        <v>84</v>
      </c>
    </row>
    <row r="418" spans="9:22" x14ac:dyDescent="0.45">
      <c r="I418" t="s">
        <v>103</v>
      </c>
      <c r="J418" t="s">
        <v>188</v>
      </c>
      <c r="K418">
        <v>0</v>
      </c>
      <c r="L418" t="s">
        <v>84</v>
      </c>
      <c r="N418" t="s">
        <v>119</v>
      </c>
      <c r="O418" t="s">
        <v>188</v>
      </c>
      <c r="P418">
        <v>3.8258365050309974E-2</v>
      </c>
      <c r="Q418" t="s">
        <v>84</v>
      </c>
      <c r="S418" t="s">
        <v>134</v>
      </c>
      <c r="T418" t="s">
        <v>188</v>
      </c>
      <c r="U418">
        <v>3.5636926425942531E-2</v>
      </c>
      <c r="V418" t="s">
        <v>84</v>
      </c>
    </row>
    <row r="419" spans="9:22" x14ac:dyDescent="0.45">
      <c r="I419" t="s">
        <v>103</v>
      </c>
      <c r="J419" t="s">
        <v>189</v>
      </c>
      <c r="K419">
        <v>0</v>
      </c>
      <c r="L419" t="s">
        <v>84</v>
      </c>
      <c r="N419" t="s">
        <v>119</v>
      </c>
      <c r="O419" t="s">
        <v>189</v>
      </c>
      <c r="P419">
        <v>2.2891213090244854E-2</v>
      </c>
      <c r="Q419" t="s">
        <v>84</v>
      </c>
      <c r="S419" t="s">
        <v>134</v>
      </c>
      <c r="T419" t="s">
        <v>189</v>
      </c>
      <c r="U419">
        <v>2.3483256315902482E-2</v>
      </c>
      <c r="V419" t="s">
        <v>84</v>
      </c>
    </row>
    <row r="420" spans="9:22" x14ac:dyDescent="0.45">
      <c r="I420" t="s">
        <v>103</v>
      </c>
      <c r="J420" t="s">
        <v>190</v>
      </c>
      <c r="K420">
        <v>5.2421829193682757E-3</v>
      </c>
      <c r="L420" t="s">
        <v>84</v>
      </c>
      <c r="N420" t="s">
        <v>119</v>
      </c>
      <c r="O420" t="s">
        <v>190</v>
      </c>
      <c r="P420">
        <v>1.22540742362561E-2</v>
      </c>
      <c r="Q420" t="s">
        <v>84</v>
      </c>
      <c r="S420" t="s">
        <v>134</v>
      </c>
      <c r="T420" t="s">
        <v>190</v>
      </c>
      <c r="U420">
        <v>1.4625557307105871E-2</v>
      </c>
      <c r="V420" t="s">
        <v>84</v>
      </c>
    </row>
    <row r="421" spans="9:22" x14ac:dyDescent="0.45">
      <c r="I421" t="s">
        <v>103</v>
      </c>
      <c r="J421" t="s">
        <v>191</v>
      </c>
      <c r="K421">
        <v>1.8754639795785816E-2</v>
      </c>
      <c r="L421" t="s">
        <v>84</v>
      </c>
      <c r="N421" t="s">
        <v>119</v>
      </c>
      <c r="O421" t="s">
        <v>191</v>
      </c>
      <c r="P421">
        <v>1.8488682589242956E-2</v>
      </c>
      <c r="Q421" t="s">
        <v>84</v>
      </c>
      <c r="S421" t="s">
        <v>134</v>
      </c>
      <c r="T421" t="s">
        <v>191</v>
      </c>
      <c r="U421">
        <v>2.5565764285149166E-2</v>
      </c>
      <c r="V421" t="s">
        <v>84</v>
      </c>
    </row>
    <row r="422" spans="9:22" x14ac:dyDescent="0.45">
      <c r="I422" t="s">
        <v>103</v>
      </c>
      <c r="J422" t="s">
        <v>192</v>
      </c>
      <c r="K422">
        <v>0</v>
      </c>
      <c r="L422" t="s">
        <v>84</v>
      </c>
      <c r="N422" t="s">
        <v>119</v>
      </c>
      <c r="O422" t="s">
        <v>192</v>
      </c>
      <c r="P422">
        <v>3.162596383689232E-3</v>
      </c>
      <c r="Q422" t="s">
        <v>84</v>
      </c>
      <c r="S422" t="s">
        <v>134</v>
      </c>
      <c r="T422" t="s">
        <v>192</v>
      </c>
      <c r="U422">
        <v>3.8525049719523303E-3</v>
      </c>
      <c r="V422" t="s">
        <v>84</v>
      </c>
    </row>
    <row r="423" spans="9:22" x14ac:dyDescent="0.45">
      <c r="I423" t="s">
        <v>103</v>
      </c>
      <c r="J423" t="s">
        <v>193</v>
      </c>
      <c r="K423">
        <v>0</v>
      </c>
      <c r="L423" t="s">
        <v>84</v>
      </c>
      <c r="N423" t="s">
        <v>119</v>
      </c>
      <c r="O423" t="s">
        <v>193</v>
      </c>
      <c r="P423">
        <v>3.2285340818708095E-3</v>
      </c>
      <c r="Q423" t="s">
        <v>84</v>
      </c>
      <c r="S423" t="s">
        <v>134</v>
      </c>
      <c r="T423" t="s">
        <v>193</v>
      </c>
      <c r="U423">
        <v>3.6671465749262078E-3</v>
      </c>
      <c r="V423" t="s">
        <v>84</v>
      </c>
    </row>
    <row r="424" spans="9:22" x14ac:dyDescent="0.45">
      <c r="I424" t="s">
        <v>103</v>
      </c>
      <c r="J424" t="s">
        <v>194</v>
      </c>
      <c r="K424">
        <v>0</v>
      </c>
      <c r="L424" t="s">
        <v>84</v>
      </c>
      <c r="N424" t="s">
        <v>119</v>
      </c>
      <c r="O424" t="s">
        <v>194</v>
      </c>
      <c r="P424">
        <v>1.6533581599300833E-2</v>
      </c>
      <c r="Q424" t="s">
        <v>84</v>
      </c>
      <c r="S424" t="s">
        <v>134</v>
      </c>
      <c r="T424" t="s">
        <v>194</v>
      </c>
      <c r="U424">
        <v>1.508832613004998E-2</v>
      </c>
      <c r="V424" t="s">
        <v>84</v>
      </c>
    </row>
    <row r="425" spans="9:22" x14ac:dyDescent="0.45">
      <c r="I425" t="s">
        <v>103</v>
      </c>
      <c r="J425" t="s">
        <v>195</v>
      </c>
      <c r="K425">
        <v>3.638748555392258E-6</v>
      </c>
      <c r="L425" t="s">
        <v>84</v>
      </c>
      <c r="N425" t="s">
        <v>119</v>
      </c>
      <c r="O425" t="s">
        <v>195</v>
      </c>
      <c r="P425">
        <v>7.3956819345248948E-2</v>
      </c>
      <c r="Q425" t="s">
        <v>84</v>
      </c>
      <c r="S425" t="s">
        <v>134</v>
      </c>
      <c r="T425" t="s">
        <v>195</v>
      </c>
      <c r="U425">
        <v>8.9956997130008265E-2</v>
      </c>
      <c r="V425" t="s">
        <v>84</v>
      </c>
    </row>
    <row r="426" spans="9:22" x14ac:dyDescent="0.45">
      <c r="I426" t="s">
        <v>103</v>
      </c>
      <c r="J426" t="s">
        <v>196</v>
      </c>
      <c r="K426">
        <v>4.3877847372907515E-2</v>
      </c>
      <c r="L426" t="s">
        <v>84</v>
      </c>
      <c r="N426" t="s">
        <v>119</v>
      </c>
      <c r="O426" t="s">
        <v>196</v>
      </c>
      <c r="P426">
        <v>4.1289444507265141E-2</v>
      </c>
      <c r="Q426" t="s">
        <v>84</v>
      </c>
      <c r="S426" t="s">
        <v>134</v>
      </c>
      <c r="T426" t="s">
        <v>196</v>
      </c>
      <c r="U426">
        <v>4.820518291528262E-2</v>
      </c>
      <c r="V426" t="s">
        <v>84</v>
      </c>
    </row>
    <row r="427" spans="9:22" x14ac:dyDescent="0.45">
      <c r="I427" t="s">
        <v>103</v>
      </c>
      <c r="J427" t="s">
        <v>197</v>
      </c>
      <c r="K427">
        <v>0.1021248492625698</v>
      </c>
      <c r="L427" t="s">
        <v>84</v>
      </c>
      <c r="N427" t="s">
        <v>119</v>
      </c>
      <c r="O427" t="s">
        <v>197</v>
      </c>
      <c r="P427">
        <v>6.5821699355129132E-2</v>
      </c>
      <c r="Q427" t="s">
        <v>84</v>
      </c>
      <c r="S427" t="s">
        <v>134</v>
      </c>
      <c r="T427" t="s">
        <v>197</v>
      </c>
      <c r="U427">
        <v>8.4404372711171557E-2</v>
      </c>
      <c r="V427" t="s">
        <v>84</v>
      </c>
    </row>
    <row r="428" spans="9:22" x14ac:dyDescent="0.45">
      <c r="I428" t="s">
        <v>103</v>
      </c>
      <c r="J428" t="s">
        <v>198</v>
      </c>
      <c r="K428">
        <v>9.3778440460033467E-3</v>
      </c>
      <c r="L428" t="s">
        <v>84</v>
      </c>
      <c r="N428" t="s">
        <v>119</v>
      </c>
      <c r="O428" t="s">
        <v>198</v>
      </c>
      <c r="P428">
        <v>1.0907116321902536E-2</v>
      </c>
      <c r="Q428" t="s">
        <v>84</v>
      </c>
      <c r="S428" t="s">
        <v>134</v>
      </c>
      <c r="T428" t="s">
        <v>198</v>
      </c>
      <c r="U428">
        <v>1.2343758856444257E-2</v>
      </c>
      <c r="V428" t="s">
        <v>84</v>
      </c>
    </row>
    <row r="429" spans="9:22" x14ac:dyDescent="0.45">
      <c r="I429" t="s">
        <v>103</v>
      </c>
      <c r="J429" t="s">
        <v>199</v>
      </c>
      <c r="K429">
        <v>1.8325513322048274E-3</v>
      </c>
      <c r="L429" t="s">
        <v>84</v>
      </c>
      <c r="N429" t="s">
        <v>119</v>
      </c>
      <c r="O429" t="s">
        <v>199</v>
      </c>
      <c r="P429">
        <v>1.0832293336517928E-2</v>
      </c>
      <c r="Q429" t="s">
        <v>84</v>
      </c>
      <c r="S429" t="s">
        <v>134</v>
      </c>
      <c r="T429" t="s">
        <v>199</v>
      </c>
      <c r="U429">
        <v>1.2178624216611566E-2</v>
      </c>
      <c r="V429" t="s">
        <v>84</v>
      </c>
    </row>
    <row r="430" spans="9:22" x14ac:dyDescent="0.45">
      <c r="I430" t="s">
        <v>103</v>
      </c>
      <c r="J430" t="s">
        <v>200</v>
      </c>
      <c r="K430">
        <v>0</v>
      </c>
      <c r="L430" t="s">
        <v>84</v>
      </c>
      <c r="N430" t="s">
        <v>119</v>
      </c>
      <c r="O430" t="s">
        <v>200</v>
      </c>
      <c r="P430">
        <v>5.3982225848233263E-2</v>
      </c>
      <c r="Q430" t="s">
        <v>84</v>
      </c>
      <c r="S430" t="s">
        <v>134</v>
      </c>
      <c r="T430" t="s">
        <v>200</v>
      </c>
      <c r="U430">
        <v>6.3207083602928871E-2</v>
      </c>
      <c r="V430" t="s">
        <v>84</v>
      </c>
    </row>
    <row r="431" spans="9:22" x14ac:dyDescent="0.45">
      <c r="I431" t="s">
        <v>103</v>
      </c>
      <c r="J431" t="s">
        <v>201</v>
      </c>
      <c r="K431">
        <v>2.6059346406185936E-3</v>
      </c>
      <c r="L431" t="s">
        <v>84</v>
      </c>
      <c r="N431" t="s">
        <v>119</v>
      </c>
      <c r="O431" t="s">
        <v>201</v>
      </c>
      <c r="P431">
        <v>3.6039238990891904E-2</v>
      </c>
      <c r="Q431" t="s">
        <v>84</v>
      </c>
      <c r="S431" t="s">
        <v>134</v>
      </c>
      <c r="T431" t="s">
        <v>201</v>
      </c>
      <c r="U431">
        <v>3.0927611018422434E-2</v>
      </c>
      <c r="V431" t="s">
        <v>84</v>
      </c>
    </row>
    <row r="432" spans="9:22" x14ac:dyDescent="0.45">
      <c r="I432" t="s">
        <v>103</v>
      </c>
      <c r="J432" t="s">
        <v>202</v>
      </c>
      <c r="K432">
        <v>2.81175246507336E-2</v>
      </c>
      <c r="L432" t="s">
        <v>84</v>
      </c>
      <c r="N432" t="s">
        <v>119</v>
      </c>
      <c r="O432" t="s">
        <v>202</v>
      </c>
      <c r="P432">
        <v>2.0342322261232809E-2</v>
      </c>
      <c r="Q432" t="s">
        <v>84</v>
      </c>
      <c r="S432" t="s">
        <v>134</v>
      </c>
      <c r="T432" t="s">
        <v>202</v>
      </c>
      <c r="U432">
        <v>2.1504624224803759E-2</v>
      </c>
      <c r="V432" t="s">
        <v>84</v>
      </c>
    </row>
    <row r="433" spans="9:22" x14ac:dyDescent="0.45">
      <c r="I433" t="s">
        <v>103</v>
      </c>
      <c r="J433" t="s">
        <v>203</v>
      </c>
      <c r="K433">
        <v>5.6222643760957564E-2</v>
      </c>
      <c r="L433" t="s">
        <v>84</v>
      </c>
      <c r="N433" t="s">
        <v>119</v>
      </c>
      <c r="O433" t="s">
        <v>203</v>
      </c>
      <c r="P433">
        <v>3.3774648279891982E-2</v>
      </c>
      <c r="Q433" t="s">
        <v>84</v>
      </c>
      <c r="S433" t="s">
        <v>134</v>
      </c>
      <c r="T433" t="s">
        <v>203</v>
      </c>
      <c r="U433">
        <v>3.9428538214683513E-2</v>
      </c>
      <c r="V433" t="s">
        <v>84</v>
      </c>
    </row>
    <row r="434" spans="9:22" x14ac:dyDescent="0.45">
      <c r="I434" t="s">
        <v>103</v>
      </c>
      <c r="J434" t="s">
        <v>204</v>
      </c>
      <c r="K434">
        <v>6.3934001151168254E-3</v>
      </c>
      <c r="L434" t="s">
        <v>84</v>
      </c>
      <c r="N434" t="s">
        <v>119</v>
      </c>
      <c r="O434" t="s">
        <v>204</v>
      </c>
      <c r="P434">
        <v>5.3308276753781785E-3</v>
      </c>
      <c r="Q434" t="s">
        <v>84</v>
      </c>
      <c r="S434" t="s">
        <v>134</v>
      </c>
      <c r="T434" t="s">
        <v>204</v>
      </c>
      <c r="U434">
        <v>5.6869820238452705E-3</v>
      </c>
      <c r="V434" t="s">
        <v>84</v>
      </c>
    </row>
    <row r="435" spans="9:22" x14ac:dyDescent="0.45">
      <c r="I435" t="s">
        <v>103</v>
      </c>
      <c r="J435" t="s">
        <v>205</v>
      </c>
      <c r="K435">
        <v>4.5137519173658507E-3</v>
      </c>
      <c r="L435" t="s">
        <v>84</v>
      </c>
      <c r="N435" t="s">
        <v>119</v>
      </c>
      <c r="O435" t="s">
        <v>205</v>
      </c>
      <c r="P435">
        <v>5.1572915100120834E-3</v>
      </c>
      <c r="Q435" t="s">
        <v>84</v>
      </c>
      <c r="S435" t="s">
        <v>134</v>
      </c>
      <c r="T435" t="s">
        <v>205</v>
      </c>
      <c r="U435">
        <v>5.3879018516007444E-3</v>
      </c>
      <c r="V435" t="s">
        <v>84</v>
      </c>
    </row>
    <row r="436" spans="9:22" x14ac:dyDescent="0.45">
      <c r="I436" t="s">
        <v>103</v>
      </c>
      <c r="J436" t="s">
        <v>206</v>
      </c>
      <c r="K436">
        <v>0</v>
      </c>
      <c r="L436" t="s">
        <v>84</v>
      </c>
      <c r="N436" t="s">
        <v>119</v>
      </c>
      <c r="O436" t="s">
        <v>206</v>
      </c>
      <c r="P436">
        <v>2.337073628720826E-2</v>
      </c>
      <c r="Q436" t="s">
        <v>84</v>
      </c>
      <c r="S436" t="s">
        <v>134</v>
      </c>
      <c r="T436" t="s">
        <v>206</v>
      </c>
      <c r="U436">
        <v>2.4082885601091068E-2</v>
      </c>
      <c r="V436" t="s">
        <v>84</v>
      </c>
    </row>
    <row r="437" spans="9:22" x14ac:dyDescent="0.45">
      <c r="I437" t="s">
        <v>103</v>
      </c>
      <c r="J437" t="s">
        <v>207</v>
      </c>
      <c r="K437">
        <v>1.6726073556446456E-2</v>
      </c>
      <c r="L437" t="s">
        <v>84</v>
      </c>
      <c r="N437" t="s">
        <v>119</v>
      </c>
      <c r="O437" t="s">
        <v>207</v>
      </c>
      <c r="P437">
        <v>3.6384021890880296E-2</v>
      </c>
      <c r="Q437" t="s">
        <v>84</v>
      </c>
      <c r="S437" t="s">
        <v>134</v>
      </c>
      <c r="T437" t="s">
        <v>207</v>
      </c>
      <c r="U437">
        <v>3.4348310335693709E-2</v>
      </c>
      <c r="V437" t="s">
        <v>84</v>
      </c>
    </row>
    <row r="438" spans="9:22" x14ac:dyDescent="0.45">
      <c r="I438" t="s">
        <v>103</v>
      </c>
      <c r="J438" t="s">
        <v>208</v>
      </c>
      <c r="K438">
        <v>7.798854401818435E-2</v>
      </c>
      <c r="L438" t="s">
        <v>84</v>
      </c>
      <c r="N438" t="s">
        <v>119</v>
      </c>
      <c r="O438" t="s">
        <v>208</v>
      </c>
      <c r="P438">
        <v>2.35796297081926E-2</v>
      </c>
      <c r="Q438" t="s">
        <v>84</v>
      </c>
      <c r="S438" t="s">
        <v>134</v>
      </c>
      <c r="T438" t="s">
        <v>208</v>
      </c>
      <c r="U438">
        <v>2.2268794308779417E-2</v>
      </c>
      <c r="V438" t="s">
        <v>84</v>
      </c>
    </row>
    <row r="439" spans="9:22" x14ac:dyDescent="0.45">
      <c r="I439" t="s">
        <v>103</v>
      </c>
      <c r="J439" t="s">
        <v>209</v>
      </c>
      <c r="K439">
        <v>0.13462620167734274</v>
      </c>
      <c r="L439" t="s">
        <v>84</v>
      </c>
      <c r="N439" t="s">
        <v>119</v>
      </c>
      <c r="O439" t="s">
        <v>209</v>
      </c>
      <c r="P439">
        <v>3.9961125128135822E-2</v>
      </c>
      <c r="Q439" t="s">
        <v>84</v>
      </c>
      <c r="S439" t="s">
        <v>134</v>
      </c>
      <c r="T439" t="s">
        <v>209</v>
      </c>
      <c r="U439">
        <v>3.9520917998404556E-2</v>
      </c>
      <c r="V439" t="s">
        <v>84</v>
      </c>
    </row>
    <row r="440" spans="9:22" x14ac:dyDescent="0.45">
      <c r="I440" t="s">
        <v>103</v>
      </c>
      <c r="J440" t="s">
        <v>210</v>
      </c>
      <c r="K440">
        <v>1.7237288238229665E-2</v>
      </c>
      <c r="L440" t="s">
        <v>84</v>
      </c>
      <c r="N440" t="s">
        <v>119</v>
      </c>
      <c r="O440" t="s">
        <v>210</v>
      </c>
      <c r="P440">
        <v>6.2813768233772414E-3</v>
      </c>
      <c r="Q440" t="s">
        <v>84</v>
      </c>
      <c r="S440" t="s">
        <v>134</v>
      </c>
      <c r="T440" t="s">
        <v>210</v>
      </c>
      <c r="U440">
        <v>6.7434624551525628E-3</v>
      </c>
      <c r="V440" t="s">
        <v>84</v>
      </c>
    </row>
    <row r="441" spans="9:22" x14ac:dyDescent="0.45">
      <c r="I441" t="s">
        <v>103</v>
      </c>
      <c r="J441" t="s">
        <v>211</v>
      </c>
      <c r="K441">
        <v>1.4595946110348925E-2</v>
      </c>
      <c r="L441" t="s">
        <v>84</v>
      </c>
      <c r="N441" t="s">
        <v>119</v>
      </c>
      <c r="O441" t="s">
        <v>211</v>
      </c>
      <c r="P441">
        <v>5.9354292472444375E-3</v>
      </c>
      <c r="Q441" t="s">
        <v>84</v>
      </c>
      <c r="S441" t="s">
        <v>134</v>
      </c>
      <c r="T441" t="s">
        <v>211</v>
      </c>
      <c r="U441">
        <v>6.4474431217434978E-3</v>
      </c>
      <c r="V441" t="s">
        <v>84</v>
      </c>
    </row>
    <row r="442" spans="9:22" x14ac:dyDescent="0.45">
      <c r="I442" t="s">
        <v>103</v>
      </c>
      <c r="J442" t="s">
        <v>212</v>
      </c>
      <c r="K442">
        <v>9.0530307730243859E-3</v>
      </c>
      <c r="L442" t="s">
        <v>84</v>
      </c>
      <c r="N442" t="s">
        <v>119</v>
      </c>
      <c r="O442" t="s">
        <v>212</v>
      </c>
      <c r="P442">
        <v>2.6624597520442141E-2</v>
      </c>
      <c r="Q442" t="s">
        <v>84</v>
      </c>
      <c r="S442" t="s">
        <v>134</v>
      </c>
      <c r="T442" t="s">
        <v>212</v>
      </c>
      <c r="U442">
        <v>2.7356937973557899E-2</v>
      </c>
      <c r="V442" t="s">
        <v>84</v>
      </c>
    </row>
    <row r="443" spans="9:22" x14ac:dyDescent="0.45">
      <c r="I443" t="s">
        <v>104</v>
      </c>
      <c r="J443" t="s">
        <v>83</v>
      </c>
      <c r="K443">
        <v>5.4810360802704534E-3</v>
      </c>
      <c r="L443" t="s">
        <v>84</v>
      </c>
      <c r="N443" t="s">
        <v>120</v>
      </c>
      <c r="O443" t="s">
        <v>83</v>
      </c>
      <c r="P443">
        <v>2.6298944304332321E-2</v>
      </c>
      <c r="Q443" t="s">
        <v>84</v>
      </c>
      <c r="S443" t="s">
        <v>135</v>
      </c>
      <c r="T443" t="s">
        <v>83</v>
      </c>
      <c r="U443">
        <v>2.7096631865888152E-2</v>
      </c>
      <c r="V443" t="s">
        <v>84</v>
      </c>
    </row>
    <row r="444" spans="9:22" x14ac:dyDescent="0.45">
      <c r="I444" t="s">
        <v>104</v>
      </c>
      <c r="J444" t="s">
        <v>85</v>
      </c>
      <c r="K444">
        <v>4.2257375949130829E-2</v>
      </c>
      <c r="L444" t="s">
        <v>84</v>
      </c>
      <c r="N444" t="s">
        <v>120</v>
      </c>
      <c r="O444" t="s">
        <v>85</v>
      </c>
      <c r="P444">
        <v>1.4599110728906987E-2</v>
      </c>
      <c r="Q444" t="s">
        <v>84</v>
      </c>
      <c r="S444" t="s">
        <v>135</v>
      </c>
      <c r="T444" t="s">
        <v>85</v>
      </c>
      <c r="U444">
        <v>1.4798103429585267E-2</v>
      </c>
      <c r="V444" t="s">
        <v>84</v>
      </c>
    </row>
    <row r="445" spans="9:22" x14ac:dyDescent="0.45">
      <c r="I445" t="s">
        <v>104</v>
      </c>
      <c r="J445" t="s">
        <v>86</v>
      </c>
      <c r="K445">
        <v>7.8901411001671348E-2</v>
      </c>
      <c r="L445" t="s">
        <v>84</v>
      </c>
      <c r="N445" t="s">
        <v>120</v>
      </c>
      <c r="O445" t="s">
        <v>86</v>
      </c>
      <c r="P445">
        <v>2.8797937605648742E-2</v>
      </c>
      <c r="Q445" t="s">
        <v>84</v>
      </c>
      <c r="S445" t="s">
        <v>135</v>
      </c>
      <c r="T445" t="s">
        <v>86</v>
      </c>
      <c r="U445">
        <v>2.1276095973441638E-2</v>
      </c>
      <c r="V445" t="s">
        <v>84</v>
      </c>
    </row>
    <row r="446" spans="9:22" x14ac:dyDescent="0.45">
      <c r="I446" t="s">
        <v>104</v>
      </c>
      <c r="J446" t="s">
        <v>177</v>
      </c>
      <c r="K446">
        <v>1.034257296855828E-2</v>
      </c>
      <c r="L446" t="s">
        <v>84</v>
      </c>
      <c r="N446" t="s">
        <v>120</v>
      </c>
      <c r="O446" t="s">
        <v>177</v>
      </c>
      <c r="P446">
        <v>4.446314591512862E-3</v>
      </c>
      <c r="Q446" t="s">
        <v>84</v>
      </c>
      <c r="S446" t="s">
        <v>135</v>
      </c>
      <c r="T446" t="s">
        <v>177</v>
      </c>
      <c r="U446">
        <v>3.9485148743854904E-3</v>
      </c>
      <c r="V446" t="s">
        <v>84</v>
      </c>
    </row>
    <row r="447" spans="9:22" x14ac:dyDescent="0.45">
      <c r="I447" t="s">
        <v>104</v>
      </c>
      <c r="J447" t="s">
        <v>178</v>
      </c>
      <c r="K447">
        <v>9.0868628331636798E-3</v>
      </c>
      <c r="L447" t="s">
        <v>84</v>
      </c>
      <c r="N447" t="s">
        <v>120</v>
      </c>
      <c r="O447" t="s">
        <v>178</v>
      </c>
      <c r="P447">
        <v>4.1547173969965013E-3</v>
      </c>
      <c r="Q447" t="s">
        <v>84</v>
      </c>
      <c r="S447" t="s">
        <v>135</v>
      </c>
      <c r="T447" t="s">
        <v>178</v>
      </c>
      <c r="U447">
        <v>3.9918682532394728E-3</v>
      </c>
      <c r="V447" t="s">
        <v>84</v>
      </c>
    </row>
    <row r="448" spans="9:22" x14ac:dyDescent="0.45">
      <c r="I448" t="s">
        <v>104</v>
      </c>
      <c r="J448" t="s">
        <v>179</v>
      </c>
      <c r="K448">
        <v>6.8819857248610047E-3</v>
      </c>
      <c r="L448" t="s">
        <v>84</v>
      </c>
      <c r="N448" t="s">
        <v>120</v>
      </c>
      <c r="O448" t="s">
        <v>179</v>
      </c>
      <c r="P448">
        <v>1.8483297995409289E-2</v>
      </c>
      <c r="Q448" t="s">
        <v>84</v>
      </c>
      <c r="S448" t="s">
        <v>135</v>
      </c>
      <c r="T448" t="s">
        <v>179</v>
      </c>
      <c r="U448">
        <v>1.9445521658160193E-2</v>
      </c>
      <c r="V448" t="s">
        <v>84</v>
      </c>
    </row>
    <row r="449" spans="9:22" x14ac:dyDescent="0.45">
      <c r="I449" t="s">
        <v>104</v>
      </c>
      <c r="J449" t="s">
        <v>87</v>
      </c>
      <c r="K449">
        <v>2.3946908398427631E-3</v>
      </c>
      <c r="L449" t="s">
        <v>84</v>
      </c>
      <c r="N449" t="s">
        <v>120</v>
      </c>
      <c r="O449" t="s">
        <v>87</v>
      </c>
      <c r="P449">
        <v>1.433338694179196E-2</v>
      </c>
      <c r="Q449" t="s">
        <v>84</v>
      </c>
      <c r="S449" t="s">
        <v>135</v>
      </c>
      <c r="T449" t="s">
        <v>87</v>
      </c>
      <c r="U449">
        <v>1.1721354460029329E-2</v>
      </c>
      <c r="V449" t="s">
        <v>84</v>
      </c>
    </row>
    <row r="450" spans="9:22" x14ac:dyDescent="0.45">
      <c r="I450" t="s">
        <v>104</v>
      </c>
      <c r="J450" t="s">
        <v>88</v>
      </c>
      <c r="K450">
        <v>3.1797288960364802E-2</v>
      </c>
      <c r="L450" t="s">
        <v>84</v>
      </c>
      <c r="N450" t="s">
        <v>120</v>
      </c>
      <c r="O450" t="s">
        <v>88</v>
      </c>
      <c r="P450">
        <v>8.692534788224196E-3</v>
      </c>
      <c r="Q450" t="s">
        <v>84</v>
      </c>
      <c r="S450" t="s">
        <v>135</v>
      </c>
      <c r="T450" t="s">
        <v>88</v>
      </c>
      <c r="U450">
        <v>6.1502461796275791E-3</v>
      </c>
      <c r="V450" t="s">
        <v>84</v>
      </c>
    </row>
    <row r="451" spans="9:22" x14ac:dyDescent="0.45">
      <c r="I451" t="s">
        <v>104</v>
      </c>
      <c r="J451" t="s">
        <v>89</v>
      </c>
      <c r="K451">
        <v>6.6053791580189425E-2</v>
      </c>
      <c r="L451" t="s">
        <v>84</v>
      </c>
      <c r="N451" t="s">
        <v>120</v>
      </c>
      <c r="O451" t="s">
        <v>89</v>
      </c>
      <c r="P451">
        <v>1.8027381498578771E-2</v>
      </c>
      <c r="Q451" t="s">
        <v>84</v>
      </c>
      <c r="S451" t="s">
        <v>135</v>
      </c>
      <c r="T451" t="s">
        <v>89</v>
      </c>
      <c r="U451">
        <v>1.007897744373668E-2</v>
      </c>
      <c r="V451" t="s">
        <v>84</v>
      </c>
    </row>
    <row r="452" spans="9:22" x14ac:dyDescent="0.45">
      <c r="I452" t="s">
        <v>104</v>
      </c>
      <c r="J452" t="s">
        <v>180</v>
      </c>
      <c r="K452">
        <v>8.7848650003079804E-3</v>
      </c>
      <c r="L452" t="s">
        <v>84</v>
      </c>
      <c r="N452" t="s">
        <v>120</v>
      </c>
      <c r="O452" t="s">
        <v>180</v>
      </c>
      <c r="P452">
        <v>3.0099031770532618E-3</v>
      </c>
      <c r="Q452" t="s">
        <v>84</v>
      </c>
      <c r="S452" t="s">
        <v>135</v>
      </c>
      <c r="T452" t="s">
        <v>180</v>
      </c>
      <c r="U452">
        <v>2.1937910098261217E-3</v>
      </c>
      <c r="V452" t="s">
        <v>84</v>
      </c>
    </row>
    <row r="453" spans="9:22" x14ac:dyDescent="0.45">
      <c r="I453" t="s">
        <v>104</v>
      </c>
      <c r="J453" t="s">
        <v>181</v>
      </c>
      <c r="K453">
        <v>7.0841371891588517E-3</v>
      </c>
      <c r="L453" t="s">
        <v>84</v>
      </c>
      <c r="N453" t="s">
        <v>120</v>
      </c>
      <c r="O453" t="s">
        <v>181</v>
      </c>
      <c r="P453">
        <v>2.7732986265369178E-3</v>
      </c>
      <c r="Q453" t="s">
        <v>84</v>
      </c>
      <c r="S453" t="s">
        <v>135</v>
      </c>
      <c r="T453" t="s">
        <v>181</v>
      </c>
      <c r="U453">
        <v>2.2693221543286864E-3</v>
      </c>
      <c r="V453" t="s">
        <v>84</v>
      </c>
    </row>
    <row r="454" spans="9:22" x14ac:dyDescent="0.45">
      <c r="I454" t="s">
        <v>104</v>
      </c>
      <c r="J454" t="s">
        <v>182</v>
      </c>
      <c r="K454">
        <v>4.405188835812977E-3</v>
      </c>
      <c r="L454" t="s">
        <v>84</v>
      </c>
      <c r="N454" t="s">
        <v>120</v>
      </c>
      <c r="O454" t="s">
        <v>182</v>
      </c>
      <c r="P454">
        <v>1.1589804666326671E-2</v>
      </c>
      <c r="Q454" t="s">
        <v>84</v>
      </c>
      <c r="S454" t="s">
        <v>135</v>
      </c>
      <c r="T454" t="s">
        <v>182</v>
      </c>
      <c r="U454">
        <v>1.0090398312237516E-2</v>
      </c>
      <c r="V454" t="s">
        <v>84</v>
      </c>
    </row>
    <row r="455" spans="9:22" x14ac:dyDescent="0.45">
      <c r="I455" t="s">
        <v>104</v>
      </c>
      <c r="J455" t="s">
        <v>90</v>
      </c>
      <c r="K455">
        <v>0</v>
      </c>
      <c r="L455" t="s">
        <v>84</v>
      </c>
      <c r="N455" t="s">
        <v>120</v>
      </c>
      <c r="O455" t="s">
        <v>90</v>
      </c>
      <c r="P455">
        <v>2.0585899374762549E-2</v>
      </c>
      <c r="Q455" t="s">
        <v>84</v>
      </c>
      <c r="S455" t="s">
        <v>135</v>
      </c>
      <c r="T455" t="s">
        <v>90</v>
      </c>
      <c r="U455">
        <v>1.4031061802012548E-2</v>
      </c>
      <c r="V455" t="s">
        <v>84</v>
      </c>
    </row>
    <row r="456" spans="9:22" x14ac:dyDescent="0.45">
      <c r="I456" t="s">
        <v>104</v>
      </c>
      <c r="J456" t="s">
        <v>91</v>
      </c>
      <c r="K456">
        <v>2.411405886929258E-2</v>
      </c>
      <c r="L456" t="s">
        <v>84</v>
      </c>
      <c r="N456" t="s">
        <v>120</v>
      </c>
      <c r="O456" t="s">
        <v>91</v>
      </c>
      <c r="P456">
        <v>1.080239660736901E-2</v>
      </c>
      <c r="Q456" t="s">
        <v>84</v>
      </c>
      <c r="S456" t="s">
        <v>135</v>
      </c>
      <c r="T456" t="s">
        <v>91</v>
      </c>
      <c r="U456">
        <v>7.0282174910019724E-3</v>
      </c>
      <c r="V456" t="s">
        <v>84</v>
      </c>
    </row>
    <row r="457" spans="9:22" x14ac:dyDescent="0.45">
      <c r="I457" t="s">
        <v>104</v>
      </c>
      <c r="J457" t="s">
        <v>92</v>
      </c>
      <c r="K457">
        <v>5.3891259546445539E-2</v>
      </c>
      <c r="L457" t="s">
        <v>84</v>
      </c>
      <c r="N457" t="s">
        <v>120</v>
      </c>
      <c r="O457" t="s">
        <v>92</v>
      </c>
      <c r="P457">
        <v>2.0097654608048243E-2</v>
      </c>
      <c r="Q457" t="s">
        <v>84</v>
      </c>
      <c r="S457" t="s">
        <v>135</v>
      </c>
      <c r="T457" t="s">
        <v>92</v>
      </c>
      <c r="U457">
        <v>1.2163233565380634E-2</v>
      </c>
      <c r="V457" t="s">
        <v>84</v>
      </c>
    </row>
    <row r="458" spans="9:22" x14ac:dyDescent="0.45">
      <c r="I458" t="s">
        <v>104</v>
      </c>
      <c r="J458" t="s">
        <v>183</v>
      </c>
      <c r="K458">
        <v>6.9335207898558685E-3</v>
      </c>
      <c r="L458" t="s">
        <v>84</v>
      </c>
      <c r="N458" t="s">
        <v>120</v>
      </c>
      <c r="O458" t="s">
        <v>183</v>
      </c>
      <c r="P458">
        <v>3.1735553293621944E-3</v>
      </c>
      <c r="Q458" t="s">
        <v>84</v>
      </c>
      <c r="S458" t="s">
        <v>135</v>
      </c>
      <c r="T458" t="s">
        <v>183</v>
      </c>
      <c r="U458">
        <v>2.6629295673722521E-3</v>
      </c>
      <c r="V458" t="s">
        <v>84</v>
      </c>
    </row>
    <row r="459" spans="9:22" x14ac:dyDescent="0.45">
      <c r="I459" t="s">
        <v>104</v>
      </c>
      <c r="J459" t="s">
        <v>184</v>
      </c>
      <c r="K459">
        <v>5.1256197124648507E-3</v>
      </c>
      <c r="L459" t="s">
        <v>84</v>
      </c>
      <c r="N459" t="s">
        <v>120</v>
      </c>
      <c r="O459" t="s">
        <v>184</v>
      </c>
      <c r="P459">
        <v>3.0876184378047394E-3</v>
      </c>
      <c r="Q459" t="s">
        <v>84</v>
      </c>
      <c r="S459" t="s">
        <v>135</v>
      </c>
      <c r="T459" t="s">
        <v>184</v>
      </c>
      <c r="U459">
        <v>2.7264976840545817E-3</v>
      </c>
      <c r="V459" t="s">
        <v>84</v>
      </c>
    </row>
    <row r="460" spans="9:22" x14ac:dyDescent="0.45">
      <c r="I460" t="s">
        <v>104</v>
      </c>
      <c r="J460" t="s">
        <v>185</v>
      </c>
      <c r="K460">
        <v>4.8718751896851696E-7</v>
      </c>
      <c r="L460" t="s">
        <v>84</v>
      </c>
      <c r="N460" t="s">
        <v>120</v>
      </c>
      <c r="O460" t="s">
        <v>185</v>
      </c>
      <c r="P460">
        <v>1.5385679085646429E-2</v>
      </c>
      <c r="Q460" t="s">
        <v>84</v>
      </c>
      <c r="S460" t="s">
        <v>135</v>
      </c>
      <c r="T460" t="s">
        <v>185</v>
      </c>
      <c r="U460">
        <v>1.2357229691437415E-2</v>
      </c>
      <c r="V460" t="s">
        <v>84</v>
      </c>
    </row>
    <row r="461" spans="9:22" x14ac:dyDescent="0.45">
      <c r="I461" t="s">
        <v>104</v>
      </c>
      <c r="J461" t="s">
        <v>93</v>
      </c>
      <c r="K461">
        <v>0</v>
      </c>
      <c r="L461" t="s">
        <v>84</v>
      </c>
      <c r="N461" t="s">
        <v>120</v>
      </c>
      <c r="O461" t="s">
        <v>93</v>
      </c>
      <c r="P461">
        <v>4.5644102638238829E-2</v>
      </c>
      <c r="Q461" t="s">
        <v>84</v>
      </c>
      <c r="S461" t="s">
        <v>135</v>
      </c>
      <c r="T461" t="s">
        <v>93</v>
      </c>
      <c r="U461">
        <v>5.2612719840430811E-2</v>
      </c>
      <c r="V461" t="s">
        <v>84</v>
      </c>
    </row>
    <row r="462" spans="9:22" x14ac:dyDescent="0.45">
      <c r="I462" t="s">
        <v>104</v>
      </c>
      <c r="J462" t="s">
        <v>94</v>
      </c>
      <c r="K462">
        <v>2.3015145900720121E-2</v>
      </c>
      <c r="L462" t="s">
        <v>84</v>
      </c>
      <c r="N462" t="s">
        <v>120</v>
      </c>
      <c r="O462" t="s">
        <v>94</v>
      </c>
      <c r="P462">
        <v>2.4639217328588196E-2</v>
      </c>
      <c r="Q462" t="s">
        <v>84</v>
      </c>
      <c r="S462" t="s">
        <v>135</v>
      </c>
      <c r="T462" t="s">
        <v>94</v>
      </c>
      <c r="U462">
        <v>2.7433757868646626E-2</v>
      </c>
      <c r="V462" t="s">
        <v>84</v>
      </c>
    </row>
    <row r="463" spans="9:22" x14ac:dyDescent="0.45">
      <c r="I463" t="s">
        <v>104</v>
      </c>
      <c r="J463" t="s">
        <v>95</v>
      </c>
      <c r="K463">
        <v>5.1385350151998951E-2</v>
      </c>
      <c r="L463" t="s">
        <v>84</v>
      </c>
      <c r="N463" t="s">
        <v>120</v>
      </c>
      <c r="O463" t="s">
        <v>95</v>
      </c>
      <c r="P463">
        <v>4.3215375066777841E-2</v>
      </c>
      <c r="Q463" t="s">
        <v>84</v>
      </c>
      <c r="S463" t="s">
        <v>135</v>
      </c>
      <c r="T463" t="s">
        <v>95</v>
      </c>
      <c r="U463">
        <v>4.116481284456007E-2</v>
      </c>
      <c r="V463" t="s">
        <v>84</v>
      </c>
    </row>
    <row r="464" spans="9:22" x14ac:dyDescent="0.45">
      <c r="I464" t="s">
        <v>104</v>
      </c>
      <c r="J464" t="s">
        <v>186</v>
      </c>
      <c r="K464">
        <v>4.1375581829691671E-3</v>
      </c>
      <c r="L464" t="s">
        <v>84</v>
      </c>
      <c r="N464" t="s">
        <v>120</v>
      </c>
      <c r="O464" t="s">
        <v>186</v>
      </c>
      <c r="P464">
        <v>6.8806710772194935E-3</v>
      </c>
      <c r="Q464" t="s">
        <v>84</v>
      </c>
      <c r="S464" t="s">
        <v>135</v>
      </c>
      <c r="T464" t="s">
        <v>186</v>
      </c>
      <c r="U464">
        <v>7.0063201973499635E-3</v>
      </c>
      <c r="V464" t="s">
        <v>84</v>
      </c>
    </row>
    <row r="465" spans="9:22" x14ac:dyDescent="0.45">
      <c r="I465" t="s">
        <v>104</v>
      </c>
      <c r="J465" t="s">
        <v>187</v>
      </c>
      <c r="K465">
        <v>1.3617096505845339E-4</v>
      </c>
      <c r="L465" t="s">
        <v>84</v>
      </c>
      <c r="N465" t="s">
        <v>120</v>
      </c>
      <c r="O465" t="s">
        <v>187</v>
      </c>
      <c r="P465">
        <v>6.5488401182963738E-3</v>
      </c>
      <c r="Q465" t="s">
        <v>84</v>
      </c>
      <c r="S465" t="s">
        <v>135</v>
      </c>
      <c r="T465" t="s">
        <v>187</v>
      </c>
      <c r="U465">
        <v>7.1617247156027519E-3</v>
      </c>
      <c r="V465" t="s">
        <v>84</v>
      </c>
    </row>
    <row r="466" spans="9:22" x14ac:dyDescent="0.45">
      <c r="I466" t="s">
        <v>104</v>
      </c>
      <c r="J466" t="s">
        <v>188</v>
      </c>
      <c r="K466">
        <v>0</v>
      </c>
      <c r="L466" t="s">
        <v>84</v>
      </c>
      <c r="N466" t="s">
        <v>120</v>
      </c>
      <c r="O466" t="s">
        <v>188</v>
      </c>
      <c r="P466">
        <v>3.1138887409747518E-2</v>
      </c>
      <c r="Q466" t="s">
        <v>84</v>
      </c>
      <c r="S466" t="s">
        <v>135</v>
      </c>
      <c r="T466" t="s">
        <v>188</v>
      </c>
      <c r="U466">
        <v>3.643573429957269E-2</v>
      </c>
      <c r="V466" t="s">
        <v>84</v>
      </c>
    </row>
    <row r="467" spans="9:22" x14ac:dyDescent="0.45">
      <c r="I467" t="s">
        <v>104</v>
      </c>
      <c r="J467" t="s">
        <v>189</v>
      </c>
      <c r="K467">
        <v>0</v>
      </c>
      <c r="L467" t="s">
        <v>84</v>
      </c>
      <c r="N467" t="s">
        <v>120</v>
      </c>
      <c r="O467" t="s">
        <v>189</v>
      </c>
      <c r="P467">
        <v>2.3754323343922305E-2</v>
      </c>
      <c r="Q467" t="s">
        <v>84</v>
      </c>
      <c r="S467" t="s">
        <v>135</v>
      </c>
      <c r="T467" t="s">
        <v>189</v>
      </c>
      <c r="U467">
        <v>3.3598059796341395E-2</v>
      </c>
      <c r="V467" t="s">
        <v>84</v>
      </c>
    </row>
    <row r="468" spans="9:22" x14ac:dyDescent="0.45">
      <c r="I468" t="s">
        <v>104</v>
      </c>
      <c r="J468" t="s">
        <v>190</v>
      </c>
      <c r="K468">
        <v>4.596299960005751E-3</v>
      </c>
      <c r="L468" t="s">
        <v>84</v>
      </c>
      <c r="N468" t="s">
        <v>120</v>
      </c>
      <c r="O468" t="s">
        <v>190</v>
      </c>
      <c r="P468">
        <v>1.384957236949369E-2</v>
      </c>
      <c r="Q468" t="s">
        <v>84</v>
      </c>
      <c r="S468" t="s">
        <v>135</v>
      </c>
      <c r="T468" t="s">
        <v>190</v>
      </c>
      <c r="U468">
        <v>1.7513553380436815E-2</v>
      </c>
      <c r="V468" t="s">
        <v>84</v>
      </c>
    </row>
    <row r="469" spans="9:22" x14ac:dyDescent="0.45">
      <c r="I469" t="s">
        <v>104</v>
      </c>
      <c r="J469" t="s">
        <v>191</v>
      </c>
      <c r="K469">
        <v>1.6352829205644834E-2</v>
      </c>
      <c r="L469" t="s">
        <v>84</v>
      </c>
      <c r="N469" t="s">
        <v>120</v>
      </c>
      <c r="O469" t="s">
        <v>191</v>
      </c>
      <c r="P469">
        <v>2.2525278538618399E-2</v>
      </c>
      <c r="Q469" t="s">
        <v>84</v>
      </c>
      <c r="S469" t="s">
        <v>135</v>
      </c>
      <c r="T469" t="s">
        <v>191</v>
      </c>
      <c r="U469">
        <v>2.6660419317233865E-2</v>
      </c>
      <c r="V469" t="s">
        <v>84</v>
      </c>
    </row>
    <row r="470" spans="9:22" x14ac:dyDescent="0.45">
      <c r="I470" t="s">
        <v>104</v>
      </c>
      <c r="J470" t="s">
        <v>192</v>
      </c>
      <c r="K470">
        <v>0</v>
      </c>
      <c r="L470" t="s">
        <v>84</v>
      </c>
      <c r="N470" t="s">
        <v>120</v>
      </c>
      <c r="O470" t="s">
        <v>192</v>
      </c>
      <c r="P470">
        <v>3.6612009584248992E-3</v>
      </c>
      <c r="Q470" t="s">
        <v>84</v>
      </c>
      <c r="S470" t="s">
        <v>135</v>
      </c>
      <c r="T470" t="s">
        <v>192</v>
      </c>
      <c r="U470">
        <v>4.3489495011924334E-3</v>
      </c>
      <c r="V470" t="s">
        <v>84</v>
      </c>
    </row>
    <row r="471" spans="9:22" x14ac:dyDescent="0.45">
      <c r="I471" t="s">
        <v>104</v>
      </c>
      <c r="J471" t="s">
        <v>193</v>
      </c>
      <c r="K471">
        <v>0</v>
      </c>
      <c r="L471" t="s">
        <v>84</v>
      </c>
      <c r="N471" t="s">
        <v>120</v>
      </c>
      <c r="O471" t="s">
        <v>193</v>
      </c>
      <c r="P471">
        <v>3.5486323989117894E-3</v>
      </c>
      <c r="Q471" t="s">
        <v>84</v>
      </c>
      <c r="S471" t="s">
        <v>135</v>
      </c>
      <c r="T471" t="s">
        <v>193</v>
      </c>
      <c r="U471">
        <v>4.3571221085741954E-3</v>
      </c>
      <c r="V471" t="s">
        <v>84</v>
      </c>
    </row>
    <row r="472" spans="9:22" x14ac:dyDescent="0.45">
      <c r="I472" t="s">
        <v>104</v>
      </c>
      <c r="J472" t="s">
        <v>194</v>
      </c>
      <c r="K472">
        <v>0</v>
      </c>
      <c r="L472" t="s">
        <v>84</v>
      </c>
      <c r="N472" t="s">
        <v>120</v>
      </c>
      <c r="O472" t="s">
        <v>194</v>
      </c>
      <c r="P472">
        <v>1.6407534767917731E-2</v>
      </c>
      <c r="Q472" t="s">
        <v>84</v>
      </c>
      <c r="S472" t="s">
        <v>135</v>
      </c>
      <c r="T472" t="s">
        <v>194</v>
      </c>
      <c r="U472">
        <v>2.1890592481761003E-2</v>
      </c>
      <c r="V472" t="s">
        <v>84</v>
      </c>
    </row>
    <row r="473" spans="9:22" x14ac:dyDescent="0.45">
      <c r="I473" t="s">
        <v>104</v>
      </c>
      <c r="J473" t="s">
        <v>195</v>
      </c>
      <c r="K473">
        <v>0</v>
      </c>
      <c r="L473" t="s">
        <v>84</v>
      </c>
      <c r="N473" t="s">
        <v>120</v>
      </c>
      <c r="O473" t="s">
        <v>195</v>
      </c>
      <c r="P473">
        <v>7.6810961611780776E-2</v>
      </c>
      <c r="Q473" t="s">
        <v>84</v>
      </c>
      <c r="S473" t="s">
        <v>135</v>
      </c>
      <c r="T473" t="s">
        <v>195</v>
      </c>
      <c r="U473">
        <v>9.2702847070353422E-2</v>
      </c>
      <c r="V473" t="s">
        <v>84</v>
      </c>
    </row>
    <row r="474" spans="9:22" x14ac:dyDescent="0.45">
      <c r="I474" t="s">
        <v>104</v>
      </c>
      <c r="J474" t="s">
        <v>196</v>
      </c>
      <c r="K474">
        <v>4.1659362870992034E-2</v>
      </c>
      <c r="L474" t="s">
        <v>84</v>
      </c>
      <c r="N474" t="s">
        <v>120</v>
      </c>
      <c r="O474" t="s">
        <v>196</v>
      </c>
      <c r="P474">
        <v>4.0725652962111773E-2</v>
      </c>
      <c r="Q474" t="s">
        <v>84</v>
      </c>
      <c r="S474" t="s">
        <v>135</v>
      </c>
      <c r="T474" t="s">
        <v>196</v>
      </c>
      <c r="U474">
        <v>4.876424877435135E-2</v>
      </c>
      <c r="V474" t="s">
        <v>84</v>
      </c>
    </row>
    <row r="475" spans="9:22" x14ac:dyDescent="0.45">
      <c r="I475" t="s">
        <v>104</v>
      </c>
      <c r="J475" t="s">
        <v>197</v>
      </c>
      <c r="K475">
        <v>9.4856725115775947E-2</v>
      </c>
      <c r="L475" t="s">
        <v>84</v>
      </c>
      <c r="N475" t="s">
        <v>120</v>
      </c>
      <c r="O475" t="s">
        <v>197</v>
      </c>
      <c r="P475">
        <v>7.0744441347115786E-2</v>
      </c>
      <c r="Q475" t="s">
        <v>84</v>
      </c>
      <c r="S475" t="s">
        <v>135</v>
      </c>
      <c r="T475" t="s">
        <v>197</v>
      </c>
      <c r="U475">
        <v>7.2943586234170243E-2</v>
      </c>
      <c r="V475" t="s">
        <v>84</v>
      </c>
    </row>
    <row r="476" spans="9:22" x14ac:dyDescent="0.45">
      <c r="I476" t="s">
        <v>104</v>
      </c>
      <c r="J476" t="s">
        <v>198</v>
      </c>
      <c r="K476">
        <v>9.2201555280243524E-3</v>
      </c>
      <c r="L476" t="s">
        <v>84</v>
      </c>
      <c r="N476" t="s">
        <v>120</v>
      </c>
      <c r="O476" t="s">
        <v>198</v>
      </c>
      <c r="P476">
        <v>1.1365680251801187E-2</v>
      </c>
      <c r="Q476" t="s">
        <v>84</v>
      </c>
      <c r="S476" t="s">
        <v>135</v>
      </c>
      <c r="T476" t="s">
        <v>198</v>
      </c>
      <c r="U476">
        <v>1.244929128496684E-2</v>
      </c>
      <c r="V476" t="s">
        <v>84</v>
      </c>
    </row>
    <row r="477" spans="9:22" x14ac:dyDescent="0.45">
      <c r="I477" t="s">
        <v>104</v>
      </c>
      <c r="J477" t="s">
        <v>199</v>
      </c>
      <c r="K477">
        <v>2.3344371037711956E-3</v>
      </c>
      <c r="L477" t="s">
        <v>84</v>
      </c>
      <c r="N477" t="s">
        <v>120</v>
      </c>
      <c r="O477" t="s">
        <v>199</v>
      </c>
      <c r="P477">
        <v>1.1158080869860292E-2</v>
      </c>
      <c r="Q477" t="s">
        <v>84</v>
      </c>
      <c r="S477" t="s">
        <v>135</v>
      </c>
      <c r="T477" t="s">
        <v>199</v>
      </c>
      <c r="U477">
        <v>1.2662625989308106E-2</v>
      </c>
      <c r="V477" t="s">
        <v>84</v>
      </c>
    </row>
    <row r="478" spans="9:22" x14ac:dyDescent="0.45">
      <c r="I478" t="s">
        <v>104</v>
      </c>
      <c r="J478" t="s">
        <v>200</v>
      </c>
      <c r="K478">
        <v>0</v>
      </c>
      <c r="L478" t="s">
        <v>84</v>
      </c>
      <c r="N478" t="s">
        <v>120</v>
      </c>
      <c r="O478" t="s">
        <v>200</v>
      </c>
      <c r="P478">
        <v>5.525200409659313E-2</v>
      </c>
      <c r="Q478" t="s">
        <v>84</v>
      </c>
      <c r="S478" t="s">
        <v>135</v>
      </c>
      <c r="T478" t="s">
        <v>200</v>
      </c>
      <c r="U478">
        <v>6.5537422001502699E-2</v>
      </c>
      <c r="V478" t="s">
        <v>84</v>
      </c>
    </row>
    <row r="479" spans="9:22" x14ac:dyDescent="0.45">
      <c r="I479" t="s">
        <v>104</v>
      </c>
      <c r="J479" t="s">
        <v>201</v>
      </c>
      <c r="K479">
        <v>3.1704906536423145E-3</v>
      </c>
      <c r="L479" t="s">
        <v>84</v>
      </c>
      <c r="N479" t="s">
        <v>120</v>
      </c>
      <c r="O479" t="s">
        <v>201</v>
      </c>
      <c r="P479">
        <v>3.3166430356322954E-2</v>
      </c>
      <c r="Q479" t="s">
        <v>84</v>
      </c>
      <c r="S479" t="s">
        <v>135</v>
      </c>
      <c r="T479" t="s">
        <v>201</v>
      </c>
      <c r="U479">
        <v>2.9723548158579072E-2</v>
      </c>
      <c r="V479" t="s">
        <v>84</v>
      </c>
    </row>
    <row r="480" spans="9:22" x14ac:dyDescent="0.45">
      <c r="I480" t="s">
        <v>104</v>
      </c>
      <c r="J480" t="s">
        <v>202</v>
      </c>
      <c r="K480">
        <v>2.8674416117201628E-2</v>
      </c>
      <c r="L480" t="s">
        <v>84</v>
      </c>
      <c r="N480" t="s">
        <v>120</v>
      </c>
      <c r="O480" t="s">
        <v>202</v>
      </c>
      <c r="P480">
        <v>2.1233074418298307E-2</v>
      </c>
      <c r="Q480" t="s">
        <v>84</v>
      </c>
      <c r="S480" t="s">
        <v>135</v>
      </c>
      <c r="T480" t="s">
        <v>202</v>
      </c>
      <c r="U480">
        <v>1.6439529333190567E-2</v>
      </c>
      <c r="V480" t="s">
        <v>84</v>
      </c>
    </row>
    <row r="481" spans="9:22" x14ac:dyDescent="0.45">
      <c r="I481" t="s">
        <v>104</v>
      </c>
      <c r="J481" t="s">
        <v>203</v>
      </c>
      <c r="K481">
        <v>5.9899728327068504E-2</v>
      </c>
      <c r="L481" t="s">
        <v>84</v>
      </c>
      <c r="N481" t="s">
        <v>120</v>
      </c>
      <c r="O481" t="s">
        <v>203</v>
      </c>
      <c r="P481">
        <v>3.4569113911047195E-2</v>
      </c>
      <c r="Q481" t="s">
        <v>84</v>
      </c>
      <c r="S481" t="s">
        <v>135</v>
      </c>
      <c r="T481" t="s">
        <v>203</v>
      </c>
      <c r="U481">
        <v>2.5732996552744754E-2</v>
      </c>
      <c r="V481" t="s">
        <v>84</v>
      </c>
    </row>
    <row r="482" spans="9:22" x14ac:dyDescent="0.45">
      <c r="I482" t="s">
        <v>104</v>
      </c>
      <c r="J482" t="s">
        <v>204</v>
      </c>
      <c r="K482">
        <v>7.3735128957192076E-3</v>
      </c>
      <c r="L482" t="s">
        <v>84</v>
      </c>
      <c r="N482" t="s">
        <v>120</v>
      </c>
      <c r="O482" t="s">
        <v>204</v>
      </c>
      <c r="P482">
        <v>5.1432486802389134E-3</v>
      </c>
      <c r="Q482" t="s">
        <v>84</v>
      </c>
      <c r="S482" t="s">
        <v>135</v>
      </c>
      <c r="T482" t="s">
        <v>204</v>
      </c>
      <c r="U482">
        <v>4.3303576243324199E-3</v>
      </c>
      <c r="V482" t="s">
        <v>84</v>
      </c>
    </row>
    <row r="483" spans="9:22" x14ac:dyDescent="0.45">
      <c r="I483" t="s">
        <v>104</v>
      </c>
      <c r="J483" t="s">
        <v>205</v>
      </c>
      <c r="K483">
        <v>5.1560614933850108E-3</v>
      </c>
      <c r="L483" t="s">
        <v>84</v>
      </c>
      <c r="N483" t="s">
        <v>120</v>
      </c>
      <c r="O483" t="s">
        <v>205</v>
      </c>
      <c r="P483">
        <v>4.7842912788210812E-3</v>
      </c>
      <c r="Q483" t="s">
        <v>84</v>
      </c>
      <c r="S483" t="s">
        <v>135</v>
      </c>
      <c r="T483" t="s">
        <v>205</v>
      </c>
      <c r="U483">
        <v>4.3283922598744903E-3</v>
      </c>
      <c r="V483" t="s">
        <v>84</v>
      </c>
    </row>
    <row r="484" spans="9:22" x14ac:dyDescent="0.45">
      <c r="I484" t="s">
        <v>104</v>
      </c>
      <c r="J484" t="s">
        <v>206</v>
      </c>
      <c r="K484">
        <v>1.7116198804172192E-4</v>
      </c>
      <c r="L484" t="s">
        <v>84</v>
      </c>
      <c r="N484" t="s">
        <v>120</v>
      </c>
      <c r="O484" t="s">
        <v>206</v>
      </c>
      <c r="P484">
        <v>2.0937023588950082E-2</v>
      </c>
      <c r="Q484" t="s">
        <v>84</v>
      </c>
      <c r="S484" t="s">
        <v>135</v>
      </c>
      <c r="T484" t="s">
        <v>206</v>
      </c>
      <c r="U484">
        <v>2.1343590075391487E-2</v>
      </c>
      <c r="V484" t="s">
        <v>84</v>
      </c>
    </row>
    <row r="485" spans="9:22" x14ac:dyDescent="0.45">
      <c r="I485" t="s">
        <v>104</v>
      </c>
      <c r="J485" t="s">
        <v>207</v>
      </c>
      <c r="K485">
        <v>1.7273012569314846E-2</v>
      </c>
      <c r="L485" t="s">
        <v>84</v>
      </c>
      <c r="N485" t="s">
        <v>120</v>
      </c>
      <c r="O485" t="s">
        <v>207</v>
      </c>
      <c r="P485">
        <v>3.5449875092470391E-2</v>
      </c>
      <c r="Q485" t="s">
        <v>84</v>
      </c>
      <c r="S485" t="s">
        <v>135</v>
      </c>
      <c r="T485" t="s">
        <v>207</v>
      </c>
      <c r="U485">
        <v>3.8227705409135983E-2</v>
      </c>
      <c r="V485" t="s">
        <v>84</v>
      </c>
    </row>
    <row r="486" spans="9:22" x14ac:dyDescent="0.45">
      <c r="I486" t="s">
        <v>104</v>
      </c>
      <c r="J486" t="s">
        <v>208</v>
      </c>
      <c r="K486">
        <v>8.3006031720868984E-2</v>
      </c>
      <c r="L486" t="s">
        <v>84</v>
      </c>
      <c r="N486" t="s">
        <v>120</v>
      </c>
      <c r="O486" t="s">
        <v>208</v>
      </c>
      <c r="P486">
        <v>2.3051760366313134E-2</v>
      </c>
      <c r="Q486" t="s">
        <v>84</v>
      </c>
      <c r="S486" t="s">
        <v>135</v>
      </c>
      <c r="T486" t="s">
        <v>208</v>
      </c>
      <c r="U486">
        <v>1.91189389653184E-2</v>
      </c>
      <c r="V486" t="s">
        <v>84</v>
      </c>
    </row>
    <row r="487" spans="9:22" x14ac:dyDescent="0.45">
      <c r="I487" t="s">
        <v>104</v>
      </c>
      <c r="J487" t="s">
        <v>209</v>
      </c>
      <c r="K487">
        <v>0.1416233333702776</v>
      </c>
      <c r="L487" t="s">
        <v>84</v>
      </c>
      <c r="N487" t="s">
        <v>120</v>
      </c>
      <c r="O487" t="s">
        <v>209</v>
      </c>
      <c r="P487">
        <v>4.4497332455093366E-2</v>
      </c>
      <c r="Q487" t="s">
        <v>84</v>
      </c>
      <c r="S487" t="s">
        <v>135</v>
      </c>
      <c r="T487" t="s">
        <v>209</v>
      </c>
      <c r="U487">
        <v>3.0204231667981338E-2</v>
      </c>
      <c r="V487" t="s">
        <v>84</v>
      </c>
    </row>
    <row r="488" spans="9:22" x14ac:dyDescent="0.45">
      <c r="I488" t="s">
        <v>104</v>
      </c>
      <c r="J488" t="s">
        <v>210</v>
      </c>
      <c r="K488">
        <v>1.79356328901875E-2</v>
      </c>
      <c r="L488" t="s">
        <v>84</v>
      </c>
      <c r="N488" t="s">
        <v>120</v>
      </c>
      <c r="O488" t="s">
        <v>210</v>
      </c>
      <c r="P488">
        <v>6.9915441203288065E-3</v>
      </c>
      <c r="Q488" t="s">
        <v>84</v>
      </c>
      <c r="S488" t="s">
        <v>135</v>
      </c>
      <c r="T488" t="s">
        <v>210</v>
      </c>
      <c r="U488">
        <v>5.8039289603464021E-3</v>
      </c>
      <c r="V488" t="s">
        <v>84</v>
      </c>
    </row>
    <row r="489" spans="9:22" x14ac:dyDescent="0.45">
      <c r="I489" t="s">
        <v>104</v>
      </c>
      <c r="J489" t="s">
        <v>211</v>
      </c>
      <c r="K489">
        <v>1.429257330959316E-2</v>
      </c>
      <c r="L489" t="s">
        <v>84</v>
      </c>
      <c r="N489" t="s">
        <v>120</v>
      </c>
      <c r="O489" t="s">
        <v>211</v>
      </c>
      <c r="P489">
        <v>6.4637679568531579E-3</v>
      </c>
      <c r="Q489" t="s">
        <v>84</v>
      </c>
      <c r="S489" t="s">
        <v>135</v>
      </c>
      <c r="T489" t="s">
        <v>211</v>
      </c>
      <c r="U489">
        <v>5.9214290658938769E-3</v>
      </c>
      <c r="V489" t="s">
        <v>84</v>
      </c>
    </row>
    <row r="490" spans="9:22" x14ac:dyDescent="0.45">
      <c r="I490" t="s">
        <v>104</v>
      </c>
      <c r="J490" t="s">
        <v>212</v>
      </c>
      <c r="K490">
        <v>1.0193856610830677E-2</v>
      </c>
      <c r="L490" t="s">
        <v>84</v>
      </c>
      <c r="N490" t="s">
        <v>120</v>
      </c>
      <c r="O490" t="s">
        <v>212</v>
      </c>
      <c r="P490">
        <v>2.7502644855531829E-2</v>
      </c>
      <c r="Q490" t="s">
        <v>84</v>
      </c>
      <c r="S490" t="s">
        <v>135</v>
      </c>
      <c r="T490" t="s">
        <v>212</v>
      </c>
      <c r="U490">
        <v>2.9551568805111641E-2</v>
      </c>
      <c r="V490" t="s">
        <v>84</v>
      </c>
    </row>
    <row r="491" spans="9:22" x14ac:dyDescent="0.45">
      <c r="I491" t="s">
        <v>105</v>
      </c>
      <c r="J491" t="s">
        <v>83</v>
      </c>
      <c r="K491">
        <v>7.4313291490238865E-3</v>
      </c>
      <c r="L491" t="s">
        <v>84</v>
      </c>
      <c r="N491" t="s">
        <v>121</v>
      </c>
      <c r="O491" t="s">
        <v>83</v>
      </c>
      <c r="P491">
        <v>2.6217419216599029E-2</v>
      </c>
      <c r="Q491" t="s">
        <v>84</v>
      </c>
      <c r="S491" t="s">
        <v>136</v>
      </c>
      <c r="T491" t="s">
        <v>83</v>
      </c>
      <c r="U491">
        <v>2.8655790058485137E-2</v>
      </c>
      <c r="V491" t="s">
        <v>84</v>
      </c>
    </row>
    <row r="492" spans="9:22" x14ac:dyDescent="0.45">
      <c r="I492" t="s">
        <v>105</v>
      </c>
      <c r="J492" t="s">
        <v>85</v>
      </c>
      <c r="K492">
        <v>4.3636616900282151E-2</v>
      </c>
      <c r="L492" t="s">
        <v>84</v>
      </c>
      <c r="N492" t="s">
        <v>121</v>
      </c>
      <c r="O492" t="s">
        <v>85</v>
      </c>
      <c r="P492">
        <v>1.3386232471581534E-2</v>
      </c>
      <c r="Q492" t="s">
        <v>84</v>
      </c>
      <c r="S492" t="s">
        <v>136</v>
      </c>
      <c r="T492" t="s">
        <v>85</v>
      </c>
      <c r="U492">
        <v>1.6600524445164088E-2</v>
      </c>
      <c r="V492" t="s">
        <v>84</v>
      </c>
    </row>
    <row r="493" spans="9:22" x14ac:dyDescent="0.45">
      <c r="I493" t="s">
        <v>105</v>
      </c>
      <c r="J493" t="s">
        <v>86</v>
      </c>
      <c r="K493">
        <v>7.851595897168076E-2</v>
      </c>
      <c r="L493" t="s">
        <v>84</v>
      </c>
      <c r="N493" t="s">
        <v>121</v>
      </c>
      <c r="O493" t="s">
        <v>86</v>
      </c>
      <c r="P493">
        <v>2.9252563508920262E-2</v>
      </c>
      <c r="Q493" t="s">
        <v>84</v>
      </c>
      <c r="S493" t="s">
        <v>136</v>
      </c>
      <c r="T493" t="s">
        <v>86</v>
      </c>
      <c r="U493">
        <v>2.6115957848483456E-2</v>
      </c>
      <c r="V493" t="s">
        <v>84</v>
      </c>
    </row>
    <row r="494" spans="9:22" x14ac:dyDescent="0.45">
      <c r="I494" t="s">
        <v>105</v>
      </c>
      <c r="J494" t="s">
        <v>177</v>
      </c>
      <c r="K494">
        <v>1.0445649491522655E-2</v>
      </c>
      <c r="L494" t="s">
        <v>84</v>
      </c>
      <c r="N494" t="s">
        <v>121</v>
      </c>
      <c r="O494" t="s">
        <v>177</v>
      </c>
      <c r="P494">
        <v>5.7664882034913264E-3</v>
      </c>
      <c r="Q494" t="s">
        <v>84</v>
      </c>
      <c r="S494" t="s">
        <v>136</v>
      </c>
      <c r="T494" t="s">
        <v>177</v>
      </c>
      <c r="U494">
        <v>4.7549478107384389E-3</v>
      </c>
      <c r="V494" t="s">
        <v>84</v>
      </c>
    </row>
    <row r="495" spans="9:22" x14ac:dyDescent="0.45">
      <c r="I495" t="s">
        <v>105</v>
      </c>
      <c r="J495" t="s">
        <v>178</v>
      </c>
      <c r="K495">
        <v>9.2555845114997808E-3</v>
      </c>
      <c r="L495" t="s">
        <v>84</v>
      </c>
      <c r="N495" t="s">
        <v>121</v>
      </c>
      <c r="O495" t="s">
        <v>178</v>
      </c>
      <c r="P495">
        <v>5.4619792971663502E-3</v>
      </c>
      <c r="Q495" t="s">
        <v>84</v>
      </c>
      <c r="S495" t="s">
        <v>136</v>
      </c>
      <c r="T495" t="s">
        <v>178</v>
      </c>
      <c r="U495">
        <v>4.7430689726686891E-3</v>
      </c>
      <c r="V495" t="s">
        <v>84</v>
      </c>
    </row>
    <row r="496" spans="9:22" x14ac:dyDescent="0.45">
      <c r="I496" t="s">
        <v>105</v>
      </c>
      <c r="J496" t="s">
        <v>179</v>
      </c>
      <c r="K496">
        <v>6.6087472309461675E-3</v>
      </c>
      <c r="L496" t="s">
        <v>84</v>
      </c>
      <c r="N496" t="s">
        <v>121</v>
      </c>
      <c r="O496" t="s">
        <v>179</v>
      </c>
      <c r="P496">
        <v>2.3826105509913299E-2</v>
      </c>
      <c r="Q496" t="s">
        <v>84</v>
      </c>
      <c r="S496" t="s">
        <v>136</v>
      </c>
      <c r="T496" t="s">
        <v>179</v>
      </c>
      <c r="U496">
        <v>2.2273221385129976E-2</v>
      </c>
      <c r="V496" t="s">
        <v>84</v>
      </c>
    </row>
    <row r="497" spans="9:22" x14ac:dyDescent="0.45">
      <c r="I497" t="s">
        <v>105</v>
      </c>
      <c r="J497" t="s">
        <v>87</v>
      </c>
      <c r="K497">
        <v>3.1158003007841551E-3</v>
      </c>
      <c r="L497" t="s">
        <v>84</v>
      </c>
      <c r="N497" t="s">
        <v>121</v>
      </c>
      <c r="O497" t="s">
        <v>87</v>
      </c>
      <c r="P497">
        <v>1.2478194946551691E-2</v>
      </c>
      <c r="Q497" t="s">
        <v>84</v>
      </c>
      <c r="S497" t="s">
        <v>136</v>
      </c>
      <c r="T497" t="s">
        <v>87</v>
      </c>
      <c r="U497">
        <v>1.2217242057196976E-2</v>
      </c>
      <c r="V497" t="s">
        <v>84</v>
      </c>
    </row>
    <row r="498" spans="9:22" x14ac:dyDescent="0.45">
      <c r="I498" t="s">
        <v>105</v>
      </c>
      <c r="J498" t="s">
        <v>88</v>
      </c>
      <c r="K498">
        <v>3.1470479768856655E-2</v>
      </c>
      <c r="L498" t="s">
        <v>84</v>
      </c>
      <c r="N498" t="s">
        <v>121</v>
      </c>
      <c r="O498" t="s">
        <v>88</v>
      </c>
      <c r="P498">
        <v>6.0520542883449931E-3</v>
      </c>
      <c r="Q498" t="s">
        <v>84</v>
      </c>
      <c r="S498" t="s">
        <v>136</v>
      </c>
      <c r="T498" t="s">
        <v>88</v>
      </c>
      <c r="U498">
        <v>8.0011802412825635E-3</v>
      </c>
      <c r="V498" t="s">
        <v>84</v>
      </c>
    </row>
    <row r="499" spans="9:22" x14ac:dyDescent="0.45">
      <c r="I499" t="s">
        <v>105</v>
      </c>
      <c r="J499" t="s">
        <v>89</v>
      </c>
      <c r="K499">
        <v>6.3008186838969374E-2</v>
      </c>
      <c r="L499" t="s">
        <v>84</v>
      </c>
      <c r="N499" t="s">
        <v>121</v>
      </c>
      <c r="O499" t="s">
        <v>89</v>
      </c>
      <c r="P499">
        <v>1.4851256362527992E-2</v>
      </c>
      <c r="Q499" t="s">
        <v>84</v>
      </c>
      <c r="S499" t="s">
        <v>136</v>
      </c>
      <c r="T499" t="s">
        <v>89</v>
      </c>
      <c r="U499">
        <v>1.3321415237507428E-2</v>
      </c>
      <c r="V499" t="s">
        <v>84</v>
      </c>
    </row>
    <row r="500" spans="9:22" x14ac:dyDescent="0.45">
      <c r="I500" t="s">
        <v>105</v>
      </c>
      <c r="J500" t="s">
        <v>180</v>
      </c>
      <c r="K500">
        <v>8.5961785156902486E-3</v>
      </c>
      <c r="L500" t="s">
        <v>84</v>
      </c>
      <c r="N500" t="s">
        <v>121</v>
      </c>
      <c r="O500" t="s">
        <v>180</v>
      </c>
      <c r="P500">
        <v>3.2252713980023251E-3</v>
      </c>
      <c r="Q500" t="s">
        <v>84</v>
      </c>
      <c r="S500" t="s">
        <v>136</v>
      </c>
      <c r="T500" t="s">
        <v>180</v>
      </c>
      <c r="U500">
        <v>2.5647492508883373E-3</v>
      </c>
      <c r="V500" t="s">
        <v>84</v>
      </c>
    </row>
    <row r="501" spans="9:22" x14ac:dyDescent="0.45">
      <c r="I501" t="s">
        <v>105</v>
      </c>
      <c r="J501" t="s">
        <v>181</v>
      </c>
      <c r="K501">
        <v>7.0712911517493461E-3</v>
      </c>
      <c r="L501" t="s">
        <v>84</v>
      </c>
      <c r="N501" t="s">
        <v>121</v>
      </c>
      <c r="O501" t="s">
        <v>181</v>
      </c>
      <c r="P501">
        <v>3.0885075581466278E-3</v>
      </c>
      <c r="Q501" t="s">
        <v>84</v>
      </c>
      <c r="S501" t="s">
        <v>136</v>
      </c>
      <c r="T501" t="s">
        <v>181</v>
      </c>
      <c r="U501">
        <v>2.4995451917439611E-3</v>
      </c>
      <c r="V501" t="s">
        <v>84</v>
      </c>
    </row>
    <row r="502" spans="9:22" x14ac:dyDescent="0.45">
      <c r="I502" t="s">
        <v>105</v>
      </c>
      <c r="J502" t="s">
        <v>182</v>
      </c>
      <c r="K502">
        <v>4.2367631049650698E-3</v>
      </c>
      <c r="L502" t="s">
        <v>84</v>
      </c>
      <c r="N502" t="s">
        <v>121</v>
      </c>
      <c r="O502" t="s">
        <v>182</v>
      </c>
      <c r="P502">
        <v>1.3044724090842244E-2</v>
      </c>
      <c r="Q502" t="s">
        <v>84</v>
      </c>
      <c r="S502" t="s">
        <v>136</v>
      </c>
      <c r="T502" t="s">
        <v>182</v>
      </c>
      <c r="U502">
        <v>1.0037398093766081E-2</v>
      </c>
      <c r="V502" t="s">
        <v>84</v>
      </c>
    </row>
    <row r="503" spans="9:22" x14ac:dyDescent="0.45">
      <c r="I503" t="s">
        <v>105</v>
      </c>
      <c r="J503" t="s">
        <v>90</v>
      </c>
      <c r="K503">
        <v>8.3612627583293689E-7</v>
      </c>
      <c r="L503" t="s">
        <v>84</v>
      </c>
      <c r="N503" t="s">
        <v>121</v>
      </c>
      <c r="O503" t="s">
        <v>90</v>
      </c>
      <c r="P503">
        <v>1.3233747263713517E-2</v>
      </c>
      <c r="Q503" t="s">
        <v>84</v>
      </c>
      <c r="S503" t="s">
        <v>136</v>
      </c>
      <c r="T503" t="s">
        <v>90</v>
      </c>
      <c r="U503">
        <v>1.4655081471141151E-2</v>
      </c>
      <c r="V503" t="s">
        <v>84</v>
      </c>
    </row>
    <row r="504" spans="9:22" x14ac:dyDescent="0.45">
      <c r="I504" t="s">
        <v>105</v>
      </c>
      <c r="J504" t="s">
        <v>91</v>
      </c>
      <c r="K504">
        <v>2.3967148864570749E-2</v>
      </c>
      <c r="L504" t="s">
        <v>84</v>
      </c>
      <c r="N504" t="s">
        <v>121</v>
      </c>
      <c r="O504" t="s">
        <v>91</v>
      </c>
      <c r="P504">
        <v>7.0380197369844279E-3</v>
      </c>
      <c r="Q504" t="s">
        <v>84</v>
      </c>
      <c r="S504" t="s">
        <v>136</v>
      </c>
      <c r="T504" t="s">
        <v>91</v>
      </c>
      <c r="U504">
        <v>8.2477659042895762E-3</v>
      </c>
      <c r="V504" t="s">
        <v>84</v>
      </c>
    </row>
    <row r="505" spans="9:22" x14ac:dyDescent="0.45">
      <c r="I505" t="s">
        <v>105</v>
      </c>
      <c r="J505" t="s">
        <v>92</v>
      </c>
      <c r="K505">
        <v>5.1354278716071337E-2</v>
      </c>
      <c r="L505" t="s">
        <v>84</v>
      </c>
      <c r="N505" t="s">
        <v>121</v>
      </c>
      <c r="O505" t="s">
        <v>92</v>
      </c>
      <c r="P505">
        <v>1.4750289007634736E-2</v>
      </c>
      <c r="Q505" t="s">
        <v>84</v>
      </c>
      <c r="S505" t="s">
        <v>136</v>
      </c>
      <c r="T505" t="s">
        <v>92</v>
      </c>
      <c r="U505">
        <v>1.3849733091287442E-2</v>
      </c>
      <c r="V505" t="s">
        <v>84</v>
      </c>
    </row>
    <row r="506" spans="9:22" x14ac:dyDescent="0.45">
      <c r="I506" t="s">
        <v>105</v>
      </c>
      <c r="J506" t="s">
        <v>183</v>
      </c>
      <c r="K506">
        <v>6.9641228690033976E-3</v>
      </c>
      <c r="L506" t="s">
        <v>84</v>
      </c>
      <c r="N506" t="s">
        <v>121</v>
      </c>
      <c r="O506" t="s">
        <v>183</v>
      </c>
      <c r="P506">
        <v>3.2866092664959098E-3</v>
      </c>
      <c r="Q506" t="s">
        <v>84</v>
      </c>
      <c r="S506" t="s">
        <v>136</v>
      </c>
      <c r="T506" t="s">
        <v>183</v>
      </c>
      <c r="U506">
        <v>2.8427125022976569E-3</v>
      </c>
      <c r="V506" t="s">
        <v>84</v>
      </c>
    </row>
    <row r="507" spans="9:22" x14ac:dyDescent="0.45">
      <c r="I507" t="s">
        <v>105</v>
      </c>
      <c r="J507" t="s">
        <v>184</v>
      </c>
      <c r="K507">
        <v>5.0193769566182957E-3</v>
      </c>
      <c r="L507" t="s">
        <v>84</v>
      </c>
      <c r="N507" t="s">
        <v>121</v>
      </c>
      <c r="O507" t="s">
        <v>184</v>
      </c>
      <c r="P507">
        <v>3.3997942397586247E-3</v>
      </c>
      <c r="Q507" t="s">
        <v>84</v>
      </c>
      <c r="S507" t="s">
        <v>136</v>
      </c>
      <c r="T507" t="s">
        <v>184</v>
      </c>
      <c r="U507">
        <v>2.8952807491155327E-3</v>
      </c>
      <c r="V507" t="s">
        <v>84</v>
      </c>
    </row>
    <row r="508" spans="9:22" x14ac:dyDescent="0.45">
      <c r="I508" t="s">
        <v>105</v>
      </c>
      <c r="J508" t="s">
        <v>185</v>
      </c>
      <c r="K508">
        <v>0</v>
      </c>
      <c r="L508" t="s">
        <v>84</v>
      </c>
      <c r="N508" t="s">
        <v>121</v>
      </c>
      <c r="O508" t="s">
        <v>185</v>
      </c>
      <c r="P508">
        <v>1.4978845609519132E-2</v>
      </c>
      <c r="Q508" t="s">
        <v>84</v>
      </c>
      <c r="S508" t="s">
        <v>136</v>
      </c>
      <c r="T508" t="s">
        <v>185</v>
      </c>
      <c r="U508">
        <v>1.2845521512559847E-2</v>
      </c>
      <c r="V508" t="s">
        <v>84</v>
      </c>
    </row>
    <row r="509" spans="9:22" x14ac:dyDescent="0.45">
      <c r="I509" t="s">
        <v>105</v>
      </c>
      <c r="J509" t="s">
        <v>93</v>
      </c>
      <c r="K509">
        <v>0</v>
      </c>
      <c r="L509" t="s">
        <v>84</v>
      </c>
      <c r="N509" t="s">
        <v>121</v>
      </c>
      <c r="O509" t="s">
        <v>93</v>
      </c>
      <c r="P509">
        <v>5.0527447965463351E-2</v>
      </c>
      <c r="Q509" t="s">
        <v>84</v>
      </c>
      <c r="S509" t="s">
        <v>136</v>
      </c>
      <c r="T509" t="s">
        <v>93</v>
      </c>
      <c r="U509">
        <v>4.754984389497053E-2</v>
      </c>
      <c r="V509" t="s">
        <v>84</v>
      </c>
    </row>
    <row r="510" spans="9:22" x14ac:dyDescent="0.45">
      <c r="I510" t="s">
        <v>105</v>
      </c>
      <c r="J510" t="s">
        <v>94</v>
      </c>
      <c r="K510">
        <v>2.3781214059691091E-2</v>
      </c>
      <c r="L510" t="s">
        <v>84</v>
      </c>
      <c r="N510" t="s">
        <v>121</v>
      </c>
      <c r="O510" t="s">
        <v>94</v>
      </c>
      <c r="P510">
        <v>2.4321929677503851E-2</v>
      </c>
      <c r="Q510" t="s">
        <v>84</v>
      </c>
      <c r="S510" t="s">
        <v>136</v>
      </c>
      <c r="T510" t="s">
        <v>94</v>
      </c>
      <c r="U510">
        <v>2.5479907216612138E-2</v>
      </c>
      <c r="V510" t="s">
        <v>84</v>
      </c>
    </row>
    <row r="511" spans="9:22" x14ac:dyDescent="0.45">
      <c r="I511" t="s">
        <v>105</v>
      </c>
      <c r="J511" t="s">
        <v>95</v>
      </c>
      <c r="K511">
        <v>5.279952479128263E-2</v>
      </c>
      <c r="L511" t="s">
        <v>84</v>
      </c>
      <c r="N511" t="s">
        <v>121</v>
      </c>
      <c r="O511" t="s">
        <v>95</v>
      </c>
      <c r="P511">
        <v>3.7712188710925368E-2</v>
      </c>
      <c r="Q511" t="s">
        <v>84</v>
      </c>
      <c r="S511" t="s">
        <v>136</v>
      </c>
      <c r="T511" t="s">
        <v>95</v>
      </c>
      <c r="U511">
        <v>4.3050318182027085E-2</v>
      </c>
      <c r="V511" t="s">
        <v>84</v>
      </c>
    </row>
    <row r="512" spans="9:22" x14ac:dyDescent="0.45">
      <c r="I512" t="s">
        <v>105</v>
      </c>
      <c r="J512" t="s">
        <v>186</v>
      </c>
      <c r="K512">
        <v>3.7940068906161927E-3</v>
      </c>
      <c r="L512" t="s">
        <v>84</v>
      </c>
      <c r="N512" t="s">
        <v>121</v>
      </c>
      <c r="O512" t="s">
        <v>186</v>
      </c>
      <c r="P512">
        <v>7.0929978113453539E-3</v>
      </c>
      <c r="Q512" t="s">
        <v>84</v>
      </c>
      <c r="S512" t="s">
        <v>136</v>
      </c>
      <c r="T512" t="s">
        <v>186</v>
      </c>
      <c r="U512">
        <v>6.9532029142235358E-3</v>
      </c>
      <c r="V512" t="s">
        <v>84</v>
      </c>
    </row>
    <row r="513" spans="9:22" x14ac:dyDescent="0.45">
      <c r="I513" t="s">
        <v>105</v>
      </c>
      <c r="J513" t="s">
        <v>187</v>
      </c>
      <c r="K513">
        <v>0</v>
      </c>
      <c r="L513" t="s">
        <v>84</v>
      </c>
      <c r="N513" t="s">
        <v>121</v>
      </c>
      <c r="O513" t="s">
        <v>187</v>
      </c>
      <c r="P513">
        <v>7.2332947459020826E-3</v>
      </c>
      <c r="Q513" t="s">
        <v>84</v>
      </c>
      <c r="S513" t="s">
        <v>136</v>
      </c>
      <c r="T513" t="s">
        <v>187</v>
      </c>
      <c r="U513">
        <v>6.8396473679706738E-3</v>
      </c>
      <c r="V513" t="s">
        <v>84</v>
      </c>
    </row>
    <row r="514" spans="9:22" x14ac:dyDescent="0.45">
      <c r="I514" t="s">
        <v>105</v>
      </c>
      <c r="J514" t="s">
        <v>188</v>
      </c>
      <c r="K514">
        <v>0</v>
      </c>
      <c r="L514" t="s">
        <v>84</v>
      </c>
      <c r="N514" t="s">
        <v>121</v>
      </c>
      <c r="O514" t="s">
        <v>188</v>
      </c>
      <c r="P514">
        <v>3.6263471539435273E-2</v>
      </c>
      <c r="Q514" t="s">
        <v>84</v>
      </c>
      <c r="S514" t="s">
        <v>136</v>
      </c>
      <c r="T514" t="s">
        <v>188</v>
      </c>
      <c r="U514">
        <v>3.367873428126774E-2</v>
      </c>
      <c r="V514" t="s">
        <v>84</v>
      </c>
    </row>
    <row r="515" spans="9:22" x14ac:dyDescent="0.45">
      <c r="I515" t="s">
        <v>105</v>
      </c>
      <c r="J515" t="s">
        <v>189</v>
      </c>
      <c r="K515">
        <v>0</v>
      </c>
      <c r="L515" t="s">
        <v>84</v>
      </c>
      <c r="N515" t="s">
        <v>121</v>
      </c>
      <c r="O515" t="s">
        <v>189</v>
      </c>
      <c r="P515">
        <v>2.2388871296472802E-2</v>
      </c>
      <c r="Q515" t="s">
        <v>84</v>
      </c>
      <c r="S515" t="s">
        <v>136</v>
      </c>
      <c r="T515" t="s">
        <v>189</v>
      </c>
      <c r="U515">
        <v>3.1711543811118438E-2</v>
      </c>
      <c r="V515" t="s">
        <v>84</v>
      </c>
    </row>
    <row r="516" spans="9:22" x14ac:dyDescent="0.45">
      <c r="I516" t="s">
        <v>105</v>
      </c>
      <c r="J516" t="s">
        <v>190</v>
      </c>
      <c r="K516">
        <v>3.9628298923690165E-3</v>
      </c>
      <c r="L516" t="s">
        <v>84</v>
      </c>
      <c r="N516" t="s">
        <v>121</v>
      </c>
      <c r="O516" t="s">
        <v>190</v>
      </c>
      <c r="P516">
        <v>1.2708251953238693E-2</v>
      </c>
      <c r="Q516" t="s">
        <v>84</v>
      </c>
      <c r="S516" t="s">
        <v>136</v>
      </c>
      <c r="T516" t="s">
        <v>190</v>
      </c>
      <c r="U516">
        <v>1.7531605309083011E-2</v>
      </c>
      <c r="V516" t="s">
        <v>84</v>
      </c>
    </row>
    <row r="517" spans="9:22" x14ac:dyDescent="0.45">
      <c r="I517" t="s">
        <v>105</v>
      </c>
      <c r="J517" t="s">
        <v>191</v>
      </c>
      <c r="K517">
        <v>1.5510550689622159E-2</v>
      </c>
      <c r="L517" t="s">
        <v>84</v>
      </c>
      <c r="N517" t="s">
        <v>121</v>
      </c>
      <c r="O517" t="s">
        <v>191</v>
      </c>
      <c r="P517">
        <v>1.989927069914953E-2</v>
      </c>
      <c r="Q517" t="s">
        <v>84</v>
      </c>
      <c r="S517" t="s">
        <v>136</v>
      </c>
      <c r="T517" t="s">
        <v>191</v>
      </c>
      <c r="U517">
        <v>2.6929896339791905E-2</v>
      </c>
      <c r="V517" t="s">
        <v>84</v>
      </c>
    </row>
    <row r="518" spans="9:22" x14ac:dyDescent="0.45">
      <c r="I518" t="s">
        <v>105</v>
      </c>
      <c r="J518" t="s">
        <v>192</v>
      </c>
      <c r="K518">
        <v>0</v>
      </c>
      <c r="L518" t="s">
        <v>84</v>
      </c>
      <c r="N518" t="s">
        <v>121</v>
      </c>
      <c r="O518" t="s">
        <v>192</v>
      </c>
      <c r="P518">
        <v>3.562002669943254E-3</v>
      </c>
      <c r="Q518" t="s">
        <v>84</v>
      </c>
      <c r="S518" t="s">
        <v>136</v>
      </c>
      <c r="T518" t="s">
        <v>192</v>
      </c>
      <c r="U518">
        <v>4.2920079553615776E-3</v>
      </c>
      <c r="V518" t="s">
        <v>84</v>
      </c>
    </row>
    <row r="519" spans="9:22" x14ac:dyDescent="0.45">
      <c r="I519" t="s">
        <v>105</v>
      </c>
      <c r="J519" t="s">
        <v>193</v>
      </c>
      <c r="K519">
        <v>0</v>
      </c>
      <c r="L519" t="s">
        <v>84</v>
      </c>
      <c r="N519" t="s">
        <v>121</v>
      </c>
      <c r="O519" t="s">
        <v>193</v>
      </c>
      <c r="P519">
        <v>3.5992642106557429E-3</v>
      </c>
      <c r="Q519" t="s">
        <v>84</v>
      </c>
      <c r="S519" t="s">
        <v>136</v>
      </c>
      <c r="T519" t="s">
        <v>193</v>
      </c>
      <c r="U519">
        <v>4.2394385848742678E-3</v>
      </c>
      <c r="V519" t="s">
        <v>84</v>
      </c>
    </row>
    <row r="520" spans="9:22" x14ac:dyDescent="0.45">
      <c r="I520" t="s">
        <v>105</v>
      </c>
      <c r="J520" t="s">
        <v>194</v>
      </c>
      <c r="K520">
        <v>0</v>
      </c>
      <c r="L520" t="s">
        <v>84</v>
      </c>
      <c r="N520" t="s">
        <v>121</v>
      </c>
      <c r="O520" t="s">
        <v>194</v>
      </c>
      <c r="P520">
        <v>1.7709639099583549E-2</v>
      </c>
      <c r="Q520" t="s">
        <v>84</v>
      </c>
      <c r="S520" t="s">
        <v>136</v>
      </c>
      <c r="T520" t="s">
        <v>194</v>
      </c>
      <c r="U520">
        <v>2.1358680405191708E-2</v>
      </c>
      <c r="V520" t="s">
        <v>84</v>
      </c>
    </row>
    <row r="521" spans="9:22" x14ac:dyDescent="0.45">
      <c r="I521" t="s">
        <v>105</v>
      </c>
      <c r="J521" t="s">
        <v>195</v>
      </c>
      <c r="K521">
        <v>4.5929808816063733E-5</v>
      </c>
      <c r="L521" t="s">
        <v>84</v>
      </c>
      <c r="N521" t="s">
        <v>121</v>
      </c>
      <c r="O521" t="s">
        <v>195</v>
      </c>
      <c r="P521">
        <v>8.9011914651969809E-2</v>
      </c>
      <c r="Q521" t="s">
        <v>84</v>
      </c>
      <c r="S521" t="s">
        <v>136</v>
      </c>
      <c r="T521" t="s">
        <v>195</v>
      </c>
      <c r="U521">
        <v>9.0760447580114367E-2</v>
      </c>
      <c r="V521" t="s">
        <v>84</v>
      </c>
    </row>
    <row r="522" spans="9:22" x14ac:dyDescent="0.45">
      <c r="I522" t="s">
        <v>105</v>
      </c>
      <c r="J522" t="s">
        <v>196</v>
      </c>
      <c r="K522">
        <v>4.421038568379998E-2</v>
      </c>
      <c r="L522" t="s">
        <v>84</v>
      </c>
      <c r="N522" t="s">
        <v>121</v>
      </c>
      <c r="O522" t="s">
        <v>196</v>
      </c>
      <c r="P522">
        <v>4.0420488145238583E-2</v>
      </c>
      <c r="Q522" t="s">
        <v>84</v>
      </c>
      <c r="S522" t="s">
        <v>136</v>
      </c>
      <c r="T522" t="s">
        <v>196</v>
      </c>
      <c r="U522">
        <v>4.9952366460510447E-2</v>
      </c>
      <c r="V522" t="s">
        <v>84</v>
      </c>
    </row>
    <row r="523" spans="9:22" x14ac:dyDescent="0.45">
      <c r="I523" t="s">
        <v>105</v>
      </c>
      <c r="J523" t="s">
        <v>197</v>
      </c>
      <c r="K523">
        <v>9.8469762718099679E-2</v>
      </c>
      <c r="L523" t="s">
        <v>84</v>
      </c>
      <c r="N523" t="s">
        <v>121</v>
      </c>
      <c r="O523" t="s">
        <v>197</v>
      </c>
      <c r="P523">
        <v>6.1283109672058189E-2</v>
      </c>
      <c r="Q523" t="s">
        <v>84</v>
      </c>
      <c r="S523" t="s">
        <v>136</v>
      </c>
      <c r="T523" t="s">
        <v>197</v>
      </c>
      <c r="U523">
        <v>7.8332793135388726E-2</v>
      </c>
      <c r="V523" t="s">
        <v>84</v>
      </c>
    </row>
    <row r="524" spans="9:22" x14ac:dyDescent="0.45">
      <c r="I524" t="s">
        <v>105</v>
      </c>
      <c r="J524" t="s">
        <v>198</v>
      </c>
      <c r="K524">
        <v>8.9843152419157961E-3</v>
      </c>
      <c r="L524" t="s">
        <v>84</v>
      </c>
      <c r="N524" t="s">
        <v>121</v>
      </c>
      <c r="O524" t="s">
        <v>198</v>
      </c>
      <c r="P524">
        <v>1.2039143570017447E-2</v>
      </c>
      <c r="Q524" t="s">
        <v>84</v>
      </c>
      <c r="S524" t="s">
        <v>136</v>
      </c>
      <c r="T524" t="s">
        <v>198</v>
      </c>
      <c r="U524">
        <v>1.2754899317041888E-2</v>
      </c>
      <c r="V524" t="s">
        <v>84</v>
      </c>
    </row>
    <row r="525" spans="9:22" x14ac:dyDescent="0.45">
      <c r="I525" t="s">
        <v>105</v>
      </c>
      <c r="J525" t="s">
        <v>199</v>
      </c>
      <c r="K525">
        <v>1.6616754787803509E-3</v>
      </c>
      <c r="L525" t="s">
        <v>84</v>
      </c>
      <c r="N525" t="s">
        <v>121</v>
      </c>
      <c r="O525" t="s">
        <v>199</v>
      </c>
      <c r="P525">
        <v>1.2414719054285773E-2</v>
      </c>
      <c r="Q525" t="s">
        <v>84</v>
      </c>
      <c r="S525" t="s">
        <v>136</v>
      </c>
      <c r="T525" t="s">
        <v>199</v>
      </c>
      <c r="U525">
        <v>1.2745071766745535E-2</v>
      </c>
      <c r="V525" t="s">
        <v>84</v>
      </c>
    </row>
    <row r="526" spans="9:22" x14ac:dyDescent="0.45">
      <c r="I526" t="s">
        <v>105</v>
      </c>
      <c r="J526" t="s">
        <v>200</v>
      </c>
      <c r="K526">
        <v>0</v>
      </c>
      <c r="L526" t="s">
        <v>84</v>
      </c>
      <c r="N526" t="s">
        <v>121</v>
      </c>
      <c r="O526" t="s">
        <v>200</v>
      </c>
      <c r="P526">
        <v>6.5656006055173272E-2</v>
      </c>
      <c r="Q526" t="s">
        <v>84</v>
      </c>
      <c r="S526" t="s">
        <v>136</v>
      </c>
      <c r="T526" t="s">
        <v>200</v>
      </c>
      <c r="U526">
        <v>6.4827850822728808E-2</v>
      </c>
      <c r="V526" t="s">
        <v>84</v>
      </c>
    </row>
    <row r="527" spans="9:22" x14ac:dyDescent="0.45">
      <c r="I527" t="s">
        <v>105</v>
      </c>
      <c r="J527" t="s">
        <v>201</v>
      </c>
      <c r="K527">
        <v>4.2960277786146918E-3</v>
      </c>
      <c r="L527" t="s">
        <v>84</v>
      </c>
      <c r="N527" t="s">
        <v>121</v>
      </c>
      <c r="O527" t="s">
        <v>201</v>
      </c>
      <c r="P527">
        <v>3.4098063053861094E-2</v>
      </c>
      <c r="Q527" t="s">
        <v>84</v>
      </c>
      <c r="S527" t="s">
        <v>136</v>
      </c>
      <c r="T527" t="s">
        <v>201</v>
      </c>
      <c r="U527">
        <v>2.7163701457744816E-2</v>
      </c>
      <c r="V527" t="s">
        <v>84</v>
      </c>
    </row>
    <row r="528" spans="9:22" x14ac:dyDescent="0.45">
      <c r="I528" t="s">
        <v>105</v>
      </c>
      <c r="J528" t="s">
        <v>202</v>
      </c>
      <c r="K528">
        <v>3.3625874408341951E-2</v>
      </c>
      <c r="L528" t="s">
        <v>84</v>
      </c>
      <c r="N528" t="s">
        <v>121</v>
      </c>
      <c r="O528" t="s">
        <v>202</v>
      </c>
      <c r="P528">
        <v>1.8365174225727549E-2</v>
      </c>
      <c r="Q528" t="s">
        <v>84</v>
      </c>
      <c r="S528" t="s">
        <v>136</v>
      </c>
      <c r="T528" t="s">
        <v>202</v>
      </c>
      <c r="U528">
        <v>1.5432876483805686E-2</v>
      </c>
      <c r="V528" t="s">
        <v>84</v>
      </c>
    </row>
    <row r="529" spans="9:22" x14ac:dyDescent="0.45">
      <c r="I529" t="s">
        <v>105</v>
      </c>
      <c r="J529" t="s">
        <v>203</v>
      </c>
      <c r="K529">
        <v>6.2191464533922547E-2</v>
      </c>
      <c r="L529" t="s">
        <v>84</v>
      </c>
      <c r="N529" t="s">
        <v>121</v>
      </c>
      <c r="O529" t="s">
        <v>203</v>
      </c>
      <c r="P529">
        <v>3.1922928994636716E-2</v>
      </c>
      <c r="Q529" t="s">
        <v>84</v>
      </c>
      <c r="S529" t="s">
        <v>136</v>
      </c>
      <c r="T529" t="s">
        <v>203</v>
      </c>
      <c r="U529">
        <v>2.6016476570710032E-2</v>
      </c>
      <c r="V529" t="s">
        <v>84</v>
      </c>
    </row>
    <row r="530" spans="9:22" x14ac:dyDescent="0.45">
      <c r="I530" t="s">
        <v>105</v>
      </c>
      <c r="J530" t="s">
        <v>204</v>
      </c>
      <c r="K530">
        <v>7.82319592783433E-3</v>
      </c>
      <c r="L530" t="s">
        <v>84</v>
      </c>
      <c r="N530" t="s">
        <v>121</v>
      </c>
      <c r="O530" t="s">
        <v>204</v>
      </c>
      <c r="P530">
        <v>5.6830429541787153E-3</v>
      </c>
      <c r="Q530" t="s">
        <v>84</v>
      </c>
      <c r="S530" t="s">
        <v>136</v>
      </c>
      <c r="T530" t="s">
        <v>204</v>
      </c>
      <c r="U530">
        <v>4.0956242913790701E-3</v>
      </c>
      <c r="V530" t="s">
        <v>84</v>
      </c>
    </row>
    <row r="531" spans="9:22" x14ac:dyDescent="0.45">
      <c r="I531" t="s">
        <v>105</v>
      </c>
      <c r="J531" t="s">
        <v>205</v>
      </c>
      <c r="K531">
        <v>5.8154038913764156E-3</v>
      </c>
      <c r="L531" t="s">
        <v>84</v>
      </c>
      <c r="N531" t="s">
        <v>121</v>
      </c>
      <c r="O531" t="s">
        <v>205</v>
      </c>
      <c r="P531">
        <v>5.7625121025661388E-3</v>
      </c>
      <c r="Q531" t="s">
        <v>84</v>
      </c>
      <c r="S531" t="s">
        <v>136</v>
      </c>
      <c r="T531" t="s">
        <v>205</v>
      </c>
      <c r="U531">
        <v>3.9623874020764992E-3</v>
      </c>
      <c r="V531" t="s">
        <v>84</v>
      </c>
    </row>
    <row r="532" spans="9:22" x14ac:dyDescent="0.45">
      <c r="I532" t="s">
        <v>105</v>
      </c>
      <c r="J532" t="s">
        <v>206</v>
      </c>
      <c r="K532">
        <v>2.9499727082831689E-5</v>
      </c>
      <c r="L532" t="s">
        <v>84</v>
      </c>
      <c r="N532" t="s">
        <v>121</v>
      </c>
      <c r="O532" t="s">
        <v>206</v>
      </c>
      <c r="P532">
        <v>2.8070952048314016E-2</v>
      </c>
      <c r="Q532" t="s">
        <v>84</v>
      </c>
      <c r="S532" t="s">
        <v>136</v>
      </c>
      <c r="T532" t="s">
        <v>206</v>
      </c>
      <c r="U532">
        <v>1.8798704123521796E-2</v>
      </c>
      <c r="V532" t="s">
        <v>84</v>
      </c>
    </row>
    <row r="533" spans="9:22" x14ac:dyDescent="0.45">
      <c r="I533" t="s">
        <v>105</v>
      </c>
      <c r="J533" t="s">
        <v>207</v>
      </c>
      <c r="K533">
        <v>1.8877185427288213E-2</v>
      </c>
      <c r="L533" t="s">
        <v>84</v>
      </c>
      <c r="N533" t="s">
        <v>121</v>
      </c>
      <c r="O533" t="s">
        <v>207</v>
      </c>
      <c r="P533">
        <v>3.7109024659178744E-2</v>
      </c>
      <c r="Q533" t="s">
        <v>84</v>
      </c>
      <c r="S533" t="s">
        <v>136</v>
      </c>
      <c r="T533" t="s">
        <v>207</v>
      </c>
      <c r="U533">
        <v>3.2591160643461098E-2</v>
      </c>
      <c r="V533" t="s">
        <v>84</v>
      </c>
    </row>
    <row r="534" spans="9:22" x14ac:dyDescent="0.45">
      <c r="I534" t="s">
        <v>105</v>
      </c>
      <c r="J534" t="s">
        <v>208</v>
      </c>
      <c r="K534">
        <v>8.0685371202061401E-2</v>
      </c>
      <c r="L534" t="s">
        <v>84</v>
      </c>
      <c r="N534" t="s">
        <v>121</v>
      </c>
      <c r="O534" t="s">
        <v>208</v>
      </c>
      <c r="P534">
        <v>1.6882012085657129E-2</v>
      </c>
      <c r="Q534" t="s">
        <v>84</v>
      </c>
      <c r="S534" t="s">
        <v>136</v>
      </c>
      <c r="T534" t="s">
        <v>208</v>
      </c>
      <c r="U534">
        <v>1.7857121055738015E-2</v>
      </c>
      <c r="V534" t="s">
        <v>84</v>
      </c>
    </row>
    <row r="535" spans="9:22" x14ac:dyDescent="0.45">
      <c r="I535" t="s">
        <v>105</v>
      </c>
      <c r="J535" t="s">
        <v>209</v>
      </c>
      <c r="K535">
        <v>0.13483129739711405</v>
      </c>
      <c r="L535" t="s">
        <v>84</v>
      </c>
      <c r="N535" t="s">
        <v>121</v>
      </c>
      <c r="O535" t="s">
        <v>209</v>
      </c>
      <c r="P535">
        <v>3.7490699487124163E-2</v>
      </c>
      <c r="Q535" t="s">
        <v>84</v>
      </c>
      <c r="S535" t="s">
        <v>136</v>
      </c>
      <c r="T535" t="s">
        <v>209</v>
      </c>
      <c r="U535">
        <v>3.1666231110146853E-2</v>
      </c>
      <c r="V535" t="s">
        <v>84</v>
      </c>
    </row>
    <row r="536" spans="9:22" x14ac:dyDescent="0.45">
      <c r="I536" t="s">
        <v>105</v>
      </c>
      <c r="J536" t="s">
        <v>210</v>
      </c>
      <c r="K536">
        <v>1.6209048220661739E-2</v>
      </c>
      <c r="L536" t="s">
        <v>84</v>
      </c>
      <c r="N536" t="s">
        <v>121</v>
      </c>
      <c r="O536" t="s">
        <v>210</v>
      </c>
      <c r="P536">
        <v>7.1713665363881953E-3</v>
      </c>
      <c r="Q536" t="s">
        <v>84</v>
      </c>
      <c r="S536" t="s">
        <v>136</v>
      </c>
      <c r="T536" t="s">
        <v>210</v>
      </c>
      <c r="U536">
        <v>5.6074783819856427E-3</v>
      </c>
      <c r="V536" t="s">
        <v>84</v>
      </c>
    </row>
    <row r="537" spans="9:22" x14ac:dyDescent="0.45">
      <c r="I537" t="s">
        <v>105</v>
      </c>
      <c r="J537" t="s">
        <v>211</v>
      </c>
      <c r="K537">
        <v>1.3223746575845217E-2</v>
      </c>
      <c r="L537" t="s">
        <v>84</v>
      </c>
      <c r="N537" t="s">
        <v>121</v>
      </c>
      <c r="O537" t="s">
        <v>211</v>
      </c>
      <c r="P537">
        <v>6.9424769392644921E-3</v>
      </c>
      <c r="Q537" t="s">
        <v>84</v>
      </c>
      <c r="S537" t="s">
        <v>136</v>
      </c>
      <c r="T537" t="s">
        <v>211</v>
      </c>
      <c r="U537">
        <v>5.5228650057575273E-3</v>
      </c>
      <c r="V537" t="s">
        <v>84</v>
      </c>
    </row>
    <row r="538" spans="9:22" x14ac:dyDescent="0.45">
      <c r="I538" t="s">
        <v>105</v>
      </c>
      <c r="J538" t="s">
        <v>212</v>
      </c>
      <c r="K538">
        <v>8.4733401863554721E-3</v>
      </c>
      <c r="L538" t="s">
        <v>84</v>
      </c>
      <c r="N538" t="s">
        <v>121</v>
      </c>
      <c r="O538" t="s">
        <v>212</v>
      </c>
      <c r="P538">
        <v>3.3319633408546413E-2</v>
      </c>
      <c r="Q538" t="s">
        <v>84</v>
      </c>
      <c r="S538" t="s">
        <v>136</v>
      </c>
      <c r="T538" t="s">
        <v>212</v>
      </c>
      <c r="U538">
        <v>2.5175982304905798E-2</v>
      </c>
      <c r="V538" t="s">
        <v>84</v>
      </c>
    </row>
    <row r="539" spans="9:22" x14ac:dyDescent="0.45">
      <c r="I539" t="s">
        <v>106</v>
      </c>
      <c r="J539" t="s">
        <v>83</v>
      </c>
      <c r="K539">
        <v>1.0569467710853648E-2</v>
      </c>
      <c r="L539" t="s">
        <v>84</v>
      </c>
      <c r="N539" t="s">
        <v>122</v>
      </c>
      <c r="O539" t="s">
        <v>83</v>
      </c>
      <c r="P539">
        <v>2.3692498832477864E-2</v>
      </c>
      <c r="Q539" t="s">
        <v>84</v>
      </c>
      <c r="S539" t="s">
        <v>137</v>
      </c>
      <c r="T539" t="s">
        <v>83</v>
      </c>
      <c r="U539">
        <v>2.6074265083958111E-2</v>
      </c>
      <c r="V539" t="s">
        <v>84</v>
      </c>
    </row>
    <row r="540" spans="9:22" x14ac:dyDescent="0.45">
      <c r="I540" t="s">
        <v>106</v>
      </c>
      <c r="J540" t="s">
        <v>85</v>
      </c>
      <c r="K540">
        <v>4.4280260446683636E-2</v>
      </c>
      <c r="L540" t="s">
        <v>84</v>
      </c>
      <c r="N540" t="s">
        <v>122</v>
      </c>
      <c r="O540" t="s">
        <v>85</v>
      </c>
      <c r="P540">
        <v>1.6641039972999948E-2</v>
      </c>
      <c r="Q540" t="s">
        <v>84</v>
      </c>
      <c r="S540" t="s">
        <v>137</v>
      </c>
      <c r="T540" t="s">
        <v>85</v>
      </c>
      <c r="U540">
        <v>1.3926704328176732E-2</v>
      </c>
      <c r="V540" t="s">
        <v>84</v>
      </c>
    </row>
    <row r="541" spans="9:22" x14ac:dyDescent="0.45">
      <c r="I541" t="s">
        <v>106</v>
      </c>
      <c r="J541" t="s">
        <v>86</v>
      </c>
      <c r="K541">
        <v>7.2832822396131175E-2</v>
      </c>
      <c r="L541" t="s">
        <v>84</v>
      </c>
      <c r="N541" t="s">
        <v>122</v>
      </c>
      <c r="O541" t="s">
        <v>86</v>
      </c>
      <c r="P541">
        <v>3.8812731897328881E-2</v>
      </c>
      <c r="Q541" t="s">
        <v>84</v>
      </c>
      <c r="S541" t="s">
        <v>137</v>
      </c>
      <c r="T541" t="s">
        <v>86</v>
      </c>
      <c r="U541">
        <v>2.2644682228604381E-2</v>
      </c>
      <c r="V541" t="s">
        <v>84</v>
      </c>
    </row>
    <row r="542" spans="9:22" x14ac:dyDescent="0.45">
      <c r="I542" t="s">
        <v>106</v>
      </c>
      <c r="J542" t="s">
        <v>177</v>
      </c>
      <c r="K542">
        <v>1.0307345103050685E-2</v>
      </c>
      <c r="L542" t="s">
        <v>84</v>
      </c>
      <c r="N542" t="s">
        <v>122</v>
      </c>
      <c r="O542" t="s">
        <v>177</v>
      </c>
      <c r="P542">
        <v>6.0916366873519168E-3</v>
      </c>
      <c r="Q542" t="s">
        <v>84</v>
      </c>
      <c r="S542" t="s">
        <v>137</v>
      </c>
      <c r="T542" t="s">
        <v>177</v>
      </c>
      <c r="U542">
        <v>3.6836937728957865E-3</v>
      </c>
      <c r="V542" t="s">
        <v>84</v>
      </c>
    </row>
    <row r="543" spans="9:22" x14ac:dyDescent="0.45">
      <c r="I543" t="s">
        <v>106</v>
      </c>
      <c r="J543" t="s">
        <v>178</v>
      </c>
      <c r="K543">
        <v>8.8141815352942143E-3</v>
      </c>
      <c r="L543" t="s">
        <v>84</v>
      </c>
      <c r="N543" t="s">
        <v>122</v>
      </c>
      <c r="O543" t="s">
        <v>178</v>
      </c>
      <c r="P543">
        <v>5.2567247068525929E-3</v>
      </c>
      <c r="Q543" t="s">
        <v>84</v>
      </c>
      <c r="S543" t="s">
        <v>137</v>
      </c>
      <c r="T543" t="s">
        <v>178</v>
      </c>
      <c r="U543">
        <v>3.4702893340075088E-3</v>
      </c>
      <c r="V543" t="s">
        <v>84</v>
      </c>
    </row>
    <row r="544" spans="9:22" x14ac:dyDescent="0.45">
      <c r="I544" t="s">
        <v>106</v>
      </c>
      <c r="J544" t="s">
        <v>179</v>
      </c>
      <c r="K544">
        <v>5.6117460445020192E-3</v>
      </c>
      <c r="L544" t="s">
        <v>84</v>
      </c>
      <c r="N544" t="s">
        <v>122</v>
      </c>
      <c r="O544" t="s">
        <v>179</v>
      </c>
      <c r="P544">
        <v>2.0472367229854564E-2</v>
      </c>
      <c r="Q544" t="s">
        <v>84</v>
      </c>
      <c r="S544" t="s">
        <v>137</v>
      </c>
      <c r="T544" t="s">
        <v>179</v>
      </c>
      <c r="U544">
        <v>1.6153868789769765E-2</v>
      </c>
      <c r="V544" t="s">
        <v>84</v>
      </c>
    </row>
    <row r="545" spans="9:22" x14ac:dyDescent="0.45">
      <c r="I545" t="s">
        <v>106</v>
      </c>
      <c r="J545" t="s">
        <v>87</v>
      </c>
      <c r="K545">
        <v>5.0897735822694233E-3</v>
      </c>
      <c r="L545" t="s">
        <v>84</v>
      </c>
      <c r="N545" t="s">
        <v>122</v>
      </c>
      <c r="O545" t="s">
        <v>87</v>
      </c>
      <c r="P545">
        <v>1.4435422794503733E-2</v>
      </c>
      <c r="Q545" t="s">
        <v>84</v>
      </c>
      <c r="S545" t="s">
        <v>137</v>
      </c>
      <c r="T545" t="s">
        <v>87</v>
      </c>
      <c r="U545">
        <v>1.6037244619754743E-2</v>
      </c>
      <c r="V545" t="s">
        <v>84</v>
      </c>
    </row>
    <row r="546" spans="9:22" x14ac:dyDescent="0.45">
      <c r="I546" t="s">
        <v>106</v>
      </c>
      <c r="J546" t="s">
        <v>88</v>
      </c>
      <c r="K546">
        <v>3.6789502648551575E-2</v>
      </c>
      <c r="L546" t="s">
        <v>84</v>
      </c>
      <c r="N546" t="s">
        <v>122</v>
      </c>
      <c r="O546" t="s">
        <v>88</v>
      </c>
      <c r="P546">
        <v>8.4562556919307655E-3</v>
      </c>
      <c r="Q546" t="s">
        <v>84</v>
      </c>
      <c r="S546" t="s">
        <v>137</v>
      </c>
      <c r="T546" t="s">
        <v>88</v>
      </c>
      <c r="U546">
        <v>8.1943243261623517E-3</v>
      </c>
      <c r="V546" t="s">
        <v>84</v>
      </c>
    </row>
    <row r="547" spans="9:22" x14ac:dyDescent="0.45">
      <c r="I547" t="s">
        <v>106</v>
      </c>
      <c r="J547" t="s">
        <v>89</v>
      </c>
      <c r="K547">
        <v>6.3150870421646424E-2</v>
      </c>
      <c r="L547" t="s">
        <v>84</v>
      </c>
      <c r="N547" t="s">
        <v>122</v>
      </c>
      <c r="O547" t="s">
        <v>89</v>
      </c>
      <c r="P547">
        <v>1.7856341236170709E-2</v>
      </c>
      <c r="Q547" t="s">
        <v>84</v>
      </c>
      <c r="S547" t="s">
        <v>137</v>
      </c>
      <c r="T547" t="s">
        <v>89</v>
      </c>
      <c r="U547">
        <v>1.401520977886251E-2</v>
      </c>
      <c r="V547" t="s">
        <v>84</v>
      </c>
    </row>
    <row r="548" spans="9:22" x14ac:dyDescent="0.45">
      <c r="I548" t="s">
        <v>106</v>
      </c>
      <c r="J548" t="s">
        <v>180</v>
      </c>
      <c r="K548">
        <v>8.8396283294991124E-3</v>
      </c>
      <c r="L548" t="s">
        <v>84</v>
      </c>
      <c r="N548" t="s">
        <v>122</v>
      </c>
      <c r="O548" t="s">
        <v>180</v>
      </c>
      <c r="P548">
        <v>2.9439813830411722E-3</v>
      </c>
      <c r="Q548" t="s">
        <v>84</v>
      </c>
      <c r="S548" t="s">
        <v>137</v>
      </c>
      <c r="T548" t="s">
        <v>180</v>
      </c>
      <c r="U548">
        <v>2.4916878240448439E-3</v>
      </c>
      <c r="V548" t="s">
        <v>84</v>
      </c>
    </row>
    <row r="549" spans="9:22" x14ac:dyDescent="0.45">
      <c r="I549" t="s">
        <v>106</v>
      </c>
      <c r="J549" t="s">
        <v>181</v>
      </c>
      <c r="K549">
        <v>6.8428999681725581E-3</v>
      </c>
      <c r="L549" t="s">
        <v>84</v>
      </c>
      <c r="N549" t="s">
        <v>122</v>
      </c>
      <c r="O549" t="s">
        <v>181</v>
      </c>
      <c r="P549">
        <v>2.6758019335911707E-3</v>
      </c>
      <c r="Q549" t="s">
        <v>84</v>
      </c>
      <c r="S549" t="s">
        <v>137</v>
      </c>
      <c r="T549" t="s">
        <v>181</v>
      </c>
      <c r="U549">
        <v>2.5560881943331362E-3</v>
      </c>
      <c r="V549" t="s">
        <v>84</v>
      </c>
    </row>
    <row r="550" spans="9:22" x14ac:dyDescent="0.45">
      <c r="I550" t="s">
        <v>106</v>
      </c>
      <c r="J550" t="s">
        <v>182</v>
      </c>
      <c r="K550">
        <v>1.956564565014684E-3</v>
      </c>
      <c r="L550" t="s">
        <v>84</v>
      </c>
      <c r="N550" t="s">
        <v>122</v>
      </c>
      <c r="O550" t="s">
        <v>182</v>
      </c>
      <c r="P550">
        <v>1.1041917446935728E-2</v>
      </c>
      <c r="Q550" t="s">
        <v>84</v>
      </c>
      <c r="S550" t="s">
        <v>137</v>
      </c>
      <c r="T550" t="s">
        <v>182</v>
      </c>
      <c r="U550">
        <v>1.2522229782680973E-2</v>
      </c>
      <c r="V550" t="s">
        <v>84</v>
      </c>
    </row>
    <row r="551" spans="9:22" x14ac:dyDescent="0.45">
      <c r="I551" t="s">
        <v>106</v>
      </c>
      <c r="J551" t="s">
        <v>90</v>
      </c>
      <c r="K551">
        <v>1.2382428885157957E-3</v>
      </c>
      <c r="L551" t="s">
        <v>84</v>
      </c>
      <c r="N551" t="s">
        <v>122</v>
      </c>
      <c r="O551" t="s">
        <v>90</v>
      </c>
      <c r="P551">
        <v>1.1175387851651669E-2</v>
      </c>
      <c r="Q551" t="s">
        <v>84</v>
      </c>
      <c r="S551" t="s">
        <v>137</v>
      </c>
      <c r="T551" t="s">
        <v>90</v>
      </c>
      <c r="U551">
        <v>1.6264522898314728E-2</v>
      </c>
      <c r="V551" t="s">
        <v>84</v>
      </c>
    </row>
    <row r="552" spans="9:22" x14ac:dyDescent="0.45">
      <c r="I552" t="s">
        <v>106</v>
      </c>
      <c r="J552" t="s">
        <v>91</v>
      </c>
      <c r="K552">
        <v>2.8667186472056686E-2</v>
      </c>
      <c r="L552" t="s">
        <v>84</v>
      </c>
      <c r="N552" t="s">
        <v>122</v>
      </c>
      <c r="O552" t="s">
        <v>91</v>
      </c>
      <c r="P552">
        <v>6.7407602532087848E-3</v>
      </c>
      <c r="Q552" t="s">
        <v>84</v>
      </c>
      <c r="S552" t="s">
        <v>137</v>
      </c>
      <c r="T552" t="s">
        <v>91</v>
      </c>
      <c r="U552">
        <v>8.2480648082283517E-3</v>
      </c>
      <c r="V552" t="s">
        <v>84</v>
      </c>
    </row>
    <row r="553" spans="9:22" x14ac:dyDescent="0.45">
      <c r="I553" t="s">
        <v>106</v>
      </c>
      <c r="J553" t="s">
        <v>92</v>
      </c>
      <c r="K553">
        <v>5.3183332318810381E-2</v>
      </c>
      <c r="L553" t="s">
        <v>84</v>
      </c>
      <c r="N553" t="s">
        <v>122</v>
      </c>
      <c r="O553" t="s">
        <v>92</v>
      </c>
      <c r="P553">
        <v>1.6285203915126122E-2</v>
      </c>
      <c r="Q553" t="s">
        <v>84</v>
      </c>
      <c r="S553" t="s">
        <v>137</v>
      </c>
      <c r="T553" t="s">
        <v>92</v>
      </c>
      <c r="U553">
        <v>1.3875300866793949E-2</v>
      </c>
      <c r="V553" t="s">
        <v>84</v>
      </c>
    </row>
    <row r="554" spans="9:22" x14ac:dyDescent="0.45">
      <c r="I554" t="s">
        <v>106</v>
      </c>
      <c r="J554" t="s">
        <v>183</v>
      </c>
      <c r="K554">
        <v>6.6404702118600294E-3</v>
      </c>
      <c r="L554" t="s">
        <v>84</v>
      </c>
      <c r="N554" t="s">
        <v>122</v>
      </c>
      <c r="O554" t="s">
        <v>183</v>
      </c>
      <c r="P554">
        <v>2.3917939972821515E-3</v>
      </c>
      <c r="Q554" t="s">
        <v>84</v>
      </c>
      <c r="S554" t="s">
        <v>137</v>
      </c>
      <c r="T554" t="s">
        <v>183</v>
      </c>
      <c r="U554">
        <v>2.5530173497557767E-3</v>
      </c>
      <c r="V554" t="s">
        <v>84</v>
      </c>
    </row>
    <row r="555" spans="9:22" x14ac:dyDescent="0.45">
      <c r="I555" t="s">
        <v>106</v>
      </c>
      <c r="J555" t="s">
        <v>184</v>
      </c>
      <c r="K555">
        <v>3.0812648175063688E-3</v>
      </c>
      <c r="L555" t="s">
        <v>84</v>
      </c>
      <c r="N555" t="s">
        <v>122</v>
      </c>
      <c r="O555" t="s">
        <v>184</v>
      </c>
      <c r="P555">
        <v>2.2622754965160715E-3</v>
      </c>
      <c r="Q555" t="s">
        <v>84</v>
      </c>
      <c r="S555" t="s">
        <v>137</v>
      </c>
      <c r="T555" t="s">
        <v>184</v>
      </c>
      <c r="U555">
        <v>2.6662144692009733E-3</v>
      </c>
      <c r="V555" t="s">
        <v>84</v>
      </c>
    </row>
    <row r="556" spans="9:22" x14ac:dyDescent="0.45">
      <c r="I556" t="s">
        <v>106</v>
      </c>
      <c r="J556" t="s">
        <v>185</v>
      </c>
      <c r="K556">
        <v>0</v>
      </c>
      <c r="L556" t="s">
        <v>84</v>
      </c>
      <c r="N556" t="s">
        <v>122</v>
      </c>
      <c r="O556" t="s">
        <v>185</v>
      </c>
      <c r="P556">
        <v>8.7641773920065277E-3</v>
      </c>
      <c r="Q556" t="s">
        <v>84</v>
      </c>
      <c r="S556" t="s">
        <v>137</v>
      </c>
      <c r="T556" t="s">
        <v>185</v>
      </c>
      <c r="U556">
        <v>1.3527246105237875E-2</v>
      </c>
      <c r="V556" t="s">
        <v>84</v>
      </c>
    </row>
    <row r="557" spans="9:22" x14ac:dyDescent="0.45">
      <c r="I557" t="s">
        <v>106</v>
      </c>
      <c r="J557" t="s">
        <v>93</v>
      </c>
      <c r="K557">
        <v>0</v>
      </c>
      <c r="L557" t="s">
        <v>84</v>
      </c>
      <c r="N557" t="s">
        <v>122</v>
      </c>
      <c r="O557" t="s">
        <v>93</v>
      </c>
      <c r="P557">
        <v>4.3105907991286302E-2</v>
      </c>
      <c r="Q557" t="s">
        <v>84</v>
      </c>
      <c r="S557" t="s">
        <v>137</v>
      </c>
      <c r="T557" t="s">
        <v>93</v>
      </c>
      <c r="U557">
        <v>5.555796142097754E-2</v>
      </c>
      <c r="V557" t="s">
        <v>84</v>
      </c>
    </row>
    <row r="558" spans="9:22" x14ac:dyDescent="0.45">
      <c r="I558" t="s">
        <v>106</v>
      </c>
      <c r="J558" t="s">
        <v>94</v>
      </c>
      <c r="K558">
        <v>2.8591516433526795E-2</v>
      </c>
      <c r="L558" t="s">
        <v>84</v>
      </c>
      <c r="N558" t="s">
        <v>122</v>
      </c>
      <c r="O558" t="s">
        <v>94</v>
      </c>
      <c r="P558">
        <v>2.4886392392217044E-2</v>
      </c>
      <c r="Q558" t="s">
        <v>84</v>
      </c>
      <c r="S558" t="s">
        <v>137</v>
      </c>
      <c r="T558" t="s">
        <v>94</v>
      </c>
      <c r="U558">
        <v>3.1312137459478265E-2</v>
      </c>
      <c r="V558" t="s">
        <v>84</v>
      </c>
    </row>
    <row r="559" spans="9:22" x14ac:dyDescent="0.45">
      <c r="I559" t="s">
        <v>106</v>
      </c>
      <c r="J559" t="s">
        <v>95</v>
      </c>
      <c r="K559">
        <v>5.7250622261700773E-2</v>
      </c>
      <c r="L559" t="s">
        <v>84</v>
      </c>
      <c r="N559" t="s">
        <v>122</v>
      </c>
      <c r="O559" t="s">
        <v>95</v>
      </c>
      <c r="P559">
        <v>4.1320079159233698E-2</v>
      </c>
      <c r="Q559" t="s">
        <v>84</v>
      </c>
      <c r="S559" t="s">
        <v>137</v>
      </c>
      <c r="T559" t="s">
        <v>95</v>
      </c>
      <c r="U559">
        <v>4.9870141855744878E-2</v>
      </c>
      <c r="V559" t="s">
        <v>84</v>
      </c>
    </row>
    <row r="560" spans="9:22" x14ac:dyDescent="0.45">
      <c r="I560" t="s">
        <v>106</v>
      </c>
      <c r="J560" t="s">
        <v>186</v>
      </c>
      <c r="K560">
        <v>3.0485399567326617E-3</v>
      </c>
      <c r="L560" t="s">
        <v>84</v>
      </c>
      <c r="N560" t="s">
        <v>122</v>
      </c>
      <c r="O560" t="s">
        <v>186</v>
      </c>
      <c r="P560">
        <v>6.2523635699188685E-3</v>
      </c>
      <c r="Q560" t="s">
        <v>84</v>
      </c>
      <c r="S560" t="s">
        <v>137</v>
      </c>
      <c r="T560" t="s">
        <v>186</v>
      </c>
      <c r="U560">
        <v>8.5024729154321785E-3</v>
      </c>
      <c r="V560" t="s">
        <v>84</v>
      </c>
    </row>
    <row r="561" spans="9:22" x14ac:dyDescent="0.45">
      <c r="I561" t="s">
        <v>106</v>
      </c>
      <c r="J561" t="s">
        <v>187</v>
      </c>
      <c r="K561">
        <v>0</v>
      </c>
      <c r="L561" t="s">
        <v>84</v>
      </c>
      <c r="N561" t="s">
        <v>122</v>
      </c>
      <c r="O561" t="s">
        <v>187</v>
      </c>
      <c r="P561">
        <v>5.9850686243967674E-3</v>
      </c>
      <c r="Q561" t="s">
        <v>84</v>
      </c>
      <c r="S561" t="s">
        <v>137</v>
      </c>
      <c r="T561" t="s">
        <v>187</v>
      </c>
      <c r="U561">
        <v>8.4868779773090534E-3</v>
      </c>
      <c r="V561" t="s">
        <v>84</v>
      </c>
    </row>
    <row r="562" spans="9:22" x14ac:dyDescent="0.45">
      <c r="I562" t="s">
        <v>106</v>
      </c>
      <c r="J562" t="s">
        <v>188</v>
      </c>
      <c r="K562">
        <v>0</v>
      </c>
      <c r="L562" t="s">
        <v>84</v>
      </c>
      <c r="N562" t="s">
        <v>122</v>
      </c>
      <c r="O562" t="s">
        <v>188</v>
      </c>
      <c r="P562">
        <v>2.9169235705118739E-2</v>
      </c>
      <c r="Q562" t="s">
        <v>84</v>
      </c>
      <c r="S562" t="s">
        <v>137</v>
      </c>
      <c r="T562" t="s">
        <v>188</v>
      </c>
      <c r="U562">
        <v>4.0807235024072311E-2</v>
      </c>
      <c r="V562" t="s">
        <v>84</v>
      </c>
    </row>
    <row r="563" spans="9:22" x14ac:dyDescent="0.45">
      <c r="I563" t="s">
        <v>106</v>
      </c>
      <c r="J563" t="s">
        <v>189</v>
      </c>
      <c r="K563">
        <v>0</v>
      </c>
      <c r="L563" t="s">
        <v>84</v>
      </c>
      <c r="N563" t="s">
        <v>122</v>
      </c>
      <c r="O563" t="s">
        <v>189</v>
      </c>
      <c r="P563">
        <v>3.0413577682965057E-2</v>
      </c>
      <c r="Q563" t="s">
        <v>84</v>
      </c>
      <c r="S563" t="s">
        <v>137</v>
      </c>
      <c r="T563" t="s">
        <v>189</v>
      </c>
      <c r="U563">
        <v>2.4491384466228033E-2</v>
      </c>
      <c r="V563" t="s">
        <v>84</v>
      </c>
    </row>
    <row r="564" spans="9:22" x14ac:dyDescent="0.45">
      <c r="I564" t="s">
        <v>106</v>
      </c>
      <c r="J564" t="s">
        <v>190</v>
      </c>
      <c r="K564">
        <v>7.5493227299475857E-3</v>
      </c>
      <c r="L564" t="s">
        <v>84</v>
      </c>
      <c r="N564" t="s">
        <v>122</v>
      </c>
      <c r="O564" t="s">
        <v>190</v>
      </c>
      <c r="P564">
        <v>1.4189002342011805E-2</v>
      </c>
      <c r="Q564" t="s">
        <v>84</v>
      </c>
      <c r="S564" t="s">
        <v>137</v>
      </c>
      <c r="T564" t="s">
        <v>190</v>
      </c>
      <c r="U564">
        <v>1.294739271561865E-2</v>
      </c>
      <c r="V564" t="s">
        <v>84</v>
      </c>
    </row>
    <row r="565" spans="9:22" x14ac:dyDescent="0.45">
      <c r="I565" t="s">
        <v>106</v>
      </c>
      <c r="J565" t="s">
        <v>191</v>
      </c>
      <c r="K565">
        <v>1.702736404507689E-2</v>
      </c>
      <c r="L565" t="s">
        <v>84</v>
      </c>
      <c r="N565" t="s">
        <v>122</v>
      </c>
      <c r="O565" t="s">
        <v>191</v>
      </c>
      <c r="P565">
        <v>2.3603645406903805E-2</v>
      </c>
      <c r="Q565" t="s">
        <v>84</v>
      </c>
      <c r="S565" t="s">
        <v>137</v>
      </c>
      <c r="T565" t="s">
        <v>191</v>
      </c>
      <c r="U565">
        <v>1.9355823600533603E-2</v>
      </c>
      <c r="V565" t="s">
        <v>84</v>
      </c>
    </row>
    <row r="566" spans="9:22" x14ac:dyDescent="0.45">
      <c r="I566" t="s">
        <v>106</v>
      </c>
      <c r="J566" t="s">
        <v>192</v>
      </c>
      <c r="K566">
        <v>0</v>
      </c>
      <c r="L566" t="s">
        <v>84</v>
      </c>
      <c r="N566" t="s">
        <v>122</v>
      </c>
      <c r="O566" t="s">
        <v>192</v>
      </c>
      <c r="P566">
        <v>4.5655382026745205E-3</v>
      </c>
      <c r="Q566" t="s">
        <v>84</v>
      </c>
      <c r="S566" t="s">
        <v>137</v>
      </c>
      <c r="T566" t="s">
        <v>192</v>
      </c>
      <c r="U566">
        <v>3.3504576840955869E-3</v>
      </c>
      <c r="V566" t="s">
        <v>84</v>
      </c>
    </row>
    <row r="567" spans="9:22" x14ac:dyDescent="0.45">
      <c r="I567" t="s">
        <v>106</v>
      </c>
      <c r="J567" t="s">
        <v>193</v>
      </c>
      <c r="K567">
        <v>0</v>
      </c>
      <c r="L567" t="s">
        <v>84</v>
      </c>
      <c r="N567" t="s">
        <v>122</v>
      </c>
      <c r="O567" t="s">
        <v>193</v>
      </c>
      <c r="P567">
        <v>4.6796569460688386E-3</v>
      </c>
      <c r="Q567" t="s">
        <v>84</v>
      </c>
      <c r="S567" t="s">
        <v>137</v>
      </c>
      <c r="T567" t="s">
        <v>193</v>
      </c>
      <c r="U567">
        <v>3.3921671058951752E-3</v>
      </c>
      <c r="V567" t="s">
        <v>84</v>
      </c>
    </row>
    <row r="568" spans="9:22" x14ac:dyDescent="0.45">
      <c r="I568" t="s">
        <v>106</v>
      </c>
      <c r="J568" t="s">
        <v>194</v>
      </c>
      <c r="K568">
        <v>0</v>
      </c>
      <c r="L568" t="s">
        <v>84</v>
      </c>
      <c r="N568" t="s">
        <v>122</v>
      </c>
      <c r="O568" t="s">
        <v>194</v>
      </c>
      <c r="P568">
        <v>2.3542446463128051E-2</v>
      </c>
      <c r="Q568" t="s">
        <v>84</v>
      </c>
      <c r="S568" t="s">
        <v>137</v>
      </c>
      <c r="T568" t="s">
        <v>194</v>
      </c>
      <c r="U568">
        <v>1.7278051159957623E-2</v>
      </c>
      <c r="V568" t="s">
        <v>84</v>
      </c>
    </row>
    <row r="569" spans="9:22" x14ac:dyDescent="0.45">
      <c r="I569" t="s">
        <v>106</v>
      </c>
      <c r="J569" t="s">
        <v>195</v>
      </c>
      <c r="K569">
        <v>5.3705299028858485E-4</v>
      </c>
      <c r="L569" t="s">
        <v>84</v>
      </c>
      <c r="N569" t="s">
        <v>122</v>
      </c>
      <c r="O569" t="s">
        <v>195</v>
      </c>
      <c r="P569">
        <v>7.8260730844081541E-2</v>
      </c>
      <c r="Q569" t="s">
        <v>84</v>
      </c>
      <c r="S569" t="s">
        <v>137</v>
      </c>
      <c r="T569" t="s">
        <v>195</v>
      </c>
      <c r="U569">
        <v>7.6824532962582612E-2</v>
      </c>
      <c r="V569" t="s">
        <v>84</v>
      </c>
    </row>
    <row r="570" spans="9:22" x14ac:dyDescent="0.45">
      <c r="I570" t="s">
        <v>106</v>
      </c>
      <c r="J570" t="s">
        <v>196</v>
      </c>
      <c r="K570">
        <v>4.9140152158142894E-2</v>
      </c>
      <c r="L570" t="s">
        <v>84</v>
      </c>
      <c r="N570" t="s">
        <v>122</v>
      </c>
      <c r="O570" t="s">
        <v>196</v>
      </c>
      <c r="P570">
        <v>4.2654547748789164E-2</v>
      </c>
      <c r="Q570" t="s">
        <v>84</v>
      </c>
      <c r="S570" t="s">
        <v>137</v>
      </c>
      <c r="T570" t="s">
        <v>196</v>
      </c>
      <c r="U570">
        <v>4.2348665016144184E-2</v>
      </c>
      <c r="V570" t="s">
        <v>84</v>
      </c>
    </row>
    <row r="571" spans="9:22" x14ac:dyDescent="0.45">
      <c r="I571" t="s">
        <v>106</v>
      </c>
      <c r="J571" t="s">
        <v>197</v>
      </c>
      <c r="K571">
        <v>0.10100859299780293</v>
      </c>
      <c r="L571" t="s">
        <v>84</v>
      </c>
      <c r="N571" t="s">
        <v>122</v>
      </c>
      <c r="O571" t="s">
        <v>197</v>
      </c>
      <c r="P571">
        <v>7.2838418629081178E-2</v>
      </c>
      <c r="Q571" t="s">
        <v>84</v>
      </c>
      <c r="S571" t="s">
        <v>137</v>
      </c>
      <c r="T571" t="s">
        <v>197</v>
      </c>
      <c r="U571">
        <v>6.6824847411718735E-2</v>
      </c>
      <c r="V571" t="s">
        <v>84</v>
      </c>
    </row>
    <row r="572" spans="9:22" x14ac:dyDescent="0.45">
      <c r="I572" t="s">
        <v>106</v>
      </c>
      <c r="J572" t="s">
        <v>198</v>
      </c>
      <c r="K572">
        <v>8.0455898049147431E-3</v>
      </c>
      <c r="L572" t="s">
        <v>84</v>
      </c>
      <c r="N572" t="s">
        <v>122</v>
      </c>
      <c r="O572" t="s">
        <v>198</v>
      </c>
      <c r="P572">
        <v>1.1399817878388153E-2</v>
      </c>
      <c r="Q572" t="s">
        <v>84</v>
      </c>
      <c r="S572" t="s">
        <v>137</v>
      </c>
      <c r="T572" t="s">
        <v>198</v>
      </c>
      <c r="U572">
        <v>1.1294845710458846E-2</v>
      </c>
      <c r="V572" t="s">
        <v>84</v>
      </c>
    </row>
    <row r="573" spans="9:22" x14ac:dyDescent="0.45">
      <c r="I573" t="s">
        <v>106</v>
      </c>
      <c r="J573" t="s">
        <v>199</v>
      </c>
      <c r="K573">
        <v>0</v>
      </c>
      <c r="L573" t="s">
        <v>84</v>
      </c>
      <c r="N573" t="s">
        <v>122</v>
      </c>
      <c r="O573" t="s">
        <v>199</v>
      </c>
      <c r="P573">
        <v>1.1318318400431465E-2</v>
      </c>
      <c r="Q573" t="s">
        <v>84</v>
      </c>
      <c r="S573" t="s">
        <v>137</v>
      </c>
      <c r="T573" t="s">
        <v>199</v>
      </c>
      <c r="U573">
        <v>1.1367588974145052E-2</v>
      </c>
      <c r="V573" t="s">
        <v>84</v>
      </c>
    </row>
    <row r="574" spans="9:22" x14ac:dyDescent="0.45">
      <c r="I574" t="s">
        <v>106</v>
      </c>
      <c r="J574" t="s">
        <v>200</v>
      </c>
      <c r="K574">
        <v>0</v>
      </c>
      <c r="L574" t="s">
        <v>84</v>
      </c>
      <c r="N574" t="s">
        <v>122</v>
      </c>
      <c r="O574" t="s">
        <v>200</v>
      </c>
      <c r="P574">
        <v>5.5469039948866351E-2</v>
      </c>
      <c r="Q574" t="s">
        <v>84</v>
      </c>
      <c r="S574" t="s">
        <v>137</v>
      </c>
      <c r="T574" t="s">
        <v>200</v>
      </c>
      <c r="U574">
        <v>5.6565964416525748E-2</v>
      </c>
      <c r="V574" t="s">
        <v>84</v>
      </c>
    </row>
    <row r="575" spans="9:22" x14ac:dyDescent="0.45">
      <c r="I575" t="s">
        <v>106</v>
      </c>
      <c r="J575" t="s">
        <v>201</v>
      </c>
      <c r="K575">
        <v>6.031559674484625E-3</v>
      </c>
      <c r="L575" t="s">
        <v>84</v>
      </c>
      <c r="N575" t="s">
        <v>122</v>
      </c>
      <c r="O575" t="s">
        <v>201</v>
      </c>
      <c r="P575">
        <v>2.7163182806202071E-2</v>
      </c>
      <c r="Q575" t="s">
        <v>84</v>
      </c>
      <c r="S575" t="s">
        <v>137</v>
      </c>
      <c r="T575" t="s">
        <v>201</v>
      </c>
      <c r="U575">
        <v>3.4948205247675279E-2</v>
      </c>
      <c r="V575" t="s">
        <v>84</v>
      </c>
    </row>
    <row r="576" spans="9:22" x14ac:dyDescent="0.45">
      <c r="I576" t="s">
        <v>106</v>
      </c>
      <c r="J576" t="s">
        <v>202</v>
      </c>
      <c r="K576">
        <v>3.516286729981527E-2</v>
      </c>
      <c r="L576" t="s">
        <v>84</v>
      </c>
      <c r="N576" t="s">
        <v>122</v>
      </c>
      <c r="O576" t="s">
        <v>202</v>
      </c>
      <c r="P576">
        <v>2.0087749990774308E-2</v>
      </c>
      <c r="Q576" t="s">
        <v>84</v>
      </c>
      <c r="S576" t="s">
        <v>137</v>
      </c>
      <c r="T576" t="s">
        <v>202</v>
      </c>
      <c r="U576">
        <v>1.9983878493963041E-2</v>
      </c>
      <c r="V576" t="s">
        <v>84</v>
      </c>
    </row>
    <row r="577" spans="9:22" x14ac:dyDescent="0.45">
      <c r="I577" t="s">
        <v>106</v>
      </c>
      <c r="J577" t="s">
        <v>203</v>
      </c>
      <c r="K577">
        <v>5.8391454744174627E-2</v>
      </c>
      <c r="L577" t="s">
        <v>84</v>
      </c>
      <c r="N577" t="s">
        <v>122</v>
      </c>
      <c r="O577" t="s">
        <v>203</v>
      </c>
      <c r="P577">
        <v>4.0267052949103072E-2</v>
      </c>
      <c r="Q577" t="s">
        <v>84</v>
      </c>
      <c r="S577" t="s">
        <v>137</v>
      </c>
      <c r="T577" t="s">
        <v>203</v>
      </c>
      <c r="U577">
        <v>3.1736738732596859E-2</v>
      </c>
      <c r="V577" t="s">
        <v>84</v>
      </c>
    </row>
    <row r="578" spans="9:22" x14ac:dyDescent="0.45">
      <c r="I578" t="s">
        <v>106</v>
      </c>
      <c r="J578" t="s">
        <v>204</v>
      </c>
      <c r="K578">
        <v>6.600559299367665E-3</v>
      </c>
      <c r="L578" t="s">
        <v>84</v>
      </c>
      <c r="N578" t="s">
        <v>122</v>
      </c>
      <c r="O578" t="s">
        <v>204</v>
      </c>
      <c r="P578">
        <v>5.2236582682863584E-3</v>
      </c>
      <c r="Q578" t="s">
        <v>84</v>
      </c>
      <c r="S578" t="s">
        <v>137</v>
      </c>
      <c r="T578" t="s">
        <v>204</v>
      </c>
      <c r="U578">
        <v>5.1459183833175992E-3</v>
      </c>
      <c r="V578" t="s">
        <v>84</v>
      </c>
    </row>
    <row r="579" spans="9:22" x14ac:dyDescent="0.45">
      <c r="I579" t="s">
        <v>106</v>
      </c>
      <c r="J579" t="s">
        <v>205</v>
      </c>
      <c r="K579">
        <v>3.8605911591348529E-3</v>
      </c>
      <c r="L579" t="s">
        <v>84</v>
      </c>
      <c r="N579" t="s">
        <v>122</v>
      </c>
      <c r="O579" t="s">
        <v>205</v>
      </c>
      <c r="P579">
        <v>4.6675364037311205E-3</v>
      </c>
      <c r="Q579" t="s">
        <v>84</v>
      </c>
      <c r="S579" t="s">
        <v>137</v>
      </c>
      <c r="T579" t="s">
        <v>205</v>
      </c>
      <c r="U579">
        <v>5.0273159863112506E-3</v>
      </c>
      <c r="V579" t="s">
        <v>84</v>
      </c>
    </row>
    <row r="580" spans="9:22" x14ac:dyDescent="0.45">
      <c r="I580" t="s">
        <v>106</v>
      </c>
      <c r="J580" t="s">
        <v>206</v>
      </c>
      <c r="K580">
        <v>0</v>
      </c>
      <c r="L580" t="s">
        <v>84</v>
      </c>
      <c r="N580" t="s">
        <v>122</v>
      </c>
      <c r="O580" t="s">
        <v>206</v>
      </c>
      <c r="P580">
        <v>2.1009554231722988E-2</v>
      </c>
      <c r="Q580" t="s">
        <v>84</v>
      </c>
      <c r="S580" t="s">
        <v>137</v>
      </c>
      <c r="T580" t="s">
        <v>206</v>
      </c>
      <c r="U580">
        <v>2.3062471056127978E-2</v>
      </c>
      <c r="V580" t="s">
        <v>84</v>
      </c>
    </row>
    <row r="581" spans="9:22" x14ac:dyDescent="0.45">
      <c r="I581" t="s">
        <v>106</v>
      </c>
      <c r="J581" t="s">
        <v>207</v>
      </c>
      <c r="K581">
        <v>1.9808088774423815E-2</v>
      </c>
      <c r="L581" t="s">
        <v>84</v>
      </c>
      <c r="N581" t="s">
        <v>122</v>
      </c>
      <c r="O581" t="s">
        <v>207</v>
      </c>
      <c r="P581">
        <v>3.4472999382024083E-2</v>
      </c>
      <c r="Q581" t="s">
        <v>84</v>
      </c>
      <c r="S581" t="s">
        <v>137</v>
      </c>
      <c r="T581" t="s">
        <v>207</v>
      </c>
      <c r="U581">
        <v>3.7923115182970799E-2</v>
      </c>
      <c r="V581" t="s">
        <v>84</v>
      </c>
    </row>
    <row r="582" spans="9:22" x14ac:dyDescent="0.45">
      <c r="I582" t="s">
        <v>106</v>
      </c>
      <c r="J582" t="s">
        <v>208</v>
      </c>
      <c r="K582">
        <v>7.6680914221898114E-2</v>
      </c>
      <c r="L582" t="s">
        <v>84</v>
      </c>
      <c r="N582" t="s">
        <v>122</v>
      </c>
      <c r="O582" t="s">
        <v>208</v>
      </c>
      <c r="P582">
        <v>2.217662512419764E-2</v>
      </c>
      <c r="Q582" t="s">
        <v>84</v>
      </c>
      <c r="S582" t="s">
        <v>137</v>
      </c>
      <c r="T582" t="s">
        <v>208</v>
      </c>
      <c r="U582">
        <v>2.4053169844634403E-2</v>
      </c>
      <c r="V582" t="s">
        <v>84</v>
      </c>
    </row>
    <row r="583" spans="9:22" x14ac:dyDescent="0.45">
      <c r="I583" t="s">
        <v>106</v>
      </c>
      <c r="J583" t="s">
        <v>209</v>
      </c>
      <c r="K583">
        <v>0.12392407001610239</v>
      </c>
      <c r="L583" t="s">
        <v>84</v>
      </c>
      <c r="N583" t="s">
        <v>122</v>
      </c>
      <c r="O583" t="s">
        <v>209</v>
      </c>
      <c r="P583">
        <v>4.8797769494153216E-2</v>
      </c>
      <c r="Q583" t="s">
        <v>84</v>
      </c>
      <c r="S583" t="s">
        <v>137</v>
      </c>
      <c r="T583" t="s">
        <v>209</v>
      </c>
      <c r="U583">
        <v>3.8252166143805236E-2</v>
      </c>
      <c r="V583" t="s">
        <v>84</v>
      </c>
    </row>
    <row r="584" spans="9:22" x14ac:dyDescent="0.45">
      <c r="I584" t="s">
        <v>106</v>
      </c>
      <c r="J584" t="s">
        <v>210</v>
      </c>
      <c r="K584">
        <v>1.4418531529876266E-2</v>
      </c>
      <c r="L584" t="s">
        <v>84</v>
      </c>
      <c r="N584" t="s">
        <v>122</v>
      </c>
      <c r="O584" t="s">
        <v>210</v>
      </c>
      <c r="P584">
        <v>6.4015860507597305E-3</v>
      </c>
      <c r="Q584" t="s">
        <v>84</v>
      </c>
      <c r="S584" t="s">
        <v>137</v>
      </c>
      <c r="T584" t="s">
        <v>210</v>
      </c>
      <c r="U584">
        <v>6.4291935185904082E-3</v>
      </c>
      <c r="V584" t="s">
        <v>84</v>
      </c>
    </row>
    <row r="585" spans="9:22" x14ac:dyDescent="0.45">
      <c r="I585" t="s">
        <v>106</v>
      </c>
      <c r="J585" t="s">
        <v>211</v>
      </c>
      <c r="K585">
        <v>1.0924727654186263E-2</v>
      </c>
      <c r="L585" t="s">
        <v>84</v>
      </c>
      <c r="N585" t="s">
        <v>122</v>
      </c>
      <c r="O585" t="s">
        <v>211</v>
      </c>
      <c r="P585">
        <v>5.682592370026363E-3</v>
      </c>
      <c r="Q585" t="s">
        <v>84</v>
      </c>
      <c r="S585" t="s">
        <v>137</v>
      </c>
      <c r="T585" t="s">
        <v>211</v>
      </c>
      <c r="U585">
        <v>6.0135221289521323E-3</v>
      </c>
      <c r="V585" t="s">
        <v>84</v>
      </c>
    </row>
    <row r="586" spans="9:22" x14ac:dyDescent="0.45">
      <c r="I586" t="s">
        <v>106</v>
      </c>
      <c r="J586" t="s">
        <v>212</v>
      </c>
      <c r="K586">
        <v>4.1023227879827973E-3</v>
      </c>
      <c r="L586" t="s">
        <v>84</v>
      </c>
      <c r="N586" t="s">
        <v>122</v>
      </c>
      <c r="O586" t="s">
        <v>212</v>
      </c>
      <c r="P586">
        <v>2.439958627462583E-2</v>
      </c>
      <c r="Q586" t="s">
        <v>84</v>
      </c>
      <c r="S586" t="s">
        <v>137</v>
      </c>
      <c r="T586" t="s">
        <v>212</v>
      </c>
      <c r="U586">
        <v>2.7941102843352775E-2</v>
      </c>
      <c r="V586" t="s">
        <v>84</v>
      </c>
    </row>
    <row r="587" spans="9:22" x14ac:dyDescent="0.45">
      <c r="I587" t="s">
        <v>107</v>
      </c>
      <c r="J587" t="s">
        <v>83</v>
      </c>
      <c r="K587">
        <v>9.8004702223207004E-3</v>
      </c>
      <c r="L587" t="s">
        <v>84</v>
      </c>
      <c r="N587" t="s">
        <v>123</v>
      </c>
      <c r="O587" t="s">
        <v>83</v>
      </c>
      <c r="P587">
        <v>3.084723282405985E-2</v>
      </c>
      <c r="Q587" t="s">
        <v>84</v>
      </c>
      <c r="S587" t="s">
        <v>138</v>
      </c>
      <c r="T587" t="s">
        <v>83</v>
      </c>
      <c r="U587">
        <v>2.4732841006062167E-2</v>
      </c>
      <c r="V587" t="s">
        <v>84</v>
      </c>
    </row>
    <row r="588" spans="9:22" x14ac:dyDescent="0.45">
      <c r="I588" t="s">
        <v>107</v>
      </c>
      <c r="J588" t="s">
        <v>85</v>
      </c>
      <c r="K588">
        <v>4.3949579347565527E-2</v>
      </c>
      <c r="L588" t="s">
        <v>84</v>
      </c>
      <c r="N588" t="s">
        <v>123</v>
      </c>
      <c r="O588" t="s">
        <v>85</v>
      </c>
      <c r="P588">
        <v>1.8884934122020677E-2</v>
      </c>
      <c r="Q588" t="s">
        <v>84</v>
      </c>
      <c r="S588" t="s">
        <v>138</v>
      </c>
      <c r="T588" t="s">
        <v>85</v>
      </c>
      <c r="U588">
        <v>1.3695981676393422E-2</v>
      </c>
      <c r="V588" t="s">
        <v>84</v>
      </c>
    </row>
    <row r="589" spans="9:22" x14ac:dyDescent="0.45">
      <c r="I589" t="s">
        <v>107</v>
      </c>
      <c r="J589" t="s">
        <v>86</v>
      </c>
      <c r="K589">
        <v>7.3410036099189113E-2</v>
      </c>
      <c r="L589" t="s">
        <v>84</v>
      </c>
      <c r="N589" t="s">
        <v>123</v>
      </c>
      <c r="O589" t="s">
        <v>86</v>
      </c>
      <c r="P589">
        <v>4.1715712211050603E-2</v>
      </c>
      <c r="Q589" t="s">
        <v>84</v>
      </c>
      <c r="S589" t="s">
        <v>138</v>
      </c>
      <c r="T589" t="s">
        <v>86</v>
      </c>
      <c r="U589">
        <v>1.9885578234954373E-2</v>
      </c>
      <c r="V589" t="s">
        <v>84</v>
      </c>
    </row>
    <row r="590" spans="9:22" x14ac:dyDescent="0.45">
      <c r="I590" t="s">
        <v>107</v>
      </c>
      <c r="J590" t="s">
        <v>177</v>
      </c>
      <c r="K590">
        <v>9.9997574550196866E-3</v>
      </c>
      <c r="L590" t="s">
        <v>84</v>
      </c>
      <c r="N590" t="s">
        <v>123</v>
      </c>
      <c r="O590" t="s">
        <v>177</v>
      </c>
      <c r="P590">
        <v>5.6096840386403541E-3</v>
      </c>
      <c r="Q590" t="s">
        <v>84</v>
      </c>
      <c r="S590" t="s">
        <v>138</v>
      </c>
      <c r="T590" t="s">
        <v>177</v>
      </c>
      <c r="U590">
        <v>3.3043183414472074E-3</v>
      </c>
      <c r="V590" t="s">
        <v>84</v>
      </c>
    </row>
    <row r="591" spans="9:22" x14ac:dyDescent="0.45">
      <c r="I591" t="s">
        <v>107</v>
      </c>
      <c r="J591" t="s">
        <v>178</v>
      </c>
      <c r="K591">
        <v>8.4357264821257501E-3</v>
      </c>
      <c r="L591" t="s">
        <v>84</v>
      </c>
      <c r="N591" t="s">
        <v>123</v>
      </c>
      <c r="O591" t="s">
        <v>178</v>
      </c>
      <c r="P591">
        <v>4.7523659010750485E-3</v>
      </c>
      <c r="Q591" t="s">
        <v>84</v>
      </c>
      <c r="S591" t="s">
        <v>138</v>
      </c>
      <c r="T591" t="s">
        <v>178</v>
      </c>
      <c r="U591">
        <v>3.2509584872203565E-3</v>
      </c>
      <c r="V591" t="s">
        <v>84</v>
      </c>
    </row>
    <row r="592" spans="9:22" x14ac:dyDescent="0.45">
      <c r="I592" t="s">
        <v>107</v>
      </c>
      <c r="J592" t="s">
        <v>179</v>
      </c>
      <c r="K592">
        <v>5.4410028281286112E-3</v>
      </c>
      <c r="L592" t="s">
        <v>84</v>
      </c>
      <c r="N592" t="s">
        <v>123</v>
      </c>
      <c r="O592" t="s">
        <v>179</v>
      </c>
      <c r="P592">
        <v>2.160416093003846E-2</v>
      </c>
      <c r="Q592" t="s">
        <v>84</v>
      </c>
      <c r="S592" t="s">
        <v>138</v>
      </c>
      <c r="T592" t="s">
        <v>179</v>
      </c>
      <c r="U592">
        <v>1.609055933664031E-2</v>
      </c>
      <c r="V592" t="s">
        <v>84</v>
      </c>
    </row>
    <row r="593" spans="9:22" x14ac:dyDescent="0.45">
      <c r="I593" t="s">
        <v>107</v>
      </c>
      <c r="J593" t="s">
        <v>87</v>
      </c>
      <c r="K593">
        <v>4.9621981549336641E-3</v>
      </c>
      <c r="L593" t="s">
        <v>84</v>
      </c>
      <c r="N593" t="s">
        <v>123</v>
      </c>
      <c r="O593" t="s">
        <v>87</v>
      </c>
      <c r="P593">
        <v>8.2758184535614478E-3</v>
      </c>
      <c r="Q593" t="s">
        <v>84</v>
      </c>
      <c r="S593" t="s">
        <v>138</v>
      </c>
      <c r="T593" t="s">
        <v>87</v>
      </c>
      <c r="U593">
        <v>1.9146016721932207E-2</v>
      </c>
      <c r="V593" t="s">
        <v>84</v>
      </c>
    </row>
    <row r="594" spans="9:22" x14ac:dyDescent="0.45">
      <c r="I594" t="s">
        <v>107</v>
      </c>
      <c r="J594" t="s">
        <v>88</v>
      </c>
      <c r="K594">
        <v>3.7149994041470305E-2</v>
      </c>
      <c r="L594" t="s">
        <v>84</v>
      </c>
      <c r="N594" t="s">
        <v>123</v>
      </c>
      <c r="O594" t="s">
        <v>88</v>
      </c>
      <c r="P594">
        <v>3.4715389835871381E-3</v>
      </c>
      <c r="Q594" t="s">
        <v>84</v>
      </c>
      <c r="S594" t="s">
        <v>138</v>
      </c>
      <c r="T594" t="s">
        <v>88</v>
      </c>
      <c r="U594">
        <v>1.0310761637381854E-2</v>
      </c>
      <c r="V594" t="s">
        <v>84</v>
      </c>
    </row>
    <row r="595" spans="9:22" x14ac:dyDescent="0.45">
      <c r="I595" t="s">
        <v>107</v>
      </c>
      <c r="J595" t="s">
        <v>89</v>
      </c>
      <c r="K595">
        <v>6.2133541738378713E-2</v>
      </c>
      <c r="L595" t="s">
        <v>84</v>
      </c>
      <c r="N595" t="s">
        <v>123</v>
      </c>
      <c r="O595" t="s">
        <v>89</v>
      </c>
      <c r="P595">
        <v>7.3490462503780123E-3</v>
      </c>
      <c r="Q595" t="s">
        <v>84</v>
      </c>
      <c r="S595" t="s">
        <v>138</v>
      </c>
      <c r="T595" t="s">
        <v>89</v>
      </c>
      <c r="U595">
        <v>1.6333535323388073E-2</v>
      </c>
      <c r="V595" t="s">
        <v>84</v>
      </c>
    </row>
    <row r="596" spans="9:22" x14ac:dyDescent="0.45">
      <c r="I596" t="s">
        <v>107</v>
      </c>
      <c r="J596" t="s">
        <v>180</v>
      </c>
      <c r="K596">
        <v>8.2902377758074988E-3</v>
      </c>
      <c r="L596" t="s">
        <v>84</v>
      </c>
      <c r="N596" t="s">
        <v>123</v>
      </c>
      <c r="O596" t="s">
        <v>180</v>
      </c>
      <c r="P596">
        <v>1.013319861896891E-3</v>
      </c>
      <c r="Q596" t="s">
        <v>84</v>
      </c>
      <c r="S596" t="s">
        <v>138</v>
      </c>
      <c r="T596" t="s">
        <v>180</v>
      </c>
      <c r="U596">
        <v>2.738239892841061E-3</v>
      </c>
      <c r="V596" t="s">
        <v>84</v>
      </c>
    </row>
    <row r="597" spans="9:22" x14ac:dyDescent="0.45">
      <c r="I597" t="s">
        <v>107</v>
      </c>
      <c r="J597" t="s">
        <v>181</v>
      </c>
      <c r="K597">
        <v>6.6326526502750996E-3</v>
      </c>
      <c r="L597" t="s">
        <v>84</v>
      </c>
      <c r="N597" t="s">
        <v>123</v>
      </c>
      <c r="O597" t="s">
        <v>181</v>
      </c>
      <c r="P597">
        <v>8.4314014699707904E-4</v>
      </c>
      <c r="Q597" t="s">
        <v>84</v>
      </c>
      <c r="S597" t="s">
        <v>138</v>
      </c>
      <c r="T597" t="s">
        <v>181</v>
      </c>
      <c r="U597">
        <v>2.8040924183898698E-3</v>
      </c>
      <c r="V597" t="s">
        <v>84</v>
      </c>
    </row>
    <row r="598" spans="9:22" x14ac:dyDescent="0.45">
      <c r="I598" t="s">
        <v>107</v>
      </c>
      <c r="J598" t="s">
        <v>182</v>
      </c>
      <c r="K598">
        <v>2.726933391547128E-3</v>
      </c>
      <c r="L598" t="s">
        <v>84</v>
      </c>
      <c r="N598" t="s">
        <v>123</v>
      </c>
      <c r="O598" t="s">
        <v>182</v>
      </c>
      <c r="P598">
        <v>4.8118704933755941E-3</v>
      </c>
      <c r="Q598" t="s">
        <v>84</v>
      </c>
      <c r="S598" t="s">
        <v>138</v>
      </c>
      <c r="T598" t="s">
        <v>182</v>
      </c>
      <c r="U598">
        <v>1.4104582678227161E-2</v>
      </c>
      <c r="V598" t="s">
        <v>84</v>
      </c>
    </row>
    <row r="599" spans="9:22" x14ac:dyDescent="0.45">
      <c r="I599" t="s">
        <v>107</v>
      </c>
      <c r="J599" t="s">
        <v>90</v>
      </c>
      <c r="K599">
        <v>4.8590255878886313E-4</v>
      </c>
      <c r="L599" t="s">
        <v>84</v>
      </c>
      <c r="N599" t="s">
        <v>123</v>
      </c>
      <c r="O599" t="s">
        <v>90</v>
      </c>
      <c r="P599">
        <v>1.1762497153529996E-2</v>
      </c>
      <c r="Q599" t="s">
        <v>84</v>
      </c>
      <c r="S599" t="s">
        <v>138</v>
      </c>
      <c r="T599" t="s">
        <v>90</v>
      </c>
      <c r="U599">
        <v>1.9313755126550199E-2</v>
      </c>
      <c r="V599" t="s">
        <v>84</v>
      </c>
    </row>
    <row r="600" spans="9:22" x14ac:dyDescent="0.45">
      <c r="I600" t="s">
        <v>107</v>
      </c>
      <c r="J600" t="s">
        <v>91</v>
      </c>
      <c r="K600">
        <v>2.578825539757176E-2</v>
      </c>
      <c r="L600" t="s">
        <v>84</v>
      </c>
      <c r="N600" t="s">
        <v>123</v>
      </c>
      <c r="O600" t="s">
        <v>91</v>
      </c>
      <c r="P600">
        <v>5.9759923457386663E-3</v>
      </c>
      <c r="Q600" t="s">
        <v>84</v>
      </c>
      <c r="S600" t="s">
        <v>138</v>
      </c>
      <c r="T600" t="s">
        <v>91</v>
      </c>
      <c r="U600">
        <v>9.9571666792329493E-3</v>
      </c>
      <c r="V600" t="s">
        <v>84</v>
      </c>
    </row>
    <row r="601" spans="9:22" x14ac:dyDescent="0.45">
      <c r="I601" t="s">
        <v>107</v>
      </c>
      <c r="J601" t="s">
        <v>92</v>
      </c>
      <c r="K601">
        <v>4.899911942339371E-2</v>
      </c>
      <c r="L601" t="s">
        <v>84</v>
      </c>
      <c r="N601" t="s">
        <v>123</v>
      </c>
      <c r="O601" t="s">
        <v>92</v>
      </c>
      <c r="P601">
        <v>1.4527748571235052E-2</v>
      </c>
      <c r="Q601" t="s">
        <v>84</v>
      </c>
      <c r="S601" t="s">
        <v>138</v>
      </c>
      <c r="T601" t="s">
        <v>92</v>
      </c>
      <c r="U601">
        <v>1.6558535796570892E-2</v>
      </c>
      <c r="V601" t="s">
        <v>84</v>
      </c>
    </row>
    <row r="602" spans="9:22" x14ac:dyDescent="0.45">
      <c r="I602" t="s">
        <v>107</v>
      </c>
      <c r="J602" t="s">
        <v>183</v>
      </c>
      <c r="K602">
        <v>5.9184543551179169E-3</v>
      </c>
      <c r="L602" t="s">
        <v>84</v>
      </c>
      <c r="N602" t="s">
        <v>123</v>
      </c>
      <c r="O602" t="s">
        <v>183</v>
      </c>
      <c r="P602">
        <v>1.9939480544942795E-3</v>
      </c>
      <c r="Q602" t="s">
        <v>84</v>
      </c>
      <c r="S602" t="s">
        <v>138</v>
      </c>
      <c r="T602" t="s">
        <v>183</v>
      </c>
      <c r="U602">
        <v>2.9780429108499026E-3</v>
      </c>
      <c r="V602" t="s">
        <v>84</v>
      </c>
    </row>
    <row r="603" spans="9:22" x14ac:dyDescent="0.45">
      <c r="I603" t="s">
        <v>107</v>
      </c>
      <c r="J603" t="s">
        <v>184</v>
      </c>
      <c r="K603">
        <v>3.0387328633165456E-3</v>
      </c>
      <c r="L603" t="s">
        <v>84</v>
      </c>
      <c r="N603" t="s">
        <v>123</v>
      </c>
      <c r="O603" t="s">
        <v>184</v>
      </c>
      <c r="P603">
        <v>1.8307440103109652E-3</v>
      </c>
      <c r="Q603" t="s">
        <v>84</v>
      </c>
      <c r="S603" t="s">
        <v>138</v>
      </c>
      <c r="T603" t="s">
        <v>184</v>
      </c>
      <c r="U603">
        <v>3.0561890233099208E-3</v>
      </c>
      <c r="V603" t="s">
        <v>84</v>
      </c>
    </row>
    <row r="604" spans="9:22" x14ac:dyDescent="0.45">
      <c r="I604" t="s">
        <v>107</v>
      </c>
      <c r="J604" t="s">
        <v>185</v>
      </c>
      <c r="K604">
        <v>0</v>
      </c>
      <c r="L604" t="s">
        <v>84</v>
      </c>
      <c r="N604" t="s">
        <v>123</v>
      </c>
      <c r="O604" t="s">
        <v>185</v>
      </c>
      <c r="P604">
        <v>8.7033896228036738E-3</v>
      </c>
      <c r="Q604" t="s">
        <v>84</v>
      </c>
      <c r="S604" t="s">
        <v>138</v>
      </c>
      <c r="T604" t="s">
        <v>185</v>
      </c>
      <c r="U604">
        <v>1.5120728516727577E-2</v>
      </c>
      <c r="V604" t="s">
        <v>84</v>
      </c>
    </row>
    <row r="605" spans="9:22" x14ac:dyDescent="0.45">
      <c r="I605" t="s">
        <v>107</v>
      </c>
      <c r="J605" t="s">
        <v>93</v>
      </c>
      <c r="K605">
        <v>0</v>
      </c>
      <c r="L605" t="s">
        <v>84</v>
      </c>
      <c r="N605" t="s">
        <v>123</v>
      </c>
      <c r="O605" t="s">
        <v>93</v>
      </c>
      <c r="P605">
        <v>4.8357674696335069E-2</v>
      </c>
      <c r="Q605" t="s">
        <v>84</v>
      </c>
      <c r="S605" t="s">
        <v>138</v>
      </c>
      <c r="T605" t="s">
        <v>93</v>
      </c>
      <c r="U605">
        <v>5.5643638174273799E-2</v>
      </c>
      <c r="V605" t="s">
        <v>84</v>
      </c>
    </row>
    <row r="606" spans="9:22" x14ac:dyDescent="0.45">
      <c r="I606" t="s">
        <v>107</v>
      </c>
      <c r="J606" t="s">
        <v>94</v>
      </c>
      <c r="K606">
        <v>2.8621555684472843E-2</v>
      </c>
      <c r="L606" t="s">
        <v>84</v>
      </c>
      <c r="N606" t="s">
        <v>123</v>
      </c>
      <c r="O606" t="s">
        <v>94</v>
      </c>
      <c r="P606">
        <v>2.239915664764771E-2</v>
      </c>
      <c r="Q606" t="s">
        <v>84</v>
      </c>
      <c r="S606" t="s">
        <v>138</v>
      </c>
      <c r="T606" t="s">
        <v>94</v>
      </c>
      <c r="U606">
        <v>3.1528023106814226E-2</v>
      </c>
      <c r="V606" t="s">
        <v>84</v>
      </c>
    </row>
    <row r="607" spans="9:22" x14ac:dyDescent="0.45">
      <c r="I607" t="s">
        <v>107</v>
      </c>
      <c r="J607" t="s">
        <v>95</v>
      </c>
      <c r="K607">
        <v>5.7294988543536221E-2</v>
      </c>
      <c r="L607" t="s">
        <v>84</v>
      </c>
      <c r="N607" t="s">
        <v>123</v>
      </c>
      <c r="O607" t="s">
        <v>95</v>
      </c>
      <c r="P607">
        <v>3.9664996995191923E-2</v>
      </c>
      <c r="Q607" t="s">
        <v>84</v>
      </c>
      <c r="S607" t="s">
        <v>138</v>
      </c>
      <c r="T607" t="s">
        <v>95</v>
      </c>
      <c r="U607">
        <v>4.5932441141495695E-2</v>
      </c>
      <c r="V607" t="s">
        <v>84</v>
      </c>
    </row>
    <row r="608" spans="9:22" x14ac:dyDescent="0.45">
      <c r="I608" t="s">
        <v>107</v>
      </c>
      <c r="J608" t="s">
        <v>186</v>
      </c>
      <c r="K608">
        <v>3.6162917425553412E-3</v>
      </c>
      <c r="L608" t="s">
        <v>84</v>
      </c>
      <c r="N608" t="s">
        <v>123</v>
      </c>
      <c r="O608" t="s">
        <v>186</v>
      </c>
      <c r="P608">
        <v>6.4013966897552149E-3</v>
      </c>
      <c r="Q608" t="s">
        <v>84</v>
      </c>
      <c r="S608" t="s">
        <v>138</v>
      </c>
      <c r="T608" t="s">
        <v>186</v>
      </c>
      <c r="U608">
        <v>7.6406380655779076E-3</v>
      </c>
      <c r="V608" t="s">
        <v>84</v>
      </c>
    </row>
    <row r="609" spans="9:22" x14ac:dyDescent="0.45">
      <c r="I609" t="s">
        <v>107</v>
      </c>
      <c r="J609" t="s">
        <v>187</v>
      </c>
      <c r="K609">
        <v>0</v>
      </c>
      <c r="L609" t="s">
        <v>84</v>
      </c>
      <c r="N609" t="s">
        <v>123</v>
      </c>
      <c r="O609" t="s">
        <v>187</v>
      </c>
      <c r="P609">
        <v>6.1956681011670692E-3</v>
      </c>
      <c r="Q609" t="s">
        <v>84</v>
      </c>
      <c r="S609" t="s">
        <v>138</v>
      </c>
      <c r="T609" t="s">
        <v>187</v>
      </c>
      <c r="U609">
        <v>7.6501272734189165E-3</v>
      </c>
      <c r="V609" t="s">
        <v>84</v>
      </c>
    </row>
    <row r="610" spans="9:22" x14ac:dyDescent="0.45">
      <c r="I610" t="s">
        <v>107</v>
      </c>
      <c r="J610" t="s">
        <v>188</v>
      </c>
      <c r="K610">
        <v>0</v>
      </c>
      <c r="L610" t="s">
        <v>84</v>
      </c>
      <c r="N610" t="s">
        <v>123</v>
      </c>
      <c r="O610" t="s">
        <v>188</v>
      </c>
      <c r="P610">
        <v>2.9798163842051067E-2</v>
      </c>
      <c r="Q610" t="s">
        <v>84</v>
      </c>
      <c r="S610" t="s">
        <v>138</v>
      </c>
      <c r="T610" t="s">
        <v>188</v>
      </c>
      <c r="U610">
        <v>3.8404881104856486E-2</v>
      </c>
      <c r="V610" t="s">
        <v>84</v>
      </c>
    </row>
    <row r="611" spans="9:22" x14ac:dyDescent="0.45">
      <c r="I611" t="s">
        <v>107</v>
      </c>
      <c r="J611" t="s">
        <v>189</v>
      </c>
      <c r="K611">
        <v>0</v>
      </c>
      <c r="L611" t="s">
        <v>84</v>
      </c>
      <c r="N611" t="s">
        <v>123</v>
      </c>
      <c r="O611" t="s">
        <v>189</v>
      </c>
      <c r="P611">
        <v>1.9325228665810452E-2</v>
      </c>
      <c r="Q611" t="s">
        <v>84</v>
      </c>
      <c r="S611" t="s">
        <v>138</v>
      </c>
      <c r="T611" t="s">
        <v>189</v>
      </c>
      <c r="U611">
        <v>2.3630493928983448E-2</v>
      </c>
      <c r="V611" t="s">
        <v>84</v>
      </c>
    </row>
    <row r="612" spans="9:22" x14ac:dyDescent="0.45">
      <c r="I612" t="s">
        <v>107</v>
      </c>
      <c r="J612" t="s">
        <v>190</v>
      </c>
      <c r="K612">
        <v>7.2316106539265824E-3</v>
      </c>
      <c r="L612" t="s">
        <v>84</v>
      </c>
      <c r="N612" t="s">
        <v>123</v>
      </c>
      <c r="O612" t="s">
        <v>190</v>
      </c>
      <c r="P612">
        <v>9.6656565830672315E-3</v>
      </c>
      <c r="Q612" t="s">
        <v>84</v>
      </c>
      <c r="S612" t="s">
        <v>138</v>
      </c>
      <c r="T612" t="s">
        <v>190</v>
      </c>
      <c r="U612">
        <v>1.3574065363552528E-2</v>
      </c>
      <c r="V612" t="s">
        <v>84</v>
      </c>
    </row>
    <row r="613" spans="9:22" x14ac:dyDescent="0.45">
      <c r="I613" t="s">
        <v>107</v>
      </c>
      <c r="J613" t="s">
        <v>191</v>
      </c>
      <c r="K613">
        <v>1.803533298447578E-2</v>
      </c>
      <c r="L613" t="s">
        <v>84</v>
      </c>
      <c r="N613" t="s">
        <v>123</v>
      </c>
      <c r="O613" t="s">
        <v>191</v>
      </c>
      <c r="P613">
        <v>1.8624563653044116E-2</v>
      </c>
      <c r="Q613" t="s">
        <v>84</v>
      </c>
      <c r="S613" t="s">
        <v>138</v>
      </c>
      <c r="T613" t="s">
        <v>191</v>
      </c>
      <c r="U613">
        <v>2.0767253631381599E-2</v>
      </c>
      <c r="V613" t="s">
        <v>84</v>
      </c>
    </row>
    <row r="614" spans="9:22" x14ac:dyDescent="0.45">
      <c r="I614" t="s">
        <v>107</v>
      </c>
      <c r="J614" t="s">
        <v>192</v>
      </c>
      <c r="K614">
        <v>0</v>
      </c>
      <c r="L614" t="s">
        <v>84</v>
      </c>
      <c r="N614" t="s">
        <v>123</v>
      </c>
      <c r="O614" t="s">
        <v>192</v>
      </c>
      <c r="P614">
        <v>3.2684298528021837E-3</v>
      </c>
      <c r="Q614" t="s">
        <v>84</v>
      </c>
      <c r="S614" t="s">
        <v>138</v>
      </c>
      <c r="T614" t="s">
        <v>192</v>
      </c>
      <c r="U614">
        <v>3.4348807402839617E-3</v>
      </c>
      <c r="V614" t="s">
        <v>84</v>
      </c>
    </row>
    <row r="615" spans="9:22" x14ac:dyDescent="0.45">
      <c r="I615" t="s">
        <v>107</v>
      </c>
      <c r="J615" t="s">
        <v>193</v>
      </c>
      <c r="K615">
        <v>0</v>
      </c>
      <c r="L615" t="s">
        <v>84</v>
      </c>
      <c r="N615" t="s">
        <v>123</v>
      </c>
      <c r="O615" t="s">
        <v>193</v>
      </c>
      <c r="P615">
        <v>3.3046339338901544E-3</v>
      </c>
      <c r="Q615" t="s">
        <v>84</v>
      </c>
      <c r="S615" t="s">
        <v>138</v>
      </c>
      <c r="T615" t="s">
        <v>193</v>
      </c>
      <c r="U615">
        <v>3.4268699040939971E-3</v>
      </c>
      <c r="V615" t="s">
        <v>84</v>
      </c>
    </row>
    <row r="616" spans="9:22" x14ac:dyDescent="0.45">
      <c r="I616" t="s">
        <v>107</v>
      </c>
      <c r="J616" t="s">
        <v>194</v>
      </c>
      <c r="K616">
        <v>0</v>
      </c>
      <c r="L616" t="s">
        <v>84</v>
      </c>
      <c r="N616" t="s">
        <v>123</v>
      </c>
      <c r="O616" t="s">
        <v>194</v>
      </c>
      <c r="P616">
        <v>1.5322500863095069E-2</v>
      </c>
      <c r="Q616" t="s">
        <v>84</v>
      </c>
      <c r="S616" t="s">
        <v>138</v>
      </c>
      <c r="T616" t="s">
        <v>194</v>
      </c>
      <c r="U616">
        <v>1.7375779880388287E-2</v>
      </c>
      <c r="V616" t="s">
        <v>84</v>
      </c>
    </row>
    <row r="617" spans="9:22" x14ac:dyDescent="0.45">
      <c r="I617" t="s">
        <v>107</v>
      </c>
      <c r="J617" t="s">
        <v>195</v>
      </c>
      <c r="K617">
        <v>4.5721840421858424E-4</v>
      </c>
      <c r="L617" t="s">
        <v>84</v>
      </c>
      <c r="N617" t="s">
        <v>123</v>
      </c>
      <c r="O617" t="s">
        <v>195</v>
      </c>
      <c r="P617">
        <v>9.015644568210765E-2</v>
      </c>
      <c r="Q617" t="s">
        <v>84</v>
      </c>
      <c r="S617" t="s">
        <v>138</v>
      </c>
      <c r="T617" t="s">
        <v>195</v>
      </c>
      <c r="U617">
        <v>8.0366998483211147E-2</v>
      </c>
      <c r="V617" t="s">
        <v>84</v>
      </c>
    </row>
    <row r="618" spans="9:22" x14ac:dyDescent="0.45">
      <c r="I618" t="s">
        <v>107</v>
      </c>
      <c r="J618" t="s">
        <v>196</v>
      </c>
      <c r="K618">
        <v>5.143943174393082E-2</v>
      </c>
      <c r="L618" t="s">
        <v>84</v>
      </c>
      <c r="N618" t="s">
        <v>123</v>
      </c>
      <c r="O618" t="s">
        <v>196</v>
      </c>
      <c r="P618">
        <v>4.3285976118008655E-2</v>
      </c>
      <c r="Q618" t="s">
        <v>84</v>
      </c>
      <c r="S618" t="s">
        <v>138</v>
      </c>
      <c r="T618" t="s">
        <v>196</v>
      </c>
      <c r="U618">
        <v>4.4618723639762131E-2</v>
      </c>
      <c r="V618" t="s">
        <v>84</v>
      </c>
    </row>
    <row r="619" spans="9:22" x14ac:dyDescent="0.45">
      <c r="I619" t="s">
        <v>107</v>
      </c>
      <c r="J619" t="s">
        <v>197</v>
      </c>
      <c r="K619">
        <v>0.10429951102834174</v>
      </c>
      <c r="L619" t="s">
        <v>84</v>
      </c>
      <c r="N619" t="s">
        <v>123</v>
      </c>
      <c r="O619" t="s">
        <v>197</v>
      </c>
      <c r="P619">
        <v>7.918965431207492E-2</v>
      </c>
      <c r="Q619" t="s">
        <v>84</v>
      </c>
      <c r="S619" t="s">
        <v>138</v>
      </c>
      <c r="T619" t="s">
        <v>197</v>
      </c>
      <c r="U619">
        <v>6.6242610569680269E-2</v>
      </c>
      <c r="V619" t="s">
        <v>84</v>
      </c>
    </row>
    <row r="620" spans="9:22" x14ac:dyDescent="0.45">
      <c r="I620" t="s">
        <v>107</v>
      </c>
      <c r="J620" t="s">
        <v>198</v>
      </c>
      <c r="K620">
        <v>8.3453891465247003E-3</v>
      </c>
      <c r="L620" t="s">
        <v>84</v>
      </c>
      <c r="N620" t="s">
        <v>123</v>
      </c>
      <c r="O620" t="s">
        <v>198</v>
      </c>
      <c r="P620">
        <v>1.2291101133543975E-2</v>
      </c>
      <c r="Q620" t="s">
        <v>84</v>
      </c>
      <c r="S620" t="s">
        <v>138</v>
      </c>
      <c r="T620" t="s">
        <v>198</v>
      </c>
      <c r="U620">
        <v>1.073518853018912E-2</v>
      </c>
      <c r="V620" t="s">
        <v>84</v>
      </c>
    </row>
    <row r="621" spans="9:22" x14ac:dyDescent="0.45">
      <c r="I621" t="s">
        <v>107</v>
      </c>
      <c r="J621" t="s">
        <v>199</v>
      </c>
      <c r="K621">
        <v>2.9362694483487745E-4</v>
      </c>
      <c r="L621" t="s">
        <v>84</v>
      </c>
      <c r="N621" t="s">
        <v>123</v>
      </c>
      <c r="O621" t="s">
        <v>199</v>
      </c>
      <c r="P621">
        <v>1.1666343379583314E-2</v>
      </c>
      <c r="Q621" t="s">
        <v>84</v>
      </c>
      <c r="S621" t="s">
        <v>138</v>
      </c>
      <c r="T621" t="s">
        <v>199</v>
      </c>
      <c r="U621">
        <v>1.0776218359796254E-2</v>
      </c>
      <c r="V621" t="s">
        <v>84</v>
      </c>
    </row>
    <row r="622" spans="9:22" x14ac:dyDescent="0.45">
      <c r="I622" t="s">
        <v>107</v>
      </c>
      <c r="J622" t="s">
        <v>200</v>
      </c>
      <c r="K622">
        <v>0</v>
      </c>
      <c r="L622" t="s">
        <v>84</v>
      </c>
      <c r="N622" t="s">
        <v>123</v>
      </c>
      <c r="O622" t="s">
        <v>200</v>
      </c>
      <c r="P622">
        <v>5.8968015009592062E-2</v>
      </c>
      <c r="Q622" t="s">
        <v>84</v>
      </c>
      <c r="S622" t="s">
        <v>138</v>
      </c>
      <c r="T622" t="s">
        <v>200</v>
      </c>
      <c r="U622">
        <v>5.5441462108522577E-2</v>
      </c>
      <c r="V622" t="s">
        <v>84</v>
      </c>
    </row>
    <row r="623" spans="9:22" x14ac:dyDescent="0.45">
      <c r="I623" t="s">
        <v>107</v>
      </c>
      <c r="J623" t="s">
        <v>201</v>
      </c>
      <c r="K623">
        <v>5.923476720890556E-3</v>
      </c>
      <c r="L623" t="s">
        <v>84</v>
      </c>
      <c r="N623" t="s">
        <v>123</v>
      </c>
      <c r="O623" t="s">
        <v>201</v>
      </c>
      <c r="P623">
        <v>4.3992627699099361E-2</v>
      </c>
      <c r="Q623" t="s">
        <v>84</v>
      </c>
      <c r="S623" t="s">
        <v>138</v>
      </c>
      <c r="T623" t="s">
        <v>201</v>
      </c>
      <c r="U623">
        <v>3.0935515394399409E-2</v>
      </c>
      <c r="V623" t="s">
        <v>84</v>
      </c>
    </row>
    <row r="624" spans="9:22" x14ac:dyDescent="0.45">
      <c r="I624" t="s">
        <v>107</v>
      </c>
      <c r="J624" t="s">
        <v>202</v>
      </c>
      <c r="K624">
        <v>3.7122875895711289E-2</v>
      </c>
      <c r="L624" t="s">
        <v>84</v>
      </c>
      <c r="N624" t="s">
        <v>123</v>
      </c>
      <c r="O624" t="s">
        <v>202</v>
      </c>
      <c r="P624">
        <v>2.5225488740595287E-2</v>
      </c>
      <c r="Q624" t="s">
        <v>84</v>
      </c>
      <c r="S624" t="s">
        <v>138</v>
      </c>
      <c r="T624" t="s">
        <v>202</v>
      </c>
      <c r="U624">
        <v>1.7572926631604521E-2</v>
      </c>
      <c r="V624" t="s">
        <v>84</v>
      </c>
    </row>
    <row r="625" spans="9:22" x14ac:dyDescent="0.45">
      <c r="I625" t="s">
        <v>107</v>
      </c>
      <c r="J625" t="s">
        <v>203</v>
      </c>
      <c r="K625">
        <v>5.8457494345351989E-2</v>
      </c>
      <c r="L625" t="s">
        <v>84</v>
      </c>
      <c r="N625" t="s">
        <v>123</v>
      </c>
      <c r="O625" t="s">
        <v>203</v>
      </c>
      <c r="P625">
        <v>4.9632320873343856E-2</v>
      </c>
      <c r="Q625" t="s">
        <v>84</v>
      </c>
      <c r="S625" t="s">
        <v>138</v>
      </c>
      <c r="T625" t="s">
        <v>203</v>
      </c>
      <c r="U625">
        <v>2.4849386402485421E-2</v>
      </c>
      <c r="V625" t="s">
        <v>84</v>
      </c>
    </row>
    <row r="626" spans="9:22" x14ac:dyDescent="0.45">
      <c r="I626" t="s">
        <v>107</v>
      </c>
      <c r="J626" t="s">
        <v>204</v>
      </c>
      <c r="K626">
        <v>6.9507673561605985E-3</v>
      </c>
      <c r="L626" t="s">
        <v>84</v>
      </c>
      <c r="N626" t="s">
        <v>123</v>
      </c>
      <c r="O626" t="s">
        <v>204</v>
      </c>
      <c r="P626">
        <v>7.3063462951719659E-3</v>
      </c>
      <c r="Q626" t="s">
        <v>84</v>
      </c>
      <c r="S626" t="s">
        <v>138</v>
      </c>
      <c r="T626" t="s">
        <v>204</v>
      </c>
      <c r="U626">
        <v>4.0081615066770914E-3</v>
      </c>
      <c r="V626" t="s">
        <v>84</v>
      </c>
    </row>
    <row r="627" spans="9:22" x14ac:dyDescent="0.45">
      <c r="I627" t="s">
        <v>107</v>
      </c>
      <c r="J627" t="s">
        <v>205</v>
      </c>
      <c r="K627">
        <v>4.7718450207092523E-3</v>
      </c>
      <c r="L627" t="s">
        <v>84</v>
      </c>
      <c r="N627" t="s">
        <v>123</v>
      </c>
      <c r="O627" t="s">
        <v>205</v>
      </c>
      <c r="P627">
        <v>7.3364372670507976E-3</v>
      </c>
      <c r="Q627" t="s">
        <v>84</v>
      </c>
      <c r="S627" t="s">
        <v>138</v>
      </c>
      <c r="T627" t="s">
        <v>205</v>
      </c>
      <c r="U627">
        <v>4.0095881548222285E-3</v>
      </c>
      <c r="V627" t="s">
        <v>84</v>
      </c>
    </row>
    <row r="628" spans="9:22" x14ac:dyDescent="0.45">
      <c r="I628" t="s">
        <v>107</v>
      </c>
      <c r="J628" t="s">
        <v>206</v>
      </c>
      <c r="K628">
        <v>0</v>
      </c>
      <c r="L628" t="s">
        <v>84</v>
      </c>
      <c r="N628" t="s">
        <v>123</v>
      </c>
      <c r="O628" t="s">
        <v>206</v>
      </c>
      <c r="P628">
        <v>3.2737632269379979E-2</v>
      </c>
      <c r="Q628" t="s">
        <v>84</v>
      </c>
      <c r="S628" t="s">
        <v>138</v>
      </c>
      <c r="T628" t="s">
        <v>206</v>
      </c>
      <c r="U628">
        <v>1.9782508073854871E-2</v>
      </c>
      <c r="V628" t="s">
        <v>84</v>
      </c>
    </row>
    <row r="629" spans="9:22" x14ac:dyDescent="0.45">
      <c r="I629" t="s">
        <v>107</v>
      </c>
      <c r="J629" t="s">
        <v>207</v>
      </c>
      <c r="K629">
        <v>1.8985846721786874E-2</v>
      </c>
      <c r="L629" t="s">
        <v>84</v>
      </c>
      <c r="N629" t="s">
        <v>123</v>
      </c>
      <c r="O629" t="s">
        <v>207</v>
      </c>
      <c r="P629">
        <v>2.9387869774383332E-2</v>
      </c>
      <c r="Q629" t="s">
        <v>84</v>
      </c>
      <c r="S629" t="s">
        <v>138</v>
      </c>
      <c r="T629" t="s">
        <v>207</v>
      </c>
      <c r="U629">
        <v>4.1785871737382053E-2</v>
      </c>
      <c r="V629" t="s">
        <v>84</v>
      </c>
    </row>
    <row r="630" spans="9:22" x14ac:dyDescent="0.45">
      <c r="I630" t="s">
        <v>107</v>
      </c>
      <c r="J630" t="s">
        <v>208</v>
      </c>
      <c r="K630">
        <v>7.6998722547808207E-2</v>
      </c>
      <c r="L630" t="s">
        <v>84</v>
      </c>
      <c r="N630" t="s">
        <v>123</v>
      </c>
      <c r="O630" t="s">
        <v>208</v>
      </c>
      <c r="P630">
        <v>2.0259789507420599E-2</v>
      </c>
      <c r="Q630" t="s">
        <v>84</v>
      </c>
      <c r="S630" t="s">
        <v>138</v>
      </c>
      <c r="T630" t="s">
        <v>208</v>
      </c>
      <c r="U630">
        <v>2.5335392081438143E-2</v>
      </c>
      <c r="V630" t="s">
        <v>84</v>
      </c>
    </row>
    <row r="631" spans="9:22" x14ac:dyDescent="0.45">
      <c r="I631" t="s">
        <v>107</v>
      </c>
      <c r="J631" t="s">
        <v>209</v>
      </c>
      <c r="K631">
        <v>0.12304060007140553</v>
      </c>
      <c r="L631" t="s">
        <v>84</v>
      </c>
      <c r="N631" t="s">
        <v>123</v>
      </c>
      <c r="O631" t="s">
        <v>209</v>
      </c>
      <c r="P631">
        <v>4.1262061428438183E-2</v>
      </c>
      <c r="Q631" t="s">
        <v>84</v>
      </c>
      <c r="S631" t="s">
        <v>138</v>
      </c>
      <c r="T631" t="s">
        <v>209</v>
      </c>
      <c r="U631">
        <v>3.85118802418047E-2</v>
      </c>
      <c r="V631" t="s">
        <v>84</v>
      </c>
    </row>
    <row r="632" spans="9:22" x14ac:dyDescent="0.45">
      <c r="I632" t="s">
        <v>107</v>
      </c>
      <c r="J632" t="s">
        <v>210</v>
      </c>
      <c r="K632">
        <v>1.4345273699341656E-2</v>
      </c>
      <c r="L632" t="s">
        <v>84</v>
      </c>
      <c r="N632" t="s">
        <v>123</v>
      </c>
      <c r="O632" t="s">
        <v>210</v>
      </c>
      <c r="P632">
        <v>5.3064123461391286E-3</v>
      </c>
      <c r="Q632" t="s">
        <v>84</v>
      </c>
      <c r="S632" t="s">
        <v>138</v>
      </c>
      <c r="T632" t="s">
        <v>210</v>
      </c>
      <c r="U632">
        <v>6.2426114266501548E-3</v>
      </c>
      <c r="V632" t="s">
        <v>84</v>
      </c>
    </row>
    <row r="633" spans="9:22" x14ac:dyDescent="0.45">
      <c r="I633" t="s">
        <v>107</v>
      </c>
      <c r="J633" t="s">
        <v>211</v>
      </c>
      <c r="K633">
        <v>1.1233169627808771E-2</v>
      </c>
      <c r="L633" t="s">
        <v>84</v>
      </c>
      <c r="N633" t="s">
        <v>123</v>
      </c>
      <c r="O633" t="s">
        <v>211</v>
      </c>
      <c r="P633">
        <v>4.7153378753077534E-3</v>
      </c>
      <c r="Q633" t="s">
        <v>84</v>
      </c>
      <c r="S633" t="s">
        <v>138</v>
      </c>
      <c r="T633" t="s">
        <v>211</v>
      </c>
      <c r="U633">
        <v>6.1208900653655328E-3</v>
      </c>
      <c r="V633" t="s">
        <v>84</v>
      </c>
    </row>
    <row r="634" spans="9:22" x14ac:dyDescent="0.45">
      <c r="I634" t="s">
        <v>107</v>
      </c>
      <c r="J634" t="s">
        <v>212</v>
      </c>
      <c r="K634">
        <v>5.3723763312593306E-3</v>
      </c>
      <c r="L634" t="s">
        <v>84</v>
      </c>
      <c r="N634" t="s">
        <v>123</v>
      </c>
      <c r="O634" t="s">
        <v>212</v>
      </c>
      <c r="P634">
        <v>2.0978925790106663E-2</v>
      </c>
      <c r="Q634" t="s">
        <v>84</v>
      </c>
      <c r="S634" t="s">
        <v>138</v>
      </c>
      <c r="T634" t="s">
        <v>212</v>
      </c>
      <c r="U634">
        <v>3.0273090469109358E-2</v>
      </c>
      <c r="V634" t="s">
        <v>84</v>
      </c>
    </row>
    <row r="635" spans="9:22" x14ac:dyDescent="0.45">
      <c r="I635" t="s">
        <v>108</v>
      </c>
      <c r="J635" t="s">
        <v>83</v>
      </c>
      <c r="K635">
        <v>7.8689247455969308E-3</v>
      </c>
      <c r="L635" t="s">
        <v>84</v>
      </c>
      <c r="N635" t="s">
        <v>124</v>
      </c>
      <c r="O635" t="s">
        <v>83</v>
      </c>
      <c r="P635">
        <v>3.0234411892928473E-2</v>
      </c>
      <c r="Q635" t="s">
        <v>84</v>
      </c>
      <c r="S635" t="s">
        <v>139</v>
      </c>
      <c r="T635" t="s">
        <v>83</v>
      </c>
      <c r="U635">
        <v>2.7622189813516242E-2</v>
      </c>
      <c r="V635" t="s">
        <v>84</v>
      </c>
    </row>
    <row r="636" spans="9:22" x14ac:dyDescent="0.45">
      <c r="I636" t="s">
        <v>108</v>
      </c>
      <c r="J636" t="s">
        <v>85</v>
      </c>
      <c r="K636">
        <v>4.2206940841194265E-2</v>
      </c>
      <c r="L636" t="s">
        <v>84</v>
      </c>
      <c r="N636" t="s">
        <v>124</v>
      </c>
      <c r="O636" t="s">
        <v>85</v>
      </c>
      <c r="P636">
        <v>1.8589164763721654E-2</v>
      </c>
      <c r="Q636" t="s">
        <v>84</v>
      </c>
      <c r="S636" t="s">
        <v>139</v>
      </c>
      <c r="T636" t="s">
        <v>85</v>
      </c>
      <c r="U636">
        <v>1.498690679321452E-2</v>
      </c>
      <c r="V636" t="s">
        <v>84</v>
      </c>
    </row>
    <row r="637" spans="9:22" x14ac:dyDescent="0.45">
      <c r="I637" t="s">
        <v>108</v>
      </c>
      <c r="J637" t="s">
        <v>86</v>
      </c>
      <c r="K637">
        <v>7.3063158657969168E-2</v>
      </c>
      <c r="L637" t="s">
        <v>84</v>
      </c>
      <c r="N637" t="s">
        <v>124</v>
      </c>
      <c r="O637" t="s">
        <v>86</v>
      </c>
      <c r="P637">
        <v>4.5955778777863041E-2</v>
      </c>
      <c r="Q637" t="s">
        <v>84</v>
      </c>
      <c r="S637" t="s">
        <v>139</v>
      </c>
      <c r="T637" t="s">
        <v>86</v>
      </c>
      <c r="U637">
        <v>2.3793434384621677E-2</v>
      </c>
      <c r="V637" t="s">
        <v>84</v>
      </c>
    </row>
    <row r="638" spans="9:22" x14ac:dyDescent="0.45">
      <c r="I638" t="s">
        <v>108</v>
      </c>
      <c r="J638" t="s">
        <v>177</v>
      </c>
      <c r="K638">
        <v>9.755589166489791E-3</v>
      </c>
      <c r="L638" t="s">
        <v>84</v>
      </c>
      <c r="N638" t="s">
        <v>124</v>
      </c>
      <c r="O638" t="s">
        <v>177</v>
      </c>
      <c r="P638">
        <v>6.2004279116260243E-3</v>
      </c>
      <c r="Q638" t="s">
        <v>84</v>
      </c>
      <c r="S638" t="s">
        <v>139</v>
      </c>
      <c r="T638" t="s">
        <v>177</v>
      </c>
      <c r="U638">
        <v>3.9796565796406938E-3</v>
      </c>
      <c r="V638" t="s">
        <v>84</v>
      </c>
    </row>
    <row r="639" spans="9:22" x14ac:dyDescent="0.45">
      <c r="I639" t="s">
        <v>108</v>
      </c>
      <c r="J639" t="s">
        <v>178</v>
      </c>
      <c r="K639">
        <v>7.8940946927161821E-3</v>
      </c>
      <c r="L639" t="s">
        <v>84</v>
      </c>
      <c r="N639" t="s">
        <v>124</v>
      </c>
      <c r="O639" t="s">
        <v>178</v>
      </c>
      <c r="P639">
        <v>5.2626427027845394E-3</v>
      </c>
      <c r="Q639" t="s">
        <v>84</v>
      </c>
      <c r="S639" t="s">
        <v>139</v>
      </c>
      <c r="T639" t="s">
        <v>178</v>
      </c>
      <c r="U639">
        <v>3.9365544851663247E-3</v>
      </c>
      <c r="V639" t="s">
        <v>84</v>
      </c>
    </row>
    <row r="640" spans="9:22" x14ac:dyDescent="0.45">
      <c r="I640" t="s">
        <v>108</v>
      </c>
      <c r="J640" t="s">
        <v>179</v>
      </c>
      <c r="K640">
        <v>5.0730033218508285E-3</v>
      </c>
      <c r="L640" t="s">
        <v>84</v>
      </c>
      <c r="N640" t="s">
        <v>124</v>
      </c>
      <c r="O640" t="s">
        <v>179</v>
      </c>
      <c r="P640">
        <v>2.0406927972919386E-2</v>
      </c>
      <c r="Q640" t="s">
        <v>84</v>
      </c>
      <c r="S640" t="s">
        <v>139</v>
      </c>
      <c r="T640" t="s">
        <v>179</v>
      </c>
      <c r="U640">
        <v>1.9386539854685317E-2</v>
      </c>
      <c r="V640" t="s">
        <v>84</v>
      </c>
    </row>
    <row r="641" spans="9:22" x14ac:dyDescent="0.45">
      <c r="I641" t="s">
        <v>108</v>
      </c>
      <c r="J641" t="s">
        <v>87</v>
      </c>
      <c r="K641">
        <v>4.8269881957877792E-3</v>
      </c>
      <c r="L641" t="s">
        <v>84</v>
      </c>
      <c r="N641" t="s">
        <v>124</v>
      </c>
      <c r="O641" t="s">
        <v>87</v>
      </c>
      <c r="P641">
        <v>7.9285091650605315E-3</v>
      </c>
      <c r="Q641" t="s">
        <v>84</v>
      </c>
      <c r="S641" t="s">
        <v>139</v>
      </c>
      <c r="T641" t="s">
        <v>87</v>
      </c>
      <c r="U641">
        <v>2.0763672095782029E-2</v>
      </c>
      <c r="V641" t="s">
        <v>84</v>
      </c>
    </row>
    <row r="642" spans="9:22" x14ac:dyDescent="0.45">
      <c r="I642" t="s">
        <v>108</v>
      </c>
      <c r="J642" t="s">
        <v>88</v>
      </c>
      <c r="K642">
        <v>3.8921361338752188E-2</v>
      </c>
      <c r="L642" t="s">
        <v>84</v>
      </c>
      <c r="N642" t="s">
        <v>124</v>
      </c>
      <c r="O642" t="s">
        <v>88</v>
      </c>
      <c r="P642">
        <v>3.6955113341145518E-3</v>
      </c>
      <c r="Q642" t="s">
        <v>84</v>
      </c>
      <c r="S642" t="s">
        <v>139</v>
      </c>
      <c r="T642" t="s">
        <v>88</v>
      </c>
      <c r="U642">
        <v>1.1944120965313266E-2</v>
      </c>
      <c r="V642" t="s">
        <v>84</v>
      </c>
    </row>
    <row r="643" spans="9:22" x14ac:dyDescent="0.45">
      <c r="I643" t="s">
        <v>108</v>
      </c>
      <c r="J643" t="s">
        <v>89</v>
      </c>
      <c r="K643">
        <v>6.686520301789671E-2</v>
      </c>
      <c r="L643" t="s">
        <v>84</v>
      </c>
      <c r="N643" t="s">
        <v>124</v>
      </c>
      <c r="O643" t="s">
        <v>89</v>
      </c>
      <c r="P643">
        <v>1.7089285986710692E-2</v>
      </c>
      <c r="Q643" t="s">
        <v>84</v>
      </c>
      <c r="S643" t="s">
        <v>139</v>
      </c>
      <c r="T643" t="s">
        <v>89</v>
      </c>
      <c r="U643">
        <v>2.0136322698289685E-2</v>
      </c>
      <c r="V643" t="s">
        <v>84</v>
      </c>
    </row>
    <row r="644" spans="9:22" x14ac:dyDescent="0.45">
      <c r="I644" t="s">
        <v>108</v>
      </c>
      <c r="J644" t="s">
        <v>180</v>
      </c>
      <c r="K644">
        <v>9.3215433900745749E-3</v>
      </c>
      <c r="L644" t="s">
        <v>84</v>
      </c>
      <c r="N644" t="s">
        <v>124</v>
      </c>
      <c r="O644" t="s">
        <v>180</v>
      </c>
      <c r="P644">
        <v>2.9653034046993503E-3</v>
      </c>
      <c r="Q644" t="s">
        <v>84</v>
      </c>
      <c r="S644" t="s">
        <v>139</v>
      </c>
      <c r="T644" t="s">
        <v>180</v>
      </c>
      <c r="U644">
        <v>3.380897543066533E-3</v>
      </c>
      <c r="V644" t="s">
        <v>84</v>
      </c>
    </row>
    <row r="645" spans="9:22" x14ac:dyDescent="0.45">
      <c r="I645" t="s">
        <v>108</v>
      </c>
      <c r="J645" t="s">
        <v>181</v>
      </c>
      <c r="K645">
        <v>7.1967942071195432E-3</v>
      </c>
      <c r="L645" t="s">
        <v>84</v>
      </c>
      <c r="N645" t="s">
        <v>124</v>
      </c>
      <c r="O645" t="s">
        <v>181</v>
      </c>
      <c r="P645">
        <v>2.4103870040889357E-3</v>
      </c>
      <c r="Q645" t="s">
        <v>84</v>
      </c>
      <c r="S645" t="s">
        <v>139</v>
      </c>
      <c r="T645" t="s">
        <v>181</v>
      </c>
      <c r="U645">
        <v>3.3107331865567255E-3</v>
      </c>
      <c r="V645" t="s">
        <v>84</v>
      </c>
    </row>
    <row r="646" spans="9:22" x14ac:dyDescent="0.45">
      <c r="I646" t="s">
        <v>108</v>
      </c>
      <c r="J646" t="s">
        <v>182</v>
      </c>
      <c r="K646">
        <v>1.9423651635141288E-3</v>
      </c>
      <c r="L646" t="s">
        <v>84</v>
      </c>
      <c r="N646" t="s">
        <v>124</v>
      </c>
      <c r="O646" t="s">
        <v>182</v>
      </c>
      <c r="P646">
        <v>6.681562102148219E-3</v>
      </c>
      <c r="Q646" t="s">
        <v>84</v>
      </c>
      <c r="S646" t="s">
        <v>139</v>
      </c>
      <c r="T646" t="s">
        <v>182</v>
      </c>
      <c r="U646">
        <v>1.5292488037663084E-2</v>
      </c>
      <c r="V646" t="s">
        <v>84</v>
      </c>
    </row>
    <row r="647" spans="9:22" x14ac:dyDescent="0.45">
      <c r="I647" t="s">
        <v>108</v>
      </c>
      <c r="J647" t="s">
        <v>90</v>
      </c>
      <c r="K647">
        <v>1.4619897285317383E-3</v>
      </c>
      <c r="L647" t="s">
        <v>84</v>
      </c>
      <c r="N647" t="s">
        <v>124</v>
      </c>
      <c r="O647" t="s">
        <v>90</v>
      </c>
      <c r="P647">
        <v>1.1598945932399846E-2</v>
      </c>
      <c r="Q647" t="s">
        <v>84</v>
      </c>
      <c r="S647" t="s">
        <v>139</v>
      </c>
      <c r="T647" t="s">
        <v>90</v>
      </c>
      <c r="U647">
        <v>1.9994821911606012E-2</v>
      </c>
      <c r="V647" t="s">
        <v>84</v>
      </c>
    </row>
    <row r="648" spans="9:22" x14ac:dyDescent="0.45">
      <c r="I648" t="s">
        <v>108</v>
      </c>
      <c r="J648" t="s">
        <v>91</v>
      </c>
      <c r="K648">
        <v>3.0434031224902125E-2</v>
      </c>
      <c r="L648" t="s">
        <v>84</v>
      </c>
      <c r="N648" t="s">
        <v>124</v>
      </c>
      <c r="O648" t="s">
        <v>91</v>
      </c>
      <c r="P648">
        <v>8.2828625262770933E-3</v>
      </c>
      <c r="Q648" t="s">
        <v>84</v>
      </c>
      <c r="S648" t="s">
        <v>139</v>
      </c>
      <c r="T648" t="s">
        <v>91</v>
      </c>
      <c r="U648">
        <v>1.1048670497596046E-2</v>
      </c>
      <c r="V648" t="s">
        <v>84</v>
      </c>
    </row>
    <row r="649" spans="9:22" x14ac:dyDescent="0.45">
      <c r="I649" t="s">
        <v>108</v>
      </c>
      <c r="J649" t="s">
        <v>92</v>
      </c>
      <c r="K649">
        <v>5.3570824399440137E-2</v>
      </c>
      <c r="L649" t="s">
        <v>84</v>
      </c>
      <c r="N649" t="s">
        <v>124</v>
      </c>
      <c r="O649" t="s">
        <v>92</v>
      </c>
      <c r="P649">
        <v>1.8319406349124181E-2</v>
      </c>
      <c r="Q649" t="s">
        <v>84</v>
      </c>
      <c r="S649" t="s">
        <v>139</v>
      </c>
      <c r="T649" t="s">
        <v>92</v>
      </c>
      <c r="U649">
        <v>1.9583103833294039E-2</v>
      </c>
      <c r="V649" t="s">
        <v>84</v>
      </c>
    </row>
    <row r="650" spans="9:22" x14ac:dyDescent="0.45">
      <c r="I650" t="s">
        <v>108</v>
      </c>
      <c r="J650" t="s">
        <v>183</v>
      </c>
      <c r="K650">
        <v>6.8592331785753942E-3</v>
      </c>
      <c r="L650" t="s">
        <v>84</v>
      </c>
      <c r="N650" t="s">
        <v>124</v>
      </c>
      <c r="O650" t="s">
        <v>183</v>
      </c>
      <c r="P650">
        <v>2.1069584718610311E-3</v>
      </c>
      <c r="Q650" t="s">
        <v>84</v>
      </c>
      <c r="S650" t="s">
        <v>139</v>
      </c>
      <c r="T650" t="s">
        <v>183</v>
      </c>
      <c r="U650">
        <v>3.4447618699712441E-3</v>
      </c>
      <c r="V650" t="s">
        <v>84</v>
      </c>
    </row>
    <row r="651" spans="9:22" x14ac:dyDescent="0.45">
      <c r="I651" t="s">
        <v>108</v>
      </c>
      <c r="J651" t="s">
        <v>184</v>
      </c>
      <c r="K651">
        <v>3.5103487080904959E-3</v>
      </c>
      <c r="L651" t="s">
        <v>84</v>
      </c>
      <c r="N651" t="s">
        <v>124</v>
      </c>
      <c r="O651" t="s">
        <v>184</v>
      </c>
      <c r="P651">
        <v>1.764171141508251E-3</v>
      </c>
      <c r="Q651" t="s">
        <v>84</v>
      </c>
      <c r="S651" t="s">
        <v>139</v>
      </c>
      <c r="T651" t="s">
        <v>184</v>
      </c>
      <c r="U651">
        <v>3.3940939008119588E-3</v>
      </c>
      <c r="V651" t="s">
        <v>84</v>
      </c>
    </row>
    <row r="652" spans="9:22" x14ac:dyDescent="0.45">
      <c r="I652" t="s">
        <v>108</v>
      </c>
      <c r="J652" t="s">
        <v>185</v>
      </c>
      <c r="K652">
        <v>0</v>
      </c>
      <c r="L652" t="s">
        <v>84</v>
      </c>
      <c r="N652" t="s">
        <v>124</v>
      </c>
      <c r="O652" t="s">
        <v>185</v>
      </c>
      <c r="P652">
        <v>6.8421414692288697E-3</v>
      </c>
      <c r="Q652" t="s">
        <v>84</v>
      </c>
      <c r="S652" t="s">
        <v>139</v>
      </c>
      <c r="T652" t="s">
        <v>185</v>
      </c>
      <c r="U652">
        <v>1.5826386824544084E-2</v>
      </c>
      <c r="V652" t="s">
        <v>84</v>
      </c>
    </row>
    <row r="653" spans="9:22" x14ac:dyDescent="0.45">
      <c r="I653" t="s">
        <v>108</v>
      </c>
      <c r="J653" t="s">
        <v>93</v>
      </c>
      <c r="K653">
        <v>0</v>
      </c>
      <c r="L653" t="s">
        <v>84</v>
      </c>
      <c r="N653" t="s">
        <v>124</v>
      </c>
      <c r="O653" t="s">
        <v>93</v>
      </c>
      <c r="P653">
        <v>4.4356652037910602E-2</v>
      </c>
      <c r="Q653" t="s">
        <v>84</v>
      </c>
      <c r="S653" t="s">
        <v>139</v>
      </c>
      <c r="T653" t="s">
        <v>93</v>
      </c>
      <c r="U653">
        <v>5.0491886516312666E-2</v>
      </c>
      <c r="V653" t="s">
        <v>84</v>
      </c>
    </row>
    <row r="654" spans="9:22" x14ac:dyDescent="0.45">
      <c r="I654" t="s">
        <v>108</v>
      </c>
      <c r="J654" t="s">
        <v>94</v>
      </c>
      <c r="K654">
        <v>2.8924237119134055E-2</v>
      </c>
      <c r="L654" t="s">
        <v>84</v>
      </c>
      <c r="N654" t="s">
        <v>124</v>
      </c>
      <c r="O654" t="s">
        <v>94</v>
      </c>
      <c r="P654">
        <v>2.0340725988062299E-2</v>
      </c>
      <c r="Q654" t="s">
        <v>84</v>
      </c>
      <c r="S654" t="s">
        <v>139</v>
      </c>
      <c r="T654" t="s">
        <v>94</v>
      </c>
      <c r="U654">
        <v>2.79471345419301E-2</v>
      </c>
      <c r="V654" t="s">
        <v>84</v>
      </c>
    </row>
    <row r="655" spans="9:22" x14ac:dyDescent="0.45">
      <c r="I655" t="s">
        <v>108</v>
      </c>
      <c r="J655" t="s">
        <v>95</v>
      </c>
      <c r="K655">
        <v>6.000054887558786E-2</v>
      </c>
      <c r="L655" t="s">
        <v>84</v>
      </c>
      <c r="N655" t="s">
        <v>124</v>
      </c>
      <c r="O655" t="s">
        <v>95</v>
      </c>
      <c r="P655">
        <v>3.3815906948483118E-2</v>
      </c>
      <c r="Q655" t="s">
        <v>84</v>
      </c>
      <c r="S655" t="s">
        <v>139</v>
      </c>
      <c r="T655" t="s">
        <v>95</v>
      </c>
      <c r="U655">
        <v>4.2844864978287156E-2</v>
      </c>
      <c r="V655" t="s">
        <v>84</v>
      </c>
    </row>
    <row r="656" spans="9:22" x14ac:dyDescent="0.45">
      <c r="I656" t="s">
        <v>108</v>
      </c>
      <c r="J656" t="s">
        <v>186</v>
      </c>
      <c r="K656">
        <v>3.5180478560695614E-3</v>
      </c>
      <c r="L656" t="s">
        <v>84</v>
      </c>
      <c r="N656" t="s">
        <v>124</v>
      </c>
      <c r="O656" t="s">
        <v>186</v>
      </c>
      <c r="P656">
        <v>5.7829502277545871E-3</v>
      </c>
      <c r="Q656" t="s">
        <v>84</v>
      </c>
      <c r="S656" t="s">
        <v>139</v>
      </c>
      <c r="T656" t="s">
        <v>186</v>
      </c>
      <c r="U656">
        <v>7.4766900643619214E-3</v>
      </c>
      <c r="V656" t="s">
        <v>84</v>
      </c>
    </row>
    <row r="657" spans="9:22" x14ac:dyDescent="0.45">
      <c r="I657" t="s">
        <v>108</v>
      </c>
      <c r="J657" t="s">
        <v>187</v>
      </c>
      <c r="K657">
        <v>0</v>
      </c>
      <c r="L657" t="s">
        <v>84</v>
      </c>
      <c r="N657" t="s">
        <v>124</v>
      </c>
      <c r="O657" t="s">
        <v>187</v>
      </c>
      <c r="P657">
        <v>5.4417490566023227E-3</v>
      </c>
      <c r="Q657" t="s">
        <v>84</v>
      </c>
      <c r="S657" t="s">
        <v>139</v>
      </c>
      <c r="T657" t="s">
        <v>187</v>
      </c>
      <c r="U657">
        <v>7.544162352915224E-3</v>
      </c>
      <c r="V657" t="s">
        <v>84</v>
      </c>
    </row>
    <row r="658" spans="9:22" x14ac:dyDescent="0.45">
      <c r="I658" t="s">
        <v>108</v>
      </c>
      <c r="J658" t="s">
        <v>188</v>
      </c>
      <c r="K658">
        <v>0</v>
      </c>
      <c r="L658" t="s">
        <v>84</v>
      </c>
      <c r="N658" t="s">
        <v>124</v>
      </c>
      <c r="O658" t="s">
        <v>188</v>
      </c>
      <c r="P658">
        <v>2.5078244752899586E-2</v>
      </c>
      <c r="Q658" t="s">
        <v>84</v>
      </c>
      <c r="S658" t="s">
        <v>139</v>
      </c>
      <c r="T658" t="s">
        <v>188</v>
      </c>
      <c r="U658">
        <v>3.6415847309771453E-2</v>
      </c>
      <c r="V658" t="s">
        <v>84</v>
      </c>
    </row>
    <row r="659" spans="9:22" x14ac:dyDescent="0.45">
      <c r="I659" t="s">
        <v>108</v>
      </c>
      <c r="J659" t="s">
        <v>189</v>
      </c>
      <c r="K659">
        <v>0</v>
      </c>
      <c r="L659" t="s">
        <v>84</v>
      </c>
      <c r="N659" t="s">
        <v>124</v>
      </c>
      <c r="O659" t="s">
        <v>189</v>
      </c>
      <c r="P659">
        <v>2.4773677081486617E-2</v>
      </c>
      <c r="Q659" t="s">
        <v>84</v>
      </c>
      <c r="S659" t="s">
        <v>139</v>
      </c>
      <c r="T659" t="s">
        <v>189</v>
      </c>
      <c r="U659">
        <v>2.5421454831915397E-2</v>
      </c>
      <c r="V659" t="s">
        <v>84</v>
      </c>
    </row>
    <row r="660" spans="9:22" x14ac:dyDescent="0.45">
      <c r="I660" t="s">
        <v>108</v>
      </c>
      <c r="J660" t="s">
        <v>190</v>
      </c>
      <c r="K660">
        <v>8.4780324640729501E-3</v>
      </c>
      <c r="L660" t="s">
        <v>84</v>
      </c>
      <c r="N660" t="s">
        <v>124</v>
      </c>
      <c r="O660" t="s">
        <v>190</v>
      </c>
      <c r="P660">
        <v>1.2796249944196611E-2</v>
      </c>
      <c r="Q660" t="s">
        <v>84</v>
      </c>
      <c r="S660" t="s">
        <v>139</v>
      </c>
      <c r="T660" t="s">
        <v>190</v>
      </c>
      <c r="U660">
        <v>1.4336406212466514E-2</v>
      </c>
      <c r="V660" t="s">
        <v>84</v>
      </c>
    </row>
    <row r="661" spans="9:22" x14ac:dyDescent="0.45">
      <c r="I661" t="s">
        <v>108</v>
      </c>
      <c r="J661" t="s">
        <v>191</v>
      </c>
      <c r="K661">
        <v>1.9470632344799354E-2</v>
      </c>
      <c r="L661" t="s">
        <v>84</v>
      </c>
      <c r="N661" t="s">
        <v>124</v>
      </c>
      <c r="O661" t="s">
        <v>191</v>
      </c>
      <c r="P661">
        <v>2.4262424167650558E-2</v>
      </c>
      <c r="Q661" t="s">
        <v>84</v>
      </c>
      <c r="S661" t="s">
        <v>139</v>
      </c>
      <c r="T661" t="s">
        <v>191</v>
      </c>
      <c r="U661">
        <v>2.1041391300447663E-2</v>
      </c>
      <c r="V661" t="s">
        <v>84</v>
      </c>
    </row>
    <row r="662" spans="9:22" x14ac:dyDescent="0.45">
      <c r="I662" t="s">
        <v>108</v>
      </c>
      <c r="J662" t="s">
        <v>192</v>
      </c>
      <c r="K662">
        <v>0</v>
      </c>
      <c r="L662" t="s">
        <v>84</v>
      </c>
      <c r="N662" t="s">
        <v>124</v>
      </c>
      <c r="O662" t="s">
        <v>192</v>
      </c>
      <c r="P662">
        <v>4.4558877720098566E-3</v>
      </c>
      <c r="Q662" t="s">
        <v>84</v>
      </c>
      <c r="S662" t="s">
        <v>139</v>
      </c>
      <c r="T662" t="s">
        <v>192</v>
      </c>
      <c r="U662">
        <v>3.4888047626839237E-3</v>
      </c>
      <c r="V662" t="s">
        <v>84</v>
      </c>
    </row>
    <row r="663" spans="9:22" x14ac:dyDescent="0.45">
      <c r="I663" t="s">
        <v>108</v>
      </c>
      <c r="J663" t="s">
        <v>193</v>
      </c>
      <c r="K663">
        <v>0</v>
      </c>
      <c r="L663" t="s">
        <v>84</v>
      </c>
      <c r="N663" t="s">
        <v>124</v>
      </c>
      <c r="O663" t="s">
        <v>193</v>
      </c>
      <c r="P663">
        <v>4.4812595989914463E-3</v>
      </c>
      <c r="Q663" t="s">
        <v>84</v>
      </c>
      <c r="S663" t="s">
        <v>139</v>
      </c>
      <c r="T663" t="s">
        <v>193</v>
      </c>
      <c r="U663">
        <v>3.5055799787997877E-3</v>
      </c>
      <c r="V663" t="s">
        <v>84</v>
      </c>
    </row>
    <row r="664" spans="9:22" x14ac:dyDescent="0.45">
      <c r="I664" t="s">
        <v>108</v>
      </c>
      <c r="J664" t="s">
        <v>194</v>
      </c>
      <c r="K664">
        <v>0</v>
      </c>
      <c r="L664" t="s">
        <v>84</v>
      </c>
      <c r="N664" t="s">
        <v>124</v>
      </c>
      <c r="O664" t="s">
        <v>194</v>
      </c>
      <c r="P664">
        <v>1.9821097378717178E-2</v>
      </c>
      <c r="Q664" t="s">
        <v>84</v>
      </c>
      <c r="S664" t="s">
        <v>139</v>
      </c>
      <c r="T664" t="s">
        <v>194</v>
      </c>
      <c r="U664">
        <v>1.7598034964049613E-2</v>
      </c>
      <c r="V664" t="s">
        <v>84</v>
      </c>
    </row>
    <row r="665" spans="9:22" x14ac:dyDescent="0.45">
      <c r="I665" t="s">
        <v>108</v>
      </c>
      <c r="J665" t="s">
        <v>195</v>
      </c>
      <c r="K665">
        <v>6.624241165516146E-4</v>
      </c>
      <c r="L665" t="s">
        <v>84</v>
      </c>
      <c r="N665" t="s">
        <v>124</v>
      </c>
      <c r="O665" t="s">
        <v>195</v>
      </c>
      <c r="P665">
        <v>7.7765129152561105E-2</v>
      </c>
      <c r="Q665" t="s">
        <v>84</v>
      </c>
      <c r="S665" t="s">
        <v>139</v>
      </c>
      <c r="T665" t="s">
        <v>195</v>
      </c>
      <c r="U665">
        <v>7.0992122690983553E-2</v>
      </c>
      <c r="V665" t="s">
        <v>84</v>
      </c>
    </row>
    <row r="666" spans="9:22" x14ac:dyDescent="0.45">
      <c r="I666" t="s">
        <v>108</v>
      </c>
      <c r="J666" t="s">
        <v>196</v>
      </c>
      <c r="K666">
        <v>4.7750787502385067E-2</v>
      </c>
      <c r="L666" t="s">
        <v>84</v>
      </c>
      <c r="N666" t="s">
        <v>124</v>
      </c>
      <c r="O666" t="s">
        <v>196</v>
      </c>
      <c r="P666">
        <v>3.8887723008755898E-2</v>
      </c>
      <c r="Q666" t="s">
        <v>84</v>
      </c>
      <c r="S666" t="s">
        <v>139</v>
      </c>
      <c r="T666" t="s">
        <v>196</v>
      </c>
      <c r="U666">
        <v>4.0061163927580676E-2</v>
      </c>
      <c r="V666" t="s">
        <v>84</v>
      </c>
    </row>
    <row r="667" spans="9:22" x14ac:dyDescent="0.45">
      <c r="I667" t="s">
        <v>108</v>
      </c>
      <c r="J667" t="s">
        <v>197</v>
      </c>
      <c r="K667">
        <v>9.9973587729481617E-2</v>
      </c>
      <c r="L667" t="s">
        <v>84</v>
      </c>
      <c r="N667" t="s">
        <v>124</v>
      </c>
      <c r="O667" t="s">
        <v>197</v>
      </c>
      <c r="P667">
        <v>7.8703181074602849E-2</v>
      </c>
      <c r="Q667" t="s">
        <v>84</v>
      </c>
      <c r="S667" t="s">
        <v>139</v>
      </c>
      <c r="T667" t="s">
        <v>197</v>
      </c>
      <c r="U667">
        <v>6.3016381617968603E-2</v>
      </c>
      <c r="V667" t="s">
        <v>84</v>
      </c>
    </row>
    <row r="668" spans="9:22" x14ac:dyDescent="0.45">
      <c r="I668" t="s">
        <v>108</v>
      </c>
      <c r="J668" t="s">
        <v>198</v>
      </c>
      <c r="K668">
        <v>7.3712706264163269E-3</v>
      </c>
      <c r="L668" t="s">
        <v>84</v>
      </c>
      <c r="N668" t="s">
        <v>124</v>
      </c>
      <c r="O668" t="s">
        <v>198</v>
      </c>
      <c r="P668">
        <v>1.1871887200903913E-2</v>
      </c>
      <c r="Q668" t="s">
        <v>84</v>
      </c>
      <c r="S668" t="s">
        <v>139</v>
      </c>
      <c r="T668" t="s">
        <v>198</v>
      </c>
      <c r="U668">
        <v>1.0549542744023341E-2</v>
      </c>
      <c r="V668" t="s">
        <v>84</v>
      </c>
    </row>
    <row r="669" spans="9:22" x14ac:dyDescent="0.45">
      <c r="I669" t="s">
        <v>108</v>
      </c>
      <c r="J669" t="s">
        <v>199</v>
      </c>
      <c r="K669">
        <v>0</v>
      </c>
      <c r="L669" t="s">
        <v>84</v>
      </c>
      <c r="N669" t="s">
        <v>124</v>
      </c>
      <c r="O669" t="s">
        <v>199</v>
      </c>
      <c r="P669">
        <v>1.075096764641667E-2</v>
      </c>
      <c r="Q669" t="s">
        <v>84</v>
      </c>
      <c r="S669" t="s">
        <v>139</v>
      </c>
      <c r="T669" t="s">
        <v>199</v>
      </c>
      <c r="U669">
        <v>1.0462410233181604E-2</v>
      </c>
      <c r="V669" t="s">
        <v>84</v>
      </c>
    </row>
    <row r="670" spans="9:22" x14ac:dyDescent="0.45">
      <c r="I670" t="s">
        <v>108</v>
      </c>
      <c r="J670" t="s">
        <v>200</v>
      </c>
      <c r="K670">
        <v>0</v>
      </c>
      <c r="L670" t="s">
        <v>84</v>
      </c>
      <c r="N670" t="s">
        <v>124</v>
      </c>
      <c r="O670" t="s">
        <v>200</v>
      </c>
      <c r="P670">
        <v>5.4143473130265005E-2</v>
      </c>
      <c r="Q670" t="s">
        <v>84</v>
      </c>
      <c r="S670" t="s">
        <v>139</v>
      </c>
      <c r="T670" t="s">
        <v>200</v>
      </c>
      <c r="U670">
        <v>5.1141287288163202E-2</v>
      </c>
      <c r="V670" t="s">
        <v>84</v>
      </c>
    </row>
    <row r="671" spans="9:22" x14ac:dyDescent="0.45">
      <c r="I671" t="s">
        <v>108</v>
      </c>
      <c r="J671" t="s">
        <v>201</v>
      </c>
      <c r="K671">
        <v>3.7805990652306025E-3</v>
      </c>
      <c r="L671" t="s">
        <v>84</v>
      </c>
      <c r="N671" t="s">
        <v>124</v>
      </c>
      <c r="O671" t="s">
        <v>201</v>
      </c>
      <c r="P671">
        <v>3.4865440743709418E-2</v>
      </c>
      <c r="Q671" t="s">
        <v>84</v>
      </c>
      <c r="S671" t="s">
        <v>139</v>
      </c>
      <c r="T671" t="s">
        <v>201</v>
      </c>
      <c r="U671">
        <v>3.0030360407989592E-2</v>
      </c>
      <c r="V671" t="s">
        <v>84</v>
      </c>
    </row>
    <row r="672" spans="9:22" x14ac:dyDescent="0.45">
      <c r="I672" t="s">
        <v>108</v>
      </c>
      <c r="J672" t="s">
        <v>202</v>
      </c>
      <c r="K672">
        <v>2.9294532773603995E-2</v>
      </c>
      <c r="L672" t="s">
        <v>84</v>
      </c>
      <c r="N672" t="s">
        <v>124</v>
      </c>
      <c r="O672" t="s">
        <v>202</v>
      </c>
      <c r="P672">
        <v>2.2366144649463897E-2</v>
      </c>
      <c r="Q672" t="s">
        <v>84</v>
      </c>
      <c r="S672" t="s">
        <v>139</v>
      </c>
      <c r="T672" t="s">
        <v>202</v>
      </c>
      <c r="U672">
        <v>1.7104142370135533E-2</v>
      </c>
      <c r="V672" t="s">
        <v>84</v>
      </c>
    </row>
    <row r="673" spans="9:22" x14ac:dyDescent="0.45">
      <c r="I673" t="s">
        <v>108</v>
      </c>
      <c r="J673" t="s">
        <v>203</v>
      </c>
      <c r="K673">
        <v>5.2241919962164624E-2</v>
      </c>
      <c r="L673" t="s">
        <v>84</v>
      </c>
      <c r="N673" t="s">
        <v>124</v>
      </c>
      <c r="O673" t="s">
        <v>203</v>
      </c>
      <c r="P673">
        <v>5.0771960089677486E-2</v>
      </c>
      <c r="Q673" t="s">
        <v>84</v>
      </c>
      <c r="S673" t="s">
        <v>139</v>
      </c>
      <c r="T673" t="s">
        <v>203</v>
      </c>
      <c r="U673">
        <v>2.5604832877953218E-2</v>
      </c>
      <c r="V673" t="s">
        <v>84</v>
      </c>
    </row>
    <row r="674" spans="9:22" x14ac:dyDescent="0.45">
      <c r="I674" t="s">
        <v>108</v>
      </c>
      <c r="J674" t="s">
        <v>204</v>
      </c>
      <c r="K674">
        <v>5.5943604774878718E-3</v>
      </c>
      <c r="L674" t="s">
        <v>84</v>
      </c>
      <c r="N674" t="s">
        <v>124</v>
      </c>
      <c r="O674" t="s">
        <v>204</v>
      </c>
      <c r="P674">
        <v>7.0999345981317043E-3</v>
      </c>
      <c r="Q674" t="s">
        <v>84</v>
      </c>
      <c r="S674" t="s">
        <v>139</v>
      </c>
      <c r="T674" t="s">
        <v>204</v>
      </c>
      <c r="U674">
        <v>4.1043811889370186E-3</v>
      </c>
      <c r="V674" t="s">
        <v>84</v>
      </c>
    </row>
    <row r="675" spans="9:22" x14ac:dyDescent="0.45">
      <c r="I675" t="s">
        <v>108</v>
      </c>
      <c r="J675" t="s">
        <v>205</v>
      </c>
      <c r="K675">
        <v>3.0123789268459741E-3</v>
      </c>
      <c r="L675" t="s">
        <v>84</v>
      </c>
      <c r="N675" t="s">
        <v>124</v>
      </c>
      <c r="O675" t="s">
        <v>205</v>
      </c>
      <c r="P675">
        <v>6.4077309297815811E-3</v>
      </c>
      <c r="Q675" t="s">
        <v>84</v>
      </c>
      <c r="S675" t="s">
        <v>139</v>
      </c>
      <c r="T675" t="s">
        <v>205</v>
      </c>
      <c r="U675">
        <v>4.0001504258168636E-3</v>
      </c>
      <c r="V675" t="s">
        <v>84</v>
      </c>
    </row>
    <row r="676" spans="9:22" x14ac:dyDescent="0.45">
      <c r="I676" t="s">
        <v>108</v>
      </c>
      <c r="J676" t="s">
        <v>206</v>
      </c>
      <c r="K676">
        <v>0</v>
      </c>
      <c r="L676" t="s">
        <v>84</v>
      </c>
      <c r="N676" t="s">
        <v>124</v>
      </c>
      <c r="O676" t="s">
        <v>206</v>
      </c>
      <c r="P676">
        <v>2.5224830631769449E-2</v>
      </c>
      <c r="Q676" t="s">
        <v>84</v>
      </c>
      <c r="S676" t="s">
        <v>139</v>
      </c>
      <c r="T676" t="s">
        <v>206</v>
      </c>
      <c r="U676">
        <v>1.9641040448424841E-2</v>
      </c>
      <c r="V676" t="s">
        <v>84</v>
      </c>
    </row>
    <row r="677" spans="9:22" x14ac:dyDescent="0.45">
      <c r="I677" t="s">
        <v>108</v>
      </c>
      <c r="J677" t="s">
        <v>207</v>
      </c>
      <c r="K677">
        <v>1.9668344742704812E-2</v>
      </c>
      <c r="L677" t="s">
        <v>84</v>
      </c>
      <c r="N677" t="s">
        <v>124</v>
      </c>
      <c r="O677" t="s">
        <v>207</v>
      </c>
      <c r="P677">
        <v>3.0183045257418613E-2</v>
      </c>
      <c r="Q677" t="s">
        <v>84</v>
      </c>
      <c r="S677" t="s">
        <v>139</v>
      </c>
      <c r="T677" t="s">
        <v>207</v>
      </c>
      <c r="U677">
        <v>4.4795528367682191E-2</v>
      </c>
      <c r="V677" t="s">
        <v>84</v>
      </c>
    </row>
    <row r="678" spans="9:22" x14ac:dyDescent="0.45">
      <c r="I678" t="s">
        <v>108</v>
      </c>
      <c r="J678" t="s">
        <v>208</v>
      </c>
      <c r="K678">
        <v>7.9856619077721888E-2</v>
      </c>
      <c r="L678" t="s">
        <v>84</v>
      </c>
      <c r="N678" t="s">
        <v>124</v>
      </c>
      <c r="O678" t="s">
        <v>208</v>
      </c>
      <c r="P678">
        <v>2.135009313213437E-2</v>
      </c>
      <c r="Q678" t="s">
        <v>84</v>
      </c>
      <c r="S678" t="s">
        <v>139</v>
      </c>
      <c r="T678" t="s">
        <v>208</v>
      </c>
      <c r="U678">
        <v>2.58591200459862E-2</v>
      </c>
      <c r="V678" t="s">
        <v>84</v>
      </c>
    </row>
    <row r="679" spans="9:22" x14ac:dyDescent="0.45">
      <c r="I679" t="s">
        <v>108</v>
      </c>
      <c r="J679" t="s">
        <v>209</v>
      </c>
      <c r="K679">
        <v>0.12862001426787459</v>
      </c>
      <c r="L679" t="s">
        <v>84</v>
      </c>
      <c r="N679" t="s">
        <v>124</v>
      </c>
      <c r="O679" t="s">
        <v>209</v>
      </c>
      <c r="P679">
        <v>4.8778025191433413E-2</v>
      </c>
      <c r="Q679" t="s">
        <v>84</v>
      </c>
      <c r="S679" t="s">
        <v>139</v>
      </c>
      <c r="T679" t="s">
        <v>209</v>
      </c>
      <c r="U679">
        <v>3.8526079442153985E-2</v>
      </c>
      <c r="V679" t="s">
        <v>84</v>
      </c>
    </row>
    <row r="680" spans="9:22" x14ac:dyDescent="0.45">
      <c r="I680" t="s">
        <v>108</v>
      </c>
      <c r="J680" t="s">
        <v>210</v>
      </c>
      <c r="K680">
        <v>1.5466572472763432E-2</v>
      </c>
      <c r="L680" t="s">
        <v>84</v>
      </c>
      <c r="N680" t="s">
        <v>124</v>
      </c>
      <c r="O680" t="s">
        <v>210</v>
      </c>
      <c r="P680">
        <v>7.0099708925841289E-3</v>
      </c>
      <c r="Q680" t="s">
        <v>84</v>
      </c>
      <c r="S680" t="s">
        <v>139</v>
      </c>
      <c r="T680" t="s">
        <v>210</v>
      </c>
      <c r="U680">
        <v>6.4233158406594298E-3</v>
      </c>
      <c r="V680" t="s">
        <v>84</v>
      </c>
    </row>
    <row r="681" spans="9:22" x14ac:dyDescent="0.45">
      <c r="I681" t="s">
        <v>108</v>
      </c>
      <c r="J681" t="s">
        <v>211</v>
      </c>
      <c r="K681">
        <v>1.1585168148437068E-2</v>
      </c>
      <c r="L681" t="s">
        <v>84</v>
      </c>
      <c r="N681" t="s">
        <v>124</v>
      </c>
      <c r="O681" t="s">
        <v>211</v>
      </c>
      <c r="P681">
        <v>6.2608958217227097E-3</v>
      </c>
      <c r="Q681" t="s">
        <v>84</v>
      </c>
      <c r="S681" t="s">
        <v>139</v>
      </c>
      <c r="T681" t="s">
        <v>211</v>
      </c>
      <c r="U681">
        <v>6.3877909448065368E-3</v>
      </c>
      <c r="V681" t="s">
        <v>84</v>
      </c>
    </row>
    <row r="682" spans="9:22" x14ac:dyDescent="0.45">
      <c r="I682" t="s">
        <v>108</v>
      </c>
      <c r="J682" t="s">
        <v>212</v>
      </c>
      <c r="K682">
        <v>3.9575274721653604E-3</v>
      </c>
      <c r="L682" t="s">
        <v>84</v>
      </c>
      <c r="N682" t="s">
        <v>124</v>
      </c>
      <c r="O682" t="s">
        <v>212</v>
      </c>
      <c r="P682">
        <v>2.5818342984832949E-2</v>
      </c>
      <c r="Q682" t="s">
        <v>84</v>
      </c>
      <c r="S682" t="s">
        <v>139</v>
      </c>
      <c r="T682" t="s">
        <v>212</v>
      </c>
      <c r="U682">
        <v>3.1362736048274151E-2</v>
      </c>
      <c r="V682" t="s">
        <v>84</v>
      </c>
    </row>
    <row r="683" spans="9:22" x14ac:dyDescent="0.45">
      <c r="I683" t="s">
        <v>109</v>
      </c>
      <c r="J683" t="s">
        <v>83</v>
      </c>
      <c r="K683">
        <v>6.4804943132863143E-3</v>
      </c>
      <c r="L683" t="s">
        <v>84</v>
      </c>
      <c r="N683" t="s">
        <v>125</v>
      </c>
      <c r="O683" t="s">
        <v>83</v>
      </c>
      <c r="P683">
        <v>2.7668691795904723E-2</v>
      </c>
      <c r="Q683" t="s">
        <v>84</v>
      </c>
      <c r="S683" t="s">
        <v>140</v>
      </c>
      <c r="T683" t="s">
        <v>83</v>
      </c>
      <c r="U683">
        <v>2.6394632723858773E-2</v>
      </c>
      <c r="V683" t="s">
        <v>84</v>
      </c>
    </row>
    <row r="684" spans="9:22" x14ac:dyDescent="0.45">
      <c r="I684" t="s">
        <v>109</v>
      </c>
      <c r="J684" t="s">
        <v>85</v>
      </c>
      <c r="K684">
        <v>4.0058575649439418E-2</v>
      </c>
      <c r="L684" t="s">
        <v>84</v>
      </c>
      <c r="N684" t="s">
        <v>125</v>
      </c>
      <c r="O684" t="s">
        <v>85</v>
      </c>
      <c r="P684">
        <v>1.7978264972615982E-2</v>
      </c>
      <c r="Q684" t="s">
        <v>84</v>
      </c>
      <c r="S684" t="s">
        <v>140</v>
      </c>
      <c r="T684" t="s">
        <v>85</v>
      </c>
      <c r="U684">
        <v>1.4733934385751763E-2</v>
      </c>
      <c r="V684" t="s">
        <v>84</v>
      </c>
    </row>
    <row r="685" spans="9:22" x14ac:dyDescent="0.45">
      <c r="I685" t="s">
        <v>109</v>
      </c>
      <c r="J685" t="s">
        <v>86</v>
      </c>
      <c r="K685">
        <v>7.3579785674152534E-2</v>
      </c>
      <c r="L685" t="s">
        <v>84</v>
      </c>
      <c r="N685" t="s">
        <v>125</v>
      </c>
      <c r="O685" t="s">
        <v>86</v>
      </c>
      <c r="P685">
        <v>3.8937232824128178E-2</v>
      </c>
      <c r="Q685" t="s">
        <v>84</v>
      </c>
      <c r="S685" t="s">
        <v>140</v>
      </c>
      <c r="T685" t="s">
        <v>86</v>
      </c>
      <c r="U685">
        <v>2.2172066205958345E-2</v>
      </c>
      <c r="V685" t="s">
        <v>84</v>
      </c>
    </row>
    <row r="686" spans="9:22" x14ac:dyDescent="0.45">
      <c r="I686" t="s">
        <v>109</v>
      </c>
      <c r="J686" t="s">
        <v>177</v>
      </c>
      <c r="K686">
        <v>1.0289303259231143E-2</v>
      </c>
      <c r="L686" t="s">
        <v>84</v>
      </c>
      <c r="N686" t="s">
        <v>125</v>
      </c>
      <c r="O686" t="s">
        <v>177</v>
      </c>
      <c r="P686">
        <v>5.9258829572101423E-3</v>
      </c>
      <c r="Q686" t="s">
        <v>84</v>
      </c>
      <c r="S686" t="s">
        <v>140</v>
      </c>
      <c r="T686" t="s">
        <v>177</v>
      </c>
      <c r="U686">
        <v>3.6481706473961584E-3</v>
      </c>
      <c r="V686" t="s">
        <v>84</v>
      </c>
    </row>
    <row r="687" spans="9:22" x14ac:dyDescent="0.45">
      <c r="I687" t="s">
        <v>109</v>
      </c>
      <c r="J687" t="s">
        <v>178</v>
      </c>
      <c r="K687">
        <v>8.6009385681431114E-3</v>
      </c>
      <c r="L687" t="s">
        <v>84</v>
      </c>
      <c r="N687" t="s">
        <v>125</v>
      </c>
      <c r="O687" t="s">
        <v>178</v>
      </c>
      <c r="P687">
        <v>5.2769975255166643E-3</v>
      </c>
      <c r="Q687" t="s">
        <v>84</v>
      </c>
      <c r="S687" t="s">
        <v>140</v>
      </c>
      <c r="T687" t="s">
        <v>178</v>
      </c>
      <c r="U687">
        <v>3.6030711146931055E-3</v>
      </c>
      <c r="V687" t="s">
        <v>84</v>
      </c>
    </row>
    <row r="688" spans="9:22" x14ac:dyDescent="0.45">
      <c r="I688" t="s">
        <v>109</v>
      </c>
      <c r="J688" t="s">
        <v>179</v>
      </c>
      <c r="K688">
        <v>5.6079484782675226E-3</v>
      </c>
      <c r="L688" t="s">
        <v>84</v>
      </c>
      <c r="N688" t="s">
        <v>125</v>
      </c>
      <c r="O688" t="s">
        <v>179</v>
      </c>
      <c r="P688">
        <v>1.9441252636168447E-2</v>
      </c>
      <c r="Q688" t="s">
        <v>84</v>
      </c>
      <c r="S688" t="s">
        <v>140</v>
      </c>
      <c r="T688" t="s">
        <v>179</v>
      </c>
      <c r="U688">
        <v>1.7781540464478593E-2</v>
      </c>
      <c r="V688" t="s">
        <v>84</v>
      </c>
    </row>
    <row r="689" spans="9:22" x14ac:dyDescent="0.45">
      <c r="I689" t="s">
        <v>109</v>
      </c>
      <c r="J689" t="s">
        <v>87</v>
      </c>
      <c r="K689">
        <v>4.8029504940799708E-3</v>
      </c>
      <c r="L689" t="s">
        <v>84</v>
      </c>
      <c r="N689" t="s">
        <v>125</v>
      </c>
      <c r="O689" t="s">
        <v>87</v>
      </c>
      <c r="P689">
        <v>9.6490747620266541E-3</v>
      </c>
      <c r="Q689" t="s">
        <v>84</v>
      </c>
      <c r="S689" t="s">
        <v>140</v>
      </c>
      <c r="T689" t="s">
        <v>87</v>
      </c>
      <c r="U689">
        <v>2.3004507480100175E-2</v>
      </c>
      <c r="V689" t="s">
        <v>84</v>
      </c>
    </row>
    <row r="690" spans="9:22" x14ac:dyDescent="0.45">
      <c r="I690" t="s">
        <v>109</v>
      </c>
      <c r="J690" t="s">
        <v>88</v>
      </c>
      <c r="K690">
        <v>3.9207349110897058E-2</v>
      </c>
      <c r="L690" t="s">
        <v>84</v>
      </c>
      <c r="N690" t="s">
        <v>125</v>
      </c>
      <c r="O690" t="s">
        <v>88</v>
      </c>
      <c r="P690">
        <v>5.5071113630654383E-3</v>
      </c>
      <c r="Q690" t="s">
        <v>84</v>
      </c>
      <c r="S690" t="s">
        <v>140</v>
      </c>
      <c r="T690" t="s">
        <v>88</v>
      </c>
      <c r="U690">
        <v>1.2807916322584774E-2</v>
      </c>
      <c r="V690" t="s">
        <v>84</v>
      </c>
    </row>
    <row r="691" spans="9:22" x14ac:dyDescent="0.45">
      <c r="I691" t="s">
        <v>109</v>
      </c>
      <c r="J691" t="s">
        <v>89</v>
      </c>
      <c r="K691">
        <v>6.6919098242915351E-2</v>
      </c>
      <c r="L691" t="s">
        <v>84</v>
      </c>
      <c r="N691" t="s">
        <v>125</v>
      </c>
      <c r="O691" t="s">
        <v>89</v>
      </c>
      <c r="P691">
        <v>1.4132430639370183E-2</v>
      </c>
      <c r="Q691" t="s">
        <v>84</v>
      </c>
      <c r="S691" t="s">
        <v>140</v>
      </c>
      <c r="T691" t="s">
        <v>89</v>
      </c>
      <c r="U691">
        <v>2.039562309359574E-2</v>
      </c>
      <c r="V691" t="s">
        <v>84</v>
      </c>
    </row>
    <row r="692" spans="9:22" x14ac:dyDescent="0.45">
      <c r="I692" t="s">
        <v>109</v>
      </c>
      <c r="J692" t="s">
        <v>180</v>
      </c>
      <c r="K692">
        <v>9.4067952679785429E-3</v>
      </c>
      <c r="L692" t="s">
        <v>84</v>
      </c>
      <c r="N692" t="s">
        <v>125</v>
      </c>
      <c r="O692" t="s">
        <v>180</v>
      </c>
      <c r="P692">
        <v>2.4108505660984589E-3</v>
      </c>
      <c r="Q692" t="s">
        <v>84</v>
      </c>
      <c r="S692" t="s">
        <v>140</v>
      </c>
      <c r="T692" t="s">
        <v>180</v>
      </c>
      <c r="U692">
        <v>3.4760003706426376E-3</v>
      </c>
      <c r="V692" t="s">
        <v>84</v>
      </c>
    </row>
    <row r="693" spans="9:22" x14ac:dyDescent="0.45">
      <c r="I693" t="s">
        <v>109</v>
      </c>
      <c r="J693" t="s">
        <v>181</v>
      </c>
      <c r="K693">
        <v>8.1676007960314548E-3</v>
      </c>
      <c r="L693" t="s">
        <v>84</v>
      </c>
      <c r="N693" t="s">
        <v>125</v>
      </c>
      <c r="O693" t="s">
        <v>181</v>
      </c>
      <c r="P693">
        <v>2.1719033433450332E-3</v>
      </c>
      <c r="Q693" t="s">
        <v>84</v>
      </c>
      <c r="S693" t="s">
        <v>140</v>
      </c>
      <c r="T693" t="s">
        <v>181</v>
      </c>
      <c r="U693">
        <v>3.4538346211941589E-3</v>
      </c>
      <c r="V693" t="s">
        <v>84</v>
      </c>
    </row>
    <row r="694" spans="9:22" x14ac:dyDescent="0.45">
      <c r="I694" t="s">
        <v>109</v>
      </c>
      <c r="J694" t="s">
        <v>182</v>
      </c>
      <c r="K694">
        <v>4.1092772446790892E-3</v>
      </c>
      <c r="L694" t="s">
        <v>84</v>
      </c>
      <c r="N694" t="s">
        <v>125</v>
      </c>
      <c r="O694" t="s">
        <v>182</v>
      </c>
      <c r="P694">
        <v>7.8921904814285467E-3</v>
      </c>
      <c r="Q694" t="s">
        <v>84</v>
      </c>
      <c r="S694" t="s">
        <v>140</v>
      </c>
      <c r="T694" t="s">
        <v>182</v>
      </c>
      <c r="U694">
        <v>1.6729887262114308E-2</v>
      </c>
      <c r="V694" t="s">
        <v>84</v>
      </c>
    </row>
    <row r="695" spans="9:22" x14ac:dyDescent="0.45">
      <c r="I695" t="s">
        <v>109</v>
      </c>
      <c r="J695" t="s">
        <v>90</v>
      </c>
      <c r="K695">
        <v>1.4619111061697998E-4</v>
      </c>
      <c r="L695" t="s">
        <v>84</v>
      </c>
      <c r="N695" t="s">
        <v>125</v>
      </c>
      <c r="O695" t="s">
        <v>90</v>
      </c>
      <c r="P695">
        <v>9.0180909127396281E-3</v>
      </c>
      <c r="Q695" t="s">
        <v>84</v>
      </c>
      <c r="S695" t="s">
        <v>140</v>
      </c>
      <c r="T695" t="s">
        <v>90</v>
      </c>
      <c r="U695">
        <v>1.9860478983530175E-2</v>
      </c>
      <c r="V695" t="s">
        <v>84</v>
      </c>
    </row>
    <row r="696" spans="9:22" x14ac:dyDescent="0.45">
      <c r="I696" t="s">
        <v>109</v>
      </c>
      <c r="J696" t="s">
        <v>91</v>
      </c>
      <c r="K696">
        <v>2.667485381696531E-2</v>
      </c>
      <c r="L696" t="s">
        <v>84</v>
      </c>
      <c r="N696" t="s">
        <v>125</v>
      </c>
      <c r="O696" t="s">
        <v>91</v>
      </c>
      <c r="P696">
        <v>7.3154980903954326E-3</v>
      </c>
      <c r="Q696" t="s">
        <v>84</v>
      </c>
      <c r="S696" t="s">
        <v>140</v>
      </c>
      <c r="T696" t="s">
        <v>91</v>
      </c>
      <c r="U696">
        <v>1.1803186568235032E-2</v>
      </c>
      <c r="V696" t="s">
        <v>84</v>
      </c>
    </row>
    <row r="697" spans="9:22" x14ac:dyDescent="0.45">
      <c r="I697" t="s">
        <v>109</v>
      </c>
      <c r="J697" t="s">
        <v>92</v>
      </c>
      <c r="K697">
        <v>5.1253332218843005E-2</v>
      </c>
      <c r="L697" t="s">
        <v>84</v>
      </c>
      <c r="N697" t="s">
        <v>125</v>
      </c>
      <c r="O697" t="s">
        <v>92</v>
      </c>
      <c r="P697">
        <v>1.6768209181046437E-2</v>
      </c>
      <c r="Q697" t="s">
        <v>84</v>
      </c>
      <c r="S697" t="s">
        <v>140</v>
      </c>
      <c r="T697" t="s">
        <v>92</v>
      </c>
      <c r="U697">
        <v>1.9485279214457293E-2</v>
      </c>
      <c r="V697" t="s">
        <v>84</v>
      </c>
    </row>
    <row r="698" spans="9:22" x14ac:dyDescent="0.45">
      <c r="I698" t="s">
        <v>109</v>
      </c>
      <c r="J698" t="s">
        <v>183</v>
      </c>
      <c r="K698">
        <v>6.3098007401626265E-3</v>
      </c>
      <c r="L698" t="s">
        <v>84</v>
      </c>
      <c r="N698" t="s">
        <v>125</v>
      </c>
      <c r="O698" t="s">
        <v>183</v>
      </c>
      <c r="P698">
        <v>2.0833136400649748E-3</v>
      </c>
      <c r="Q698" t="s">
        <v>84</v>
      </c>
      <c r="S698" t="s">
        <v>140</v>
      </c>
      <c r="T698" t="s">
        <v>183</v>
      </c>
      <c r="U698">
        <v>3.2589041935357508E-3</v>
      </c>
      <c r="V698" t="s">
        <v>84</v>
      </c>
    </row>
    <row r="699" spans="9:22" x14ac:dyDescent="0.45">
      <c r="I699" t="s">
        <v>109</v>
      </c>
      <c r="J699" t="s">
        <v>184</v>
      </c>
      <c r="K699">
        <v>4.0345837979169968E-3</v>
      </c>
      <c r="L699" t="s">
        <v>84</v>
      </c>
      <c r="N699" t="s">
        <v>125</v>
      </c>
      <c r="O699" t="s">
        <v>184</v>
      </c>
      <c r="P699">
        <v>1.6954496256347542E-3</v>
      </c>
      <c r="Q699" t="s">
        <v>84</v>
      </c>
      <c r="S699" t="s">
        <v>140</v>
      </c>
      <c r="T699" t="s">
        <v>184</v>
      </c>
      <c r="U699">
        <v>3.2084702485644738E-3</v>
      </c>
      <c r="V699" t="s">
        <v>84</v>
      </c>
    </row>
    <row r="700" spans="9:22" x14ac:dyDescent="0.45">
      <c r="I700" t="s">
        <v>109</v>
      </c>
      <c r="J700" t="s">
        <v>185</v>
      </c>
      <c r="K700">
        <v>0</v>
      </c>
      <c r="L700" t="s">
        <v>84</v>
      </c>
      <c r="N700" t="s">
        <v>125</v>
      </c>
      <c r="O700" t="s">
        <v>185</v>
      </c>
      <c r="P700">
        <v>5.1070034793149633E-3</v>
      </c>
      <c r="Q700" t="s">
        <v>84</v>
      </c>
      <c r="S700" t="s">
        <v>140</v>
      </c>
      <c r="T700" t="s">
        <v>185</v>
      </c>
      <c r="U700">
        <v>1.4868573809334389E-2</v>
      </c>
      <c r="V700" t="s">
        <v>84</v>
      </c>
    </row>
    <row r="701" spans="9:22" x14ac:dyDescent="0.45">
      <c r="I701" t="s">
        <v>109</v>
      </c>
      <c r="J701" t="s">
        <v>93</v>
      </c>
      <c r="K701">
        <v>0</v>
      </c>
      <c r="L701" t="s">
        <v>84</v>
      </c>
      <c r="N701" t="s">
        <v>125</v>
      </c>
      <c r="O701" t="s">
        <v>93</v>
      </c>
      <c r="P701">
        <v>3.7866747749738194E-2</v>
      </c>
      <c r="Q701" t="s">
        <v>84</v>
      </c>
      <c r="S701" t="s">
        <v>140</v>
      </c>
      <c r="T701" t="s">
        <v>93</v>
      </c>
      <c r="U701">
        <v>4.9652108277665849E-2</v>
      </c>
      <c r="V701" t="s">
        <v>84</v>
      </c>
    </row>
    <row r="702" spans="9:22" x14ac:dyDescent="0.45">
      <c r="I702" t="s">
        <v>109</v>
      </c>
      <c r="J702" t="s">
        <v>94</v>
      </c>
      <c r="K702">
        <v>2.715347293091849E-2</v>
      </c>
      <c r="L702" t="s">
        <v>84</v>
      </c>
      <c r="N702" t="s">
        <v>125</v>
      </c>
      <c r="O702" t="s">
        <v>94</v>
      </c>
      <c r="P702">
        <v>2.0214366801352975E-2</v>
      </c>
      <c r="Q702" t="s">
        <v>84</v>
      </c>
      <c r="S702" t="s">
        <v>140</v>
      </c>
      <c r="T702" t="s">
        <v>94</v>
      </c>
      <c r="U702">
        <v>2.748295998658104E-2</v>
      </c>
      <c r="V702" t="s">
        <v>84</v>
      </c>
    </row>
    <row r="703" spans="9:22" x14ac:dyDescent="0.45">
      <c r="I703" t="s">
        <v>109</v>
      </c>
      <c r="J703" t="s">
        <v>95</v>
      </c>
      <c r="K703">
        <v>5.9717619972053874E-2</v>
      </c>
      <c r="L703" t="s">
        <v>84</v>
      </c>
      <c r="N703" t="s">
        <v>125</v>
      </c>
      <c r="O703" t="s">
        <v>95</v>
      </c>
      <c r="P703">
        <v>3.7474258702978783E-2</v>
      </c>
      <c r="Q703" t="s">
        <v>84</v>
      </c>
      <c r="S703" t="s">
        <v>140</v>
      </c>
      <c r="T703" t="s">
        <v>95</v>
      </c>
      <c r="U703">
        <v>4.1763211432098143E-2</v>
      </c>
      <c r="V703" t="s">
        <v>84</v>
      </c>
    </row>
    <row r="704" spans="9:22" x14ac:dyDescent="0.45">
      <c r="I704" t="s">
        <v>109</v>
      </c>
      <c r="J704" t="s">
        <v>186</v>
      </c>
      <c r="K704">
        <v>4.4102043178563645E-3</v>
      </c>
      <c r="L704" t="s">
        <v>84</v>
      </c>
      <c r="N704" t="s">
        <v>125</v>
      </c>
      <c r="O704" t="s">
        <v>186</v>
      </c>
      <c r="P704">
        <v>6.1745714610533893E-3</v>
      </c>
      <c r="Q704" t="s">
        <v>84</v>
      </c>
      <c r="S704" t="s">
        <v>140</v>
      </c>
      <c r="T704" t="s">
        <v>186</v>
      </c>
      <c r="U704">
        <v>7.061961337650133E-3</v>
      </c>
      <c r="V704" t="s">
        <v>84</v>
      </c>
    </row>
    <row r="705" spans="9:22" x14ac:dyDescent="0.45">
      <c r="I705" t="s">
        <v>109</v>
      </c>
      <c r="J705" t="s">
        <v>187</v>
      </c>
      <c r="K705">
        <v>0</v>
      </c>
      <c r="L705" t="s">
        <v>84</v>
      </c>
      <c r="N705" t="s">
        <v>125</v>
      </c>
      <c r="O705" t="s">
        <v>187</v>
      </c>
      <c r="P705">
        <v>6.1147336470159432E-3</v>
      </c>
      <c r="Q705" t="s">
        <v>84</v>
      </c>
      <c r="S705" t="s">
        <v>140</v>
      </c>
      <c r="T705" t="s">
        <v>187</v>
      </c>
      <c r="U705">
        <v>7.0672524763113467E-3</v>
      </c>
      <c r="V705" t="s">
        <v>84</v>
      </c>
    </row>
    <row r="706" spans="9:22" x14ac:dyDescent="0.45">
      <c r="I706" t="s">
        <v>109</v>
      </c>
      <c r="J706" t="s">
        <v>188</v>
      </c>
      <c r="K706">
        <v>0</v>
      </c>
      <c r="L706" t="s">
        <v>84</v>
      </c>
      <c r="N706" t="s">
        <v>125</v>
      </c>
      <c r="O706" t="s">
        <v>188</v>
      </c>
      <c r="P706">
        <v>2.7382192396604794E-2</v>
      </c>
      <c r="Q706" t="s">
        <v>84</v>
      </c>
      <c r="S706" t="s">
        <v>140</v>
      </c>
      <c r="T706" t="s">
        <v>188</v>
      </c>
      <c r="U706">
        <v>3.4829133228465543E-2</v>
      </c>
      <c r="V706" t="s">
        <v>84</v>
      </c>
    </row>
    <row r="707" spans="9:22" x14ac:dyDescent="0.45">
      <c r="I707" t="s">
        <v>109</v>
      </c>
      <c r="J707" t="s">
        <v>189</v>
      </c>
      <c r="K707">
        <v>0</v>
      </c>
      <c r="L707" t="s">
        <v>84</v>
      </c>
      <c r="N707" t="s">
        <v>125</v>
      </c>
      <c r="O707" t="s">
        <v>189</v>
      </c>
      <c r="P707">
        <v>1.9566584485678516E-2</v>
      </c>
      <c r="Q707" t="s">
        <v>84</v>
      </c>
      <c r="S707" t="s">
        <v>140</v>
      </c>
      <c r="T707" t="s">
        <v>189</v>
      </c>
      <c r="U707">
        <v>2.2939933051683264E-2</v>
      </c>
      <c r="V707" t="s">
        <v>84</v>
      </c>
    </row>
    <row r="708" spans="9:22" x14ac:dyDescent="0.45">
      <c r="I708" t="s">
        <v>109</v>
      </c>
      <c r="J708" t="s">
        <v>190</v>
      </c>
      <c r="K708">
        <v>7.3575715268832838E-3</v>
      </c>
      <c r="L708" t="s">
        <v>84</v>
      </c>
      <c r="N708" t="s">
        <v>125</v>
      </c>
      <c r="O708" t="s">
        <v>190</v>
      </c>
      <c r="P708">
        <v>9.5915544996636407E-3</v>
      </c>
      <c r="Q708" t="s">
        <v>84</v>
      </c>
      <c r="S708" t="s">
        <v>140</v>
      </c>
      <c r="T708" t="s">
        <v>190</v>
      </c>
      <c r="U708">
        <v>1.3454504545124472E-2</v>
      </c>
      <c r="V708" t="s">
        <v>84</v>
      </c>
    </row>
    <row r="709" spans="9:22" x14ac:dyDescent="0.45">
      <c r="I709" t="s">
        <v>109</v>
      </c>
      <c r="J709" t="s">
        <v>191</v>
      </c>
      <c r="K709">
        <v>1.8646107846336926E-2</v>
      </c>
      <c r="L709" t="s">
        <v>84</v>
      </c>
      <c r="N709" t="s">
        <v>125</v>
      </c>
      <c r="O709" t="s">
        <v>191</v>
      </c>
      <c r="P709">
        <v>1.8461226946433627E-2</v>
      </c>
      <c r="Q709" t="s">
        <v>84</v>
      </c>
      <c r="S709" t="s">
        <v>140</v>
      </c>
      <c r="T709" t="s">
        <v>191</v>
      </c>
      <c r="U709">
        <v>2.0595512232079123E-2</v>
      </c>
      <c r="V709" t="s">
        <v>84</v>
      </c>
    </row>
    <row r="710" spans="9:22" x14ac:dyDescent="0.45">
      <c r="I710" t="s">
        <v>109</v>
      </c>
      <c r="J710" t="s">
        <v>192</v>
      </c>
      <c r="K710">
        <v>0</v>
      </c>
      <c r="L710" t="s">
        <v>84</v>
      </c>
      <c r="N710" t="s">
        <v>125</v>
      </c>
      <c r="O710" t="s">
        <v>192</v>
      </c>
      <c r="P710">
        <v>3.562856652647477E-3</v>
      </c>
      <c r="Q710" t="s">
        <v>84</v>
      </c>
      <c r="S710" t="s">
        <v>140</v>
      </c>
      <c r="T710" t="s">
        <v>192</v>
      </c>
      <c r="U710">
        <v>3.4306825574770368E-3</v>
      </c>
      <c r="V710" t="s">
        <v>84</v>
      </c>
    </row>
    <row r="711" spans="9:22" x14ac:dyDescent="0.45">
      <c r="I711" t="s">
        <v>109</v>
      </c>
      <c r="J711" t="s">
        <v>193</v>
      </c>
      <c r="K711">
        <v>0</v>
      </c>
      <c r="L711" t="s">
        <v>84</v>
      </c>
      <c r="N711" t="s">
        <v>125</v>
      </c>
      <c r="O711" t="s">
        <v>193</v>
      </c>
      <c r="P711">
        <v>3.6069548487003768E-3</v>
      </c>
      <c r="Q711" t="s">
        <v>84</v>
      </c>
      <c r="S711" t="s">
        <v>140</v>
      </c>
      <c r="T711" t="s">
        <v>193</v>
      </c>
      <c r="U711">
        <v>3.4232964571158397E-3</v>
      </c>
      <c r="V711" t="s">
        <v>84</v>
      </c>
    </row>
    <row r="712" spans="9:22" x14ac:dyDescent="0.45">
      <c r="I712" t="s">
        <v>109</v>
      </c>
      <c r="J712" t="s">
        <v>194</v>
      </c>
      <c r="K712">
        <v>0</v>
      </c>
      <c r="L712" t="s">
        <v>84</v>
      </c>
      <c r="N712" t="s">
        <v>125</v>
      </c>
      <c r="O712" t="s">
        <v>194</v>
      </c>
      <c r="P712">
        <v>1.7443412655984009E-2</v>
      </c>
      <c r="Q712" t="s">
        <v>84</v>
      </c>
      <c r="S712" t="s">
        <v>140</v>
      </c>
      <c r="T712" t="s">
        <v>194</v>
      </c>
      <c r="U712">
        <v>1.6784342995629538E-2</v>
      </c>
      <c r="V712" t="s">
        <v>84</v>
      </c>
    </row>
    <row r="713" spans="9:22" x14ac:dyDescent="0.45">
      <c r="I713" t="s">
        <v>109</v>
      </c>
      <c r="J713" t="s">
        <v>195</v>
      </c>
      <c r="K713">
        <v>2.0788978413507632E-4</v>
      </c>
      <c r="L713" t="s">
        <v>84</v>
      </c>
      <c r="N713" t="s">
        <v>125</v>
      </c>
      <c r="O713" t="s">
        <v>195</v>
      </c>
      <c r="P713">
        <v>7.9291429695622723E-2</v>
      </c>
      <c r="Q713" t="s">
        <v>84</v>
      </c>
      <c r="S713" t="s">
        <v>140</v>
      </c>
      <c r="T713" t="s">
        <v>195</v>
      </c>
      <c r="U713">
        <v>7.5903178081017916E-2</v>
      </c>
      <c r="V713" t="s">
        <v>84</v>
      </c>
    </row>
    <row r="714" spans="9:22" x14ac:dyDescent="0.45">
      <c r="I714" t="s">
        <v>109</v>
      </c>
      <c r="J714" t="s">
        <v>196</v>
      </c>
      <c r="K714">
        <v>4.6227692719839585E-2</v>
      </c>
      <c r="L714" t="s">
        <v>84</v>
      </c>
      <c r="N714" t="s">
        <v>125</v>
      </c>
      <c r="O714" t="s">
        <v>196</v>
      </c>
      <c r="P714">
        <v>4.2521325933070439E-2</v>
      </c>
      <c r="Q714" t="s">
        <v>84</v>
      </c>
      <c r="S714" t="s">
        <v>140</v>
      </c>
      <c r="T714" t="s">
        <v>196</v>
      </c>
      <c r="U714">
        <v>4.2262620475374851E-2</v>
      </c>
      <c r="V714" t="s">
        <v>84</v>
      </c>
    </row>
    <row r="715" spans="9:22" x14ac:dyDescent="0.45">
      <c r="I715" t="s">
        <v>109</v>
      </c>
      <c r="J715" t="s">
        <v>197</v>
      </c>
      <c r="K715">
        <v>0.10032524647841683</v>
      </c>
      <c r="L715" t="s">
        <v>84</v>
      </c>
      <c r="N715" t="s">
        <v>125</v>
      </c>
      <c r="O715" t="s">
        <v>197</v>
      </c>
      <c r="P715">
        <v>8.8201433945088573E-2</v>
      </c>
      <c r="Q715" t="s">
        <v>84</v>
      </c>
      <c r="S715" t="s">
        <v>140</v>
      </c>
      <c r="T715" t="s">
        <v>197</v>
      </c>
      <c r="U715">
        <v>6.3925473988822826E-2</v>
      </c>
      <c r="V715" t="s">
        <v>84</v>
      </c>
    </row>
    <row r="716" spans="9:22" x14ac:dyDescent="0.45">
      <c r="I716" t="s">
        <v>109</v>
      </c>
      <c r="J716" t="s">
        <v>198</v>
      </c>
      <c r="K716">
        <v>8.430882964640618E-3</v>
      </c>
      <c r="L716" t="s">
        <v>84</v>
      </c>
      <c r="N716" t="s">
        <v>125</v>
      </c>
      <c r="O716" t="s">
        <v>198</v>
      </c>
      <c r="P716">
        <v>1.4129549064022627E-2</v>
      </c>
      <c r="Q716" t="s">
        <v>84</v>
      </c>
      <c r="S716" t="s">
        <v>140</v>
      </c>
      <c r="T716" t="s">
        <v>198</v>
      </c>
      <c r="U716">
        <v>1.0558673029891155E-2</v>
      </c>
      <c r="V716" t="s">
        <v>84</v>
      </c>
    </row>
    <row r="717" spans="9:22" x14ac:dyDescent="0.45">
      <c r="I717" t="s">
        <v>109</v>
      </c>
      <c r="J717" t="s">
        <v>199</v>
      </c>
      <c r="K717">
        <v>1.0663499935002088E-3</v>
      </c>
      <c r="L717" t="s">
        <v>84</v>
      </c>
      <c r="N717" t="s">
        <v>125</v>
      </c>
      <c r="O717" t="s">
        <v>199</v>
      </c>
      <c r="P717">
        <v>1.3221892755380738E-2</v>
      </c>
      <c r="Q717" t="s">
        <v>84</v>
      </c>
      <c r="S717" t="s">
        <v>140</v>
      </c>
      <c r="T717" t="s">
        <v>199</v>
      </c>
      <c r="U717">
        <v>1.0519126648928036E-2</v>
      </c>
      <c r="V717" t="s">
        <v>84</v>
      </c>
    </row>
    <row r="718" spans="9:22" x14ac:dyDescent="0.45">
      <c r="I718" t="s">
        <v>109</v>
      </c>
      <c r="J718" t="s">
        <v>200</v>
      </c>
      <c r="K718">
        <v>0</v>
      </c>
      <c r="L718" t="s">
        <v>84</v>
      </c>
      <c r="N718" t="s">
        <v>125</v>
      </c>
      <c r="O718" t="s">
        <v>200</v>
      </c>
      <c r="P718">
        <v>5.9343709022926537E-2</v>
      </c>
      <c r="Q718" t="s">
        <v>84</v>
      </c>
      <c r="S718" t="s">
        <v>140</v>
      </c>
      <c r="T718" t="s">
        <v>200</v>
      </c>
      <c r="U718">
        <v>5.2693166585641889E-2</v>
      </c>
      <c r="V718" t="s">
        <v>84</v>
      </c>
    </row>
    <row r="719" spans="9:22" x14ac:dyDescent="0.45">
      <c r="I719" t="s">
        <v>109</v>
      </c>
      <c r="J719" t="s">
        <v>201</v>
      </c>
      <c r="K719">
        <v>2.7933404987983759E-3</v>
      </c>
      <c r="L719" t="s">
        <v>84</v>
      </c>
      <c r="N719" t="s">
        <v>125</v>
      </c>
      <c r="O719" t="s">
        <v>201</v>
      </c>
      <c r="P719">
        <v>3.7953039678333751E-2</v>
      </c>
      <c r="Q719" t="s">
        <v>84</v>
      </c>
      <c r="S719" t="s">
        <v>140</v>
      </c>
      <c r="T719" t="s">
        <v>201</v>
      </c>
      <c r="U719">
        <v>3.016743426856739E-2</v>
      </c>
      <c r="V719" t="s">
        <v>84</v>
      </c>
    </row>
    <row r="720" spans="9:22" x14ac:dyDescent="0.45">
      <c r="I720" t="s">
        <v>109</v>
      </c>
      <c r="J720" t="s">
        <v>202</v>
      </c>
      <c r="K720">
        <v>2.691086339741219E-2</v>
      </c>
      <c r="L720" t="s">
        <v>84</v>
      </c>
      <c r="N720" t="s">
        <v>125</v>
      </c>
      <c r="O720" t="s">
        <v>202</v>
      </c>
      <c r="P720">
        <v>2.2159494960901423E-2</v>
      </c>
      <c r="Q720" t="s">
        <v>84</v>
      </c>
      <c r="S720" t="s">
        <v>140</v>
      </c>
      <c r="T720" t="s">
        <v>202</v>
      </c>
      <c r="U720">
        <v>1.6840940872470504E-2</v>
      </c>
      <c r="V720" t="s">
        <v>84</v>
      </c>
    </row>
    <row r="721" spans="9:22" x14ac:dyDescent="0.45">
      <c r="I721" t="s">
        <v>109</v>
      </c>
      <c r="J721" t="s">
        <v>203</v>
      </c>
      <c r="K721">
        <v>5.2733831023632147E-2</v>
      </c>
      <c r="L721" t="s">
        <v>84</v>
      </c>
      <c r="N721" t="s">
        <v>125</v>
      </c>
      <c r="O721" t="s">
        <v>203</v>
      </c>
      <c r="P721">
        <v>4.6507655420957285E-2</v>
      </c>
      <c r="Q721" t="s">
        <v>84</v>
      </c>
      <c r="S721" t="s">
        <v>140</v>
      </c>
      <c r="T721" t="s">
        <v>203</v>
      </c>
      <c r="U721">
        <v>2.4543737737156124E-2</v>
      </c>
      <c r="V721" t="s">
        <v>84</v>
      </c>
    </row>
    <row r="722" spans="9:22" x14ac:dyDescent="0.45">
      <c r="I722" t="s">
        <v>109</v>
      </c>
      <c r="J722" t="s">
        <v>204</v>
      </c>
      <c r="K722">
        <v>5.66209130245499E-3</v>
      </c>
      <c r="L722" t="s">
        <v>84</v>
      </c>
      <c r="N722" t="s">
        <v>125</v>
      </c>
      <c r="O722" t="s">
        <v>204</v>
      </c>
      <c r="P722">
        <v>7.1073222339101162E-3</v>
      </c>
      <c r="Q722" t="s">
        <v>84</v>
      </c>
      <c r="S722" t="s">
        <v>140</v>
      </c>
      <c r="T722" t="s">
        <v>204</v>
      </c>
      <c r="U722">
        <v>3.9365162441579137E-3</v>
      </c>
      <c r="V722" t="s">
        <v>84</v>
      </c>
    </row>
    <row r="723" spans="9:22" x14ac:dyDescent="0.45">
      <c r="I723" t="s">
        <v>109</v>
      </c>
      <c r="J723" t="s">
        <v>205</v>
      </c>
      <c r="K723">
        <v>3.7676301819042548E-3</v>
      </c>
      <c r="L723" t="s">
        <v>84</v>
      </c>
      <c r="N723" t="s">
        <v>125</v>
      </c>
      <c r="O723" t="s">
        <v>205</v>
      </c>
      <c r="P723">
        <v>6.554789574602057E-3</v>
      </c>
      <c r="Q723" t="s">
        <v>84</v>
      </c>
      <c r="S723" t="s">
        <v>140</v>
      </c>
      <c r="T723" t="s">
        <v>205</v>
      </c>
      <c r="U723">
        <v>3.9002803021686398E-3</v>
      </c>
      <c r="V723" t="s">
        <v>84</v>
      </c>
    </row>
    <row r="724" spans="9:22" x14ac:dyDescent="0.45">
      <c r="I724" t="s">
        <v>109</v>
      </c>
      <c r="J724" t="s">
        <v>206</v>
      </c>
      <c r="K724">
        <v>0</v>
      </c>
      <c r="L724" t="s">
        <v>84</v>
      </c>
      <c r="N724" t="s">
        <v>125</v>
      </c>
      <c r="O724" t="s">
        <v>206</v>
      </c>
      <c r="P724">
        <v>2.9154091579073112E-2</v>
      </c>
      <c r="Q724" t="s">
        <v>84</v>
      </c>
      <c r="S724" t="s">
        <v>140</v>
      </c>
      <c r="T724" t="s">
        <v>206</v>
      </c>
      <c r="U724">
        <v>1.9643212263927349E-2</v>
      </c>
      <c r="V724" t="s">
        <v>84</v>
      </c>
    </row>
    <row r="725" spans="9:22" x14ac:dyDescent="0.45">
      <c r="I725" t="s">
        <v>109</v>
      </c>
      <c r="J725" t="s">
        <v>207</v>
      </c>
      <c r="K725">
        <v>1.8188394800587114E-2</v>
      </c>
      <c r="L725" t="s">
        <v>84</v>
      </c>
      <c r="N725" t="s">
        <v>125</v>
      </c>
      <c r="O725" t="s">
        <v>207</v>
      </c>
      <c r="P725">
        <v>3.3770963527989438E-2</v>
      </c>
      <c r="Q725" t="s">
        <v>84</v>
      </c>
      <c r="S725" t="s">
        <v>140</v>
      </c>
      <c r="T725" t="s">
        <v>207</v>
      </c>
      <c r="U725">
        <v>4.5487047697644403E-2</v>
      </c>
      <c r="V725" t="s">
        <v>84</v>
      </c>
    </row>
    <row r="726" spans="9:22" x14ac:dyDescent="0.45">
      <c r="I726" t="s">
        <v>109</v>
      </c>
      <c r="J726" t="s">
        <v>208</v>
      </c>
      <c r="K726">
        <v>8.063882828813497E-2</v>
      </c>
      <c r="L726" t="s">
        <v>84</v>
      </c>
      <c r="N726" t="s">
        <v>125</v>
      </c>
      <c r="O726" t="s">
        <v>208</v>
      </c>
      <c r="P726">
        <v>2.1217054835214091E-2</v>
      </c>
      <c r="Q726" t="s">
        <v>84</v>
      </c>
      <c r="S726" t="s">
        <v>140</v>
      </c>
      <c r="T726" t="s">
        <v>208</v>
      </c>
      <c r="U726">
        <v>2.6322411082306475E-2</v>
      </c>
      <c r="V726" t="s">
        <v>84</v>
      </c>
    </row>
    <row r="727" spans="9:22" x14ac:dyDescent="0.45">
      <c r="I727" t="s">
        <v>109</v>
      </c>
      <c r="J727" t="s">
        <v>209</v>
      </c>
      <c r="K727">
        <v>0.13042007628764443</v>
      </c>
      <c r="L727" t="s">
        <v>84</v>
      </c>
      <c r="N727" t="s">
        <v>125</v>
      </c>
      <c r="O727" t="s">
        <v>209</v>
      </c>
      <c r="P727">
        <v>5.2486495713267314E-2</v>
      </c>
      <c r="Q727" t="s">
        <v>84</v>
      </c>
      <c r="S727" t="s">
        <v>140</v>
      </c>
      <c r="T727" t="s">
        <v>209</v>
      </c>
      <c r="U727">
        <v>3.9439196780727631E-2</v>
      </c>
      <c r="V727" t="s">
        <v>84</v>
      </c>
    </row>
    <row r="728" spans="9:22" x14ac:dyDescent="0.45">
      <c r="I728" t="s">
        <v>109</v>
      </c>
      <c r="J728" t="s">
        <v>210</v>
      </c>
      <c r="K728">
        <v>1.7217069633659321E-2</v>
      </c>
      <c r="L728" t="s">
        <v>84</v>
      </c>
      <c r="N728" t="s">
        <v>125</v>
      </c>
      <c r="O728" t="s">
        <v>210</v>
      </c>
      <c r="P728">
        <v>7.3169986701222449E-3</v>
      </c>
      <c r="Q728" t="s">
        <v>84</v>
      </c>
      <c r="S728" t="s">
        <v>140</v>
      </c>
      <c r="T728" t="s">
        <v>210</v>
      </c>
      <c r="U728">
        <v>6.4344311402215497E-3</v>
      </c>
      <c r="V728" t="s">
        <v>84</v>
      </c>
    </row>
    <row r="729" spans="9:22" x14ac:dyDescent="0.45">
      <c r="I729" t="s">
        <v>109</v>
      </c>
      <c r="J729" t="s">
        <v>211</v>
      </c>
      <c r="K729">
        <v>1.4347854539440447E-2</v>
      </c>
      <c r="L729" t="s">
        <v>84</v>
      </c>
      <c r="N729" t="s">
        <v>125</v>
      </c>
      <c r="O729" t="s">
        <v>211</v>
      </c>
      <c r="P729">
        <v>6.5090673470589869E-3</v>
      </c>
      <c r="Q729" t="s">
        <v>84</v>
      </c>
      <c r="S729" t="s">
        <v>140</v>
      </c>
      <c r="T729" t="s">
        <v>211</v>
      </c>
      <c r="U729">
        <v>6.4222117161802355E-3</v>
      </c>
      <c r="V729" t="s">
        <v>84</v>
      </c>
    </row>
    <row r="730" spans="9:22" x14ac:dyDescent="0.45">
      <c r="I730" t="s">
        <v>109</v>
      </c>
      <c r="J730" t="s">
        <v>212</v>
      </c>
      <c r="K730">
        <v>8.1281027281435974E-3</v>
      </c>
      <c r="L730" t="s">
        <v>84</v>
      </c>
      <c r="N730" t="s">
        <v>125</v>
      </c>
      <c r="O730" t="s">
        <v>212</v>
      </c>
      <c r="P730">
        <v>2.6114776398533754E-2</v>
      </c>
      <c r="Q730" t="s">
        <v>84</v>
      </c>
      <c r="S730" t="s">
        <v>140</v>
      </c>
      <c r="T730" t="s">
        <v>212</v>
      </c>
      <c r="U730">
        <v>3.1829364796889609E-2</v>
      </c>
      <c r="V730" t="s">
        <v>84</v>
      </c>
    </row>
    <row r="731" spans="9:22" x14ac:dyDescent="0.45">
      <c r="I731" t="s">
        <v>110</v>
      </c>
      <c r="J731" t="s">
        <v>83</v>
      </c>
      <c r="K731">
        <v>6.4276849916241781E-3</v>
      </c>
      <c r="L731" t="s">
        <v>84</v>
      </c>
      <c r="S731" t="s">
        <v>141</v>
      </c>
      <c r="T731" t="s">
        <v>83</v>
      </c>
      <c r="U731">
        <v>2.2049689091509818E-2</v>
      </c>
      <c r="V731" t="s">
        <v>84</v>
      </c>
    </row>
    <row r="732" spans="9:22" x14ac:dyDescent="0.45">
      <c r="I732" t="s">
        <v>110</v>
      </c>
      <c r="J732" t="s">
        <v>85</v>
      </c>
      <c r="K732">
        <v>4.147887466624936E-2</v>
      </c>
      <c r="L732" t="s">
        <v>84</v>
      </c>
      <c r="S732" t="s">
        <v>141</v>
      </c>
      <c r="T732" t="s">
        <v>85</v>
      </c>
      <c r="U732">
        <v>1.3465027565648487E-2</v>
      </c>
      <c r="V732" t="s">
        <v>84</v>
      </c>
    </row>
    <row r="733" spans="9:22" x14ac:dyDescent="0.45">
      <c r="I733" t="s">
        <v>110</v>
      </c>
      <c r="J733" t="s">
        <v>86</v>
      </c>
      <c r="K733">
        <v>7.3884318110877589E-2</v>
      </c>
      <c r="L733" t="s">
        <v>84</v>
      </c>
      <c r="S733" t="s">
        <v>141</v>
      </c>
      <c r="T733" t="s">
        <v>86</v>
      </c>
      <c r="U733">
        <v>2.1464901821234228E-2</v>
      </c>
      <c r="V733" t="s">
        <v>84</v>
      </c>
    </row>
    <row r="734" spans="9:22" x14ac:dyDescent="0.45">
      <c r="I734" t="s">
        <v>110</v>
      </c>
      <c r="J734" t="s">
        <v>177</v>
      </c>
      <c r="K734">
        <v>1.0292166859735026E-2</v>
      </c>
      <c r="L734" t="s">
        <v>84</v>
      </c>
      <c r="S734" t="s">
        <v>141</v>
      </c>
      <c r="T734" t="s">
        <v>177</v>
      </c>
      <c r="U734">
        <v>3.49962770572795E-3</v>
      </c>
      <c r="V734" t="s">
        <v>84</v>
      </c>
    </row>
    <row r="735" spans="9:22" x14ac:dyDescent="0.45">
      <c r="I735" t="s">
        <v>110</v>
      </c>
      <c r="J735" t="s">
        <v>178</v>
      </c>
      <c r="K735">
        <v>8.5753385944452101E-3</v>
      </c>
      <c r="L735" t="s">
        <v>84</v>
      </c>
      <c r="S735" t="s">
        <v>141</v>
      </c>
      <c r="T735" t="s">
        <v>178</v>
      </c>
      <c r="U735">
        <v>3.4043622270621601E-3</v>
      </c>
      <c r="V735" t="s">
        <v>84</v>
      </c>
    </row>
    <row r="736" spans="9:22" x14ac:dyDescent="0.45">
      <c r="I736" t="s">
        <v>110</v>
      </c>
      <c r="J736" t="s">
        <v>179</v>
      </c>
      <c r="K736">
        <v>5.4685334404785133E-3</v>
      </c>
      <c r="L736" t="s">
        <v>84</v>
      </c>
      <c r="S736" t="s">
        <v>141</v>
      </c>
      <c r="T736" t="s">
        <v>179</v>
      </c>
      <c r="U736">
        <v>1.6000686821206735E-2</v>
      </c>
      <c r="V736" t="s">
        <v>84</v>
      </c>
    </row>
    <row r="737" spans="9:22" x14ac:dyDescent="0.45">
      <c r="I737" t="s">
        <v>110</v>
      </c>
      <c r="J737" t="s">
        <v>87</v>
      </c>
      <c r="K737">
        <v>4.8944185708726818E-3</v>
      </c>
      <c r="L737" t="s">
        <v>84</v>
      </c>
      <c r="S737" t="s">
        <v>141</v>
      </c>
      <c r="T737" t="s">
        <v>87</v>
      </c>
      <c r="U737">
        <v>2.2091178955590703E-2</v>
      </c>
      <c r="V737" t="s">
        <v>84</v>
      </c>
    </row>
    <row r="738" spans="9:22" x14ac:dyDescent="0.45">
      <c r="I738" t="s">
        <v>110</v>
      </c>
      <c r="J738" t="s">
        <v>88</v>
      </c>
      <c r="K738">
        <v>3.8973991528178473E-2</v>
      </c>
      <c r="L738" t="s">
        <v>84</v>
      </c>
      <c r="S738" t="s">
        <v>141</v>
      </c>
      <c r="T738" t="s">
        <v>88</v>
      </c>
      <c r="U738">
        <v>1.212921387077708E-2</v>
      </c>
      <c r="V738" t="s">
        <v>84</v>
      </c>
    </row>
    <row r="739" spans="9:22" x14ac:dyDescent="0.45">
      <c r="I739" t="s">
        <v>110</v>
      </c>
      <c r="J739" t="s">
        <v>89</v>
      </c>
      <c r="K739">
        <v>6.8155612913894659E-2</v>
      </c>
      <c r="L739" t="s">
        <v>84</v>
      </c>
      <c r="S739" t="s">
        <v>141</v>
      </c>
      <c r="T739" t="s">
        <v>89</v>
      </c>
      <c r="U739">
        <v>1.7780200925356638E-2</v>
      </c>
      <c r="V739" t="s">
        <v>84</v>
      </c>
    </row>
    <row r="740" spans="9:22" x14ac:dyDescent="0.45">
      <c r="I740" t="s">
        <v>110</v>
      </c>
      <c r="J740" t="s">
        <v>180</v>
      </c>
      <c r="K740">
        <v>9.1916298850652535E-3</v>
      </c>
      <c r="L740" t="s">
        <v>84</v>
      </c>
      <c r="S740" t="s">
        <v>141</v>
      </c>
      <c r="T740" t="s">
        <v>180</v>
      </c>
      <c r="U740">
        <v>3.0470461902388827E-3</v>
      </c>
      <c r="V740" t="s">
        <v>84</v>
      </c>
    </row>
    <row r="741" spans="9:22" x14ac:dyDescent="0.45">
      <c r="I741" t="s">
        <v>110</v>
      </c>
      <c r="J741" t="s">
        <v>181</v>
      </c>
      <c r="K741">
        <v>6.8737889462894752E-3</v>
      </c>
      <c r="L741" t="s">
        <v>84</v>
      </c>
      <c r="S741" t="s">
        <v>141</v>
      </c>
      <c r="T741" t="s">
        <v>181</v>
      </c>
      <c r="U741">
        <v>3.0495440925229229E-3</v>
      </c>
      <c r="V741" t="s">
        <v>84</v>
      </c>
    </row>
    <row r="742" spans="9:22" x14ac:dyDescent="0.45">
      <c r="I742" t="s">
        <v>110</v>
      </c>
      <c r="J742" t="s">
        <v>182</v>
      </c>
      <c r="K742">
        <v>2.5892200982822744E-3</v>
      </c>
      <c r="L742" t="s">
        <v>84</v>
      </c>
      <c r="S742" t="s">
        <v>141</v>
      </c>
      <c r="T742" t="s">
        <v>182</v>
      </c>
      <c r="U742">
        <v>1.5079569226618265E-2</v>
      </c>
      <c r="V742" t="s">
        <v>84</v>
      </c>
    </row>
    <row r="743" spans="9:22" x14ac:dyDescent="0.45">
      <c r="I743" t="s">
        <v>110</v>
      </c>
      <c r="J743" t="s">
        <v>90</v>
      </c>
      <c r="K743">
        <v>6.1671144346517011E-4</v>
      </c>
      <c r="L743" t="s">
        <v>84</v>
      </c>
      <c r="S743" t="s">
        <v>141</v>
      </c>
      <c r="T743" t="s">
        <v>90</v>
      </c>
      <c r="U743">
        <v>2.3653500972136931E-2</v>
      </c>
      <c r="V743" t="s">
        <v>84</v>
      </c>
    </row>
    <row r="744" spans="9:22" x14ac:dyDescent="0.45">
      <c r="I744" t="s">
        <v>110</v>
      </c>
      <c r="J744" t="s">
        <v>91</v>
      </c>
      <c r="K744">
        <v>2.6859068210673961E-2</v>
      </c>
      <c r="L744" t="s">
        <v>84</v>
      </c>
      <c r="S744" t="s">
        <v>141</v>
      </c>
      <c r="T744" t="s">
        <v>91</v>
      </c>
      <c r="U744">
        <v>1.2926675942886687E-2</v>
      </c>
      <c r="V744" t="s">
        <v>84</v>
      </c>
    </row>
    <row r="745" spans="9:22" x14ac:dyDescent="0.45">
      <c r="I745" t="s">
        <v>110</v>
      </c>
      <c r="J745" t="s">
        <v>92</v>
      </c>
      <c r="K745">
        <v>5.4637079238228227E-2</v>
      </c>
      <c r="L745" t="s">
        <v>84</v>
      </c>
      <c r="S745" t="s">
        <v>141</v>
      </c>
      <c r="T745" t="s">
        <v>92</v>
      </c>
      <c r="U745">
        <v>1.84738408064598E-2</v>
      </c>
      <c r="V745" t="s">
        <v>84</v>
      </c>
    </row>
    <row r="746" spans="9:22" x14ac:dyDescent="0.45">
      <c r="I746" t="s">
        <v>110</v>
      </c>
      <c r="J746" t="s">
        <v>183</v>
      </c>
      <c r="K746">
        <v>6.2275086777079909E-3</v>
      </c>
      <c r="L746" t="s">
        <v>84</v>
      </c>
      <c r="S746" t="s">
        <v>141</v>
      </c>
      <c r="T746" t="s">
        <v>183</v>
      </c>
      <c r="U746">
        <v>3.081843965751944E-3</v>
      </c>
      <c r="V746" t="s">
        <v>84</v>
      </c>
    </row>
    <row r="747" spans="9:22" x14ac:dyDescent="0.45">
      <c r="I747" t="s">
        <v>110</v>
      </c>
      <c r="J747" t="s">
        <v>184</v>
      </c>
      <c r="K747">
        <v>3.2984677016671712E-3</v>
      </c>
      <c r="L747" t="s">
        <v>84</v>
      </c>
      <c r="S747" t="s">
        <v>141</v>
      </c>
      <c r="T747" t="s">
        <v>184</v>
      </c>
      <c r="U747">
        <v>3.0905123684617968E-3</v>
      </c>
      <c r="V747" t="s">
        <v>84</v>
      </c>
    </row>
    <row r="748" spans="9:22" x14ac:dyDescent="0.45">
      <c r="I748" t="s">
        <v>110</v>
      </c>
      <c r="J748" t="s">
        <v>185</v>
      </c>
      <c r="K748">
        <v>0</v>
      </c>
      <c r="L748" t="s">
        <v>84</v>
      </c>
      <c r="S748" t="s">
        <v>141</v>
      </c>
      <c r="T748" t="s">
        <v>185</v>
      </c>
      <c r="U748">
        <v>1.5242624477238188E-2</v>
      </c>
      <c r="V748" t="s">
        <v>84</v>
      </c>
    </row>
    <row r="749" spans="9:22" x14ac:dyDescent="0.45">
      <c r="I749" t="s">
        <v>110</v>
      </c>
      <c r="J749" t="s">
        <v>93</v>
      </c>
      <c r="K749">
        <v>0</v>
      </c>
      <c r="L749" t="s">
        <v>84</v>
      </c>
      <c r="S749" t="s">
        <v>141</v>
      </c>
      <c r="T749" t="s">
        <v>93</v>
      </c>
      <c r="U749">
        <v>5.4311626179459192E-2</v>
      </c>
      <c r="V749" t="s">
        <v>84</v>
      </c>
    </row>
    <row r="750" spans="9:22" x14ac:dyDescent="0.45">
      <c r="I750" t="s">
        <v>110</v>
      </c>
      <c r="J750" t="s">
        <v>94</v>
      </c>
      <c r="K750">
        <v>2.7818356218960796E-2</v>
      </c>
      <c r="L750" t="s">
        <v>84</v>
      </c>
      <c r="S750" t="s">
        <v>141</v>
      </c>
      <c r="T750" t="s">
        <v>94</v>
      </c>
      <c r="U750">
        <v>3.1108436196796801E-2</v>
      </c>
      <c r="V750" t="s">
        <v>84</v>
      </c>
    </row>
    <row r="751" spans="9:22" x14ac:dyDescent="0.45">
      <c r="I751" t="s">
        <v>110</v>
      </c>
      <c r="J751" t="s">
        <v>95</v>
      </c>
      <c r="K751">
        <v>6.0807373631858425E-2</v>
      </c>
      <c r="L751" t="s">
        <v>84</v>
      </c>
      <c r="S751" t="s">
        <v>141</v>
      </c>
      <c r="T751" t="s">
        <v>95</v>
      </c>
      <c r="U751">
        <v>4.7587838561050033E-2</v>
      </c>
      <c r="V751" t="s">
        <v>84</v>
      </c>
    </row>
    <row r="752" spans="9:22" x14ac:dyDescent="0.45">
      <c r="I752" t="s">
        <v>110</v>
      </c>
      <c r="J752" t="s">
        <v>186</v>
      </c>
      <c r="K752">
        <v>3.6213291242344001E-3</v>
      </c>
      <c r="L752" t="s">
        <v>84</v>
      </c>
      <c r="S752" t="s">
        <v>141</v>
      </c>
      <c r="T752" t="s">
        <v>186</v>
      </c>
      <c r="U752">
        <v>7.7614280473061589E-3</v>
      </c>
      <c r="V752" t="s">
        <v>84</v>
      </c>
    </row>
    <row r="753" spans="9:22" x14ac:dyDescent="0.45">
      <c r="I753" t="s">
        <v>110</v>
      </c>
      <c r="J753" t="s">
        <v>187</v>
      </c>
      <c r="K753">
        <v>0</v>
      </c>
      <c r="L753" t="s">
        <v>84</v>
      </c>
      <c r="S753" t="s">
        <v>141</v>
      </c>
      <c r="T753" t="s">
        <v>187</v>
      </c>
      <c r="U753">
        <v>7.6742584402435714E-3</v>
      </c>
      <c r="V753" t="s">
        <v>84</v>
      </c>
    </row>
    <row r="754" spans="9:22" x14ac:dyDescent="0.45">
      <c r="I754" t="s">
        <v>110</v>
      </c>
      <c r="J754" t="s">
        <v>188</v>
      </c>
      <c r="K754">
        <v>0</v>
      </c>
      <c r="L754" t="s">
        <v>84</v>
      </c>
      <c r="S754" t="s">
        <v>141</v>
      </c>
      <c r="T754" t="s">
        <v>188</v>
      </c>
      <c r="U754">
        <v>3.8108460507939097E-2</v>
      </c>
      <c r="V754" t="s">
        <v>84</v>
      </c>
    </row>
    <row r="755" spans="9:22" x14ac:dyDescent="0.45">
      <c r="I755" t="s">
        <v>110</v>
      </c>
      <c r="J755" t="s">
        <v>189</v>
      </c>
      <c r="K755">
        <v>0</v>
      </c>
      <c r="L755" t="s">
        <v>84</v>
      </c>
      <c r="S755" t="s">
        <v>141</v>
      </c>
      <c r="T755" t="s">
        <v>189</v>
      </c>
      <c r="U755">
        <v>2.4629515039757733E-2</v>
      </c>
      <c r="V755" t="s">
        <v>84</v>
      </c>
    </row>
    <row r="756" spans="9:22" x14ac:dyDescent="0.45">
      <c r="I756" t="s">
        <v>110</v>
      </c>
      <c r="J756" t="s">
        <v>190</v>
      </c>
      <c r="K756">
        <v>8.0635740882116901E-3</v>
      </c>
      <c r="L756" t="s">
        <v>84</v>
      </c>
      <c r="S756" t="s">
        <v>141</v>
      </c>
      <c r="T756" t="s">
        <v>190</v>
      </c>
      <c r="U756">
        <v>1.3818425654338353E-2</v>
      </c>
      <c r="V756" t="s">
        <v>84</v>
      </c>
    </row>
    <row r="757" spans="9:22" x14ac:dyDescent="0.45">
      <c r="I757" t="s">
        <v>110</v>
      </c>
      <c r="J757" t="s">
        <v>191</v>
      </c>
      <c r="K757">
        <v>1.9238982279709337E-2</v>
      </c>
      <c r="L757" t="s">
        <v>84</v>
      </c>
      <c r="S757" t="s">
        <v>141</v>
      </c>
      <c r="T757" t="s">
        <v>191</v>
      </c>
      <c r="U757">
        <v>2.0406998966455273E-2</v>
      </c>
      <c r="V757" t="s">
        <v>84</v>
      </c>
    </row>
    <row r="758" spans="9:22" x14ac:dyDescent="0.45">
      <c r="I758" t="s">
        <v>110</v>
      </c>
      <c r="J758" t="s">
        <v>192</v>
      </c>
      <c r="K758">
        <v>0</v>
      </c>
      <c r="L758" t="s">
        <v>84</v>
      </c>
      <c r="S758" t="s">
        <v>141</v>
      </c>
      <c r="T758" t="s">
        <v>192</v>
      </c>
      <c r="U758">
        <v>3.335116739960444E-3</v>
      </c>
      <c r="V758" t="s">
        <v>84</v>
      </c>
    </row>
    <row r="759" spans="9:22" x14ac:dyDescent="0.45">
      <c r="I759" t="s">
        <v>110</v>
      </c>
      <c r="J759" t="s">
        <v>193</v>
      </c>
      <c r="K759">
        <v>0</v>
      </c>
      <c r="L759" t="s">
        <v>84</v>
      </c>
      <c r="S759" t="s">
        <v>141</v>
      </c>
      <c r="T759" t="s">
        <v>193</v>
      </c>
      <c r="U759">
        <v>3.3122329604672075E-3</v>
      </c>
      <c r="V759" t="s">
        <v>84</v>
      </c>
    </row>
    <row r="760" spans="9:22" x14ac:dyDescent="0.45">
      <c r="I760" t="s">
        <v>110</v>
      </c>
      <c r="J760" t="s">
        <v>194</v>
      </c>
      <c r="K760">
        <v>0</v>
      </c>
      <c r="L760" t="s">
        <v>84</v>
      </c>
      <c r="S760" t="s">
        <v>141</v>
      </c>
      <c r="T760" t="s">
        <v>194</v>
      </c>
      <c r="U760">
        <v>1.6603237325887584E-2</v>
      </c>
      <c r="V760" t="s">
        <v>84</v>
      </c>
    </row>
    <row r="761" spans="9:22" x14ac:dyDescent="0.45">
      <c r="I761" t="s">
        <v>110</v>
      </c>
      <c r="J761" t="s">
        <v>195</v>
      </c>
      <c r="K761">
        <v>3.2168942391322852E-4</v>
      </c>
      <c r="L761" t="s">
        <v>84</v>
      </c>
      <c r="S761" t="s">
        <v>141</v>
      </c>
      <c r="T761" t="s">
        <v>195</v>
      </c>
      <c r="U761">
        <v>7.5885200287561808E-2</v>
      </c>
      <c r="V761" t="s">
        <v>84</v>
      </c>
    </row>
    <row r="762" spans="9:22" x14ac:dyDescent="0.45">
      <c r="I762" t="s">
        <v>110</v>
      </c>
      <c r="J762" t="s">
        <v>196</v>
      </c>
      <c r="K762">
        <v>4.5924533067214508E-2</v>
      </c>
      <c r="L762" t="s">
        <v>84</v>
      </c>
      <c r="S762" t="s">
        <v>141</v>
      </c>
      <c r="T762" t="s">
        <v>196</v>
      </c>
      <c r="U762">
        <v>4.3800420161036142E-2</v>
      </c>
      <c r="V762" t="s">
        <v>84</v>
      </c>
    </row>
    <row r="763" spans="9:22" x14ac:dyDescent="0.45">
      <c r="I763" t="s">
        <v>110</v>
      </c>
      <c r="J763" t="s">
        <v>197</v>
      </c>
      <c r="K763">
        <v>0.10196187830761841</v>
      </c>
      <c r="L763" t="s">
        <v>84</v>
      </c>
      <c r="S763" t="s">
        <v>141</v>
      </c>
      <c r="T763" t="s">
        <v>197</v>
      </c>
      <c r="U763">
        <v>6.5763150085112396E-2</v>
      </c>
      <c r="V763" t="s">
        <v>84</v>
      </c>
    </row>
    <row r="764" spans="9:22" x14ac:dyDescent="0.45">
      <c r="I764" t="s">
        <v>110</v>
      </c>
      <c r="J764" t="s">
        <v>198</v>
      </c>
      <c r="K764">
        <v>7.5731879699763045E-3</v>
      </c>
      <c r="L764" t="s">
        <v>84</v>
      </c>
      <c r="S764" t="s">
        <v>141</v>
      </c>
      <c r="T764" t="s">
        <v>198</v>
      </c>
      <c r="U764">
        <v>1.0642513328365879E-2</v>
      </c>
      <c r="V764" t="s">
        <v>84</v>
      </c>
    </row>
    <row r="765" spans="9:22" x14ac:dyDescent="0.45">
      <c r="I765" t="s">
        <v>110</v>
      </c>
      <c r="J765" t="s">
        <v>199</v>
      </c>
      <c r="K765">
        <v>1.9658100114206033E-4</v>
      </c>
      <c r="L765" t="s">
        <v>84</v>
      </c>
      <c r="S765" t="s">
        <v>141</v>
      </c>
      <c r="T765" t="s">
        <v>199</v>
      </c>
      <c r="U765">
        <v>1.0446637668093912E-2</v>
      </c>
      <c r="V765" t="s">
        <v>84</v>
      </c>
    </row>
    <row r="766" spans="9:22" x14ac:dyDescent="0.45">
      <c r="I766" t="s">
        <v>110</v>
      </c>
      <c r="J766" t="s">
        <v>200</v>
      </c>
      <c r="K766">
        <v>0</v>
      </c>
      <c r="L766" t="s">
        <v>84</v>
      </c>
      <c r="S766" t="s">
        <v>141</v>
      </c>
      <c r="T766" t="s">
        <v>200</v>
      </c>
      <c r="U766">
        <v>5.2055092411284774E-2</v>
      </c>
      <c r="V766" t="s">
        <v>84</v>
      </c>
    </row>
    <row r="767" spans="9:22" x14ac:dyDescent="0.45">
      <c r="I767" t="s">
        <v>110</v>
      </c>
      <c r="J767" t="s">
        <v>201</v>
      </c>
      <c r="K767">
        <v>3.06498060806685E-3</v>
      </c>
      <c r="L767" t="s">
        <v>84</v>
      </c>
      <c r="S767" t="s">
        <v>141</v>
      </c>
      <c r="T767" t="s">
        <v>201</v>
      </c>
      <c r="U767">
        <v>2.6315276721014649E-2</v>
      </c>
      <c r="V767" t="s">
        <v>84</v>
      </c>
    </row>
    <row r="768" spans="9:22" x14ac:dyDescent="0.45">
      <c r="I768" t="s">
        <v>110</v>
      </c>
      <c r="J768" t="s">
        <v>202</v>
      </c>
      <c r="K768">
        <v>2.6736332755387216E-2</v>
      </c>
      <c r="L768" t="s">
        <v>84</v>
      </c>
      <c r="S768" t="s">
        <v>141</v>
      </c>
      <c r="T768" t="s">
        <v>202</v>
      </c>
      <c r="U768">
        <v>1.4666923614310297E-2</v>
      </c>
      <c r="V768" t="s">
        <v>84</v>
      </c>
    </row>
    <row r="769" spans="9:22" x14ac:dyDescent="0.45">
      <c r="I769" t="s">
        <v>110</v>
      </c>
      <c r="J769" t="s">
        <v>203</v>
      </c>
      <c r="K769">
        <v>5.1866046881593554E-2</v>
      </c>
      <c r="L769" t="s">
        <v>84</v>
      </c>
      <c r="S769" t="s">
        <v>141</v>
      </c>
      <c r="T769" t="s">
        <v>203</v>
      </c>
      <c r="U769">
        <v>2.4691935476992818E-2</v>
      </c>
      <c r="V769" t="s">
        <v>84</v>
      </c>
    </row>
    <row r="770" spans="9:22" x14ac:dyDescent="0.45">
      <c r="I770" t="s">
        <v>110</v>
      </c>
      <c r="J770" t="s">
        <v>204</v>
      </c>
      <c r="K770">
        <v>5.2342202025962526E-3</v>
      </c>
      <c r="L770" t="s">
        <v>84</v>
      </c>
      <c r="S770" t="s">
        <v>141</v>
      </c>
      <c r="T770" t="s">
        <v>204</v>
      </c>
      <c r="U770">
        <v>4.1086393299131279E-3</v>
      </c>
      <c r="V770" t="s">
        <v>84</v>
      </c>
    </row>
    <row r="771" spans="9:22" x14ac:dyDescent="0.45">
      <c r="I771" t="s">
        <v>110</v>
      </c>
      <c r="J771" t="s">
        <v>205</v>
      </c>
      <c r="K771">
        <v>3.2420761411008584E-3</v>
      </c>
      <c r="L771" t="s">
        <v>84</v>
      </c>
      <c r="S771" t="s">
        <v>141</v>
      </c>
      <c r="T771" t="s">
        <v>205</v>
      </c>
      <c r="U771">
        <v>4.0624053825827917E-3</v>
      </c>
      <c r="V771" t="s">
        <v>84</v>
      </c>
    </row>
    <row r="772" spans="9:22" x14ac:dyDescent="0.45">
      <c r="I772" t="s">
        <v>110</v>
      </c>
      <c r="J772" t="s">
        <v>206</v>
      </c>
      <c r="K772">
        <v>0</v>
      </c>
      <c r="L772" t="s">
        <v>84</v>
      </c>
      <c r="S772" t="s">
        <v>141</v>
      </c>
      <c r="T772" t="s">
        <v>206</v>
      </c>
      <c r="U772">
        <v>1.9603126405268755E-2</v>
      </c>
      <c r="V772" t="s">
        <v>84</v>
      </c>
    </row>
    <row r="773" spans="9:22" x14ac:dyDescent="0.45">
      <c r="I773" t="s">
        <v>110</v>
      </c>
      <c r="J773" t="s">
        <v>207</v>
      </c>
      <c r="K773">
        <v>1.807425184029721E-2</v>
      </c>
      <c r="L773" t="s">
        <v>84</v>
      </c>
      <c r="S773" t="s">
        <v>141</v>
      </c>
      <c r="T773" t="s">
        <v>207</v>
      </c>
      <c r="U773">
        <v>4.5313382338302649E-2</v>
      </c>
      <c r="V773" t="s">
        <v>84</v>
      </c>
    </row>
    <row r="774" spans="9:22" x14ac:dyDescent="0.45">
      <c r="I774" t="s">
        <v>110</v>
      </c>
      <c r="J774" t="s">
        <v>208</v>
      </c>
      <c r="K774">
        <v>8.1092223235852745E-2</v>
      </c>
      <c r="L774" t="s">
        <v>84</v>
      </c>
      <c r="S774" t="s">
        <v>141</v>
      </c>
      <c r="T774" t="s">
        <v>208</v>
      </c>
      <c r="U774">
        <v>2.4709814801712124E-2</v>
      </c>
      <c r="V774" t="s">
        <v>84</v>
      </c>
    </row>
    <row r="775" spans="9:22" x14ac:dyDescent="0.45">
      <c r="I775" t="s">
        <v>110</v>
      </c>
      <c r="J775" t="s">
        <v>209</v>
      </c>
      <c r="K775">
        <v>0.13305121991199678</v>
      </c>
      <c r="L775" t="s">
        <v>84</v>
      </c>
      <c r="S775" t="s">
        <v>141</v>
      </c>
      <c r="T775" t="s">
        <v>209</v>
      </c>
      <c r="U775">
        <v>3.7093015008160216E-2</v>
      </c>
      <c r="V775" t="s">
        <v>84</v>
      </c>
    </row>
    <row r="776" spans="9:22" x14ac:dyDescent="0.45">
      <c r="I776" t="s">
        <v>110</v>
      </c>
      <c r="J776" t="s">
        <v>210</v>
      </c>
      <c r="K776">
        <v>1.6304642025242368E-2</v>
      </c>
      <c r="L776" t="s">
        <v>84</v>
      </c>
      <c r="S776" t="s">
        <v>141</v>
      </c>
      <c r="T776" t="s">
        <v>210</v>
      </c>
      <c r="U776">
        <v>6.1185806654995931E-3</v>
      </c>
      <c r="V776" t="s">
        <v>84</v>
      </c>
    </row>
    <row r="777" spans="9:22" x14ac:dyDescent="0.45">
      <c r="I777" t="s">
        <v>110</v>
      </c>
      <c r="J777" t="s">
        <v>211</v>
      </c>
      <c r="K777">
        <v>1.2112531386220092E-2</v>
      </c>
      <c r="L777" t="s">
        <v>84</v>
      </c>
      <c r="S777" t="s">
        <v>141</v>
      </c>
      <c r="T777" t="s">
        <v>211</v>
      </c>
      <c r="U777">
        <v>6.0740817796130489E-3</v>
      </c>
      <c r="V777" t="s">
        <v>84</v>
      </c>
    </row>
    <row r="778" spans="9:22" x14ac:dyDescent="0.45">
      <c r="I778" t="s">
        <v>110</v>
      </c>
      <c r="J778" t="s">
        <v>212</v>
      </c>
      <c r="K778">
        <v>5.2495760210720917E-3</v>
      </c>
      <c r="L778" t="s">
        <v>84</v>
      </c>
      <c r="S778" t="s">
        <v>141</v>
      </c>
      <c r="T778" t="s">
        <v>212</v>
      </c>
      <c r="U778">
        <v>3.04621828890838E-2</v>
      </c>
      <c r="V778" t="s">
        <v>84</v>
      </c>
    </row>
    <row r="779" spans="9:22" x14ac:dyDescent="0.45">
      <c r="S779" t="s">
        <v>142</v>
      </c>
      <c r="T779" t="s">
        <v>83</v>
      </c>
      <c r="U779">
        <v>2.5474533656326737E-2</v>
      </c>
      <c r="V779" t="s">
        <v>84</v>
      </c>
    </row>
    <row r="780" spans="9:22" x14ac:dyDescent="0.45">
      <c r="S780" t="s">
        <v>142</v>
      </c>
      <c r="T780" t="s">
        <v>85</v>
      </c>
      <c r="U780">
        <v>1.446509170484573E-2</v>
      </c>
      <c r="V780" t="s">
        <v>84</v>
      </c>
    </row>
    <row r="781" spans="9:22" x14ac:dyDescent="0.45">
      <c r="S781" t="s">
        <v>142</v>
      </c>
      <c r="T781" t="s">
        <v>86</v>
      </c>
      <c r="U781">
        <v>2.2108148148490998E-2</v>
      </c>
      <c r="V781" t="s">
        <v>84</v>
      </c>
    </row>
    <row r="782" spans="9:22" x14ac:dyDescent="0.45">
      <c r="S782" t="s">
        <v>142</v>
      </c>
      <c r="T782" t="s">
        <v>177</v>
      </c>
      <c r="U782">
        <v>3.6276462248489953E-3</v>
      </c>
      <c r="V782" t="s">
        <v>84</v>
      </c>
    </row>
    <row r="783" spans="9:22" x14ac:dyDescent="0.45">
      <c r="S783" t="s">
        <v>142</v>
      </c>
      <c r="T783" t="s">
        <v>178</v>
      </c>
      <c r="U783">
        <v>3.5919023529771832E-3</v>
      </c>
      <c r="V783" t="s">
        <v>84</v>
      </c>
    </row>
    <row r="784" spans="9:22" x14ac:dyDescent="0.45">
      <c r="S784" t="s">
        <v>142</v>
      </c>
      <c r="T784" t="s">
        <v>179</v>
      </c>
      <c r="U784">
        <v>1.7619581837715524E-2</v>
      </c>
      <c r="V784" t="s">
        <v>84</v>
      </c>
    </row>
    <row r="785" spans="19:22" x14ac:dyDescent="0.45">
      <c r="S785" t="s">
        <v>142</v>
      </c>
      <c r="T785" t="s">
        <v>87</v>
      </c>
      <c r="U785">
        <v>2.4116301113774399E-2</v>
      </c>
      <c r="V785" t="s">
        <v>84</v>
      </c>
    </row>
    <row r="786" spans="19:22" x14ac:dyDescent="0.45">
      <c r="S786" t="s">
        <v>142</v>
      </c>
      <c r="T786" t="s">
        <v>88</v>
      </c>
      <c r="U786">
        <v>1.2862471464152852E-2</v>
      </c>
      <c r="V786" t="s">
        <v>84</v>
      </c>
    </row>
    <row r="787" spans="19:22" x14ac:dyDescent="0.45">
      <c r="S787" t="s">
        <v>142</v>
      </c>
      <c r="T787" t="s">
        <v>89</v>
      </c>
      <c r="U787">
        <v>2.0707293885964952E-2</v>
      </c>
      <c r="V787" t="s">
        <v>84</v>
      </c>
    </row>
    <row r="788" spans="19:22" x14ac:dyDescent="0.45">
      <c r="S788" t="s">
        <v>142</v>
      </c>
      <c r="T788" t="s">
        <v>180</v>
      </c>
      <c r="U788">
        <v>3.581219431081719E-3</v>
      </c>
      <c r="V788" t="s">
        <v>84</v>
      </c>
    </row>
    <row r="789" spans="19:22" x14ac:dyDescent="0.45">
      <c r="S789" t="s">
        <v>142</v>
      </c>
      <c r="T789" t="s">
        <v>181</v>
      </c>
      <c r="U789">
        <v>3.5952867323020212E-3</v>
      </c>
      <c r="V789" t="s">
        <v>84</v>
      </c>
    </row>
    <row r="790" spans="19:22" x14ac:dyDescent="0.45">
      <c r="S790" t="s">
        <v>142</v>
      </c>
      <c r="T790" t="s">
        <v>182</v>
      </c>
      <c r="U790">
        <v>1.7606775945335832E-2</v>
      </c>
      <c r="V790" t="s">
        <v>84</v>
      </c>
    </row>
    <row r="791" spans="19:22" x14ac:dyDescent="0.45">
      <c r="S791" t="s">
        <v>142</v>
      </c>
      <c r="T791" t="s">
        <v>90</v>
      </c>
      <c r="U791">
        <v>2.2524741987755205E-2</v>
      </c>
      <c r="V791" t="s">
        <v>84</v>
      </c>
    </row>
    <row r="792" spans="19:22" x14ac:dyDescent="0.45">
      <c r="S792" t="s">
        <v>142</v>
      </c>
      <c r="T792" t="s">
        <v>91</v>
      </c>
      <c r="U792">
        <v>1.3226460414293763E-2</v>
      </c>
      <c r="V792" t="s">
        <v>84</v>
      </c>
    </row>
    <row r="793" spans="19:22" x14ac:dyDescent="0.45">
      <c r="S793" t="s">
        <v>142</v>
      </c>
      <c r="T793" t="s">
        <v>92</v>
      </c>
      <c r="U793">
        <v>2.1263933707765234E-2</v>
      </c>
      <c r="V793" t="s">
        <v>84</v>
      </c>
    </row>
    <row r="794" spans="19:22" x14ac:dyDescent="0.45">
      <c r="S794" t="s">
        <v>142</v>
      </c>
      <c r="T794" t="s">
        <v>183</v>
      </c>
      <c r="U794">
        <v>3.4844936430500203E-3</v>
      </c>
      <c r="V794" t="s">
        <v>84</v>
      </c>
    </row>
    <row r="795" spans="19:22" x14ac:dyDescent="0.45">
      <c r="S795" t="s">
        <v>142</v>
      </c>
      <c r="T795" t="s">
        <v>184</v>
      </c>
      <c r="U795">
        <v>3.4085558118525216E-3</v>
      </c>
      <c r="V795" t="s">
        <v>84</v>
      </c>
    </row>
    <row r="796" spans="19:22" x14ac:dyDescent="0.45">
      <c r="S796" t="s">
        <v>142</v>
      </c>
      <c r="T796" t="s">
        <v>185</v>
      </c>
      <c r="U796">
        <v>1.6040793818139224E-2</v>
      </c>
      <c r="V796" t="s">
        <v>84</v>
      </c>
    </row>
    <row r="797" spans="19:22" x14ac:dyDescent="0.45">
      <c r="S797" t="s">
        <v>142</v>
      </c>
      <c r="T797" t="s">
        <v>93</v>
      </c>
      <c r="U797">
        <v>4.7346312025611549E-2</v>
      </c>
      <c r="V797" t="s">
        <v>84</v>
      </c>
    </row>
    <row r="798" spans="19:22" x14ac:dyDescent="0.45">
      <c r="S798" t="s">
        <v>142</v>
      </c>
      <c r="T798" t="s">
        <v>94</v>
      </c>
      <c r="U798">
        <v>2.6190776937151369E-2</v>
      </c>
      <c r="V798" t="s">
        <v>84</v>
      </c>
    </row>
    <row r="799" spans="19:22" x14ac:dyDescent="0.45">
      <c r="S799" t="s">
        <v>142</v>
      </c>
      <c r="T799" t="s">
        <v>95</v>
      </c>
      <c r="U799">
        <v>4.0143045279265994E-2</v>
      </c>
      <c r="V799" t="s">
        <v>84</v>
      </c>
    </row>
    <row r="800" spans="19:22" x14ac:dyDescent="0.45">
      <c r="S800" t="s">
        <v>142</v>
      </c>
      <c r="T800" t="s">
        <v>186</v>
      </c>
      <c r="U800">
        <v>6.7968966548542439E-3</v>
      </c>
      <c r="V800" t="s">
        <v>84</v>
      </c>
    </row>
    <row r="801" spans="19:22" x14ac:dyDescent="0.45">
      <c r="S801" t="s">
        <v>142</v>
      </c>
      <c r="T801" t="s">
        <v>187</v>
      </c>
      <c r="U801">
        <v>6.7260586403772278E-3</v>
      </c>
      <c r="V801" t="s">
        <v>84</v>
      </c>
    </row>
    <row r="802" spans="19:22" x14ac:dyDescent="0.45">
      <c r="S802" t="s">
        <v>142</v>
      </c>
      <c r="T802" t="s">
        <v>188</v>
      </c>
      <c r="U802">
        <v>3.3040604883288395E-2</v>
      </c>
      <c r="V802" t="s">
        <v>84</v>
      </c>
    </row>
    <row r="803" spans="19:22" x14ac:dyDescent="0.45">
      <c r="S803" t="s">
        <v>142</v>
      </c>
      <c r="T803" t="s">
        <v>189</v>
      </c>
      <c r="U803">
        <v>2.2219546563863771E-2</v>
      </c>
      <c r="V803" t="s">
        <v>84</v>
      </c>
    </row>
    <row r="804" spans="19:22" x14ac:dyDescent="0.45">
      <c r="S804" t="s">
        <v>142</v>
      </c>
      <c r="T804" t="s">
        <v>190</v>
      </c>
      <c r="U804">
        <v>1.2598240814496349E-2</v>
      </c>
      <c r="V804" t="s">
        <v>84</v>
      </c>
    </row>
    <row r="805" spans="19:22" x14ac:dyDescent="0.45">
      <c r="S805" t="s">
        <v>142</v>
      </c>
      <c r="T805" t="s">
        <v>191</v>
      </c>
      <c r="U805">
        <v>1.947784970253396E-2</v>
      </c>
      <c r="V805" t="s">
        <v>84</v>
      </c>
    </row>
    <row r="806" spans="19:22" x14ac:dyDescent="0.45">
      <c r="S806" t="s">
        <v>142</v>
      </c>
      <c r="T806" t="s">
        <v>192</v>
      </c>
      <c r="U806">
        <v>3.2532471979627941E-3</v>
      </c>
      <c r="V806" t="s">
        <v>84</v>
      </c>
    </row>
    <row r="807" spans="19:22" x14ac:dyDescent="0.45">
      <c r="S807" t="s">
        <v>142</v>
      </c>
      <c r="T807" t="s">
        <v>193</v>
      </c>
      <c r="U807">
        <v>3.2476699625790745E-3</v>
      </c>
      <c r="V807" t="s">
        <v>84</v>
      </c>
    </row>
    <row r="808" spans="19:22" x14ac:dyDescent="0.45">
      <c r="S808" t="s">
        <v>142</v>
      </c>
      <c r="T808" t="s">
        <v>194</v>
      </c>
      <c r="U808">
        <v>1.6157881896379296E-2</v>
      </c>
      <c r="V808" t="s">
        <v>84</v>
      </c>
    </row>
    <row r="809" spans="19:22" x14ac:dyDescent="0.45">
      <c r="S809" t="s">
        <v>142</v>
      </c>
      <c r="T809" t="s">
        <v>195</v>
      </c>
      <c r="U809">
        <v>7.7780566464727335E-2</v>
      </c>
      <c r="V809" t="s">
        <v>84</v>
      </c>
    </row>
    <row r="810" spans="19:22" x14ac:dyDescent="0.45">
      <c r="S810" t="s">
        <v>142</v>
      </c>
      <c r="T810" t="s">
        <v>196</v>
      </c>
      <c r="U810">
        <v>4.3925204997596272E-2</v>
      </c>
      <c r="V810" t="s">
        <v>84</v>
      </c>
    </row>
    <row r="811" spans="19:22" x14ac:dyDescent="0.45">
      <c r="S811" t="s">
        <v>142</v>
      </c>
      <c r="T811" t="s">
        <v>197</v>
      </c>
      <c r="U811">
        <v>6.4706321550345641E-2</v>
      </c>
      <c r="V811" t="s">
        <v>84</v>
      </c>
    </row>
    <row r="812" spans="19:22" x14ac:dyDescent="0.45">
      <c r="S812" t="s">
        <v>142</v>
      </c>
      <c r="T812" t="s">
        <v>198</v>
      </c>
      <c r="U812">
        <v>1.0657527093996109E-2</v>
      </c>
      <c r="V812" t="s">
        <v>84</v>
      </c>
    </row>
    <row r="813" spans="19:22" x14ac:dyDescent="0.45">
      <c r="S813" t="s">
        <v>142</v>
      </c>
      <c r="T813" t="s">
        <v>199</v>
      </c>
      <c r="U813">
        <v>1.0647354744786343E-2</v>
      </c>
      <c r="V813" t="s">
        <v>84</v>
      </c>
    </row>
    <row r="814" spans="19:22" x14ac:dyDescent="0.45">
      <c r="S814" t="s">
        <v>142</v>
      </c>
      <c r="T814" t="s">
        <v>200</v>
      </c>
      <c r="U814">
        <v>5.3402394787907925E-2</v>
      </c>
      <c r="V814" t="s">
        <v>84</v>
      </c>
    </row>
    <row r="815" spans="19:22" x14ac:dyDescent="0.45">
      <c r="S815" t="s">
        <v>142</v>
      </c>
      <c r="T815" t="s">
        <v>201</v>
      </c>
      <c r="U815">
        <v>2.8463567093822424E-2</v>
      </c>
      <c r="V815" t="s">
        <v>84</v>
      </c>
    </row>
    <row r="816" spans="19:22" x14ac:dyDescent="0.45">
      <c r="S816" t="s">
        <v>142</v>
      </c>
      <c r="T816" t="s">
        <v>202</v>
      </c>
      <c r="U816">
        <v>1.6626311595202094E-2</v>
      </c>
      <c r="V816" t="s">
        <v>84</v>
      </c>
    </row>
    <row r="817" spans="19:22" x14ac:dyDescent="0.45">
      <c r="S817" t="s">
        <v>142</v>
      </c>
      <c r="T817" t="s">
        <v>203</v>
      </c>
      <c r="U817">
        <v>2.4142573301363966E-2</v>
      </c>
      <c r="V817" t="s">
        <v>84</v>
      </c>
    </row>
    <row r="818" spans="19:22" x14ac:dyDescent="0.45">
      <c r="S818" t="s">
        <v>142</v>
      </c>
      <c r="T818" t="s">
        <v>204</v>
      </c>
      <c r="U818">
        <v>3.8404498421867974E-3</v>
      </c>
      <c r="V818" t="s">
        <v>84</v>
      </c>
    </row>
    <row r="819" spans="19:22" x14ac:dyDescent="0.45">
      <c r="S819" t="s">
        <v>142</v>
      </c>
      <c r="T819" t="s">
        <v>205</v>
      </c>
      <c r="U819">
        <v>3.763499479296929E-3</v>
      </c>
      <c r="V819" t="s">
        <v>84</v>
      </c>
    </row>
    <row r="820" spans="19:22" x14ac:dyDescent="0.45">
      <c r="S820" t="s">
        <v>142</v>
      </c>
      <c r="T820" t="s">
        <v>206</v>
      </c>
      <c r="U820">
        <v>1.9678129627018974E-2</v>
      </c>
      <c r="V820" t="s">
        <v>84</v>
      </c>
    </row>
    <row r="821" spans="19:22" x14ac:dyDescent="0.45">
      <c r="S821" t="s">
        <v>142</v>
      </c>
      <c r="T821" t="s">
        <v>207</v>
      </c>
      <c r="U821">
        <v>4.5546417605074524E-2</v>
      </c>
      <c r="V821" t="s">
        <v>84</v>
      </c>
    </row>
    <row r="822" spans="19:22" x14ac:dyDescent="0.45">
      <c r="S822" t="s">
        <v>142</v>
      </c>
      <c r="T822" t="s">
        <v>208</v>
      </c>
      <c r="U822">
        <v>2.6512339357207246E-2</v>
      </c>
      <c r="V822" t="s">
        <v>84</v>
      </c>
    </row>
    <row r="823" spans="19:22" x14ac:dyDescent="0.45">
      <c r="S823" t="s">
        <v>142</v>
      </c>
      <c r="T823" t="s">
        <v>209</v>
      </c>
      <c r="U823">
        <v>4.001562933343545E-2</v>
      </c>
      <c r="V823" t="s">
        <v>84</v>
      </c>
    </row>
    <row r="824" spans="19:22" x14ac:dyDescent="0.45">
      <c r="S824" t="s">
        <v>142</v>
      </c>
      <c r="T824" t="s">
        <v>210</v>
      </c>
      <c r="U824">
        <v>6.3482290239490749E-3</v>
      </c>
      <c r="V824" t="s">
        <v>84</v>
      </c>
    </row>
    <row r="825" spans="19:22" x14ac:dyDescent="0.45">
      <c r="S825" t="s">
        <v>142</v>
      </c>
      <c r="T825" t="s">
        <v>211</v>
      </c>
      <c r="U825">
        <v>6.250097531876918E-3</v>
      </c>
      <c r="V825" t="s">
        <v>84</v>
      </c>
    </row>
    <row r="826" spans="19:22" x14ac:dyDescent="0.45">
      <c r="S826" t="s">
        <v>142</v>
      </c>
      <c r="T826" t="s">
        <v>212</v>
      </c>
      <c r="U826">
        <v>3.1190024131170658E-2</v>
      </c>
      <c r="V826" t="s">
        <v>84</v>
      </c>
    </row>
    <row r="827" spans="19:22" x14ac:dyDescent="0.45">
      <c r="S827" t="s">
        <v>143</v>
      </c>
      <c r="T827" t="s">
        <v>83</v>
      </c>
      <c r="U827">
        <v>2.494529071906158E-2</v>
      </c>
      <c r="V827" t="s">
        <v>84</v>
      </c>
    </row>
    <row r="828" spans="19:22" x14ac:dyDescent="0.45">
      <c r="S828" t="s">
        <v>143</v>
      </c>
      <c r="T828" t="s">
        <v>85</v>
      </c>
      <c r="U828">
        <v>1.429684395232156E-2</v>
      </c>
      <c r="V828" t="s">
        <v>84</v>
      </c>
    </row>
    <row r="829" spans="19:22" x14ac:dyDescent="0.45">
      <c r="S829" t="s">
        <v>143</v>
      </c>
      <c r="T829" t="s">
        <v>86</v>
      </c>
      <c r="U829">
        <v>2.2076260671397712E-2</v>
      </c>
      <c r="V829" t="s">
        <v>84</v>
      </c>
    </row>
    <row r="830" spans="19:22" x14ac:dyDescent="0.45">
      <c r="S830" t="s">
        <v>143</v>
      </c>
      <c r="T830" t="s">
        <v>177</v>
      </c>
      <c r="U830">
        <v>3.6290267979997826E-3</v>
      </c>
      <c r="V830" t="s">
        <v>84</v>
      </c>
    </row>
    <row r="831" spans="19:22" x14ac:dyDescent="0.45">
      <c r="S831" t="s">
        <v>143</v>
      </c>
      <c r="T831" t="s">
        <v>178</v>
      </c>
      <c r="U831">
        <v>3.6240687181689811E-3</v>
      </c>
      <c r="V831" t="s">
        <v>84</v>
      </c>
    </row>
    <row r="832" spans="19:22" x14ac:dyDescent="0.45">
      <c r="S832" t="s">
        <v>143</v>
      </c>
      <c r="T832" t="s">
        <v>179</v>
      </c>
      <c r="U832">
        <v>1.778903103010878E-2</v>
      </c>
      <c r="V832" t="s">
        <v>84</v>
      </c>
    </row>
    <row r="833" spans="19:22" x14ac:dyDescent="0.45">
      <c r="S833" t="s">
        <v>143</v>
      </c>
      <c r="T833" t="s">
        <v>87</v>
      </c>
      <c r="U833">
        <v>2.3529503964305719E-2</v>
      </c>
      <c r="V833" t="s">
        <v>84</v>
      </c>
    </row>
    <row r="834" spans="19:22" x14ac:dyDescent="0.45">
      <c r="S834" t="s">
        <v>143</v>
      </c>
      <c r="T834" t="s">
        <v>88</v>
      </c>
      <c r="U834">
        <v>1.2296469893046173E-2</v>
      </c>
      <c r="V834" t="s">
        <v>84</v>
      </c>
    </row>
    <row r="835" spans="19:22" x14ac:dyDescent="0.45">
      <c r="S835" t="s">
        <v>143</v>
      </c>
      <c r="T835" t="s">
        <v>89</v>
      </c>
      <c r="U835">
        <v>2.0537739519580073E-2</v>
      </c>
      <c r="V835" t="s">
        <v>84</v>
      </c>
    </row>
    <row r="836" spans="19:22" x14ac:dyDescent="0.45">
      <c r="S836" t="s">
        <v>143</v>
      </c>
      <c r="T836" t="s">
        <v>180</v>
      </c>
      <c r="U836">
        <v>3.6045082862512655E-3</v>
      </c>
      <c r="V836" t="s">
        <v>84</v>
      </c>
    </row>
    <row r="837" spans="19:22" x14ac:dyDescent="0.45">
      <c r="S837" t="s">
        <v>143</v>
      </c>
      <c r="T837" t="s">
        <v>181</v>
      </c>
      <c r="U837">
        <v>3.6084910512459377E-3</v>
      </c>
      <c r="V837" t="s">
        <v>84</v>
      </c>
    </row>
    <row r="838" spans="19:22" x14ac:dyDescent="0.45">
      <c r="S838" t="s">
        <v>143</v>
      </c>
      <c r="T838" t="s">
        <v>182</v>
      </c>
      <c r="U838">
        <v>1.7555802738446129E-2</v>
      </c>
      <c r="V838" t="s">
        <v>84</v>
      </c>
    </row>
    <row r="839" spans="19:22" x14ac:dyDescent="0.45">
      <c r="S839" t="s">
        <v>143</v>
      </c>
      <c r="T839" t="s">
        <v>90</v>
      </c>
      <c r="U839">
        <v>2.4831204217913322E-2</v>
      </c>
      <c r="V839" t="s">
        <v>84</v>
      </c>
    </row>
    <row r="840" spans="19:22" x14ac:dyDescent="0.45">
      <c r="S840" t="s">
        <v>143</v>
      </c>
      <c r="T840" t="s">
        <v>91</v>
      </c>
      <c r="U840">
        <v>1.4150826278015782E-2</v>
      </c>
      <c r="V840" t="s">
        <v>84</v>
      </c>
    </row>
    <row r="841" spans="19:22" x14ac:dyDescent="0.45">
      <c r="S841" t="s">
        <v>143</v>
      </c>
      <c r="T841" t="s">
        <v>92</v>
      </c>
      <c r="U841">
        <v>2.2637954747045143E-2</v>
      </c>
      <c r="V841" t="s">
        <v>84</v>
      </c>
    </row>
    <row r="842" spans="19:22" x14ac:dyDescent="0.45">
      <c r="S842" t="s">
        <v>143</v>
      </c>
      <c r="T842" t="s">
        <v>183</v>
      </c>
      <c r="U842">
        <v>3.8046097647571218E-3</v>
      </c>
      <c r="V842" t="s">
        <v>84</v>
      </c>
    </row>
    <row r="843" spans="19:22" x14ac:dyDescent="0.45">
      <c r="S843" t="s">
        <v>143</v>
      </c>
      <c r="T843" t="s">
        <v>184</v>
      </c>
      <c r="U843">
        <v>3.7740599231396448E-3</v>
      </c>
      <c r="V843" t="s">
        <v>84</v>
      </c>
    </row>
    <row r="844" spans="19:22" x14ac:dyDescent="0.45">
      <c r="S844" t="s">
        <v>143</v>
      </c>
      <c r="T844" t="s">
        <v>185</v>
      </c>
      <c r="U844">
        <v>1.8254511517809689E-2</v>
      </c>
      <c r="V844" t="s">
        <v>84</v>
      </c>
    </row>
    <row r="845" spans="19:22" x14ac:dyDescent="0.45">
      <c r="S845" t="s">
        <v>143</v>
      </c>
      <c r="T845" t="s">
        <v>93</v>
      </c>
      <c r="U845">
        <v>4.6837301191992885E-2</v>
      </c>
      <c r="V845" t="s">
        <v>84</v>
      </c>
    </row>
    <row r="846" spans="19:22" x14ac:dyDescent="0.45">
      <c r="S846" t="s">
        <v>143</v>
      </c>
      <c r="T846" t="s">
        <v>94</v>
      </c>
      <c r="U846">
        <v>2.709882809992694E-2</v>
      </c>
      <c r="V846" t="s">
        <v>84</v>
      </c>
    </row>
    <row r="847" spans="19:22" x14ac:dyDescent="0.45">
      <c r="S847" t="s">
        <v>143</v>
      </c>
      <c r="T847" t="s">
        <v>95</v>
      </c>
      <c r="U847">
        <v>4.0401637310593437E-2</v>
      </c>
      <c r="V847" t="s">
        <v>84</v>
      </c>
    </row>
    <row r="848" spans="19:22" x14ac:dyDescent="0.45">
      <c r="S848" t="s">
        <v>143</v>
      </c>
      <c r="T848" t="s">
        <v>186</v>
      </c>
      <c r="U848">
        <v>6.7679910789795704E-3</v>
      </c>
      <c r="V848" t="s">
        <v>84</v>
      </c>
    </row>
    <row r="849" spans="19:22" x14ac:dyDescent="0.45">
      <c r="S849" t="s">
        <v>143</v>
      </c>
      <c r="T849" t="s">
        <v>187</v>
      </c>
      <c r="U849">
        <v>6.7580266839377132E-3</v>
      </c>
      <c r="V849" t="s">
        <v>84</v>
      </c>
    </row>
    <row r="850" spans="19:22" x14ac:dyDescent="0.45">
      <c r="S850" t="s">
        <v>143</v>
      </c>
      <c r="T850" t="s">
        <v>188</v>
      </c>
      <c r="U850">
        <v>3.3303829513806692E-2</v>
      </c>
      <c r="V850" t="s">
        <v>84</v>
      </c>
    </row>
    <row r="851" spans="19:22" x14ac:dyDescent="0.45">
      <c r="S851" t="s">
        <v>143</v>
      </c>
      <c r="T851" t="s">
        <v>189</v>
      </c>
      <c r="U851">
        <v>2.3784322694969013E-2</v>
      </c>
      <c r="V851" t="s">
        <v>84</v>
      </c>
    </row>
    <row r="852" spans="19:22" x14ac:dyDescent="0.45">
      <c r="S852" t="s">
        <v>143</v>
      </c>
      <c r="T852" t="s">
        <v>190</v>
      </c>
      <c r="U852">
        <v>1.3051614619414672E-2</v>
      </c>
      <c r="V852" t="s">
        <v>84</v>
      </c>
    </row>
    <row r="853" spans="19:22" x14ac:dyDescent="0.45">
      <c r="S853" t="s">
        <v>143</v>
      </c>
      <c r="T853" t="s">
        <v>191</v>
      </c>
      <c r="U853">
        <v>2.0325345599466874E-2</v>
      </c>
      <c r="V853" t="s">
        <v>84</v>
      </c>
    </row>
    <row r="854" spans="19:22" x14ac:dyDescent="0.45">
      <c r="S854" t="s">
        <v>143</v>
      </c>
      <c r="T854" t="s">
        <v>192</v>
      </c>
      <c r="U854">
        <v>3.3359392191194925E-3</v>
      </c>
      <c r="V854" t="s">
        <v>84</v>
      </c>
    </row>
    <row r="855" spans="19:22" x14ac:dyDescent="0.45">
      <c r="S855" t="s">
        <v>143</v>
      </c>
      <c r="T855" t="s">
        <v>193</v>
      </c>
      <c r="U855">
        <v>3.3020885812982941E-3</v>
      </c>
      <c r="V855" t="s">
        <v>84</v>
      </c>
    </row>
    <row r="856" spans="19:22" x14ac:dyDescent="0.45">
      <c r="S856" t="s">
        <v>143</v>
      </c>
      <c r="T856" t="s">
        <v>194</v>
      </c>
      <c r="U856">
        <v>1.6538879663990549E-2</v>
      </c>
      <c r="V856" t="s">
        <v>84</v>
      </c>
    </row>
    <row r="857" spans="19:22" x14ac:dyDescent="0.45">
      <c r="S857" t="s">
        <v>143</v>
      </c>
      <c r="T857" t="s">
        <v>195</v>
      </c>
      <c r="U857">
        <v>7.4003240729370687E-2</v>
      </c>
      <c r="V857" t="s">
        <v>84</v>
      </c>
    </row>
    <row r="858" spans="19:22" x14ac:dyDescent="0.45">
      <c r="S858" t="s">
        <v>143</v>
      </c>
      <c r="T858" t="s">
        <v>196</v>
      </c>
      <c r="U858">
        <v>4.3085957611343054E-2</v>
      </c>
      <c r="V858" t="s">
        <v>84</v>
      </c>
    </row>
    <row r="859" spans="19:22" x14ac:dyDescent="0.45">
      <c r="S859" t="s">
        <v>143</v>
      </c>
      <c r="T859" t="s">
        <v>197</v>
      </c>
      <c r="U859">
        <v>6.5661877903786831E-2</v>
      </c>
      <c r="V859" t="s">
        <v>84</v>
      </c>
    </row>
    <row r="860" spans="19:22" x14ac:dyDescent="0.45">
      <c r="S860" t="s">
        <v>143</v>
      </c>
      <c r="T860" t="s">
        <v>198</v>
      </c>
      <c r="U860">
        <v>1.070656124417497E-2</v>
      </c>
      <c r="V860" t="s">
        <v>84</v>
      </c>
    </row>
    <row r="861" spans="19:22" x14ac:dyDescent="0.45">
      <c r="S861" t="s">
        <v>143</v>
      </c>
      <c r="T861" t="s">
        <v>199</v>
      </c>
      <c r="U861">
        <v>1.0648005431450421E-2</v>
      </c>
      <c r="V861" t="s">
        <v>84</v>
      </c>
    </row>
    <row r="862" spans="19:22" x14ac:dyDescent="0.45">
      <c r="S862" t="s">
        <v>143</v>
      </c>
      <c r="T862" t="s">
        <v>200</v>
      </c>
      <c r="U862">
        <v>5.3094014331746771E-2</v>
      </c>
      <c r="V862" t="s">
        <v>84</v>
      </c>
    </row>
    <row r="863" spans="19:22" x14ac:dyDescent="0.45">
      <c r="S863" t="s">
        <v>143</v>
      </c>
      <c r="T863" t="s">
        <v>201</v>
      </c>
      <c r="U863">
        <v>2.6714886376334596E-2</v>
      </c>
      <c r="V863" t="s">
        <v>84</v>
      </c>
    </row>
    <row r="864" spans="19:22" x14ac:dyDescent="0.45">
      <c r="S864" t="s">
        <v>143</v>
      </c>
      <c r="T864" t="s">
        <v>202</v>
      </c>
      <c r="U864">
        <v>1.5289791757576991E-2</v>
      </c>
      <c r="V864" t="s">
        <v>84</v>
      </c>
    </row>
    <row r="865" spans="19:22" x14ac:dyDescent="0.45">
      <c r="S865" t="s">
        <v>143</v>
      </c>
      <c r="T865" t="s">
        <v>203</v>
      </c>
      <c r="U865">
        <v>2.4116155073442058E-2</v>
      </c>
      <c r="V865" t="s">
        <v>84</v>
      </c>
    </row>
    <row r="866" spans="19:22" x14ac:dyDescent="0.45">
      <c r="S866" t="s">
        <v>143</v>
      </c>
      <c r="T866" t="s">
        <v>204</v>
      </c>
      <c r="U866">
        <v>3.9700400205181785E-3</v>
      </c>
      <c r="V866" t="s">
        <v>84</v>
      </c>
    </row>
    <row r="867" spans="19:22" x14ac:dyDescent="0.45">
      <c r="S867" t="s">
        <v>143</v>
      </c>
      <c r="T867" t="s">
        <v>205</v>
      </c>
      <c r="U867">
        <v>3.8837644902701188E-3</v>
      </c>
      <c r="V867" t="s">
        <v>84</v>
      </c>
    </row>
    <row r="868" spans="19:22" x14ac:dyDescent="0.45">
      <c r="S868" t="s">
        <v>143</v>
      </c>
      <c r="T868" t="s">
        <v>206</v>
      </c>
      <c r="U868">
        <v>1.9158824475787917E-2</v>
      </c>
      <c r="V868" t="s">
        <v>84</v>
      </c>
    </row>
    <row r="869" spans="19:22" x14ac:dyDescent="0.45">
      <c r="S869" t="s">
        <v>143</v>
      </c>
      <c r="T869" t="s">
        <v>207</v>
      </c>
      <c r="U869">
        <v>4.2942925342579236E-2</v>
      </c>
      <c r="V869" t="s">
        <v>84</v>
      </c>
    </row>
    <row r="870" spans="19:22" x14ac:dyDescent="0.45">
      <c r="S870" t="s">
        <v>143</v>
      </c>
      <c r="T870" t="s">
        <v>208</v>
      </c>
      <c r="U870">
        <v>2.575632851398146E-2</v>
      </c>
      <c r="V870" t="s">
        <v>84</v>
      </c>
    </row>
    <row r="871" spans="19:22" x14ac:dyDescent="0.45">
      <c r="S871" t="s">
        <v>143</v>
      </c>
      <c r="T871" t="s">
        <v>209</v>
      </c>
      <c r="U871">
        <v>4.0524441988641684E-2</v>
      </c>
      <c r="V871" t="s">
        <v>84</v>
      </c>
    </row>
    <row r="872" spans="19:22" x14ac:dyDescent="0.45">
      <c r="S872" t="s">
        <v>143</v>
      </c>
      <c r="T872" t="s">
        <v>210</v>
      </c>
      <c r="U872">
        <v>6.5172290902900318E-3</v>
      </c>
      <c r="V872" t="s">
        <v>84</v>
      </c>
    </row>
    <row r="873" spans="19:22" x14ac:dyDescent="0.45">
      <c r="S873" t="s">
        <v>143</v>
      </c>
      <c r="T873" t="s">
        <v>211</v>
      </c>
      <c r="U873">
        <v>6.3918429727519771E-3</v>
      </c>
      <c r="V873" t="s">
        <v>84</v>
      </c>
    </row>
    <row r="874" spans="19:22" x14ac:dyDescent="0.45">
      <c r="S874" t="s">
        <v>143</v>
      </c>
      <c r="T874" t="s">
        <v>212</v>
      </c>
      <c r="U874">
        <v>3.108210459784164E-2</v>
      </c>
      <c r="V874" t="s">
        <v>84</v>
      </c>
    </row>
    <row r="875" spans="19:22" x14ac:dyDescent="0.45">
      <c r="S875" t="s">
        <v>144</v>
      </c>
      <c r="T875" t="s">
        <v>83</v>
      </c>
      <c r="U875">
        <v>2.4508498066552468E-2</v>
      </c>
      <c r="V875" t="s">
        <v>84</v>
      </c>
    </row>
    <row r="876" spans="19:22" x14ac:dyDescent="0.45">
      <c r="S876" t="s">
        <v>144</v>
      </c>
      <c r="T876" t="s">
        <v>85</v>
      </c>
      <c r="U876">
        <v>1.4190892395366654E-2</v>
      </c>
      <c r="V876" t="s">
        <v>84</v>
      </c>
    </row>
    <row r="877" spans="19:22" x14ac:dyDescent="0.45">
      <c r="S877" t="s">
        <v>144</v>
      </c>
      <c r="T877" t="s">
        <v>86</v>
      </c>
      <c r="U877">
        <v>2.2099047509457809E-2</v>
      </c>
      <c r="V877" t="s">
        <v>84</v>
      </c>
    </row>
    <row r="878" spans="19:22" x14ac:dyDescent="0.45">
      <c r="S878" t="s">
        <v>144</v>
      </c>
      <c r="T878" t="s">
        <v>177</v>
      </c>
      <c r="U878">
        <v>3.6471070697605946E-3</v>
      </c>
      <c r="V878" t="s">
        <v>84</v>
      </c>
    </row>
    <row r="879" spans="19:22" x14ac:dyDescent="0.45">
      <c r="S879" t="s">
        <v>144</v>
      </c>
      <c r="T879" t="s">
        <v>178</v>
      </c>
      <c r="U879">
        <v>3.6145609851626656E-3</v>
      </c>
      <c r="V879" t="s">
        <v>84</v>
      </c>
    </row>
    <row r="880" spans="19:22" x14ac:dyDescent="0.45">
      <c r="S880" t="s">
        <v>144</v>
      </c>
      <c r="T880" t="s">
        <v>179</v>
      </c>
      <c r="U880">
        <v>1.7672472913422839E-2</v>
      </c>
      <c r="V880" t="s">
        <v>84</v>
      </c>
    </row>
    <row r="881" spans="19:22" x14ac:dyDescent="0.45">
      <c r="S881" t="s">
        <v>144</v>
      </c>
      <c r="T881" t="s">
        <v>87</v>
      </c>
      <c r="U881">
        <v>2.3064599619820249E-2</v>
      </c>
      <c r="V881" t="s">
        <v>84</v>
      </c>
    </row>
    <row r="882" spans="19:22" x14ac:dyDescent="0.45">
      <c r="S882" t="s">
        <v>144</v>
      </c>
      <c r="T882" t="s">
        <v>88</v>
      </c>
      <c r="U882">
        <v>1.2756638713690543E-2</v>
      </c>
      <c r="V882" t="s">
        <v>84</v>
      </c>
    </row>
    <row r="883" spans="19:22" x14ac:dyDescent="0.45">
      <c r="S883" t="s">
        <v>144</v>
      </c>
      <c r="T883" t="s">
        <v>89</v>
      </c>
      <c r="U883">
        <v>2.0967989129106857E-2</v>
      </c>
      <c r="V883" t="s">
        <v>84</v>
      </c>
    </row>
    <row r="884" spans="19:22" x14ac:dyDescent="0.45">
      <c r="S884" t="s">
        <v>144</v>
      </c>
      <c r="T884" t="s">
        <v>180</v>
      </c>
      <c r="U884">
        <v>3.5832917548213562E-3</v>
      </c>
      <c r="V884" t="s">
        <v>84</v>
      </c>
    </row>
    <row r="885" spans="19:22" x14ac:dyDescent="0.45">
      <c r="S885" t="s">
        <v>144</v>
      </c>
      <c r="T885" t="s">
        <v>181</v>
      </c>
      <c r="U885">
        <v>3.5710995192548933E-3</v>
      </c>
      <c r="V885" t="s">
        <v>84</v>
      </c>
    </row>
    <row r="886" spans="19:22" x14ac:dyDescent="0.45">
      <c r="S886" t="s">
        <v>144</v>
      </c>
      <c r="T886" t="s">
        <v>182</v>
      </c>
      <c r="U886">
        <v>1.7028795513624177E-2</v>
      </c>
      <c r="V886" t="s">
        <v>84</v>
      </c>
    </row>
    <row r="887" spans="19:22" x14ac:dyDescent="0.45">
      <c r="S887" t="s">
        <v>144</v>
      </c>
      <c r="T887" t="s">
        <v>90</v>
      </c>
      <c r="U887">
        <v>2.5200867939279184E-2</v>
      </c>
      <c r="V887" t="s">
        <v>84</v>
      </c>
    </row>
    <row r="888" spans="19:22" x14ac:dyDescent="0.45">
      <c r="S888" t="s">
        <v>144</v>
      </c>
      <c r="T888" t="s">
        <v>91</v>
      </c>
      <c r="U888">
        <v>1.4629329222147833E-2</v>
      </c>
      <c r="V888" t="s">
        <v>84</v>
      </c>
    </row>
    <row r="889" spans="19:22" x14ac:dyDescent="0.45">
      <c r="S889" t="s">
        <v>144</v>
      </c>
      <c r="T889" t="s">
        <v>92</v>
      </c>
      <c r="U889">
        <v>2.2976964510061901E-2</v>
      </c>
      <c r="V889" t="s">
        <v>84</v>
      </c>
    </row>
    <row r="890" spans="19:22" x14ac:dyDescent="0.45">
      <c r="S890" t="s">
        <v>144</v>
      </c>
      <c r="T890" t="s">
        <v>183</v>
      </c>
      <c r="U890">
        <v>3.7592849113690934E-3</v>
      </c>
      <c r="V890" t="s">
        <v>84</v>
      </c>
    </row>
    <row r="891" spans="19:22" x14ac:dyDescent="0.45">
      <c r="S891" t="s">
        <v>144</v>
      </c>
      <c r="T891" t="s">
        <v>184</v>
      </c>
      <c r="U891">
        <v>3.702027756750222E-3</v>
      </c>
      <c r="V891" t="s">
        <v>84</v>
      </c>
    </row>
    <row r="892" spans="19:22" x14ac:dyDescent="0.45">
      <c r="S892" t="s">
        <v>144</v>
      </c>
      <c r="T892" t="s">
        <v>185</v>
      </c>
      <c r="U892">
        <v>1.7934303410219853E-2</v>
      </c>
      <c r="V892" t="s">
        <v>84</v>
      </c>
    </row>
    <row r="893" spans="19:22" x14ac:dyDescent="0.45">
      <c r="S893" t="s">
        <v>144</v>
      </c>
      <c r="T893" t="s">
        <v>93</v>
      </c>
      <c r="U893">
        <v>4.763245410024089E-2</v>
      </c>
      <c r="V893" t="s">
        <v>84</v>
      </c>
    </row>
    <row r="894" spans="19:22" x14ac:dyDescent="0.45">
      <c r="S894" t="s">
        <v>144</v>
      </c>
      <c r="T894" t="s">
        <v>94</v>
      </c>
      <c r="U894">
        <v>2.6891386813147612E-2</v>
      </c>
      <c r="V894" t="s">
        <v>84</v>
      </c>
    </row>
    <row r="895" spans="19:22" x14ac:dyDescent="0.45">
      <c r="S895" t="s">
        <v>144</v>
      </c>
      <c r="T895" t="s">
        <v>95</v>
      </c>
      <c r="U895">
        <v>4.1657872099081304E-2</v>
      </c>
      <c r="V895" t="s">
        <v>84</v>
      </c>
    </row>
    <row r="896" spans="19:22" x14ac:dyDescent="0.45">
      <c r="S896" t="s">
        <v>144</v>
      </c>
      <c r="T896" t="s">
        <v>186</v>
      </c>
      <c r="U896">
        <v>6.9434378240610271E-3</v>
      </c>
      <c r="V896" t="s">
        <v>84</v>
      </c>
    </row>
    <row r="897" spans="19:22" x14ac:dyDescent="0.45">
      <c r="S897" t="s">
        <v>144</v>
      </c>
      <c r="T897" t="s">
        <v>187</v>
      </c>
      <c r="U897">
        <v>6.8446629905231891E-3</v>
      </c>
      <c r="V897" t="s">
        <v>84</v>
      </c>
    </row>
    <row r="898" spans="19:22" x14ac:dyDescent="0.45">
      <c r="S898" t="s">
        <v>144</v>
      </c>
      <c r="T898" t="s">
        <v>188</v>
      </c>
      <c r="U898">
        <v>3.3365669153956057E-2</v>
      </c>
      <c r="V898" t="s">
        <v>84</v>
      </c>
    </row>
    <row r="899" spans="19:22" x14ac:dyDescent="0.45">
      <c r="S899" t="s">
        <v>144</v>
      </c>
      <c r="T899" t="s">
        <v>189</v>
      </c>
      <c r="U899">
        <v>2.3624181418198067E-2</v>
      </c>
      <c r="V899" t="s">
        <v>84</v>
      </c>
    </row>
    <row r="900" spans="19:22" x14ac:dyDescent="0.45">
      <c r="S900" t="s">
        <v>144</v>
      </c>
      <c r="T900" t="s">
        <v>190</v>
      </c>
      <c r="U900">
        <v>1.2683645900799741E-2</v>
      </c>
      <c r="V900" t="s">
        <v>84</v>
      </c>
    </row>
    <row r="901" spans="19:22" x14ac:dyDescent="0.45">
      <c r="S901" t="s">
        <v>144</v>
      </c>
      <c r="T901" t="s">
        <v>191</v>
      </c>
      <c r="U901">
        <v>1.9283609617131412E-2</v>
      </c>
      <c r="V901" t="s">
        <v>84</v>
      </c>
    </row>
    <row r="902" spans="19:22" x14ac:dyDescent="0.45">
      <c r="S902" t="s">
        <v>144</v>
      </c>
      <c r="T902" t="s">
        <v>192</v>
      </c>
      <c r="U902">
        <v>3.2499602089421788E-3</v>
      </c>
      <c r="V902" t="s">
        <v>84</v>
      </c>
    </row>
    <row r="903" spans="19:22" x14ac:dyDescent="0.45">
      <c r="S903" t="s">
        <v>144</v>
      </c>
      <c r="T903" t="s">
        <v>193</v>
      </c>
      <c r="U903">
        <v>3.278166146835809E-3</v>
      </c>
      <c r="V903" t="s">
        <v>84</v>
      </c>
    </row>
    <row r="904" spans="19:22" x14ac:dyDescent="0.45">
      <c r="S904" t="s">
        <v>144</v>
      </c>
      <c r="T904" t="s">
        <v>194</v>
      </c>
      <c r="U904">
        <v>1.6567132577049632E-2</v>
      </c>
      <c r="V904" t="s">
        <v>84</v>
      </c>
    </row>
    <row r="905" spans="19:22" x14ac:dyDescent="0.45">
      <c r="S905" t="s">
        <v>144</v>
      </c>
      <c r="T905" t="s">
        <v>195</v>
      </c>
      <c r="U905">
        <v>7.4037392621916873E-2</v>
      </c>
      <c r="V905" t="s">
        <v>84</v>
      </c>
    </row>
    <row r="906" spans="19:22" x14ac:dyDescent="0.45">
      <c r="S906" t="s">
        <v>144</v>
      </c>
      <c r="T906" t="s">
        <v>196</v>
      </c>
      <c r="U906">
        <v>4.2299637628592818E-2</v>
      </c>
      <c r="V906" t="s">
        <v>84</v>
      </c>
    </row>
    <row r="907" spans="19:22" x14ac:dyDescent="0.45">
      <c r="S907" t="s">
        <v>144</v>
      </c>
      <c r="T907" t="s">
        <v>197</v>
      </c>
      <c r="U907">
        <v>6.55173153991606E-2</v>
      </c>
      <c r="V907" t="s">
        <v>84</v>
      </c>
    </row>
    <row r="908" spans="19:22" x14ac:dyDescent="0.45">
      <c r="S908" t="s">
        <v>144</v>
      </c>
      <c r="T908" t="s">
        <v>198</v>
      </c>
      <c r="U908">
        <v>1.0906755496510585E-2</v>
      </c>
      <c r="V908" t="s">
        <v>84</v>
      </c>
    </row>
    <row r="909" spans="19:22" x14ac:dyDescent="0.45">
      <c r="S909" t="s">
        <v>144</v>
      </c>
      <c r="T909" t="s">
        <v>199</v>
      </c>
      <c r="U909">
        <v>1.0787067762076078E-2</v>
      </c>
      <c r="V909" t="s">
        <v>84</v>
      </c>
    </row>
    <row r="910" spans="19:22" x14ac:dyDescent="0.45">
      <c r="S910" t="s">
        <v>144</v>
      </c>
      <c r="T910" t="s">
        <v>200</v>
      </c>
      <c r="U910">
        <v>5.3260011160090444E-2</v>
      </c>
      <c r="V910" t="s">
        <v>84</v>
      </c>
    </row>
    <row r="911" spans="19:22" x14ac:dyDescent="0.45">
      <c r="S911" t="s">
        <v>144</v>
      </c>
      <c r="T911" t="s">
        <v>201</v>
      </c>
      <c r="U911">
        <v>2.6672260139000547E-2</v>
      </c>
      <c r="V911" t="s">
        <v>84</v>
      </c>
    </row>
    <row r="912" spans="19:22" x14ac:dyDescent="0.45">
      <c r="S912" t="s">
        <v>144</v>
      </c>
      <c r="T912" t="s">
        <v>202</v>
      </c>
      <c r="U912">
        <v>1.5355718239680103E-2</v>
      </c>
      <c r="V912" t="s">
        <v>84</v>
      </c>
    </row>
    <row r="913" spans="19:22" x14ac:dyDescent="0.45">
      <c r="S913" t="s">
        <v>144</v>
      </c>
      <c r="T913" t="s">
        <v>203</v>
      </c>
      <c r="U913">
        <v>2.3715349656692055E-2</v>
      </c>
      <c r="V913" t="s">
        <v>84</v>
      </c>
    </row>
    <row r="914" spans="19:22" x14ac:dyDescent="0.45">
      <c r="S914" t="s">
        <v>144</v>
      </c>
      <c r="T914" t="s">
        <v>204</v>
      </c>
      <c r="U914">
        <v>3.8037619566814868E-3</v>
      </c>
      <c r="V914" t="s">
        <v>84</v>
      </c>
    </row>
    <row r="915" spans="19:22" x14ac:dyDescent="0.45">
      <c r="S915" t="s">
        <v>144</v>
      </c>
      <c r="T915" t="s">
        <v>205</v>
      </c>
      <c r="U915">
        <v>3.755294938771375E-3</v>
      </c>
      <c r="V915" t="s">
        <v>84</v>
      </c>
    </row>
    <row r="916" spans="19:22" x14ac:dyDescent="0.45">
      <c r="S916" t="s">
        <v>144</v>
      </c>
      <c r="T916" t="s">
        <v>206</v>
      </c>
      <c r="U916">
        <v>1.8747745301259538E-2</v>
      </c>
      <c r="V916" t="s">
        <v>84</v>
      </c>
    </row>
    <row r="917" spans="19:22" x14ac:dyDescent="0.45">
      <c r="S917" t="s">
        <v>144</v>
      </c>
      <c r="T917" t="s">
        <v>207</v>
      </c>
      <c r="U917">
        <v>4.6064824452167315E-2</v>
      </c>
      <c r="V917" t="s">
        <v>84</v>
      </c>
    </row>
    <row r="918" spans="19:22" x14ac:dyDescent="0.45">
      <c r="S918" t="s">
        <v>144</v>
      </c>
      <c r="T918" t="s">
        <v>208</v>
      </c>
      <c r="U918">
        <v>2.6590804070888527E-2</v>
      </c>
      <c r="V918" t="s">
        <v>84</v>
      </c>
    </row>
    <row r="919" spans="19:22" x14ac:dyDescent="0.45">
      <c r="S919" t="s">
        <v>144</v>
      </c>
      <c r="T919" t="s">
        <v>209</v>
      </c>
      <c r="U919">
        <v>3.8708124107902739E-2</v>
      </c>
      <c r="V919" t="s">
        <v>84</v>
      </c>
    </row>
    <row r="920" spans="19:22" x14ac:dyDescent="0.45">
      <c r="S920" t="s">
        <v>144</v>
      </c>
      <c r="T920" t="s">
        <v>210</v>
      </c>
      <c r="U920">
        <v>6.1168634406170673E-3</v>
      </c>
      <c r="V920" t="s">
        <v>84</v>
      </c>
    </row>
    <row r="921" spans="19:22" x14ac:dyDescent="0.45">
      <c r="S921" t="s">
        <v>144</v>
      </c>
      <c r="T921" t="s">
        <v>211</v>
      </c>
      <c r="U921">
        <v>6.060705903286767E-3</v>
      </c>
      <c r="V921" t="s">
        <v>84</v>
      </c>
    </row>
    <row r="922" spans="19:22" x14ac:dyDescent="0.45">
      <c r="S922" t="s">
        <v>144</v>
      </c>
      <c r="T922" t="s">
        <v>212</v>
      </c>
      <c r="U922">
        <v>3.0670417934868435E-2</v>
      </c>
      <c r="V922" t="s">
        <v>84</v>
      </c>
    </row>
    <row r="923" spans="19:22" x14ac:dyDescent="0.45">
      <c r="S923" t="s">
        <v>145</v>
      </c>
      <c r="T923" t="s">
        <v>83</v>
      </c>
      <c r="U923">
        <v>2.6500612072736615E-2</v>
      </c>
      <c r="V923" t="s">
        <v>84</v>
      </c>
    </row>
    <row r="924" spans="19:22" x14ac:dyDescent="0.45">
      <c r="S924" t="s">
        <v>145</v>
      </c>
      <c r="T924" t="s">
        <v>85</v>
      </c>
      <c r="U924">
        <v>1.5189764766013057E-2</v>
      </c>
      <c r="V924" t="s">
        <v>84</v>
      </c>
    </row>
    <row r="925" spans="19:22" x14ac:dyDescent="0.45">
      <c r="S925" t="s">
        <v>145</v>
      </c>
      <c r="T925" t="s">
        <v>86</v>
      </c>
      <c r="U925">
        <v>2.2305298179390424E-2</v>
      </c>
      <c r="V925" t="s">
        <v>84</v>
      </c>
    </row>
    <row r="926" spans="19:22" x14ac:dyDescent="0.45">
      <c r="S926" t="s">
        <v>145</v>
      </c>
      <c r="T926" t="s">
        <v>177</v>
      </c>
      <c r="U926">
        <v>3.7541335457093798E-3</v>
      </c>
      <c r="V926" t="s">
        <v>84</v>
      </c>
    </row>
    <row r="927" spans="19:22" x14ac:dyDescent="0.45">
      <c r="S927" t="s">
        <v>145</v>
      </c>
      <c r="T927" t="s">
        <v>178</v>
      </c>
      <c r="U927">
        <v>3.7456977813468979E-3</v>
      </c>
      <c r="V927" t="s">
        <v>84</v>
      </c>
    </row>
    <row r="928" spans="19:22" x14ac:dyDescent="0.45">
      <c r="S928" t="s">
        <v>145</v>
      </c>
      <c r="T928" t="s">
        <v>179</v>
      </c>
      <c r="U928">
        <v>1.876827468411572E-2</v>
      </c>
      <c r="V928" t="s">
        <v>84</v>
      </c>
    </row>
    <row r="929" spans="19:22" x14ac:dyDescent="0.45">
      <c r="S929" t="s">
        <v>145</v>
      </c>
      <c r="T929" t="s">
        <v>87</v>
      </c>
      <c r="U929">
        <v>1.4992066566868533E-2</v>
      </c>
      <c r="V929" t="s">
        <v>84</v>
      </c>
    </row>
    <row r="930" spans="19:22" x14ac:dyDescent="0.45">
      <c r="S930" t="s">
        <v>145</v>
      </c>
      <c r="T930" t="s">
        <v>88</v>
      </c>
      <c r="U930">
        <v>7.1297212802718642E-3</v>
      </c>
      <c r="V930" t="s">
        <v>84</v>
      </c>
    </row>
    <row r="931" spans="19:22" x14ac:dyDescent="0.45">
      <c r="S931" t="s">
        <v>145</v>
      </c>
      <c r="T931" t="s">
        <v>89</v>
      </c>
      <c r="U931">
        <v>1.1662176202163707E-2</v>
      </c>
      <c r="V931" t="s">
        <v>84</v>
      </c>
    </row>
    <row r="932" spans="19:22" x14ac:dyDescent="0.45">
      <c r="S932" t="s">
        <v>145</v>
      </c>
      <c r="T932" t="s">
        <v>180</v>
      </c>
      <c r="U932">
        <v>2.3489433578469721E-3</v>
      </c>
      <c r="V932" t="s">
        <v>84</v>
      </c>
    </row>
    <row r="933" spans="19:22" x14ac:dyDescent="0.45">
      <c r="S933" t="s">
        <v>145</v>
      </c>
      <c r="T933" t="s">
        <v>181</v>
      </c>
      <c r="U933">
        <v>2.3619605516774461E-3</v>
      </c>
      <c r="V933" t="s">
        <v>84</v>
      </c>
    </row>
    <row r="934" spans="19:22" x14ac:dyDescent="0.45">
      <c r="S934" t="s">
        <v>145</v>
      </c>
      <c r="T934" t="s">
        <v>182</v>
      </c>
      <c r="U934">
        <v>1.1548884278119372E-2</v>
      </c>
      <c r="V934" t="s">
        <v>84</v>
      </c>
    </row>
    <row r="935" spans="19:22" x14ac:dyDescent="0.45">
      <c r="S935" t="s">
        <v>145</v>
      </c>
      <c r="T935" t="s">
        <v>90</v>
      </c>
      <c r="U935">
        <v>1.4919023157529115E-2</v>
      </c>
      <c r="V935" t="s">
        <v>84</v>
      </c>
    </row>
    <row r="936" spans="19:22" x14ac:dyDescent="0.45">
      <c r="S936" t="s">
        <v>145</v>
      </c>
      <c r="T936" t="s">
        <v>91</v>
      </c>
      <c r="U936">
        <v>8.5341397476291093E-3</v>
      </c>
      <c r="V936" t="s">
        <v>84</v>
      </c>
    </row>
    <row r="937" spans="19:22" x14ac:dyDescent="0.45">
      <c r="S937" t="s">
        <v>145</v>
      </c>
      <c r="T937" t="s">
        <v>92</v>
      </c>
      <c r="U937">
        <v>1.3699741898280318E-2</v>
      </c>
      <c r="V937" t="s">
        <v>84</v>
      </c>
    </row>
    <row r="938" spans="19:22" x14ac:dyDescent="0.45">
      <c r="S938" t="s">
        <v>145</v>
      </c>
      <c r="T938" t="s">
        <v>183</v>
      </c>
      <c r="U938">
        <v>2.6041948954755954E-3</v>
      </c>
      <c r="V938" t="s">
        <v>84</v>
      </c>
    </row>
    <row r="939" spans="19:22" x14ac:dyDescent="0.45">
      <c r="S939" t="s">
        <v>145</v>
      </c>
      <c r="T939" t="s">
        <v>184</v>
      </c>
      <c r="U939">
        <v>2.5453006974096E-3</v>
      </c>
      <c r="V939" t="s">
        <v>84</v>
      </c>
    </row>
    <row r="940" spans="19:22" x14ac:dyDescent="0.45">
      <c r="S940" t="s">
        <v>145</v>
      </c>
      <c r="T940" t="s">
        <v>185</v>
      </c>
      <c r="U940">
        <v>1.1115281812062295E-2</v>
      </c>
      <c r="V940" t="s">
        <v>84</v>
      </c>
    </row>
    <row r="941" spans="19:22" x14ac:dyDescent="0.45">
      <c r="S941" t="s">
        <v>145</v>
      </c>
      <c r="T941" t="s">
        <v>93</v>
      </c>
      <c r="U941">
        <v>4.8425474121216415E-2</v>
      </c>
      <c r="V941" t="s">
        <v>84</v>
      </c>
    </row>
    <row r="942" spans="19:22" x14ac:dyDescent="0.45">
      <c r="S942" t="s">
        <v>145</v>
      </c>
      <c r="T942" t="s">
        <v>94</v>
      </c>
      <c r="U942">
        <v>2.6769596788484069E-2</v>
      </c>
      <c r="V942" t="s">
        <v>84</v>
      </c>
    </row>
    <row r="943" spans="19:22" x14ac:dyDescent="0.45">
      <c r="S943" t="s">
        <v>145</v>
      </c>
      <c r="T943" t="s">
        <v>95</v>
      </c>
      <c r="U943">
        <v>4.0074408649799824E-2</v>
      </c>
      <c r="V943" t="s">
        <v>84</v>
      </c>
    </row>
    <row r="944" spans="19:22" x14ac:dyDescent="0.45">
      <c r="S944" t="s">
        <v>145</v>
      </c>
      <c r="T944" t="s">
        <v>186</v>
      </c>
      <c r="U944">
        <v>6.6850451205676146E-3</v>
      </c>
      <c r="V944" t="s">
        <v>84</v>
      </c>
    </row>
    <row r="945" spans="19:22" x14ac:dyDescent="0.45">
      <c r="S945" t="s">
        <v>145</v>
      </c>
      <c r="T945" t="s">
        <v>187</v>
      </c>
      <c r="U945">
        <v>6.8786752703308279E-3</v>
      </c>
      <c r="V945" t="s">
        <v>84</v>
      </c>
    </row>
    <row r="946" spans="19:22" x14ac:dyDescent="0.45">
      <c r="S946" t="s">
        <v>145</v>
      </c>
      <c r="T946" t="s">
        <v>188</v>
      </c>
      <c r="U946">
        <v>3.4674994569959601E-2</v>
      </c>
      <c r="V946" t="s">
        <v>84</v>
      </c>
    </row>
    <row r="947" spans="19:22" x14ac:dyDescent="0.45">
      <c r="S947" t="s">
        <v>145</v>
      </c>
      <c r="T947" t="s">
        <v>189</v>
      </c>
      <c r="U947">
        <v>2.877818013015547E-2</v>
      </c>
      <c r="V947" t="s">
        <v>84</v>
      </c>
    </row>
    <row r="948" spans="19:22" x14ac:dyDescent="0.45">
      <c r="S948" t="s">
        <v>145</v>
      </c>
      <c r="T948" t="s">
        <v>190</v>
      </c>
      <c r="U948">
        <v>1.6298701347892068E-2</v>
      </c>
      <c r="V948" t="s">
        <v>84</v>
      </c>
    </row>
    <row r="949" spans="19:22" x14ac:dyDescent="0.45">
      <c r="S949" t="s">
        <v>145</v>
      </c>
      <c r="T949" t="s">
        <v>191</v>
      </c>
      <c r="U949">
        <v>2.557803136663583E-2</v>
      </c>
      <c r="V949" t="s">
        <v>84</v>
      </c>
    </row>
    <row r="950" spans="19:22" x14ac:dyDescent="0.45">
      <c r="S950" t="s">
        <v>145</v>
      </c>
      <c r="T950" t="s">
        <v>192</v>
      </c>
      <c r="U950">
        <v>4.0043137236221212E-3</v>
      </c>
      <c r="V950" t="s">
        <v>84</v>
      </c>
    </row>
    <row r="951" spans="19:22" x14ac:dyDescent="0.45">
      <c r="S951" t="s">
        <v>145</v>
      </c>
      <c r="T951" t="s">
        <v>193</v>
      </c>
      <c r="U951">
        <v>3.7741682861387629E-3</v>
      </c>
      <c r="V951" t="s">
        <v>84</v>
      </c>
    </row>
    <row r="952" spans="19:22" x14ac:dyDescent="0.45">
      <c r="S952" t="s">
        <v>145</v>
      </c>
      <c r="T952" t="s">
        <v>194</v>
      </c>
      <c r="U952">
        <v>1.88003196015194E-2</v>
      </c>
      <c r="V952" t="s">
        <v>84</v>
      </c>
    </row>
    <row r="953" spans="19:22" x14ac:dyDescent="0.45">
      <c r="S953" t="s">
        <v>145</v>
      </c>
      <c r="T953" t="s">
        <v>195</v>
      </c>
      <c r="U953">
        <v>8.6665198448083638E-2</v>
      </c>
      <c r="V953" t="s">
        <v>84</v>
      </c>
    </row>
    <row r="954" spans="19:22" x14ac:dyDescent="0.45">
      <c r="S954" t="s">
        <v>145</v>
      </c>
      <c r="T954" t="s">
        <v>196</v>
      </c>
      <c r="U954">
        <v>4.6959944502796357E-2</v>
      </c>
      <c r="V954" t="s">
        <v>84</v>
      </c>
    </row>
    <row r="955" spans="19:22" x14ac:dyDescent="0.45">
      <c r="S955" t="s">
        <v>145</v>
      </c>
      <c r="T955" t="s">
        <v>197</v>
      </c>
      <c r="U955">
        <v>7.4669843297438615E-2</v>
      </c>
      <c r="V955" t="s">
        <v>84</v>
      </c>
    </row>
    <row r="956" spans="19:22" x14ac:dyDescent="0.45">
      <c r="S956" t="s">
        <v>145</v>
      </c>
      <c r="T956" t="s">
        <v>198</v>
      </c>
      <c r="U956">
        <v>1.2493223441992418E-2</v>
      </c>
      <c r="V956" t="s">
        <v>84</v>
      </c>
    </row>
    <row r="957" spans="19:22" x14ac:dyDescent="0.45">
      <c r="S957" t="s">
        <v>145</v>
      </c>
      <c r="T957" t="s">
        <v>199</v>
      </c>
      <c r="U957">
        <v>1.2649508180030189E-2</v>
      </c>
      <c r="V957" t="s">
        <v>84</v>
      </c>
    </row>
    <row r="958" spans="19:22" x14ac:dyDescent="0.45">
      <c r="S958" t="s">
        <v>145</v>
      </c>
      <c r="T958" t="s">
        <v>200</v>
      </c>
      <c r="U958">
        <v>6.4443355566265959E-2</v>
      </c>
      <c r="V958" t="s">
        <v>84</v>
      </c>
    </row>
    <row r="959" spans="19:22" x14ac:dyDescent="0.45">
      <c r="S959" t="s">
        <v>145</v>
      </c>
      <c r="T959" t="s">
        <v>201</v>
      </c>
      <c r="U959">
        <v>3.0202507215532557E-2</v>
      </c>
      <c r="V959" t="s">
        <v>84</v>
      </c>
    </row>
    <row r="960" spans="19:22" x14ac:dyDescent="0.45">
      <c r="S960" t="s">
        <v>145</v>
      </c>
      <c r="T960" t="s">
        <v>202</v>
      </c>
      <c r="U960">
        <v>1.7496863892937087E-2</v>
      </c>
      <c r="V960" t="s">
        <v>84</v>
      </c>
    </row>
    <row r="961" spans="19:22" x14ac:dyDescent="0.45">
      <c r="S961" t="s">
        <v>145</v>
      </c>
      <c r="T961" t="s">
        <v>203</v>
      </c>
      <c r="U961">
        <v>2.75772164896998E-2</v>
      </c>
      <c r="V961" t="s">
        <v>84</v>
      </c>
    </row>
    <row r="962" spans="19:22" x14ac:dyDescent="0.45">
      <c r="S962" t="s">
        <v>145</v>
      </c>
      <c r="T962" t="s">
        <v>204</v>
      </c>
      <c r="U962">
        <v>4.5398188791220912E-3</v>
      </c>
      <c r="V962" t="s">
        <v>84</v>
      </c>
    </row>
    <row r="963" spans="19:22" x14ac:dyDescent="0.45">
      <c r="S963" t="s">
        <v>145</v>
      </c>
      <c r="T963" t="s">
        <v>205</v>
      </c>
      <c r="U963">
        <v>4.5549382442355048E-3</v>
      </c>
      <c r="V963" t="s">
        <v>84</v>
      </c>
    </row>
    <row r="964" spans="19:22" x14ac:dyDescent="0.45">
      <c r="S964" t="s">
        <v>145</v>
      </c>
      <c r="T964" t="s">
        <v>206</v>
      </c>
      <c r="U964">
        <v>2.2736779922094184E-2</v>
      </c>
      <c r="V964" t="s">
        <v>84</v>
      </c>
    </row>
    <row r="965" spans="19:22" x14ac:dyDescent="0.45">
      <c r="S965" t="s">
        <v>145</v>
      </c>
      <c r="T965" t="s">
        <v>207</v>
      </c>
      <c r="U965">
        <v>4.1539019652968349E-2</v>
      </c>
      <c r="V965" t="s">
        <v>84</v>
      </c>
    </row>
    <row r="966" spans="19:22" x14ac:dyDescent="0.45">
      <c r="S966" t="s">
        <v>145</v>
      </c>
      <c r="T966" t="s">
        <v>208</v>
      </c>
      <c r="U966">
        <v>2.2023992157811055E-2</v>
      </c>
      <c r="V966" t="s">
        <v>84</v>
      </c>
    </row>
    <row r="967" spans="19:22" x14ac:dyDescent="0.45">
      <c r="S967" t="s">
        <v>145</v>
      </c>
      <c r="T967" t="s">
        <v>209</v>
      </c>
      <c r="U967">
        <v>3.4081911802757284E-2</v>
      </c>
      <c r="V967" t="s">
        <v>84</v>
      </c>
    </row>
    <row r="968" spans="19:22" x14ac:dyDescent="0.45">
      <c r="S968" t="s">
        <v>145</v>
      </c>
      <c r="T968" t="s">
        <v>210</v>
      </c>
      <c r="U968">
        <v>6.131333385374982E-3</v>
      </c>
      <c r="V968" t="s">
        <v>84</v>
      </c>
    </row>
    <row r="969" spans="19:22" x14ac:dyDescent="0.45">
      <c r="S969" t="s">
        <v>145</v>
      </c>
      <c r="T969" t="s">
        <v>211</v>
      </c>
      <c r="U969">
        <v>6.1740137941050889E-3</v>
      </c>
      <c r="V969" t="s">
        <v>84</v>
      </c>
    </row>
    <row r="970" spans="19:22" x14ac:dyDescent="0.45">
      <c r="S970" t="s">
        <v>145</v>
      </c>
      <c r="T970" t="s">
        <v>212</v>
      </c>
      <c r="U970">
        <v>3.0593406675783759E-2</v>
      </c>
      <c r="V970" t="s">
        <v>84</v>
      </c>
    </row>
    <row r="971" spans="19:22" x14ac:dyDescent="0.45">
      <c r="S971" t="s">
        <v>146</v>
      </c>
      <c r="T971" t="s">
        <v>83</v>
      </c>
      <c r="U971">
        <v>2.6512458161569184E-2</v>
      </c>
      <c r="V971" t="s">
        <v>84</v>
      </c>
    </row>
    <row r="972" spans="19:22" x14ac:dyDescent="0.45">
      <c r="S972" t="s">
        <v>146</v>
      </c>
      <c r="T972" t="s">
        <v>85</v>
      </c>
      <c r="U972">
        <v>1.5432552628767002E-2</v>
      </c>
      <c r="V972" t="s">
        <v>84</v>
      </c>
    </row>
    <row r="973" spans="19:22" x14ac:dyDescent="0.45">
      <c r="S973" t="s">
        <v>146</v>
      </c>
      <c r="T973" t="s">
        <v>86</v>
      </c>
      <c r="U973">
        <v>2.2952193774115639E-2</v>
      </c>
      <c r="V973" t="s">
        <v>84</v>
      </c>
    </row>
    <row r="974" spans="19:22" x14ac:dyDescent="0.45">
      <c r="S974" t="s">
        <v>146</v>
      </c>
      <c r="T974" t="s">
        <v>177</v>
      </c>
      <c r="U974">
        <v>3.6952676225862633E-3</v>
      </c>
      <c r="V974" t="s">
        <v>84</v>
      </c>
    </row>
    <row r="975" spans="19:22" x14ac:dyDescent="0.45">
      <c r="S975" t="s">
        <v>146</v>
      </c>
      <c r="T975" t="s">
        <v>178</v>
      </c>
      <c r="U975">
        <v>3.6713890043494541E-3</v>
      </c>
      <c r="V975" t="s">
        <v>84</v>
      </c>
    </row>
    <row r="976" spans="19:22" x14ac:dyDescent="0.45">
      <c r="S976" t="s">
        <v>146</v>
      </c>
      <c r="T976" t="s">
        <v>179</v>
      </c>
      <c r="U976">
        <v>1.7814784037243896E-2</v>
      </c>
      <c r="V976" t="s">
        <v>84</v>
      </c>
    </row>
    <row r="977" spans="19:22" x14ac:dyDescent="0.45">
      <c r="S977" t="s">
        <v>146</v>
      </c>
      <c r="T977" t="s">
        <v>87</v>
      </c>
      <c r="U977">
        <v>1.6076592138261049E-2</v>
      </c>
      <c r="V977" t="s">
        <v>84</v>
      </c>
    </row>
    <row r="978" spans="19:22" x14ac:dyDescent="0.45">
      <c r="S978" t="s">
        <v>146</v>
      </c>
      <c r="T978" t="s">
        <v>88</v>
      </c>
      <c r="U978">
        <v>8.1046854420020603E-3</v>
      </c>
      <c r="V978" t="s">
        <v>84</v>
      </c>
    </row>
    <row r="979" spans="19:22" x14ac:dyDescent="0.45">
      <c r="S979" t="s">
        <v>146</v>
      </c>
      <c r="T979" t="s">
        <v>89</v>
      </c>
      <c r="U979">
        <v>1.1410964308083528E-2</v>
      </c>
      <c r="V979" t="s">
        <v>84</v>
      </c>
    </row>
    <row r="980" spans="19:22" x14ac:dyDescent="0.45">
      <c r="S980" t="s">
        <v>146</v>
      </c>
      <c r="T980" t="s">
        <v>180</v>
      </c>
      <c r="U980">
        <v>2.0175170958295569E-3</v>
      </c>
      <c r="V980" t="s">
        <v>84</v>
      </c>
    </row>
    <row r="981" spans="19:22" x14ac:dyDescent="0.45">
      <c r="S981" t="s">
        <v>146</v>
      </c>
      <c r="T981" t="s">
        <v>181</v>
      </c>
      <c r="U981">
        <v>2.0598957968448349E-3</v>
      </c>
      <c r="V981" t="s">
        <v>84</v>
      </c>
    </row>
    <row r="982" spans="19:22" x14ac:dyDescent="0.45">
      <c r="S982" t="s">
        <v>146</v>
      </c>
      <c r="T982" t="s">
        <v>182</v>
      </c>
      <c r="U982">
        <v>1.108027413414517E-2</v>
      </c>
      <c r="V982" t="s">
        <v>84</v>
      </c>
    </row>
    <row r="983" spans="19:22" x14ac:dyDescent="0.45">
      <c r="S983" t="s">
        <v>146</v>
      </c>
      <c r="T983" t="s">
        <v>90</v>
      </c>
      <c r="U983">
        <v>1.7319717451448467E-2</v>
      </c>
      <c r="V983" t="s">
        <v>84</v>
      </c>
    </row>
    <row r="984" spans="19:22" x14ac:dyDescent="0.45">
      <c r="S984" t="s">
        <v>146</v>
      </c>
      <c r="T984" t="s">
        <v>91</v>
      </c>
      <c r="U984">
        <v>1.0000975876128779E-2</v>
      </c>
      <c r="V984" t="s">
        <v>84</v>
      </c>
    </row>
    <row r="985" spans="19:22" x14ac:dyDescent="0.45">
      <c r="S985" t="s">
        <v>146</v>
      </c>
      <c r="T985" t="s">
        <v>92</v>
      </c>
      <c r="U985">
        <v>1.409585664480489E-2</v>
      </c>
      <c r="V985" t="s">
        <v>84</v>
      </c>
    </row>
    <row r="986" spans="19:22" x14ac:dyDescent="0.45">
      <c r="S986" t="s">
        <v>146</v>
      </c>
      <c r="T986" t="s">
        <v>183</v>
      </c>
      <c r="U986">
        <v>2.2267398434667376E-3</v>
      </c>
      <c r="V986" t="s">
        <v>84</v>
      </c>
    </row>
    <row r="987" spans="19:22" x14ac:dyDescent="0.45">
      <c r="S987" t="s">
        <v>146</v>
      </c>
      <c r="T987" t="s">
        <v>184</v>
      </c>
      <c r="U987">
        <v>2.232631094852452E-3</v>
      </c>
      <c r="V987" t="s">
        <v>84</v>
      </c>
    </row>
    <row r="988" spans="19:22" x14ac:dyDescent="0.45">
      <c r="S988" t="s">
        <v>146</v>
      </c>
      <c r="T988" t="s">
        <v>185</v>
      </c>
      <c r="U988">
        <v>1.1161959842227964E-2</v>
      </c>
      <c r="V988" t="s">
        <v>84</v>
      </c>
    </row>
    <row r="989" spans="19:22" x14ac:dyDescent="0.45">
      <c r="S989" t="s">
        <v>146</v>
      </c>
      <c r="T989" t="s">
        <v>93</v>
      </c>
      <c r="U989">
        <v>4.5542929207358238E-2</v>
      </c>
      <c r="V989" t="s">
        <v>84</v>
      </c>
    </row>
    <row r="990" spans="19:22" x14ac:dyDescent="0.45">
      <c r="S990" t="s">
        <v>146</v>
      </c>
      <c r="T990" t="s">
        <v>94</v>
      </c>
      <c r="U990">
        <v>2.5384065884066349E-2</v>
      </c>
      <c r="V990" t="s">
        <v>84</v>
      </c>
    </row>
    <row r="991" spans="19:22" x14ac:dyDescent="0.45">
      <c r="S991" t="s">
        <v>146</v>
      </c>
      <c r="T991" t="s">
        <v>95</v>
      </c>
      <c r="U991">
        <v>3.8801322182294803E-2</v>
      </c>
      <c r="V991" t="s">
        <v>84</v>
      </c>
    </row>
    <row r="992" spans="19:22" x14ac:dyDescent="0.45">
      <c r="S992" t="s">
        <v>146</v>
      </c>
      <c r="T992" t="s">
        <v>186</v>
      </c>
      <c r="U992">
        <v>6.4182580711859005E-3</v>
      </c>
      <c r="V992" t="s">
        <v>84</v>
      </c>
    </row>
    <row r="993" spans="19:22" x14ac:dyDescent="0.45">
      <c r="S993" t="s">
        <v>146</v>
      </c>
      <c r="T993" t="s">
        <v>187</v>
      </c>
      <c r="U993">
        <v>6.3739624799317085E-3</v>
      </c>
      <c r="V993" t="s">
        <v>84</v>
      </c>
    </row>
    <row r="994" spans="19:22" x14ac:dyDescent="0.45">
      <c r="S994" t="s">
        <v>146</v>
      </c>
      <c r="T994" t="s">
        <v>188</v>
      </c>
      <c r="U994">
        <v>3.1411305274732945E-2</v>
      </c>
      <c r="V994" t="s">
        <v>84</v>
      </c>
    </row>
    <row r="995" spans="19:22" x14ac:dyDescent="0.45">
      <c r="S995" t="s">
        <v>146</v>
      </c>
      <c r="T995" t="s">
        <v>189</v>
      </c>
      <c r="U995">
        <v>2.6230343794476019E-2</v>
      </c>
      <c r="V995" t="s">
        <v>84</v>
      </c>
    </row>
    <row r="996" spans="19:22" x14ac:dyDescent="0.45">
      <c r="S996" t="s">
        <v>146</v>
      </c>
      <c r="T996" t="s">
        <v>190</v>
      </c>
      <c r="U996">
        <v>1.4423926933083996E-2</v>
      </c>
      <c r="V996" t="s">
        <v>84</v>
      </c>
    </row>
    <row r="997" spans="19:22" x14ac:dyDescent="0.45">
      <c r="S997" t="s">
        <v>146</v>
      </c>
      <c r="T997" t="s">
        <v>191</v>
      </c>
      <c r="U997">
        <v>2.2257112721761084E-2</v>
      </c>
      <c r="V997" t="s">
        <v>84</v>
      </c>
    </row>
    <row r="998" spans="19:22" x14ac:dyDescent="0.45">
      <c r="S998" t="s">
        <v>146</v>
      </c>
      <c r="T998" t="s">
        <v>192</v>
      </c>
      <c r="U998">
        <v>3.7697616318207155E-3</v>
      </c>
      <c r="V998" t="s">
        <v>84</v>
      </c>
    </row>
    <row r="999" spans="19:22" x14ac:dyDescent="0.45">
      <c r="S999" t="s">
        <v>146</v>
      </c>
      <c r="T999" t="s">
        <v>193</v>
      </c>
      <c r="U999">
        <v>3.7831127135947631E-3</v>
      </c>
      <c r="V999" t="s">
        <v>84</v>
      </c>
    </row>
    <row r="1000" spans="19:22" x14ac:dyDescent="0.45">
      <c r="S1000" t="s">
        <v>146</v>
      </c>
      <c r="T1000" t="s">
        <v>194</v>
      </c>
      <c r="U1000">
        <v>1.8452261811736204E-2</v>
      </c>
      <c r="V1000" t="s">
        <v>84</v>
      </c>
    </row>
    <row r="1001" spans="19:22" x14ac:dyDescent="0.45">
      <c r="S1001" t="s">
        <v>146</v>
      </c>
      <c r="T1001" t="s">
        <v>195</v>
      </c>
      <c r="U1001">
        <v>8.3834993780623368E-2</v>
      </c>
      <c r="V1001" t="s">
        <v>84</v>
      </c>
    </row>
    <row r="1002" spans="19:22" x14ac:dyDescent="0.45">
      <c r="S1002" t="s">
        <v>146</v>
      </c>
      <c r="T1002" t="s">
        <v>196</v>
      </c>
      <c r="U1002">
        <v>4.7298566731369736E-2</v>
      </c>
      <c r="V1002" t="s">
        <v>84</v>
      </c>
    </row>
    <row r="1003" spans="19:22" x14ac:dyDescent="0.45">
      <c r="S1003" t="s">
        <v>146</v>
      </c>
      <c r="T1003" t="s">
        <v>197</v>
      </c>
      <c r="U1003">
        <v>7.4124988879816139E-2</v>
      </c>
      <c r="V1003" t="s">
        <v>84</v>
      </c>
    </row>
    <row r="1004" spans="19:22" x14ac:dyDescent="0.45">
      <c r="S1004" t="s">
        <v>146</v>
      </c>
      <c r="T1004" t="s">
        <v>198</v>
      </c>
      <c r="U1004">
        <v>1.2330318039057467E-2</v>
      </c>
      <c r="V1004" t="s">
        <v>84</v>
      </c>
    </row>
    <row r="1005" spans="19:22" x14ac:dyDescent="0.45">
      <c r="S1005" t="s">
        <v>146</v>
      </c>
      <c r="T1005" t="s">
        <v>199</v>
      </c>
      <c r="U1005">
        <v>1.2377557612075242E-2</v>
      </c>
      <c r="V1005" t="s">
        <v>84</v>
      </c>
    </row>
    <row r="1006" spans="19:22" x14ac:dyDescent="0.45">
      <c r="S1006" t="s">
        <v>146</v>
      </c>
      <c r="T1006" t="s">
        <v>200</v>
      </c>
      <c r="U1006">
        <v>6.1249659762697993E-2</v>
      </c>
      <c r="V1006" t="s">
        <v>84</v>
      </c>
    </row>
    <row r="1007" spans="19:22" x14ac:dyDescent="0.45">
      <c r="S1007" t="s">
        <v>146</v>
      </c>
      <c r="T1007" t="s">
        <v>201</v>
      </c>
      <c r="U1007">
        <v>3.2184261385307202E-2</v>
      </c>
      <c r="V1007" t="s">
        <v>84</v>
      </c>
    </row>
    <row r="1008" spans="19:22" x14ac:dyDescent="0.45">
      <c r="S1008" t="s">
        <v>146</v>
      </c>
      <c r="T1008" t="s">
        <v>202</v>
      </c>
      <c r="U1008">
        <v>1.7367228247973685E-2</v>
      </c>
      <c r="V1008" t="s">
        <v>84</v>
      </c>
    </row>
    <row r="1009" spans="19:22" x14ac:dyDescent="0.45">
      <c r="S1009" t="s">
        <v>146</v>
      </c>
      <c r="T1009" t="s">
        <v>203</v>
      </c>
      <c r="U1009">
        <v>2.7972837512836163E-2</v>
      </c>
      <c r="V1009" t="s">
        <v>84</v>
      </c>
    </row>
    <row r="1010" spans="19:22" x14ac:dyDescent="0.45">
      <c r="S1010" t="s">
        <v>146</v>
      </c>
      <c r="T1010" t="s">
        <v>204</v>
      </c>
      <c r="U1010">
        <v>4.767858603554327E-3</v>
      </c>
      <c r="V1010" t="s">
        <v>84</v>
      </c>
    </row>
    <row r="1011" spans="19:22" x14ac:dyDescent="0.45">
      <c r="S1011" t="s">
        <v>146</v>
      </c>
      <c r="T1011" t="s">
        <v>205</v>
      </c>
      <c r="U1011">
        <v>4.7450749382669209E-3</v>
      </c>
      <c r="V1011" t="s">
        <v>84</v>
      </c>
    </row>
    <row r="1012" spans="19:22" x14ac:dyDescent="0.45">
      <c r="S1012" t="s">
        <v>146</v>
      </c>
      <c r="T1012" t="s">
        <v>206</v>
      </c>
      <c r="U1012">
        <v>2.3321327636558802E-2</v>
      </c>
      <c r="V1012" t="s">
        <v>84</v>
      </c>
    </row>
    <row r="1013" spans="19:22" x14ac:dyDescent="0.45">
      <c r="S1013" t="s">
        <v>146</v>
      </c>
      <c r="T1013" t="s">
        <v>207</v>
      </c>
      <c r="U1013">
        <v>4.537371758405391E-2</v>
      </c>
      <c r="V1013" t="s">
        <v>84</v>
      </c>
    </row>
    <row r="1014" spans="19:22" x14ac:dyDescent="0.45">
      <c r="S1014" t="s">
        <v>146</v>
      </c>
      <c r="T1014" t="s">
        <v>208</v>
      </c>
      <c r="U1014">
        <v>2.5281493924490087E-2</v>
      </c>
      <c r="V1014" t="s">
        <v>84</v>
      </c>
    </row>
    <row r="1015" spans="19:22" x14ac:dyDescent="0.45">
      <c r="S1015" t="s">
        <v>146</v>
      </c>
      <c r="T1015" t="s">
        <v>209</v>
      </c>
      <c r="U1015">
        <v>4.0313754578463756E-2</v>
      </c>
      <c r="V1015" t="s">
        <v>84</v>
      </c>
    </row>
    <row r="1016" spans="19:22" x14ac:dyDescent="0.45">
      <c r="S1016" t="s">
        <v>146</v>
      </c>
      <c r="T1016" t="s">
        <v>210</v>
      </c>
      <c r="U1016">
        <v>6.7714757428093564E-3</v>
      </c>
      <c r="V1016" t="s">
        <v>84</v>
      </c>
    </row>
    <row r="1017" spans="19:22" x14ac:dyDescent="0.45">
      <c r="S1017" t="s">
        <v>146</v>
      </c>
      <c r="T1017" t="s">
        <v>211</v>
      </c>
      <c r="U1017">
        <v>6.7683101795029729E-3</v>
      </c>
      <c r="V1017" t="s">
        <v>84</v>
      </c>
    </row>
    <row r="1018" spans="19:22" x14ac:dyDescent="0.45">
      <c r="S1018" t="s">
        <v>146</v>
      </c>
      <c r="T1018" t="s">
        <v>212</v>
      </c>
      <c r="U1018">
        <v>3.3201757257771088E-2</v>
      </c>
      <c r="V1018" t="s">
        <v>84</v>
      </c>
    </row>
    <row r="1019" spans="19:22" x14ac:dyDescent="0.45">
      <c r="S1019" t="s">
        <v>147</v>
      </c>
      <c r="T1019" t="s">
        <v>83</v>
      </c>
      <c r="U1019">
        <v>2.9278583012954603E-2</v>
      </c>
      <c r="V1019" t="s">
        <v>84</v>
      </c>
    </row>
    <row r="1020" spans="19:22" x14ac:dyDescent="0.45">
      <c r="S1020" t="s">
        <v>147</v>
      </c>
      <c r="T1020" t="s">
        <v>85</v>
      </c>
      <c r="U1020">
        <v>1.5469405196849313E-2</v>
      </c>
      <c r="V1020" t="s">
        <v>84</v>
      </c>
    </row>
    <row r="1021" spans="19:22" x14ac:dyDescent="0.45">
      <c r="S1021" t="s">
        <v>147</v>
      </c>
      <c r="T1021" t="s">
        <v>86</v>
      </c>
      <c r="U1021">
        <v>2.2015441758252794E-2</v>
      </c>
      <c r="V1021" t="s">
        <v>84</v>
      </c>
    </row>
    <row r="1022" spans="19:22" x14ac:dyDescent="0.45">
      <c r="S1022" t="s">
        <v>147</v>
      </c>
      <c r="T1022" t="s">
        <v>177</v>
      </c>
      <c r="U1022">
        <v>3.4478996565564827E-3</v>
      </c>
      <c r="V1022" t="s">
        <v>84</v>
      </c>
    </row>
    <row r="1023" spans="19:22" x14ac:dyDescent="0.45">
      <c r="S1023" t="s">
        <v>147</v>
      </c>
      <c r="T1023" t="s">
        <v>178</v>
      </c>
      <c r="U1023">
        <v>3.4025917992342729E-3</v>
      </c>
      <c r="V1023" t="s">
        <v>84</v>
      </c>
    </row>
    <row r="1024" spans="19:22" x14ac:dyDescent="0.45">
      <c r="S1024" t="s">
        <v>147</v>
      </c>
      <c r="T1024" t="s">
        <v>179</v>
      </c>
      <c r="U1024">
        <v>1.6581391876329354E-2</v>
      </c>
      <c r="V1024" t="s">
        <v>84</v>
      </c>
    </row>
    <row r="1025" spans="19:22" x14ac:dyDescent="0.45">
      <c r="S1025" t="s">
        <v>147</v>
      </c>
      <c r="T1025" t="s">
        <v>87</v>
      </c>
      <c r="U1025">
        <v>8.9904397065737225E-3</v>
      </c>
      <c r="V1025" t="s">
        <v>84</v>
      </c>
    </row>
    <row r="1026" spans="19:22" x14ac:dyDescent="0.45">
      <c r="S1026" t="s">
        <v>147</v>
      </c>
      <c r="T1026" t="s">
        <v>88</v>
      </c>
      <c r="U1026">
        <v>4.759399322352603E-3</v>
      </c>
      <c r="V1026" t="s">
        <v>84</v>
      </c>
    </row>
    <row r="1027" spans="19:22" x14ac:dyDescent="0.45">
      <c r="S1027" t="s">
        <v>147</v>
      </c>
      <c r="T1027" t="s">
        <v>89</v>
      </c>
      <c r="U1027">
        <v>7.0112102264071642E-3</v>
      </c>
      <c r="V1027" t="s">
        <v>84</v>
      </c>
    </row>
    <row r="1028" spans="19:22" x14ac:dyDescent="0.45">
      <c r="S1028" t="s">
        <v>147</v>
      </c>
      <c r="T1028" t="s">
        <v>180</v>
      </c>
      <c r="U1028">
        <v>1.502630816761721E-3</v>
      </c>
      <c r="V1028" t="s">
        <v>84</v>
      </c>
    </row>
    <row r="1029" spans="19:22" x14ac:dyDescent="0.45">
      <c r="S1029" t="s">
        <v>147</v>
      </c>
      <c r="T1029" t="s">
        <v>181</v>
      </c>
      <c r="U1029">
        <v>1.566816253832818E-3</v>
      </c>
      <c r="V1029" t="s">
        <v>84</v>
      </c>
    </row>
    <row r="1030" spans="19:22" x14ac:dyDescent="0.45">
      <c r="S1030" t="s">
        <v>147</v>
      </c>
      <c r="T1030" t="s">
        <v>182</v>
      </c>
      <c r="U1030">
        <v>7.065753273988575E-3</v>
      </c>
      <c r="V1030" t="s">
        <v>84</v>
      </c>
    </row>
    <row r="1031" spans="19:22" x14ac:dyDescent="0.45">
      <c r="S1031" t="s">
        <v>147</v>
      </c>
      <c r="T1031" t="s">
        <v>90</v>
      </c>
      <c r="U1031">
        <v>1.9258671651620308E-2</v>
      </c>
      <c r="V1031" t="s">
        <v>84</v>
      </c>
    </row>
    <row r="1032" spans="19:22" x14ac:dyDescent="0.45">
      <c r="S1032" t="s">
        <v>147</v>
      </c>
      <c r="T1032" t="s">
        <v>91</v>
      </c>
      <c r="U1032">
        <v>1.1024669437692433E-2</v>
      </c>
      <c r="V1032" t="s">
        <v>84</v>
      </c>
    </row>
    <row r="1033" spans="19:22" x14ac:dyDescent="0.45">
      <c r="S1033" t="s">
        <v>147</v>
      </c>
      <c r="T1033" t="s">
        <v>92</v>
      </c>
      <c r="U1033">
        <v>1.7121547548454984E-2</v>
      </c>
      <c r="V1033" t="s">
        <v>84</v>
      </c>
    </row>
    <row r="1034" spans="19:22" x14ac:dyDescent="0.45">
      <c r="S1034" t="s">
        <v>147</v>
      </c>
      <c r="T1034" t="s">
        <v>183</v>
      </c>
      <c r="U1034">
        <v>2.8053976748873607E-3</v>
      </c>
      <c r="V1034" t="s">
        <v>84</v>
      </c>
    </row>
    <row r="1035" spans="19:22" x14ac:dyDescent="0.45">
      <c r="S1035" t="s">
        <v>147</v>
      </c>
      <c r="T1035" t="s">
        <v>184</v>
      </c>
      <c r="U1035">
        <v>2.7093987270332479E-3</v>
      </c>
      <c r="V1035" t="s">
        <v>84</v>
      </c>
    </row>
    <row r="1036" spans="19:22" x14ac:dyDescent="0.45">
      <c r="S1036" t="s">
        <v>147</v>
      </c>
      <c r="T1036" t="s">
        <v>185</v>
      </c>
      <c r="U1036">
        <v>1.2713260082685262E-2</v>
      </c>
      <c r="V1036" t="s">
        <v>84</v>
      </c>
    </row>
    <row r="1037" spans="19:22" x14ac:dyDescent="0.45">
      <c r="S1037" t="s">
        <v>147</v>
      </c>
      <c r="T1037" t="s">
        <v>93</v>
      </c>
      <c r="U1037">
        <v>4.694824851713409E-2</v>
      </c>
      <c r="V1037" t="s">
        <v>84</v>
      </c>
    </row>
    <row r="1038" spans="19:22" x14ac:dyDescent="0.45">
      <c r="S1038" t="s">
        <v>147</v>
      </c>
      <c r="T1038" t="s">
        <v>94</v>
      </c>
      <c r="U1038">
        <v>2.4982535628929853E-2</v>
      </c>
      <c r="V1038" t="s">
        <v>84</v>
      </c>
    </row>
    <row r="1039" spans="19:22" x14ac:dyDescent="0.45">
      <c r="S1039" t="s">
        <v>147</v>
      </c>
      <c r="T1039" t="s">
        <v>95</v>
      </c>
      <c r="U1039">
        <v>4.0255566940714929E-2</v>
      </c>
      <c r="V1039" t="s">
        <v>84</v>
      </c>
    </row>
    <row r="1040" spans="19:22" x14ac:dyDescent="0.45">
      <c r="S1040" t="s">
        <v>147</v>
      </c>
      <c r="T1040" t="s">
        <v>186</v>
      </c>
      <c r="U1040">
        <v>6.6389168996704101E-3</v>
      </c>
      <c r="V1040" t="s">
        <v>84</v>
      </c>
    </row>
    <row r="1041" spans="19:22" x14ac:dyDescent="0.45">
      <c r="S1041" t="s">
        <v>147</v>
      </c>
      <c r="T1041" t="s">
        <v>187</v>
      </c>
      <c r="U1041">
        <v>6.585674082714728E-3</v>
      </c>
      <c r="V1041" t="s">
        <v>84</v>
      </c>
    </row>
    <row r="1042" spans="19:22" x14ac:dyDescent="0.45">
      <c r="S1042" t="s">
        <v>147</v>
      </c>
      <c r="T1042" t="s">
        <v>188</v>
      </c>
      <c r="U1042">
        <v>3.260670638073291E-2</v>
      </c>
      <c r="V1042" t="s">
        <v>84</v>
      </c>
    </row>
    <row r="1043" spans="19:22" x14ac:dyDescent="0.45">
      <c r="S1043" t="s">
        <v>147</v>
      </c>
      <c r="T1043" t="s">
        <v>189</v>
      </c>
      <c r="U1043">
        <v>2.6487182606477352E-2</v>
      </c>
      <c r="V1043" t="s">
        <v>84</v>
      </c>
    </row>
    <row r="1044" spans="19:22" x14ac:dyDescent="0.45">
      <c r="S1044" t="s">
        <v>147</v>
      </c>
      <c r="T1044" t="s">
        <v>190</v>
      </c>
      <c r="U1044">
        <v>1.4834273766639951E-2</v>
      </c>
      <c r="V1044" t="s">
        <v>84</v>
      </c>
    </row>
    <row r="1045" spans="19:22" x14ac:dyDescent="0.45">
      <c r="S1045" t="s">
        <v>147</v>
      </c>
      <c r="T1045" t="s">
        <v>191</v>
      </c>
      <c r="U1045">
        <v>2.3221049350699668E-2</v>
      </c>
      <c r="V1045" t="s">
        <v>84</v>
      </c>
    </row>
    <row r="1046" spans="19:22" x14ac:dyDescent="0.45">
      <c r="S1046" t="s">
        <v>147</v>
      </c>
      <c r="T1046" t="s">
        <v>192</v>
      </c>
      <c r="U1046">
        <v>4.1522766380632055E-3</v>
      </c>
      <c r="V1046" t="s">
        <v>84</v>
      </c>
    </row>
    <row r="1047" spans="19:22" x14ac:dyDescent="0.45">
      <c r="S1047" t="s">
        <v>147</v>
      </c>
      <c r="T1047" t="s">
        <v>193</v>
      </c>
      <c r="U1047">
        <v>4.1195441295635822E-3</v>
      </c>
      <c r="V1047" t="s">
        <v>84</v>
      </c>
    </row>
    <row r="1048" spans="19:22" x14ac:dyDescent="0.45">
      <c r="S1048" t="s">
        <v>147</v>
      </c>
      <c r="T1048" t="s">
        <v>194</v>
      </c>
      <c r="U1048">
        <v>1.9476147304489811E-2</v>
      </c>
      <c r="V1048" t="s">
        <v>84</v>
      </c>
    </row>
    <row r="1049" spans="19:22" x14ac:dyDescent="0.45">
      <c r="S1049" t="s">
        <v>147</v>
      </c>
      <c r="T1049" t="s">
        <v>195</v>
      </c>
      <c r="U1049">
        <v>8.5797609157057406E-2</v>
      </c>
      <c r="V1049" t="s">
        <v>84</v>
      </c>
    </row>
    <row r="1050" spans="19:22" x14ac:dyDescent="0.45">
      <c r="S1050" t="s">
        <v>147</v>
      </c>
      <c r="T1050" t="s">
        <v>196</v>
      </c>
      <c r="U1050">
        <v>4.7253174439879253E-2</v>
      </c>
      <c r="V1050" t="s">
        <v>84</v>
      </c>
    </row>
    <row r="1051" spans="19:22" x14ac:dyDescent="0.45">
      <c r="S1051" t="s">
        <v>147</v>
      </c>
      <c r="T1051" t="s">
        <v>197</v>
      </c>
      <c r="U1051">
        <v>7.5502539052037951E-2</v>
      </c>
      <c r="V1051" t="s">
        <v>84</v>
      </c>
    </row>
    <row r="1052" spans="19:22" x14ac:dyDescent="0.45">
      <c r="S1052" t="s">
        <v>147</v>
      </c>
      <c r="T1052" t="s">
        <v>198</v>
      </c>
      <c r="U1052">
        <v>1.2559911081305691E-2</v>
      </c>
      <c r="V1052" t="s">
        <v>84</v>
      </c>
    </row>
    <row r="1053" spans="19:22" x14ac:dyDescent="0.45">
      <c r="S1053" t="s">
        <v>147</v>
      </c>
      <c r="T1053" t="s">
        <v>199</v>
      </c>
      <c r="U1053">
        <v>1.2271937280137809E-2</v>
      </c>
      <c r="V1053" t="s">
        <v>84</v>
      </c>
    </row>
    <row r="1054" spans="19:22" x14ac:dyDescent="0.45">
      <c r="S1054" t="s">
        <v>147</v>
      </c>
      <c r="T1054" t="s">
        <v>200</v>
      </c>
      <c r="U1054">
        <v>5.9863085430768258E-2</v>
      </c>
      <c r="V1054" t="s">
        <v>84</v>
      </c>
    </row>
    <row r="1055" spans="19:22" x14ac:dyDescent="0.45">
      <c r="S1055" t="s">
        <v>147</v>
      </c>
      <c r="T1055" t="s">
        <v>201</v>
      </c>
      <c r="U1055">
        <v>3.2992262548643257E-2</v>
      </c>
      <c r="V1055" t="s">
        <v>84</v>
      </c>
    </row>
    <row r="1056" spans="19:22" x14ac:dyDescent="0.45">
      <c r="S1056" t="s">
        <v>147</v>
      </c>
      <c r="T1056" t="s">
        <v>202</v>
      </c>
      <c r="U1056">
        <v>1.7859291727406246E-2</v>
      </c>
      <c r="V1056" t="s">
        <v>84</v>
      </c>
    </row>
    <row r="1057" spans="19:22" x14ac:dyDescent="0.45">
      <c r="S1057" t="s">
        <v>147</v>
      </c>
      <c r="T1057" t="s">
        <v>203</v>
      </c>
      <c r="U1057">
        <v>2.9841768548328883E-2</v>
      </c>
      <c r="V1057" t="s">
        <v>84</v>
      </c>
    </row>
    <row r="1058" spans="19:22" x14ac:dyDescent="0.45">
      <c r="S1058" t="s">
        <v>147</v>
      </c>
      <c r="T1058" t="s">
        <v>204</v>
      </c>
      <c r="U1058">
        <v>5.0736251549123052E-3</v>
      </c>
      <c r="V1058" t="s">
        <v>84</v>
      </c>
    </row>
    <row r="1059" spans="19:22" x14ac:dyDescent="0.45">
      <c r="S1059" t="s">
        <v>147</v>
      </c>
      <c r="T1059" t="s">
        <v>205</v>
      </c>
      <c r="U1059">
        <v>5.0297010914300624E-3</v>
      </c>
      <c r="V1059" t="s">
        <v>84</v>
      </c>
    </row>
    <row r="1060" spans="19:22" x14ac:dyDescent="0.45">
      <c r="S1060" t="s">
        <v>147</v>
      </c>
      <c r="T1060" t="s">
        <v>206</v>
      </c>
      <c r="U1060">
        <v>2.4199964004920502E-2</v>
      </c>
      <c r="V1060" t="s">
        <v>84</v>
      </c>
    </row>
    <row r="1061" spans="19:22" x14ac:dyDescent="0.45">
      <c r="S1061" t="s">
        <v>147</v>
      </c>
      <c r="T1061" t="s">
        <v>207</v>
      </c>
      <c r="U1061">
        <v>4.3389673111405937E-2</v>
      </c>
      <c r="V1061" t="s">
        <v>84</v>
      </c>
    </row>
    <row r="1062" spans="19:22" x14ac:dyDescent="0.45">
      <c r="S1062" t="s">
        <v>147</v>
      </c>
      <c r="T1062" t="s">
        <v>208</v>
      </c>
      <c r="U1062">
        <v>2.4259505834746908E-2</v>
      </c>
      <c r="V1062" t="s">
        <v>84</v>
      </c>
    </row>
    <row r="1063" spans="19:22" x14ac:dyDescent="0.45">
      <c r="S1063" t="s">
        <v>147</v>
      </c>
      <c r="T1063" t="s">
        <v>209</v>
      </c>
      <c r="U1063">
        <v>4.0652534904063245E-2</v>
      </c>
      <c r="V1063" t="s">
        <v>84</v>
      </c>
    </row>
    <row r="1064" spans="19:22" x14ac:dyDescent="0.45">
      <c r="S1064" t="s">
        <v>147</v>
      </c>
      <c r="T1064" t="s">
        <v>210</v>
      </c>
      <c r="U1064">
        <v>6.7854060436085707E-3</v>
      </c>
      <c r="V1064" t="s">
        <v>84</v>
      </c>
    </row>
    <row r="1065" spans="19:22" x14ac:dyDescent="0.45">
      <c r="S1065" t="s">
        <v>147</v>
      </c>
      <c r="T1065" t="s">
        <v>211</v>
      </c>
      <c r="U1065">
        <v>6.76592155089056E-3</v>
      </c>
      <c r="V1065" t="s">
        <v>84</v>
      </c>
    </row>
    <row r="1066" spans="19:22" x14ac:dyDescent="0.45">
      <c r="S1066" t="s">
        <v>147</v>
      </c>
      <c r="T1066" t="s">
        <v>212</v>
      </c>
      <c r="U1066">
        <v>3.2869458770159829E-2</v>
      </c>
      <c r="V1066" t="s">
        <v>84</v>
      </c>
    </row>
    <row r="1067" spans="19:22" x14ac:dyDescent="0.45">
      <c r="S1067" t="s">
        <v>148</v>
      </c>
      <c r="T1067" t="s">
        <v>83</v>
      </c>
      <c r="U1067">
        <v>2.9607627552311076E-2</v>
      </c>
      <c r="V1067" t="s">
        <v>84</v>
      </c>
    </row>
    <row r="1068" spans="19:22" x14ac:dyDescent="0.45">
      <c r="S1068" t="s">
        <v>148</v>
      </c>
      <c r="T1068" t="s">
        <v>85</v>
      </c>
      <c r="U1068">
        <v>1.4989060220987255E-2</v>
      </c>
      <c r="V1068" t="s">
        <v>84</v>
      </c>
    </row>
    <row r="1069" spans="19:22" x14ac:dyDescent="0.45">
      <c r="S1069" t="s">
        <v>148</v>
      </c>
      <c r="T1069" t="s">
        <v>86</v>
      </c>
      <c r="U1069">
        <v>2.376892339256766E-2</v>
      </c>
      <c r="V1069" t="s">
        <v>84</v>
      </c>
    </row>
    <row r="1070" spans="19:22" x14ac:dyDescent="0.45">
      <c r="S1070" t="s">
        <v>148</v>
      </c>
      <c r="T1070" t="s">
        <v>177</v>
      </c>
      <c r="U1070">
        <v>3.9260451120261925E-3</v>
      </c>
      <c r="V1070" t="s">
        <v>84</v>
      </c>
    </row>
    <row r="1071" spans="19:22" x14ac:dyDescent="0.45">
      <c r="S1071" t="s">
        <v>148</v>
      </c>
      <c r="T1071" t="s">
        <v>178</v>
      </c>
      <c r="U1071">
        <v>3.8551854620589112E-3</v>
      </c>
      <c r="V1071" t="s">
        <v>84</v>
      </c>
    </row>
    <row r="1072" spans="19:22" x14ac:dyDescent="0.45">
      <c r="S1072" t="s">
        <v>148</v>
      </c>
      <c r="T1072" t="s">
        <v>179</v>
      </c>
      <c r="U1072">
        <v>1.8652934622815323E-2</v>
      </c>
      <c r="V1072" t="s">
        <v>84</v>
      </c>
    </row>
    <row r="1073" spans="19:22" x14ac:dyDescent="0.45">
      <c r="S1073" t="s">
        <v>148</v>
      </c>
      <c r="T1073" t="s">
        <v>87</v>
      </c>
      <c r="U1073">
        <v>1.2226665878055182E-2</v>
      </c>
      <c r="V1073" t="s">
        <v>84</v>
      </c>
    </row>
    <row r="1074" spans="19:22" x14ac:dyDescent="0.45">
      <c r="S1074" t="s">
        <v>148</v>
      </c>
      <c r="T1074" t="s">
        <v>88</v>
      </c>
      <c r="U1074">
        <v>6.2847631043517118E-3</v>
      </c>
      <c r="V1074" t="s">
        <v>84</v>
      </c>
    </row>
    <row r="1075" spans="19:22" x14ac:dyDescent="0.45">
      <c r="S1075" t="s">
        <v>148</v>
      </c>
      <c r="T1075" t="s">
        <v>89</v>
      </c>
      <c r="U1075">
        <v>1.21644792721451E-2</v>
      </c>
      <c r="V1075" t="s">
        <v>84</v>
      </c>
    </row>
    <row r="1076" spans="19:22" x14ac:dyDescent="0.45">
      <c r="S1076" t="s">
        <v>148</v>
      </c>
      <c r="T1076" t="s">
        <v>180</v>
      </c>
      <c r="U1076">
        <v>2.3115786542084165E-3</v>
      </c>
      <c r="V1076" t="s">
        <v>84</v>
      </c>
    </row>
    <row r="1077" spans="19:22" x14ac:dyDescent="0.45">
      <c r="S1077" t="s">
        <v>148</v>
      </c>
      <c r="T1077" t="s">
        <v>181</v>
      </c>
      <c r="U1077">
        <v>2.2416495429730633E-3</v>
      </c>
      <c r="V1077" t="s">
        <v>84</v>
      </c>
    </row>
    <row r="1078" spans="19:22" x14ac:dyDescent="0.45">
      <c r="S1078" t="s">
        <v>148</v>
      </c>
      <c r="T1078" t="s">
        <v>182</v>
      </c>
      <c r="U1078">
        <v>9.257966760745525E-3</v>
      </c>
      <c r="V1078" t="s">
        <v>84</v>
      </c>
    </row>
    <row r="1079" spans="19:22" x14ac:dyDescent="0.45">
      <c r="S1079" t="s">
        <v>148</v>
      </c>
      <c r="T1079" t="s">
        <v>90</v>
      </c>
      <c r="U1079">
        <v>2.1262066220882281E-2</v>
      </c>
      <c r="V1079" t="s">
        <v>84</v>
      </c>
    </row>
    <row r="1080" spans="19:22" x14ac:dyDescent="0.45">
      <c r="S1080" t="s">
        <v>148</v>
      </c>
      <c r="T1080" t="s">
        <v>91</v>
      </c>
      <c r="U1080">
        <v>1.2316390173335294E-2</v>
      </c>
      <c r="V1080" t="s">
        <v>84</v>
      </c>
    </row>
    <row r="1081" spans="19:22" x14ac:dyDescent="0.45">
      <c r="S1081" t="s">
        <v>148</v>
      </c>
      <c r="T1081" t="s">
        <v>92</v>
      </c>
      <c r="U1081">
        <v>1.8885574027826292E-2</v>
      </c>
      <c r="V1081" t="s">
        <v>84</v>
      </c>
    </row>
    <row r="1082" spans="19:22" x14ac:dyDescent="0.45">
      <c r="S1082" t="s">
        <v>148</v>
      </c>
      <c r="T1082" t="s">
        <v>183</v>
      </c>
      <c r="U1082">
        <v>3.0041479709089322E-3</v>
      </c>
      <c r="V1082" t="s">
        <v>84</v>
      </c>
    </row>
    <row r="1083" spans="19:22" x14ac:dyDescent="0.45">
      <c r="S1083" t="s">
        <v>148</v>
      </c>
      <c r="T1083" t="s">
        <v>184</v>
      </c>
      <c r="U1083">
        <v>2.8717562940985836E-3</v>
      </c>
      <c r="V1083" t="s">
        <v>84</v>
      </c>
    </row>
    <row r="1084" spans="19:22" x14ac:dyDescent="0.45">
      <c r="S1084" t="s">
        <v>148</v>
      </c>
      <c r="T1084" t="s">
        <v>185</v>
      </c>
      <c r="U1084">
        <v>1.4415244409072122E-2</v>
      </c>
      <c r="V1084" t="s">
        <v>84</v>
      </c>
    </row>
    <row r="1085" spans="19:22" x14ac:dyDescent="0.45">
      <c r="S1085" t="s">
        <v>148</v>
      </c>
      <c r="T1085" t="s">
        <v>93</v>
      </c>
      <c r="U1085">
        <v>4.061959784242531E-2</v>
      </c>
      <c r="V1085" t="s">
        <v>84</v>
      </c>
    </row>
    <row r="1086" spans="19:22" x14ac:dyDescent="0.45">
      <c r="S1086" t="s">
        <v>148</v>
      </c>
      <c r="T1086" t="s">
        <v>94</v>
      </c>
      <c r="U1086">
        <v>2.2714750380542804E-2</v>
      </c>
      <c r="V1086" t="s">
        <v>84</v>
      </c>
    </row>
    <row r="1087" spans="19:22" x14ac:dyDescent="0.45">
      <c r="S1087" t="s">
        <v>148</v>
      </c>
      <c r="T1087" t="s">
        <v>95</v>
      </c>
      <c r="U1087">
        <v>3.9747701738474826E-2</v>
      </c>
      <c r="V1087" t="s">
        <v>84</v>
      </c>
    </row>
    <row r="1088" spans="19:22" x14ac:dyDescent="0.45">
      <c r="S1088" t="s">
        <v>148</v>
      </c>
      <c r="T1088" t="s">
        <v>186</v>
      </c>
      <c r="U1088">
        <v>6.6375845212588314E-3</v>
      </c>
      <c r="V1088" t="s">
        <v>84</v>
      </c>
    </row>
    <row r="1089" spans="19:22" x14ac:dyDescent="0.45">
      <c r="S1089" t="s">
        <v>148</v>
      </c>
      <c r="T1089" t="s">
        <v>187</v>
      </c>
      <c r="U1089">
        <v>6.3955928435993886E-3</v>
      </c>
      <c r="V1089" t="s">
        <v>84</v>
      </c>
    </row>
    <row r="1090" spans="19:22" x14ac:dyDescent="0.45">
      <c r="S1090" t="s">
        <v>148</v>
      </c>
      <c r="T1090" t="s">
        <v>188</v>
      </c>
      <c r="U1090">
        <v>2.8751086674752024E-2</v>
      </c>
      <c r="V1090" t="s">
        <v>84</v>
      </c>
    </row>
    <row r="1091" spans="19:22" x14ac:dyDescent="0.45">
      <c r="S1091" t="s">
        <v>148</v>
      </c>
      <c r="T1091" t="s">
        <v>189</v>
      </c>
      <c r="U1091">
        <v>2.5817839940088978E-2</v>
      </c>
      <c r="V1091" t="s">
        <v>84</v>
      </c>
    </row>
    <row r="1092" spans="19:22" x14ac:dyDescent="0.45">
      <c r="S1092" t="s">
        <v>148</v>
      </c>
      <c r="T1092" t="s">
        <v>190</v>
      </c>
      <c r="U1092">
        <v>1.4469431525365711E-2</v>
      </c>
      <c r="V1092" t="s">
        <v>84</v>
      </c>
    </row>
    <row r="1093" spans="19:22" x14ac:dyDescent="0.45">
      <c r="S1093" t="s">
        <v>148</v>
      </c>
      <c r="T1093" t="s">
        <v>191</v>
      </c>
      <c r="U1093">
        <v>2.3255317881773655E-2</v>
      </c>
      <c r="V1093" t="s">
        <v>84</v>
      </c>
    </row>
    <row r="1094" spans="19:22" x14ac:dyDescent="0.45">
      <c r="S1094" t="s">
        <v>148</v>
      </c>
      <c r="T1094" t="s">
        <v>192</v>
      </c>
      <c r="U1094">
        <v>3.8741628979881721E-3</v>
      </c>
      <c r="V1094" t="s">
        <v>84</v>
      </c>
    </row>
    <row r="1095" spans="19:22" x14ac:dyDescent="0.45">
      <c r="S1095" t="s">
        <v>148</v>
      </c>
      <c r="T1095" t="s">
        <v>193</v>
      </c>
      <c r="U1095">
        <v>3.7323425546624445E-3</v>
      </c>
      <c r="V1095" t="s">
        <v>84</v>
      </c>
    </row>
    <row r="1096" spans="19:22" x14ac:dyDescent="0.45">
      <c r="S1096" t="s">
        <v>148</v>
      </c>
      <c r="T1096" t="s">
        <v>194</v>
      </c>
      <c r="U1096">
        <v>1.7742151999917317E-2</v>
      </c>
      <c r="V1096" t="s">
        <v>84</v>
      </c>
    </row>
    <row r="1097" spans="19:22" x14ac:dyDescent="0.45">
      <c r="S1097" t="s">
        <v>148</v>
      </c>
      <c r="T1097" t="s">
        <v>195</v>
      </c>
      <c r="U1097">
        <v>8.0687146835281817E-2</v>
      </c>
      <c r="V1097" t="s">
        <v>84</v>
      </c>
    </row>
    <row r="1098" spans="19:22" x14ac:dyDescent="0.45">
      <c r="S1098" t="s">
        <v>148</v>
      </c>
      <c r="T1098" t="s">
        <v>196</v>
      </c>
      <c r="U1098">
        <v>4.4416883971672337E-2</v>
      </c>
      <c r="V1098" t="s">
        <v>84</v>
      </c>
    </row>
    <row r="1099" spans="19:22" x14ac:dyDescent="0.45">
      <c r="S1099" t="s">
        <v>148</v>
      </c>
      <c r="T1099" t="s">
        <v>197</v>
      </c>
      <c r="U1099">
        <v>7.1637473372748867E-2</v>
      </c>
      <c r="V1099" t="s">
        <v>84</v>
      </c>
    </row>
    <row r="1100" spans="19:22" x14ac:dyDescent="0.45">
      <c r="S1100" t="s">
        <v>148</v>
      </c>
      <c r="T1100" t="s">
        <v>198</v>
      </c>
      <c r="U1100">
        <v>1.1656506667796471E-2</v>
      </c>
      <c r="V1100" t="s">
        <v>84</v>
      </c>
    </row>
    <row r="1101" spans="19:22" x14ac:dyDescent="0.45">
      <c r="S1101" t="s">
        <v>148</v>
      </c>
      <c r="T1101" t="s">
        <v>199</v>
      </c>
      <c r="U1101">
        <v>1.1588969739923436E-2</v>
      </c>
      <c r="V1101" t="s">
        <v>84</v>
      </c>
    </row>
    <row r="1102" spans="19:22" x14ac:dyDescent="0.45">
      <c r="S1102" t="s">
        <v>148</v>
      </c>
      <c r="T1102" t="s">
        <v>200</v>
      </c>
      <c r="U1102">
        <v>5.7041790212547537E-2</v>
      </c>
      <c r="V1102" t="s">
        <v>84</v>
      </c>
    </row>
    <row r="1103" spans="19:22" x14ac:dyDescent="0.45">
      <c r="S1103" t="s">
        <v>148</v>
      </c>
      <c r="T1103" t="s">
        <v>201</v>
      </c>
      <c r="U1103">
        <v>2.9666541457334446E-2</v>
      </c>
      <c r="V1103" t="s">
        <v>84</v>
      </c>
    </row>
    <row r="1104" spans="19:22" x14ac:dyDescent="0.45">
      <c r="S1104" t="s">
        <v>148</v>
      </c>
      <c r="T1104" t="s">
        <v>202</v>
      </c>
      <c r="U1104">
        <v>1.7112437304070832E-2</v>
      </c>
      <c r="V1104" t="s">
        <v>84</v>
      </c>
    </row>
    <row r="1105" spans="19:22" x14ac:dyDescent="0.45">
      <c r="S1105" t="s">
        <v>148</v>
      </c>
      <c r="T1105" t="s">
        <v>203</v>
      </c>
      <c r="U1105">
        <v>3.0224204877210083E-2</v>
      </c>
      <c r="V1105" t="s">
        <v>84</v>
      </c>
    </row>
    <row r="1106" spans="19:22" x14ac:dyDescent="0.45">
      <c r="S1106" t="s">
        <v>148</v>
      </c>
      <c r="T1106" t="s">
        <v>204</v>
      </c>
      <c r="U1106">
        <v>5.0233000606124314E-3</v>
      </c>
      <c r="V1106" t="s">
        <v>84</v>
      </c>
    </row>
    <row r="1107" spans="19:22" x14ac:dyDescent="0.45">
      <c r="S1107" t="s">
        <v>148</v>
      </c>
      <c r="T1107" t="s">
        <v>205</v>
      </c>
      <c r="U1107">
        <v>5.0168767179314807E-3</v>
      </c>
      <c r="V1107" t="s">
        <v>84</v>
      </c>
    </row>
    <row r="1108" spans="19:22" x14ac:dyDescent="0.45">
      <c r="S1108" t="s">
        <v>148</v>
      </c>
      <c r="T1108" t="s">
        <v>206</v>
      </c>
      <c r="U1108">
        <v>2.2702010577190259E-2</v>
      </c>
      <c r="V1108" t="s">
        <v>84</v>
      </c>
    </row>
    <row r="1109" spans="19:22" x14ac:dyDescent="0.45">
      <c r="S1109" t="s">
        <v>148</v>
      </c>
      <c r="T1109" t="s">
        <v>207</v>
      </c>
      <c r="U1109">
        <v>4.5087983044651787E-2</v>
      </c>
      <c r="V1109" t="s">
        <v>84</v>
      </c>
    </row>
    <row r="1110" spans="19:22" x14ac:dyDescent="0.45">
      <c r="S1110" t="s">
        <v>148</v>
      </c>
      <c r="T1110" t="s">
        <v>208</v>
      </c>
      <c r="U1110">
        <v>2.5614415694959623E-2</v>
      </c>
      <c r="V1110" t="s">
        <v>84</v>
      </c>
    </row>
    <row r="1111" spans="19:22" x14ac:dyDescent="0.45">
      <c r="S1111" t="s">
        <v>148</v>
      </c>
      <c r="T1111" t="s">
        <v>209</v>
      </c>
      <c r="U1111">
        <v>4.505849636383346E-2</v>
      </c>
      <c r="V1111" t="s">
        <v>84</v>
      </c>
    </row>
    <row r="1112" spans="19:22" x14ac:dyDescent="0.45">
      <c r="S1112" t="s">
        <v>148</v>
      </c>
      <c r="T1112" t="s">
        <v>210</v>
      </c>
      <c r="U1112">
        <v>7.8891361497414499E-3</v>
      </c>
      <c r="V1112" t="s">
        <v>84</v>
      </c>
    </row>
    <row r="1113" spans="19:22" x14ac:dyDescent="0.45">
      <c r="S1113" t="s">
        <v>148</v>
      </c>
      <c r="T1113" t="s">
        <v>211</v>
      </c>
      <c r="U1113">
        <v>7.9376693845624891E-3</v>
      </c>
      <c r="V1113" t="s">
        <v>84</v>
      </c>
    </row>
    <row r="1114" spans="19:22" x14ac:dyDescent="0.45">
      <c r="S1114" t="s">
        <v>148</v>
      </c>
      <c r="T1114" t="s">
        <v>212</v>
      </c>
      <c r="U1114">
        <v>3.5838538095709666E-2</v>
      </c>
      <c r="V1114" t="s">
        <v>84</v>
      </c>
    </row>
    <row r="1115" spans="19:22" x14ac:dyDescent="0.45">
      <c r="S1115" t="s">
        <v>149</v>
      </c>
      <c r="T1115" t="s">
        <v>83</v>
      </c>
      <c r="U1115">
        <v>2.9942925952436538E-2</v>
      </c>
      <c r="V1115" t="s">
        <v>84</v>
      </c>
    </row>
    <row r="1116" spans="19:22" x14ac:dyDescent="0.45">
      <c r="S1116" t="s">
        <v>149</v>
      </c>
      <c r="T1116" t="s">
        <v>85</v>
      </c>
      <c r="U1116">
        <v>1.6250298625849136E-2</v>
      </c>
      <c r="V1116" t="s">
        <v>84</v>
      </c>
    </row>
    <row r="1117" spans="19:22" x14ac:dyDescent="0.45">
      <c r="S1117" t="s">
        <v>149</v>
      </c>
      <c r="T1117" t="s">
        <v>86</v>
      </c>
      <c r="U1117">
        <v>2.5361219354488103E-2</v>
      </c>
      <c r="V1117" t="s">
        <v>84</v>
      </c>
    </row>
    <row r="1118" spans="19:22" x14ac:dyDescent="0.45">
      <c r="S1118" t="s">
        <v>149</v>
      </c>
      <c r="T1118" t="s">
        <v>177</v>
      </c>
      <c r="U1118">
        <v>4.0315431448914828E-3</v>
      </c>
      <c r="V1118" t="s">
        <v>84</v>
      </c>
    </row>
    <row r="1119" spans="19:22" x14ac:dyDescent="0.45">
      <c r="S1119" t="s">
        <v>149</v>
      </c>
      <c r="T1119" t="s">
        <v>178</v>
      </c>
      <c r="U1119">
        <v>3.9495235926494303E-3</v>
      </c>
      <c r="V1119" t="s">
        <v>84</v>
      </c>
    </row>
    <row r="1120" spans="19:22" x14ac:dyDescent="0.45">
      <c r="S1120" t="s">
        <v>149</v>
      </c>
      <c r="T1120" t="s">
        <v>179</v>
      </c>
      <c r="U1120">
        <v>1.8064703970164832E-2</v>
      </c>
      <c r="V1120" t="s">
        <v>84</v>
      </c>
    </row>
    <row r="1121" spans="19:22" x14ac:dyDescent="0.45">
      <c r="S1121" t="s">
        <v>149</v>
      </c>
      <c r="T1121" t="s">
        <v>87</v>
      </c>
      <c r="U1121">
        <v>1.2293990030033395E-2</v>
      </c>
      <c r="V1121" t="s">
        <v>84</v>
      </c>
    </row>
    <row r="1122" spans="19:22" x14ac:dyDescent="0.45">
      <c r="S1122" t="s">
        <v>149</v>
      </c>
      <c r="T1122" t="s">
        <v>88</v>
      </c>
      <c r="U1122">
        <v>6.2608541217559618E-3</v>
      </c>
      <c r="V1122" t="s">
        <v>84</v>
      </c>
    </row>
    <row r="1123" spans="19:22" x14ac:dyDescent="0.45">
      <c r="S1123" t="s">
        <v>149</v>
      </c>
      <c r="T1123" t="s">
        <v>89</v>
      </c>
      <c r="U1123">
        <v>1.1150569454895115E-2</v>
      </c>
      <c r="V1123" t="s">
        <v>84</v>
      </c>
    </row>
    <row r="1124" spans="19:22" x14ac:dyDescent="0.45">
      <c r="S1124" t="s">
        <v>149</v>
      </c>
      <c r="T1124" t="s">
        <v>180</v>
      </c>
      <c r="U1124">
        <v>2.4689835766802367E-3</v>
      </c>
      <c r="V1124" t="s">
        <v>84</v>
      </c>
    </row>
    <row r="1125" spans="19:22" x14ac:dyDescent="0.45">
      <c r="S1125" t="s">
        <v>149</v>
      </c>
      <c r="T1125" t="s">
        <v>181</v>
      </c>
      <c r="U1125">
        <v>2.5013819543712535E-3</v>
      </c>
      <c r="V1125" t="s">
        <v>84</v>
      </c>
    </row>
    <row r="1126" spans="19:22" x14ac:dyDescent="0.45">
      <c r="S1126" t="s">
        <v>149</v>
      </c>
      <c r="T1126" t="s">
        <v>182</v>
      </c>
      <c r="U1126">
        <v>1.0471035105853262E-2</v>
      </c>
      <c r="V1126" t="s">
        <v>84</v>
      </c>
    </row>
    <row r="1127" spans="19:22" x14ac:dyDescent="0.45">
      <c r="S1127" t="s">
        <v>149</v>
      </c>
      <c r="T1127" t="s">
        <v>90</v>
      </c>
      <c r="U1127">
        <v>1.5300147998922606E-2</v>
      </c>
      <c r="V1127" t="s">
        <v>84</v>
      </c>
    </row>
    <row r="1128" spans="19:22" x14ac:dyDescent="0.45">
      <c r="S1128" t="s">
        <v>149</v>
      </c>
      <c r="T1128" t="s">
        <v>91</v>
      </c>
      <c r="U1128">
        <v>1.0216817295533675E-2</v>
      </c>
      <c r="V1128" t="s">
        <v>84</v>
      </c>
    </row>
    <row r="1129" spans="19:22" x14ac:dyDescent="0.45">
      <c r="S1129" t="s">
        <v>149</v>
      </c>
      <c r="T1129" t="s">
        <v>92</v>
      </c>
      <c r="U1129">
        <v>1.6551674438201571E-2</v>
      </c>
      <c r="V1129" t="s">
        <v>84</v>
      </c>
    </row>
    <row r="1130" spans="19:22" x14ac:dyDescent="0.45">
      <c r="S1130" t="s">
        <v>149</v>
      </c>
      <c r="T1130" t="s">
        <v>183</v>
      </c>
      <c r="U1130">
        <v>2.7206048734835127E-3</v>
      </c>
      <c r="V1130" t="s">
        <v>84</v>
      </c>
    </row>
    <row r="1131" spans="19:22" x14ac:dyDescent="0.45">
      <c r="S1131" t="s">
        <v>149</v>
      </c>
      <c r="T1131" t="s">
        <v>184</v>
      </c>
      <c r="U1131">
        <v>2.619064347342426E-3</v>
      </c>
      <c r="V1131" t="s">
        <v>84</v>
      </c>
    </row>
    <row r="1132" spans="19:22" x14ac:dyDescent="0.45">
      <c r="S1132" t="s">
        <v>149</v>
      </c>
      <c r="T1132" t="s">
        <v>185</v>
      </c>
      <c r="U1132">
        <v>1.0761634501633303E-2</v>
      </c>
      <c r="V1132" t="s">
        <v>84</v>
      </c>
    </row>
    <row r="1133" spans="19:22" x14ac:dyDescent="0.45">
      <c r="S1133" t="s">
        <v>149</v>
      </c>
      <c r="T1133" t="s">
        <v>93</v>
      </c>
      <c r="U1133">
        <v>4.5039380613215302E-2</v>
      </c>
      <c r="V1133" t="s">
        <v>84</v>
      </c>
    </row>
    <row r="1134" spans="19:22" x14ac:dyDescent="0.45">
      <c r="S1134" t="s">
        <v>149</v>
      </c>
      <c r="T1134" t="s">
        <v>94</v>
      </c>
      <c r="U1134">
        <v>2.3286131156601754E-2</v>
      </c>
      <c r="V1134" t="s">
        <v>84</v>
      </c>
    </row>
    <row r="1135" spans="19:22" x14ac:dyDescent="0.45">
      <c r="S1135" t="s">
        <v>149</v>
      </c>
      <c r="T1135" t="s">
        <v>95</v>
      </c>
      <c r="U1135">
        <v>3.9837699136585282E-2</v>
      </c>
      <c r="V1135" t="s">
        <v>84</v>
      </c>
    </row>
    <row r="1136" spans="19:22" x14ac:dyDescent="0.45">
      <c r="S1136" t="s">
        <v>149</v>
      </c>
      <c r="T1136" t="s">
        <v>186</v>
      </c>
      <c r="U1136">
        <v>6.7531931558967228E-3</v>
      </c>
      <c r="V1136" t="s">
        <v>84</v>
      </c>
    </row>
    <row r="1137" spans="19:22" x14ac:dyDescent="0.45">
      <c r="S1137" t="s">
        <v>149</v>
      </c>
      <c r="T1137" t="s">
        <v>187</v>
      </c>
      <c r="U1137">
        <v>6.619791294585552E-3</v>
      </c>
      <c r="V1137" t="s">
        <v>84</v>
      </c>
    </row>
    <row r="1138" spans="19:22" x14ac:dyDescent="0.45">
      <c r="S1138" t="s">
        <v>149</v>
      </c>
      <c r="T1138" t="s">
        <v>188</v>
      </c>
      <c r="U1138">
        <v>3.1172317528666251E-2</v>
      </c>
      <c r="V1138" t="s">
        <v>84</v>
      </c>
    </row>
    <row r="1139" spans="19:22" x14ac:dyDescent="0.45">
      <c r="S1139" t="s">
        <v>149</v>
      </c>
      <c r="T1139" t="s">
        <v>189</v>
      </c>
      <c r="U1139">
        <v>2.3474973982582352E-2</v>
      </c>
      <c r="V1139" t="s">
        <v>84</v>
      </c>
    </row>
    <row r="1140" spans="19:22" x14ac:dyDescent="0.45">
      <c r="S1140" t="s">
        <v>149</v>
      </c>
      <c r="T1140" t="s">
        <v>190</v>
      </c>
      <c r="U1140">
        <v>1.3231960410697512E-2</v>
      </c>
      <c r="V1140" t="s">
        <v>84</v>
      </c>
    </row>
    <row r="1141" spans="19:22" x14ac:dyDescent="0.45">
      <c r="S1141" t="s">
        <v>149</v>
      </c>
      <c r="T1141" t="s">
        <v>191</v>
      </c>
      <c r="U1141">
        <v>2.1843734098485789E-2</v>
      </c>
      <c r="V1141" t="s">
        <v>84</v>
      </c>
    </row>
    <row r="1142" spans="19:22" x14ac:dyDescent="0.45">
      <c r="S1142" t="s">
        <v>149</v>
      </c>
      <c r="T1142" t="s">
        <v>192</v>
      </c>
      <c r="U1142">
        <v>3.9378580969778318E-3</v>
      </c>
      <c r="V1142" t="s">
        <v>84</v>
      </c>
    </row>
    <row r="1143" spans="19:22" x14ac:dyDescent="0.45">
      <c r="S1143" t="s">
        <v>149</v>
      </c>
      <c r="T1143" t="s">
        <v>193</v>
      </c>
      <c r="U1143">
        <v>3.9483420293632528E-3</v>
      </c>
      <c r="V1143" t="s">
        <v>84</v>
      </c>
    </row>
    <row r="1144" spans="19:22" x14ac:dyDescent="0.45">
      <c r="S1144" t="s">
        <v>149</v>
      </c>
      <c r="T1144" t="s">
        <v>194</v>
      </c>
      <c r="U1144">
        <v>1.8554195224809913E-2</v>
      </c>
      <c r="V1144" t="s">
        <v>84</v>
      </c>
    </row>
    <row r="1145" spans="19:22" x14ac:dyDescent="0.45">
      <c r="S1145" t="s">
        <v>149</v>
      </c>
      <c r="T1145" t="s">
        <v>195</v>
      </c>
      <c r="U1145">
        <v>8.3769252220796092E-2</v>
      </c>
      <c r="V1145" t="s">
        <v>84</v>
      </c>
    </row>
    <row r="1146" spans="19:22" x14ac:dyDescent="0.45">
      <c r="S1146" t="s">
        <v>149</v>
      </c>
      <c r="T1146" t="s">
        <v>196</v>
      </c>
      <c r="U1146">
        <v>4.4750690916740998E-2</v>
      </c>
      <c r="V1146" t="s">
        <v>84</v>
      </c>
    </row>
    <row r="1147" spans="19:22" x14ac:dyDescent="0.45">
      <c r="S1147" t="s">
        <v>149</v>
      </c>
      <c r="T1147" t="s">
        <v>197</v>
      </c>
      <c r="U1147">
        <v>7.3974614554666737E-2</v>
      </c>
      <c r="V1147" t="s">
        <v>84</v>
      </c>
    </row>
    <row r="1148" spans="19:22" x14ac:dyDescent="0.45">
      <c r="S1148" t="s">
        <v>149</v>
      </c>
      <c r="T1148" t="s">
        <v>198</v>
      </c>
      <c r="U1148">
        <v>1.2817853637925087E-2</v>
      </c>
      <c r="V1148" t="s">
        <v>84</v>
      </c>
    </row>
    <row r="1149" spans="19:22" x14ac:dyDescent="0.45">
      <c r="S1149" t="s">
        <v>149</v>
      </c>
      <c r="T1149" t="s">
        <v>199</v>
      </c>
      <c r="U1149">
        <v>1.2600497946250327E-2</v>
      </c>
      <c r="V1149" t="s">
        <v>84</v>
      </c>
    </row>
    <row r="1150" spans="19:22" x14ac:dyDescent="0.45">
      <c r="S1150" t="s">
        <v>149</v>
      </c>
      <c r="T1150" t="s">
        <v>200</v>
      </c>
      <c r="U1150">
        <v>6.1087966114483284E-2</v>
      </c>
      <c r="V1150" t="s">
        <v>84</v>
      </c>
    </row>
    <row r="1151" spans="19:22" x14ac:dyDescent="0.45">
      <c r="S1151" t="s">
        <v>149</v>
      </c>
      <c r="T1151" t="s">
        <v>201</v>
      </c>
      <c r="U1151">
        <v>3.4524018941776778E-2</v>
      </c>
      <c r="V1151" t="s">
        <v>84</v>
      </c>
    </row>
    <row r="1152" spans="19:22" x14ac:dyDescent="0.45">
      <c r="S1152" t="s">
        <v>149</v>
      </c>
      <c r="T1152" t="s">
        <v>202</v>
      </c>
      <c r="U1152">
        <v>1.795696640123947E-2</v>
      </c>
      <c r="V1152" t="s">
        <v>84</v>
      </c>
    </row>
    <row r="1153" spans="19:22" x14ac:dyDescent="0.45">
      <c r="S1153" t="s">
        <v>149</v>
      </c>
      <c r="T1153" t="s">
        <v>203</v>
      </c>
      <c r="U1153">
        <v>3.2575082727509884E-2</v>
      </c>
      <c r="V1153" t="s">
        <v>84</v>
      </c>
    </row>
    <row r="1154" spans="19:22" x14ac:dyDescent="0.45">
      <c r="S1154" t="s">
        <v>149</v>
      </c>
      <c r="T1154" t="s">
        <v>204</v>
      </c>
      <c r="U1154">
        <v>5.6352251562790338E-3</v>
      </c>
      <c r="V1154" t="s">
        <v>84</v>
      </c>
    </row>
    <row r="1155" spans="19:22" x14ac:dyDescent="0.45">
      <c r="S1155" t="s">
        <v>149</v>
      </c>
      <c r="T1155" t="s">
        <v>205</v>
      </c>
      <c r="U1155">
        <v>5.5406785175117455E-3</v>
      </c>
      <c r="V1155" t="s">
        <v>84</v>
      </c>
    </row>
    <row r="1156" spans="19:22" x14ac:dyDescent="0.45">
      <c r="S1156" t="s">
        <v>149</v>
      </c>
      <c r="T1156" t="s">
        <v>206</v>
      </c>
      <c r="U1156">
        <v>2.601784658171748E-2</v>
      </c>
      <c r="V1156" t="s">
        <v>84</v>
      </c>
    </row>
    <row r="1157" spans="19:22" x14ac:dyDescent="0.45">
      <c r="S1157" t="s">
        <v>149</v>
      </c>
      <c r="T1157" t="s">
        <v>207</v>
      </c>
      <c r="U1157">
        <v>4.1801583521848068E-2</v>
      </c>
      <c r="V1157" t="s">
        <v>84</v>
      </c>
    </row>
    <row r="1158" spans="19:22" x14ac:dyDescent="0.45">
      <c r="S1158" t="s">
        <v>149</v>
      </c>
      <c r="T1158" t="s">
        <v>208</v>
      </c>
      <c r="U1158">
        <v>2.2380417649645566E-2</v>
      </c>
      <c r="V1158" t="s">
        <v>84</v>
      </c>
    </row>
    <row r="1159" spans="19:22" x14ac:dyDescent="0.45">
      <c r="S1159" t="s">
        <v>149</v>
      </c>
      <c r="T1159" t="s">
        <v>209</v>
      </c>
      <c r="U1159">
        <v>3.9907328691497497E-2</v>
      </c>
      <c r="V1159" t="s">
        <v>84</v>
      </c>
    </row>
    <row r="1160" spans="19:22" x14ac:dyDescent="0.45">
      <c r="S1160" t="s">
        <v>149</v>
      </c>
      <c r="T1160" t="s">
        <v>210</v>
      </c>
      <c r="U1160">
        <v>7.0821090526812644E-3</v>
      </c>
      <c r="V1160" t="s">
        <v>84</v>
      </c>
    </row>
    <row r="1161" spans="19:22" x14ac:dyDescent="0.45">
      <c r="S1161" t="s">
        <v>149</v>
      </c>
      <c r="T1161" t="s">
        <v>211</v>
      </c>
      <c r="U1161">
        <v>7.0141229382533667E-3</v>
      </c>
      <c r="V1161" t="s">
        <v>84</v>
      </c>
    </row>
    <row r="1162" spans="19:22" x14ac:dyDescent="0.45">
      <c r="S1162" t="s">
        <v>149</v>
      </c>
      <c r="T1162" t="s">
        <v>212</v>
      </c>
      <c r="U1162">
        <v>3.1947195361524634E-2</v>
      </c>
      <c r="V1162" t="s">
        <v>84</v>
      </c>
    </row>
    <row r="1163" spans="19:22" x14ac:dyDescent="0.45">
      <c r="S1163" t="s">
        <v>150</v>
      </c>
      <c r="T1163" t="s">
        <v>83</v>
      </c>
      <c r="U1163">
        <v>2.8400550099104024E-2</v>
      </c>
      <c r="V1163" t="s">
        <v>84</v>
      </c>
    </row>
    <row r="1164" spans="19:22" x14ac:dyDescent="0.45">
      <c r="S1164" t="s">
        <v>150</v>
      </c>
      <c r="T1164" t="s">
        <v>85</v>
      </c>
      <c r="U1164">
        <v>1.5515498464924013E-2</v>
      </c>
      <c r="V1164" t="s">
        <v>84</v>
      </c>
    </row>
    <row r="1165" spans="19:22" x14ac:dyDescent="0.45">
      <c r="S1165" t="s">
        <v>150</v>
      </c>
      <c r="T1165" t="s">
        <v>86</v>
      </c>
      <c r="U1165">
        <v>2.6414493374647768E-2</v>
      </c>
      <c r="V1165" t="s">
        <v>84</v>
      </c>
    </row>
    <row r="1166" spans="19:22" x14ac:dyDescent="0.45">
      <c r="S1166" t="s">
        <v>150</v>
      </c>
      <c r="T1166" t="s">
        <v>177</v>
      </c>
      <c r="U1166">
        <v>4.7312654618126152E-3</v>
      </c>
      <c r="V1166" t="s">
        <v>84</v>
      </c>
    </row>
    <row r="1167" spans="19:22" x14ac:dyDescent="0.45">
      <c r="S1167" t="s">
        <v>150</v>
      </c>
      <c r="T1167" t="s">
        <v>178</v>
      </c>
      <c r="U1167">
        <v>4.704320686910856E-3</v>
      </c>
      <c r="V1167" t="s">
        <v>84</v>
      </c>
    </row>
    <row r="1168" spans="19:22" x14ac:dyDescent="0.45">
      <c r="S1168" t="s">
        <v>150</v>
      </c>
      <c r="T1168" t="s">
        <v>179</v>
      </c>
      <c r="U1168">
        <v>2.2566394308321573E-2</v>
      </c>
      <c r="V1168" t="s">
        <v>84</v>
      </c>
    </row>
    <row r="1169" spans="19:22" x14ac:dyDescent="0.45">
      <c r="S1169" t="s">
        <v>150</v>
      </c>
      <c r="T1169" t="s">
        <v>87</v>
      </c>
      <c r="U1169">
        <v>1.8944759689028211E-2</v>
      </c>
      <c r="V1169" t="s">
        <v>84</v>
      </c>
    </row>
    <row r="1170" spans="19:22" x14ac:dyDescent="0.45">
      <c r="S1170" t="s">
        <v>150</v>
      </c>
      <c r="T1170" t="s">
        <v>88</v>
      </c>
      <c r="U1170">
        <v>9.5032932992084231E-3</v>
      </c>
      <c r="V1170" t="s">
        <v>84</v>
      </c>
    </row>
    <row r="1171" spans="19:22" x14ac:dyDescent="0.45">
      <c r="S1171" t="s">
        <v>150</v>
      </c>
      <c r="T1171" t="s">
        <v>89</v>
      </c>
      <c r="U1171">
        <v>1.6216199348470142E-2</v>
      </c>
      <c r="V1171" t="s">
        <v>84</v>
      </c>
    </row>
    <row r="1172" spans="19:22" x14ac:dyDescent="0.45">
      <c r="S1172" t="s">
        <v>150</v>
      </c>
      <c r="T1172" t="s">
        <v>180</v>
      </c>
      <c r="U1172">
        <v>3.2483478935263414E-3</v>
      </c>
      <c r="V1172" t="s">
        <v>84</v>
      </c>
    </row>
    <row r="1173" spans="19:22" x14ac:dyDescent="0.45">
      <c r="S1173" t="s">
        <v>150</v>
      </c>
      <c r="T1173" t="s">
        <v>181</v>
      </c>
      <c r="U1173">
        <v>3.3369475726282593E-3</v>
      </c>
      <c r="V1173" t="s">
        <v>84</v>
      </c>
    </row>
    <row r="1174" spans="19:22" x14ac:dyDescent="0.45">
      <c r="S1174" t="s">
        <v>150</v>
      </c>
      <c r="T1174" t="s">
        <v>182</v>
      </c>
      <c r="U1174">
        <v>1.5678980534760328E-2</v>
      </c>
      <c r="V1174" t="s">
        <v>84</v>
      </c>
    </row>
    <row r="1175" spans="19:22" x14ac:dyDescent="0.45">
      <c r="S1175" t="s">
        <v>150</v>
      </c>
      <c r="T1175" t="s">
        <v>90</v>
      </c>
      <c r="U1175">
        <v>1.5213935404065088E-2</v>
      </c>
      <c r="V1175" t="s">
        <v>84</v>
      </c>
    </row>
    <row r="1176" spans="19:22" x14ac:dyDescent="0.45">
      <c r="S1176" t="s">
        <v>150</v>
      </c>
      <c r="T1176" t="s">
        <v>91</v>
      </c>
      <c r="U1176">
        <v>7.5257178440468926E-3</v>
      </c>
      <c r="V1176" t="s">
        <v>84</v>
      </c>
    </row>
    <row r="1177" spans="19:22" x14ac:dyDescent="0.45">
      <c r="S1177" t="s">
        <v>150</v>
      </c>
      <c r="T1177" t="s">
        <v>92</v>
      </c>
      <c r="U1177">
        <v>1.4204959590925581E-2</v>
      </c>
      <c r="V1177" t="s">
        <v>84</v>
      </c>
    </row>
    <row r="1178" spans="19:22" x14ac:dyDescent="0.45">
      <c r="S1178" t="s">
        <v>150</v>
      </c>
      <c r="T1178" t="s">
        <v>183</v>
      </c>
      <c r="U1178">
        <v>2.8939148618154632E-3</v>
      </c>
      <c r="V1178" t="s">
        <v>84</v>
      </c>
    </row>
    <row r="1179" spans="19:22" x14ac:dyDescent="0.45">
      <c r="S1179" t="s">
        <v>150</v>
      </c>
      <c r="T1179" t="s">
        <v>184</v>
      </c>
      <c r="U1179">
        <v>2.9640157999508907E-3</v>
      </c>
      <c r="V1179" t="s">
        <v>84</v>
      </c>
    </row>
    <row r="1180" spans="19:22" x14ac:dyDescent="0.45">
      <c r="S1180" t="s">
        <v>150</v>
      </c>
      <c r="T1180" t="s">
        <v>185</v>
      </c>
      <c r="U1180">
        <v>1.479445350442825E-2</v>
      </c>
      <c r="V1180" t="s">
        <v>84</v>
      </c>
    </row>
    <row r="1181" spans="19:22" x14ac:dyDescent="0.45">
      <c r="S1181" t="s">
        <v>150</v>
      </c>
      <c r="T1181" t="s">
        <v>93</v>
      </c>
      <c r="U1181">
        <v>5.0436702210071092E-2</v>
      </c>
      <c r="V1181" t="s">
        <v>84</v>
      </c>
    </row>
    <row r="1182" spans="19:22" x14ac:dyDescent="0.45">
      <c r="S1182" t="s">
        <v>150</v>
      </c>
      <c r="T1182" t="s">
        <v>94</v>
      </c>
      <c r="U1182">
        <v>2.7951551223525758E-2</v>
      </c>
      <c r="V1182" t="s">
        <v>84</v>
      </c>
    </row>
    <row r="1183" spans="19:22" x14ac:dyDescent="0.45">
      <c r="S1183" t="s">
        <v>150</v>
      </c>
      <c r="T1183" t="s">
        <v>95</v>
      </c>
      <c r="U1183">
        <v>3.8474177270510182E-2</v>
      </c>
      <c r="V1183" t="s">
        <v>84</v>
      </c>
    </row>
    <row r="1184" spans="19:22" x14ac:dyDescent="0.45">
      <c r="S1184" t="s">
        <v>150</v>
      </c>
      <c r="T1184" t="s">
        <v>186</v>
      </c>
      <c r="U1184">
        <v>6.3799969766751511E-3</v>
      </c>
      <c r="V1184" t="s">
        <v>84</v>
      </c>
    </row>
    <row r="1185" spans="19:22" x14ac:dyDescent="0.45">
      <c r="S1185" t="s">
        <v>150</v>
      </c>
      <c r="T1185" t="s">
        <v>187</v>
      </c>
      <c r="U1185">
        <v>6.6152080524219149E-3</v>
      </c>
      <c r="V1185" t="s">
        <v>84</v>
      </c>
    </row>
    <row r="1186" spans="19:22" x14ac:dyDescent="0.45">
      <c r="S1186" t="s">
        <v>150</v>
      </c>
      <c r="T1186" t="s">
        <v>188</v>
      </c>
      <c r="U1186">
        <v>3.4762383593384669E-2</v>
      </c>
      <c r="V1186" t="s">
        <v>84</v>
      </c>
    </row>
    <row r="1187" spans="19:22" x14ac:dyDescent="0.45">
      <c r="S1187" t="s">
        <v>150</v>
      </c>
      <c r="T1187" t="s">
        <v>189</v>
      </c>
      <c r="U1187">
        <v>2.7500207903589077E-2</v>
      </c>
      <c r="V1187" t="s">
        <v>84</v>
      </c>
    </row>
    <row r="1188" spans="19:22" x14ac:dyDescent="0.45">
      <c r="S1188" t="s">
        <v>150</v>
      </c>
      <c r="T1188" t="s">
        <v>190</v>
      </c>
      <c r="U1188">
        <v>1.450166952338342E-2</v>
      </c>
      <c r="V1188" t="s">
        <v>84</v>
      </c>
    </row>
    <row r="1189" spans="19:22" x14ac:dyDescent="0.45">
      <c r="S1189" t="s">
        <v>150</v>
      </c>
      <c r="T1189" t="s">
        <v>191</v>
      </c>
      <c r="U1189">
        <v>2.1737363073524266E-2</v>
      </c>
      <c r="V1189" t="s">
        <v>84</v>
      </c>
    </row>
    <row r="1190" spans="19:22" x14ac:dyDescent="0.45">
      <c r="S1190" t="s">
        <v>150</v>
      </c>
      <c r="T1190" t="s">
        <v>192</v>
      </c>
      <c r="U1190">
        <v>3.6263760265673743E-3</v>
      </c>
      <c r="V1190" t="s">
        <v>84</v>
      </c>
    </row>
    <row r="1191" spans="19:22" x14ac:dyDescent="0.45">
      <c r="S1191" t="s">
        <v>150</v>
      </c>
      <c r="T1191" t="s">
        <v>193</v>
      </c>
      <c r="U1191">
        <v>3.704593458630597E-3</v>
      </c>
      <c r="V1191" t="s">
        <v>84</v>
      </c>
    </row>
    <row r="1192" spans="19:22" x14ac:dyDescent="0.45">
      <c r="S1192" t="s">
        <v>150</v>
      </c>
      <c r="T1192" t="s">
        <v>194</v>
      </c>
      <c r="U1192">
        <v>1.9481327920363525E-2</v>
      </c>
      <c r="V1192" t="s">
        <v>84</v>
      </c>
    </row>
    <row r="1193" spans="19:22" x14ac:dyDescent="0.45">
      <c r="S1193" t="s">
        <v>150</v>
      </c>
      <c r="T1193" t="s">
        <v>195</v>
      </c>
      <c r="U1193">
        <v>8.3009389041046377E-2</v>
      </c>
      <c r="V1193" t="s">
        <v>84</v>
      </c>
    </row>
    <row r="1194" spans="19:22" x14ac:dyDescent="0.45">
      <c r="S1194" t="s">
        <v>150</v>
      </c>
      <c r="T1194" t="s">
        <v>196</v>
      </c>
      <c r="U1194">
        <v>4.3469026409882879E-2</v>
      </c>
      <c r="V1194" t="s">
        <v>84</v>
      </c>
    </row>
    <row r="1195" spans="19:22" x14ac:dyDescent="0.45">
      <c r="S1195" t="s">
        <v>150</v>
      </c>
      <c r="T1195" t="s">
        <v>197</v>
      </c>
      <c r="U1195">
        <v>6.0971319762754821E-2</v>
      </c>
      <c r="V1195" t="s">
        <v>84</v>
      </c>
    </row>
    <row r="1196" spans="19:22" x14ac:dyDescent="0.45">
      <c r="S1196" t="s">
        <v>150</v>
      </c>
      <c r="T1196" t="s">
        <v>198</v>
      </c>
      <c r="U1196">
        <v>1.0787207013965976E-2</v>
      </c>
      <c r="V1196" t="s">
        <v>84</v>
      </c>
    </row>
    <row r="1197" spans="19:22" x14ac:dyDescent="0.45">
      <c r="S1197" t="s">
        <v>150</v>
      </c>
      <c r="T1197" t="s">
        <v>199</v>
      </c>
      <c r="U1197">
        <v>1.1117551240810921E-2</v>
      </c>
      <c r="V1197" t="s">
        <v>84</v>
      </c>
    </row>
    <row r="1198" spans="19:22" x14ac:dyDescent="0.45">
      <c r="S1198" t="s">
        <v>150</v>
      </c>
      <c r="T1198" t="s">
        <v>200</v>
      </c>
      <c r="U1198">
        <v>5.811099553369186E-2</v>
      </c>
      <c r="V1198" t="s">
        <v>84</v>
      </c>
    </row>
    <row r="1199" spans="19:22" x14ac:dyDescent="0.45">
      <c r="S1199" t="s">
        <v>150</v>
      </c>
      <c r="T1199" t="s">
        <v>201</v>
      </c>
      <c r="U1199">
        <v>3.0672605226850485E-2</v>
      </c>
      <c r="V1199" t="s">
        <v>84</v>
      </c>
    </row>
    <row r="1200" spans="19:22" x14ac:dyDescent="0.45">
      <c r="S1200" t="s">
        <v>150</v>
      </c>
      <c r="T1200" t="s">
        <v>202</v>
      </c>
      <c r="U1200">
        <v>1.5257544163226805E-2</v>
      </c>
      <c r="V1200" t="s">
        <v>84</v>
      </c>
    </row>
    <row r="1201" spans="19:22" x14ac:dyDescent="0.45">
      <c r="S1201" t="s">
        <v>150</v>
      </c>
      <c r="T1201" t="s">
        <v>203</v>
      </c>
      <c r="U1201">
        <v>2.6332022926602014E-2</v>
      </c>
      <c r="V1201" t="s">
        <v>84</v>
      </c>
    </row>
    <row r="1202" spans="19:22" x14ac:dyDescent="0.45">
      <c r="S1202" t="s">
        <v>150</v>
      </c>
      <c r="T1202" t="s">
        <v>204</v>
      </c>
      <c r="U1202">
        <v>4.8944468850103647E-3</v>
      </c>
      <c r="V1202" t="s">
        <v>84</v>
      </c>
    </row>
    <row r="1203" spans="19:22" x14ac:dyDescent="0.45">
      <c r="S1203" t="s">
        <v>150</v>
      </c>
      <c r="T1203" t="s">
        <v>205</v>
      </c>
      <c r="U1203">
        <v>5.0339375786448972E-3</v>
      </c>
      <c r="V1203" t="s">
        <v>84</v>
      </c>
    </row>
    <row r="1204" spans="19:22" x14ac:dyDescent="0.45">
      <c r="S1204" t="s">
        <v>150</v>
      </c>
      <c r="T1204" t="s">
        <v>206</v>
      </c>
      <c r="U1204">
        <v>2.6122996287298254E-2</v>
      </c>
      <c r="V1204" t="s">
        <v>84</v>
      </c>
    </row>
    <row r="1205" spans="19:22" x14ac:dyDescent="0.45">
      <c r="S1205" t="s">
        <v>150</v>
      </c>
      <c r="T1205" t="s">
        <v>207</v>
      </c>
      <c r="U1205">
        <v>4.1790452286898573E-2</v>
      </c>
      <c r="V1205" t="s">
        <v>84</v>
      </c>
    </row>
    <row r="1206" spans="19:22" x14ac:dyDescent="0.45">
      <c r="S1206" t="s">
        <v>150</v>
      </c>
      <c r="T1206" t="s">
        <v>208</v>
      </c>
      <c r="U1206">
        <v>2.2462321290713232E-2</v>
      </c>
      <c r="V1206" t="s">
        <v>84</v>
      </c>
    </row>
    <row r="1207" spans="19:22" x14ac:dyDescent="0.45">
      <c r="S1207" t="s">
        <v>150</v>
      </c>
      <c r="T1207" t="s">
        <v>209</v>
      </c>
      <c r="U1207">
        <v>3.506381363506586E-2</v>
      </c>
      <c r="V1207" t="s">
        <v>84</v>
      </c>
    </row>
    <row r="1208" spans="19:22" x14ac:dyDescent="0.45">
      <c r="S1208" t="s">
        <v>150</v>
      </c>
      <c r="T1208" t="s">
        <v>210</v>
      </c>
      <c r="U1208">
        <v>5.9214600529898772E-3</v>
      </c>
      <c r="V1208" t="s">
        <v>84</v>
      </c>
    </row>
    <row r="1209" spans="19:22" x14ac:dyDescent="0.45">
      <c r="S1209" t="s">
        <v>150</v>
      </c>
      <c r="T1209" t="s">
        <v>211</v>
      </c>
      <c r="U1209">
        <v>6.0083064653814397E-3</v>
      </c>
      <c r="V1209" t="s">
        <v>84</v>
      </c>
    </row>
    <row r="1210" spans="19:22" x14ac:dyDescent="0.45">
      <c r="S1210" t="s">
        <v>150</v>
      </c>
      <c r="T1210" t="s">
        <v>212</v>
      </c>
      <c r="U1210">
        <v>3.0944999227942718E-2</v>
      </c>
      <c r="V1210" t="s">
        <v>84</v>
      </c>
    </row>
    <row r="1211" spans="19:22" x14ac:dyDescent="0.45">
      <c r="S1211" t="s">
        <v>151</v>
      </c>
      <c r="T1211" t="s">
        <v>83</v>
      </c>
      <c r="U1211">
        <v>2.6895554016757552E-2</v>
      </c>
      <c r="V1211" t="s">
        <v>84</v>
      </c>
    </row>
    <row r="1212" spans="19:22" x14ac:dyDescent="0.45">
      <c r="S1212" t="s">
        <v>151</v>
      </c>
      <c r="T1212" t="s">
        <v>85</v>
      </c>
      <c r="U1212">
        <v>1.4232863628264239E-2</v>
      </c>
      <c r="V1212" t="s">
        <v>84</v>
      </c>
    </row>
    <row r="1213" spans="19:22" x14ac:dyDescent="0.45">
      <c r="S1213" t="s">
        <v>151</v>
      </c>
      <c r="T1213" t="s">
        <v>86</v>
      </c>
      <c r="U1213">
        <v>2.531991992134526E-2</v>
      </c>
      <c r="V1213" t="s">
        <v>84</v>
      </c>
    </row>
    <row r="1214" spans="19:22" x14ac:dyDescent="0.45">
      <c r="S1214" t="s">
        <v>151</v>
      </c>
      <c r="T1214" t="s">
        <v>177</v>
      </c>
      <c r="U1214">
        <v>5.1505580673775631E-3</v>
      </c>
      <c r="V1214" t="s">
        <v>84</v>
      </c>
    </row>
    <row r="1215" spans="19:22" x14ac:dyDescent="0.45">
      <c r="S1215" t="s">
        <v>151</v>
      </c>
      <c r="T1215" t="s">
        <v>178</v>
      </c>
      <c r="U1215">
        <v>5.2016086007842461E-3</v>
      </c>
      <c r="V1215" t="s">
        <v>84</v>
      </c>
    </row>
    <row r="1216" spans="19:22" x14ac:dyDescent="0.45">
      <c r="S1216" t="s">
        <v>151</v>
      </c>
      <c r="T1216" t="s">
        <v>179</v>
      </c>
      <c r="U1216">
        <v>2.3730688751387286E-2</v>
      </c>
      <c r="V1216" t="s">
        <v>84</v>
      </c>
    </row>
    <row r="1217" spans="19:22" x14ac:dyDescent="0.45">
      <c r="S1217" t="s">
        <v>151</v>
      </c>
      <c r="T1217" t="s">
        <v>87</v>
      </c>
      <c r="U1217">
        <v>1.6247150158790084E-2</v>
      </c>
      <c r="V1217" t="s">
        <v>84</v>
      </c>
    </row>
    <row r="1218" spans="19:22" x14ac:dyDescent="0.45">
      <c r="S1218" t="s">
        <v>151</v>
      </c>
      <c r="T1218" t="s">
        <v>88</v>
      </c>
      <c r="U1218">
        <v>8.135465954668842E-3</v>
      </c>
      <c r="V1218" t="s">
        <v>84</v>
      </c>
    </row>
    <row r="1219" spans="19:22" x14ac:dyDescent="0.45">
      <c r="S1219" t="s">
        <v>151</v>
      </c>
      <c r="T1219" t="s">
        <v>89</v>
      </c>
      <c r="U1219">
        <v>1.6388294825545727E-2</v>
      </c>
      <c r="V1219" t="s">
        <v>84</v>
      </c>
    </row>
    <row r="1220" spans="19:22" x14ac:dyDescent="0.45">
      <c r="S1220" t="s">
        <v>151</v>
      </c>
      <c r="T1220" t="s">
        <v>180</v>
      </c>
      <c r="U1220">
        <v>3.2660451524068471E-3</v>
      </c>
      <c r="V1220" t="s">
        <v>84</v>
      </c>
    </row>
    <row r="1221" spans="19:22" x14ac:dyDescent="0.45">
      <c r="S1221" t="s">
        <v>151</v>
      </c>
      <c r="T1221" t="s">
        <v>181</v>
      </c>
      <c r="U1221">
        <v>3.2641557141727161E-3</v>
      </c>
      <c r="V1221" t="s">
        <v>84</v>
      </c>
    </row>
    <row r="1222" spans="19:22" x14ac:dyDescent="0.45">
      <c r="S1222" t="s">
        <v>151</v>
      </c>
      <c r="T1222" t="s">
        <v>182</v>
      </c>
      <c r="U1222">
        <v>1.518572202125539E-2</v>
      </c>
      <c r="V1222" t="s">
        <v>84</v>
      </c>
    </row>
    <row r="1223" spans="19:22" x14ac:dyDescent="0.45">
      <c r="S1223" t="s">
        <v>151</v>
      </c>
      <c r="T1223" t="s">
        <v>90</v>
      </c>
      <c r="U1223">
        <v>1.2624577668407648E-2</v>
      </c>
      <c r="V1223" t="s">
        <v>84</v>
      </c>
    </row>
    <row r="1224" spans="19:22" x14ac:dyDescent="0.45">
      <c r="S1224" t="s">
        <v>151</v>
      </c>
      <c r="T1224" t="s">
        <v>91</v>
      </c>
      <c r="U1224">
        <v>7.8374099863333137E-3</v>
      </c>
      <c r="V1224" t="s">
        <v>84</v>
      </c>
    </row>
    <row r="1225" spans="19:22" x14ac:dyDescent="0.45">
      <c r="S1225" t="s">
        <v>151</v>
      </c>
      <c r="T1225" t="s">
        <v>92</v>
      </c>
      <c r="U1225">
        <v>1.5068355144189555E-2</v>
      </c>
      <c r="V1225" t="s">
        <v>84</v>
      </c>
    </row>
    <row r="1226" spans="19:22" x14ac:dyDescent="0.45">
      <c r="S1226" t="s">
        <v>151</v>
      </c>
      <c r="T1226" t="s">
        <v>183</v>
      </c>
      <c r="U1226">
        <v>3.094022010039887E-3</v>
      </c>
      <c r="V1226" t="s">
        <v>84</v>
      </c>
    </row>
    <row r="1227" spans="19:22" x14ac:dyDescent="0.45">
      <c r="S1227" t="s">
        <v>151</v>
      </c>
      <c r="T1227" t="s">
        <v>184</v>
      </c>
      <c r="U1227">
        <v>3.3143144433662609E-3</v>
      </c>
      <c r="V1227" t="s">
        <v>84</v>
      </c>
    </row>
    <row r="1228" spans="19:22" x14ac:dyDescent="0.45">
      <c r="S1228" t="s">
        <v>151</v>
      </c>
      <c r="T1228" t="s">
        <v>185</v>
      </c>
      <c r="U1228">
        <v>1.5888081242753923E-2</v>
      </c>
      <c r="V1228" t="s">
        <v>84</v>
      </c>
    </row>
    <row r="1229" spans="19:22" x14ac:dyDescent="0.45">
      <c r="S1229" t="s">
        <v>151</v>
      </c>
      <c r="T1229" t="s">
        <v>93</v>
      </c>
      <c r="U1229">
        <v>5.2783719198087158E-2</v>
      </c>
      <c r="V1229" t="s">
        <v>84</v>
      </c>
    </row>
    <row r="1230" spans="19:22" x14ac:dyDescent="0.45">
      <c r="S1230" t="s">
        <v>151</v>
      </c>
      <c r="T1230" t="s">
        <v>94</v>
      </c>
      <c r="U1230">
        <v>2.6590565178669048E-2</v>
      </c>
      <c r="V1230" t="s">
        <v>84</v>
      </c>
    </row>
    <row r="1231" spans="19:22" x14ac:dyDescent="0.45">
      <c r="S1231" t="s">
        <v>151</v>
      </c>
      <c r="T1231" t="s">
        <v>95</v>
      </c>
      <c r="U1231">
        <v>3.7552980075654545E-2</v>
      </c>
      <c r="V1231" t="s">
        <v>84</v>
      </c>
    </row>
    <row r="1232" spans="19:22" x14ac:dyDescent="0.45">
      <c r="S1232" t="s">
        <v>151</v>
      </c>
      <c r="T1232" t="s">
        <v>186</v>
      </c>
      <c r="U1232">
        <v>6.8807516497120498E-3</v>
      </c>
      <c r="V1232" t="s">
        <v>84</v>
      </c>
    </row>
    <row r="1233" spans="19:22" x14ac:dyDescent="0.45">
      <c r="S1233" t="s">
        <v>151</v>
      </c>
      <c r="T1233" t="s">
        <v>187</v>
      </c>
      <c r="U1233">
        <v>7.006774329154722E-3</v>
      </c>
      <c r="V1233" t="s">
        <v>84</v>
      </c>
    </row>
    <row r="1234" spans="19:22" x14ac:dyDescent="0.45">
      <c r="S1234" t="s">
        <v>151</v>
      </c>
      <c r="T1234" t="s">
        <v>188</v>
      </c>
      <c r="U1234">
        <v>3.6133853800683333E-2</v>
      </c>
      <c r="V1234" t="s">
        <v>84</v>
      </c>
    </row>
    <row r="1235" spans="19:22" x14ac:dyDescent="0.45">
      <c r="S1235" t="s">
        <v>151</v>
      </c>
      <c r="T1235" t="s">
        <v>189</v>
      </c>
      <c r="U1235">
        <v>2.5587776246267905E-2</v>
      </c>
      <c r="V1235" t="s">
        <v>84</v>
      </c>
    </row>
    <row r="1236" spans="19:22" x14ac:dyDescent="0.45">
      <c r="S1236" t="s">
        <v>151</v>
      </c>
      <c r="T1236" t="s">
        <v>190</v>
      </c>
      <c r="U1236">
        <v>1.426876232778561E-2</v>
      </c>
      <c r="V1236" t="s">
        <v>84</v>
      </c>
    </row>
    <row r="1237" spans="19:22" x14ac:dyDescent="0.45">
      <c r="S1237" t="s">
        <v>151</v>
      </c>
      <c r="T1237" t="s">
        <v>191</v>
      </c>
      <c r="U1237">
        <v>2.2534427083970972E-2</v>
      </c>
      <c r="V1237" t="s">
        <v>84</v>
      </c>
    </row>
    <row r="1238" spans="19:22" x14ac:dyDescent="0.45">
      <c r="S1238" t="s">
        <v>151</v>
      </c>
      <c r="T1238" t="s">
        <v>192</v>
      </c>
      <c r="U1238">
        <v>3.9641345930332703E-3</v>
      </c>
      <c r="V1238" t="s">
        <v>84</v>
      </c>
    </row>
    <row r="1239" spans="19:22" x14ac:dyDescent="0.45">
      <c r="S1239" t="s">
        <v>151</v>
      </c>
      <c r="T1239" t="s">
        <v>193</v>
      </c>
      <c r="U1239">
        <v>3.998113487977583E-3</v>
      </c>
      <c r="V1239" t="s">
        <v>84</v>
      </c>
    </row>
    <row r="1240" spans="19:22" x14ac:dyDescent="0.45">
      <c r="S1240" t="s">
        <v>151</v>
      </c>
      <c r="T1240" t="s">
        <v>194</v>
      </c>
      <c r="U1240">
        <v>1.946949602285836E-2</v>
      </c>
      <c r="V1240" t="s">
        <v>84</v>
      </c>
    </row>
    <row r="1241" spans="19:22" x14ac:dyDescent="0.45">
      <c r="S1241" t="s">
        <v>151</v>
      </c>
      <c r="T1241" t="s">
        <v>195</v>
      </c>
      <c r="U1241">
        <v>8.2274854976525147E-2</v>
      </c>
      <c r="V1241" t="s">
        <v>84</v>
      </c>
    </row>
    <row r="1242" spans="19:22" x14ac:dyDescent="0.45">
      <c r="S1242" t="s">
        <v>151</v>
      </c>
      <c r="T1242" t="s">
        <v>196</v>
      </c>
      <c r="U1242">
        <v>3.9749641376974218E-2</v>
      </c>
      <c r="V1242" t="s">
        <v>84</v>
      </c>
    </row>
    <row r="1243" spans="19:22" x14ac:dyDescent="0.45">
      <c r="S1243" t="s">
        <v>151</v>
      </c>
      <c r="T1243" t="s">
        <v>197</v>
      </c>
      <c r="U1243">
        <v>6.1210788476002191E-2</v>
      </c>
      <c r="V1243" t="s">
        <v>84</v>
      </c>
    </row>
    <row r="1244" spans="19:22" x14ac:dyDescent="0.45">
      <c r="S1244" t="s">
        <v>151</v>
      </c>
      <c r="T1244" t="s">
        <v>198</v>
      </c>
      <c r="U1244">
        <v>1.1448432484874435E-2</v>
      </c>
      <c r="V1244" t="s">
        <v>84</v>
      </c>
    </row>
    <row r="1245" spans="19:22" x14ac:dyDescent="0.45">
      <c r="S1245" t="s">
        <v>151</v>
      </c>
      <c r="T1245" t="s">
        <v>199</v>
      </c>
      <c r="U1245">
        <v>1.1891689543328098E-2</v>
      </c>
      <c r="V1245" t="s">
        <v>84</v>
      </c>
    </row>
    <row r="1246" spans="19:22" x14ac:dyDescent="0.45">
      <c r="S1246" t="s">
        <v>151</v>
      </c>
      <c r="T1246" t="s">
        <v>200</v>
      </c>
      <c r="U1246">
        <v>6.167506767842032E-2</v>
      </c>
      <c r="V1246" t="s">
        <v>84</v>
      </c>
    </row>
    <row r="1247" spans="19:22" x14ac:dyDescent="0.45">
      <c r="S1247" t="s">
        <v>151</v>
      </c>
      <c r="T1247" t="s">
        <v>201</v>
      </c>
      <c r="U1247">
        <v>3.1173364333589741E-2</v>
      </c>
      <c r="V1247" t="s">
        <v>84</v>
      </c>
    </row>
    <row r="1248" spans="19:22" x14ac:dyDescent="0.45">
      <c r="S1248" t="s">
        <v>151</v>
      </c>
      <c r="T1248" t="s">
        <v>202</v>
      </c>
      <c r="U1248">
        <v>1.721291726661707E-2</v>
      </c>
      <c r="V1248" t="s">
        <v>84</v>
      </c>
    </row>
    <row r="1249" spans="19:22" x14ac:dyDescent="0.45">
      <c r="S1249" t="s">
        <v>151</v>
      </c>
      <c r="T1249" t="s">
        <v>203</v>
      </c>
      <c r="U1249">
        <v>2.5793729462523743E-2</v>
      </c>
      <c r="V1249" t="s">
        <v>84</v>
      </c>
    </row>
    <row r="1250" spans="19:22" x14ac:dyDescent="0.45">
      <c r="S1250" t="s">
        <v>151</v>
      </c>
      <c r="T1250" t="s">
        <v>204</v>
      </c>
      <c r="U1250">
        <v>4.6521026844416301E-3</v>
      </c>
      <c r="V1250" t="s">
        <v>84</v>
      </c>
    </row>
    <row r="1251" spans="19:22" x14ac:dyDescent="0.45">
      <c r="S1251" t="s">
        <v>151</v>
      </c>
      <c r="T1251" t="s">
        <v>205</v>
      </c>
      <c r="U1251">
        <v>4.7419320489958177E-3</v>
      </c>
      <c r="V1251" t="s">
        <v>84</v>
      </c>
    </row>
    <row r="1252" spans="19:22" x14ac:dyDescent="0.45">
      <c r="S1252" t="s">
        <v>151</v>
      </c>
      <c r="T1252" t="s">
        <v>206</v>
      </c>
      <c r="U1252">
        <v>2.6034677595789462E-2</v>
      </c>
      <c r="V1252" t="s">
        <v>84</v>
      </c>
    </row>
    <row r="1253" spans="19:22" x14ac:dyDescent="0.45">
      <c r="S1253" t="s">
        <v>151</v>
      </c>
      <c r="T1253" t="s">
        <v>207</v>
      </c>
      <c r="U1253">
        <v>4.0710779445219267E-2</v>
      </c>
      <c r="V1253" t="s">
        <v>84</v>
      </c>
    </row>
    <row r="1254" spans="19:22" x14ac:dyDescent="0.45">
      <c r="S1254" t="s">
        <v>151</v>
      </c>
      <c r="T1254" t="s">
        <v>208</v>
      </c>
      <c r="U1254">
        <v>1.984614389572438E-2</v>
      </c>
      <c r="V1254" t="s">
        <v>84</v>
      </c>
    </row>
    <row r="1255" spans="19:22" x14ac:dyDescent="0.45">
      <c r="S1255" t="s">
        <v>151</v>
      </c>
      <c r="T1255" t="s">
        <v>209</v>
      </c>
      <c r="U1255">
        <v>3.5546852578224014E-2</v>
      </c>
      <c r="V1255" t="s">
        <v>84</v>
      </c>
    </row>
    <row r="1256" spans="19:22" x14ac:dyDescent="0.45">
      <c r="S1256" t="s">
        <v>151</v>
      </c>
      <c r="T1256" t="s">
        <v>210</v>
      </c>
      <c r="U1256">
        <v>7.0931115870888212E-3</v>
      </c>
      <c r="V1256" t="s">
        <v>84</v>
      </c>
    </row>
    <row r="1257" spans="19:22" x14ac:dyDescent="0.45">
      <c r="S1257" t="s">
        <v>151</v>
      </c>
      <c r="T1257" t="s">
        <v>211</v>
      </c>
      <c r="U1257">
        <v>7.1250234959413031E-3</v>
      </c>
      <c r="V1257" t="s">
        <v>84</v>
      </c>
    </row>
    <row r="1258" spans="19:22" x14ac:dyDescent="0.45">
      <c r="S1258" t="s">
        <v>151</v>
      </c>
      <c r="T1258" t="s">
        <v>212</v>
      </c>
      <c r="U1258">
        <v>3.4202749768021151E-2</v>
      </c>
      <c r="V1258" t="s">
        <v>84</v>
      </c>
    </row>
    <row r="1259" spans="19:22" x14ac:dyDescent="0.45">
      <c r="S1259" t="s">
        <v>152</v>
      </c>
      <c r="T1259" t="s">
        <v>83</v>
      </c>
      <c r="U1259">
        <v>2.5544284166427119E-2</v>
      </c>
      <c r="V1259" t="s">
        <v>84</v>
      </c>
    </row>
    <row r="1260" spans="19:22" x14ac:dyDescent="0.45">
      <c r="S1260" t="s">
        <v>152</v>
      </c>
      <c r="T1260" t="s">
        <v>85</v>
      </c>
      <c r="U1260">
        <v>1.3622610103050185E-2</v>
      </c>
      <c r="V1260" t="s">
        <v>84</v>
      </c>
    </row>
    <row r="1261" spans="19:22" x14ac:dyDescent="0.45">
      <c r="S1261" t="s">
        <v>152</v>
      </c>
      <c r="T1261" t="s">
        <v>86</v>
      </c>
      <c r="U1261">
        <v>2.4243886890902577E-2</v>
      </c>
      <c r="V1261" t="s">
        <v>84</v>
      </c>
    </row>
    <row r="1262" spans="19:22" x14ac:dyDescent="0.45">
      <c r="S1262" t="s">
        <v>152</v>
      </c>
      <c r="T1262" t="s">
        <v>177</v>
      </c>
      <c r="U1262">
        <v>4.0443074539002859E-3</v>
      </c>
      <c r="V1262" t="s">
        <v>84</v>
      </c>
    </row>
    <row r="1263" spans="19:22" x14ac:dyDescent="0.45">
      <c r="S1263" t="s">
        <v>152</v>
      </c>
      <c r="T1263" t="s">
        <v>178</v>
      </c>
      <c r="U1263">
        <v>3.9325688670072377E-3</v>
      </c>
      <c r="V1263" t="s">
        <v>84</v>
      </c>
    </row>
    <row r="1264" spans="19:22" x14ac:dyDescent="0.45">
      <c r="S1264" t="s">
        <v>152</v>
      </c>
      <c r="T1264" t="s">
        <v>179</v>
      </c>
      <c r="U1264">
        <v>1.8439464612514937E-2</v>
      </c>
      <c r="V1264" t="s">
        <v>84</v>
      </c>
    </row>
    <row r="1265" spans="19:22" x14ac:dyDescent="0.45">
      <c r="S1265" t="s">
        <v>152</v>
      </c>
      <c r="T1265" t="s">
        <v>87</v>
      </c>
      <c r="U1265">
        <v>1.7401877689071733E-2</v>
      </c>
      <c r="V1265" t="s">
        <v>84</v>
      </c>
    </row>
    <row r="1266" spans="19:22" x14ac:dyDescent="0.45">
      <c r="S1266" t="s">
        <v>152</v>
      </c>
      <c r="T1266" t="s">
        <v>88</v>
      </c>
      <c r="U1266">
        <v>9.9417664431613786E-3</v>
      </c>
      <c r="V1266" t="s">
        <v>84</v>
      </c>
    </row>
    <row r="1267" spans="19:22" x14ac:dyDescent="0.45">
      <c r="S1267" t="s">
        <v>152</v>
      </c>
      <c r="T1267" t="s">
        <v>89</v>
      </c>
      <c r="U1267">
        <v>1.7342472105542676E-2</v>
      </c>
      <c r="V1267" t="s">
        <v>84</v>
      </c>
    </row>
    <row r="1268" spans="19:22" x14ac:dyDescent="0.45">
      <c r="S1268" t="s">
        <v>152</v>
      </c>
      <c r="T1268" t="s">
        <v>180</v>
      </c>
      <c r="U1268">
        <v>2.956491237273979E-3</v>
      </c>
      <c r="V1268" t="s">
        <v>84</v>
      </c>
    </row>
    <row r="1269" spans="19:22" x14ac:dyDescent="0.45">
      <c r="S1269" t="s">
        <v>152</v>
      </c>
      <c r="T1269" t="s">
        <v>181</v>
      </c>
      <c r="U1269">
        <v>2.9074674881909342E-3</v>
      </c>
      <c r="V1269" t="s">
        <v>84</v>
      </c>
    </row>
    <row r="1270" spans="19:22" x14ac:dyDescent="0.45">
      <c r="S1270" t="s">
        <v>152</v>
      </c>
      <c r="T1270" t="s">
        <v>182</v>
      </c>
      <c r="U1270">
        <v>1.3340731945957002E-2</v>
      </c>
      <c r="V1270" t="s">
        <v>84</v>
      </c>
    </row>
    <row r="1271" spans="19:22" x14ac:dyDescent="0.45">
      <c r="S1271" t="s">
        <v>152</v>
      </c>
      <c r="T1271" t="s">
        <v>90</v>
      </c>
      <c r="U1271">
        <v>2.325190362172206E-2</v>
      </c>
      <c r="V1271" t="s">
        <v>84</v>
      </c>
    </row>
    <row r="1272" spans="19:22" x14ac:dyDescent="0.45">
      <c r="S1272" t="s">
        <v>152</v>
      </c>
      <c r="T1272" t="s">
        <v>91</v>
      </c>
      <c r="U1272">
        <v>1.1484430482183706E-2</v>
      </c>
      <c r="V1272" t="s">
        <v>84</v>
      </c>
    </row>
    <row r="1273" spans="19:22" x14ac:dyDescent="0.45">
      <c r="S1273" t="s">
        <v>152</v>
      </c>
      <c r="T1273" t="s">
        <v>92</v>
      </c>
      <c r="U1273">
        <v>1.8669713460149923E-2</v>
      </c>
      <c r="V1273" t="s">
        <v>84</v>
      </c>
    </row>
    <row r="1274" spans="19:22" x14ac:dyDescent="0.45">
      <c r="S1274" t="s">
        <v>152</v>
      </c>
      <c r="T1274" t="s">
        <v>183</v>
      </c>
      <c r="U1274">
        <v>3.3284392242531944E-3</v>
      </c>
      <c r="V1274" t="s">
        <v>84</v>
      </c>
    </row>
    <row r="1275" spans="19:22" x14ac:dyDescent="0.45">
      <c r="S1275" t="s">
        <v>152</v>
      </c>
      <c r="T1275" t="s">
        <v>184</v>
      </c>
      <c r="U1275">
        <v>3.3875678046708731E-3</v>
      </c>
      <c r="V1275" t="s">
        <v>84</v>
      </c>
    </row>
    <row r="1276" spans="19:22" x14ac:dyDescent="0.45">
      <c r="S1276" t="s">
        <v>152</v>
      </c>
      <c r="T1276" t="s">
        <v>185</v>
      </c>
      <c r="U1276">
        <v>1.7252267071134576E-2</v>
      </c>
      <c r="V1276" t="s">
        <v>84</v>
      </c>
    </row>
    <row r="1277" spans="19:22" x14ac:dyDescent="0.45">
      <c r="S1277" t="s">
        <v>152</v>
      </c>
      <c r="T1277" t="s">
        <v>93</v>
      </c>
      <c r="U1277">
        <v>4.7255648297344077E-2</v>
      </c>
      <c r="V1277" t="s">
        <v>84</v>
      </c>
    </row>
    <row r="1278" spans="19:22" x14ac:dyDescent="0.45">
      <c r="S1278" t="s">
        <v>152</v>
      </c>
      <c r="T1278" t="s">
        <v>94</v>
      </c>
      <c r="U1278">
        <v>2.5433908972427699E-2</v>
      </c>
      <c r="V1278" t="s">
        <v>84</v>
      </c>
    </row>
    <row r="1279" spans="19:22" x14ac:dyDescent="0.45">
      <c r="S1279" t="s">
        <v>152</v>
      </c>
      <c r="T1279" t="s">
        <v>95</v>
      </c>
      <c r="U1279">
        <v>4.2105908191358357E-2</v>
      </c>
      <c r="V1279" t="s">
        <v>84</v>
      </c>
    </row>
    <row r="1280" spans="19:22" x14ac:dyDescent="0.45">
      <c r="S1280" t="s">
        <v>152</v>
      </c>
      <c r="T1280" t="s">
        <v>186</v>
      </c>
      <c r="U1280">
        <v>6.9473131213359483E-3</v>
      </c>
      <c r="V1280" t="s">
        <v>84</v>
      </c>
    </row>
    <row r="1281" spans="19:22" x14ac:dyDescent="0.45">
      <c r="S1281" t="s">
        <v>152</v>
      </c>
      <c r="T1281" t="s">
        <v>187</v>
      </c>
      <c r="U1281">
        <v>6.7394399697999798E-3</v>
      </c>
      <c r="V1281" t="s">
        <v>84</v>
      </c>
    </row>
    <row r="1282" spans="19:22" x14ac:dyDescent="0.45">
      <c r="S1282" t="s">
        <v>152</v>
      </c>
      <c r="T1282" t="s">
        <v>188</v>
      </c>
      <c r="U1282">
        <v>3.2256683290557087E-2</v>
      </c>
      <c r="V1282" t="s">
        <v>84</v>
      </c>
    </row>
    <row r="1283" spans="19:22" x14ac:dyDescent="0.45">
      <c r="S1283" t="s">
        <v>152</v>
      </c>
      <c r="T1283" t="s">
        <v>189</v>
      </c>
      <c r="U1283">
        <v>2.4341365072714085E-2</v>
      </c>
      <c r="V1283" t="s">
        <v>84</v>
      </c>
    </row>
    <row r="1284" spans="19:22" x14ac:dyDescent="0.45">
      <c r="S1284" t="s">
        <v>152</v>
      </c>
      <c r="T1284" t="s">
        <v>190</v>
      </c>
      <c r="U1284">
        <v>1.4270110249965081E-2</v>
      </c>
      <c r="V1284" t="s">
        <v>84</v>
      </c>
    </row>
    <row r="1285" spans="19:22" x14ac:dyDescent="0.45">
      <c r="S1285" t="s">
        <v>152</v>
      </c>
      <c r="T1285" t="s">
        <v>191</v>
      </c>
      <c r="U1285">
        <v>2.2554535635991066E-2</v>
      </c>
      <c r="V1285" t="s">
        <v>84</v>
      </c>
    </row>
    <row r="1286" spans="19:22" x14ac:dyDescent="0.45">
      <c r="S1286" t="s">
        <v>152</v>
      </c>
      <c r="T1286" t="s">
        <v>192</v>
      </c>
      <c r="U1286">
        <v>3.5725209969454342E-3</v>
      </c>
      <c r="V1286" t="s">
        <v>84</v>
      </c>
    </row>
    <row r="1287" spans="19:22" x14ac:dyDescent="0.45">
      <c r="S1287" t="s">
        <v>152</v>
      </c>
      <c r="T1287" t="s">
        <v>193</v>
      </c>
      <c r="U1287">
        <v>3.4785618956399067E-3</v>
      </c>
      <c r="V1287" t="s">
        <v>84</v>
      </c>
    </row>
    <row r="1288" spans="19:22" x14ac:dyDescent="0.45">
      <c r="S1288" t="s">
        <v>152</v>
      </c>
      <c r="T1288" t="s">
        <v>194</v>
      </c>
      <c r="U1288">
        <v>1.6401871955115423E-2</v>
      </c>
      <c r="V1288" t="s">
        <v>84</v>
      </c>
    </row>
    <row r="1289" spans="19:22" x14ac:dyDescent="0.45">
      <c r="S1289" t="s">
        <v>152</v>
      </c>
      <c r="T1289" t="s">
        <v>195</v>
      </c>
      <c r="U1289">
        <v>7.8766208390937481E-2</v>
      </c>
      <c r="V1289" t="s">
        <v>84</v>
      </c>
    </row>
    <row r="1290" spans="19:22" x14ac:dyDescent="0.45">
      <c r="S1290" t="s">
        <v>152</v>
      </c>
      <c r="T1290" t="s">
        <v>196</v>
      </c>
      <c r="U1290">
        <v>4.195333726803098E-2</v>
      </c>
      <c r="V1290" t="s">
        <v>84</v>
      </c>
    </row>
    <row r="1291" spans="19:22" x14ac:dyDescent="0.45">
      <c r="S1291" t="s">
        <v>152</v>
      </c>
      <c r="T1291" t="s">
        <v>197</v>
      </c>
      <c r="U1291">
        <v>6.8894532399261202E-2</v>
      </c>
      <c r="V1291" t="s">
        <v>84</v>
      </c>
    </row>
    <row r="1292" spans="19:22" x14ac:dyDescent="0.45">
      <c r="S1292" t="s">
        <v>152</v>
      </c>
      <c r="T1292" t="s">
        <v>198</v>
      </c>
      <c r="U1292">
        <v>1.1506959845928555E-2</v>
      </c>
      <c r="V1292" t="s">
        <v>84</v>
      </c>
    </row>
    <row r="1293" spans="19:22" x14ac:dyDescent="0.45">
      <c r="S1293" t="s">
        <v>152</v>
      </c>
      <c r="T1293" t="s">
        <v>199</v>
      </c>
      <c r="U1293">
        <v>1.1387307212917679E-2</v>
      </c>
      <c r="V1293" t="s">
        <v>84</v>
      </c>
    </row>
    <row r="1294" spans="19:22" x14ac:dyDescent="0.45">
      <c r="S1294" t="s">
        <v>152</v>
      </c>
      <c r="T1294" t="s">
        <v>200</v>
      </c>
      <c r="U1294">
        <v>5.6926325969376378E-2</v>
      </c>
      <c r="V1294" t="s">
        <v>84</v>
      </c>
    </row>
    <row r="1295" spans="19:22" x14ac:dyDescent="0.45">
      <c r="S1295" t="s">
        <v>152</v>
      </c>
      <c r="T1295" t="s">
        <v>201</v>
      </c>
      <c r="U1295">
        <v>3.0226195985660554E-2</v>
      </c>
      <c r="V1295" t="s">
        <v>84</v>
      </c>
    </row>
    <row r="1296" spans="19:22" x14ac:dyDescent="0.45">
      <c r="S1296" t="s">
        <v>152</v>
      </c>
      <c r="T1296" t="s">
        <v>202</v>
      </c>
      <c r="U1296">
        <v>1.8810810327122354E-2</v>
      </c>
      <c r="V1296" t="s">
        <v>84</v>
      </c>
    </row>
    <row r="1297" spans="19:22" x14ac:dyDescent="0.45">
      <c r="S1297" t="s">
        <v>152</v>
      </c>
      <c r="T1297" t="s">
        <v>203</v>
      </c>
      <c r="U1297">
        <v>2.8904148027289443E-2</v>
      </c>
      <c r="V1297" t="s">
        <v>84</v>
      </c>
    </row>
    <row r="1298" spans="19:22" x14ac:dyDescent="0.45">
      <c r="S1298" t="s">
        <v>152</v>
      </c>
      <c r="T1298" t="s">
        <v>204</v>
      </c>
      <c r="U1298">
        <v>4.6713245943815805E-3</v>
      </c>
      <c r="V1298" t="s">
        <v>84</v>
      </c>
    </row>
    <row r="1299" spans="19:22" x14ac:dyDescent="0.45">
      <c r="S1299" t="s">
        <v>152</v>
      </c>
      <c r="T1299" t="s">
        <v>205</v>
      </c>
      <c r="U1299">
        <v>4.4028824214508537E-3</v>
      </c>
      <c r="V1299" t="s">
        <v>84</v>
      </c>
    </row>
    <row r="1300" spans="19:22" x14ac:dyDescent="0.45">
      <c r="S1300" t="s">
        <v>152</v>
      </c>
      <c r="T1300" t="s">
        <v>206</v>
      </c>
      <c r="U1300">
        <v>1.9357789943601596E-2</v>
      </c>
      <c r="V1300" t="s">
        <v>84</v>
      </c>
    </row>
    <row r="1301" spans="19:22" x14ac:dyDescent="0.45">
      <c r="S1301" t="s">
        <v>152</v>
      </c>
      <c r="T1301" t="s">
        <v>207</v>
      </c>
      <c r="U1301">
        <v>3.9194261768879003E-2</v>
      </c>
      <c r="V1301" t="s">
        <v>84</v>
      </c>
    </row>
    <row r="1302" spans="19:22" x14ac:dyDescent="0.45">
      <c r="S1302" t="s">
        <v>152</v>
      </c>
      <c r="T1302" t="s">
        <v>208</v>
      </c>
      <c r="U1302">
        <v>2.3154401012330988E-2</v>
      </c>
      <c r="V1302" t="s">
        <v>84</v>
      </c>
    </row>
    <row r="1303" spans="19:22" x14ac:dyDescent="0.45">
      <c r="S1303" t="s">
        <v>152</v>
      </c>
      <c r="T1303" t="s">
        <v>209</v>
      </c>
      <c r="U1303">
        <v>4.1390124299569744E-2</v>
      </c>
      <c r="V1303" t="s">
        <v>84</v>
      </c>
    </row>
    <row r="1304" spans="19:22" x14ac:dyDescent="0.45">
      <c r="S1304" t="s">
        <v>152</v>
      </c>
      <c r="T1304" t="s">
        <v>210</v>
      </c>
      <c r="U1304">
        <v>6.892460058987044E-3</v>
      </c>
      <c r="V1304" t="s">
        <v>84</v>
      </c>
    </row>
    <row r="1305" spans="19:22" x14ac:dyDescent="0.45">
      <c r="S1305" t="s">
        <v>152</v>
      </c>
      <c r="T1305" t="s">
        <v>211</v>
      </c>
      <c r="U1305">
        <v>6.6423688801543618E-3</v>
      </c>
      <c r="V1305" t="s">
        <v>84</v>
      </c>
    </row>
    <row r="1306" spans="19:22" x14ac:dyDescent="0.45">
      <c r="S1306" t="s">
        <v>152</v>
      </c>
      <c r="T1306" t="s">
        <v>212</v>
      </c>
      <c r="U1306">
        <v>3.046844327780919E-2</v>
      </c>
      <c r="V1306" t="s">
        <v>84</v>
      </c>
    </row>
    <row r="1307" spans="19:22" x14ac:dyDescent="0.45">
      <c r="S1307" t="s">
        <v>153</v>
      </c>
      <c r="T1307" t="s">
        <v>83</v>
      </c>
      <c r="U1307">
        <v>2.4226014394910976E-2</v>
      </c>
      <c r="V1307" t="s">
        <v>84</v>
      </c>
    </row>
    <row r="1308" spans="19:22" x14ac:dyDescent="0.45">
      <c r="S1308" t="s">
        <v>153</v>
      </c>
      <c r="T1308" t="s">
        <v>85</v>
      </c>
      <c r="U1308">
        <v>1.3234136556708274E-2</v>
      </c>
      <c r="V1308" t="s">
        <v>84</v>
      </c>
    </row>
    <row r="1309" spans="19:22" x14ac:dyDescent="0.45">
      <c r="S1309" t="s">
        <v>153</v>
      </c>
      <c r="T1309" t="s">
        <v>86</v>
      </c>
      <c r="U1309">
        <v>2.1959460628016809E-2</v>
      </c>
      <c r="V1309" t="s">
        <v>84</v>
      </c>
    </row>
    <row r="1310" spans="19:22" x14ac:dyDescent="0.45">
      <c r="S1310" t="s">
        <v>153</v>
      </c>
      <c r="T1310" t="s">
        <v>177</v>
      </c>
      <c r="U1310">
        <v>3.8800846514455371E-3</v>
      </c>
      <c r="V1310" t="s">
        <v>84</v>
      </c>
    </row>
    <row r="1311" spans="19:22" x14ac:dyDescent="0.45">
      <c r="S1311" t="s">
        <v>153</v>
      </c>
      <c r="T1311" t="s">
        <v>178</v>
      </c>
      <c r="U1311">
        <v>3.9146071223843271E-3</v>
      </c>
      <c r="V1311" t="s">
        <v>84</v>
      </c>
    </row>
    <row r="1312" spans="19:22" x14ac:dyDescent="0.45">
      <c r="S1312" t="s">
        <v>153</v>
      </c>
      <c r="T1312" t="s">
        <v>179</v>
      </c>
      <c r="U1312">
        <v>1.8711335782279456E-2</v>
      </c>
      <c r="V1312" t="s">
        <v>84</v>
      </c>
    </row>
    <row r="1313" spans="19:22" x14ac:dyDescent="0.45">
      <c r="S1313" t="s">
        <v>153</v>
      </c>
      <c r="T1313" t="s">
        <v>87</v>
      </c>
      <c r="U1313">
        <v>1.5687929486143195E-2</v>
      </c>
      <c r="V1313" t="s">
        <v>84</v>
      </c>
    </row>
    <row r="1314" spans="19:22" x14ac:dyDescent="0.45">
      <c r="S1314" t="s">
        <v>153</v>
      </c>
      <c r="T1314" t="s">
        <v>88</v>
      </c>
      <c r="U1314">
        <v>8.9410035893877048E-3</v>
      </c>
      <c r="V1314" t="s">
        <v>84</v>
      </c>
    </row>
    <row r="1315" spans="19:22" x14ac:dyDescent="0.45">
      <c r="S1315" t="s">
        <v>153</v>
      </c>
      <c r="T1315" t="s">
        <v>89</v>
      </c>
      <c r="U1315">
        <v>1.5961360010187265E-2</v>
      </c>
      <c r="V1315" t="s">
        <v>84</v>
      </c>
    </row>
    <row r="1316" spans="19:22" x14ac:dyDescent="0.45">
      <c r="S1316" t="s">
        <v>153</v>
      </c>
      <c r="T1316" t="s">
        <v>180</v>
      </c>
      <c r="U1316">
        <v>2.8622461730338643E-3</v>
      </c>
      <c r="V1316" t="s">
        <v>84</v>
      </c>
    </row>
    <row r="1317" spans="19:22" x14ac:dyDescent="0.45">
      <c r="S1317" t="s">
        <v>153</v>
      </c>
      <c r="T1317" t="s">
        <v>181</v>
      </c>
      <c r="U1317">
        <v>2.7146395960228071E-3</v>
      </c>
      <c r="V1317" t="s">
        <v>84</v>
      </c>
    </row>
    <row r="1318" spans="19:22" x14ac:dyDescent="0.45">
      <c r="S1318" t="s">
        <v>153</v>
      </c>
      <c r="T1318" t="s">
        <v>182</v>
      </c>
      <c r="U1318">
        <v>1.2347302036750902E-2</v>
      </c>
      <c r="V1318" t="s">
        <v>84</v>
      </c>
    </row>
    <row r="1319" spans="19:22" x14ac:dyDescent="0.45">
      <c r="S1319" t="s">
        <v>153</v>
      </c>
      <c r="T1319" t="s">
        <v>90</v>
      </c>
      <c r="U1319">
        <v>1.577144333178512E-2</v>
      </c>
      <c r="V1319" t="s">
        <v>84</v>
      </c>
    </row>
    <row r="1320" spans="19:22" x14ac:dyDescent="0.45">
      <c r="S1320" t="s">
        <v>153</v>
      </c>
      <c r="T1320" t="s">
        <v>91</v>
      </c>
      <c r="U1320">
        <v>9.2096657151632053E-3</v>
      </c>
      <c r="V1320" t="s">
        <v>84</v>
      </c>
    </row>
    <row r="1321" spans="19:22" x14ac:dyDescent="0.45">
      <c r="S1321" t="s">
        <v>153</v>
      </c>
      <c r="T1321" t="s">
        <v>92</v>
      </c>
      <c r="U1321">
        <v>1.7064649623416101E-2</v>
      </c>
      <c r="V1321" t="s">
        <v>84</v>
      </c>
    </row>
    <row r="1322" spans="19:22" x14ac:dyDescent="0.45">
      <c r="S1322" t="s">
        <v>153</v>
      </c>
      <c r="T1322" t="s">
        <v>183</v>
      </c>
      <c r="U1322">
        <v>3.1501113143426649E-3</v>
      </c>
      <c r="V1322" t="s">
        <v>84</v>
      </c>
    </row>
    <row r="1323" spans="19:22" x14ac:dyDescent="0.45">
      <c r="S1323" t="s">
        <v>153</v>
      </c>
      <c r="T1323" t="s">
        <v>184</v>
      </c>
      <c r="U1323">
        <v>3.2251107039337561E-3</v>
      </c>
      <c r="V1323" t="s">
        <v>84</v>
      </c>
    </row>
    <row r="1324" spans="19:22" x14ac:dyDescent="0.45">
      <c r="S1324" t="s">
        <v>153</v>
      </c>
      <c r="T1324" t="s">
        <v>185</v>
      </c>
      <c r="U1324">
        <v>1.5259151244441353E-2</v>
      </c>
      <c r="V1324" t="s">
        <v>84</v>
      </c>
    </row>
    <row r="1325" spans="19:22" x14ac:dyDescent="0.45">
      <c r="S1325" t="s">
        <v>153</v>
      </c>
      <c r="T1325" t="s">
        <v>93</v>
      </c>
      <c r="U1325">
        <v>5.263110836892379E-2</v>
      </c>
      <c r="V1325" t="s">
        <v>84</v>
      </c>
    </row>
    <row r="1326" spans="19:22" x14ac:dyDescent="0.45">
      <c r="S1326" t="s">
        <v>153</v>
      </c>
      <c r="T1326" t="s">
        <v>94</v>
      </c>
      <c r="U1326">
        <v>2.9487512307287446E-2</v>
      </c>
      <c r="V1326" t="s">
        <v>84</v>
      </c>
    </row>
    <row r="1327" spans="19:22" x14ac:dyDescent="0.45">
      <c r="S1327" t="s">
        <v>153</v>
      </c>
      <c r="T1327" t="s">
        <v>95</v>
      </c>
      <c r="U1327">
        <v>4.4656507653960439E-2</v>
      </c>
      <c r="V1327" t="s">
        <v>84</v>
      </c>
    </row>
    <row r="1328" spans="19:22" x14ac:dyDescent="0.45">
      <c r="S1328" t="s">
        <v>153</v>
      </c>
      <c r="T1328" t="s">
        <v>186</v>
      </c>
      <c r="U1328">
        <v>7.5440017914388084E-3</v>
      </c>
      <c r="V1328" t="s">
        <v>84</v>
      </c>
    </row>
    <row r="1329" spans="19:22" x14ac:dyDescent="0.45">
      <c r="S1329" t="s">
        <v>153</v>
      </c>
      <c r="T1329" t="s">
        <v>187</v>
      </c>
      <c r="U1329">
        <v>7.6576468131310926E-3</v>
      </c>
      <c r="V1329" t="s">
        <v>84</v>
      </c>
    </row>
    <row r="1330" spans="19:22" x14ac:dyDescent="0.45">
      <c r="S1330" t="s">
        <v>153</v>
      </c>
      <c r="T1330" t="s">
        <v>188</v>
      </c>
      <c r="U1330">
        <v>3.9213002417985088E-2</v>
      </c>
      <c r="V1330" t="s">
        <v>84</v>
      </c>
    </row>
    <row r="1331" spans="19:22" x14ac:dyDescent="0.45">
      <c r="S1331" t="s">
        <v>153</v>
      </c>
      <c r="T1331" t="s">
        <v>189</v>
      </c>
      <c r="U1331">
        <v>2.5235010223122037E-2</v>
      </c>
      <c r="V1331" t="s">
        <v>84</v>
      </c>
    </row>
    <row r="1332" spans="19:22" x14ac:dyDescent="0.45">
      <c r="S1332" t="s">
        <v>153</v>
      </c>
      <c r="T1332" t="s">
        <v>190</v>
      </c>
      <c r="U1332">
        <v>1.4588224969392142E-2</v>
      </c>
      <c r="V1332" t="s">
        <v>84</v>
      </c>
    </row>
    <row r="1333" spans="19:22" x14ac:dyDescent="0.45">
      <c r="S1333" t="s">
        <v>153</v>
      </c>
      <c r="T1333" t="s">
        <v>191</v>
      </c>
      <c r="U1333">
        <v>2.2506139235191309E-2</v>
      </c>
      <c r="V1333" t="s">
        <v>84</v>
      </c>
    </row>
    <row r="1334" spans="19:22" x14ac:dyDescent="0.45">
      <c r="S1334" t="s">
        <v>153</v>
      </c>
      <c r="T1334" t="s">
        <v>192</v>
      </c>
      <c r="U1334">
        <v>3.7529664600985981E-3</v>
      </c>
      <c r="V1334" t="s">
        <v>84</v>
      </c>
    </row>
    <row r="1335" spans="19:22" x14ac:dyDescent="0.45">
      <c r="S1335" t="s">
        <v>153</v>
      </c>
      <c r="T1335" t="s">
        <v>193</v>
      </c>
      <c r="U1335">
        <v>3.7904413563442374E-3</v>
      </c>
      <c r="V1335" t="s">
        <v>84</v>
      </c>
    </row>
    <row r="1336" spans="19:22" x14ac:dyDescent="0.45">
      <c r="S1336" t="s">
        <v>153</v>
      </c>
      <c r="T1336" t="s">
        <v>194</v>
      </c>
      <c r="U1336">
        <v>1.8858187693232168E-2</v>
      </c>
      <c r="V1336" t="s">
        <v>84</v>
      </c>
    </row>
    <row r="1337" spans="19:22" x14ac:dyDescent="0.45">
      <c r="S1337" t="s">
        <v>153</v>
      </c>
      <c r="T1337" t="s">
        <v>195</v>
      </c>
      <c r="U1337">
        <v>7.4724737059402427E-2</v>
      </c>
      <c r="V1337" t="s">
        <v>84</v>
      </c>
    </row>
    <row r="1338" spans="19:22" x14ac:dyDescent="0.45">
      <c r="S1338" t="s">
        <v>153</v>
      </c>
      <c r="T1338" t="s">
        <v>196</v>
      </c>
      <c r="U1338">
        <v>4.050331549745867E-2</v>
      </c>
      <c r="V1338" t="s">
        <v>84</v>
      </c>
    </row>
    <row r="1339" spans="19:22" x14ac:dyDescent="0.45">
      <c r="S1339" t="s">
        <v>153</v>
      </c>
      <c r="T1339" t="s">
        <v>197</v>
      </c>
      <c r="U1339">
        <v>6.6875825084051793E-2</v>
      </c>
      <c r="V1339" t="s">
        <v>84</v>
      </c>
    </row>
    <row r="1340" spans="19:22" x14ac:dyDescent="0.45">
      <c r="S1340" t="s">
        <v>153</v>
      </c>
      <c r="T1340" t="s">
        <v>198</v>
      </c>
      <c r="U1340">
        <v>1.1644591130352171E-2</v>
      </c>
      <c r="V1340" t="s">
        <v>84</v>
      </c>
    </row>
    <row r="1341" spans="19:22" x14ac:dyDescent="0.45">
      <c r="S1341" t="s">
        <v>153</v>
      </c>
      <c r="T1341" t="s">
        <v>199</v>
      </c>
      <c r="U1341">
        <v>1.166210156247623E-2</v>
      </c>
      <c r="V1341" t="s">
        <v>84</v>
      </c>
    </row>
    <row r="1342" spans="19:22" x14ac:dyDescent="0.45">
      <c r="S1342" t="s">
        <v>153</v>
      </c>
      <c r="T1342" t="s">
        <v>200</v>
      </c>
      <c r="U1342">
        <v>5.7247906552296932E-2</v>
      </c>
      <c r="V1342" t="s">
        <v>84</v>
      </c>
    </row>
    <row r="1343" spans="19:22" x14ac:dyDescent="0.45">
      <c r="S1343" t="s">
        <v>153</v>
      </c>
      <c r="T1343" t="s">
        <v>201</v>
      </c>
      <c r="U1343">
        <v>2.8201055494579821E-2</v>
      </c>
      <c r="V1343" t="s">
        <v>84</v>
      </c>
    </row>
    <row r="1344" spans="19:22" x14ac:dyDescent="0.45">
      <c r="S1344" t="s">
        <v>153</v>
      </c>
      <c r="T1344" t="s">
        <v>202</v>
      </c>
      <c r="U1344">
        <v>1.6825077509397771E-2</v>
      </c>
      <c r="V1344" t="s">
        <v>84</v>
      </c>
    </row>
    <row r="1345" spans="19:22" x14ac:dyDescent="0.45">
      <c r="S1345" t="s">
        <v>153</v>
      </c>
      <c r="T1345" t="s">
        <v>203</v>
      </c>
      <c r="U1345">
        <v>2.519238397885418E-2</v>
      </c>
      <c r="V1345" t="s">
        <v>84</v>
      </c>
    </row>
    <row r="1346" spans="19:22" x14ac:dyDescent="0.45">
      <c r="S1346" t="s">
        <v>153</v>
      </c>
      <c r="T1346" t="s">
        <v>204</v>
      </c>
      <c r="U1346">
        <v>4.3555499092571117E-3</v>
      </c>
      <c r="V1346" t="s">
        <v>84</v>
      </c>
    </row>
    <row r="1347" spans="19:22" x14ac:dyDescent="0.45">
      <c r="S1347" t="s">
        <v>153</v>
      </c>
      <c r="T1347" t="s">
        <v>205</v>
      </c>
      <c r="U1347">
        <v>4.4414189438376425E-3</v>
      </c>
      <c r="V1347" t="s">
        <v>84</v>
      </c>
    </row>
    <row r="1348" spans="19:22" x14ac:dyDescent="0.45">
      <c r="S1348" t="s">
        <v>153</v>
      </c>
      <c r="T1348" t="s">
        <v>206</v>
      </c>
      <c r="U1348">
        <v>2.143219057255745E-2</v>
      </c>
      <c r="V1348" t="s">
        <v>84</v>
      </c>
    </row>
    <row r="1349" spans="19:22" x14ac:dyDescent="0.45">
      <c r="S1349" t="s">
        <v>153</v>
      </c>
      <c r="T1349" t="s">
        <v>207</v>
      </c>
      <c r="U1349">
        <v>4.2178863062442652E-2</v>
      </c>
      <c r="V1349" t="s">
        <v>84</v>
      </c>
    </row>
    <row r="1350" spans="19:22" x14ac:dyDescent="0.45">
      <c r="S1350" t="s">
        <v>153</v>
      </c>
      <c r="T1350" t="s">
        <v>208</v>
      </c>
      <c r="U1350">
        <v>2.4025052706632938E-2</v>
      </c>
      <c r="V1350" t="s">
        <v>84</v>
      </c>
    </row>
    <row r="1351" spans="19:22" x14ac:dyDescent="0.45">
      <c r="S1351" t="s">
        <v>153</v>
      </c>
      <c r="T1351" t="s">
        <v>209</v>
      </c>
      <c r="U1351">
        <v>4.3293997180636604E-2</v>
      </c>
      <c r="V1351" t="s">
        <v>84</v>
      </c>
    </row>
    <row r="1352" spans="19:22" x14ac:dyDescent="0.45">
      <c r="S1352" t="s">
        <v>153</v>
      </c>
      <c r="T1352" t="s">
        <v>210</v>
      </c>
      <c r="U1352">
        <v>7.5134162011625694E-3</v>
      </c>
      <c r="V1352" t="s">
        <v>84</v>
      </c>
    </row>
    <row r="1353" spans="19:22" x14ac:dyDescent="0.45">
      <c r="S1353" t="s">
        <v>153</v>
      </c>
      <c r="T1353" t="s">
        <v>211</v>
      </c>
      <c r="U1353">
        <v>7.3426117420660932E-3</v>
      </c>
      <c r="V1353" t="s">
        <v>84</v>
      </c>
    </row>
    <row r="1354" spans="19:22" x14ac:dyDescent="0.45">
      <c r="S1354" t="s">
        <v>153</v>
      </c>
      <c r="T1354" t="s">
        <v>212</v>
      </c>
      <c r="U1354">
        <v>3.449890456207845E-2</v>
      </c>
      <c r="V1354" t="s">
        <v>84</v>
      </c>
    </row>
    <row r="1355" spans="19:22" x14ac:dyDescent="0.45">
      <c r="S1355" t="s">
        <v>154</v>
      </c>
      <c r="T1355" t="s">
        <v>83</v>
      </c>
      <c r="U1355">
        <v>2.6220079474554178E-2</v>
      </c>
      <c r="V1355" t="s">
        <v>84</v>
      </c>
    </row>
    <row r="1356" spans="19:22" x14ac:dyDescent="0.45">
      <c r="S1356" t="s">
        <v>154</v>
      </c>
      <c r="T1356" t="s">
        <v>85</v>
      </c>
      <c r="U1356">
        <v>1.5073780082673717E-2</v>
      </c>
      <c r="V1356" t="s">
        <v>84</v>
      </c>
    </row>
    <row r="1357" spans="19:22" x14ac:dyDescent="0.45">
      <c r="S1357" t="s">
        <v>154</v>
      </c>
      <c r="T1357" t="s">
        <v>86</v>
      </c>
      <c r="U1357">
        <v>2.3104966176145915E-2</v>
      </c>
      <c r="V1357" t="s">
        <v>84</v>
      </c>
    </row>
    <row r="1358" spans="19:22" x14ac:dyDescent="0.45">
      <c r="S1358" t="s">
        <v>154</v>
      </c>
      <c r="T1358" t="s">
        <v>177</v>
      </c>
      <c r="U1358">
        <v>3.6934495084281625E-3</v>
      </c>
      <c r="V1358" t="s">
        <v>84</v>
      </c>
    </row>
    <row r="1359" spans="19:22" x14ac:dyDescent="0.45">
      <c r="S1359" t="s">
        <v>154</v>
      </c>
      <c r="T1359" t="s">
        <v>178</v>
      </c>
      <c r="U1359">
        <v>3.6520534057143889E-3</v>
      </c>
      <c r="V1359" t="s">
        <v>84</v>
      </c>
    </row>
    <row r="1360" spans="19:22" x14ac:dyDescent="0.45">
      <c r="S1360" t="s">
        <v>154</v>
      </c>
      <c r="T1360" t="s">
        <v>179</v>
      </c>
      <c r="U1360">
        <v>1.7564481588531775E-2</v>
      </c>
      <c r="V1360" t="s">
        <v>84</v>
      </c>
    </row>
    <row r="1361" spans="19:22" x14ac:dyDescent="0.45">
      <c r="S1361" t="s">
        <v>154</v>
      </c>
      <c r="T1361" t="s">
        <v>87</v>
      </c>
      <c r="U1361">
        <v>1.9129436508721242E-2</v>
      </c>
      <c r="V1361" t="s">
        <v>84</v>
      </c>
    </row>
    <row r="1362" spans="19:22" x14ac:dyDescent="0.45">
      <c r="S1362" t="s">
        <v>154</v>
      </c>
      <c r="T1362" t="s">
        <v>88</v>
      </c>
      <c r="U1362">
        <v>1.1399071697623338E-2</v>
      </c>
      <c r="V1362" t="s">
        <v>84</v>
      </c>
    </row>
    <row r="1363" spans="19:22" x14ac:dyDescent="0.45">
      <c r="S1363" t="s">
        <v>154</v>
      </c>
      <c r="T1363" t="s">
        <v>89</v>
      </c>
      <c r="U1363">
        <v>1.7037993711922435E-2</v>
      </c>
      <c r="V1363" t="s">
        <v>84</v>
      </c>
    </row>
    <row r="1364" spans="19:22" x14ac:dyDescent="0.45">
      <c r="S1364" t="s">
        <v>154</v>
      </c>
      <c r="T1364" t="s">
        <v>180</v>
      </c>
      <c r="U1364">
        <v>2.8069502996510027E-3</v>
      </c>
      <c r="V1364" t="s">
        <v>84</v>
      </c>
    </row>
    <row r="1365" spans="19:22" x14ac:dyDescent="0.45">
      <c r="S1365" t="s">
        <v>154</v>
      </c>
      <c r="T1365" t="s">
        <v>181</v>
      </c>
      <c r="U1365">
        <v>2.8376953101450246E-3</v>
      </c>
      <c r="V1365" t="s">
        <v>84</v>
      </c>
    </row>
    <row r="1366" spans="19:22" x14ac:dyDescent="0.45">
      <c r="S1366" t="s">
        <v>154</v>
      </c>
      <c r="T1366" t="s">
        <v>182</v>
      </c>
      <c r="U1366">
        <v>1.4421932617963474E-2</v>
      </c>
      <c r="V1366" t="s">
        <v>84</v>
      </c>
    </row>
    <row r="1367" spans="19:22" x14ac:dyDescent="0.45">
      <c r="S1367" t="s">
        <v>154</v>
      </c>
      <c r="T1367" t="s">
        <v>90</v>
      </c>
      <c r="U1367">
        <v>1.9410634496616775E-2</v>
      </c>
      <c r="V1367" t="s">
        <v>84</v>
      </c>
    </row>
    <row r="1368" spans="19:22" x14ac:dyDescent="0.45">
      <c r="S1368" t="s">
        <v>154</v>
      </c>
      <c r="T1368" t="s">
        <v>91</v>
      </c>
      <c r="U1368">
        <v>9.4602420648469739E-3</v>
      </c>
      <c r="V1368" t="s">
        <v>84</v>
      </c>
    </row>
    <row r="1369" spans="19:22" x14ac:dyDescent="0.45">
      <c r="S1369" t="s">
        <v>154</v>
      </c>
      <c r="T1369" t="s">
        <v>92</v>
      </c>
      <c r="U1369">
        <v>1.5168365631113035E-2</v>
      </c>
      <c r="V1369" t="s">
        <v>84</v>
      </c>
    </row>
    <row r="1370" spans="19:22" x14ac:dyDescent="0.45">
      <c r="S1370" t="s">
        <v>154</v>
      </c>
      <c r="T1370" t="s">
        <v>183</v>
      </c>
      <c r="U1370">
        <v>2.5823590016721101E-3</v>
      </c>
      <c r="V1370" t="s">
        <v>84</v>
      </c>
    </row>
    <row r="1371" spans="19:22" x14ac:dyDescent="0.45">
      <c r="S1371" t="s">
        <v>154</v>
      </c>
      <c r="T1371" t="s">
        <v>184</v>
      </c>
      <c r="U1371">
        <v>2.6144816593163625E-3</v>
      </c>
      <c r="V1371" t="s">
        <v>84</v>
      </c>
    </row>
    <row r="1372" spans="19:22" x14ac:dyDescent="0.45">
      <c r="S1372" t="s">
        <v>154</v>
      </c>
      <c r="T1372" t="s">
        <v>185</v>
      </c>
      <c r="U1372">
        <v>1.4280490271291671E-2</v>
      </c>
      <c r="V1372" t="s">
        <v>84</v>
      </c>
    </row>
    <row r="1373" spans="19:22" x14ac:dyDescent="0.45">
      <c r="S1373" t="s">
        <v>154</v>
      </c>
      <c r="T1373" t="s">
        <v>93</v>
      </c>
      <c r="U1373">
        <v>5.3604549267518516E-2</v>
      </c>
      <c r="V1373" t="s">
        <v>84</v>
      </c>
    </row>
    <row r="1374" spans="19:22" x14ac:dyDescent="0.45">
      <c r="S1374" t="s">
        <v>154</v>
      </c>
      <c r="T1374" t="s">
        <v>94</v>
      </c>
      <c r="U1374">
        <v>3.0756789046720929E-2</v>
      </c>
      <c r="V1374" t="s">
        <v>84</v>
      </c>
    </row>
    <row r="1375" spans="19:22" x14ac:dyDescent="0.45">
      <c r="S1375" t="s">
        <v>154</v>
      </c>
      <c r="T1375" t="s">
        <v>95</v>
      </c>
      <c r="U1375">
        <v>4.5110059645763048E-2</v>
      </c>
      <c r="V1375" t="s">
        <v>84</v>
      </c>
    </row>
    <row r="1376" spans="19:22" x14ac:dyDescent="0.45">
      <c r="S1376" t="s">
        <v>154</v>
      </c>
      <c r="T1376" t="s">
        <v>186</v>
      </c>
      <c r="U1376">
        <v>7.2161444874141688E-3</v>
      </c>
      <c r="V1376" t="s">
        <v>84</v>
      </c>
    </row>
    <row r="1377" spans="19:22" x14ac:dyDescent="0.45">
      <c r="S1377" t="s">
        <v>154</v>
      </c>
      <c r="T1377" t="s">
        <v>187</v>
      </c>
      <c r="U1377">
        <v>7.2223638824569459E-3</v>
      </c>
      <c r="V1377" t="s">
        <v>84</v>
      </c>
    </row>
    <row r="1378" spans="19:22" x14ac:dyDescent="0.45">
      <c r="S1378" t="s">
        <v>154</v>
      </c>
      <c r="T1378" t="s">
        <v>188</v>
      </c>
      <c r="U1378">
        <v>3.6683787965878289E-2</v>
      </c>
      <c r="V1378" t="s">
        <v>84</v>
      </c>
    </row>
    <row r="1379" spans="19:22" x14ac:dyDescent="0.45">
      <c r="S1379" t="s">
        <v>154</v>
      </c>
      <c r="T1379" t="s">
        <v>189</v>
      </c>
      <c r="U1379">
        <v>2.6359856558885866E-2</v>
      </c>
      <c r="V1379" t="s">
        <v>84</v>
      </c>
    </row>
    <row r="1380" spans="19:22" x14ac:dyDescent="0.45">
      <c r="S1380" t="s">
        <v>154</v>
      </c>
      <c r="T1380" t="s">
        <v>190</v>
      </c>
      <c r="U1380">
        <v>1.4871778679986404E-2</v>
      </c>
      <c r="V1380" t="s">
        <v>84</v>
      </c>
    </row>
    <row r="1381" spans="19:22" x14ac:dyDescent="0.45">
      <c r="S1381" t="s">
        <v>154</v>
      </c>
      <c r="T1381" t="s">
        <v>191</v>
      </c>
      <c r="U1381">
        <v>2.3456898872024467E-2</v>
      </c>
      <c r="V1381" t="s">
        <v>84</v>
      </c>
    </row>
    <row r="1382" spans="19:22" x14ac:dyDescent="0.45">
      <c r="S1382" t="s">
        <v>154</v>
      </c>
      <c r="T1382" t="s">
        <v>192</v>
      </c>
      <c r="U1382">
        <v>3.9398968950886569E-3</v>
      </c>
      <c r="V1382" t="s">
        <v>84</v>
      </c>
    </row>
    <row r="1383" spans="19:22" x14ac:dyDescent="0.45">
      <c r="S1383" t="s">
        <v>154</v>
      </c>
      <c r="T1383" t="s">
        <v>193</v>
      </c>
      <c r="U1383">
        <v>3.9028543122177359E-3</v>
      </c>
      <c r="V1383" t="s">
        <v>84</v>
      </c>
    </row>
    <row r="1384" spans="19:22" x14ac:dyDescent="0.45">
      <c r="S1384" t="s">
        <v>154</v>
      </c>
      <c r="T1384" t="s">
        <v>194</v>
      </c>
      <c r="U1384">
        <v>1.9587943805118874E-2</v>
      </c>
      <c r="V1384" t="s">
        <v>84</v>
      </c>
    </row>
    <row r="1385" spans="19:22" x14ac:dyDescent="0.45">
      <c r="S1385" t="s">
        <v>154</v>
      </c>
      <c r="T1385" t="s">
        <v>195</v>
      </c>
      <c r="U1385">
        <v>7.732533332570421E-2</v>
      </c>
      <c r="V1385" t="s">
        <v>84</v>
      </c>
    </row>
    <row r="1386" spans="19:22" x14ac:dyDescent="0.45">
      <c r="S1386" t="s">
        <v>154</v>
      </c>
      <c r="T1386" t="s">
        <v>196</v>
      </c>
      <c r="U1386">
        <v>4.2431457407399627E-2</v>
      </c>
      <c r="V1386" t="s">
        <v>84</v>
      </c>
    </row>
    <row r="1387" spans="19:22" x14ac:dyDescent="0.45">
      <c r="S1387" t="s">
        <v>154</v>
      </c>
      <c r="T1387" t="s">
        <v>197</v>
      </c>
      <c r="U1387">
        <v>6.2970077205678904E-2</v>
      </c>
      <c r="V1387" t="s">
        <v>84</v>
      </c>
    </row>
    <row r="1388" spans="19:22" x14ac:dyDescent="0.45">
      <c r="S1388" t="s">
        <v>154</v>
      </c>
      <c r="T1388" t="s">
        <v>198</v>
      </c>
      <c r="U1388">
        <v>1.0666802157642874E-2</v>
      </c>
      <c r="V1388" t="s">
        <v>84</v>
      </c>
    </row>
    <row r="1389" spans="19:22" x14ac:dyDescent="0.45">
      <c r="S1389" t="s">
        <v>154</v>
      </c>
      <c r="T1389" t="s">
        <v>199</v>
      </c>
      <c r="U1389">
        <v>1.0926775884186312E-2</v>
      </c>
      <c r="V1389" t="s">
        <v>84</v>
      </c>
    </row>
    <row r="1390" spans="19:22" x14ac:dyDescent="0.45">
      <c r="S1390" t="s">
        <v>154</v>
      </c>
      <c r="T1390" t="s">
        <v>200</v>
      </c>
      <c r="U1390">
        <v>5.7340447762328689E-2</v>
      </c>
      <c r="V1390" t="s">
        <v>84</v>
      </c>
    </row>
    <row r="1391" spans="19:22" x14ac:dyDescent="0.45">
      <c r="S1391" t="s">
        <v>154</v>
      </c>
      <c r="T1391" t="s">
        <v>201</v>
      </c>
      <c r="U1391">
        <v>3.085701737948569E-2</v>
      </c>
      <c r="V1391" t="s">
        <v>84</v>
      </c>
    </row>
    <row r="1392" spans="19:22" x14ac:dyDescent="0.45">
      <c r="S1392" t="s">
        <v>154</v>
      </c>
      <c r="T1392" t="s">
        <v>202</v>
      </c>
      <c r="U1392">
        <v>1.3901045120785761E-2</v>
      </c>
      <c r="V1392" t="s">
        <v>84</v>
      </c>
    </row>
    <row r="1393" spans="19:22" x14ac:dyDescent="0.45">
      <c r="S1393" t="s">
        <v>154</v>
      </c>
      <c r="T1393" t="s">
        <v>203</v>
      </c>
      <c r="U1393">
        <v>2.2090108734084513E-2</v>
      </c>
      <c r="V1393" t="s">
        <v>84</v>
      </c>
    </row>
    <row r="1394" spans="19:22" x14ac:dyDescent="0.45">
      <c r="S1394" t="s">
        <v>154</v>
      </c>
      <c r="T1394" t="s">
        <v>204</v>
      </c>
      <c r="U1394">
        <v>3.9868755514483375E-3</v>
      </c>
      <c r="V1394" t="s">
        <v>84</v>
      </c>
    </row>
    <row r="1395" spans="19:22" x14ac:dyDescent="0.45">
      <c r="S1395" t="s">
        <v>154</v>
      </c>
      <c r="T1395" t="s">
        <v>205</v>
      </c>
      <c r="U1395">
        <v>4.1026898016358875E-3</v>
      </c>
      <c r="V1395" t="s">
        <v>84</v>
      </c>
    </row>
    <row r="1396" spans="19:22" x14ac:dyDescent="0.45">
      <c r="S1396" t="s">
        <v>154</v>
      </c>
      <c r="T1396" t="s">
        <v>206</v>
      </c>
      <c r="U1396">
        <v>2.3226149467712221E-2</v>
      </c>
      <c r="V1396" t="s">
        <v>84</v>
      </c>
    </row>
    <row r="1397" spans="19:22" x14ac:dyDescent="0.45">
      <c r="S1397" t="s">
        <v>154</v>
      </c>
      <c r="T1397" t="s">
        <v>207</v>
      </c>
      <c r="U1397">
        <v>4.4240292174878154E-2</v>
      </c>
      <c r="V1397" t="s">
        <v>84</v>
      </c>
    </row>
    <row r="1398" spans="19:22" x14ac:dyDescent="0.45">
      <c r="S1398" t="s">
        <v>154</v>
      </c>
      <c r="T1398" t="s">
        <v>208</v>
      </c>
      <c r="U1398">
        <v>2.3588079424148305E-2</v>
      </c>
      <c r="V1398" t="s">
        <v>84</v>
      </c>
    </row>
    <row r="1399" spans="19:22" x14ac:dyDescent="0.45">
      <c r="S1399" t="s">
        <v>154</v>
      </c>
      <c r="T1399" t="s">
        <v>209</v>
      </c>
      <c r="U1399">
        <v>3.5870996406659493E-2</v>
      </c>
      <c r="V1399" t="s">
        <v>84</v>
      </c>
    </row>
    <row r="1400" spans="19:22" x14ac:dyDescent="0.45">
      <c r="S1400" t="s">
        <v>154</v>
      </c>
      <c r="T1400" t="s">
        <v>210</v>
      </c>
      <c r="U1400">
        <v>5.9739694031133083E-3</v>
      </c>
      <c r="V1400" t="s">
        <v>84</v>
      </c>
    </row>
    <row r="1401" spans="19:22" x14ac:dyDescent="0.45">
      <c r="S1401" t="s">
        <v>154</v>
      </c>
      <c r="T1401" t="s">
        <v>211</v>
      </c>
      <c r="U1401">
        <v>6.0758434012936485E-3</v>
      </c>
      <c r="V1401" t="s">
        <v>84</v>
      </c>
    </row>
    <row r="1402" spans="19:22" x14ac:dyDescent="0.45">
      <c r="S1402" t="s">
        <v>154</v>
      </c>
      <c r="T1402" t="s">
        <v>212</v>
      </c>
      <c r="U1402">
        <v>3.1254652465807616E-2</v>
      </c>
      <c r="V1402" t="s">
        <v>84</v>
      </c>
    </row>
    <row r="1403" spans="19:22" x14ac:dyDescent="0.45">
      <c r="S1403" t="s">
        <v>155</v>
      </c>
      <c r="T1403" t="s">
        <v>83</v>
      </c>
      <c r="U1403">
        <v>2.4812325751143283E-2</v>
      </c>
      <c r="V1403" t="s">
        <v>84</v>
      </c>
    </row>
    <row r="1404" spans="19:22" x14ac:dyDescent="0.45">
      <c r="S1404" t="s">
        <v>155</v>
      </c>
      <c r="T1404" t="s">
        <v>85</v>
      </c>
      <c r="U1404">
        <v>1.4611685760264644E-2</v>
      </c>
      <c r="V1404" t="s">
        <v>84</v>
      </c>
    </row>
    <row r="1405" spans="19:22" x14ac:dyDescent="0.45">
      <c r="S1405" t="s">
        <v>155</v>
      </c>
      <c r="T1405" t="s">
        <v>86</v>
      </c>
      <c r="U1405">
        <v>2.108136529541596E-2</v>
      </c>
      <c r="V1405" t="s">
        <v>84</v>
      </c>
    </row>
    <row r="1406" spans="19:22" x14ac:dyDescent="0.45">
      <c r="S1406" t="s">
        <v>155</v>
      </c>
      <c r="T1406" t="s">
        <v>177</v>
      </c>
      <c r="U1406">
        <v>3.5114775619794706E-3</v>
      </c>
      <c r="V1406" t="s">
        <v>84</v>
      </c>
    </row>
    <row r="1407" spans="19:22" x14ac:dyDescent="0.45">
      <c r="S1407" t="s">
        <v>155</v>
      </c>
      <c r="T1407" t="s">
        <v>178</v>
      </c>
      <c r="U1407">
        <v>3.4776176587867787E-3</v>
      </c>
      <c r="V1407" t="s">
        <v>84</v>
      </c>
    </row>
    <row r="1408" spans="19:22" x14ac:dyDescent="0.45">
      <c r="S1408" t="s">
        <v>155</v>
      </c>
      <c r="T1408" t="s">
        <v>179</v>
      </c>
      <c r="U1408">
        <v>1.7237061417176118E-2</v>
      </c>
      <c r="V1408" t="s">
        <v>84</v>
      </c>
    </row>
    <row r="1409" spans="19:22" x14ac:dyDescent="0.45">
      <c r="S1409" t="s">
        <v>155</v>
      </c>
      <c r="T1409" t="s">
        <v>87</v>
      </c>
      <c r="U1409">
        <v>1.9062687262754195E-2</v>
      </c>
      <c r="V1409" t="s">
        <v>84</v>
      </c>
    </row>
    <row r="1410" spans="19:22" x14ac:dyDescent="0.45">
      <c r="S1410" t="s">
        <v>155</v>
      </c>
      <c r="T1410" t="s">
        <v>88</v>
      </c>
      <c r="U1410">
        <v>1.0419755559716096E-2</v>
      </c>
      <c r="V1410" t="s">
        <v>84</v>
      </c>
    </row>
    <row r="1411" spans="19:22" x14ac:dyDescent="0.45">
      <c r="S1411" t="s">
        <v>155</v>
      </c>
      <c r="T1411" t="s">
        <v>89</v>
      </c>
      <c r="U1411">
        <v>1.5474494762123136E-2</v>
      </c>
      <c r="V1411" t="s">
        <v>84</v>
      </c>
    </row>
    <row r="1412" spans="19:22" x14ac:dyDescent="0.45">
      <c r="S1412" t="s">
        <v>155</v>
      </c>
      <c r="T1412" t="s">
        <v>180</v>
      </c>
      <c r="U1412">
        <v>2.5885972694523729E-3</v>
      </c>
      <c r="V1412" t="s">
        <v>84</v>
      </c>
    </row>
    <row r="1413" spans="19:22" x14ac:dyDescent="0.45">
      <c r="S1413" t="s">
        <v>155</v>
      </c>
      <c r="T1413" t="s">
        <v>181</v>
      </c>
      <c r="U1413">
        <v>2.6476849784754604E-3</v>
      </c>
      <c r="V1413" t="s">
        <v>84</v>
      </c>
    </row>
    <row r="1414" spans="19:22" x14ac:dyDescent="0.45">
      <c r="S1414" t="s">
        <v>155</v>
      </c>
      <c r="T1414" t="s">
        <v>182</v>
      </c>
      <c r="U1414">
        <v>1.4211659907103952E-2</v>
      </c>
      <c r="V1414" t="s">
        <v>84</v>
      </c>
    </row>
    <row r="1415" spans="19:22" x14ac:dyDescent="0.45">
      <c r="S1415" t="s">
        <v>155</v>
      </c>
      <c r="T1415" t="s">
        <v>90</v>
      </c>
      <c r="U1415">
        <v>2.0781531470710362E-2</v>
      </c>
      <c r="V1415" t="s">
        <v>84</v>
      </c>
    </row>
    <row r="1416" spans="19:22" x14ac:dyDescent="0.45">
      <c r="S1416" t="s">
        <v>155</v>
      </c>
      <c r="T1416" t="s">
        <v>91</v>
      </c>
      <c r="U1416">
        <v>1.055714064956279E-2</v>
      </c>
      <c r="V1416" t="s">
        <v>84</v>
      </c>
    </row>
    <row r="1417" spans="19:22" x14ac:dyDescent="0.45">
      <c r="S1417" t="s">
        <v>155</v>
      </c>
      <c r="T1417" t="s">
        <v>92</v>
      </c>
      <c r="U1417">
        <v>1.5342022180687425E-2</v>
      </c>
      <c r="V1417" t="s">
        <v>84</v>
      </c>
    </row>
    <row r="1418" spans="19:22" x14ac:dyDescent="0.45">
      <c r="S1418" t="s">
        <v>155</v>
      </c>
      <c r="T1418" t="s">
        <v>183</v>
      </c>
      <c r="U1418">
        <v>2.6928051193784597E-3</v>
      </c>
      <c r="V1418" t="s">
        <v>84</v>
      </c>
    </row>
    <row r="1419" spans="19:22" x14ac:dyDescent="0.45">
      <c r="S1419" t="s">
        <v>155</v>
      </c>
      <c r="T1419" t="s">
        <v>184</v>
      </c>
      <c r="U1419">
        <v>2.7749781611761796E-3</v>
      </c>
      <c r="V1419" t="s">
        <v>84</v>
      </c>
    </row>
    <row r="1420" spans="19:22" x14ac:dyDescent="0.45">
      <c r="S1420" t="s">
        <v>155</v>
      </c>
      <c r="T1420" t="s">
        <v>185</v>
      </c>
      <c r="U1420">
        <v>1.50268204503138E-2</v>
      </c>
      <c r="V1420" t="s">
        <v>84</v>
      </c>
    </row>
    <row r="1421" spans="19:22" x14ac:dyDescent="0.45">
      <c r="S1421" t="s">
        <v>155</v>
      </c>
      <c r="T1421" t="s">
        <v>93</v>
      </c>
      <c r="U1421">
        <v>5.0931985084596697E-2</v>
      </c>
      <c r="V1421" t="s">
        <v>84</v>
      </c>
    </row>
    <row r="1422" spans="19:22" x14ac:dyDescent="0.45">
      <c r="S1422" t="s">
        <v>155</v>
      </c>
      <c r="T1422" t="s">
        <v>94</v>
      </c>
      <c r="U1422">
        <v>2.8957230432636198E-2</v>
      </c>
      <c r="V1422" t="s">
        <v>84</v>
      </c>
    </row>
    <row r="1423" spans="19:22" x14ac:dyDescent="0.45">
      <c r="S1423" t="s">
        <v>155</v>
      </c>
      <c r="T1423" t="s">
        <v>95</v>
      </c>
      <c r="U1423">
        <v>4.2746570725511017E-2</v>
      </c>
      <c r="V1423" t="s">
        <v>84</v>
      </c>
    </row>
    <row r="1424" spans="19:22" x14ac:dyDescent="0.45">
      <c r="S1424" t="s">
        <v>155</v>
      </c>
      <c r="T1424" t="s">
        <v>186</v>
      </c>
      <c r="U1424">
        <v>6.7840540674209554E-3</v>
      </c>
      <c r="V1424" t="s">
        <v>84</v>
      </c>
    </row>
    <row r="1425" spans="19:22" x14ac:dyDescent="0.45">
      <c r="S1425" t="s">
        <v>155</v>
      </c>
      <c r="T1425" t="s">
        <v>187</v>
      </c>
      <c r="U1425">
        <v>6.8015824716204732E-3</v>
      </c>
      <c r="V1425" t="s">
        <v>84</v>
      </c>
    </row>
    <row r="1426" spans="19:22" x14ac:dyDescent="0.45">
      <c r="S1426" t="s">
        <v>155</v>
      </c>
      <c r="T1426" t="s">
        <v>188</v>
      </c>
      <c r="U1426">
        <v>3.4715546265090338E-2</v>
      </c>
      <c r="V1426" t="s">
        <v>84</v>
      </c>
    </row>
    <row r="1427" spans="19:22" x14ac:dyDescent="0.45">
      <c r="S1427" t="s">
        <v>155</v>
      </c>
      <c r="T1427" t="s">
        <v>189</v>
      </c>
      <c r="U1427">
        <v>2.7528145628086288E-2</v>
      </c>
      <c r="V1427" t="s">
        <v>84</v>
      </c>
    </row>
    <row r="1428" spans="19:22" x14ac:dyDescent="0.45">
      <c r="S1428" t="s">
        <v>155</v>
      </c>
      <c r="T1428" t="s">
        <v>190</v>
      </c>
      <c r="U1428">
        <v>1.4937675005518401E-2</v>
      </c>
      <c r="V1428" t="s">
        <v>84</v>
      </c>
    </row>
    <row r="1429" spans="19:22" x14ac:dyDescent="0.45">
      <c r="S1429" t="s">
        <v>155</v>
      </c>
      <c r="T1429" t="s">
        <v>191</v>
      </c>
      <c r="U1429">
        <v>2.2394066347488133E-2</v>
      </c>
      <c r="V1429" t="s">
        <v>84</v>
      </c>
    </row>
    <row r="1430" spans="19:22" x14ac:dyDescent="0.45">
      <c r="S1430" t="s">
        <v>155</v>
      </c>
      <c r="T1430" t="s">
        <v>192</v>
      </c>
      <c r="U1430">
        <v>3.7486972045539736E-3</v>
      </c>
      <c r="V1430" t="s">
        <v>84</v>
      </c>
    </row>
    <row r="1431" spans="19:22" x14ac:dyDescent="0.45">
      <c r="S1431" t="s">
        <v>155</v>
      </c>
      <c r="T1431" t="s">
        <v>193</v>
      </c>
      <c r="U1431">
        <v>3.816453644200947E-3</v>
      </c>
      <c r="V1431" t="s">
        <v>84</v>
      </c>
    </row>
    <row r="1432" spans="19:22" x14ac:dyDescent="0.45">
      <c r="S1432" t="s">
        <v>155</v>
      </c>
      <c r="T1432" t="s">
        <v>194</v>
      </c>
      <c r="U1432">
        <v>1.9707388892415318E-2</v>
      </c>
      <c r="V1432" t="s">
        <v>84</v>
      </c>
    </row>
    <row r="1433" spans="19:22" x14ac:dyDescent="0.45">
      <c r="S1433" t="s">
        <v>155</v>
      </c>
      <c r="T1433" t="s">
        <v>195</v>
      </c>
      <c r="U1433">
        <v>7.9183787384886059E-2</v>
      </c>
      <c r="V1433" t="s">
        <v>84</v>
      </c>
    </row>
    <row r="1434" spans="19:22" x14ac:dyDescent="0.45">
      <c r="S1434" t="s">
        <v>155</v>
      </c>
      <c r="T1434" t="s">
        <v>196</v>
      </c>
      <c r="U1434">
        <v>4.5183387961742212E-2</v>
      </c>
      <c r="V1434" t="s">
        <v>84</v>
      </c>
    </row>
    <row r="1435" spans="19:22" x14ac:dyDescent="0.45">
      <c r="S1435" t="s">
        <v>155</v>
      </c>
      <c r="T1435" t="s">
        <v>197</v>
      </c>
      <c r="U1435">
        <v>6.5532058604720264E-2</v>
      </c>
      <c r="V1435" t="s">
        <v>84</v>
      </c>
    </row>
    <row r="1436" spans="19:22" x14ac:dyDescent="0.45">
      <c r="S1436" t="s">
        <v>155</v>
      </c>
      <c r="T1436" t="s">
        <v>198</v>
      </c>
      <c r="U1436">
        <v>1.0706317487748531E-2</v>
      </c>
      <c r="V1436" t="s">
        <v>84</v>
      </c>
    </row>
    <row r="1437" spans="19:22" x14ac:dyDescent="0.45">
      <c r="S1437" t="s">
        <v>155</v>
      </c>
      <c r="T1437" t="s">
        <v>199</v>
      </c>
      <c r="U1437">
        <v>1.0830137548990659E-2</v>
      </c>
      <c r="V1437" t="s">
        <v>84</v>
      </c>
    </row>
    <row r="1438" spans="19:22" x14ac:dyDescent="0.45">
      <c r="S1438" t="s">
        <v>155</v>
      </c>
      <c r="T1438" t="s">
        <v>200</v>
      </c>
      <c r="U1438">
        <v>5.6437628130901911E-2</v>
      </c>
      <c r="V1438" t="s">
        <v>84</v>
      </c>
    </row>
    <row r="1439" spans="19:22" x14ac:dyDescent="0.45">
      <c r="S1439" t="s">
        <v>155</v>
      </c>
      <c r="T1439" t="s">
        <v>201</v>
      </c>
      <c r="U1439">
        <v>3.0937724620826949E-2</v>
      </c>
      <c r="V1439" t="s">
        <v>84</v>
      </c>
    </row>
    <row r="1440" spans="19:22" x14ac:dyDescent="0.45">
      <c r="S1440" t="s">
        <v>155</v>
      </c>
      <c r="T1440" t="s">
        <v>202</v>
      </c>
      <c r="U1440">
        <v>1.4936028944036447E-2</v>
      </c>
      <c r="V1440" t="s">
        <v>84</v>
      </c>
    </row>
    <row r="1441" spans="19:22" x14ac:dyDescent="0.45">
      <c r="S1441" t="s">
        <v>155</v>
      </c>
      <c r="T1441" t="s">
        <v>203</v>
      </c>
      <c r="U1441">
        <v>2.2328457540604311E-2</v>
      </c>
      <c r="V1441" t="s">
        <v>84</v>
      </c>
    </row>
    <row r="1442" spans="19:22" x14ac:dyDescent="0.45">
      <c r="S1442" t="s">
        <v>155</v>
      </c>
      <c r="T1442" t="s">
        <v>204</v>
      </c>
      <c r="U1442">
        <v>3.8952358460821465E-3</v>
      </c>
      <c r="V1442" t="s">
        <v>84</v>
      </c>
    </row>
    <row r="1443" spans="19:22" x14ac:dyDescent="0.45">
      <c r="S1443" t="s">
        <v>155</v>
      </c>
      <c r="T1443" t="s">
        <v>205</v>
      </c>
      <c r="U1443">
        <v>4.036849715600711E-3</v>
      </c>
      <c r="V1443" t="s">
        <v>84</v>
      </c>
    </row>
    <row r="1444" spans="19:22" x14ac:dyDescent="0.45">
      <c r="S1444" t="s">
        <v>155</v>
      </c>
      <c r="T1444" t="s">
        <v>206</v>
      </c>
      <c r="U1444">
        <v>2.2508558576710205E-2</v>
      </c>
      <c r="V1444" t="s">
        <v>84</v>
      </c>
    </row>
    <row r="1445" spans="19:22" x14ac:dyDescent="0.45">
      <c r="S1445" t="s">
        <v>155</v>
      </c>
      <c r="T1445" t="s">
        <v>207</v>
      </c>
      <c r="U1445">
        <v>4.5048723786864316E-2</v>
      </c>
      <c r="V1445" t="s">
        <v>84</v>
      </c>
    </row>
    <row r="1446" spans="19:22" x14ac:dyDescent="0.45">
      <c r="S1446" t="s">
        <v>155</v>
      </c>
      <c r="T1446" t="s">
        <v>208</v>
      </c>
      <c r="U1446">
        <v>2.6083296824427865E-2</v>
      </c>
      <c r="V1446" t="s">
        <v>84</v>
      </c>
    </row>
    <row r="1447" spans="19:22" x14ac:dyDescent="0.45">
      <c r="S1447" t="s">
        <v>155</v>
      </c>
      <c r="T1447" t="s">
        <v>209</v>
      </c>
      <c r="U1447">
        <v>3.8594422379129335E-2</v>
      </c>
      <c r="V1447" t="s">
        <v>84</v>
      </c>
    </row>
    <row r="1448" spans="19:22" x14ac:dyDescent="0.45">
      <c r="S1448" t="s">
        <v>155</v>
      </c>
      <c r="T1448" t="s">
        <v>210</v>
      </c>
      <c r="U1448">
        <v>6.2239764876832549E-3</v>
      </c>
      <c r="V1448" t="s">
        <v>84</v>
      </c>
    </row>
    <row r="1449" spans="19:22" x14ac:dyDescent="0.45">
      <c r="S1449" t="s">
        <v>155</v>
      </c>
      <c r="T1449" t="s">
        <v>211</v>
      </c>
      <c r="U1449">
        <v>6.3190391548187215E-3</v>
      </c>
      <c r="V1449" t="s">
        <v>84</v>
      </c>
    </row>
    <row r="1450" spans="19:22" x14ac:dyDescent="0.45">
      <c r="S1450" t="s">
        <v>155</v>
      </c>
      <c r="T1450" t="s">
        <v>212</v>
      </c>
      <c r="U1450">
        <v>3.1833262018863447E-2</v>
      </c>
      <c r="V1450" t="s">
        <v>84</v>
      </c>
    </row>
    <row r="1451" spans="19:22" x14ac:dyDescent="0.45">
      <c r="S1451" t="s">
        <v>156</v>
      </c>
      <c r="T1451" t="s">
        <v>83</v>
      </c>
      <c r="U1451">
        <v>2.5294604008084955E-2</v>
      </c>
      <c r="V1451" t="s">
        <v>84</v>
      </c>
    </row>
    <row r="1452" spans="19:22" x14ac:dyDescent="0.45">
      <c r="S1452" t="s">
        <v>156</v>
      </c>
      <c r="T1452" t="s">
        <v>85</v>
      </c>
      <c r="U1452">
        <v>1.3606736872655407E-2</v>
      </c>
      <c r="V1452" t="s">
        <v>84</v>
      </c>
    </row>
    <row r="1453" spans="19:22" x14ac:dyDescent="0.45">
      <c r="S1453" t="s">
        <v>156</v>
      </c>
      <c r="T1453" t="s">
        <v>86</v>
      </c>
      <c r="U1453">
        <v>2.0757684282782473E-2</v>
      </c>
      <c r="V1453" t="s">
        <v>84</v>
      </c>
    </row>
    <row r="1454" spans="19:22" x14ac:dyDescent="0.45">
      <c r="S1454" t="s">
        <v>156</v>
      </c>
      <c r="T1454" t="s">
        <v>177</v>
      </c>
      <c r="U1454">
        <v>3.6167396616984464E-3</v>
      </c>
      <c r="V1454" t="s">
        <v>84</v>
      </c>
    </row>
    <row r="1455" spans="19:22" x14ac:dyDescent="0.45">
      <c r="S1455" t="s">
        <v>156</v>
      </c>
      <c r="T1455" t="s">
        <v>178</v>
      </c>
      <c r="U1455">
        <v>3.6333312858649555E-3</v>
      </c>
      <c r="V1455" t="s">
        <v>84</v>
      </c>
    </row>
    <row r="1456" spans="19:22" x14ac:dyDescent="0.45">
      <c r="S1456" t="s">
        <v>156</v>
      </c>
      <c r="T1456" t="s">
        <v>179</v>
      </c>
      <c r="U1456">
        <v>1.8679563490549143E-2</v>
      </c>
      <c r="V1456" t="s">
        <v>84</v>
      </c>
    </row>
    <row r="1457" spans="19:22" x14ac:dyDescent="0.45">
      <c r="S1457" t="s">
        <v>156</v>
      </c>
      <c r="T1457" t="s">
        <v>87</v>
      </c>
      <c r="U1457">
        <v>1.5101709346343549E-2</v>
      </c>
      <c r="V1457" t="s">
        <v>84</v>
      </c>
    </row>
    <row r="1458" spans="19:22" x14ac:dyDescent="0.45">
      <c r="S1458" t="s">
        <v>156</v>
      </c>
      <c r="T1458" t="s">
        <v>88</v>
      </c>
      <c r="U1458">
        <v>7.6022803937684123E-3</v>
      </c>
      <c r="V1458" t="s">
        <v>84</v>
      </c>
    </row>
    <row r="1459" spans="19:22" x14ac:dyDescent="0.45">
      <c r="S1459" t="s">
        <v>156</v>
      </c>
      <c r="T1459" t="s">
        <v>89</v>
      </c>
      <c r="U1459">
        <v>1.2815019627985248E-2</v>
      </c>
      <c r="V1459" t="s">
        <v>84</v>
      </c>
    </row>
    <row r="1460" spans="19:22" x14ac:dyDescent="0.45">
      <c r="S1460" t="s">
        <v>156</v>
      </c>
      <c r="T1460" t="s">
        <v>180</v>
      </c>
      <c r="U1460">
        <v>2.5380294687575543E-3</v>
      </c>
      <c r="V1460" t="s">
        <v>84</v>
      </c>
    </row>
    <row r="1461" spans="19:22" x14ac:dyDescent="0.45">
      <c r="S1461" t="s">
        <v>156</v>
      </c>
      <c r="T1461" t="s">
        <v>181</v>
      </c>
      <c r="U1461">
        <v>2.5659175792831479E-3</v>
      </c>
      <c r="V1461" t="s">
        <v>84</v>
      </c>
    </row>
    <row r="1462" spans="19:22" x14ac:dyDescent="0.45">
      <c r="S1462" t="s">
        <v>156</v>
      </c>
      <c r="T1462" t="s">
        <v>182</v>
      </c>
      <c r="U1462">
        <v>1.2623265037974873E-2</v>
      </c>
      <c r="V1462" t="s">
        <v>84</v>
      </c>
    </row>
    <row r="1463" spans="19:22" x14ac:dyDescent="0.45">
      <c r="S1463" t="s">
        <v>156</v>
      </c>
      <c r="T1463" t="s">
        <v>90</v>
      </c>
      <c r="U1463">
        <v>1.2810096637175796E-2</v>
      </c>
      <c r="V1463" t="s">
        <v>84</v>
      </c>
    </row>
    <row r="1464" spans="19:22" x14ac:dyDescent="0.45">
      <c r="S1464" t="s">
        <v>156</v>
      </c>
      <c r="T1464" t="s">
        <v>91</v>
      </c>
      <c r="U1464">
        <v>7.6940646693333557E-3</v>
      </c>
      <c r="V1464" t="s">
        <v>84</v>
      </c>
    </row>
    <row r="1465" spans="19:22" x14ac:dyDescent="0.45">
      <c r="S1465" t="s">
        <v>156</v>
      </c>
      <c r="T1465" t="s">
        <v>92</v>
      </c>
      <c r="U1465">
        <v>1.2123037005670908E-2</v>
      </c>
      <c r="V1465" t="s">
        <v>84</v>
      </c>
    </row>
    <row r="1466" spans="19:22" x14ac:dyDescent="0.45">
      <c r="S1466" t="s">
        <v>156</v>
      </c>
      <c r="T1466" t="s">
        <v>183</v>
      </c>
      <c r="U1466">
        <v>2.2568899028568017E-3</v>
      </c>
      <c r="V1466" t="s">
        <v>84</v>
      </c>
    </row>
    <row r="1467" spans="19:22" x14ac:dyDescent="0.45">
      <c r="S1467" t="s">
        <v>156</v>
      </c>
      <c r="T1467" t="s">
        <v>184</v>
      </c>
      <c r="U1467">
        <v>2.3026818734518447E-3</v>
      </c>
      <c r="V1467" t="s">
        <v>84</v>
      </c>
    </row>
    <row r="1468" spans="19:22" x14ac:dyDescent="0.45">
      <c r="S1468" t="s">
        <v>156</v>
      </c>
      <c r="T1468" t="s">
        <v>185</v>
      </c>
      <c r="U1468">
        <v>1.1294134504950896E-2</v>
      </c>
      <c r="V1468" t="s">
        <v>84</v>
      </c>
    </row>
    <row r="1469" spans="19:22" x14ac:dyDescent="0.45">
      <c r="S1469" t="s">
        <v>156</v>
      </c>
      <c r="T1469" t="s">
        <v>93</v>
      </c>
      <c r="U1469">
        <v>5.1523581305705855E-2</v>
      </c>
      <c r="V1469" t="s">
        <v>84</v>
      </c>
    </row>
    <row r="1470" spans="19:22" x14ac:dyDescent="0.45">
      <c r="S1470" t="s">
        <v>156</v>
      </c>
      <c r="T1470" t="s">
        <v>94</v>
      </c>
      <c r="U1470">
        <v>2.9337503502530567E-2</v>
      </c>
      <c r="V1470" t="s">
        <v>84</v>
      </c>
    </row>
    <row r="1471" spans="19:22" x14ac:dyDescent="0.45">
      <c r="S1471" t="s">
        <v>156</v>
      </c>
      <c r="T1471" t="s">
        <v>95</v>
      </c>
      <c r="U1471">
        <v>4.5342297975397121E-2</v>
      </c>
      <c r="V1471" t="s">
        <v>84</v>
      </c>
    </row>
    <row r="1472" spans="19:22" x14ac:dyDescent="0.45">
      <c r="S1472" t="s">
        <v>156</v>
      </c>
      <c r="T1472" t="s">
        <v>186</v>
      </c>
      <c r="U1472">
        <v>7.4778783606094194E-3</v>
      </c>
      <c r="V1472" t="s">
        <v>84</v>
      </c>
    </row>
    <row r="1473" spans="19:22" x14ac:dyDescent="0.45">
      <c r="S1473" t="s">
        <v>156</v>
      </c>
      <c r="T1473" t="s">
        <v>187</v>
      </c>
      <c r="U1473">
        <v>7.5450896737188269E-3</v>
      </c>
      <c r="V1473" t="s">
        <v>84</v>
      </c>
    </row>
    <row r="1474" spans="19:22" x14ac:dyDescent="0.45">
      <c r="S1474" t="s">
        <v>156</v>
      </c>
      <c r="T1474" t="s">
        <v>188</v>
      </c>
      <c r="U1474">
        <v>3.7530290991920463E-2</v>
      </c>
      <c r="V1474" t="s">
        <v>84</v>
      </c>
    </row>
    <row r="1475" spans="19:22" x14ac:dyDescent="0.45">
      <c r="S1475" t="s">
        <v>156</v>
      </c>
      <c r="T1475" t="s">
        <v>189</v>
      </c>
      <c r="U1475">
        <v>2.541889249132542E-2</v>
      </c>
      <c r="V1475" t="s">
        <v>84</v>
      </c>
    </row>
    <row r="1476" spans="19:22" x14ac:dyDescent="0.45">
      <c r="S1476" t="s">
        <v>156</v>
      </c>
      <c r="T1476" t="s">
        <v>190</v>
      </c>
      <c r="U1476">
        <v>1.3867097263049888E-2</v>
      </c>
      <c r="V1476" t="s">
        <v>84</v>
      </c>
    </row>
    <row r="1477" spans="19:22" x14ac:dyDescent="0.45">
      <c r="S1477" t="s">
        <v>156</v>
      </c>
      <c r="T1477" t="s">
        <v>191</v>
      </c>
      <c r="U1477">
        <v>2.0652482188387358E-2</v>
      </c>
      <c r="V1477" t="s">
        <v>84</v>
      </c>
    </row>
    <row r="1478" spans="19:22" x14ac:dyDescent="0.45">
      <c r="S1478" t="s">
        <v>156</v>
      </c>
      <c r="T1478" t="s">
        <v>192</v>
      </c>
      <c r="U1478">
        <v>3.4145226418648405E-3</v>
      </c>
      <c r="V1478" t="s">
        <v>84</v>
      </c>
    </row>
    <row r="1479" spans="19:22" x14ac:dyDescent="0.45">
      <c r="S1479" t="s">
        <v>156</v>
      </c>
      <c r="T1479" t="s">
        <v>193</v>
      </c>
      <c r="U1479">
        <v>3.4246048142623133E-3</v>
      </c>
      <c r="V1479" t="s">
        <v>84</v>
      </c>
    </row>
    <row r="1480" spans="19:22" x14ac:dyDescent="0.45">
      <c r="S1480" t="s">
        <v>156</v>
      </c>
      <c r="T1480" t="s">
        <v>194</v>
      </c>
      <c r="U1480">
        <v>1.7567608956094251E-2</v>
      </c>
      <c r="V1480" t="s">
        <v>84</v>
      </c>
    </row>
    <row r="1481" spans="19:22" x14ac:dyDescent="0.45">
      <c r="S1481" t="s">
        <v>156</v>
      </c>
      <c r="T1481" t="s">
        <v>195</v>
      </c>
      <c r="U1481">
        <v>8.9322087895145799E-2</v>
      </c>
      <c r="V1481" t="s">
        <v>84</v>
      </c>
    </row>
    <row r="1482" spans="19:22" x14ac:dyDescent="0.45">
      <c r="S1482" t="s">
        <v>156</v>
      </c>
      <c r="T1482" t="s">
        <v>196</v>
      </c>
      <c r="U1482">
        <v>5.08432282566708E-2</v>
      </c>
      <c r="V1482" t="s">
        <v>84</v>
      </c>
    </row>
    <row r="1483" spans="19:22" x14ac:dyDescent="0.45">
      <c r="S1483" t="s">
        <v>156</v>
      </c>
      <c r="T1483" t="s">
        <v>197</v>
      </c>
      <c r="U1483">
        <v>7.2915730369331799E-2</v>
      </c>
      <c r="V1483" t="s">
        <v>84</v>
      </c>
    </row>
    <row r="1484" spans="19:22" x14ac:dyDescent="0.45">
      <c r="S1484" t="s">
        <v>156</v>
      </c>
      <c r="T1484" t="s">
        <v>198</v>
      </c>
      <c r="U1484">
        <v>1.140239845460043E-2</v>
      </c>
      <c r="V1484" t="s">
        <v>84</v>
      </c>
    </row>
    <row r="1485" spans="19:22" x14ac:dyDescent="0.45">
      <c r="S1485" t="s">
        <v>156</v>
      </c>
      <c r="T1485" t="s">
        <v>199</v>
      </c>
      <c r="U1485">
        <v>1.1340568510646312E-2</v>
      </c>
      <c r="V1485" t="s">
        <v>84</v>
      </c>
    </row>
    <row r="1486" spans="19:22" x14ac:dyDescent="0.45">
      <c r="S1486" t="s">
        <v>156</v>
      </c>
      <c r="T1486" t="s">
        <v>200</v>
      </c>
      <c r="U1486">
        <v>5.9270971170052721E-2</v>
      </c>
      <c r="V1486" t="s">
        <v>84</v>
      </c>
    </row>
    <row r="1487" spans="19:22" x14ac:dyDescent="0.45">
      <c r="S1487" t="s">
        <v>156</v>
      </c>
      <c r="T1487" t="s">
        <v>201</v>
      </c>
      <c r="U1487">
        <v>3.2442137884241079E-2</v>
      </c>
      <c r="V1487" t="s">
        <v>84</v>
      </c>
    </row>
    <row r="1488" spans="19:22" x14ac:dyDescent="0.45">
      <c r="S1488" t="s">
        <v>156</v>
      </c>
      <c r="T1488" t="s">
        <v>202</v>
      </c>
      <c r="U1488">
        <v>1.6267176137524906E-2</v>
      </c>
      <c r="V1488" t="s">
        <v>84</v>
      </c>
    </row>
    <row r="1489" spans="19:22" x14ac:dyDescent="0.45">
      <c r="S1489" t="s">
        <v>156</v>
      </c>
      <c r="T1489" t="s">
        <v>203</v>
      </c>
      <c r="U1489">
        <v>2.4610595878220336E-2</v>
      </c>
      <c r="V1489" t="s">
        <v>84</v>
      </c>
    </row>
    <row r="1490" spans="19:22" x14ac:dyDescent="0.45">
      <c r="S1490" t="s">
        <v>156</v>
      </c>
      <c r="T1490" t="s">
        <v>204</v>
      </c>
      <c r="U1490">
        <v>4.2475116390995925E-3</v>
      </c>
      <c r="V1490" t="s">
        <v>84</v>
      </c>
    </row>
    <row r="1491" spans="19:22" x14ac:dyDescent="0.45">
      <c r="S1491" t="s">
        <v>156</v>
      </c>
      <c r="T1491" t="s">
        <v>205</v>
      </c>
      <c r="U1491">
        <v>4.3190502234654749E-3</v>
      </c>
      <c r="V1491" t="s">
        <v>84</v>
      </c>
    </row>
    <row r="1492" spans="19:22" x14ac:dyDescent="0.45">
      <c r="S1492" t="s">
        <v>156</v>
      </c>
      <c r="T1492" t="s">
        <v>206</v>
      </c>
      <c r="U1492">
        <v>2.2878087639608247E-2</v>
      </c>
      <c r="V1492" t="s">
        <v>84</v>
      </c>
    </row>
    <row r="1493" spans="19:22" x14ac:dyDescent="0.45">
      <c r="S1493" t="s">
        <v>156</v>
      </c>
      <c r="T1493" t="s">
        <v>207</v>
      </c>
      <c r="U1493">
        <v>4.4129224031063799E-2</v>
      </c>
      <c r="V1493" t="s">
        <v>84</v>
      </c>
    </row>
    <row r="1494" spans="19:22" x14ac:dyDescent="0.45">
      <c r="S1494" t="s">
        <v>156</v>
      </c>
      <c r="T1494" t="s">
        <v>208</v>
      </c>
      <c r="U1494">
        <v>2.3912369038759252E-2</v>
      </c>
      <c r="V1494" t="s">
        <v>84</v>
      </c>
    </row>
    <row r="1495" spans="19:22" x14ac:dyDescent="0.45">
      <c r="S1495" t="s">
        <v>156</v>
      </c>
      <c r="T1495" t="s">
        <v>209</v>
      </c>
      <c r="U1495">
        <v>3.6536570740362394E-2</v>
      </c>
      <c r="V1495" t="s">
        <v>84</v>
      </c>
    </row>
    <row r="1496" spans="19:22" x14ac:dyDescent="0.45">
      <c r="S1496" t="s">
        <v>156</v>
      </c>
      <c r="T1496" t="s">
        <v>210</v>
      </c>
      <c r="U1496">
        <v>6.4442796693003025E-3</v>
      </c>
      <c r="V1496" t="s">
        <v>84</v>
      </c>
    </row>
    <row r="1497" spans="19:22" x14ac:dyDescent="0.45">
      <c r="S1497" t="s">
        <v>156</v>
      </c>
      <c r="T1497" t="s">
        <v>211</v>
      </c>
      <c r="U1497">
        <v>6.3913467866495727E-3</v>
      </c>
      <c r="V1497" t="s">
        <v>84</v>
      </c>
    </row>
    <row r="1498" spans="19:22" x14ac:dyDescent="0.45">
      <c r="S1498" t="s">
        <v>156</v>
      </c>
      <c r="T1498" t="s">
        <v>212</v>
      </c>
      <c r="U1498">
        <v>3.2309029861200121E-2</v>
      </c>
      <c r="V1498" t="s">
        <v>84</v>
      </c>
    </row>
    <row r="1499" spans="19:22" x14ac:dyDescent="0.45">
      <c r="S1499" t="s">
        <v>157</v>
      </c>
      <c r="T1499" t="s">
        <v>83</v>
      </c>
      <c r="U1499">
        <v>2.4658696813290779E-2</v>
      </c>
      <c r="V1499" t="s">
        <v>84</v>
      </c>
    </row>
    <row r="1500" spans="19:22" x14ac:dyDescent="0.45">
      <c r="S1500" t="s">
        <v>157</v>
      </c>
      <c r="T1500" t="s">
        <v>85</v>
      </c>
      <c r="U1500">
        <v>1.3683009222496484E-2</v>
      </c>
      <c r="V1500" t="s">
        <v>84</v>
      </c>
    </row>
    <row r="1501" spans="19:22" x14ac:dyDescent="0.45">
      <c r="S1501" t="s">
        <v>157</v>
      </c>
      <c r="T1501" t="s">
        <v>86</v>
      </c>
      <c r="U1501">
        <v>2.3033682570110077E-2</v>
      </c>
      <c r="V1501" t="s">
        <v>84</v>
      </c>
    </row>
    <row r="1502" spans="19:22" x14ac:dyDescent="0.45">
      <c r="S1502" t="s">
        <v>157</v>
      </c>
      <c r="T1502" t="s">
        <v>177</v>
      </c>
      <c r="U1502">
        <v>4.1590496159075799E-3</v>
      </c>
      <c r="V1502" t="s">
        <v>84</v>
      </c>
    </row>
    <row r="1503" spans="19:22" x14ac:dyDescent="0.45">
      <c r="S1503" t="s">
        <v>157</v>
      </c>
      <c r="T1503" t="s">
        <v>178</v>
      </c>
      <c r="U1503">
        <v>4.1077927194244669E-3</v>
      </c>
      <c r="V1503" t="s">
        <v>84</v>
      </c>
    </row>
    <row r="1504" spans="19:22" x14ac:dyDescent="0.45">
      <c r="S1504" t="s">
        <v>157</v>
      </c>
      <c r="T1504" t="s">
        <v>179</v>
      </c>
      <c r="U1504">
        <v>1.9474145890439484E-2</v>
      </c>
      <c r="V1504" t="s">
        <v>84</v>
      </c>
    </row>
    <row r="1505" spans="19:22" x14ac:dyDescent="0.45">
      <c r="S1505" t="s">
        <v>157</v>
      </c>
      <c r="T1505" t="s">
        <v>87</v>
      </c>
      <c r="U1505">
        <v>1.3831344073673786E-2</v>
      </c>
      <c r="V1505" t="s">
        <v>84</v>
      </c>
    </row>
    <row r="1506" spans="19:22" x14ac:dyDescent="0.45">
      <c r="S1506" t="s">
        <v>157</v>
      </c>
      <c r="T1506" t="s">
        <v>88</v>
      </c>
      <c r="U1506">
        <v>6.882499123445714E-3</v>
      </c>
      <c r="V1506" t="s">
        <v>84</v>
      </c>
    </row>
    <row r="1507" spans="19:22" x14ac:dyDescent="0.45">
      <c r="S1507" t="s">
        <v>157</v>
      </c>
      <c r="T1507" t="s">
        <v>89</v>
      </c>
      <c r="U1507">
        <v>1.1580131852347242E-2</v>
      </c>
      <c r="V1507" t="s">
        <v>84</v>
      </c>
    </row>
    <row r="1508" spans="19:22" x14ac:dyDescent="0.45">
      <c r="S1508" t="s">
        <v>157</v>
      </c>
      <c r="T1508" t="s">
        <v>180</v>
      </c>
      <c r="U1508">
        <v>2.3002828281472568E-3</v>
      </c>
      <c r="V1508" t="s">
        <v>84</v>
      </c>
    </row>
    <row r="1509" spans="19:22" x14ac:dyDescent="0.45">
      <c r="S1509" t="s">
        <v>157</v>
      </c>
      <c r="T1509" t="s">
        <v>181</v>
      </c>
      <c r="U1509">
        <v>2.3329219486919661E-3</v>
      </c>
      <c r="V1509" t="s">
        <v>84</v>
      </c>
    </row>
    <row r="1510" spans="19:22" x14ac:dyDescent="0.45">
      <c r="S1510" t="s">
        <v>157</v>
      </c>
      <c r="T1510" t="s">
        <v>182</v>
      </c>
      <c r="U1510">
        <v>1.1155571307811916E-2</v>
      </c>
      <c r="V1510" t="s">
        <v>84</v>
      </c>
    </row>
    <row r="1511" spans="19:22" x14ac:dyDescent="0.45">
      <c r="S1511" t="s">
        <v>157</v>
      </c>
      <c r="T1511" t="s">
        <v>90</v>
      </c>
      <c r="U1511">
        <v>1.5458530383876632E-2</v>
      </c>
      <c r="V1511" t="s">
        <v>84</v>
      </c>
    </row>
    <row r="1512" spans="19:22" x14ac:dyDescent="0.45">
      <c r="S1512" t="s">
        <v>157</v>
      </c>
      <c r="T1512" t="s">
        <v>91</v>
      </c>
      <c r="U1512">
        <v>9.120979999494367E-3</v>
      </c>
      <c r="V1512" t="s">
        <v>84</v>
      </c>
    </row>
    <row r="1513" spans="19:22" x14ac:dyDescent="0.45">
      <c r="S1513" t="s">
        <v>157</v>
      </c>
      <c r="T1513" t="s">
        <v>92</v>
      </c>
      <c r="U1513">
        <v>1.3577036089438579E-2</v>
      </c>
      <c r="V1513" t="s">
        <v>84</v>
      </c>
    </row>
    <row r="1514" spans="19:22" x14ac:dyDescent="0.45">
      <c r="S1514" t="s">
        <v>157</v>
      </c>
      <c r="T1514" t="s">
        <v>183</v>
      </c>
      <c r="U1514">
        <v>2.2357328591845263E-3</v>
      </c>
      <c r="V1514" t="s">
        <v>84</v>
      </c>
    </row>
    <row r="1515" spans="19:22" x14ac:dyDescent="0.45">
      <c r="S1515" t="s">
        <v>157</v>
      </c>
      <c r="T1515" t="s">
        <v>184</v>
      </c>
      <c r="U1515">
        <v>2.1800826071795136E-3</v>
      </c>
      <c r="V1515" t="s">
        <v>84</v>
      </c>
    </row>
    <row r="1516" spans="19:22" x14ac:dyDescent="0.45">
      <c r="S1516" t="s">
        <v>157</v>
      </c>
      <c r="T1516" t="s">
        <v>185</v>
      </c>
      <c r="U1516">
        <v>1.0224444449839857E-2</v>
      </c>
      <c r="V1516" t="s">
        <v>84</v>
      </c>
    </row>
    <row r="1517" spans="19:22" x14ac:dyDescent="0.45">
      <c r="S1517" t="s">
        <v>157</v>
      </c>
      <c r="T1517" t="s">
        <v>93</v>
      </c>
      <c r="U1517">
        <v>4.4636133878014857E-2</v>
      </c>
      <c r="V1517" t="s">
        <v>84</v>
      </c>
    </row>
    <row r="1518" spans="19:22" x14ac:dyDescent="0.45">
      <c r="S1518" t="s">
        <v>157</v>
      </c>
      <c r="T1518" t="s">
        <v>94</v>
      </c>
      <c r="U1518">
        <v>2.4809791283456718E-2</v>
      </c>
      <c r="V1518" t="s">
        <v>84</v>
      </c>
    </row>
    <row r="1519" spans="19:22" x14ac:dyDescent="0.45">
      <c r="S1519" t="s">
        <v>157</v>
      </c>
      <c r="T1519" t="s">
        <v>95</v>
      </c>
      <c r="U1519">
        <v>4.0508736539356716E-2</v>
      </c>
      <c r="V1519" t="s">
        <v>84</v>
      </c>
    </row>
    <row r="1520" spans="19:22" x14ac:dyDescent="0.45">
      <c r="S1520" t="s">
        <v>157</v>
      </c>
      <c r="T1520" t="s">
        <v>186</v>
      </c>
      <c r="U1520">
        <v>7.0389516700973499E-3</v>
      </c>
      <c r="V1520" t="s">
        <v>84</v>
      </c>
    </row>
    <row r="1521" spans="19:22" x14ac:dyDescent="0.45">
      <c r="S1521" t="s">
        <v>157</v>
      </c>
      <c r="T1521" t="s">
        <v>187</v>
      </c>
      <c r="U1521">
        <v>7.006937652096968E-3</v>
      </c>
      <c r="V1521" t="s">
        <v>84</v>
      </c>
    </row>
    <row r="1522" spans="19:22" x14ac:dyDescent="0.45">
      <c r="S1522" t="s">
        <v>157</v>
      </c>
      <c r="T1522" t="s">
        <v>188</v>
      </c>
      <c r="U1522">
        <v>3.3431116957982891E-2</v>
      </c>
      <c r="V1522" t="s">
        <v>84</v>
      </c>
    </row>
    <row r="1523" spans="19:22" x14ac:dyDescent="0.45">
      <c r="S1523" t="s">
        <v>157</v>
      </c>
      <c r="T1523" t="s">
        <v>189</v>
      </c>
      <c r="U1523">
        <v>2.3985553999268418E-2</v>
      </c>
      <c r="V1523" t="s">
        <v>84</v>
      </c>
    </row>
    <row r="1524" spans="19:22" x14ac:dyDescent="0.45">
      <c r="S1524" t="s">
        <v>157</v>
      </c>
      <c r="T1524" t="s">
        <v>190</v>
      </c>
      <c r="U1524">
        <v>1.2963506142766873E-2</v>
      </c>
      <c r="V1524" t="s">
        <v>84</v>
      </c>
    </row>
    <row r="1525" spans="19:22" x14ac:dyDescent="0.45">
      <c r="S1525" t="s">
        <v>157</v>
      </c>
      <c r="T1525" t="s">
        <v>191</v>
      </c>
      <c r="U1525">
        <v>1.9456062737823784E-2</v>
      </c>
      <c r="V1525" t="s">
        <v>84</v>
      </c>
    </row>
    <row r="1526" spans="19:22" x14ac:dyDescent="0.45">
      <c r="S1526" t="s">
        <v>157</v>
      </c>
      <c r="T1526" t="s">
        <v>192</v>
      </c>
      <c r="U1526">
        <v>3.1632890631877715E-3</v>
      </c>
      <c r="V1526" t="s">
        <v>84</v>
      </c>
    </row>
    <row r="1527" spans="19:22" x14ac:dyDescent="0.45">
      <c r="S1527" t="s">
        <v>157</v>
      </c>
      <c r="T1527" t="s">
        <v>193</v>
      </c>
      <c r="U1527">
        <v>3.1552056237871924E-3</v>
      </c>
      <c r="V1527" t="s">
        <v>84</v>
      </c>
    </row>
    <row r="1528" spans="19:22" x14ac:dyDescent="0.45">
      <c r="S1528" t="s">
        <v>157</v>
      </c>
      <c r="T1528" t="s">
        <v>194</v>
      </c>
      <c r="U1528">
        <v>1.5607782292554643E-2</v>
      </c>
      <c r="V1528" t="s">
        <v>84</v>
      </c>
    </row>
    <row r="1529" spans="19:22" x14ac:dyDescent="0.45">
      <c r="S1529" t="s">
        <v>157</v>
      </c>
      <c r="T1529" t="s">
        <v>195</v>
      </c>
      <c r="U1529">
        <v>8.3107935394587829E-2</v>
      </c>
      <c r="V1529" t="s">
        <v>84</v>
      </c>
    </row>
    <row r="1530" spans="19:22" x14ac:dyDescent="0.45">
      <c r="S1530" t="s">
        <v>157</v>
      </c>
      <c r="T1530" t="s">
        <v>196</v>
      </c>
      <c r="U1530">
        <v>4.7088325705265874E-2</v>
      </c>
      <c r="V1530" t="s">
        <v>84</v>
      </c>
    </row>
    <row r="1531" spans="19:22" x14ac:dyDescent="0.45">
      <c r="S1531" t="s">
        <v>157</v>
      </c>
      <c r="T1531" t="s">
        <v>197</v>
      </c>
      <c r="U1531">
        <v>7.655884111801245E-2</v>
      </c>
      <c r="V1531" t="s">
        <v>84</v>
      </c>
    </row>
    <row r="1532" spans="19:22" x14ac:dyDescent="0.45">
      <c r="S1532" t="s">
        <v>157</v>
      </c>
      <c r="T1532" t="s">
        <v>198</v>
      </c>
      <c r="U1532">
        <v>1.3297776955849617E-2</v>
      </c>
      <c r="V1532" t="s">
        <v>84</v>
      </c>
    </row>
    <row r="1533" spans="19:22" x14ac:dyDescent="0.45">
      <c r="S1533" t="s">
        <v>157</v>
      </c>
      <c r="T1533" t="s">
        <v>199</v>
      </c>
      <c r="U1533">
        <v>1.3285485458724504E-2</v>
      </c>
      <c r="V1533" t="s">
        <v>84</v>
      </c>
    </row>
    <row r="1534" spans="19:22" x14ac:dyDescent="0.45">
      <c r="S1534" t="s">
        <v>157</v>
      </c>
      <c r="T1534" t="s">
        <v>200</v>
      </c>
      <c r="U1534">
        <v>6.4204669303931428E-2</v>
      </c>
      <c r="V1534" t="s">
        <v>84</v>
      </c>
    </row>
    <row r="1535" spans="19:22" x14ac:dyDescent="0.45">
      <c r="S1535" t="s">
        <v>157</v>
      </c>
      <c r="T1535" t="s">
        <v>201</v>
      </c>
      <c r="U1535">
        <v>3.2173892933056204E-2</v>
      </c>
      <c r="V1535" t="s">
        <v>84</v>
      </c>
    </row>
    <row r="1536" spans="19:22" x14ac:dyDescent="0.45">
      <c r="S1536" t="s">
        <v>157</v>
      </c>
      <c r="T1536" t="s">
        <v>202</v>
      </c>
      <c r="U1536">
        <v>1.7655872330130377E-2</v>
      </c>
      <c r="V1536" t="s">
        <v>84</v>
      </c>
    </row>
    <row r="1537" spans="19:22" x14ac:dyDescent="0.45">
      <c r="S1537" t="s">
        <v>157</v>
      </c>
      <c r="T1537" t="s">
        <v>203</v>
      </c>
      <c r="U1537">
        <v>3.0132566826183413E-2</v>
      </c>
      <c r="V1537" t="s">
        <v>84</v>
      </c>
    </row>
    <row r="1538" spans="19:22" x14ac:dyDescent="0.45">
      <c r="S1538" t="s">
        <v>157</v>
      </c>
      <c r="T1538" t="s">
        <v>204</v>
      </c>
      <c r="U1538">
        <v>5.2318815646010238E-3</v>
      </c>
      <c r="V1538" t="s">
        <v>84</v>
      </c>
    </row>
    <row r="1539" spans="19:22" x14ac:dyDescent="0.45">
      <c r="S1539" t="s">
        <v>157</v>
      </c>
      <c r="T1539" t="s">
        <v>205</v>
      </c>
      <c r="U1539">
        <v>5.2430941116042512E-3</v>
      </c>
      <c r="V1539" t="s">
        <v>84</v>
      </c>
    </row>
    <row r="1540" spans="19:22" x14ac:dyDescent="0.45">
      <c r="S1540" t="s">
        <v>157</v>
      </c>
      <c r="T1540" t="s">
        <v>206</v>
      </c>
      <c r="U1540">
        <v>2.5502831771700901E-2</v>
      </c>
      <c r="V1540" t="s">
        <v>84</v>
      </c>
    </row>
    <row r="1541" spans="19:22" x14ac:dyDescent="0.45">
      <c r="S1541" t="s">
        <v>157</v>
      </c>
      <c r="T1541" t="s">
        <v>207</v>
      </c>
      <c r="U1541">
        <v>4.2613179035052406E-2</v>
      </c>
      <c r="V1541" t="s">
        <v>84</v>
      </c>
    </row>
    <row r="1542" spans="19:22" x14ac:dyDescent="0.45">
      <c r="S1542" t="s">
        <v>157</v>
      </c>
      <c r="T1542" t="s">
        <v>208</v>
      </c>
      <c r="U1542">
        <v>2.4503566142853535E-2</v>
      </c>
      <c r="V1542" t="s">
        <v>84</v>
      </c>
    </row>
    <row r="1543" spans="19:22" x14ac:dyDescent="0.45">
      <c r="S1543" t="s">
        <v>157</v>
      </c>
      <c r="T1543" t="s">
        <v>209</v>
      </c>
      <c r="U1543">
        <v>4.3087732218347455E-2</v>
      </c>
      <c r="V1543" t="s">
        <v>84</v>
      </c>
    </row>
    <row r="1544" spans="19:22" x14ac:dyDescent="0.45">
      <c r="S1544" t="s">
        <v>157</v>
      </c>
      <c r="T1544" t="s">
        <v>210</v>
      </c>
      <c r="U1544">
        <v>7.6023761663829743E-3</v>
      </c>
      <c r="V1544" t="s">
        <v>84</v>
      </c>
    </row>
    <row r="1545" spans="19:22" x14ac:dyDescent="0.45">
      <c r="S1545" t="s">
        <v>157</v>
      </c>
      <c r="T1545" t="s">
        <v>211</v>
      </c>
      <c r="U1545">
        <v>7.6003728073292748E-3</v>
      </c>
      <c r="V1545" t="s">
        <v>84</v>
      </c>
    </row>
    <row r="1546" spans="19:22" x14ac:dyDescent="0.45">
      <c r="S1546" t="s">
        <v>157</v>
      </c>
      <c r="T1546" t="s">
        <v>212</v>
      </c>
      <c r="U1546">
        <v>3.535059796119093E-2</v>
      </c>
      <c r="V1546" t="s">
        <v>84</v>
      </c>
    </row>
    <row r="1547" spans="19:22" x14ac:dyDescent="0.45">
      <c r="S1547" t="s">
        <v>158</v>
      </c>
      <c r="T1547" t="s">
        <v>83</v>
      </c>
      <c r="U1547">
        <v>2.5801865678963917E-2</v>
      </c>
      <c r="V1547" t="s">
        <v>84</v>
      </c>
    </row>
    <row r="1548" spans="19:22" x14ac:dyDescent="0.45">
      <c r="S1548" t="s">
        <v>158</v>
      </c>
      <c r="T1548" t="s">
        <v>85</v>
      </c>
      <c r="U1548">
        <v>1.3852015620518283E-2</v>
      </c>
      <c r="V1548" t="s">
        <v>84</v>
      </c>
    </row>
    <row r="1549" spans="19:22" x14ac:dyDescent="0.45">
      <c r="S1549" t="s">
        <v>158</v>
      </c>
      <c r="T1549" t="s">
        <v>86</v>
      </c>
      <c r="U1549">
        <v>2.5276816816870912E-2</v>
      </c>
      <c r="V1549" t="s">
        <v>84</v>
      </c>
    </row>
    <row r="1550" spans="19:22" x14ac:dyDescent="0.45">
      <c r="S1550" t="s">
        <v>158</v>
      </c>
      <c r="T1550" t="s">
        <v>177</v>
      </c>
      <c r="U1550">
        <v>4.5390553027110977E-3</v>
      </c>
      <c r="V1550" t="s">
        <v>84</v>
      </c>
    </row>
    <row r="1551" spans="19:22" x14ac:dyDescent="0.45">
      <c r="S1551" t="s">
        <v>158</v>
      </c>
      <c r="T1551" t="s">
        <v>178</v>
      </c>
      <c r="U1551">
        <v>4.445178084133557E-3</v>
      </c>
      <c r="V1551" t="s">
        <v>84</v>
      </c>
    </row>
    <row r="1552" spans="19:22" x14ac:dyDescent="0.45">
      <c r="S1552" t="s">
        <v>158</v>
      </c>
      <c r="T1552" t="s">
        <v>179</v>
      </c>
      <c r="U1552">
        <v>1.9698571848739761E-2</v>
      </c>
      <c r="V1552" t="s">
        <v>84</v>
      </c>
    </row>
    <row r="1553" spans="19:22" x14ac:dyDescent="0.45">
      <c r="S1553" t="s">
        <v>158</v>
      </c>
      <c r="T1553" t="s">
        <v>87</v>
      </c>
      <c r="U1553">
        <v>1.7586192614751795E-2</v>
      </c>
      <c r="V1553" t="s">
        <v>84</v>
      </c>
    </row>
    <row r="1554" spans="19:22" x14ac:dyDescent="0.45">
      <c r="S1554" t="s">
        <v>158</v>
      </c>
      <c r="T1554" t="s">
        <v>88</v>
      </c>
      <c r="U1554">
        <v>8.9848403212047928E-3</v>
      </c>
      <c r="V1554" t="s">
        <v>84</v>
      </c>
    </row>
    <row r="1555" spans="19:22" x14ac:dyDescent="0.45">
      <c r="S1555" t="s">
        <v>158</v>
      </c>
      <c r="T1555" t="s">
        <v>89</v>
      </c>
      <c r="U1555">
        <v>1.4972190011066764E-2</v>
      </c>
      <c r="V1555" t="s">
        <v>84</v>
      </c>
    </row>
    <row r="1556" spans="19:22" x14ac:dyDescent="0.45">
      <c r="S1556" t="s">
        <v>158</v>
      </c>
      <c r="T1556" t="s">
        <v>180</v>
      </c>
      <c r="U1556">
        <v>2.7569778216868629E-3</v>
      </c>
      <c r="V1556" t="s">
        <v>84</v>
      </c>
    </row>
    <row r="1557" spans="19:22" x14ac:dyDescent="0.45">
      <c r="S1557" t="s">
        <v>158</v>
      </c>
      <c r="T1557" t="s">
        <v>181</v>
      </c>
      <c r="U1557">
        <v>2.7180250587735297E-3</v>
      </c>
      <c r="V1557" t="s">
        <v>84</v>
      </c>
    </row>
    <row r="1558" spans="19:22" x14ac:dyDescent="0.45">
      <c r="S1558" t="s">
        <v>158</v>
      </c>
      <c r="T1558" t="s">
        <v>182</v>
      </c>
      <c r="U1558">
        <v>1.3399685909619426E-2</v>
      </c>
      <c r="V1558" t="s">
        <v>84</v>
      </c>
    </row>
    <row r="1559" spans="19:22" x14ac:dyDescent="0.45">
      <c r="S1559" t="s">
        <v>158</v>
      </c>
      <c r="T1559" t="s">
        <v>90</v>
      </c>
      <c r="U1559">
        <v>2.0158186321939432E-2</v>
      </c>
      <c r="V1559" t="s">
        <v>84</v>
      </c>
    </row>
    <row r="1560" spans="19:22" x14ac:dyDescent="0.45">
      <c r="S1560" t="s">
        <v>158</v>
      </c>
      <c r="T1560" t="s">
        <v>91</v>
      </c>
      <c r="U1560">
        <v>1.109844942169841E-2</v>
      </c>
      <c r="V1560" t="s">
        <v>84</v>
      </c>
    </row>
    <row r="1561" spans="19:22" x14ac:dyDescent="0.45">
      <c r="S1561" t="s">
        <v>158</v>
      </c>
      <c r="T1561" t="s">
        <v>92</v>
      </c>
      <c r="U1561">
        <v>1.7462176761291186E-2</v>
      </c>
      <c r="V1561" t="s">
        <v>84</v>
      </c>
    </row>
    <row r="1562" spans="19:22" x14ac:dyDescent="0.45">
      <c r="S1562" t="s">
        <v>158</v>
      </c>
      <c r="T1562" t="s">
        <v>183</v>
      </c>
      <c r="U1562">
        <v>2.9784128324946615E-3</v>
      </c>
      <c r="V1562" t="s">
        <v>84</v>
      </c>
    </row>
    <row r="1563" spans="19:22" x14ac:dyDescent="0.45">
      <c r="S1563" t="s">
        <v>158</v>
      </c>
      <c r="T1563" t="s">
        <v>184</v>
      </c>
      <c r="U1563">
        <v>2.984131993641552E-3</v>
      </c>
      <c r="V1563" t="s">
        <v>84</v>
      </c>
    </row>
    <row r="1564" spans="19:22" x14ac:dyDescent="0.45">
      <c r="S1564" t="s">
        <v>158</v>
      </c>
      <c r="T1564" t="s">
        <v>185</v>
      </c>
      <c r="U1564">
        <v>1.4604749544681781E-2</v>
      </c>
      <c r="V1564" t="s">
        <v>84</v>
      </c>
    </row>
    <row r="1565" spans="19:22" x14ac:dyDescent="0.45">
      <c r="S1565" t="s">
        <v>158</v>
      </c>
      <c r="T1565" t="s">
        <v>93</v>
      </c>
      <c r="U1565">
        <v>4.5817329696035261E-2</v>
      </c>
      <c r="V1565" t="s">
        <v>84</v>
      </c>
    </row>
    <row r="1566" spans="19:22" x14ac:dyDescent="0.45">
      <c r="S1566" t="s">
        <v>158</v>
      </c>
      <c r="T1566" t="s">
        <v>94</v>
      </c>
      <c r="U1566">
        <v>2.6536065890307541E-2</v>
      </c>
      <c r="V1566" t="s">
        <v>84</v>
      </c>
    </row>
    <row r="1567" spans="19:22" x14ac:dyDescent="0.45">
      <c r="S1567" t="s">
        <v>158</v>
      </c>
      <c r="T1567" t="s">
        <v>95</v>
      </c>
      <c r="U1567">
        <v>4.0737347174672596E-2</v>
      </c>
      <c r="V1567" t="s">
        <v>84</v>
      </c>
    </row>
    <row r="1568" spans="19:22" x14ac:dyDescent="0.45">
      <c r="S1568" t="s">
        <v>158</v>
      </c>
      <c r="T1568" t="s">
        <v>186</v>
      </c>
      <c r="U1568">
        <v>7.0516634787570007E-3</v>
      </c>
      <c r="V1568" t="s">
        <v>84</v>
      </c>
    </row>
    <row r="1569" spans="19:22" x14ac:dyDescent="0.45">
      <c r="S1569" t="s">
        <v>158</v>
      </c>
      <c r="T1569" t="s">
        <v>187</v>
      </c>
      <c r="U1569">
        <v>7.1060529246031673E-3</v>
      </c>
      <c r="V1569" t="s">
        <v>84</v>
      </c>
    </row>
    <row r="1570" spans="19:22" x14ac:dyDescent="0.45">
      <c r="S1570" t="s">
        <v>158</v>
      </c>
      <c r="T1570" t="s">
        <v>188</v>
      </c>
      <c r="U1570">
        <v>3.3563760795133527E-2</v>
      </c>
      <c r="V1570" t="s">
        <v>84</v>
      </c>
    </row>
    <row r="1571" spans="19:22" x14ac:dyDescent="0.45">
      <c r="S1571" t="s">
        <v>158</v>
      </c>
      <c r="T1571" t="s">
        <v>189</v>
      </c>
      <c r="U1571">
        <v>2.3215463517059293E-2</v>
      </c>
      <c r="V1571" t="s">
        <v>84</v>
      </c>
    </row>
    <row r="1572" spans="19:22" x14ac:dyDescent="0.45">
      <c r="S1572" t="s">
        <v>158</v>
      </c>
      <c r="T1572" t="s">
        <v>190</v>
      </c>
      <c r="U1572">
        <v>1.2575381571647467E-2</v>
      </c>
      <c r="V1572" t="s">
        <v>84</v>
      </c>
    </row>
    <row r="1573" spans="19:22" x14ac:dyDescent="0.45">
      <c r="S1573" t="s">
        <v>158</v>
      </c>
      <c r="T1573" t="s">
        <v>191</v>
      </c>
      <c r="U1573">
        <v>1.8210727645135837E-2</v>
      </c>
      <c r="V1573" t="s">
        <v>84</v>
      </c>
    </row>
    <row r="1574" spans="19:22" x14ac:dyDescent="0.45">
      <c r="S1574" t="s">
        <v>158</v>
      </c>
      <c r="T1574" t="s">
        <v>192</v>
      </c>
      <c r="U1574">
        <v>3.1356547066585627E-3</v>
      </c>
      <c r="V1574" t="s">
        <v>84</v>
      </c>
    </row>
    <row r="1575" spans="19:22" x14ac:dyDescent="0.45">
      <c r="S1575" t="s">
        <v>158</v>
      </c>
      <c r="T1575" t="s">
        <v>193</v>
      </c>
      <c r="U1575">
        <v>3.16959692512663E-3</v>
      </c>
      <c r="V1575" t="s">
        <v>84</v>
      </c>
    </row>
    <row r="1576" spans="19:22" x14ac:dyDescent="0.45">
      <c r="S1576" t="s">
        <v>158</v>
      </c>
      <c r="T1576" t="s">
        <v>194</v>
      </c>
      <c r="U1576">
        <v>1.6425904206870179E-2</v>
      </c>
      <c r="V1576" t="s">
        <v>84</v>
      </c>
    </row>
    <row r="1577" spans="19:22" x14ac:dyDescent="0.45">
      <c r="S1577" t="s">
        <v>158</v>
      </c>
      <c r="T1577" t="s">
        <v>195</v>
      </c>
      <c r="U1577">
        <v>7.7820576535690439E-2</v>
      </c>
      <c r="V1577" t="s">
        <v>84</v>
      </c>
    </row>
    <row r="1578" spans="19:22" x14ac:dyDescent="0.45">
      <c r="S1578" t="s">
        <v>158</v>
      </c>
      <c r="T1578" t="s">
        <v>196</v>
      </c>
      <c r="U1578">
        <v>4.5318439811669373E-2</v>
      </c>
      <c r="V1578" t="s">
        <v>84</v>
      </c>
    </row>
    <row r="1579" spans="19:22" x14ac:dyDescent="0.45">
      <c r="S1579" t="s">
        <v>158</v>
      </c>
      <c r="T1579" t="s">
        <v>197</v>
      </c>
      <c r="U1579">
        <v>6.8779061020250151E-2</v>
      </c>
      <c r="V1579" t="s">
        <v>84</v>
      </c>
    </row>
    <row r="1580" spans="19:22" x14ac:dyDescent="0.45">
      <c r="S1580" t="s">
        <v>158</v>
      </c>
      <c r="T1580" t="s">
        <v>198</v>
      </c>
      <c r="U1580">
        <v>1.1285759089851006E-2</v>
      </c>
      <c r="V1580" t="s">
        <v>84</v>
      </c>
    </row>
    <row r="1581" spans="19:22" x14ac:dyDescent="0.45">
      <c r="S1581" t="s">
        <v>158</v>
      </c>
      <c r="T1581" t="s">
        <v>199</v>
      </c>
      <c r="U1581">
        <v>1.1303485106378209E-2</v>
      </c>
      <c r="V1581" t="s">
        <v>84</v>
      </c>
    </row>
    <row r="1582" spans="19:22" x14ac:dyDescent="0.45">
      <c r="S1582" t="s">
        <v>158</v>
      </c>
      <c r="T1582" t="s">
        <v>200</v>
      </c>
      <c r="U1582">
        <v>5.6627708062076072E-2</v>
      </c>
      <c r="V1582" t="s">
        <v>84</v>
      </c>
    </row>
    <row r="1583" spans="19:22" x14ac:dyDescent="0.45">
      <c r="S1583" t="s">
        <v>158</v>
      </c>
      <c r="T1583" t="s">
        <v>201</v>
      </c>
      <c r="U1583">
        <v>2.9715139604622579E-2</v>
      </c>
      <c r="V1583" t="s">
        <v>84</v>
      </c>
    </row>
    <row r="1584" spans="19:22" x14ac:dyDescent="0.45">
      <c r="S1584" t="s">
        <v>158</v>
      </c>
      <c r="T1584" t="s">
        <v>202</v>
      </c>
      <c r="U1584">
        <v>1.6414584046587726E-2</v>
      </c>
      <c r="V1584" t="s">
        <v>84</v>
      </c>
    </row>
    <row r="1585" spans="19:22" x14ac:dyDescent="0.45">
      <c r="S1585" t="s">
        <v>158</v>
      </c>
      <c r="T1585" t="s">
        <v>203</v>
      </c>
      <c r="U1585">
        <v>2.6967898845489949E-2</v>
      </c>
      <c r="V1585" t="s">
        <v>84</v>
      </c>
    </row>
    <row r="1586" spans="19:22" x14ac:dyDescent="0.45">
      <c r="S1586" t="s">
        <v>158</v>
      </c>
      <c r="T1586" t="s">
        <v>204</v>
      </c>
      <c r="U1586">
        <v>4.5889534834661688E-3</v>
      </c>
      <c r="V1586" t="s">
        <v>84</v>
      </c>
    </row>
    <row r="1587" spans="19:22" x14ac:dyDescent="0.45">
      <c r="S1587" t="s">
        <v>158</v>
      </c>
      <c r="T1587" t="s">
        <v>205</v>
      </c>
      <c r="U1587">
        <v>4.6072014678667046E-3</v>
      </c>
      <c r="V1587" t="s">
        <v>84</v>
      </c>
    </row>
    <row r="1588" spans="19:22" x14ac:dyDescent="0.45">
      <c r="S1588" t="s">
        <v>158</v>
      </c>
      <c r="T1588" t="s">
        <v>206</v>
      </c>
      <c r="U1588">
        <v>2.3428309191068392E-2</v>
      </c>
      <c r="V1588" t="s">
        <v>84</v>
      </c>
    </row>
    <row r="1589" spans="19:22" x14ac:dyDescent="0.45">
      <c r="S1589" t="s">
        <v>158</v>
      </c>
      <c r="T1589" t="s">
        <v>207</v>
      </c>
      <c r="U1589">
        <v>4.4419579474073032E-2</v>
      </c>
      <c r="V1589" t="s">
        <v>84</v>
      </c>
    </row>
    <row r="1590" spans="19:22" x14ac:dyDescent="0.45">
      <c r="S1590" t="s">
        <v>158</v>
      </c>
      <c r="T1590" t="s">
        <v>208</v>
      </c>
      <c r="U1590">
        <v>2.6455303727801919E-2</v>
      </c>
      <c r="V1590" t="s">
        <v>84</v>
      </c>
    </row>
    <row r="1591" spans="19:22" x14ac:dyDescent="0.45">
      <c r="S1591" t="s">
        <v>158</v>
      </c>
      <c r="T1591" t="s">
        <v>209</v>
      </c>
      <c r="U1591">
        <v>4.3546854568294484E-2</v>
      </c>
      <c r="V1591" t="s">
        <v>84</v>
      </c>
    </row>
    <row r="1592" spans="19:22" x14ac:dyDescent="0.45">
      <c r="S1592" t="s">
        <v>158</v>
      </c>
      <c r="T1592" t="s">
        <v>210</v>
      </c>
      <c r="U1592">
        <v>7.1261136744982072E-3</v>
      </c>
      <c r="V1592" t="s">
        <v>84</v>
      </c>
    </row>
    <row r="1593" spans="19:22" x14ac:dyDescent="0.45">
      <c r="S1593" t="s">
        <v>158</v>
      </c>
      <c r="T1593" t="s">
        <v>211</v>
      </c>
      <c r="U1593">
        <v>7.0227219986547544E-3</v>
      </c>
      <c r="V1593" t="s">
        <v>84</v>
      </c>
    </row>
    <row r="1594" spans="19:22" x14ac:dyDescent="0.45">
      <c r="S1594" t="s">
        <v>158</v>
      </c>
      <c r="T1594" t="s">
        <v>212</v>
      </c>
      <c r="U1594">
        <v>3.3709839794860245E-2</v>
      </c>
      <c r="V1594" t="s">
        <v>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215</v>
      </c>
      <c r="D11" t="s">
        <v>73</v>
      </c>
      <c r="E11" t="s">
        <v>216</v>
      </c>
      <c r="F11" t="s">
        <v>215</v>
      </c>
      <c r="G11" t="s">
        <v>73</v>
      </c>
      <c r="I11" t="s">
        <v>82</v>
      </c>
      <c r="J11" t="s">
        <v>217</v>
      </c>
      <c r="K11">
        <v>0.99999999999999833</v>
      </c>
      <c r="L11" t="s">
        <v>84</v>
      </c>
      <c r="N11" t="s">
        <v>111</v>
      </c>
      <c r="O11" t="s">
        <v>217</v>
      </c>
      <c r="P11">
        <v>1.0000000000000002</v>
      </c>
      <c r="Q11" t="s">
        <v>84</v>
      </c>
      <c r="S11" t="s">
        <v>126</v>
      </c>
      <c r="T11" t="s">
        <v>217</v>
      </c>
      <c r="U11">
        <v>1.0000000000000044</v>
      </c>
      <c r="V11" t="s">
        <v>84</v>
      </c>
      <c r="X11">
        <v>1</v>
      </c>
      <c r="Y11">
        <v>1.0000000000000002</v>
      </c>
      <c r="Z11" t="s">
        <v>217</v>
      </c>
      <c r="AA11" t="s">
        <v>10</v>
      </c>
      <c r="AC11" t="s">
        <v>9</v>
      </c>
      <c r="AD11" t="s">
        <v>217</v>
      </c>
      <c r="AE11">
        <v>1</v>
      </c>
      <c r="AG11" t="s">
        <v>27</v>
      </c>
      <c r="AH11" t="s">
        <v>217</v>
      </c>
      <c r="AI11">
        <v>0.37612616906334773</v>
      </c>
      <c r="AK11">
        <v>2020</v>
      </c>
      <c r="AL11" t="s">
        <v>215</v>
      </c>
      <c r="AM11">
        <v>0.48928256492932104</v>
      </c>
      <c r="AN11" t="s">
        <v>168</v>
      </c>
    </row>
    <row r="12" spans="1:40" x14ac:dyDescent="0.45">
      <c r="I12" t="s">
        <v>96</v>
      </c>
      <c r="J12" t="s">
        <v>217</v>
      </c>
      <c r="K12">
        <v>1.000000000000004</v>
      </c>
      <c r="L12" t="s">
        <v>84</v>
      </c>
      <c r="N12" t="s">
        <v>112</v>
      </c>
      <c r="O12" t="s">
        <v>217</v>
      </c>
      <c r="P12">
        <v>1.0000000000000007</v>
      </c>
      <c r="Q12" t="s">
        <v>84</v>
      </c>
      <c r="S12" t="s">
        <v>127</v>
      </c>
      <c r="T12" t="s">
        <v>217</v>
      </c>
      <c r="U12">
        <v>1.000000000000004</v>
      </c>
      <c r="V12" t="s">
        <v>84</v>
      </c>
      <c r="AC12" t="s">
        <v>8</v>
      </c>
      <c r="AD12" t="s">
        <v>217</v>
      </c>
      <c r="AE12">
        <v>1</v>
      </c>
      <c r="AK12">
        <v>2021</v>
      </c>
      <c r="AL12" t="s">
        <v>215</v>
      </c>
      <c r="AM12">
        <v>0.48782386778636183</v>
      </c>
      <c r="AN12" t="s">
        <v>168</v>
      </c>
    </row>
    <row r="13" spans="1:40" x14ac:dyDescent="0.45">
      <c r="I13" t="s">
        <v>97</v>
      </c>
      <c r="J13" t="s">
        <v>217</v>
      </c>
      <c r="K13">
        <v>1</v>
      </c>
      <c r="L13" t="s">
        <v>84</v>
      </c>
      <c r="N13" t="s">
        <v>113</v>
      </c>
      <c r="O13" t="s">
        <v>217</v>
      </c>
      <c r="P13">
        <v>1.0000000000000016</v>
      </c>
      <c r="Q13" t="s">
        <v>84</v>
      </c>
      <c r="S13" t="s">
        <v>128</v>
      </c>
      <c r="T13" t="s">
        <v>217</v>
      </c>
      <c r="U13">
        <v>1.0000000000000007</v>
      </c>
      <c r="V13" t="s">
        <v>84</v>
      </c>
      <c r="AK13">
        <v>2022</v>
      </c>
      <c r="AL13" t="s">
        <v>215</v>
      </c>
      <c r="AM13">
        <v>0.50609764846546423</v>
      </c>
      <c r="AN13" t="s">
        <v>168</v>
      </c>
    </row>
    <row r="14" spans="1:40" x14ac:dyDescent="0.45">
      <c r="I14" t="s">
        <v>98</v>
      </c>
      <c r="J14" t="s">
        <v>217</v>
      </c>
      <c r="K14">
        <v>1.0000000000000018</v>
      </c>
      <c r="L14" t="s">
        <v>84</v>
      </c>
      <c r="N14" t="s">
        <v>114</v>
      </c>
      <c r="O14" t="s">
        <v>217</v>
      </c>
      <c r="P14">
        <v>1.0000000000000002</v>
      </c>
      <c r="Q14" t="s">
        <v>84</v>
      </c>
      <c r="S14" t="s">
        <v>129</v>
      </c>
      <c r="T14" t="s">
        <v>217</v>
      </c>
      <c r="U14">
        <v>0.99999999999999911</v>
      </c>
      <c r="V14" t="s">
        <v>84</v>
      </c>
      <c r="AK14">
        <v>2025</v>
      </c>
      <c r="AL14" t="s">
        <v>215</v>
      </c>
      <c r="AM14">
        <v>0.50747500000000001</v>
      </c>
      <c r="AN14" t="s">
        <v>168</v>
      </c>
    </row>
    <row r="15" spans="1:40" x14ac:dyDescent="0.45">
      <c r="I15" t="s">
        <v>99</v>
      </c>
      <c r="J15" t="s">
        <v>217</v>
      </c>
      <c r="K15">
        <v>1.0000000000000009</v>
      </c>
      <c r="L15" t="s">
        <v>84</v>
      </c>
      <c r="N15" t="s">
        <v>115</v>
      </c>
      <c r="O15" t="s">
        <v>217</v>
      </c>
      <c r="P15">
        <v>1.0000000000000013</v>
      </c>
      <c r="Q15" t="s">
        <v>84</v>
      </c>
      <c r="S15" t="s">
        <v>130</v>
      </c>
      <c r="T15" t="s">
        <v>217</v>
      </c>
      <c r="U15">
        <v>1.000000000000002</v>
      </c>
      <c r="V15" t="s">
        <v>84</v>
      </c>
      <c r="AK15">
        <v>2026</v>
      </c>
      <c r="AL15" t="s">
        <v>215</v>
      </c>
      <c r="AM15">
        <v>0.50488333333333335</v>
      </c>
      <c r="AN15" t="s">
        <v>168</v>
      </c>
    </row>
    <row r="16" spans="1:40" x14ac:dyDescent="0.45">
      <c r="I16" t="s">
        <v>100</v>
      </c>
      <c r="J16" t="s">
        <v>217</v>
      </c>
      <c r="K16">
        <v>0.99999999999999889</v>
      </c>
      <c r="L16" t="s">
        <v>84</v>
      </c>
      <c r="N16" t="s">
        <v>116</v>
      </c>
      <c r="O16" t="s">
        <v>217</v>
      </c>
      <c r="P16">
        <v>1.0000000000000011</v>
      </c>
      <c r="Q16" t="s">
        <v>84</v>
      </c>
      <c r="S16" t="s">
        <v>131</v>
      </c>
      <c r="T16" t="s">
        <v>217</v>
      </c>
      <c r="U16">
        <v>1.0000000000000013</v>
      </c>
      <c r="V16" t="s">
        <v>84</v>
      </c>
      <c r="AK16">
        <v>2027</v>
      </c>
      <c r="AL16" t="s">
        <v>215</v>
      </c>
      <c r="AM16">
        <v>0.49974999999999997</v>
      </c>
      <c r="AN16" t="s">
        <v>168</v>
      </c>
    </row>
    <row r="17" spans="9:40" x14ac:dyDescent="0.45">
      <c r="I17" t="s">
        <v>101</v>
      </c>
      <c r="J17" t="s">
        <v>217</v>
      </c>
      <c r="K17">
        <v>1.0000000000000033</v>
      </c>
      <c r="L17" t="s">
        <v>84</v>
      </c>
      <c r="N17" t="s">
        <v>117</v>
      </c>
      <c r="O17" t="s">
        <v>217</v>
      </c>
      <c r="P17">
        <v>0.99999999999999789</v>
      </c>
      <c r="Q17" t="s">
        <v>84</v>
      </c>
      <c r="S17" t="s">
        <v>132</v>
      </c>
      <c r="T17" t="s">
        <v>217</v>
      </c>
      <c r="U17">
        <v>0.99999999999999911</v>
      </c>
      <c r="V17" t="s">
        <v>84</v>
      </c>
      <c r="AK17">
        <v>2028</v>
      </c>
      <c r="AL17" t="s">
        <v>215</v>
      </c>
      <c r="AM17">
        <v>0.48689166666666667</v>
      </c>
      <c r="AN17" t="s">
        <v>168</v>
      </c>
    </row>
    <row r="18" spans="9:40" x14ac:dyDescent="0.45">
      <c r="I18" t="s">
        <v>102</v>
      </c>
      <c r="J18" t="s">
        <v>217</v>
      </c>
      <c r="K18">
        <v>0.99999999999999911</v>
      </c>
      <c r="L18" t="s">
        <v>84</v>
      </c>
      <c r="N18" t="s">
        <v>118</v>
      </c>
      <c r="O18" t="s">
        <v>217</v>
      </c>
      <c r="P18">
        <v>0.99999999999999756</v>
      </c>
      <c r="Q18" t="s">
        <v>84</v>
      </c>
      <c r="S18" t="s">
        <v>133</v>
      </c>
      <c r="T18" t="s">
        <v>217</v>
      </c>
      <c r="U18">
        <v>0.99999999999999811</v>
      </c>
      <c r="V18" t="s">
        <v>84</v>
      </c>
      <c r="AK18">
        <v>2029</v>
      </c>
      <c r="AL18" t="s">
        <v>215</v>
      </c>
      <c r="AM18">
        <v>0.55917499999999998</v>
      </c>
      <c r="AN18" t="s">
        <v>168</v>
      </c>
    </row>
    <row r="19" spans="9:40" x14ac:dyDescent="0.45">
      <c r="I19" t="s">
        <v>103</v>
      </c>
      <c r="J19" t="s">
        <v>217</v>
      </c>
      <c r="K19">
        <v>1</v>
      </c>
      <c r="L19" t="s">
        <v>84</v>
      </c>
      <c r="N19" t="s">
        <v>119</v>
      </c>
      <c r="O19" t="s">
        <v>217</v>
      </c>
      <c r="P19">
        <v>1.0000000000000002</v>
      </c>
      <c r="Q19" t="s">
        <v>84</v>
      </c>
      <c r="S19" t="s">
        <v>134</v>
      </c>
      <c r="T19" t="s">
        <v>217</v>
      </c>
      <c r="U19">
        <v>1.000000000000002</v>
      </c>
      <c r="V19" t="s">
        <v>84</v>
      </c>
      <c r="AK19">
        <v>2030</v>
      </c>
      <c r="AL19" t="s">
        <v>215</v>
      </c>
      <c r="AM19">
        <v>0.56373333333333331</v>
      </c>
      <c r="AN19" t="s">
        <v>168</v>
      </c>
    </row>
    <row r="20" spans="9:40" x14ac:dyDescent="0.45">
      <c r="I20" t="s">
        <v>104</v>
      </c>
      <c r="J20" t="s">
        <v>217</v>
      </c>
      <c r="K20">
        <v>1.0000000000000022</v>
      </c>
      <c r="L20" t="s">
        <v>84</v>
      </c>
      <c r="N20" t="s">
        <v>120</v>
      </c>
      <c r="O20" t="s">
        <v>217</v>
      </c>
      <c r="P20">
        <v>1.0000000000000009</v>
      </c>
      <c r="Q20" t="s">
        <v>84</v>
      </c>
      <c r="S20" t="s">
        <v>135</v>
      </c>
      <c r="T20" t="s">
        <v>217</v>
      </c>
      <c r="U20">
        <v>1.0000000000000013</v>
      </c>
      <c r="V20" t="s">
        <v>84</v>
      </c>
      <c r="AK20">
        <v>2031</v>
      </c>
      <c r="AL20" t="s">
        <v>215</v>
      </c>
      <c r="AM20">
        <v>0.57908333333333328</v>
      </c>
      <c r="AN20" t="s">
        <v>168</v>
      </c>
    </row>
    <row r="21" spans="9:40" x14ac:dyDescent="0.45">
      <c r="I21" t="s">
        <v>105</v>
      </c>
      <c r="J21" t="s">
        <v>217</v>
      </c>
      <c r="K21">
        <v>1.0000000000000018</v>
      </c>
      <c r="L21" t="s">
        <v>84</v>
      </c>
      <c r="N21" t="s">
        <v>121</v>
      </c>
      <c r="O21" t="s">
        <v>217</v>
      </c>
      <c r="P21">
        <v>0.99999999999999933</v>
      </c>
      <c r="Q21" t="s">
        <v>84</v>
      </c>
      <c r="S21" t="s">
        <v>136</v>
      </c>
      <c r="T21" t="s">
        <v>217</v>
      </c>
      <c r="U21">
        <v>1.0000000000000016</v>
      </c>
      <c r="V21" t="s">
        <v>84</v>
      </c>
      <c r="AK21">
        <v>2032</v>
      </c>
      <c r="AL21" t="s">
        <v>215</v>
      </c>
      <c r="AM21">
        <v>0.57402500000000012</v>
      </c>
      <c r="AN21" t="s">
        <v>168</v>
      </c>
    </row>
    <row r="22" spans="9:40" x14ac:dyDescent="0.45">
      <c r="I22" t="s">
        <v>106</v>
      </c>
      <c r="J22" t="s">
        <v>217</v>
      </c>
      <c r="K22">
        <v>0.999999999999999</v>
      </c>
      <c r="L22" t="s">
        <v>84</v>
      </c>
      <c r="N22" t="s">
        <v>122</v>
      </c>
      <c r="O22" t="s">
        <v>217</v>
      </c>
      <c r="P22">
        <v>0.99999999999999845</v>
      </c>
      <c r="Q22" t="s">
        <v>84</v>
      </c>
      <c r="S22" t="s">
        <v>137</v>
      </c>
      <c r="T22" t="s">
        <v>217</v>
      </c>
      <c r="U22">
        <v>0.99999999999999833</v>
      </c>
      <c r="V22" t="s">
        <v>84</v>
      </c>
      <c r="AK22">
        <v>2033</v>
      </c>
      <c r="AL22" t="s">
        <v>215</v>
      </c>
      <c r="AM22">
        <v>0.59891666666666665</v>
      </c>
      <c r="AN22" t="s">
        <v>168</v>
      </c>
    </row>
    <row r="23" spans="9:40" x14ac:dyDescent="0.45">
      <c r="I23" t="s">
        <v>107</v>
      </c>
      <c r="J23" t="s">
        <v>217</v>
      </c>
      <c r="K23">
        <v>1.0000000000000022</v>
      </c>
      <c r="L23" t="s">
        <v>84</v>
      </c>
      <c r="N23" t="s">
        <v>123</v>
      </c>
      <c r="O23" t="s">
        <v>217</v>
      </c>
      <c r="P23">
        <v>0.99999999999999856</v>
      </c>
      <c r="Q23" t="s">
        <v>84</v>
      </c>
      <c r="S23" t="s">
        <v>138</v>
      </c>
      <c r="T23" t="s">
        <v>217</v>
      </c>
      <c r="U23">
        <v>0.99999999999999534</v>
      </c>
      <c r="V23" t="s">
        <v>84</v>
      </c>
      <c r="AK23">
        <v>2034</v>
      </c>
      <c r="AL23" t="s">
        <v>215</v>
      </c>
      <c r="AM23">
        <v>0.50264166666666665</v>
      </c>
      <c r="AN23" t="s">
        <v>168</v>
      </c>
    </row>
    <row r="24" spans="9:40" x14ac:dyDescent="0.45">
      <c r="I24" t="s">
        <v>108</v>
      </c>
      <c r="J24" t="s">
        <v>217</v>
      </c>
      <c r="K24">
        <v>1.0000000000000007</v>
      </c>
      <c r="L24" t="s">
        <v>84</v>
      </c>
      <c r="N24" t="s">
        <v>124</v>
      </c>
      <c r="O24" t="s">
        <v>217</v>
      </c>
      <c r="P24">
        <v>0.99999999999999456</v>
      </c>
      <c r="Q24" t="s">
        <v>84</v>
      </c>
      <c r="S24" t="s">
        <v>139</v>
      </c>
      <c r="T24" t="s">
        <v>217</v>
      </c>
      <c r="U24">
        <v>1.0000000000000013</v>
      </c>
      <c r="V24" t="s">
        <v>84</v>
      </c>
      <c r="AK24">
        <v>2035</v>
      </c>
      <c r="AL24" t="s">
        <v>215</v>
      </c>
      <c r="AM24">
        <v>0.58405000000000007</v>
      </c>
      <c r="AN24" t="s">
        <v>168</v>
      </c>
    </row>
    <row r="25" spans="9:40" x14ac:dyDescent="0.45">
      <c r="I25" t="s">
        <v>109</v>
      </c>
      <c r="J25" t="s">
        <v>217</v>
      </c>
      <c r="K25">
        <v>0.99999999999999944</v>
      </c>
      <c r="L25" t="s">
        <v>84</v>
      </c>
      <c r="N25" t="s">
        <v>125</v>
      </c>
      <c r="O25" t="s">
        <v>217</v>
      </c>
      <c r="P25">
        <v>1.0000000000000016</v>
      </c>
      <c r="Q25" t="s">
        <v>84</v>
      </c>
      <c r="S25" t="s">
        <v>140</v>
      </c>
      <c r="T25" t="s">
        <v>217</v>
      </c>
      <c r="U25">
        <v>1.0000000000000016</v>
      </c>
      <c r="V25" t="s">
        <v>84</v>
      </c>
      <c r="AK25">
        <v>2036</v>
      </c>
      <c r="AL25" t="s">
        <v>215</v>
      </c>
      <c r="AM25">
        <v>0.57240000000000002</v>
      </c>
      <c r="AN25" t="s">
        <v>168</v>
      </c>
    </row>
    <row r="26" spans="9:40" x14ac:dyDescent="0.45">
      <c r="I26" t="s">
        <v>110</v>
      </c>
      <c r="J26" t="s">
        <v>217</v>
      </c>
      <c r="K26">
        <v>1.0000000000000004</v>
      </c>
      <c r="L26" t="s">
        <v>84</v>
      </c>
      <c r="S26" t="s">
        <v>141</v>
      </c>
      <c r="T26" t="s">
        <v>217</v>
      </c>
      <c r="U26">
        <v>0.99999999999999944</v>
      </c>
      <c r="V26" t="s">
        <v>84</v>
      </c>
      <c r="AK26">
        <v>2037</v>
      </c>
      <c r="AL26" t="s">
        <v>215</v>
      </c>
      <c r="AM26">
        <v>0.43127500000000002</v>
      </c>
      <c r="AN26" t="s">
        <v>168</v>
      </c>
    </row>
    <row r="27" spans="9:40" x14ac:dyDescent="0.45">
      <c r="S27" t="s">
        <v>142</v>
      </c>
      <c r="T27" t="s">
        <v>217</v>
      </c>
      <c r="U27">
        <v>1.0000000000000016</v>
      </c>
      <c r="V27" t="s">
        <v>84</v>
      </c>
      <c r="AK27">
        <v>2038</v>
      </c>
      <c r="AL27" t="s">
        <v>215</v>
      </c>
      <c r="AM27">
        <v>0.57272499999999993</v>
      </c>
      <c r="AN27" t="s">
        <v>168</v>
      </c>
    </row>
    <row r="28" spans="9:40" x14ac:dyDescent="0.45">
      <c r="S28" t="s">
        <v>143</v>
      </c>
      <c r="T28" t="s">
        <v>217</v>
      </c>
      <c r="U28">
        <v>0.99999999999999911</v>
      </c>
      <c r="V28" t="s">
        <v>84</v>
      </c>
      <c r="AK28">
        <v>2039</v>
      </c>
      <c r="AL28" t="s">
        <v>215</v>
      </c>
      <c r="AM28">
        <v>0.41674166666666679</v>
      </c>
      <c r="AN28" t="s">
        <v>168</v>
      </c>
    </row>
    <row r="29" spans="9:40" x14ac:dyDescent="0.45">
      <c r="S29" t="s">
        <v>144</v>
      </c>
      <c r="T29" t="s">
        <v>217</v>
      </c>
      <c r="U29">
        <v>0.99999999999999944</v>
      </c>
      <c r="V29" t="s">
        <v>84</v>
      </c>
      <c r="AK29">
        <v>2040</v>
      </c>
      <c r="AL29" t="s">
        <v>215</v>
      </c>
      <c r="AM29">
        <v>0.43020833333333336</v>
      </c>
      <c r="AN29" t="s">
        <v>168</v>
      </c>
    </row>
    <row r="30" spans="9:40" x14ac:dyDescent="0.45">
      <c r="S30" t="s">
        <v>145</v>
      </c>
      <c r="T30" t="s">
        <v>217</v>
      </c>
      <c r="U30">
        <v>0.99999999999999689</v>
      </c>
      <c r="V30" t="s">
        <v>84</v>
      </c>
      <c r="AK30">
        <v>2041</v>
      </c>
      <c r="AL30" t="s">
        <v>215</v>
      </c>
      <c r="AM30">
        <v>0.43769999999999998</v>
      </c>
      <c r="AN30" t="s">
        <v>168</v>
      </c>
    </row>
    <row r="31" spans="9:40" x14ac:dyDescent="0.45">
      <c r="S31" t="s">
        <v>146</v>
      </c>
      <c r="T31" t="s">
        <v>217</v>
      </c>
      <c r="U31">
        <v>0.99999999999999789</v>
      </c>
      <c r="V31" t="s">
        <v>84</v>
      </c>
      <c r="AK31">
        <v>2042</v>
      </c>
      <c r="AL31" t="s">
        <v>215</v>
      </c>
      <c r="AM31">
        <v>0.4079916666666667</v>
      </c>
      <c r="AN31" t="s">
        <v>168</v>
      </c>
    </row>
    <row r="32" spans="9:40" x14ac:dyDescent="0.45">
      <c r="S32" t="s">
        <v>147</v>
      </c>
      <c r="T32" t="s">
        <v>217</v>
      </c>
      <c r="U32">
        <v>1.0000000000000002</v>
      </c>
      <c r="V32" t="s">
        <v>84</v>
      </c>
      <c r="AK32">
        <v>2043</v>
      </c>
      <c r="AL32" t="s">
        <v>215</v>
      </c>
      <c r="AM32">
        <v>0.42603333333333326</v>
      </c>
      <c r="AN32" t="s">
        <v>168</v>
      </c>
    </row>
    <row r="33" spans="19:40" x14ac:dyDescent="0.45">
      <c r="S33" t="s">
        <v>148</v>
      </c>
      <c r="T33" t="s">
        <v>217</v>
      </c>
      <c r="U33">
        <v>0.99999999999999689</v>
      </c>
      <c r="V33" t="s">
        <v>84</v>
      </c>
      <c r="AK33">
        <v>2044</v>
      </c>
      <c r="AL33" t="s">
        <v>215</v>
      </c>
      <c r="AM33">
        <v>0.41792499999999994</v>
      </c>
      <c r="AN33" t="s">
        <v>168</v>
      </c>
    </row>
    <row r="34" spans="19:40" x14ac:dyDescent="0.45">
      <c r="S34" t="s">
        <v>149</v>
      </c>
      <c r="T34" t="s">
        <v>217</v>
      </c>
      <c r="U34">
        <v>1.0000000000000007</v>
      </c>
      <c r="V34" t="s">
        <v>84</v>
      </c>
      <c r="AK34">
        <v>2045</v>
      </c>
      <c r="AL34" t="s">
        <v>215</v>
      </c>
      <c r="AM34">
        <v>0.58658333333333335</v>
      </c>
      <c r="AN34" t="s">
        <v>168</v>
      </c>
    </row>
    <row r="35" spans="19:40" x14ac:dyDescent="0.45">
      <c r="S35" t="s">
        <v>150</v>
      </c>
      <c r="T35" t="s">
        <v>217</v>
      </c>
      <c r="U35">
        <v>0.99999999999999911</v>
      </c>
      <c r="V35" t="s">
        <v>84</v>
      </c>
      <c r="AK35">
        <v>2046</v>
      </c>
      <c r="AL35" t="s">
        <v>215</v>
      </c>
      <c r="AM35">
        <v>0.5784083333333333</v>
      </c>
      <c r="AN35" t="s">
        <v>168</v>
      </c>
    </row>
    <row r="36" spans="19:40" x14ac:dyDescent="0.45">
      <c r="S36" t="s">
        <v>151</v>
      </c>
      <c r="T36" t="s">
        <v>217</v>
      </c>
      <c r="U36">
        <v>1.0000000000000018</v>
      </c>
      <c r="V36" t="s">
        <v>84</v>
      </c>
      <c r="AK36">
        <v>2047</v>
      </c>
      <c r="AL36" t="s">
        <v>215</v>
      </c>
      <c r="AM36">
        <v>0.56420000000000015</v>
      </c>
      <c r="AN36" t="s">
        <v>168</v>
      </c>
    </row>
    <row r="37" spans="19:40" x14ac:dyDescent="0.45">
      <c r="S37" t="s">
        <v>152</v>
      </c>
      <c r="T37" t="s">
        <v>217</v>
      </c>
      <c r="U37">
        <v>0.99999999999999756</v>
      </c>
      <c r="V37" t="s">
        <v>84</v>
      </c>
      <c r="AK37">
        <v>2048</v>
      </c>
      <c r="AL37" t="s">
        <v>215</v>
      </c>
      <c r="AM37">
        <v>0.56918333333333326</v>
      </c>
      <c r="AN37" t="s">
        <v>168</v>
      </c>
    </row>
    <row r="38" spans="19:40" x14ac:dyDescent="0.45">
      <c r="S38" t="s">
        <v>153</v>
      </c>
      <c r="T38" t="s">
        <v>217</v>
      </c>
      <c r="U38">
        <v>1.000000000000002</v>
      </c>
      <c r="V38" t="s">
        <v>84</v>
      </c>
      <c r="AK38">
        <v>2049</v>
      </c>
      <c r="AL38" t="s">
        <v>215</v>
      </c>
      <c r="AM38">
        <v>0.49561666666666665</v>
      </c>
      <c r="AN38" t="s">
        <v>168</v>
      </c>
    </row>
    <row r="39" spans="19:40" x14ac:dyDescent="0.45">
      <c r="S39" t="s">
        <v>154</v>
      </c>
      <c r="T39" t="s">
        <v>217</v>
      </c>
      <c r="U39">
        <v>0.999999999999999</v>
      </c>
      <c r="V39" t="s">
        <v>84</v>
      </c>
      <c r="AK39">
        <v>2050</v>
      </c>
      <c r="AL39" t="s">
        <v>215</v>
      </c>
      <c r="AM39">
        <v>0.48384166666666667</v>
      </c>
      <c r="AN39" t="s">
        <v>168</v>
      </c>
    </row>
    <row r="40" spans="19:40" x14ac:dyDescent="0.45">
      <c r="S40" t="s">
        <v>155</v>
      </c>
      <c r="T40" t="s">
        <v>217</v>
      </c>
      <c r="U40">
        <v>0.99999999999999656</v>
      </c>
      <c r="V40" t="s">
        <v>84</v>
      </c>
    </row>
    <row r="41" spans="19:40" x14ac:dyDescent="0.45">
      <c r="S41" t="s">
        <v>156</v>
      </c>
      <c r="T41" t="s">
        <v>217</v>
      </c>
      <c r="U41">
        <v>0.999999999999997</v>
      </c>
      <c r="V41" t="s">
        <v>84</v>
      </c>
    </row>
    <row r="42" spans="19:40" x14ac:dyDescent="0.45">
      <c r="S42" t="s">
        <v>157</v>
      </c>
      <c r="T42" t="s">
        <v>217</v>
      </c>
      <c r="U42">
        <v>0.99999999999999889</v>
      </c>
      <c r="V42" t="s">
        <v>84</v>
      </c>
    </row>
    <row r="43" spans="19:40" x14ac:dyDescent="0.45">
      <c r="S43" t="s">
        <v>158</v>
      </c>
      <c r="T43" t="s">
        <v>217</v>
      </c>
      <c r="U43">
        <v>0.99999999999999423</v>
      </c>
      <c r="V43" t="s">
        <v>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57</v>
      </c>
      <c r="C10" t="s">
        <v>67</v>
      </c>
      <c r="D10" t="s">
        <v>68</v>
      </c>
      <c r="E10" t="s">
        <v>69</v>
      </c>
      <c r="F10" t="s">
        <v>70</v>
      </c>
      <c r="G10" t="s">
        <v>71</v>
      </c>
      <c r="I10" t="s">
        <v>6</v>
      </c>
      <c r="J10" t="s">
        <v>47</v>
      </c>
      <c r="K10" t="s">
        <v>81</v>
      </c>
      <c r="L10" t="s">
        <v>11</v>
      </c>
      <c r="N10" t="s">
        <v>6</v>
      </c>
      <c r="O10" t="s">
        <v>47</v>
      </c>
      <c r="P10" t="s">
        <v>81</v>
      </c>
      <c r="Q10" t="s">
        <v>11</v>
      </c>
      <c r="S10" t="s">
        <v>6</v>
      </c>
      <c r="T10" t="s">
        <v>47</v>
      </c>
      <c r="U10" t="s">
        <v>81</v>
      </c>
      <c r="V10" t="s">
        <v>11</v>
      </c>
      <c r="X10" t="s">
        <v>159</v>
      </c>
      <c r="Y10" t="s">
        <v>81</v>
      </c>
      <c r="Z10" t="s">
        <v>47</v>
      </c>
      <c r="AA10" t="s">
        <v>6</v>
      </c>
      <c r="AC10" t="s">
        <v>6</v>
      </c>
      <c r="AD10" t="s">
        <v>47</v>
      </c>
      <c r="AE10" t="s">
        <v>81</v>
      </c>
      <c r="AG10" t="s">
        <v>6</v>
      </c>
      <c r="AH10" t="s">
        <v>47</v>
      </c>
      <c r="AI10" t="s">
        <v>165</v>
      </c>
      <c r="AK10" t="s">
        <v>14</v>
      </c>
      <c r="AL10" t="s">
        <v>47</v>
      </c>
      <c r="AM10" t="s">
        <v>166</v>
      </c>
      <c r="AN10" t="s">
        <v>167</v>
      </c>
    </row>
    <row r="11" spans="1:40" x14ac:dyDescent="0.45">
      <c r="A11" t="str">
        <f>IFERROR(IF(Veda!D5=A10,"ok","x"),"")</f>
        <v>x</v>
      </c>
      <c r="C11" t="s">
        <v>218</v>
      </c>
      <c r="D11" t="s">
        <v>73</v>
      </c>
      <c r="E11" t="s">
        <v>161</v>
      </c>
      <c r="F11" t="s">
        <v>219</v>
      </c>
      <c r="G11" t="s">
        <v>73</v>
      </c>
      <c r="I11" t="s">
        <v>82</v>
      </c>
      <c r="J11" t="s">
        <v>224</v>
      </c>
      <c r="K11">
        <v>0.25547648309021947</v>
      </c>
      <c r="L11" t="s">
        <v>84</v>
      </c>
      <c r="N11" t="s">
        <v>111</v>
      </c>
      <c r="O11" t="s">
        <v>224</v>
      </c>
      <c r="P11">
        <v>0.13593918959374027</v>
      </c>
      <c r="Q11" t="s">
        <v>84</v>
      </c>
      <c r="S11" t="s">
        <v>126</v>
      </c>
      <c r="T11" t="s">
        <v>224</v>
      </c>
      <c r="U11">
        <v>9.8830018399223021E-2</v>
      </c>
      <c r="V11" t="s">
        <v>84</v>
      </c>
      <c r="X11">
        <v>0.11426940639269406</v>
      </c>
      <c r="Y11">
        <v>0.16087081189037786</v>
      </c>
      <c r="Z11" t="s">
        <v>224</v>
      </c>
      <c r="AA11" t="s">
        <v>10</v>
      </c>
      <c r="AC11" t="s">
        <v>9</v>
      </c>
      <c r="AD11" t="s">
        <v>224</v>
      </c>
      <c r="AE11">
        <v>0.10093429089532406</v>
      </c>
      <c r="AG11" t="s">
        <v>27</v>
      </c>
      <c r="AH11" t="s">
        <v>224</v>
      </c>
      <c r="AI11">
        <v>0.35998850027571061</v>
      </c>
      <c r="AK11">
        <v>2020</v>
      </c>
      <c r="AL11" t="s">
        <v>218</v>
      </c>
      <c r="AM11">
        <v>0.49906331260102599</v>
      </c>
      <c r="AN11" t="s">
        <v>168</v>
      </c>
    </row>
    <row r="12" spans="1:40" x14ac:dyDescent="0.45">
      <c r="C12" t="s">
        <v>220</v>
      </c>
      <c r="E12" t="s">
        <v>163</v>
      </c>
      <c r="G12" t="s">
        <v>73</v>
      </c>
      <c r="I12" t="s">
        <v>82</v>
      </c>
      <c r="J12" t="s">
        <v>225</v>
      </c>
      <c r="K12">
        <v>4.781184876310531E-3</v>
      </c>
      <c r="L12" t="s">
        <v>84</v>
      </c>
      <c r="N12" t="s">
        <v>111</v>
      </c>
      <c r="O12" t="s">
        <v>225</v>
      </c>
      <c r="P12">
        <v>0.12768991238936273</v>
      </c>
      <c r="Q12" t="s">
        <v>84</v>
      </c>
      <c r="S12" t="s">
        <v>126</v>
      </c>
      <c r="T12" t="s">
        <v>225</v>
      </c>
      <c r="U12">
        <v>9.2572220839080135E-2</v>
      </c>
      <c r="V12" t="s">
        <v>84</v>
      </c>
      <c r="X12">
        <v>0.11426940639269406</v>
      </c>
      <c r="Y12">
        <v>5.2547713165767528E-2</v>
      </c>
      <c r="Z12" t="s">
        <v>225</v>
      </c>
      <c r="AA12" t="s">
        <v>10</v>
      </c>
      <c r="AC12" t="s">
        <v>9</v>
      </c>
      <c r="AD12" t="s">
        <v>225</v>
      </c>
      <c r="AE12">
        <v>0.1272073915286048</v>
      </c>
      <c r="AG12" t="s">
        <v>27</v>
      </c>
      <c r="AH12" t="s">
        <v>225</v>
      </c>
      <c r="AI12">
        <v>0.17305801594904824</v>
      </c>
      <c r="AK12">
        <v>2020</v>
      </c>
      <c r="AL12" t="s">
        <v>220</v>
      </c>
      <c r="AM12">
        <v>0.46570823669969769</v>
      </c>
      <c r="AN12" t="s">
        <v>168</v>
      </c>
    </row>
    <row r="13" spans="1:40" x14ac:dyDescent="0.45">
      <c r="C13" t="s">
        <v>221</v>
      </c>
      <c r="E13" t="s">
        <v>222</v>
      </c>
      <c r="G13" t="s">
        <v>73</v>
      </c>
      <c r="I13" t="s">
        <v>82</v>
      </c>
      <c r="J13" t="s">
        <v>226</v>
      </c>
      <c r="K13">
        <v>3.7459964990117244E-2</v>
      </c>
      <c r="L13" t="s">
        <v>84</v>
      </c>
      <c r="N13" t="s">
        <v>111</v>
      </c>
      <c r="O13" t="s">
        <v>226</v>
      </c>
      <c r="P13">
        <v>2.4863295887677033E-2</v>
      </c>
      <c r="Q13" t="s">
        <v>84</v>
      </c>
      <c r="S13" t="s">
        <v>126</v>
      </c>
      <c r="T13" t="s">
        <v>226</v>
      </c>
      <c r="U13">
        <v>1.7833706309445547E-2</v>
      </c>
      <c r="V13" t="s">
        <v>84</v>
      </c>
      <c r="X13">
        <v>2.0776255707762557E-2</v>
      </c>
      <c r="Y13">
        <v>3.5896543437005365E-2</v>
      </c>
      <c r="Z13" t="s">
        <v>226</v>
      </c>
      <c r="AA13" t="s">
        <v>10</v>
      </c>
      <c r="AC13" t="s">
        <v>9</v>
      </c>
      <c r="AD13" t="s">
        <v>226</v>
      </c>
      <c r="AE13">
        <v>1.8718359963351857E-2</v>
      </c>
      <c r="AG13" t="s">
        <v>27</v>
      </c>
      <c r="AH13" t="s">
        <v>226</v>
      </c>
      <c r="AI13">
        <v>0.24560594736682795</v>
      </c>
      <c r="AK13">
        <v>2020</v>
      </c>
      <c r="AL13" t="s">
        <v>221</v>
      </c>
      <c r="AM13">
        <v>0.50076538231780165</v>
      </c>
      <c r="AN13" t="s">
        <v>168</v>
      </c>
    </row>
    <row r="14" spans="1:40" x14ac:dyDescent="0.45">
      <c r="C14" t="s">
        <v>223</v>
      </c>
      <c r="I14" t="s">
        <v>82</v>
      </c>
      <c r="J14" t="s">
        <v>227</v>
      </c>
      <c r="K14">
        <v>0.17289921939415251</v>
      </c>
      <c r="L14" t="s">
        <v>84</v>
      </c>
      <c r="N14" t="s">
        <v>111</v>
      </c>
      <c r="O14" t="s">
        <v>227</v>
      </c>
      <c r="P14">
        <v>0.10439394062836611</v>
      </c>
      <c r="Q14" t="s">
        <v>84</v>
      </c>
      <c r="S14" t="s">
        <v>126</v>
      </c>
      <c r="T14" t="s">
        <v>227</v>
      </c>
      <c r="U14">
        <v>0.11407016863122676</v>
      </c>
      <c r="V14" t="s">
        <v>84</v>
      </c>
      <c r="X14">
        <v>0.11552511415525114</v>
      </c>
      <c r="Y14">
        <v>0.16263862301005233</v>
      </c>
      <c r="Z14" t="s">
        <v>227</v>
      </c>
      <c r="AA14" t="s">
        <v>10</v>
      </c>
      <c r="AC14" t="s">
        <v>9</v>
      </c>
      <c r="AD14" t="s">
        <v>227</v>
      </c>
      <c r="AE14">
        <v>0.10078018080767256</v>
      </c>
      <c r="AG14" t="s">
        <v>27</v>
      </c>
      <c r="AH14" t="s">
        <v>227</v>
      </c>
      <c r="AI14">
        <v>0.39515618482074943</v>
      </c>
      <c r="AK14">
        <v>2020</v>
      </c>
      <c r="AL14" t="s">
        <v>223</v>
      </c>
      <c r="AM14">
        <v>0.49159332809875894</v>
      </c>
      <c r="AN14" t="s">
        <v>168</v>
      </c>
    </row>
    <row r="15" spans="1:40" x14ac:dyDescent="0.45">
      <c r="I15" t="s">
        <v>82</v>
      </c>
      <c r="J15" t="s">
        <v>228</v>
      </c>
      <c r="K15">
        <v>1.3351280726390463E-3</v>
      </c>
      <c r="L15" t="s">
        <v>84</v>
      </c>
      <c r="N15" t="s">
        <v>111</v>
      </c>
      <c r="O15" t="s">
        <v>228</v>
      </c>
      <c r="P15">
        <v>9.9913824567648038E-2</v>
      </c>
      <c r="Q15" t="s">
        <v>84</v>
      </c>
      <c r="S15" t="s">
        <v>126</v>
      </c>
      <c r="T15" t="s">
        <v>228</v>
      </c>
      <c r="U15">
        <v>0.11064685492897774</v>
      </c>
      <c r="V15" t="s">
        <v>84</v>
      </c>
      <c r="X15">
        <v>0.11552511415525114</v>
      </c>
      <c r="Y15">
        <v>5.3125160563193538E-2</v>
      </c>
      <c r="Z15" t="s">
        <v>228</v>
      </c>
      <c r="AA15" t="s">
        <v>10</v>
      </c>
      <c r="AC15" t="s">
        <v>9</v>
      </c>
      <c r="AD15" t="s">
        <v>228</v>
      </c>
      <c r="AE15">
        <v>0.12522570279593356</v>
      </c>
      <c r="AG15" t="s">
        <v>27</v>
      </c>
      <c r="AH15" t="s">
        <v>228</v>
      </c>
      <c r="AI15">
        <v>0.21556391233558636</v>
      </c>
      <c r="AK15">
        <v>2021</v>
      </c>
      <c r="AL15" t="s">
        <v>218</v>
      </c>
      <c r="AM15">
        <v>0.53952864748049756</v>
      </c>
      <c r="AN15" t="s">
        <v>168</v>
      </c>
    </row>
    <row r="16" spans="1:40" x14ac:dyDescent="0.45">
      <c r="I16" t="s">
        <v>82</v>
      </c>
      <c r="J16" t="s">
        <v>229</v>
      </c>
      <c r="K16">
        <v>2.3753683055994332E-2</v>
      </c>
      <c r="L16" t="s">
        <v>84</v>
      </c>
      <c r="N16" t="s">
        <v>111</v>
      </c>
      <c r="O16" t="s">
        <v>229</v>
      </c>
      <c r="P16">
        <v>1.9342934576303206E-2</v>
      </c>
      <c r="Q16" t="s">
        <v>84</v>
      </c>
      <c r="S16" t="s">
        <v>126</v>
      </c>
      <c r="T16" t="s">
        <v>229</v>
      </c>
      <c r="U16">
        <v>2.0780685239560056E-2</v>
      </c>
      <c r="V16" t="s">
        <v>84</v>
      </c>
      <c r="X16">
        <v>2.1004566210045664E-2</v>
      </c>
      <c r="Y16">
        <v>3.6291010947302131E-2</v>
      </c>
      <c r="Z16" t="s">
        <v>229</v>
      </c>
      <c r="AA16" t="s">
        <v>10</v>
      </c>
      <c r="AC16" t="s">
        <v>9</v>
      </c>
      <c r="AD16" t="s">
        <v>229</v>
      </c>
      <c r="AE16">
        <v>1.7370162062054217E-2</v>
      </c>
      <c r="AG16" t="s">
        <v>27</v>
      </c>
      <c r="AH16" t="s">
        <v>229</v>
      </c>
      <c r="AI16">
        <v>0.18511195114858991</v>
      </c>
      <c r="AK16">
        <v>2021</v>
      </c>
      <c r="AL16" t="s">
        <v>220</v>
      </c>
      <c r="AM16">
        <v>0.42609393667861406</v>
      </c>
      <c r="AN16" t="s">
        <v>168</v>
      </c>
    </row>
    <row r="17" spans="9:40" x14ac:dyDescent="0.45">
      <c r="I17" t="s">
        <v>82</v>
      </c>
      <c r="J17" t="s">
        <v>230</v>
      </c>
      <c r="K17">
        <v>0.10791067559763444</v>
      </c>
      <c r="L17" t="s">
        <v>84</v>
      </c>
      <c r="N17" t="s">
        <v>111</v>
      </c>
      <c r="O17" t="s">
        <v>230</v>
      </c>
      <c r="P17">
        <v>0.11903478178078167</v>
      </c>
      <c r="Q17" t="s">
        <v>84</v>
      </c>
      <c r="S17" t="s">
        <v>126</v>
      </c>
      <c r="T17" t="s">
        <v>230</v>
      </c>
      <c r="U17">
        <v>0.13691116307115334</v>
      </c>
      <c r="V17" t="s">
        <v>84</v>
      </c>
      <c r="X17">
        <v>0.11552511415525114</v>
      </c>
      <c r="Y17">
        <v>0.16263862301005233</v>
      </c>
      <c r="Z17" t="s">
        <v>230</v>
      </c>
      <c r="AA17" t="s">
        <v>10</v>
      </c>
      <c r="AC17" t="s">
        <v>9</v>
      </c>
      <c r="AD17" t="s">
        <v>230</v>
      </c>
      <c r="AE17">
        <v>0.11587542479796292</v>
      </c>
      <c r="AG17" t="s">
        <v>27</v>
      </c>
      <c r="AH17" t="s">
        <v>230</v>
      </c>
      <c r="AI17">
        <v>0.32459355126395217</v>
      </c>
      <c r="AK17">
        <v>2021</v>
      </c>
      <c r="AL17" t="s">
        <v>221</v>
      </c>
      <c r="AM17">
        <v>0.51814296507133317</v>
      </c>
      <c r="AN17" t="s">
        <v>168</v>
      </c>
    </row>
    <row r="18" spans="9:40" x14ac:dyDescent="0.45">
      <c r="I18" t="s">
        <v>82</v>
      </c>
      <c r="J18" t="s">
        <v>231</v>
      </c>
      <c r="K18">
        <v>0</v>
      </c>
      <c r="L18" t="s">
        <v>84</v>
      </c>
      <c r="N18" t="s">
        <v>111</v>
      </c>
      <c r="O18" t="s">
        <v>231</v>
      </c>
      <c r="P18">
        <v>0.11963104640158047</v>
      </c>
      <c r="Q18" t="s">
        <v>84</v>
      </c>
      <c r="S18" t="s">
        <v>126</v>
      </c>
      <c r="T18" t="s">
        <v>231</v>
      </c>
      <c r="U18">
        <v>0.13502948514178137</v>
      </c>
      <c r="V18" t="s">
        <v>84</v>
      </c>
      <c r="X18">
        <v>0.11552511415525114</v>
      </c>
      <c r="Y18">
        <v>5.3125160563193538E-2</v>
      </c>
      <c r="Z18" t="s">
        <v>231</v>
      </c>
      <c r="AA18" t="s">
        <v>10</v>
      </c>
      <c r="AC18" t="s">
        <v>9</v>
      </c>
      <c r="AD18" t="s">
        <v>231</v>
      </c>
      <c r="AE18">
        <v>0.14095344128373866</v>
      </c>
      <c r="AG18" t="s">
        <v>27</v>
      </c>
      <c r="AH18" t="s">
        <v>231</v>
      </c>
      <c r="AI18">
        <v>0.20944327214456826</v>
      </c>
      <c r="AK18">
        <v>2021</v>
      </c>
      <c r="AL18" t="s">
        <v>223</v>
      </c>
      <c r="AM18">
        <v>0.46752992191500248</v>
      </c>
      <c r="AN18" t="s">
        <v>168</v>
      </c>
    </row>
    <row r="19" spans="9:40" x14ac:dyDescent="0.45">
      <c r="I19" t="s">
        <v>82</v>
      </c>
      <c r="J19" t="s">
        <v>232</v>
      </c>
      <c r="K19">
        <v>1.1611904885723159E-2</v>
      </c>
      <c r="L19" t="s">
        <v>84</v>
      </c>
      <c r="N19" t="s">
        <v>111</v>
      </c>
      <c r="O19" t="s">
        <v>232</v>
      </c>
      <c r="P19">
        <v>2.1673462992642351E-2</v>
      </c>
      <c r="Q19" t="s">
        <v>84</v>
      </c>
      <c r="S19" t="s">
        <v>126</v>
      </c>
      <c r="T19" t="s">
        <v>232</v>
      </c>
      <c r="U19">
        <v>2.4423679115115608E-2</v>
      </c>
      <c r="V19" t="s">
        <v>84</v>
      </c>
      <c r="X19">
        <v>2.1004566210045664E-2</v>
      </c>
      <c r="Y19">
        <v>3.6291010947302131E-2</v>
      </c>
      <c r="Z19" t="s">
        <v>232</v>
      </c>
      <c r="AA19" t="s">
        <v>10</v>
      </c>
      <c r="AC19" t="s">
        <v>9</v>
      </c>
      <c r="AD19" t="s">
        <v>232</v>
      </c>
      <c r="AE19">
        <v>1.9499468666719314E-2</v>
      </c>
      <c r="AG19" t="s">
        <v>27</v>
      </c>
      <c r="AH19" t="s">
        <v>232</v>
      </c>
      <c r="AI19">
        <v>0.2127844276767763</v>
      </c>
      <c r="AK19">
        <v>2022</v>
      </c>
      <c r="AL19" t="s">
        <v>218</v>
      </c>
      <c r="AM19">
        <v>0.56858099012233498</v>
      </c>
      <c r="AN19" t="s">
        <v>168</v>
      </c>
    </row>
    <row r="20" spans="9:40" x14ac:dyDescent="0.45">
      <c r="I20" t="s">
        <v>82</v>
      </c>
      <c r="J20" t="s">
        <v>233</v>
      </c>
      <c r="K20">
        <v>0.31415461832130115</v>
      </c>
      <c r="L20" t="s">
        <v>84</v>
      </c>
      <c r="N20" t="s">
        <v>111</v>
      </c>
      <c r="O20" t="s">
        <v>233</v>
      </c>
      <c r="P20">
        <v>0.10375879740780816</v>
      </c>
      <c r="Q20" t="s">
        <v>84</v>
      </c>
      <c r="S20" t="s">
        <v>126</v>
      </c>
      <c r="T20" t="s">
        <v>233</v>
      </c>
      <c r="U20">
        <v>0.114312238393733</v>
      </c>
      <c r="V20" t="s">
        <v>84</v>
      </c>
      <c r="X20">
        <v>0.11301369863013698</v>
      </c>
      <c r="Y20">
        <v>0.15910300077070333</v>
      </c>
      <c r="Z20" t="s">
        <v>233</v>
      </c>
      <c r="AA20" t="s">
        <v>10</v>
      </c>
      <c r="AC20" t="s">
        <v>9</v>
      </c>
      <c r="AD20" t="s">
        <v>233</v>
      </c>
      <c r="AE20">
        <v>9.4110631049900001E-2</v>
      </c>
      <c r="AG20" t="s">
        <v>27</v>
      </c>
      <c r="AH20" t="s">
        <v>233</v>
      </c>
      <c r="AI20">
        <v>0.24183427011941916</v>
      </c>
      <c r="AK20">
        <v>2022</v>
      </c>
      <c r="AL20" t="s">
        <v>220</v>
      </c>
      <c r="AM20">
        <v>0.4239707961027816</v>
      </c>
      <c r="AN20" t="s">
        <v>168</v>
      </c>
    </row>
    <row r="21" spans="9:40" x14ac:dyDescent="0.45">
      <c r="I21" t="s">
        <v>82</v>
      </c>
      <c r="J21" t="s">
        <v>234</v>
      </c>
      <c r="K21">
        <v>1.8068806749469146E-2</v>
      </c>
      <c r="L21" t="s">
        <v>84</v>
      </c>
      <c r="N21" t="s">
        <v>111</v>
      </c>
      <c r="O21" t="s">
        <v>234</v>
      </c>
      <c r="P21">
        <v>0.1032195677407577</v>
      </c>
      <c r="Q21" t="s">
        <v>84</v>
      </c>
      <c r="S21" t="s">
        <v>126</v>
      </c>
      <c r="T21" t="s">
        <v>234</v>
      </c>
      <c r="U21">
        <v>0.11312750164918055</v>
      </c>
      <c r="V21" t="s">
        <v>84</v>
      </c>
      <c r="X21">
        <v>0.11301369863013698</v>
      </c>
      <c r="Y21">
        <v>5.197026576834151E-2</v>
      </c>
      <c r="Z21" t="s">
        <v>234</v>
      </c>
      <c r="AA21" t="s">
        <v>10</v>
      </c>
      <c r="AC21" t="s">
        <v>9</v>
      </c>
      <c r="AD21" t="s">
        <v>234</v>
      </c>
      <c r="AE21">
        <v>0.12119064964777208</v>
      </c>
      <c r="AG21" t="s">
        <v>27</v>
      </c>
      <c r="AH21" t="s">
        <v>234</v>
      </c>
      <c r="AI21">
        <v>6.6070848820160011E-2</v>
      </c>
      <c r="AK21">
        <v>2022</v>
      </c>
      <c r="AL21" t="s">
        <v>221</v>
      </c>
      <c r="AM21">
        <v>0.55059674053881225</v>
      </c>
      <c r="AN21" t="s">
        <v>168</v>
      </c>
    </row>
    <row r="22" spans="9:40" x14ac:dyDescent="0.45">
      <c r="I22" t="s">
        <v>82</v>
      </c>
      <c r="J22" t="s">
        <v>235</v>
      </c>
      <c r="K22">
        <v>5.2548330966437316E-2</v>
      </c>
      <c r="L22" t="s">
        <v>84</v>
      </c>
      <c r="N22" t="s">
        <v>111</v>
      </c>
      <c r="O22" t="s">
        <v>235</v>
      </c>
      <c r="P22">
        <v>2.0539246033332386E-2</v>
      </c>
      <c r="Q22" t="s">
        <v>84</v>
      </c>
      <c r="S22" t="s">
        <v>126</v>
      </c>
      <c r="T22" t="s">
        <v>235</v>
      </c>
      <c r="U22">
        <v>2.1462278281527299E-2</v>
      </c>
      <c r="V22" t="s">
        <v>84</v>
      </c>
      <c r="X22">
        <v>2.0547945205479451E-2</v>
      </c>
      <c r="Y22">
        <v>3.5502075926708607E-2</v>
      </c>
      <c r="Z22" t="s">
        <v>235</v>
      </c>
      <c r="AA22" t="s">
        <v>10</v>
      </c>
      <c r="AC22" t="s">
        <v>9</v>
      </c>
      <c r="AD22" t="s">
        <v>235</v>
      </c>
      <c r="AE22">
        <v>1.813429650096586E-2</v>
      </c>
      <c r="AG22" t="s">
        <v>27</v>
      </c>
      <c r="AH22" t="s">
        <v>235</v>
      </c>
      <c r="AI22">
        <v>0.14087646518096575</v>
      </c>
      <c r="AK22">
        <v>2022</v>
      </c>
      <c r="AL22" t="s">
        <v>223</v>
      </c>
      <c r="AM22">
        <v>0.48124206709792811</v>
      </c>
      <c r="AN22" t="s">
        <v>168</v>
      </c>
    </row>
    <row r="23" spans="9:40" x14ac:dyDescent="0.45">
      <c r="I23" t="s">
        <v>96</v>
      </c>
      <c r="J23" t="s">
        <v>224</v>
      </c>
      <c r="K23">
        <v>0.27668612014244931</v>
      </c>
      <c r="L23" t="s">
        <v>84</v>
      </c>
      <c r="N23" t="s">
        <v>112</v>
      </c>
      <c r="O23" t="s">
        <v>224</v>
      </c>
      <c r="P23">
        <v>0.14250599870897521</v>
      </c>
      <c r="Q23" t="s">
        <v>84</v>
      </c>
      <c r="S23" t="s">
        <v>127</v>
      </c>
      <c r="T23" t="s">
        <v>224</v>
      </c>
      <c r="U23">
        <v>0.12266939356576692</v>
      </c>
      <c r="V23" t="s">
        <v>84</v>
      </c>
      <c r="AC23" t="s">
        <v>8</v>
      </c>
      <c r="AD23" t="s">
        <v>224</v>
      </c>
      <c r="AE23">
        <v>0.11348607094128318</v>
      </c>
      <c r="AK23">
        <v>2025</v>
      </c>
      <c r="AL23" t="s">
        <v>218</v>
      </c>
      <c r="AM23">
        <v>0.53066666666666673</v>
      </c>
      <c r="AN23" t="s">
        <v>168</v>
      </c>
    </row>
    <row r="24" spans="9:40" x14ac:dyDescent="0.45">
      <c r="I24" t="s">
        <v>96</v>
      </c>
      <c r="J24" t="s">
        <v>225</v>
      </c>
      <c r="K24">
        <v>3.7387061122045066E-3</v>
      </c>
      <c r="L24" t="s">
        <v>84</v>
      </c>
      <c r="N24" t="s">
        <v>112</v>
      </c>
      <c r="O24" t="s">
        <v>225</v>
      </c>
      <c r="P24">
        <v>0.13530117161234326</v>
      </c>
      <c r="Q24" t="s">
        <v>84</v>
      </c>
      <c r="S24" t="s">
        <v>127</v>
      </c>
      <c r="T24" t="s">
        <v>225</v>
      </c>
      <c r="U24">
        <v>0.12248475790467496</v>
      </c>
      <c r="V24" t="s">
        <v>84</v>
      </c>
      <c r="AC24" t="s">
        <v>8</v>
      </c>
      <c r="AD24" t="s">
        <v>225</v>
      </c>
      <c r="AE24">
        <v>0.11515678660020072</v>
      </c>
      <c r="AK24">
        <v>2025</v>
      </c>
      <c r="AL24" t="s">
        <v>220</v>
      </c>
      <c r="AM24">
        <v>0.49390000000000001</v>
      </c>
      <c r="AN24" t="s">
        <v>168</v>
      </c>
    </row>
    <row r="25" spans="9:40" x14ac:dyDescent="0.45">
      <c r="I25" t="s">
        <v>96</v>
      </c>
      <c r="J25" t="s">
        <v>226</v>
      </c>
      <c r="K25">
        <v>2.2885884608326169E-2</v>
      </c>
      <c r="L25" t="s">
        <v>84</v>
      </c>
      <c r="N25" t="s">
        <v>112</v>
      </c>
      <c r="O25" t="s">
        <v>226</v>
      </c>
      <c r="P25">
        <v>2.6349682523041481E-2</v>
      </c>
      <c r="Q25" t="s">
        <v>84</v>
      </c>
      <c r="S25" t="s">
        <v>127</v>
      </c>
      <c r="T25" t="s">
        <v>226</v>
      </c>
      <c r="U25">
        <v>2.3184445017727144E-2</v>
      </c>
      <c r="V25" t="s">
        <v>84</v>
      </c>
      <c r="AC25" t="s">
        <v>8</v>
      </c>
      <c r="AD25" t="s">
        <v>226</v>
      </c>
      <c r="AE25">
        <v>2.0657147798912246E-2</v>
      </c>
      <c r="AK25">
        <v>2025</v>
      </c>
      <c r="AL25" t="s">
        <v>221</v>
      </c>
      <c r="AM25">
        <v>0.52786666666666671</v>
      </c>
      <c r="AN25" t="s">
        <v>168</v>
      </c>
    </row>
    <row r="26" spans="9:40" x14ac:dyDescent="0.45">
      <c r="I26" t="s">
        <v>96</v>
      </c>
      <c r="J26" t="s">
        <v>227</v>
      </c>
      <c r="K26">
        <v>0.18977640812631566</v>
      </c>
      <c r="L26" t="s">
        <v>84</v>
      </c>
      <c r="N26" t="s">
        <v>112</v>
      </c>
      <c r="O26" t="s">
        <v>227</v>
      </c>
      <c r="P26">
        <v>9.6934381042472942E-2</v>
      </c>
      <c r="Q26" t="s">
        <v>84</v>
      </c>
      <c r="S26" t="s">
        <v>127</v>
      </c>
      <c r="T26" t="s">
        <v>227</v>
      </c>
      <c r="U26">
        <v>0.10446510564456606</v>
      </c>
      <c r="V26" t="s">
        <v>84</v>
      </c>
      <c r="AC26" t="s">
        <v>8</v>
      </c>
      <c r="AD26" t="s">
        <v>227</v>
      </c>
      <c r="AE26">
        <v>0.11481601973228781</v>
      </c>
      <c r="AK26">
        <v>2025</v>
      </c>
      <c r="AL26" t="s">
        <v>223</v>
      </c>
      <c r="AM26">
        <v>0.47746666666666665</v>
      </c>
      <c r="AN26" t="s">
        <v>168</v>
      </c>
    </row>
    <row r="27" spans="9:40" x14ac:dyDescent="0.45">
      <c r="I27" t="s">
        <v>96</v>
      </c>
      <c r="J27" t="s">
        <v>228</v>
      </c>
      <c r="K27">
        <v>0</v>
      </c>
      <c r="L27" t="s">
        <v>84</v>
      </c>
      <c r="N27" t="s">
        <v>112</v>
      </c>
      <c r="O27" t="s">
        <v>228</v>
      </c>
      <c r="P27">
        <v>9.1895892265101031E-2</v>
      </c>
      <c r="Q27" t="s">
        <v>84</v>
      </c>
      <c r="S27" t="s">
        <v>127</v>
      </c>
      <c r="T27" t="s">
        <v>228</v>
      </c>
      <c r="U27">
        <v>0.10603290757731618</v>
      </c>
      <c r="V27" t="s">
        <v>84</v>
      </c>
      <c r="AC27" t="s">
        <v>8</v>
      </c>
      <c r="AD27" t="s">
        <v>228</v>
      </c>
      <c r="AE27">
        <v>0.11637051902592906</v>
      </c>
      <c r="AK27">
        <v>2026</v>
      </c>
      <c r="AL27" t="s">
        <v>218</v>
      </c>
      <c r="AM27">
        <v>0.52616666666666667</v>
      </c>
      <c r="AN27" t="s">
        <v>168</v>
      </c>
    </row>
    <row r="28" spans="9:40" x14ac:dyDescent="0.45">
      <c r="I28" t="s">
        <v>96</v>
      </c>
      <c r="J28" t="s">
        <v>229</v>
      </c>
      <c r="K28">
        <v>1.3537866237995261E-2</v>
      </c>
      <c r="L28" t="s">
        <v>84</v>
      </c>
      <c r="N28" t="s">
        <v>112</v>
      </c>
      <c r="O28" t="s">
        <v>229</v>
      </c>
      <c r="P28">
        <v>1.8039076843566371E-2</v>
      </c>
      <c r="Q28" t="s">
        <v>84</v>
      </c>
      <c r="S28" t="s">
        <v>127</v>
      </c>
      <c r="T28" t="s">
        <v>229</v>
      </c>
      <c r="U28">
        <v>1.9954885242378578E-2</v>
      </c>
      <c r="V28" t="s">
        <v>84</v>
      </c>
      <c r="AC28" t="s">
        <v>8</v>
      </c>
      <c r="AD28" t="s">
        <v>229</v>
      </c>
      <c r="AE28">
        <v>2.0815006096510005E-2</v>
      </c>
      <c r="AK28">
        <v>2026</v>
      </c>
      <c r="AL28" t="s">
        <v>220</v>
      </c>
      <c r="AM28">
        <v>0.43263333333333326</v>
      </c>
      <c r="AN28" t="s">
        <v>168</v>
      </c>
    </row>
    <row r="29" spans="9:40" x14ac:dyDescent="0.45">
      <c r="I29" t="s">
        <v>96</v>
      </c>
      <c r="J29" t="s">
        <v>230</v>
      </c>
      <c r="K29">
        <v>0.12254449146822453</v>
      </c>
      <c r="L29" t="s">
        <v>84</v>
      </c>
      <c r="N29" t="s">
        <v>112</v>
      </c>
      <c r="O29" t="s">
        <v>230</v>
      </c>
      <c r="P29">
        <v>0.12526860742492824</v>
      </c>
      <c r="Q29" t="s">
        <v>84</v>
      </c>
      <c r="S29" t="s">
        <v>127</v>
      </c>
      <c r="T29" t="s">
        <v>230</v>
      </c>
      <c r="U29">
        <v>0.12079966459192965</v>
      </c>
      <c r="V29" t="s">
        <v>84</v>
      </c>
      <c r="AC29" t="s">
        <v>8</v>
      </c>
      <c r="AD29" t="s">
        <v>230</v>
      </c>
      <c r="AE29">
        <v>0.11490818546102288</v>
      </c>
      <c r="AK29">
        <v>2026</v>
      </c>
      <c r="AL29" t="s">
        <v>221</v>
      </c>
      <c r="AM29">
        <v>0.56659999999999999</v>
      </c>
      <c r="AN29" t="s">
        <v>168</v>
      </c>
    </row>
    <row r="30" spans="9:40" x14ac:dyDescent="0.45">
      <c r="I30" t="s">
        <v>96</v>
      </c>
      <c r="J30" t="s">
        <v>231</v>
      </c>
      <c r="K30">
        <v>0</v>
      </c>
      <c r="L30" t="s">
        <v>84</v>
      </c>
      <c r="N30" t="s">
        <v>112</v>
      </c>
      <c r="O30" t="s">
        <v>231</v>
      </c>
      <c r="P30">
        <v>0.12238077843035124</v>
      </c>
      <c r="Q30" t="s">
        <v>84</v>
      </c>
      <c r="S30" t="s">
        <v>127</v>
      </c>
      <c r="T30" t="s">
        <v>231</v>
      </c>
      <c r="U30">
        <v>0.12463783302201828</v>
      </c>
      <c r="V30" t="s">
        <v>84</v>
      </c>
      <c r="AC30" t="s">
        <v>8</v>
      </c>
      <c r="AD30" t="s">
        <v>231</v>
      </c>
      <c r="AE30">
        <v>0.11650290530099121</v>
      </c>
      <c r="AK30">
        <v>2026</v>
      </c>
      <c r="AL30" t="s">
        <v>223</v>
      </c>
      <c r="AM30">
        <v>0.49413333333333331</v>
      </c>
      <c r="AN30" t="s">
        <v>168</v>
      </c>
    </row>
    <row r="31" spans="9:40" x14ac:dyDescent="0.45">
      <c r="I31" t="s">
        <v>96</v>
      </c>
      <c r="J31" t="s">
        <v>232</v>
      </c>
      <c r="K31">
        <v>3.7730383365889623E-3</v>
      </c>
      <c r="L31" t="s">
        <v>84</v>
      </c>
      <c r="N31" t="s">
        <v>112</v>
      </c>
      <c r="O31" t="s">
        <v>232</v>
      </c>
      <c r="P31">
        <v>2.2589988074960505E-2</v>
      </c>
      <c r="Q31" t="s">
        <v>84</v>
      </c>
      <c r="S31" t="s">
        <v>127</v>
      </c>
      <c r="T31" t="s">
        <v>232</v>
      </c>
      <c r="U31">
        <v>2.2316881873385486E-2</v>
      </c>
      <c r="V31" t="s">
        <v>84</v>
      </c>
      <c r="AC31" t="s">
        <v>8</v>
      </c>
      <c r="AD31" t="s">
        <v>232</v>
      </c>
      <c r="AE31">
        <v>2.0792637427089235E-2</v>
      </c>
      <c r="AK31">
        <v>2027</v>
      </c>
      <c r="AL31" t="s">
        <v>218</v>
      </c>
      <c r="AM31">
        <v>0.53036666666666665</v>
      </c>
      <c r="AN31" t="s">
        <v>168</v>
      </c>
    </row>
    <row r="32" spans="9:40" x14ac:dyDescent="0.45">
      <c r="I32" t="s">
        <v>96</v>
      </c>
      <c r="J32" t="s">
        <v>233</v>
      </c>
      <c r="K32">
        <v>0.31715193765554744</v>
      </c>
      <c r="L32" t="s">
        <v>84</v>
      </c>
      <c r="N32" t="s">
        <v>112</v>
      </c>
      <c r="O32" t="s">
        <v>233</v>
      </c>
      <c r="P32">
        <v>0.10308111831043165</v>
      </c>
      <c r="Q32" t="s">
        <v>84</v>
      </c>
      <c r="S32" t="s">
        <v>127</v>
      </c>
      <c r="T32" t="s">
        <v>233</v>
      </c>
      <c r="U32">
        <v>0.10538453774190838</v>
      </c>
      <c r="V32" t="s">
        <v>84</v>
      </c>
      <c r="AC32" t="s">
        <v>8</v>
      </c>
      <c r="AD32" t="s">
        <v>233</v>
      </c>
      <c r="AE32">
        <v>0.1121576607680895</v>
      </c>
      <c r="AK32">
        <v>2027</v>
      </c>
      <c r="AL32" t="s">
        <v>220</v>
      </c>
      <c r="AM32">
        <v>0.4511</v>
      </c>
      <c r="AN32" t="s">
        <v>168</v>
      </c>
    </row>
    <row r="33" spans="9:40" x14ac:dyDescent="0.45">
      <c r="I33" t="s">
        <v>96</v>
      </c>
      <c r="J33" t="s">
        <v>234</v>
      </c>
      <c r="K33">
        <v>8.8743585435116738E-3</v>
      </c>
      <c r="L33" t="s">
        <v>84</v>
      </c>
      <c r="N33" t="s">
        <v>112</v>
      </c>
      <c r="O33" t="s">
        <v>234</v>
      </c>
      <c r="P33">
        <v>9.5857730613508357E-2</v>
      </c>
      <c r="Q33" t="s">
        <v>84</v>
      </c>
      <c r="S33" t="s">
        <v>127</v>
      </c>
      <c r="T33" t="s">
        <v>234</v>
      </c>
      <c r="U33">
        <v>0.10813106709444283</v>
      </c>
      <c r="V33" t="s">
        <v>84</v>
      </c>
      <c r="AC33" t="s">
        <v>8</v>
      </c>
      <c r="AD33" t="s">
        <v>234</v>
      </c>
      <c r="AE33">
        <v>0.1138796886226143</v>
      </c>
      <c r="AK33">
        <v>2027</v>
      </c>
      <c r="AL33" t="s">
        <v>221</v>
      </c>
      <c r="AM33">
        <v>0.53220000000000001</v>
      </c>
      <c r="AN33" t="s">
        <v>168</v>
      </c>
    </row>
    <row r="34" spans="9:40" x14ac:dyDescent="0.45">
      <c r="I34" t="s">
        <v>96</v>
      </c>
      <c r="J34" t="s">
        <v>235</v>
      </c>
      <c r="K34">
        <v>4.1031188768840536E-2</v>
      </c>
      <c r="L34" t="s">
        <v>84</v>
      </c>
      <c r="N34" t="s">
        <v>112</v>
      </c>
      <c r="O34" t="s">
        <v>235</v>
      </c>
      <c r="P34">
        <v>1.9795574150320388E-2</v>
      </c>
      <c r="Q34" t="s">
        <v>84</v>
      </c>
      <c r="S34" t="s">
        <v>127</v>
      </c>
      <c r="T34" t="s">
        <v>235</v>
      </c>
      <c r="U34">
        <v>1.9938520723889575E-2</v>
      </c>
      <c r="V34" t="s">
        <v>84</v>
      </c>
      <c r="AC34" t="s">
        <v>8</v>
      </c>
      <c r="AD34" t="s">
        <v>235</v>
      </c>
      <c r="AE34">
        <v>2.0457372225069922E-2</v>
      </c>
      <c r="AK34">
        <v>2027</v>
      </c>
      <c r="AL34" t="s">
        <v>223</v>
      </c>
      <c r="AM34">
        <v>0.48533333333333334</v>
      </c>
      <c r="AN34" t="s">
        <v>168</v>
      </c>
    </row>
    <row r="35" spans="9:40" x14ac:dyDescent="0.45">
      <c r="I35" t="s">
        <v>97</v>
      </c>
      <c r="J35" t="s">
        <v>224</v>
      </c>
      <c r="K35">
        <v>0.2722278756385082</v>
      </c>
      <c r="L35" t="s">
        <v>84</v>
      </c>
      <c r="N35" t="s">
        <v>113</v>
      </c>
      <c r="O35" t="s">
        <v>224</v>
      </c>
      <c r="P35">
        <v>0.13540405349517362</v>
      </c>
      <c r="Q35" t="s">
        <v>84</v>
      </c>
      <c r="S35" t="s">
        <v>128</v>
      </c>
      <c r="T35" t="s">
        <v>224</v>
      </c>
      <c r="U35">
        <v>0.11922042192441656</v>
      </c>
      <c r="V35" t="s">
        <v>84</v>
      </c>
      <c r="AK35">
        <v>2028</v>
      </c>
      <c r="AL35" t="s">
        <v>218</v>
      </c>
      <c r="AM35">
        <v>0.48910000000000003</v>
      </c>
      <c r="AN35" t="s">
        <v>168</v>
      </c>
    </row>
    <row r="36" spans="9:40" x14ac:dyDescent="0.45">
      <c r="I36" t="s">
        <v>97</v>
      </c>
      <c r="J36" t="s">
        <v>225</v>
      </c>
      <c r="K36">
        <v>4.8561681473804144E-3</v>
      </c>
      <c r="L36" t="s">
        <v>84</v>
      </c>
      <c r="N36" t="s">
        <v>113</v>
      </c>
      <c r="O36" t="s">
        <v>225</v>
      </c>
      <c r="P36">
        <v>0.12572185347375198</v>
      </c>
      <c r="Q36" t="s">
        <v>84</v>
      </c>
      <c r="S36" t="s">
        <v>128</v>
      </c>
      <c r="T36" t="s">
        <v>225</v>
      </c>
      <c r="U36">
        <v>0.11609259984465099</v>
      </c>
      <c r="V36" t="s">
        <v>84</v>
      </c>
      <c r="AK36">
        <v>2028</v>
      </c>
      <c r="AL36" t="s">
        <v>220</v>
      </c>
      <c r="AM36">
        <v>0.45883333333333337</v>
      </c>
      <c r="AN36" t="s">
        <v>168</v>
      </c>
    </row>
    <row r="37" spans="9:40" x14ac:dyDescent="0.45">
      <c r="I37" t="s">
        <v>97</v>
      </c>
      <c r="J37" t="s">
        <v>226</v>
      </c>
      <c r="K37">
        <v>2.1619603090571298E-2</v>
      </c>
      <c r="L37" t="s">
        <v>84</v>
      </c>
      <c r="N37" t="s">
        <v>113</v>
      </c>
      <c r="O37" t="s">
        <v>226</v>
      </c>
      <c r="P37">
        <v>2.4130007893308741E-2</v>
      </c>
      <c r="Q37" t="s">
        <v>84</v>
      </c>
      <c r="S37" t="s">
        <v>128</v>
      </c>
      <c r="T37" t="s">
        <v>226</v>
      </c>
      <c r="U37">
        <v>2.191666625566047E-2</v>
      </c>
      <c r="V37" t="s">
        <v>84</v>
      </c>
      <c r="AK37">
        <v>2028</v>
      </c>
      <c r="AL37" t="s">
        <v>221</v>
      </c>
      <c r="AM37">
        <v>0.53853333333333342</v>
      </c>
      <c r="AN37" t="s">
        <v>168</v>
      </c>
    </row>
    <row r="38" spans="9:40" x14ac:dyDescent="0.45">
      <c r="I38" t="s">
        <v>97</v>
      </c>
      <c r="J38" t="s">
        <v>227</v>
      </c>
      <c r="K38">
        <v>0.19081381748075213</v>
      </c>
      <c r="L38" t="s">
        <v>84</v>
      </c>
      <c r="N38" t="s">
        <v>113</v>
      </c>
      <c r="O38" t="s">
        <v>227</v>
      </c>
      <c r="P38">
        <v>9.8261981742100532E-2</v>
      </c>
      <c r="Q38" t="s">
        <v>84</v>
      </c>
      <c r="S38" t="s">
        <v>128</v>
      </c>
      <c r="T38" t="s">
        <v>227</v>
      </c>
      <c r="U38">
        <v>0.11289737519571032</v>
      </c>
      <c r="V38" t="s">
        <v>84</v>
      </c>
      <c r="AK38">
        <v>2028</v>
      </c>
      <c r="AL38" t="s">
        <v>223</v>
      </c>
      <c r="AM38">
        <v>0.46110000000000001</v>
      </c>
      <c r="AN38" t="s">
        <v>168</v>
      </c>
    </row>
    <row r="39" spans="9:40" x14ac:dyDescent="0.45">
      <c r="I39" t="s">
        <v>97</v>
      </c>
      <c r="J39" t="s">
        <v>228</v>
      </c>
      <c r="K39">
        <v>0</v>
      </c>
      <c r="L39" t="s">
        <v>84</v>
      </c>
      <c r="N39" t="s">
        <v>113</v>
      </c>
      <c r="O39" t="s">
        <v>228</v>
      </c>
      <c r="P39">
        <v>0.10079108419097765</v>
      </c>
      <c r="Q39" t="s">
        <v>84</v>
      </c>
      <c r="S39" t="s">
        <v>128</v>
      </c>
      <c r="T39" t="s">
        <v>228</v>
      </c>
      <c r="U39">
        <v>0.10874811887402355</v>
      </c>
      <c r="V39" t="s">
        <v>84</v>
      </c>
      <c r="AK39">
        <v>2029</v>
      </c>
      <c r="AL39" t="s">
        <v>218</v>
      </c>
      <c r="AM39">
        <v>0.57289999999999996</v>
      </c>
      <c r="AN39" t="s">
        <v>168</v>
      </c>
    </row>
    <row r="40" spans="9:40" x14ac:dyDescent="0.45">
      <c r="I40" t="s">
        <v>97</v>
      </c>
      <c r="J40" t="s">
        <v>229</v>
      </c>
      <c r="K40">
        <v>1.183028723717394E-2</v>
      </c>
      <c r="L40" t="s">
        <v>84</v>
      </c>
      <c r="N40" t="s">
        <v>113</v>
      </c>
      <c r="O40" t="s">
        <v>229</v>
      </c>
      <c r="P40">
        <v>1.951011985557707E-2</v>
      </c>
      <c r="Q40" t="s">
        <v>84</v>
      </c>
      <c r="S40" t="s">
        <v>128</v>
      </c>
      <c r="T40" t="s">
        <v>229</v>
      </c>
      <c r="U40">
        <v>2.0466056509060325E-2</v>
      </c>
      <c r="V40" t="s">
        <v>84</v>
      </c>
      <c r="AK40">
        <v>2029</v>
      </c>
      <c r="AL40" t="s">
        <v>220</v>
      </c>
      <c r="AM40">
        <v>0.52616666666666667</v>
      </c>
      <c r="AN40" t="s">
        <v>168</v>
      </c>
    </row>
    <row r="41" spans="9:40" x14ac:dyDescent="0.45">
      <c r="I41" t="s">
        <v>97</v>
      </c>
      <c r="J41" t="s">
        <v>230</v>
      </c>
      <c r="K41">
        <v>0.11735984413477416</v>
      </c>
      <c r="L41" t="s">
        <v>84</v>
      </c>
      <c r="N41" t="s">
        <v>113</v>
      </c>
      <c r="O41" t="s">
        <v>230</v>
      </c>
      <c r="P41">
        <v>0.12046600387156894</v>
      </c>
      <c r="Q41" t="s">
        <v>84</v>
      </c>
      <c r="S41" t="s">
        <v>128</v>
      </c>
      <c r="T41" t="s">
        <v>230</v>
      </c>
      <c r="U41">
        <v>0.12772378838916232</v>
      </c>
      <c r="V41" t="s">
        <v>84</v>
      </c>
      <c r="AK41">
        <v>2029</v>
      </c>
      <c r="AL41" t="s">
        <v>221</v>
      </c>
      <c r="AM41">
        <v>0.62060000000000004</v>
      </c>
      <c r="AN41" t="s">
        <v>168</v>
      </c>
    </row>
    <row r="42" spans="9:40" x14ac:dyDescent="0.45">
      <c r="I42" t="s">
        <v>97</v>
      </c>
      <c r="J42" t="s">
        <v>231</v>
      </c>
      <c r="K42">
        <v>0</v>
      </c>
      <c r="L42" t="s">
        <v>84</v>
      </c>
      <c r="N42" t="s">
        <v>113</v>
      </c>
      <c r="O42" t="s">
        <v>231</v>
      </c>
      <c r="P42">
        <v>0.12186817304953318</v>
      </c>
      <c r="Q42" t="s">
        <v>84</v>
      </c>
      <c r="S42" t="s">
        <v>128</v>
      </c>
      <c r="T42" t="s">
        <v>231</v>
      </c>
      <c r="U42">
        <v>0.12686767781959823</v>
      </c>
      <c r="V42" t="s">
        <v>84</v>
      </c>
      <c r="AK42">
        <v>2029</v>
      </c>
      <c r="AL42" t="s">
        <v>223</v>
      </c>
      <c r="AM42">
        <v>0.51703333333333334</v>
      </c>
      <c r="AN42" t="s">
        <v>168</v>
      </c>
    </row>
    <row r="43" spans="9:40" x14ac:dyDescent="0.45">
      <c r="I43" t="s">
        <v>97</v>
      </c>
      <c r="J43" t="s">
        <v>232</v>
      </c>
      <c r="K43">
        <v>2.4143797882796173E-3</v>
      </c>
      <c r="L43" t="s">
        <v>84</v>
      </c>
      <c r="N43" t="s">
        <v>113</v>
      </c>
      <c r="O43" t="s">
        <v>232</v>
      </c>
      <c r="P43">
        <v>2.2352600238359468E-2</v>
      </c>
      <c r="Q43" t="s">
        <v>84</v>
      </c>
      <c r="S43" t="s">
        <v>128</v>
      </c>
      <c r="T43" t="s">
        <v>232</v>
      </c>
      <c r="U43">
        <v>2.3780612172458901E-2</v>
      </c>
      <c r="V43" t="s">
        <v>84</v>
      </c>
      <c r="AK43">
        <v>2030</v>
      </c>
      <c r="AL43" t="s">
        <v>218</v>
      </c>
      <c r="AM43">
        <v>0.59133333333333338</v>
      </c>
      <c r="AN43" t="s">
        <v>168</v>
      </c>
    </row>
    <row r="44" spans="9:40" x14ac:dyDescent="0.45">
      <c r="I44" t="s">
        <v>97</v>
      </c>
      <c r="J44" t="s">
        <v>233</v>
      </c>
      <c r="K44">
        <v>0.32751839358426466</v>
      </c>
      <c r="L44" t="s">
        <v>84</v>
      </c>
      <c r="N44" t="s">
        <v>113</v>
      </c>
      <c r="O44" t="s">
        <v>233</v>
      </c>
      <c r="P44">
        <v>0.10680844245925401</v>
      </c>
      <c r="Q44" t="s">
        <v>84</v>
      </c>
      <c r="S44" t="s">
        <v>128</v>
      </c>
      <c r="T44" t="s">
        <v>233</v>
      </c>
      <c r="U44">
        <v>0.10136378227372238</v>
      </c>
      <c r="V44" t="s">
        <v>84</v>
      </c>
      <c r="AK44">
        <v>2030</v>
      </c>
      <c r="AL44" t="s">
        <v>220</v>
      </c>
      <c r="AM44">
        <v>0.51839999999999997</v>
      </c>
      <c r="AN44" t="s">
        <v>168</v>
      </c>
    </row>
    <row r="45" spans="9:40" x14ac:dyDescent="0.45">
      <c r="I45" t="s">
        <v>97</v>
      </c>
      <c r="J45" t="s">
        <v>234</v>
      </c>
      <c r="K45">
        <v>8.8976162472376233E-3</v>
      </c>
      <c r="L45" t="s">
        <v>84</v>
      </c>
      <c r="N45" t="s">
        <v>113</v>
      </c>
      <c r="O45" t="s">
        <v>234</v>
      </c>
      <c r="P45">
        <v>0.1026912486493386</v>
      </c>
      <c r="Q45" t="s">
        <v>84</v>
      </c>
      <c r="S45" t="s">
        <v>128</v>
      </c>
      <c r="T45" t="s">
        <v>234</v>
      </c>
      <c r="U45">
        <v>0.10162564098028148</v>
      </c>
      <c r="V45" t="s">
        <v>84</v>
      </c>
      <c r="AK45">
        <v>2030</v>
      </c>
      <c r="AL45" t="s">
        <v>221</v>
      </c>
      <c r="AM45">
        <v>0.58833333333333337</v>
      </c>
      <c r="AN45" t="s">
        <v>168</v>
      </c>
    </row>
    <row r="46" spans="9:40" x14ac:dyDescent="0.45">
      <c r="I46" t="s">
        <v>97</v>
      </c>
      <c r="J46" t="s">
        <v>235</v>
      </c>
      <c r="K46">
        <v>4.2462014651057957E-2</v>
      </c>
      <c r="L46" t="s">
        <v>84</v>
      </c>
      <c r="N46" t="s">
        <v>113</v>
      </c>
      <c r="O46" t="s">
        <v>235</v>
      </c>
      <c r="P46">
        <v>2.1994431081057704E-2</v>
      </c>
      <c r="Q46" t="s">
        <v>84</v>
      </c>
      <c r="S46" t="s">
        <v>128</v>
      </c>
      <c r="T46" t="s">
        <v>235</v>
      </c>
      <c r="U46">
        <v>1.9297259761255181E-2</v>
      </c>
      <c r="V46" t="s">
        <v>84</v>
      </c>
      <c r="AK46">
        <v>2030</v>
      </c>
      <c r="AL46" t="s">
        <v>223</v>
      </c>
      <c r="AM46">
        <v>0.55686666666666673</v>
      </c>
      <c r="AN46" t="s">
        <v>168</v>
      </c>
    </row>
    <row r="47" spans="9:40" x14ac:dyDescent="0.45">
      <c r="I47" t="s">
        <v>98</v>
      </c>
      <c r="J47" t="s">
        <v>224</v>
      </c>
      <c r="K47">
        <v>0.26433874824012465</v>
      </c>
      <c r="L47" t="s">
        <v>84</v>
      </c>
      <c r="N47" t="s">
        <v>114</v>
      </c>
      <c r="O47" t="s">
        <v>224</v>
      </c>
      <c r="P47">
        <v>0.17686134375458351</v>
      </c>
      <c r="Q47" t="s">
        <v>84</v>
      </c>
      <c r="S47" t="s">
        <v>129</v>
      </c>
      <c r="T47" t="s">
        <v>224</v>
      </c>
      <c r="U47">
        <v>0.12265291149425023</v>
      </c>
      <c r="V47" t="s">
        <v>84</v>
      </c>
      <c r="AK47">
        <v>2031</v>
      </c>
      <c r="AL47" t="s">
        <v>218</v>
      </c>
      <c r="AM47">
        <v>0.60043333333333326</v>
      </c>
      <c r="AN47" t="s">
        <v>168</v>
      </c>
    </row>
    <row r="48" spans="9:40" x14ac:dyDescent="0.45">
      <c r="I48" t="s">
        <v>98</v>
      </c>
      <c r="J48" t="s">
        <v>225</v>
      </c>
      <c r="K48">
        <v>4.7693387553837552E-3</v>
      </c>
      <c r="L48" t="s">
        <v>84</v>
      </c>
      <c r="N48" t="s">
        <v>114</v>
      </c>
      <c r="O48" t="s">
        <v>225</v>
      </c>
      <c r="P48">
        <v>0.13404985727694241</v>
      </c>
      <c r="Q48" t="s">
        <v>84</v>
      </c>
      <c r="S48" t="s">
        <v>129</v>
      </c>
      <c r="T48" t="s">
        <v>225</v>
      </c>
      <c r="U48">
        <v>0.12444704263253271</v>
      </c>
      <c r="V48" t="s">
        <v>84</v>
      </c>
      <c r="AK48">
        <v>2031</v>
      </c>
      <c r="AL48" t="s">
        <v>220</v>
      </c>
      <c r="AM48">
        <v>0.52706666666666668</v>
      </c>
      <c r="AN48" t="s">
        <v>168</v>
      </c>
    </row>
    <row r="49" spans="9:40" x14ac:dyDescent="0.45">
      <c r="I49" t="s">
        <v>98</v>
      </c>
      <c r="J49" t="s">
        <v>226</v>
      </c>
      <c r="K49">
        <v>2.423999319711654E-2</v>
      </c>
      <c r="L49" t="s">
        <v>84</v>
      </c>
      <c r="N49" t="s">
        <v>114</v>
      </c>
      <c r="O49" t="s">
        <v>226</v>
      </c>
      <c r="P49">
        <v>2.7823505707599804E-2</v>
      </c>
      <c r="Q49" t="s">
        <v>84</v>
      </c>
      <c r="S49" t="s">
        <v>129</v>
      </c>
      <c r="T49" t="s">
        <v>226</v>
      </c>
      <c r="U49">
        <v>2.3095302102479266E-2</v>
      </c>
      <c r="V49" t="s">
        <v>84</v>
      </c>
      <c r="AK49">
        <v>2031</v>
      </c>
      <c r="AL49" t="s">
        <v>221</v>
      </c>
      <c r="AM49">
        <v>0.65939999999999999</v>
      </c>
      <c r="AN49" t="s">
        <v>168</v>
      </c>
    </row>
    <row r="50" spans="9:40" x14ac:dyDescent="0.45">
      <c r="I50" t="s">
        <v>98</v>
      </c>
      <c r="J50" t="s">
        <v>227</v>
      </c>
      <c r="K50">
        <v>0.17772059168435456</v>
      </c>
      <c r="L50" t="s">
        <v>84</v>
      </c>
      <c r="N50" t="s">
        <v>114</v>
      </c>
      <c r="O50" t="s">
        <v>227</v>
      </c>
      <c r="P50">
        <v>9.2917936968802711E-2</v>
      </c>
      <c r="Q50" t="s">
        <v>84</v>
      </c>
      <c r="S50" t="s">
        <v>129</v>
      </c>
      <c r="T50" t="s">
        <v>227</v>
      </c>
      <c r="U50">
        <v>0.10607398251458433</v>
      </c>
      <c r="V50" t="s">
        <v>84</v>
      </c>
      <c r="AK50">
        <v>2031</v>
      </c>
      <c r="AL50" t="s">
        <v>223</v>
      </c>
      <c r="AM50">
        <v>0.52943333333333331</v>
      </c>
      <c r="AN50" t="s">
        <v>168</v>
      </c>
    </row>
    <row r="51" spans="9:40" x14ac:dyDescent="0.45">
      <c r="I51" t="s">
        <v>98</v>
      </c>
      <c r="J51" t="s">
        <v>228</v>
      </c>
      <c r="K51">
        <v>0</v>
      </c>
      <c r="L51" t="s">
        <v>84</v>
      </c>
      <c r="N51" t="s">
        <v>114</v>
      </c>
      <c r="O51" t="s">
        <v>228</v>
      </c>
      <c r="P51">
        <v>9.1801402419439709E-2</v>
      </c>
      <c r="Q51" t="s">
        <v>84</v>
      </c>
      <c r="S51" t="s">
        <v>129</v>
      </c>
      <c r="T51" t="s">
        <v>228</v>
      </c>
      <c r="U51">
        <v>0.112007700991968</v>
      </c>
      <c r="V51" t="s">
        <v>84</v>
      </c>
      <c r="AK51">
        <v>2032</v>
      </c>
      <c r="AL51" t="s">
        <v>218</v>
      </c>
      <c r="AM51">
        <v>0.62006666666666665</v>
      </c>
      <c r="AN51" t="s">
        <v>168</v>
      </c>
    </row>
    <row r="52" spans="9:40" x14ac:dyDescent="0.45">
      <c r="I52" t="s">
        <v>98</v>
      </c>
      <c r="J52" t="s">
        <v>229</v>
      </c>
      <c r="K52">
        <v>1.1854867527125735E-2</v>
      </c>
      <c r="L52" t="s">
        <v>84</v>
      </c>
      <c r="N52" t="s">
        <v>114</v>
      </c>
      <c r="O52" t="s">
        <v>229</v>
      </c>
      <c r="P52">
        <v>1.8231561509755169E-2</v>
      </c>
      <c r="Q52" t="s">
        <v>84</v>
      </c>
      <c r="S52" t="s">
        <v>129</v>
      </c>
      <c r="T52" t="s">
        <v>229</v>
      </c>
      <c r="U52">
        <v>2.1496687326238724E-2</v>
      </c>
      <c r="V52" t="s">
        <v>84</v>
      </c>
      <c r="AK52">
        <v>2032</v>
      </c>
      <c r="AL52" t="s">
        <v>220</v>
      </c>
      <c r="AM52">
        <v>0.51746666666666663</v>
      </c>
      <c r="AN52" t="s">
        <v>168</v>
      </c>
    </row>
    <row r="53" spans="9:40" x14ac:dyDescent="0.45">
      <c r="I53" t="s">
        <v>98</v>
      </c>
      <c r="J53" t="s">
        <v>230</v>
      </c>
      <c r="K53">
        <v>0.10697353835196975</v>
      </c>
      <c r="L53" t="s">
        <v>84</v>
      </c>
      <c r="N53" t="s">
        <v>114</v>
      </c>
      <c r="O53" t="s">
        <v>230</v>
      </c>
      <c r="P53">
        <v>0.12365830642156361</v>
      </c>
      <c r="Q53" t="s">
        <v>84</v>
      </c>
      <c r="S53" t="s">
        <v>129</v>
      </c>
      <c r="T53" t="s">
        <v>230</v>
      </c>
      <c r="U53">
        <v>0.11156338867642487</v>
      </c>
      <c r="V53" t="s">
        <v>84</v>
      </c>
      <c r="AK53">
        <v>2032</v>
      </c>
      <c r="AL53" t="s">
        <v>221</v>
      </c>
      <c r="AM53">
        <v>0.6079</v>
      </c>
      <c r="AN53" t="s">
        <v>168</v>
      </c>
    </row>
    <row r="54" spans="9:40" x14ac:dyDescent="0.45">
      <c r="I54" t="s">
        <v>98</v>
      </c>
      <c r="J54" t="s">
        <v>231</v>
      </c>
      <c r="K54">
        <v>0</v>
      </c>
      <c r="L54" t="s">
        <v>84</v>
      </c>
      <c r="N54" t="s">
        <v>114</v>
      </c>
      <c r="O54" t="s">
        <v>231</v>
      </c>
      <c r="P54">
        <v>0.1094460233370475</v>
      </c>
      <c r="Q54" t="s">
        <v>84</v>
      </c>
      <c r="S54" t="s">
        <v>129</v>
      </c>
      <c r="T54" t="s">
        <v>231</v>
      </c>
      <c r="U54">
        <v>0.11560047206809534</v>
      </c>
      <c r="V54" t="s">
        <v>84</v>
      </c>
      <c r="AK54">
        <v>2032</v>
      </c>
      <c r="AL54" t="s">
        <v>223</v>
      </c>
      <c r="AM54">
        <v>0.55066666666666675</v>
      </c>
      <c r="AN54" t="s">
        <v>168</v>
      </c>
    </row>
    <row r="55" spans="9:40" x14ac:dyDescent="0.45">
      <c r="I55" t="s">
        <v>98</v>
      </c>
      <c r="J55" t="s">
        <v>232</v>
      </c>
      <c r="K55">
        <v>2.006749406554213E-3</v>
      </c>
      <c r="L55" t="s">
        <v>84</v>
      </c>
      <c r="N55" t="s">
        <v>114</v>
      </c>
      <c r="O55" t="s">
        <v>232</v>
      </c>
      <c r="P55">
        <v>2.1453312037626817E-2</v>
      </c>
      <c r="Q55" t="s">
        <v>84</v>
      </c>
      <c r="S55" t="s">
        <v>129</v>
      </c>
      <c r="T55" t="s">
        <v>232</v>
      </c>
      <c r="U55">
        <v>2.1539007286839017E-2</v>
      </c>
      <c r="V55" t="s">
        <v>84</v>
      </c>
      <c r="AK55">
        <v>2033</v>
      </c>
      <c r="AL55" t="s">
        <v>218</v>
      </c>
      <c r="AM55">
        <v>0.59503333333333341</v>
      </c>
      <c r="AN55" t="s">
        <v>168</v>
      </c>
    </row>
    <row r="56" spans="9:40" x14ac:dyDescent="0.45">
      <c r="I56" t="s">
        <v>98</v>
      </c>
      <c r="J56" t="s">
        <v>233</v>
      </c>
      <c r="K56">
        <v>0.34534820392590898</v>
      </c>
      <c r="L56" t="s">
        <v>84</v>
      </c>
      <c r="N56" t="s">
        <v>114</v>
      </c>
      <c r="O56" t="s">
        <v>233</v>
      </c>
      <c r="P56">
        <v>0.10182585608140048</v>
      </c>
      <c r="Q56" t="s">
        <v>84</v>
      </c>
      <c r="S56" t="s">
        <v>129</v>
      </c>
      <c r="T56" t="s">
        <v>233</v>
      </c>
      <c r="U56">
        <v>0.10733662585014352</v>
      </c>
      <c r="V56" t="s">
        <v>84</v>
      </c>
      <c r="AK56">
        <v>2033</v>
      </c>
      <c r="AL56" t="s">
        <v>220</v>
      </c>
      <c r="AM56">
        <v>0.54056666666666675</v>
      </c>
      <c r="AN56" t="s">
        <v>168</v>
      </c>
    </row>
    <row r="57" spans="9:40" x14ac:dyDescent="0.45">
      <c r="I57" t="s">
        <v>98</v>
      </c>
      <c r="J57" t="s">
        <v>234</v>
      </c>
      <c r="K57">
        <v>1.6138182284715065E-2</v>
      </c>
      <c r="L57" t="s">
        <v>84</v>
      </c>
      <c r="N57" t="s">
        <v>114</v>
      </c>
      <c r="O57" t="s">
        <v>234</v>
      </c>
      <c r="P57">
        <v>7.9803827483079903E-2</v>
      </c>
      <c r="Q57" t="s">
        <v>84</v>
      </c>
      <c r="S57" t="s">
        <v>129</v>
      </c>
      <c r="T57" t="s">
        <v>234</v>
      </c>
      <c r="U57">
        <v>0.11156464721136715</v>
      </c>
      <c r="V57" t="s">
        <v>84</v>
      </c>
      <c r="AK57">
        <v>2033</v>
      </c>
      <c r="AL57" t="s">
        <v>221</v>
      </c>
      <c r="AM57">
        <v>0.66796666666666671</v>
      </c>
      <c r="AN57" t="s">
        <v>168</v>
      </c>
    </row>
    <row r="58" spans="9:40" x14ac:dyDescent="0.45">
      <c r="I58" t="s">
        <v>98</v>
      </c>
      <c r="J58" t="s">
        <v>235</v>
      </c>
      <c r="K58">
        <v>4.660978662674857E-2</v>
      </c>
      <c r="L58" t="s">
        <v>84</v>
      </c>
      <c r="N58" t="s">
        <v>114</v>
      </c>
      <c r="O58" t="s">
        <v>235</v>
      </c>
      <c r="P58">
        <v>2.2127067002158569E-2</v>
      </c>
      <c r="Q58" t="s">
        <v>84</v>
      </c>
      <c r="S58" t="s">
        <v>129</v>
      </c>
      <c r="T58" t="s">
        <v>235</v>
      </c>
      <c r="U58">
        <v>2.2622231845075967E-2</v>
      </c>
      <c r="V58" t="s">
        <v>84</v>
      </c>
      <c r="AK58">
        <v>2033</v>
      </c>
      <c r="AL58" t="s">
        <v>223</v>
      </c>
      <c r="AM58">
        <v>0.59209999999999996</v>
      </c>
      <c r="AN58" t="s">
        <v>168</v>
      </c>
    </row>
    <row r="59" spans="9:40" x14ac:dyDescent="0.45">
      <c r="I59" t="s">
        <v>99</v>
      </c>
      <c r="J59" t="s">
        <v>224</v>
      </c>
      <c r="K59">
        <v>0.25962556581999541</v>
      </c>
      <c r="L59" t="s">
        <v>84</v>
      </c>
      <c r="N59" t="s">
        <v>115</v>
      </c>
      <c r="O59" t="s">
        <v>224</v>
      </c>
      <c r="P59">
        <v>0.14723521154919722</v>
      </c>
      <c r="Q59" t="s">
        <v>84</v>
      </c>
      <c r="S59" t="s">
        <v>130</v>
      </c>
      <c r="T59" t="s">
        <v>224</v>
      </c>
      <c r="U59">
        <v>0.14002022810409609</v>
      </c>
      <c r="V59" t="s">
        <v>84</v>
      </c>
      <c r="AK59">
        <v>2034</v>
      </c>
      <c r="AL59" t="s">
        <v>218</v>
      </c>
      <c r="AM59">
        <v>0.5255333333333333</v>
      </c>
      <c r="AN59" t="s">
        <v>168</v>
      </c>
    </row>
    <row r="60" spans="9:40" x14ac:dyDescent="0.45">
      <c r="I60" t="s">
        <v>99</v>
      </c>
      <c r="J60" t="s">
        <v>225</v>
      </c>
      <c r="K60">
        <v>4.8932772258143929E-3</v>
      </c>
      <c r="L60" t="s">
        <v>84</v>
      </c>
      <c r="N60" t="s">
        <v>115</v>
      </c>
      <c r="O60" t="s">
        <v>225</v>
      </c>
      <c r="P60">
        <v>0.13725287865164487</v>
      </c>
      <c r="Q60" t="s">
        <v>84</v>
      </c>
      <c r="S60" t="s">
        <v>130</v>
      </c>
      <c r="T60" t="s">
        <v>225</v>
      </c>
      <c r="U60">
        <v>0.13888939512172779</v>
      </c>
      <c r="V60" t="s">
        <v>84</v>
      </c>
      <c r="AK60">
        <v>2034</v>
      </c>
      <c r="AL60" t="s">
        <v>220</v>
      </c>
      <c r="AM60">
        <v>0.4588666666666667</v>
      </c>
      <c r="AN60" t="s">
        <v>168</v>
      </c>
    </row>
    <row r="61" spans="9:40" x14ac:dyDescent="0.45">
      <c r="I61" t="s">
        <v>99</v>
      </c>
      <c r="J61" t="s">
        <v>226</v>
      </c>
      <c r="K61">
        <v>2.2694778185729621E-2</v>
      </c>
      <c r="L61" t="s">
        <v>84</v>
      </c>
      <c r="N61" t="s">
        <v>115</v>
      </c>
      <c r="O61" t="s">
        <v>226</v>
      </c>
      <c r="P61">
        <v>2.6397191043605953E-2</v>
      </c>
      <c r="Q61" t="s">
        <v>84</v>
      </c>
      <c r="S61" t="s">
        <v>130</v>
      </c>
      <c r="T61" t="s">
        <v>226</v>
      </c>
      <c r="U61">
        <v>2.5579892432579458E-2</v>
      </c>
      <c r="V61" t="s">
        <v>84</v>
      </c>
      <c r="AK61">
        <v>2034</v>
      </c>
      <c r="AL61" t="s">
        <v>221</v>
      </c>
      <c r="AM61">
        <v>0.5278666666666666</v>
      </c>
      <c r="AN61" t="s">
        <v>168</v>
      </c>
    </row>
    <row r="62" spans="9:40" x14ac:dyDescent="0.45">
      <c r="I62" t="s">
        <v>99</v>
      </c>
      <c r="J62" t="s">
        <v>227</v>
      </c>
      <c r="K62">
        <v>0.18881963144388778</v>
      </c>
      <c r="L62" t="s">
        <v>84</v>
      </c>
      <c r="N62" t="s">
        <v>115</v>
      </c>
      <c r="O62" t="s">
        <v>227</v>
      </c>
      <c r="P62">
        <v>0.10026671134944008</v>
      </c>
      <c r="Q62" t="s">
        <v>84</v>
      </c>
      <c r="S62" t="s">
        <v>130</v>
      </c>
      <c r="T62" t="s">
        <v>227</v>
      </c>
      <c r="U62">
        <v>9.7215553844337305E-2</v>
      </c>
      <c r="V62" t="s">
        <v>84</v>
      </c>
      <c r="AK62">
        <v>2034</v>
      </c>
      <c r="AL62" t="s">
        <v>223</v>
      </c>
      <c r="AM62">
        <v>0.49829999999999997</v>
      </c>
      <c r="AN62" t="s">
        <v>168</v>
      </c>
    </row>
    <row r="63" spans="9:40" x14ac:dyDescent="0.45">
      <c r="I63" t="s">
        <v>99</v>
      </c>
      <c r="J63" t="s">
        <v>228</v>
      </c>
      <c r="K63">
        <v>0</v>
      </c>
      <c r="L63" t="s">
        <v>84</v>
      </c>
      <c r="N63" t="s">
        <v>115</v>
      </c>
      <c r="O63" t="s">
        <v>228</v>
      </c>
      <c r="P63">
        <v>0.10054242600896983</v>
      </c>
      <c r="Q63" t="s">
        <v>84</v>
      </c>
      <c r="S63" t="s">
        <v>130</v>
      </c>
      <c r="T63" t="s">
        <v>228</v>
      </c>
      <c r="U63">
        <v>9.9756713541824402E-2</v>
      </c>
      <c r="V63" t="s">
        <v>84</v>
      </c>
      <c r="AK63">
        <v>2035</v>
      </c>
      <c r="AL63" t="s">
        <v>218</v>
      </c>
      <c r="AM63">
        <v>0.62619999999999998</v>
      </c>
      <c r="AN63" t="s">
        <v>168</v>
      </c>
    </row>
    <row r="64" spans="9:40" x14ac:dyDescent="0.45">
      <c r="I64" t="s">
        <v>99</v>
      </c>
      <c r="J64" t="s">
        <v>229</v>
      </c>
      <c r="K64">
        <v>1.1291143370086736E-2</v>
      </c>
      <c r="L64" t="s">
        <v>84</v>
      </c>
      <c r="N64" t="s">
        <v>115</v>
      </c>
      <c r="O64" t="s">
        <v>229</v>
      </c>
      <c r="P64">
        <v>1.9005445472815664E-2</v>
      </c>
      <c r="Q64" t="s">
        <v>84</v>
      </c>
      <c r="S64" t="s">
        <v>130</v>
      </c>
      <c r="T64" t="s">
        <v>229</v>
      </c>
      <c r="U64">
        <v>2.0417388975028063E-2</v>
      </c>
      <c r="V64" t="s">
        <v>84</v>
      </c>
      <c r="AK64">
        <v>2035</v>
      </c>
      <c r="AL64" t="s">
        <v>220</v>
      </c>
      <c r="AM64">
        <v>0.54156666666666675</v>
      </c>
      <c r="AN64" t="s">
        <v>168</v>
      </c>
    </row>
    <row r="65" spans="9:40" x14ac:dyDescent="0.45">
      <c r="I65" t="s">
        <v>99</v>
      </c>
      <c r="J65" t="s">
        <v>230</v>
      </c>
      <c r="K65">
        <v>0.11060029910645229</v>
      </c>
      <c r="L65" t="s">
        <v>84</v>
      </c>
      <c r="N65" t="s">
        <v>115</v>
      </c>
      <c r="O65" t="s">
        <v>230</v>
      </c>
      <c r="P65">
        <v>0.11815585083772709</v>
      </c>
      <c r="Q65" t="s">
        <v>84</v>
      </c>
      <c r="S65" t="s">
        <v>130</v>
      </c>
      <c r="T65" t="s">
        <v>230</v>
      </c>
      <c r="U65">
        <v>0.11951751934353141</v>
      </c>
      <c r="V65" t="s">
        <v>84</v>
      </c>
      <c r="AK65">
        <v>2035</v>
      </c>
      <c r="AL65" t="s">
        <v>221</v>
      </c>
      <c r="AM65">
        <v>0.61399999999999999</v>
      </c>
      <c r="AN65" t="s">
        <v>168</v>
      </c>
    </row>
    <row r="66" spans="9:40" x14ac:dyDescent="0.45">
      <c r="I66" t="s">
        <v>99</v>
      </c>
      <c r="J66" t="s">
        <v>231</v>
      </c>
      <c r="K66">
        <v>0</v>
      </c>
      <c r="L66" t="s">
        <v>84</v>
      </c>
      <c r="N66" t="s">
        <v>115</v>
      </c>
      <c r="O66" t="s">
        <v>231</v>
      </c>
      <c r="P66">
        <v>0.11698554247598096</v>
      </c>
      <c r="Q66" t="s">
        <v>84</v>
      </c>
      <c r="S66" t="s">
        <v>130</v>
      </c>
      <c r="T66" t="s">
        <v>231</v>
      </c>
      <c r="U66">
        <v>0.1253227774585117</v>
      </c>
      <c r="V66" t="s">
        <v>84</v>
      </c>
      <c r="AK66">
        <v>2035</v>
      </c>
      <c r="AL66" t="s">
        <v>223</v>
      </c>
      <c r="AM66">
        <v>0.55443333333333333</v>
      </c>
      <c r="AN66" t="s">
        <v>168</v>
      </c>
    </row>
    <row r="67" spans="9:40" x14ac:dyDescent="0.45">
      <c r="I67" t="s">
        <v>99</v>
      </c>
      <c r="J67" t="s">
        <v>232</v>
      </c>
      <c r="K67">
        <v>2.0399334111934485E-3</v>
      </c>
      <c r="L67" t="s">
        <v>84</v>
      </c>
      <c r="N67" t="s">
        <v>115</v>
      </c>
      <c r="O67" t="s">
        <v>232</v>
      </c>
      <c r="P67">
        <v>2.2144592760079355E-2</v>
      </c>
      <c r="Q67" t="s">
        <v>84</v>
      </c>
      <c r="S67" t="s">
        <v>130</v>
      </c>
      <c r="T67" t="s">
        <v>232</v>
      </c>
      <c r="U67">
        <v>2.3511981107075797E-2</v>
      </c>
      <c r="V67" t="s">
        <v>84</v>
      </c>
      <c r="AK67">
        <v>2036</v>
      </c>
      <c r="AL67" t="s">
        <v>218</v>
      </c>
      <c r="AM67">
        <v>0.62753333333333339</v>
      </c>
      <c r="AN67" t="s">
        <v>168</v>
      </c>
    </row>
    <row r="68" spans="9:40" x14ac:dyDescent="0.45">
      <c r="I68" t="s">
        <v>99</v>
      </c>
      <c r="J68" t="s">
        <v>233</v>
      </c>
      <c r="K68">
        <v>0.34126387563776878</v>
      </c>
      <c r="L68" t="s">
        <v>84</v>
      </c>
      <c r="N68" t="s">
        <v>115</v>
      </c>
      <c r="O68" t="s">
        <v>233</v>
      </c>
      <c r="P68">
        <v>9.7068103028311092E-2</v>
      </c>
      <c r="Q68" t="s">
        <v>84</v>
      </c>
      <c r="S68" t="s">
        <v>130</v>
      </c>
      <c r="T68" t="s">
        <v>233</v>
      </c>
      <c r="U68">
        <v>9.0513508339704438E-2</v>
      </c>
      <c r="V68" t="s">
        <v>84</v>
      </c>
      <c r="AK68">
        <v>2036</v>
      </c>
      <c r="AL68" t="s">
        <v>220</v>
      </c>
      <c r="AM68">
        <v>0.4975</v>
      </c>
      <c r="AN68" t="s">
        <v>168</v>
      </c>
    </row>
    <row r="69" spans="9:40" x14ac:dyDescent="0.45">
      <c r="I69" t="s">
        <v>99</v>
      </c>
      <c r="J69" t="s">
        <v>234</v>
      </c>
      <c r="K69">
        <v>1.1456838434623272E-2</v>
      </c>
      <c r="L69" t="s">
        <v>84</v>
      </c>
      <c r="N69" t="s">
        <v>115</v>
      </c>
      <c r="O69" t="s">
        <v>234</v>
      </c>
      <c r="P69">
        <v>9.3368971422391631E-2</v>
      </c>
      <c r="Q69" t="s">
        <v>84</v>
      </c>
      <c r="S69" t="s">
        <v>130</v>
      </c>
      <c r="T69" t="s">
        <v>234</v>
      </c>
      <c r="U69">
        <v>9.5897963262404032E-2</v>
      </c>
      <c r="V69" t="s">
        <v>84</v>
      </c>
      <c r="AK69">
        <v>2036</v>
      </c>
      <c r="AL69" t="s">
        <v>221</v>
      </c>
      <c r="AM69">
        <v>0.61986666666666668</v>
      </c>
      <c r="AN69" t="s">
        <v>168</v>
      </c>
    </row>
    <row r="70" spans="9:40" x14ac:dyDescent="0.45">
      <c r="I70" t="s">
        <v>99</v>
      </c>
      <c r="J70" t="s">
        <v>235</v>
      </c>
      <c r="K70">
        <v>4.7314657364449224E-2</v>
      </c>
      <c r="L70" t="s">
        <v>84</v>
      </c>
      <c r="N70" t="s">
        <v>115</v>
      </c>
      <c r="O70" t="s">
        <v>235</v>
      </c>
      <c r="P70">
        <v>2.1577075399837654E-2</v>
      </c>
      <c r="Q70" t="s">
        <v>84</v>
      </c>
      <c r="S70" t="s">
        <v>130</v>
      </c>
      <c r="T70" t="s">
        <v>235</v>
      </c>
      <c r="U70">
        <v>2.3357078469181568E-2</v>
      </c>
      <c r="V70" t="s">
        <v>84</v>
      </c>
      <c r="AK70">
        <v>2036</v>
      </c>
      <c r="AL70" t="s">
        <v>223</v>
      </c>
      <c r="AM70">
        <v>0.54470000000000007</v>
      </c>
      <c r="AN70" t="s">
        <v>168</v>
      </c>
    </row>
    <row r="71" spans="9:40" x14ac:dyDescent="0.45">
      <c r="I71" t="s">
        <v>100</v>
      </c>
      <c r="J71" t="s">
        <v>224</v>
      </c>
      <c r="K71">
        <v>0.25962718685144087</v>
      </c>
      <c r="L71" t="s">
        <v>84</v>
      </c>
      <c r="N71" t="s">
        <v>116</v>
      </c>
      <c r="O71" t="s">
        <v>224</v>
      </c>
      <c r="P71">
        <v>0.17500080334423165</v>
      </c>
      <c r="Q71" t="s">
        <v>84</v>
      </c>
      <c r="S71" t="s">
        <v>131</v>
      </c>
      <c r="T71" t="s">
        <v>224</v>
      </c>
      <c r="U71">
        <v>0.11881460925486406</v>
      </c>
      <c r="V71" t="s">
        <v>84</v>
      </c>
      <c r="AK71">
        <v>2037</v>
      </c>
      <c r="AL71" t="s">
        <v>218</v>
      </c>
      <c r="AM71">
        <v>0.45226666666666665</v>
      </c>
      <c r="AN71" t="s">
        <v>168</v>
      </c>
    </row>
    <row r="72" spans="9:40" x14ac:dyDescent="0.45">
      <c r="I72" t="s">
        <v>100</v>
      </c>
      <c r="J72" t="s">
        <v>225</v>
      </c>
      <c r="K72">
        <v>4.3325373328162373E-3</v>
      </c>
      <c r="L72" t="s">
        <v>84</v>
      </c>
      <c r="N72" t="s">
        <v>116</v>
      </c>
      <c r="O72" t="s">
        <v>225</v>
      </c>
      <c r="P72">
        <v>0.12272530307958461</v>
      </c>
      <c r="Q72" t="s">
        <v>84</v>
      </c>
      <c r="S72" t="s">
        <v>131</v>
      </c>
      <c r="T72" t="s">
        <v>225</v>
      </c>
      <c r="U72">
        <v>0.12523126000957849</v>
      </c>
      <c r="V72" t="s">
        <v>84</v>
      </c>
      <c r="AK72">
        <v>2037</v>
      </c>
      <c r="AL72" t="s">
        <v>220</v>
      </c>
      <c r="AM72">
        <v>0.4052</v>
      </c>
      <c r="AN72" t="s">
        <v>168</v>
      </c>
    </row>
    <row r="73" spans="9:40" x14ac:dyDescent="0.45">
      <c r="I73" t="s">
        <v>100</v>
      </c>
      <c r="J73" t="s">
        <v>226</v>
      </c>
      <c r="K73">
        <v>2.3493515172876619E-2</v>
      </c>
      <c r="L73" t="s">
        <v>84</v>
      </c>
      <c r="N73" t="s">
        <v>116</v>
      </c>
      <c r="O73" t="s">
        <v>226</v>
      </c>
      <c r="P73">
        <v>3.3605907064450061E-2</v>
      </c>
      <c r="Q73" t="s">
        <v>84</v>
      </c>
      <c r="S73" t="s">
        <v>131</v>
      </c>
      <c r="T73" t="s">
        <v>226</v>
      </c>
      <c r="U73">
        <v>2.07105497440171E-2</v>
      </c>
      <c r="V73" t="s">
        <v>84</v>
      </c>
      <c r="AK73">
        <v>2037</v>
      </c>
      <c r="AL73" t="s">
        <v>221</v>
      </c>
      <c r="AM73">
        <v>0.44523333333333331</v>
      </c>
      <c r="AN73" t="s">
        <v>168</v>
      </c>
    </row>
    <row r="74" spans="9:40" x14ac:dyDescent="0.45">
      <c r="I74" t="s">
        <v>100</v>
      </c>
      <c r="J74" t="s">
        <v>227</v>
      </c>
      <c r="K74">
        <v>0.18820088868440177</v>
      </c>
      <c r="L74" t="s">
        <v>84</v>
      </c>
      <c r="N74" t="s">
        <v>116</v>
      </c>
      <c r="O74" t="s">
        <v>227</v>
      </c>
      <c r="P74">
        <v>0.10073112970486089</v>
      </c>
      <c r="Q74" t="s">
        <v>84</v>
      </c>
      <c r="S74" t="s">
        <v>131</v>
      </c>
      <c r="T74" t="s">
        <v>227</v>
      </c>
      <c r="U74">
        <v>0.10355083684998459</v>
      </c>
      <c r="V74" t="s">
        <v>84</v>
      </c>
      <c r="AK74">
        <v>2037</v>
      </c>
      <c r="AL74" t="s">
        <v>223</v>
      </c>
      <c r="AM74">
        <v>0.42240000000000005</v>
      </c>
      <c r="AN74" t="s">
        <v>168</v>
      </c>
    </row>
    <row r="75" spans="9:40" x14ac:dyDescent="0.45">
      <c r="I75" t="s">
        <v>100</v>
      </c>
      <c r="J75" t="s">
        <v>228</v>
      </c>
      <c r="K75">
        <v>0</v>
      </c>
      <c r="L75" t="s">
        <v>84</v>
      </c>
      <c r="N75" t="s">
        <v>116</v>
      </c>
      <c r="O75" t="s">
        <v>228</v>
      </c>
      <c r="P75">
        <v>8.5423202683421517E-2</v>
      </c>
      <c r="Q75" t="s">
        <v>84</v>
      </c>
      <c r="S75" t="s">
        <v>131</v>
      </c>
      <c r="T75" t="s">
        <v>228</v>
      </c>
      <c r="U75">
        <v>0.11051694898851042</v>
      </c>
      <c r="V75" t="s">
        <v>84</v>
      </c>
      <c r="AK75">
        <v>2038</v>
      </c>
      <c r="AL75" t="s">
        <v>218</v>
      </c>
      <c r="AM75">
        <v>0.6064666666666666</v>
      </c>
      <c r="AN75" t="s">
        <v>168</v>
      </c>
    </row>
    <row r="76" spans="9:40" x14ac:dyDescent="0.45">
      <c r="I76" t="s">
        <v>100</v>
      </c>
      <c r="J76" t="s">
        <v>229</v>
      </c>
      <c r="K76">
        <v>1.2327231058169866E-2</v>
      </c>
      <c r="L76" t="s">
        <v>84</v>
      </c>
      <c r="N76" t="s">
        <v>116</v>
      </c>
      <c r="O76" t="s">
        <v>229</v>
      </c>
      <c r="P76">
        <v>1.8622245426050087E-2</v>
      </c>
      <c r="Q76" t="s">
        <v>84</v>
      </c>
      <c r="S76" t="s">
        <v>131</v>
      </c>
      <c r="T76" t="s">
        <v>229</v>
      </c>
      <c r="U76">
        <v>2.1418919807683238E-2</v>
      </c>
      <c r="V76" t="s">
        <v>84</v>
      </c>
      <c r="AK76">
        <v>2038</v>
      </c>
      <c r="AL76" t="s">
        <v>220</v>
      </c>
      <c r="AM76">
        <v>0.52333333333333332</v>
      </c>
      <c r="AN76" t="s">
        <v>168</v>
      </c>
    </row>
    <row r="77" spans="9:40" x14ac:dyDescent="0.45">
      <c r="I77" t="s">
        <v>100</v>
      </c>
      <c r="J77" t="s">
        <v>230</v>
      </c>
      <c r="K77">
        <v>0.10658507698933796</v>
      </c>
      <c r="L77" t="s">
        <v>84</v>
      </c>
      <c r="N77" t="s">
        <v>116</v>
      </c>
      <c r="O77" t="s">
        <v>230</v>
      </c>
      <c r="P77">
        <v>0.11556721715272397</v>
      </c>
      <c r="Q77" t="s">
        <v>84</v>
      </c>
      <c r="S77" t="s">
        <v>131</v>
      </c>
      <c r="T77" t="s">
        <v>230</v>
      </c>
      <c r="U77">
        <v>0.12561656520094061</v>
      </c>
      <c r="V77" t="s">
        <v>84</v>
      </c>
      <c r="AK77">
        <v>2038</v>
      </c>
      <c r="AL77" t="s">
        <v>221</v>
      </c>
      <c r="AM77">
        <v>0.61836666666666662</v>
      </c>
      <c r="AN77" t="s">
        <v>168</v>
      </c>
    </row>
    <row r="78" spans="9:40" x14ac:dyDescent="0.45">
      <c r="I78" t="s">
        <v>100</v>
      </c>
      <c r="J78" t="s">
        <v>231</v>
      </c>
      <c r="K78">
        <v>0</v>
      </c>
      <c r="L78" t="s">
        <v>84</v>
      </c>
      <c r="N78" t="s">
        <v>116</v>
      </c>
      <c r="O78" t="s">
        <v>231</v>
      </c>
      <c r="P78">
        <v>0.11818905151163669</v>
      </c>
      <c r="Q78" t="s">
        <v>84</v>
      </c>
      <c r="S78" t="s">
        <v>131</v>
      </c>
      <c r="T78" t="s">
        <v>231</v>
      </c>
      <c r="U78">
        <v>0.1285213790736377</v>
      </c>
      <c r="V78" t="s">
        <v>84</v>
      </c>
      <c r="AK78">
        <v>2038</v>
      </c>
      <c r="AL78" t="s">
        <v>223</v>
      </c>
      <c r="AM78">
        <v>0.5427333333333334</v>
      </c>
      <c r="AN78" t="s">
        <v>168</v>
      </c>
    </row>
    <row r="79" spans="9:40" x14ac:dyDescent="0.45">
      <c r="I79" t="s">
        <v>100</v>
      </c>
      <c r="J79" t="s">
        <v>232</v>
      </c>
      <c r="K79">
        <v>2.116124060565501E-3</v>
      </c>
      <c r="L79" t="s">
        <v>84</v>
      </c>
      <c r="N79" t="s">
        <v>116</v>
      </c>
      <c r="O79" t="s">
        <v>232</v>
      </c>
      <c r="P79">
        <v>1.8169529600923395E-2</v>
      </c>
      <c r="Q79" t="s">
        <v>84</v>
      </c>
      <c r="S79" t="s">
        <v>131</v>
      </c>
      <c r="T79" t="s">
        <v>232</v>
      </c>
      <c r="U79">
        <v>2.2984174393516712E-2</v>
      </c>
      <c r="V79" t="s">
        <v>84</v>
      </c>
      <c r="AK79">
        <v>2039</v>
      </c>
      <c r="AL79" t="s">
        <v>218</v>
      </c>
      <c r="AM79">
        <v>0.44546666666666668</v>
      </c>
      <c r="AN79" t="s">
        <v>168</v>
      </c>
    </row>
    <row r="80" spans="9:40" x14ac:dyDescent="0.45">
      <c r="I80" t="s">
        <v>100</v>
      </c>
      <c r="J80" t="s">
        <v>233</v>
      </c>
      <c r="K80">
        <v>0.3425155017473635</v>
      </c>
      <c r="L80" t="s">
        <v>84</v>
      </c>
      <c r="N80" t="s">
        <v>116</v>
      </c>
      <c r="O80" t="s">
        <v>233</v>
      </c>
      <c r="P80">
        <v>0.11630745182833205</v>
      </c>
      <c r="Q80" t="s">
        <v>84</v>
      </c>
      <c r="S80" t="s">
        <v>131</v>
      </c>
      <c r="T80" t="s">
        <v>233</v>
      </c>
      <c r="U80">
        <v>9.3955560997958265E-2</v>
      </c>
      <c r="V80" t="s">
        <v>84</v>
      </c>
      <c r="AK80">
        <v>2039</v>
      </c>
      <c r="AL80" t="s">
        <v>220</v>
      </c>
      <c r="AM80">
        <v>0.38599999999999995</v>
      </c>
      <c r="AN80" t="s">
        <v>168</v>
      </c>
    </row>
    <row r="81" spans="9:40" x14ac:dyDescent="0.45">
      <c r="I81" t="s">
        <v>100</v>
      </c>
      <c r="J81" t="s">
        <v>234</v>
      </c>
      <c r="K81">
        <v>1.3715347470758268E-2</v>
      </c>
      <c r="L81" t="s">
        <v>84</v>
      </c>
      <c r="N81" t="s">
        <v>116</v>
      </c>
      <c r="O81" t="s">
        <v>234</v>
      </c>
      <c r="P81">
        <v>7.3978800364503328E-2</v>
      </c>
      <c r="Q81" t="s">
        <v>84</v>
      </c>
      <c r="S81" t="s">
        <v>131</v>
      </c>
      <c r="T81" t="s">
        <v>234</v>
      </c>
      <c r="U81">
        <v>0.10757108561809306</v>
      </c>
      <c r="V81" t="s">
        <v>84</v>
      </c>
      <c r="AK81">
        <v>2039</v>
      </c>
      <c r="AL81" t="s">
        <v>221</v>
      </c>
      <c r="AM81">
        <v>0.43286666666666668</v>
      </c>
      <c r="AN81" t="s">
        <v>168</v>
      </c>
    </row>
    <row r="82" spans="9:40" x14ac:dyDescent="0.45">
      <c r="I82" t="s">
        <v>100</v>
      </c>
      <c r="J82" t="s">
        <v>235</v>
      </c>
      <c r="K82">
        <v>4.7086590632268277E-2</v>
      </c>
      <c r="L82" t="s">
        <v>84</v>
      </c>
      <c r="N82" t="s">
        <v>116</v>
      </c>
      <c r="O82" t="s">
        <v>235</v>
      </c>
      <c r="P82">
        <v>2.167935823928278E-2</v>
      </c>
      <c r="Q82" t="s">
        <v>84</v>
      </c>
      <c r="S82" t="s">
        <v>131</v>
      </c>
      <c r="T82" t="s">
        <v>235</v>
      </c>
      <c r="U82">
        <v>2.1108110061217149E-2</v>
      </c>
      <c r="V82" t="s">
        <v>84</v>
      </c>
      <c r="AK82">
        <v>2039</v>
      </c>
      <c r="AL82" t="s">
        <v>223</v>
      </c>
      <c r="AM82">
        <v>0.40263333333333334</v>
      </c>
      <c r="AN82" t="s">
        <v>168</v>
      </c>
    </row>
    <row r="83" spans="9:40" x14ac:dyDescent="0.45">
      <c r="I83" t="s">
        <v>101</v>
      </c>
      <c r="J83" t="s">
        <v>224</v>
      </c>
      <c r="K83">
        <v>0.27461372585796834</v>
      </c>
      <c r="L83" t="s">
        <v>84</v>
      </c>
      <c r="N83" t="s">
        <v>117</v>
      </c>
      <c r="O83" t="s">
        <v>224</v>
      </c>
      <c r="P83">
        <v>0.14373333418641887</v>
      </c>
      <c r="Q83" t="s">
        <v>84</v>
      </c>
      <c r="S83" t="s">
        <v>132</v>
      </c>
      <c r="T83" t="s">
        <v>224</v>
      </c>
      <c r="U83">
        <v>0.13631191197382164</v>
      </c>
      <c r="V83" t="s">
        <v>84</v>
      </c>
      <c r="AK83">
        <v>2040</v>
      </c>
      <c r="AL83" t="s">
        <v>218</v>
      </c>
      <c r="AM83">
        <v>0.44496666666666668</v>
      </c>
      <c r="AN83" t="s">
        <v>168</v>
      </c>
    </row>
    <row r="84" spans="9:40" x14ac:dyDescent="0.45">
      <c r="I84" t="s">
        <v>101</v>
      </c>
      <c r="J84" t="s">
        <v>225</v>
      </c>
      <c r="K84">
        <v>6.1839077683512999E-3</v>
      </c>
      <c r="L84" t="s">
        <v>84</v>
      </c>
      <c r="N84" t="s">
        <v>117</v>
      </c>
      <c r="O84" t="s">
        <v>225</v>
      </c>
      <c r="P84">
        <v>0.11597156258059318</v>
      </c>
      <c r="Q84" t="s">
        <v>84</v>
      </c>
      <c r="S84" t="s">
        <v>132</v>
      </c>
      <c r="T84" t="s">
        <v>225</v>
      </c>
      <c r="U84">
        <v>0.14181727449016915</v>
      </c>
      <c r="V84" t="s">
        <v>84</v>
      </c>
      <c r="AK84">
        <v>2040</v>
      </c>
      <c r="AL84" t="s">
        <v>220</v>
      </c>
      <c r="AM84">
        <v>0.38796666666666663</v>
      </c>
      <c r="AN84" t="s">
        <v>168</v>
      </c>
    </row>
    <row r="85" spans="9:40" x14ac:dyDescent="0.45">
      <c r="I85" t="s">
        <v>101</v>
      </c>
      <c r="J85" t="s">
        <v>226</v>
      </c>
      <c r="K85">
        <v>3.2866783087845984E-2</v>
      </c>
      <c r="L85" t="s">
        <v>84</v>
      </c>
      <c r="N85" t="s">
        <v>117</v>
      </c>
      <c r="O85" t="s">
        <v>226</v>
      </c>
      <c r="P85">
        <v>2.8876529678247814E-2</v>
      </c>
      <c r="Q85" t="s">
        <v>84</v>
      </c>
      <c r="S85" t="s">
        <v>132</v>
      </c>
      <c r="T85" t="s">
        <v>226</v>
      </c>
      <c r="U85">
        <v>2.755403429748637E-2</v>
      </c>
      <c r="V85" t="s">
        <v>84</v>
      </c>
      <c r="AK85">
        <v>2040</v>
      </c>
      <c r="AL85" t="s">
        <v>221</v>
      </c>
      <c r="AM85">
        <v>0.45436666666666675</v>
      </c>
      <c r="AN85" t="s">
        <v>168</v>
      </c>
    </row>
    <row r="86" spans="9:40" x14ac:dyDescent="0.45">
      <c r="I86" t="s">
        <v>101</v>
      </c>
      <c r="J86" t="s">
        <v>227</v>
      </c>
      <c r="K86">
        <v>0.16079418670396892</v>
      </c>
      <c r="L86" t="s">
        <v>84</v>
      </c>
      <c r="N86" t="s">
        <v>117</v>
      </c>
      <c r="O86" t="s">
        <v>227</v>
      </c>
      <c r="P86">
        <v>0.10701414856999941</v>
      </c>
      <c r="Q86" t="s">
        <v>84</v>
      </c>
      <c r="S86" t="s">
        <v>132</v>
      </c>
      <c r="T86" t="s">
        <v>227</v>
      </c>
      <c r="U86">
        <v>9.0616383788179128E-2</v>
      </c>
      <c r="V86" t="s">
        <v>84</v>
      </c>
      <c r="AK86">
        <v>2040</v>
      </c>
      <c r="AL86" t="s">
        <v>223</v>
      </c>
      <c r="AM86">
        <v>0.43353333333333333</v>
      </c>
      <c r="AN86" t="s">
        <v>168</v>
      </c>
    </row>
    <row r="87" spans="9:40" x14ac:dyDescent="0.45">
      <c r="I87" t="s">
        <v>101</v>
      </c>
      <c r="J87" t="s">
        <v>228</v>
      </c>
      <c r="K87">
        <v>0</v>
      </c>
      <c r="L87" t="s">
        <v>84</v>
      </c>
      <c r="N87" t="s">
        <v>117</v>
      </c>
      <c r="O87" t="s">
        <v>228</v>
      </c>
      <c r="P87">
        <v>9.9626826023950732E-2</v>
      </c>
      <c r="Q87" t="s">
        <v>84</v>
      </c>
      <c r="S87" t="s">
        <v>132</v>
      </c>
      <c r="T87" t="s">
        <v>228</v>
      </c>
      <c r="U87">
        <v>0.10603455360946369</v>
      </c>
      <c r="V87" t="s">
        <v>84</v>
      </c>
      <c r="AK87">
        <v>2041</v>
      </c>
      <c r="AL87" t="s">
        <v>218</v>
      </c>
      <c r="AM87">
        <v>0.45800000000000002</v>
      </c>
      <c r="AN87" t="s">
        <v>168</v>
      </c>
    </row>
    <row r="88" spans="9:40" x14ac:dyDescent="0.45">
      <c r="I88" t="s">
        <v>101</v>
      </c>
      <c r="J88" t="s">
        <v>229</v>
      </c>
      <c r="K88">
        <v>1.5287429256278065E-2</v>
      </c>
      <c r="L88" t="s">
        <v>84</v>
      </c>
      <c r="N88" t="s">
        <v>117</v>
      </c>
      <c r="O88" t="s">
        <v>229</v>
      </c>
      <c r="P88">
        <v>1.9984947463526494E-2</v>
      </c>
      <c r="Q88" t="s">
        <v>84</v>
      </c>
      <c r="S88" t="s">
        <v>132</v>
      </c>
      <c r="T88" t="s">
        <v>229</v>
      </c>
      <c r="U88">
        <v>1.8410764371443109E-2</v>
      </c>
      <c r="V88" t="s">
        <v>84</v>
      </c>
      <c r="AK88">
        <v>2041</v>
      </c>
      <c r="AL88" t="s">
        <v>220</v>
      </c>
      <c r="AM88">
        <v>0.39083333333333331</v>
      </c>
      <c r="AN88" t="s">
        <v>168</v>
      </c>
    </row>
    <row r="89" spans="9:40" x14ac:dyDescent="0.45">
      <c r="I89" t="s">
        <v>101</v>
      </c>
      <c r="J89" t="s">
        <v>230</v>
      </c>
      <c r="K89">
        <v>9.5153152816126851E-2</v>
      </c>
      <c r="L89" t="s">
        <v>84</v>
      </c>
      <c r="N89" t="s">
        <v>117</v>
      </c>
      <c r="O89" t="s">
        <v>230</v>
      </c>
      <c r="P89">
        <v>0.11905610565840651</v>
      </c>
      <c r="Q89" t="s">
        <v>84</v>
      </c>
      <c r="S89" t="s">
        <v>132</v>
      </c>
      <c r="T89" t="s">
        <v>230</v>
      </c>
      <c r="U89">
        <v>0.11712571449555187</v>
      </c>
      <c r="V89" t="s">
        <v>84</v>
      </c>
      <c r="AK89">
        <v>2041</v>
      </c>
      <c r="AL89" t="s">
        <v>221</v>
      </c>
      <c r="AM89">
        <v>0.48833333333333329</v>
      </c>
      <c r="AN89" t="s">
        <v>168</v>
      </c>
    </row>
    <row r="90" spans="9:40" x14ac:dyDescent="0.45">
      <c r="I90" t="s">
        <v>101</v>
      </c>
      <c r="J90" t="s">
        <v>231</v>
      </c>
      <c r="K90">
        <v>0</v>
      </c>
      <c r="L90" t="s">
        <v>84</v>
      </c>
      <c r="N90" t="s">
        <v>117</v>
      </c>
      <c r="O90" t="s">
        <v>231</v>
      </c>
      <c r="P90">
        <v>0.12090440527940445</v>
      </c>
      <c r="Q90" t="s">
        <v>84</v>
      </c>
      <c r="S90" t="s">
        <v>132</v>
      </c>
      <c r="T90" t="s">
        <v>231</v>
      </c>
      <c r="U90">
        <v>0.12149479363245422</v>
      </c>
      <c r="V90" t="s">
        <v>84</v>
      </c>
      <c r="AK90">
        <v>2041</v>
      </c>
      <c r="AL90" t="s">
        <v>223</v>
      </c>
      <c r="AM90">
        <v>0.4136333333333333</v>
      </c>
      <c r="AN90" t="s">
        <v>168</v>
      </c>
    </row>
    <row r="91" spans="9:40" x14ac:dyDescent="0.45">
      <c r="I91" t="s">
        <v>101</v>
      </c>
      <c r="J91" t="s">
        <v>232</v>
      </c>
      <c r="K91">
        <v>3.1582745762005864E-3</v>
      </c>
      <c r="L91" t="s">
        <v>84</v>
      </c>
      <c r="N91" t="s">
        <v>117</v>
      </c>
      <c r="O91" t="s">
        <v>232</v>
      </c>
      <c r="P91">
        <v>2.1570585381189521E-2</v>
      </c>
      <c r="Q91" t="s">
        <v>84</v>
      </c>
      <c r="S91" t="s">
        <v>132</v>
      </c>
      <c r="T91" t="s">
        <v>232</v>
      </c>
      <c r="U91">
        <v>2.3759366554526117E-2</v>
      </c>
      <c r="V91" t="s">
        <v>84</v>
      </c>
      <c r="AK91">
        <v>2042</v>
      </c>
      <c r="AL91" t="s">
        <v>218</v>
      </c>
      <c r="AM91">
        <v>0.42106666666666664</v>
      </c>
      <c r="AN91" t="s">
        <v>168</v>
      </c>
    </row>
    <row r="92" spans="9:40" x14ac:dyDescent="0.45">
      <c r="I92" t="s">
        <v>101</v>
      </c>
      <c r="J92" t="s">
        <v>233</v>
      </c>
      <c r="K92">
        <v>0.34117959643753909</v>
      </c>
      <c r="L92" t="s">
        <v>84</v>
      </c>
      <c r="N92" t="s">
        <v>117</v>
      </c>
      <c r="O92" t="s">
        <v>233</v>
      </c>
      <c r="P92">
        <v>0.114856659216511</v>
      </c>
      <c r="Q92" t="s">
        <v>84</v>
      </c>
      <c r="S92" t="s">
        <v>132</v>
      </c>
      <c r="T92" t="s">
        <v>233</v>
      </c>
      <c r="U92">
        <v>8.7637318044870141E-2</v>
      </c>
      <c r="V92" t="s">
        <v>84</v>
      </c>
      <c r="AK92">
        <v>2042</v>
      </c>
      <c r="AL92" t="s">
        <v>220</v>
      </c>
      <c r="AM92">
        <v>0.36483333333333334</v>
      </c>
      <c r="AN92" t="s">
        <v>168</v>
      </c>
    </row>
    <row r="93" spans="9:40" x14ac:dyDescent="0.45">
      <c r="I93" t="s">
        <v>101</v>
      </c>
      <c r="J93" t="s">
        <v>234</v>
      </c>
      <c r="K93">
        <v>2.0049139669857819E-2</v>
      </c>
      <c r="L93" t="s">
        <v>84</v>
      </c>
      <c r="N93" t="s">
        <v>117</v>
      </c>
      <c r="O93" t="s">
        <v>234</v>
      </c>
      <c r="P93">
        <v>8.8608194995052972E-2</v>
      </c>
      <c r="Q93" t="s">
        <v>84</v>
      </c>
      <c r="S93" t="s">
        <v>132</v>
      </c>
      <c r="T93" t="s">
        <v>234</v>
      </c>
      <c r="U93">
        <v>0.10869410390245007</v>
      </c>
      <c r="V93" t="s">
        <v>84</v>
      </c>
      <c r="AK93">
        <v>2042</v>
      </c>
      <c r="AL93" t="s">
        <v>221</v>
      </c>
      <c r="AM93">
        <v>0.45966666666666667</v>
      </c>
      <c r="AN93" t="s">
        <v>168</v>
      </c>
    </row>
    <row r="94" spans="9:40" x14ac:dyDescent="0.45">
      <c r="I94" t="s">
        <v>101</v>
      </c>
      <c r="J94" t="s">
        <v>235</v>
      </c>
      <c r="K94">
        <v>5.071380382586646E-2</v>
      </c>
      <c r="L94" t="s">
        <v>84</v>
      </c>
      <c r="N94" t="s">
        <v>117</v>
      </c>
      <c r="O94" t="s">
        <v>235</v>
      </c>
      <c r="P94">
        <v>1.9796700966696883E-2</v>
      </c>
      <c r="Q94" t="s">
        <v>84</v>
      </c>
      <c r="S94" t="s">
        <v>132</v>
      </c>
      <c r="T94" t="s">
        <v>235</v>
      </c>
      <c r="U94">
        <v>2.054378083958357E-2</v>
      </c>
      <c r="V94" t="s">
        <v>84</v>
      </c>
      <c r="AK94">
        <v>2042</v>
      </c>
      <c r="AL94" t="s">
        <v>223</v>
      </c>
      <c r="AM94">
        <v>0.38640000000000002</v>
      </c>
      <c r="AN94" t="s">
        <v>168</v>
      </c>
    </row>
    <row r="95" spans="9:40" x14ac:dyDescent="0.45">
      <c r="I95" t="s">
        <v>102</v>
      </c>
      <c r="J95" t="s">
        <v>224</v>
      </c>
      <c r="K95">
        <v>0.28700096944428827</v>
      </c>
      <c r="L95" t="s">
        <v>84</v>
      </c>
      <c r="N95" t="s">
        <v>118</v>
      </c>
      <c r="O95" t="s">
        <v>224</v>
      </c>
      <c r="P95">
        <v>0.16662737823144463</v>
      </c>
      <c r="Q95" t="s">
        <v>84</v>
      </c>
      <c r="S95" t="s">
        <v>133</v>
      </c>
      <c r="T95" t="s">
        <v>224</v>
      </c>
      <c r="U95">
        <v>0.12773282981347808</v>
      </c>
      <c r="V95" t="s">
        <v>84</v>
      </c>
      <c r="AK95">
        <v>2043</v>
      </c>
      <c r="AL95" t="s">
        <v>218</v>
      </c>
      <c r="AM95">
        <v>0.44046666666666673</v>
      </c>
      <c r="AN95" t="s">
        <v>168</v>
      </c>
    </row>
    <row r="96" spans="9:40" x14ac:dyDescent="0.45">
      <c r="I96" t="s">
        <v>102</v>
      </c>
      <c r="J96" t="s">
        <v>225</v>
      </c>
      <c r="K96">
        <v>6.302506030660634E-3</v>
      </c>
      <c r="L96" t="s">
        <v>84</v>
      </c>
      <c r="N96" t="s">
        <v>118</v>
      </c>
      <c r="O96" t="s">
        <v>225</v>
      </c>
      <c r="P96">
        <v>0.11872809207699352</v>
      </c>
      <c r="Q96" t="s">
        <v>84</v>
      </c>
      <c r="S96" t="s">
        <v>133</v>
      </c>
      <c r="T96" t="s">
        <v>225</v>
      </c>
      <c r="U96">
        <v>0.13342783544551989</v>
      </c>
      <c r="V96" t="s">
        <v>84</v>
      </c>
      <c r="AK96">
        <v>2043</v>
      </c>
      <c r="AL96" t="s">
        <v>220</v>
      </c>
      <c r="AM96">
        <v>0.37816666666666671</v>
      </c>
      <c r="AN96" t="s">
        <v>168</v>
      </c>
    </row>
    <row r="97" spans="9:40" x14ac:dyDescent="0.45">
      <c r="I97" t="s">
        <v>102</v>
      </c>
      <c r="J97" t="s">
        <v>226</v>
      </c>
      <c r="K97">
        <v>3.2281139865930737E-2</v>
      </c>
      <c r="L97" t="s">
        <v>84</v>
      </c>
      <c r="N97" t="s">
        <v>118</v>
      </c>
      <c r="O97" t="s">
        <v>226</v>
      </c>
      <c r="P97">
        <v>2.8009701740302283E-2</v>
      </c>
      <c r="Q97" t="s">
        <v>84</v>
      </c>
      <c r="S97" t="s">
        <v>133</v>
      </c>
      <c r="T97" t="s">
        <v>226</v>
      </c>
      <c r="U97">
        <v>2.3586290961507272E-2</v>
      </c>
      <c r="V97" t="s">
        <v>84</v>
      </c>
      <c r="AK97">
        <v>2043</v>
      </c>
      <c r="AL97" t="s">
        <v>221</v>
      </c>
      <c r="AM97">
        <v>0.46423333333333333</v>
      </c>
      <c r="AN97" t="s">
        <v>168</v>
      </c>
    </row>
    <row r="98" spans="9:40" x14ac:dyDescent="0.45">
      <c r="I98" t="s">
        <v>102</v>
      </c>
      <c r="J98" t="s">
        <v>227</v>
      </c>
      <c r="K98">
        <v>0.15771008521037647</v>
      </c>
      <c r="L98" t="s">
        <v>84</v>
      </c>
      <c r="N98" t="s">
        <v>118</v>
      </c>
      <c r="O98" t="s">
        <v>227</v>
      </c>
      <c r="P98">
        <v>0.1141958403167343</v>
      </c>
      <c r="Q98" t="s">
        <v>84</v>
      </c>
      <c r="S98" t="s">
        <v>133</v>
      </c>
      <c r="T98" t="s">
        <v>227</v>
      </c>
      <c r="U98">
        <v>9.9426599264382423E-2</v>
      </c>
      <c r="V98" t="s">
        <v>84</v>
      </c>
      <c r="AK98">
        <v>2043</v>
      </c>
      <c r="AL98" t="s">
        <v>223</v>
      </c>
      <c r="AM98">
        <v>0.42126666666666668</v>
      </c>
      <c r="AN98" t="s">
        <v>168</v>
      </c>
    </row>
    <row r="99" spans="9:40" x14ac:dyDescent="0.45">
      <c r="I99" t="s">
        <v>102</v>
      </c>
      <c r="J99" t="s">
        <v>228</v>
      </c>
      <c r="K99">
        <v>0</v>
      </c>
      <c r="L99" t="s">
        <v>84</v>
      </c>
      <c r="N99" t="s">
        <v>118</v>
      </c>
      <c r="O99" t="s">
        <v>228</v>
      </c>
      <c r="P99">
        <v>9.5090574752109663E-2</v>
      </c>
      <c r="Q99" t="s">
        <v>84</v>
      </c>
      <c r="S99" t="s">
        <v>133</v>
      </c>
      <c r="T99" t="s">
        <v>228</v>
      </c>
      <c r="U99">
        <v>0.10880680497461016</v>
      </c>
      <c r="V99" t="s">
        <v>84</v>
      </c>
      <c r="AK99">
        <v>2044</v>
      </c>
      <c r="AL99" t="s">
        <v>218</v>
      </c>
      <c r="AM99">
        <v>0.41699999999999998</v>
      </c>
      <c r="AN99" t="s">
        <v>168</v>
      </c>
    </row>
    <row r="100" spans="9:40" x14ac:dyDescent="0.45">
      <c r="I100" t="s">
        <v>102</v>
      </c>
      <c r="J100" t="s">
        <v>229</v>
      </c>
      <c r="K100">
        <v>1.4869683955594508E-2</v>
      </c>
      <c r="L100" t="s">
        <v>84</v>
      </c>
      <c r="N100" t="s">
        <v>118</v>
      </c>
      <c r="O100" t="s">
        <v>229</v>
      </c>
      <c r="P100">
        <v>1.9322305388973091E-2</v>
      </c>
      <c r="Q100" t="s">
        <v>84</v>
      </c>
      <c r="S100" t="s">
        <v>133</v>
      </c>
      <c r="T100" t="s">
        <v>229</v>
      </c>
      <c r="U100">
        <v>1.973012124696924E-2</v>
      </c>
      <c r="V100" t="s">
        <v>84</v>
      </c>
      <c r="AK100">
        <v>2044</v>
      </c>
      <c r="AL100" t="s">
        <v>220</v>
      </c>
      <c r="AM100">
        <v>0.4052</v>
      </c>
      <c r="AN100" t="s">
        <v>168</v>
      </c>
    </row>
    <row r="101" spans="9:40" x14ac:dyDescent="0.45">
      <c r="I101" t="s">
        <v>102</v>
      </c>
      <c r="J101" t="s">
        <v>230</v>
      </c>
      <c r="K101">
        <v>9.6711741806306414E-2</v>
      </c>
      <c r="L101" t="s">
        <v>84</v>
      </c>
      <c r="N101" t="s">
        <v>118</v>
      </c>
      <c r="O101" t="s">
        <v>230</v>
      </c>
      <c r="P101">
        <v>0.10650599521569565</v>
      </c>
      <c r="Q101" t="s">
        <v>84</v>
      </c>
      <c r="S101" t="s">
        <v>133</v>
      </c>
      <c r="T101" t="s">
        <v>230</v>
      </c>
      <c r="U101">
        <v>0.11700620103246892</v>
      </c>
      <c r="V101" t="s">
        <v>84</v>
      </c>
      <c r="AK101">
        <v>2044</v>
      </c>
      <c r="AL101" t="s">
        <v>221</v>
      </c>
      <c r="AM101">
        <v>0.45683333333333326</v>
      </c>
      <c r="AN101" t="s">
        <v>168</v>
      </c>
    </row>
    <row r="102" spans="9:40" x14ac:dyDescent="0.45">
      <c r="I102" t="s">
        <v>102</v>
      </c>
      <c r="J102" t="s">
        <v>231</v>
      </c>
      <c r="K102">
        <v>0</v>
      </c>
      <c r="L102" t="s">
        <v>84</v>
      </c>
      <c r="N102" t="s">
        <v>118</v>
      </c>
      <c r="O102" t="s">
        <v>231</v>
      </c>
      <c r="P102">
        <v>0.10913196764547575</v>
      </c>
      <c r="Q102" t="s">
        <v>84</v>
      </c>
      <c r="S102" t="s">
        <v>133</v>
      </c>
      <c r="T102" t="s">
        <v>231</v>
      </c>
      <c r="U102">
        <v>0.12117924725533027</v>
      </c>
      <c r="V102" t="s">
        <v>84</v>
      </c>
      <c r="AK102">
        <v>2044</v>
      </c>
      <c r="AL102" t="s">
        <v>223</v>
      </c>
      <c r="AM102">
        <v>0.39266666666666666</v>
      </c>
      <c r="AN102" t="s">
        <v>168</v>
      </c>
    </row>
    <row r="103" spans="9:40" x14ac:dyDescent="0.45">
      <c r="I103" t="s">
        <v>102</v>
      </c>
      <c r="J103" t="s">
        <v>232</v>
      </c>
      <c r="K103">
        <v>3.6791826204073913E-3</v>
      </c>
      <c r="L103" t="s">
        <v>84</v>
      </c>
      <c r="N103" t="s">
        <v>118</v>
      </c>
      <c r="O103" t="s">
        <v>232</v>
      </c>
      <c r="P103">
        <v>1.8349756142875904E-2</v>
      </c>
      <c r="Q103" t="s">
        <v>84</v>
      </c>
      <c r="S103" t="s">
        <v>133</v>
      </c>
      <c r="T103" t="s">
        <v>232</v>
      </c>
      <c r="U103">
        <v>2.2086701925901647E-2</v>
      </c>
      <c r="V103" t="s">
        <v>84</v>
      </c>
      <c r="AK103">
        <v>2045</v>
      </c>
      <c r="AL103" t="s">
        <v>218</v>
      </c>
      <c r="AM103">
        <v>0.59743333333333337</v>
      </c>
      <c r="AN103" t="s">
        <v>168</v>
      </c>
    </row>
    <row r="104" spans="9:40" x14ac:dyDescent="0.45">
      <c r="I104" t="s">
        <v>102</v>
      </c>
      <c r="J104" t="s">
        <v>233</v>
      </c>
      <c r="K104">
        <v>0.33564952973724849</v>
      </c>
      <c r="L104" t="s">
        <v>84</v>
      </c>
      <c r="N104" t="s">
        <v>118</v>
      </c>
      <c r="O104" t="s">
        <v>233</v>
      </c>
      <c r="P104">
        <v>0.12112141815603571</v>
      </c>
      <c r="Q104" t="s">
        <v>84</v>
      </c>
      <c r="S104" t="s">
        <v>133</v>
      </c>
      <c r="T104" t="s">
        <v>233</v>
      </c>
      <c r="U104">
        <v>9.8926217953389156E-2</v>
      </c>
      <c r="V104" t="s">
        <v>84</v>
      </c>
      <c r="AK104">
        <v>2045</v>
      </c>
      <c r="AL104" t="s">
        <v>220</v>
      </c>
      <c r="AM104">
        <v>0.54843333333333333</v>
      </c>
      <c r="AN104" t="s">
        <v>168</v>
      </c>
    </row>
    <row r="105" spans="9:40" x14ac:dyDescent="0.45">
      <c r="I105" t="s">
        <v>102</v>
      </c>
      <c r="J105" t="s">
        <v>234</v>
      </c>
      <c r="K105">
        <v>1.9318187175607803E-2</v>
      </c>
      <c r="L105" t="s">
        <v>84</v>
      </c>
      <c r="N105" t="s">
        <v>118</v>
      </c>
      <c r="O105" t="s">
        <v>234</v>
      </c>
      <c r="P105">
        <v>8.1587616040912497E-2</v>
      </c>
      <c r="Q105" t="s">
        <v>84</v>
      </c>
      <c r="S105" t="s">
        <v>133</v>
      </c>
      <c r="T105" t="s">
        <v>234</v>
      </c>
      <c r="U105">
        <v>0.10933007889654263</v>
      </c>
      <c r="V105" t="s">
        <v>84</v>
      </c>
      <c r="AK105">
        <v>2045</v>
      </c>
      <c r="AL105" t="s">
        <v>221</v>
      </c>
      <c r="AM105">
        <v>0.62136666666666662</v>
      </c>
      <c r="AN105" t="s">
        <v>168</v>
      </c>
    </row>
    <row r="106" spans="9:40" x14ac:dyDescent="0.45">
      <c r="I106" t="s">
        <v>102</v>
      </c>
      <c r="J106" t="s">
        <v>235</v>
      </c>
      <c r="K106">
        <v>4.6476974153578439E-2</v>
      </c>
      <c r="L106" t="s">
        <v>84</v>
      </c>
      <c r="N106" t="s">
        <v>118</v>
      </c>
      <c r="O106" t="s">
        <v>235</v>
      </c>
      <c r="P106">
        <v>2.1329354292444615E-2</v>
      </c>
      <c r="Q106" t="s">
        <v>84</v>
      </c>
      <c r="S106" t="s">
        <v>133</v>
      </c>
      <c r="T106" t="s">
        <v>235</v>
      </c>
      <c r="U106">
        <v>1.8761071229898337E-2</v>
      </c>
      <c r="V106" t="s">
        <v>84</v>
      </c>
      <c r="AK106">
        <v>2045</v>
      </c>
      <c r="AL106" t="s">
        <v>223</v>
      </c>
      <c r="AM106">
        <v>0.57910000000000006</v>
      </c>
      <c r="AN106" t="s">
        <v>168</v>
      </c>
    </row>
    <row r="107" spans="9:40" x14ac:dyDescent="0.45">
      <c r="I107" t="s">
        <v>103</v>
      </c>
      <c r="J107" t="s">
        <v>224</v>
      </c>
      <c r="K107">
        <v>0.27798884602119778</v>
      </c>
      <c r="L107" t="s">
        <v>84</v>
      </c>
      <c r="N107" t="s">
        <v>119</v>
      </c>
      <c r="O107" t="s">
        <v>224</v>
      </c>
      <c r="P107">
        <v>0.12848498578110407</v>
      </c>
      <c r="Q107" t="s">
        <v>84</v>
      </c>
      <c r="S107" t="s">
        <v>134</v>
      </c>
      <c r="T107" t="s">
        <v>224</v>
      </c>
      <c r="U107">
        <v>0.16133811998607031</v>
      </c>
      <c r="V107" t="s">
        <v>84</v>
      </c>
      <c r="AK107">
        <v>2046</v>
      </c>
      <c r="AL107" t="s">
        <v>218</v>
      </c>
      <c r="AM107">
        <v>0.59093333333333342</v>
      </c>
      <c r="AN107" t="s">
        <v>168</v>
      </c>
    </row>
    <row r="108" spans="9:40" x14ac:dyDescent="0.45">
      <c r="I108" t="s">
        <v>103</v>
      </c>
      <c r="J108" t="s">
        <v>225</v>
      </c>
      <c r="K108">
        <v>6.7956282059667998E-3</v>
      </c>
      <c r="L108" t="s">
        <v>84</v>
      </c>
      <c r="N108" t="s">
        <v>119</v>
      </c>
      <c r="O108" t="s">
        <v>225</v>
      </c>
      <c r="P108">
        <v>0.11479264962850468</v>
      </c>
      <c r="Q108" t="s">
        <v>84</v>
      </c>
      <c r="S108" t="s">
        <v>134</v>
      </c>
      <c r="T108" t="s">
        <v>225</v>
      </c>
      <c r="U108">
        <v>0.1396863053744824</v>
      </c>
      <c r="V108" t="s">
        <v>84</v>
      </c>
      <c r="AK108">
        <v>2046</v>
      </c>
      <c r="AL108" t="s">
        <v>220</v>
      </c>
      <c r="AM108">
        <v>0.52200000000000002</v>
      </c>
      <c r="AN108" t="s">
        <v>168</v>
      </c>
    </row>
    <row r="109" spans="9:40" x14ac:dyDescent="0.45">
      <c r="I109" t="s">
        <v>103</v>
      </c>
      <c r="J109" t="s">
        <v>226</v>
      </c>
      <c r="K109">
        <v>3.4690461565282382E-2</v>
      </c>
      <c r="L109" t="s">
        <v>84</v>
      </c>
      <c r="N109" t="s">
        <v>119</v>
      </c>
      <c r="O109" t="s">
        <v>226</v>
      </c>
      <c r="P109">
        <v>2.3609265224149384E-2</v>
      </c>
      <c r="Q109" t="s">
        <v>84</v>
      </c>
      <c r="S109" t="s">
        <v>134</v>
      </c>
      <c r="T109" t="s">
        <v>226</v>
      </c>
      <c r="U109">
        <v>2.6147508845605936E-2</v>
      </c>
      <c r="V109" t="s">
        <v>84</v>
      </c>
      <c r="AK109">
        <v>2046</v>
      </c>
      <c r="AL109" t="s">
        <v>221</v>
      </c>
      <c r="AM109">
        <v>0.63519999999999999</v>
      </c>
      <c r="AN109" t="s">
        <v>168</v>
      </c>
    </row>
    <row r="110" spans="9:40" x14ac:dyDescent="0.45">
      <c r="I110" t="s">
        <v>103</v>
      </c>
      <c r="J110" t="s">
        <v>227</v>
      </c>
      <c r="K110">
        <v>0.16047334072655836</v>
      </c>
      <c r="L110" t="s">
        <v>84</v>
      </c>
      <c r="N110" t="s">
        <v>119</v>
      </c>
      <c r="O110" t="s">
        <v>227</v>
      </c>
      <c r="P110">
        <v>0.11255175815170487</v>
      </c>
      <c r="Q110" t="s">
        <v>84</v>
      </c>
      <c r="S110" t="s">
        <v>134</v>
      </c>
      <c r="T110" t="s">
        <v>227</v>
      </c>
      <c r="U110">
        <v>9.1271659083217244E-2</v>
      </c>
      <c r="V110" t="s">
        <v>84</v>
      </c>
      <c r="AK110">
        <v>2046</v>
      </c>
      <c r="AL110" t="s">
        <v>223</v>
      </c>
      <c r="AM110">
        <v>0.5655</v>
      </c>
      <c r="AN110" t="s">
        <v>168</v>
      </c>
    </row>
    <row r="111" spans="9:40" x14ac:dyDescent="0.45">
      <c r="I111" t="s">
        <v>103</v>
      </c>
      <c r="J111" t="s">
        <v>228</v>
      </c>
      <c r="K111">
        <v>0</v>
      </c>
      <c r="L111" t="s">
        <v>84</v>
      </c>
      <c r="N111" t="s">
        <v>119</v>
      </c>
      <c r="O111" t="s">
        <v>228</v>
      </c>
      <c r="P111">
        <v>0.11352381997512329</v>
      </c>
      <c r="Q111" t="s">
        <v>84</v>
      </c>
      <c r="S111" t="s">
        <v>134</v>
      </c>
      <c r="T111" t="s">
        <v>228</v>
      </c>
      <c r="U111">
        <v>9.5459748936948613E-2</v>
      </c>
      <c r="V111" t="s">
        <v>84</v>
      </c>
      <c r="AK111">
        <v>2047</v>
      </c>
      <c r="AL111" t="s">
        <v>218</v>
      </c>
      <c r="AM111">
        <v>0.59033333333333327</v>
      </c>
      <c r="AN111" t="s">
        <v>168</v>
      </c>
    </row>
    <row r="112" spans="9:40" x14ac:dyDescent="0.45">
      <c r="I112" t="s">
        <v>103</v>
      </c>
      <c r="J112" t="s">
        <v>229</v>
      </c>
      <c r="K112">
        <v>1.7397083956947033E-2</v>
      </c>
      <c r="L112" t="s">
        <v>84</v>
      </c>
      <c r="N112" t="s">
        <v>119</v>
      </c>
      <c r="O112" t="s">
        <v>229</v>
      </c>
      <c r="P112">
        <v>2.1888954566639415E-2</v>
      </c>
      <c r="Q112" t="s">
        <v>84</v>
      </c>
      <c r="S112" t="s">
        <v>134</v>
      </c>
      <c r="T112" t="s">
        <v>229</v>
      </c>
      <c r="U112">
        <v>1.9016508002978296E-2</v>
      </c>
      <c r="V112" t="s">
        <v>84</v>
      </c>
      <c r="AK112">
        <v>2047</v>
      </c>
      <c r="AL112" t="s">
        <v>220</v>
      </c>
      <c r="AM112">
        <v>0.52116666666666667</v>
      </c>
      <c r="AN112" t="s">
        <v>168</v>
      </c>
    </row>
    <row r="113" spans="9:40" x14ac:dyDescent="0.45">
      <c r="I113" t="s">
        <v>103</v>
      </c>
      <c r="J113" t="s">
        <v>230</v>
      </c>
      <c r="K113">
        <v>9.2940517838097675E-2</v>
      </c>
      <c r="L113" t="s">
        <v>84</v>
      </c>
      <c r="N113" t="s">
        <v>119</v>
      </c>
      <c r="O113" t="s">
        <v>230</v>
      </c>
      <c r="P113">
        <v>0.11138731951314058</v>
      </c>
      <c r="Q113" t="s">
        <v>84</v>
      </c>
      <c r="S113" t="s">
        <v>134</v>
      </c>
      <c r="T113" t="s">
        <v>230</v>
      </c>
      <c r="U113">
        <v>0.11896745967975597</v>
      </c>
      <c r="V113" t="s">
        <v>84</v>
      </c>
      <c r="AK113">
        <v>2047</v>
      </c>
      <c r="AL113" t="s">
        <v>221</v>
      </c>
      <c r="AM113">
        <v>0.61473333333333324</v>
      </c>
      <c r="AN113" t="s">
        <v>168</v>
      </c>
    </row>
    <row r="114" spans="9:40" x14ac:dyDescent="0.45">
      <c r="I114" t="s">
        <v>103</v>
      </c>
      <c r="J114" t="s">
        <v>231</v>
      </c>
      <c r="K114">
        <v>0</v>
      </c>
      <c r="L114" t="s">
        <v>84</v>
      </c>
      <c r="N114" t="s">
        <v>119</v>
      </c>
      <c r="O114" t="s">
        <v>231</v>
      </c>
      <c r="P114">
        <v>0.11732310618820274</v>
      </c>
      <c r="Q114" t="s">
        <v>84</v>
      </c>
      <c r="S114" t="s">
        <v>134</v>
      </c>
      <c r="T114" t="s">
        <v>231</v>
      </c>
      <c r="U114">
        <v>0.11222649839474506</v>
      </c>
      <c r="V114" t="s">
        <v>84</v>
      </c>
      <c r="AK114">
        <v>2047</v>
      </c>
      <c r="AL114" t="s">
        <v>223</v>
      </c>
      <c r="AM114">
        <v>0.53056666666666674</v>
      </c>
      <c r="AN114" t="s">
        <v>168</v>
      </c>
    </row>
    <row r="115" spans="9:40" x14ac:dyDescent="0.45">
      <c r="I115" t="s">
        <v>103</v>
      </c>
      <c r="J115" t="s">
        <v>232</v>
      </c>
      <c r="K115">
        <v>3.4623582809782658E-3</v>
      </c>
      <c r="L115" t="s">
        <v>84</v>
      </c>
      <c r="N115" t="s">
        <v>119</v>
      </c>
      <c r="O115" t="s">
        <v>232</v>
      </c>
      <c r="P115">
        <v>2.0493732605007531E-2</v>
      </c>
      <c r="Q115" t="s">
        <v>84</v>
      </c>
      <c r="S115" t="s">
        <v>134</v>
      </c>
      <c r="T115" t="s">
        <v>232</v>
      </c>
      <c r="U115">
        <v>2.2089762478229597E-2</v>
      </c>
      <c r="V115" t="s">
        <v>84</v>
      </c>
      <c r="AK115">
        <v>2048</v>
      </c>
      <c r="AL115" t="s">
        <v>218</v>
      </c>
      <c r="AM115">
        <v>0.57643333333333324</v>
      </c>
      <c r="AN115" t="s">
        <v>168</v>
      </c>
    </row>
    <row r="116" spans="9:40" x14ac:dyDescent="0.45">
      <c r="I116" t="s">
        <v>103</v>
      </c>
      <c r="J116" t="s">
        <v>233</v>
      </c>
      <c r="K116">
        <v>0.33421604994028226</v>
      </c>
      <c r="L116" t="s">
        <v>84</v>
      </c>
      <c r="N116" t="s">
        <v>119</v>
      </c>
      <c r="O116" t="s">
        <v>233</v>
      </c>
      <c r="P116">
        <v>0.1120922117980208</v>
      </c>
      <c r="Q116" t="s">
        <v>84</v>
      </c>
      <c r="S116" t="s">
        <v>134</v>
      </c>
      <c r="T116" t="s">
        <v>233</v>
      </c>
      <c r="U116">
        <v>0.10258804022213562</v>
      </c>
      <c r="V116" t="s">
        <v>84</v>
      </c>
      <c r="AK116">
        <v>2048</v>
      </c>
      <c r="AL116" t="s">
        <v>220</v>
      </c>
      <c r="AM116">
        <v>0.5043333333333333</v>
      </c>
      <c r="AN116" t="s">
        <v>168</v>
      </c>
    </row>
    <row r="117" spans="9:40" x14ac:dyDescent="0.45">
      <c r="I117" t="s">
        <v>103</v>
      </c>
      <c r="J117" t="s">
        <v>234</v>
      </c>
      <c r="K117">
        <v>1.9794019616507751E-2</v>
      </c>
      <c r="L117" t="s">
        <v>84</v>
      </c>
      <c r="N117" t="s">
        <v>119</v>
      </c>
      <c r="O117" t="s">
        <v>234</v>
      </c>
      <c r="P117">
        <v>0.10336961264515757</v>
      </c>
      <c r="Q117" t="s">
        <v>84</v>
      </c>
      <c r="S117" t="s">
        <v>134</v>
      </c>
      <c r="T117" t="s">
        <v>234</v>
      </c>
      <c r="U117">
        <v>8.8648441447009133E-2</v>
      </c>
      <c r="V117" t="s">
        <v>84</v>
      </c>
      <c r="AK117">
        <v>2048</v>
      </c>
      <c r="AL117" t="s">
        <v>221</v>
      </c>
      <c r="AM117">
        <v>0.60070000000000001</v>
      </c>
      <c r="AN117" t="s">
        <v>168</v>
      </c>
    </row>
    <row r="118" spans="9:40" x14ac:dyDescent="0.45">
      <c r="I118" t="s">
        <v>103</v>
      </c>
      <c r="J118" t="s">
        <v>235</v>
      </c>
      <c r="K118">
        <v>5.2241693848181746E-2</v>
      </c>
      <c r="L118" t="s">
        <v>84</v>
      </c>
      <c r="N118" t="s">
        <v>119</v>
      </c>
      <c r="O118" t="s">
        <v>235</v>
      </c>
      <c r="P118">
        <v>2.0482583923245323E-2</v>
      </c>
      <c r="Q118" t="s">
        <v>84</v>
      </c>
      <c r="S118" t="s">
        <v>134</v>
      </c>
      <c r="T118" t="s">
        <v>235</v>
      </c>
      <c r="U118">
        <v>2.2559947548823883E-2</v>
      </c>
      <c r="V118" t="s">
        <v>84</v>
      </c>
      <c r="AK118">
        <v>2048</v>
      </c>
      <c r="AL118" t="s">
        <v>223</v>
      </c>
      <c r="AM118">
        <v>0.59526666666666672</v>
      </c>
      <c r="AN118" t="s">
        <v>168</v>
      </c>
    </row>
    <row r="119" spans="9:40" x14ac:dyDescent="0.45">
      <c r="I119" t="s">
        <v>104</v>
      </c>
      <c r="J119" t="s">
        <v>224</v>
      </c>
      <c r="K119">
        <v>0.28397258371456807</v>
      </c>
      <c r="L119" t="s">
        <v>84</v>
      </c>
      <c r="N119" t="s">
        <v>120</v>
      </c>
      <c r="O119" t="s">
        <v>224</v>
      </c>
      <c r="P119">
        <v>0.13286627855673874</v>
      </c>
      <c r="Q119" t="s">
        <v>84</v>
      </c>
      <c r="S119" t="s">
        <v>135</v>
      </c>
      <c r="T119" t="s">
        <v>224</v>
      </c>
      <c r="U119">
        <v>0.12502175555162487</v>
      </c>
      <c r="V119" t="s">
        <v>84</v>
      </c>
      <c r="AK119">
        <v>2049</v>
      </c>
      <c r="AL119" t="s">
        <v>218</v>
      </c>
      <c r="AM119">
        <v>0.49713333333333337</v>
      </c>
      <c r="AN119" t="s">
        <v>168</v>
      </c>
    </row>
    <row r="120" spans="9:40" x14ac:dyDescent="0.45">
      <c r="I120" t="s">
        <v>104</v>
      </c>
      <c r="J120" t="s">
        <v>225</v>
      </c>
      <c r="K120">
        <v>7.4721517721241726E-3</v>
      </c>
      <c r="L120" t="s">
        <v>84</v>
      </c>
      <c r="N120" t="s">
        <v>120</v>
      </c>
      <c r="O120" t="s">
        <v>225</v>
      </c>
      <c r="P120">
        <v>0.11262631980776817</v>
      </c>
      <c r="Q120" t="s">
        <v>84</v>
      </c>
      <c r="S120" t="s">
        <v>135</v>
      </c>
      <c r="T120" t="s">
        <v>225</v>
      </c>
      <c r="U120">
        <v>0.13347037295505365</v>
      </c>
      <c r="V120" t="s">
        <v>84</v>
      </c>
      <c r="AK120">
        <v>2049</v>
      </c>
      <c r="AL120" t="s">
        <v>220</v>
      </c>
      <c r="AM120">
        <v>0.4582</v>
      </c>
      <c r="AN120" t="s">
        <v>168</v>
      </c>
    </row>
    <row r="121" spans="9:40" x14ac:dyDescent="0.45">
      <c r="I121" t="s">
        <v>104</v>
      </c>
      <c r="J121" t="s">
        <v>226</v>
      </c>
      <c r="K121">
        <v>3.6363017620193921E-2</v>
      </c>
      <c r="L121" t="s">
        <v>84</v>
      </c>
      <c r="N121" t="s">
        <v>120</v>
      </c>
      <c r="O121" t="s">
        <v>226</v>
      </c>
      <c r="P121">
        <v>2.4159662756514898E-2</v>
      </c>
      <c r="Q121" t="s">
        <v>84</v>
      </c>
      <c r="S121" t="s">
        <v>135</v>
      </c>
      <c r="T121" t="s">
        <v>226</v>
      </c>
      <c r="U121">
        <v>2.3969808401932566E-2</v>
      </c>
      <c r="V121" t="s">
        <v>84</v>
      </c>
      <c r="AK121">
        <v>2049</v>
      </c>
      <c r="AL121" t="s">
        <v>221</v>
      </c>
      <c r="AM121">
        <v>0.53663333333333341</v>
      </c>
      <c r="AN121" t="s">
        <v>168</v>
      </c>
    </row>
    <row r="122" spans="9:40" x14ac:dyDescent="0.45">
      <c r="I122" t="s">
        <v>104</v>
      </c>
      <c r="J122" t="s">
        <v>227</v>
      </c>
      <c r="K122">
        <v>0.15240581446845719</v>
      </c>
      <c r="L122" t="s">
        <v>84</v>
      </c>
      <c r="N122" t="s">
        <v>120</v>
      </c>
      <c r="O122" t="s">
        <v>227</v>
      </c>
      <c r="P122">
        <v>0.10782305904572316</v>
      </c>
      <c r="Q122" t="s">
        <v>84</v>
      </c>
      <c r="S122" t="s">
        <v>135</v>
      </c>
      <c r="T122" t="s">
        <v>227</v>
      </c>
      <c r="U122">
        <v>9.6588180491829184E-2</v>
      </c>
      <c r="V122" t="s">
        <v>84</v>
      </c>
      <c r="AK122">
        <v>2049</v>
      </c>
      <c r="AL122" t="s">
        <v>223</v>
      </c>
      <c r="AM122">
        <v>0.49049999999999999</v>
      </c>
      <c r="AN122" t="s">
        <v>168</v>
      </c>
    </row>
    <row r="123" spans="9:40" x14ac:dyDescent="0.45">
      <c r="I123" t="s">
        <v>104</v>
      </c>
      <c r="J123" t="s">
        <v>228</v>
      </c>
      <c r="K123">
        <v>4.8718751896851696E-7</v>
      </c>
      <c r="L123" t="s">
        <v>84</v>
      </c>
      <c r="N123" t="s">
        <v>120</v>
      </c>
      <c r="O123" t="s">
        <v>228</v>
      </c>
      <c r="P123">
        <v>0.10368615307345545</v>
      </c>
      <c r="Q123" t="s">
        <v>84</v>
      </c>
      <c r="S123" t="s">
        <v>135</v>
      </c>
      <c r="T123" t="s">
        <v>228</v>
      </c>
      <c r="U123">
        <v>0.10663858691121358</v>
      </c>
      <c r="V123" t="s">
        <v>84</v>
      </c>
      <c r="AK123">
        <v>2050</v>
      </c>
      <c r="AL123" t="s">
        <v>218</v>
      </c>
      <c r="AM123">
        <v>0.47846666666666665</v>
      </c>
      <c r="AN123" t="s">
        <v>168</v>
      </c>
    </row>
    <row r="124" spans="9:40" x14ac:dyDescent="0.45">
      <c r="I124" t="s">
        <v>104</v>
      </c>
      <c r="J124" t="s">
        <v>229</v>
      </c>
      <c r="K124">
        <v>1.6332869650348341E-2</v>
      </c>
      <c r="L124" t="s">
        <v>84</v>
      </c>
      <c r="N124" t="s">
        <v>120</v>
      </c>
      <c r="O124" t="s">
        <v>229</v>
      </c>
      <c r="P124">
        <v>1.9690684962682801E-2</v>
      </c>
      <c r="Q124" t="s">
        <v>84</v>
      </c>
      <c r="S124" t="s">
        <v>135</v>
      </c>
      <c r="T124" t="s">
        <v>229</v>
      </c>
      <c r="U124">
        <v>1.9557472164379548E-2</v>
      </c>
      <c r="V124" t="s">
        <v>84</v>
      </c>
      <c r="AK124">
        <v>2050</v>
      </c>
      <c r="AL124" t="s">
        <v>220</v>
      </c>
      <c r="AM124">
        <v>0.44996666666666668</v>
      </c>
      <c r="AN124" t="s">
        <v>168</v>
      </c>
    </row>
    <row r="125" spans="9:40" x14ac:dyDescent="0.45">
      <c r="I125" t="s">
        <v>104</v>
      </c>
      <c r="J125" t="s">
        <v>230</v>
      </c>
      <c r="K125">
        <v>8.524656938506503E-2</v>
      </c>
      <c r="L125" t="s">
        <v>84</v>
      </c>
      <c r="N125" t="s">
        <v>120</v>
      </c>
      <c r="O125" t="s">
        <v>230</v>
      </c>
      <c r="P125">
        <v>0.12345319245248329</v>
      </c>
      <c r="Q125" t="s">
        <v>84</v>
      </c>
      <c r="S125" t="s">
        <v>135</v>
      </c>
      <c r="T125" t="s">
        <v>230</v>
      </c>
      <c r="U125">
        <v>0.12565731536232858</v>
      </c>
      <c r="V125" t="s">
        <v>84</v>
      </c>
      <c r="AK125">
        <v>2050</v>
      </c>
      <c r="AL125" t="s">
        <v>221</v>
      </c>
      <c r="AM125">
        <v>0.52190000000000003</v>
      </c>
      <c r="AN125" t="s">
        <v>168</v>
      </c>
    </row>
    <row r="126" spans="9:40" x14ac:dyDescent="0.45">
      <c r="I126" t="s">
        <v>104</v>
      </c>
      <c r="J126" t="s">
        <v>231</v>
      </c>
      <c r="K126">
        <v>0</v>
      </c>
      <c r="L126" t="s">
        <v>84</v>
      </c>
      <c r="N126" t="s">
        <v>120</v>
      </c>
      <c r="O126" t="s">
        <v>231</v>
      </c>
      <c r="P126">
        <v>0.12260287779964589</v>
      </c>
      <c r="Q126" t="s">
        <v>84</v>
      </c>
      <c r="S126" t="s">
        <v>135</v>
      </c>
      <c r="T126" t="s">
        <v>231</v>
      </c>
      <c r="U126">
        <v>0.13451321919780354</v>
      </c>
      <c r="V126" t="s">
        <v>84</v>
      </c>
      <c r="AK126">
        <v>2050</v>
      </c>
      <c r="AL126" t="s">
        <v>223</v>
      </c>
      <c r="AM126">
        <v>0.48503333333333326</v>
      </c>
      <c r="AN126" t="s">
        <v>168</v>
      </c>
    </row>
    <row r="127" spans="9:40" x14ac:dyDescent="0.45">
      <c r="I127" t="s">
        <v>104</v>
      </c>
      <c r="J127" t="s">
        <v>232</v>
      </c>
      <c r="K127">
        <v>3.8685158405756485E-3</v>
      </c>
      <c r="L127" t="s">
        <v>84</v>
      </c>
      <c r="N127" t="s">
        <v>120</v>
      </c>
      <c r="O127" t="s">
        <v>232</v>
      </c>
      <c r="P127">
        <v>2.2037437831977577E-2</v>
      </c>
      <c r="Q127" t="s">
        <v>84</v>
      </c>
      <c r="S127" t="s">
        <v>135</v>
      </c>
      <c r="T127" t="s">
        <v>232</v>
      </c>
      <c r="U127">
        <v>2.307585753203353E-2</v>
      </c>
      <c r="V127" t="s">
        <v>84</v>
      </c>
    </row>
    <row r="128" spans="9:40" x14ac:dyDescent="0.45">
      <c r="I128" t="s">
        <v>104</v>
      </c>
      <c r="J128" t="s">
        <v>233</v>
      </c>
      <c r="K128">
        <v>0.34215413393615213</v>
      </c>
      <c r="L128" t="s">
        <v>84</v>
      </c>
      <c r="N128" t="s">
        <v>120</v>
      </c>
      <c r="O128" t="s">
        <v>233</v>
      </c>
      <c r="P128">
        <v>0.11448694592407581</v>
      </c>
      <c r="Q128" t="s">
        <v>84</v>
      </c>
      <c r="S128" t="s">
        <v>135</v>
      </c>
      <c r="T128" t="s">
        <v>233</v>
      </c>
      <c r="U128">
        <v>9.097216217228625E-2</v>
      </c>
      <c r="V128" t="s">
        <v>84</v>
      </c>
    </row>
    <row r="129" spans="9:22" x14ac:dyDescent="0.45">
      <c r="I129" t="s">
        <v>104</v>
      </c>
      <c r="J129" t="s">
        <v>234</v>
      </c>
      <c r="K129">
        <v>2.0804578673899073E-2</v>
      </c>
      <c r="L129" t="s">
        <v>84</v>
      </c>
      <c r="N129" t="s">
        <v>120</v>
      </c>
      <c r="O129" t="s">
        <v>234</v>
      </c>
      <c r="P129">
        <v>9.5263808070087871E-2</v>
      </c>
      <c r="Q129" t="s">
        <v>84</v>
      </c>
      <c r="S129" t="s">
        <v>135</v>
      </c>
      <c r="T129" t="s">
        <v>234</v>
      </c>
      <c r="U129">
        <v>0.10097534210721347</v>
      </c>
      <c r="V129" t="s">
        <v>84</v>
      </c>
    </row>
    <row r="130" spans="9:22" x14ac:dyDescent="0.45">
      <c r="I130" t="s">
        <v>104</v>
      </c>
      <c r="J130" t="s">
        <v>235</v>
      </c>
      <c r="K130">
        <v>5.1379277751099649E-2</v>
      </c>
      <c r="L130" t="s">
        <v>84</v>
      </c>
      <c r="N130" t="s">
        <v>120</v>
      </c>
      <c r="O130" t="s">
        <v>235</v>
      </c>
      <c r="P130">
        <v>2.1303579718847193E-2</v>
      </c>
      <c r="Q130" t="s">
        <v>84</v>
      </c>
      <c r="S130" t="s">
        <v>135</v>
      </c>
      <c r="T130" t="s">
        <v>235</v>
      </c>
      <c r="U130">
        <v>1.9559927152302439E-2</v>
      </c>
      <c r="V130" t="s">
        <v>84</v>
      </c>
    </row>
    <row r="131" spans="9:22" x14ac:dyDescent="0.45">
      <c r="I131" t="s">
        <v>105</v>
      </c>
      <c r="J131" t="s">
        <v>224</v>
      </c>
      <c r="K131">
        <v>0.28551821114776343</v>
      </c>
      <c r="L131" t="s">
        <v>84</v>
      </c>
      <c r="N131" t="s">
        <v>121</v>
      </c>
      <c r="O131" t="s">
        <v>224</v>
      </c>
      <c r="P131">
        <v>0.11809394947645199</v>
      </c>
      <c r="Q131" t="s">
        <v>84</v>
      </c>
      <c r="S131" t="s">
        <v>136</v>
      </c>
      <c r="T131" t="s">
        <v>224</v>
      </c>
      <c r="U131">
        <v>0.13214741822124029</v>
      </c>
      <c r="V131" t="s">
        <v>84</v>
      </c>
    </row>
    <row r="132" spans="9:22" x14ac:dyDescent="0.45">
      <c r="I132" t="s">
        <v>105</v>
      </c>
      <c r="J132" t="s">
        <v>225</v>
      </c>
      <c r="K132">
        <v>6.754664158782054E-3</v>
      </c>
      <c r="L132" t="s">
        <v>84</v>
      </c>
      <c r="N132" t="s">
        <v>121</v>
      </c>
      <c r="O132" t="s">
        <v>225</v>
      </c>
      <c r="P132">
        <v>0.13721374238607262</v>
      </c>
      <c r="Q132" t="s">
        <v>84</v>
      </c>
      <c r="S132" t="s">
        <v>136</v>
      </c>
      <c r="T132" t="s">
        <v>225</v>
      </c>
      <c r="U132">
        <v>0.12582557912179268</v>
      </c>
      <c r="V132" t="s">
        <v>84</v>
      </c>
    </row>
    <row r="133" spans="9:22" x14ac:dyDescent="0.45">
      <c r="I133" t="s">
        <v>105</v>
      </c>
      <c r="J133" t="s">
        <v>226</v>
      </c>
      <c r="K133">
        <v>3.4937975306536265E-2</v>
      </c>
      <c r="L133" t="s">
        <v>84</v>
      </c>
      <c r="N133" t="s">
        <v>121</v>
      </c>
      <c r="O133" t="s">
        <v>226</v>
      </c>
      <c r="P133">
        <v>2.7145076683810485E-2</v>
      </c>
      <c r="Q133" t="s">
        <v>84</v>
      </c>
      <c r="S133" t="s">
        <v>136</v>
      </c>
      <c r="T133" t="s">
        <v>226</v>
      </c>
      <c r="U133">
        <v>2.3570986388426064E-2</v>
      </c>
      <c r="V133" t="s">
        <v>84</v>
      </c>
    </row>
    <row r="134" spans="9:22" x14ac:dyDescent="0.45">
      <c r="I134" t="s">
        <v>105</v>
      </c>
      <c r="J134" t="s">
        <v>227</v>
      </c>
      <c r="K134">
        <v>0.15190300255789163</v>
      </c>
      <c r="L134" t="s">
        <v>84</v>
      </c>
      <c r="N134" t="s">
        <v>121</v>
      </c>
      <c r="O134" t="s">
        <v>227</v>
      </c>
      <c r="P134">
        <v>9.2458027719119262E-2</v>
      </c>
      <c r="Q134" t="s">
        <v>84</v>
      </c>
      <c r="S134" t="s">
        <v>136</v>
      </c>
      <c r="T134" t="s">
        <v>227</v>
      </c>
      <c r="U134">
        <v>9.9019214299809116E-2</v>
      </c>
      <c r="V134" t="s">
        <v>84</v>
      </c>
    </row>
    <row r="135" spans="9:22" x14ac:dyDescent="0.45">
      <c r="I135" t="s">
        <v>105</v>
      </c>
      <c r="J135" t="s">
        <v>228</v>
      </c>
      <c r="K135">
        <v>0</v>
      </c>
      <c r="L135" t="s">
        <v>84</v>
      </c>
      <c r="N135" t="s">
        <v>121</v>
      </c>
      <c r="O135" t="s">
        <v>228</v>
      </c>
      <c r="P135">
        <v>0.10636791179206039</v>
      </c>
      <c r="Q135" t="s">
        <v>84</v>
      </c>
      <c r="S135" t="s">
        <v>136</v>
      </c>
      <c r="T135" t="s">
        <v>228</v>
      </c>
      <c r="U135">
        <v>0.10033769125434638</v>
      </c>
      <c r="V135" t="s">
        <v>84</v>
      </c>
    </row>
    <row r="136" spans="9:22" x14ac:dyDescent="0.45">
      <c r="I136" t="s">
        <v>105</v>
      </c>
      <c r="J136" t="s">
        <v>229</v>
      </c>
      <c r="K136">
        <v>1.5777506716237885E-2</v>
      </c>
      <c r="L136" t="s">
        <v>84</v>
      </c>
      <c r="N136" t="s">
        <v>121</v>
      </c>
      <c r="O136" t="s">
        <v>229</v>
      </c>
      <c r="P136">
        <v>2.1012696063501972E-2</v>
      </c>
      <c r="Q136" t="s">
        <v>84</v>
      </c>
      <c r="S136" t="s">
        <v>136</v>
      </c>
      <c r="T136" t="s">
        <v>229</v>
      </c>
      <c r="U136">
        <v>1.95308435336074E-2</v>
      </c>
      <c r="V136" t="s">
        <v>84</v>
      </c>
    </row>
    <row r="137" spans="9:22" x14ac:dyDescent="0.45">
      <c r="I137" t="s">
        <v>105</v>
      </c>
      <c r="J137" t="s">
        <v>230</v>
      </c>
      <c r="K137">
        <v>8.9683447998822177E-2</v>
      </c>
      <c r="L137" t="s">
        <v>84</v>
      </c>
      <c r="N137" t="s">
        <v>121</v>
      </c>
      <c r="O137" t="s">
        <v>230</v>
      </c>
      <c r="P137">
        <v>0.1151918287393387</v>
      </c>
      <c r="Q137" t="s">
        <v>84</v>
      </c>
      <c r="S137" t="s">
        <v>136</v>
      </c>
      <c r="T137" t="s">
        <v>230</v>
      </c>
      <c r="U137">
        <v>0.12698469074424817</v>
      </c>
      <c r="V137" t="s">
        <v>84</v>
      </c>
    </row>
    <row r="138" spans="9:22" x14ac:dyDescent="0.45">
      <c r="I138" t="s">
        <v>105</v>
      </c>
      <c r="J138" t="s">
        <v>231</v>
      </c>
      <c r="K138">
        <v>0</v>
      </c>
      <c r="L138" t="s">
        <v>84</v>
      </c>
      <c r="N138" t="s">
        <v>121</v>
      </c>
      <c r="O138" t="s">
        <v>231</v>
      </c>
      <c r="P138">
        <v>0.13188048341782552</v>
      </c>
      <c r="Q138" t="s">
        <v>84</v>
      </c>
      <c r="S138" t="s">
        <v>136</v>
      </c>
      <c r="T138" t="s">
        <v>231</v>
      </c>
      <c r="U138">
        <v>0.12892216592086073</v>
      </c>
      <c r="V138" t="s">
        <v>84</v>
      </c>
    </row>
    <row r="139" spans="9:22" x14ac:dyDescent="0.45">
      <c r="I139" t="s">
        <v>105</v>
      </c>
      <c r="J139" t="s">
        <v>232</v>
      </c>
      <c r="K139">
        <v>3.6690562273884886E-3</v>
      </c>
      <c r="L139" t="s">
        <v>84</v>
      </c>
      <c r="N139" t="s">
        <v>121</v>
      </c>
      <c r="O139" t="s">
        <v>232</v>
      </c>
      <c r="P139">
        <v>2.3546023673927899E-2</v>
      </c>
      <c r="Q139" t="s">
        <v>84</v>
      </c>
      <c r="S139" t="s">
        <v>136</v>
      </c>
      <c r="T139" t="s">
        <v>232</v>
      </c>
      <c r="U139">
        <v>2.3078424834862145E-2</v>
      </c>
      <c r="V139" t="s">
        <v>84</v>
      </c>
    </row>
    <row r="140" spans="9:22" x14ac:dyDescent="0.45">
      <c r="I140" t="s">
        <v>105</v>
      </c>
      <c r="J140" t="s">
        <v>233</v>
      </c>
      <c r="K140">
        <v>0.3403922013897509</v>
      </c>
      <c r="L140" t="s">
        <v>84</v>
      </c>
      <c r="N140" t="s">
        <v>121</v>
      </c>
      <c r="O140" t="s">
        <v>233</v>
      </c>
      <c r="P140">
        <v>9.8167878237529177E-2</v>
      </c>
      <c r="Q140" t="s">
        <v>84</v>
      </c>
      <c r="S140" t="s">
        <v>136</v>
      </c>
      <c r="T140" t="s">
        <v>233</v>
      </c>
      <c r="U140">
        <v>9.9542573410940652E-2</v>
      </c>
      <c r="V140" t="s">
        <v>84</v>
      </c>
    </row>
    <row r="141" spans="9:22" x14ac:dyDescent="0.45">
      <c r="I141" t="s">
        <v>105</v>
      </c>
      <c r="J141" t="s">
        <v>234</v>
      </c>
      <c r="K141">
        <v>2.0884877023877771E-2</v>
      </c>
      <c r="L141" t="s">
        <v>84</v>
      </c>
      <c r="N141" t="s">
        <v>121</v>
      </c>
      <c r="O141" t="s">
        <v>234</v>
      </c>
      <c r="P141">
        <v>0.10489670767399328</v>
      </c>
      <c r="Q141" t="s">
        <v>84</v>
      </c>
      <c r="S141" t="s">
        <v>136</v>
      </c>
      <c r="T141" t="s">
        <v>234</v>
      </c>
      <c r="U141">
        <v>9.9907739561894679E-2</v>
      </c>
      <c r="V141" t="s">
        <v>84</v>
      </c>
    </row>
    <row r="142" spans="9:22" x14ac:dyDescent="0.45">
      <c r="I142" t="s">
        <v>105</v>
      </c>
      <c r="J142" t="s">
        <v>235</v>
      </c>
      <c r="K142">
        <v>5.047905747295113E-2</v>
      </c>
      <c r="L142" t="s">
        <v>84</v>
      </c>
      <c r="N142" t="s">
        <v>121</v>
      </c>
      <c r="O142" t="s">
        <v>235</v>
      </c>
      <c r="P142">
        <v>2.4025674136368001E-2</v>
      </c>
      <c r="Q142" t="s">
        <v>84</v>
      </c>
      <c r="S142" t="s">
        <v>136</v>
      </c>
      <c r="T142" t="s">
        <v>235</v>
      </c>
      <c r="U142">
        <v>2.1132672707973223E-2</v>
      </c>
      <c r="V142" t="s">
        <v>84</v>
      </c>
    </row>
    <row r="143" spans="9:22" x14ac:dyDescent="0.45">
      <c r="I143" t="s">
        <v>106</v>
      </c>
      <c r="J143" t="s">
        <v>224</v>
      </c>
      <c r="K143">
        <v>0.26660204348289346</v>
      </c>
      <c r="L143" t="s">
        <v>84</v>
      </c>
      <c r="N143" t="s">
        <v>122</v>
      </c>
      <c r="O143" t="s">
        <v>224</v>
      </c>
      <c r="P143">
        <v>0.14880802324391099</v>
      </c>
      <c r="Q143" t="s">
        <v>84</v>
      </c>
      <c r="S143" t="s">
        <v>137</v>
      </c>
      <c r="T143" t="s">
        <v>224</v>
      </c>
      <c r="U143">
        <v>0.12570593867518287</v>
      </c>
      <c r="V143" t="s">
        <v>84</v>
      </c>
    </row>
    <row r="144" spans="9:22" x14ac:dyDescent="0.45">
      <c r="I144" t="s">
        <v>106</v>
      </c>
      <c r="J144" t="s">
        <v>225</v>
      </c>
      <c r="K144">
        <v>4.6652170479392066E-3</v>
      </c>
      <c r="L144" t="s">
        <v>84</v>
      </c>
      <c r="N144" t="s">
        <v>122</v>
      </c>
      <c r="O144" t="s">
        <v>225</v>
      </c>
      <c r="P144">
        <v>0.11926227619030701</v>
      </c>
      <c r="Q144" t="s">
        <v>84</v>
      </c>
      <c r="S144" t="s">
        <v>137</v>
      </c>
      <c r="T144" t="s">
        <v>225</v>
      </c>
      <c r="U144">
        <v>0.11685318686515586</v>
      </c>
      <c r="V144" t="s">
        <v>84</v>
      </c>
    </row>
    <row r="145" spans="9:22" x14ac:dyDescent="0.45">
      <c r="I145" t="s">
        <v>106</v>
      </c>
      <c r="J145" t="s">
        <v>226</v>
      </c>
      <c r="K145">
        <v>2.7498925736001243E-2</v>
      </c>
      <c r="L145" t="s">
        <v>84</v>
      </c>
      <c r="N145" t="s">
        <v>122</v>
      </c>
      <c r="O145" t="s">
        <v>226</v>
      </c>
      <c r="P145">
        <v>2.4987853192681528E-2</v>
      </c>
      <c r="Q145" t="s">
        <v>84</v>
      </c>
      <c r="S145" t="s">
        <v>137</v>
      </c>
      <c r="T145" t="s">
        <v>226</v>
      </c>
      <c r="U145">
        <v>2.3646225384714732E-2</v>
      </c>
      <c r="V145" t="s">
        <v>84</v>
      </c>
    </row>
    <row r="146" spans="9:22" x14ac:dyDescent="0.45">
      <c r="I146" t="s">
        <v>106</v>
      </c>
      <c r="J146" t="s">
        <v>227</v>
      </c>
      <c r="K146">
        <v>0.16893090037461042</v>
      </c>
      <c r="L146" t="s">
        <v>84</v>
      </c>
      <c r="N146" t="s">
        <v>122</v>
      </c>
      <c r="O146" t="s">
        <v>227</v>
      </c>
      <c r="P146">
        <v>9.7009275428601174E-2</v>
      </c>
      <c r="Q146" t="s">
        <v>84</v>
      </c>
      <c r="S146" t="s">
        <v>137</v>
      </c>
      <c r="T146" t="s">
        <v>227</v>
      </c>
      <c r="U146">
        <v>0.11343841805927886</v>
      </c>
      <c r="V146" t="s">
        <v>84</v>
      </c>
    </row>
    <row r="147" spans="9:22" x14ac:dyDescent="0.45">
      <c r="I147" t="s">
        <v>106</v>
      </c>
      <c r="J147" t="s">
        <v>228</v>
      </c>
      <c r="K147">
        <v>0</v>
      </c>
      <c r="L147" t="s">
        <v>84</v>
      </c>
      <c r="N147" t="s">
        <v>122</v>
      </c>
      <c r="O147" t="s">
        <v>228</v>
      </c>
      <c r="P147">
        <v>8.44378692312477E-2</v>
      </c>
      <c r="Q147" t="s">
        <v>84</v>
      </c>
      <c r="S147" t="s">
        <v>137</v>
      </c>
      <c r="T147" t="s">
        <v>228</v>
      </c>
      <c r="U147">
        <v>0.11602419237956904</v>
      </c>
      <c r="V147" t="s">
        <v>84</v>
      </c>
    </row>
    <row r="148" spans="9:22" x14ac:dyDescent="0.45">
      <c r="I148" t="s">
        <v>106</v>
      </c>
      <c r="J148" t="s">
        <v>229</v>
      </c>
      <c r="K148">
        <v>1.277027498609906E-2</v>
      </c>
      <c r="L148" t="s">
        <v>84</v>
      </c>
      <c r="N148" t="s">
        <v>122</v>
      </c>
      <c r="O148" t="s">
        <v>229</v>
      </c>
      <c r="P148">
        <v>1.6891501688113857E-2</v>
      </c>
      <c r="Q148" t="s">
        <v>84</v>
      </c>
      <c r="S148" t="s">
        <v>137</v>
      </c>
      <c r="T148" t="s">
        <v>229</v>
      </c>
      <c r="U148">
        <v>2.2208582711697983E-2</v>
      </c>
      <c r="V148" t="s">
        <v>84</v>
      </c>
    </row>
    <row r="149" spans="9:22" x14ac:dyDescent="0.45">
      <c r="I149" t="s">
        <v>106</v>
      </c>
      <c r="J149" t="s">
        <v>230</v>
      </c>
      <c r="K149">
        <v>0.10691863494778024</v>
      </c>
      <c r="L149" t="s">
        <v>84</v>
      </c>
      <c r="N149" t="s">
        <v>122</v>
      </c>
      <c r="O149" t="s">
        <v>230</v>
      </c>
      <c r="P149">
        <v>0.11914529444312602</v>
      </c>
      <c r="Q149" t="s">
        <v>84</v>
      </c>
      <c r="S149" t="s">
        <v>137</v>
      </c>
      <c r="T149" t="s">
        <v>230</v>
      </c>
      <c r="U149">
        <v>0.1135808369294366</v>
      </c>
      <c r="V149" t="s">
        <v>84</v>
      </c>
    </row>
    <row r="150" spans="9:22" x14ac:dyDescent="0.45">
      <c r="I150" t="s">
        <v>106</v>
      </c>
      <c r="J150" t="s">
        <v>231</v>
      </c>
      <c r="K150">
        <v>0</v>
      </c>
      <c r="L150" t="s">
        <v>84</v>
      </c>
      <c r="N150" t="s">
        <v>122</v>
      </c>
      <c r="O150" t="s">
        <v>231</v>
      </c>
      <c r="P150">
        <v>0.12565805124580121</v>
      </c>
      <c r="Q150" t="s">
        <v>84</v>
      </c>
      <c r="S150" t="s">
        <v>137</v>
      </c>
      <c r="T150" t="s">
        <v>231</v>
      </c>
      <c r="U150">
        <v>0.12094497161339182</v>
      </c>
      <c r="V150" t="s">
        <v>84</v>
      </c>
    </row>
    <row r="151" spans="9:22" x14ac:dyDescent="0.45">
      <c r="I151" t="s">
        <v>106</v>
      </c>
      <c r="J151" t="s">
        <v>232</v>
      </c>
      <c r="K151">
        <v>2.8628119491509512E-3</v>
      </c>
      <c r="L151" t="s">
        <v>84</v>
      </c>
      <c r="N151" t="s">
        <v>122</v>
      </c>
      <c r="O151" t="s">
        <v>232</v>
      </c>
      <c r="P151">
        <v>2.2621647129153252E-2</v>
      </c>
      <c r="Q151" t="s">
        <v>84</v>
      </c>
      <c r="S151" t="s">
        <v>137</v>
      </c>
      <c r="T151" t="s">
        <v>232</v>
      </c>
      <c r="U151">
        <v>2.1231330861400374E-2</v>
      </c>
      <c r="V151" t="s">
        <v>84</v>
      </c>
    </row>
    <row r="152" spans="9:22" x14ac:dyDescent="0.45">
      <c r="I152" t="s">
        <v>106</v>
      </c>
      <c r="J152" t="s">
        <v>233</v>
      </c>
      <c r="K152">
        <v>0.34288666601225504</v>
      </c>
      <c r="L152" t="s">
        <v>84</v>
      </c>
      <c r="N152" t="s">
        <v>122</v>
      </c>
      <c r="O152" t="s">
        <v>233</v>
      </c>
      <c r="P152">
        <v>0.12670396353370994</v>
      </c>
      <c r="Q152" t="s">
        <v>84</v>
      </c>
      <c r="S152" t="s">
        <v>137</v>
      </c>
      <c r="T152" t="s">
        <v>233</v>
      </c>
      <c r="U152">
        <v>0.10519978349707913</v>
      </c>
      <c r="V152" t="s">
        <v>84</v>
      </c>
    </row>
    <row r="153" spans="9:22" x14ac:dyDescent="0.45">
      <c r="I153" t="s">
        <v>106</v>
      </c>
      <c r="J153" t="s">
        <v>234</v>
      </c>
      <c r="K153">
        <v>1.8572208764925147E-2</v>
      </c>
      <c r="L153" t="s">
        <v>84</v>
      </c>
      <c r="N153" t="s">
        <v>122</v>
      </c>
      <c r="O153" t="s">
        <v>234</v>
      </c>
      <c r="P153">
        <v>9.1176895763977195E-2</v>
      </c>
      <c r="Q153" t="s">
        <v>84</v>
      </c>
      <c r="S153" t="s">
        <v>137</v>
      </c>
      <c r="T153" t="s">
        <v>234</v>
      </c>
      <c r="U153">
        <v>0.10182132065215885</v>
      </c>
      <c r="V153" t="s">
        <v>84</v>
      </c>
    </row>
    <row r="154" spans="9:22" x14ac:dyDescent="0.45">
      <c r="I154" t="s">
        <v>106</v>
      </c>
      <c r="J154" t="s">
        <v>235</v>
      </c>
      <c r="K154">
        <v>4.8292316698344162E-2</v>
      </c>
      <c r="L154" t="s">
        <v>84</v>
      </c>
      <c r="N154" t="s">
        <v>122</v>
      </c>
      <c r="O154" t="s">
        <v>235</v>
      </c>
      <c r="P154">
        <v>2.3297348909368621E-2</v>
      </c>
      <c r="Q154" t="s">
        <v>84</v>
      </c>
      <c r="S154" t="s">
        <v>137</v>
      </c>
      <c r="T154" t="s">
        <v>235</v>
      </c>
      <c r="U154">
        <v>1.9345212370932219E-2</v>
      </c>
      <c r="V154" t="s">
        <v>84</v>
      </c>
    </row>
    <row r="155" spans="9:22" x14ac:dyDescent="0.45">
      <c r="I155" t="s">
        <v>107</v>
      </c>
      <c r="J155" t="s">
        <v>224</v>
      </c>
      <c r="K155">
        <v>0.27476334058255053</v>
      </c>
      <c r="L155" t="s">
        <v>84</v>
      </c>
      <c r="N155" t="s">
        <v>123</v>
      </c>
      <c r="O155" t="s">
        <v>224</v>
      </c>
      <c r="P155">
        <v>0.15521711963463317</v>
      </c>
      <c r="Q155" t="s">
        <v>84</v>
      </c>
      <c r="S155" t="s">
        <v>138</v>
      </c>
      <c r="T155" t="s">
        <v>224</v>
      </c>
      <c r="U155">
        <v>0.11595011304877945</v>
      </c>
      <c r="V155" t="s">
        <v>84</v>
      </c>
    </row>
    <row r="156" spans="9:22" x14ac:dyDescent="0.45">
      <c r="I156" t="s">
        <v>107</v>
      </c>
      <c r="J156" t="s">
        <v>225</v>
      </c>
      <c r="K156">
        <v>5.2257085455021651E-3</v>
      </c>
      <c r="L156" t="s">
        <v>84</v>
      </c>
      <c r="N156" t="s">
        <v>123</v>
      </c>
      <c r="O156" t="s">
        <v>225</v>
      </c>
      <c r="P156">
        <v>0.14250243178141883</v>
      </c>
      <c r="Q156" t="s">
        <v>84</v>
      </c>
      <c r="S156" t="s">
        <v>138</v>
      </c>
      <c r="T156" t="s">
        <v>225</v>
      </c>
      <c r="U156">
        <v>0.1157121245245868</v>
      </c>
      <c r="V156" t="s">
        <v>84</v>
      </c>
    </row>
    <row r="157" spans="9:22" x14ac:dyDescent="0.45">
      <c r="I157" t="s">
        <v>107</v>
      </c>
      <c r="J157" t="s">
        <v>226</v>
      </c>
      <c r="K157">
        <v>2.9484591994977494E-2</v>
      </c>
      <c r="L157" t="s">
        <v>84</v>
      </c>
      <c r="N157" t="s">
        <v>123</v>
      </c>
      <c r="O157" t="s">
        <v>226</v>
      </c>
      <c r="P157">
        <v>2.8300712555839286E-2</v>
      </c>
      <c r="Q157" t="s">
        <v>84</v>
      </c>
      <c r="S157" t="s">
        <v>138</v>
      </c>
      <c r="T157" t="s">
        <v>226</v>
      </c>
      <c r="U157">
        <v>2.0577132450377972E-2</v>
      </c>
      <c r="V157" t="s">
        <v>84</v>
      </c>
    </row>
    <row r="158" spans="9:22" x14ac:dyDescent="0.45">
      <c r="I158" t="s">
        <v>107</v>
      </c>
      <c r="J158" t="s">
        <v>227</v>
      </c>
      <c r="K158">
        <v>0.16118982160776341</v>
      </c>
      <c r="L158" t="s">
        <v>84</v>
      </c>
      <c r="N158" t="s">
        <v>123</v>
      </c>
      <c r="O158" t="s">
        <v>227</v>
      </c>
      <c r="P158">
        <v>9.0921065116291597E-2</v>
      </c>
      <c r="Q158" t="s">
        <v>84</v>
      </c>
      <c r="S158" t="s">
        <v>138</v>
      </c>
      <c r="T158" t="s">
        <v>227</v>
      </c>
      <c r="U158">
        <v>0.11454250479779184</v>
      </c>
      <c r="V158" t="s">
        <v>84</v>
      </c>
    </row>
    <row r="159" spans="9:22" x14ac:dyDescent="0.45">
      <c r="I159" t="s">
        <v>107</v>
      </c>
      <c r="J159" t="s">
        <v>228</v>
      </c>
      <c r="K159">
        <v>0</v>
      </c>
      <c r="L159" t="s">
        <v>84</v>
      </c>
      <c r="N159" t="s">
        <v>123</v>
      </c>
      <c r="O159" t="s">
        <v>228</v>
      </c>
      <c r="P159">
        <v>9.0268554758241568E-2</v>
      </c>
      <c r="Q159" t="s">
        <v>84</v>
      </c>
      <c r="S159" t="s">
        <v>138</v>
      </c>
      <c r="T159" t="s">
        <v>228</v>
      </c>
      <c r="U159">
        <v>0.11791666484872999</v>
      </c>
      <c r="V159" t="s">
        <v>84</v>
      </c>
    </row>
    <row r="160" spans="9:22" x14ac:dyDescent="0.45">
      <c r="I160" t="s">
        <v>107</v>
      </c>
      <c r="J160" t="s">
        <v>229</v>
      </c>
      <c r="K160">
        <v>1.2573478960989804E-2</v>
      </c>
      <c r="L160" t="s">
        <v>84</v>
      </c>
      <c r="N160" t="s">
        <v>123</v>
      </c>
      <c r="O160" t="s">
        <v>229</v>
      </c>
      <c r="P160">
        <v>1.642175685572753E-2</v>
      </c>
      <c r="Q160" t="s">
        <v>84</v>
      </c>
      <c r="S160" t="s">
        <v>138</v>
      </c>
      <c r="T160" t="s">
        <v>229</v>
      </c>
      <c r="U160">
        <v>2.1324997273156648E-2</v>
      </c>
      <c r="V160" t="s">
        <v>84</v>
      </c>
    </row>
    <row r="161" spans="9:22" x14ac:dyDescent="0.45">
      <c r="I161" t="s">
        <v>107</v>
      </c>
      <c r="J161" t="s">
        <v>230</v>
      </c>
      <c r="K161">
        <v>0.10880105209420594</v>
      </c>
      <c r="L161" t="s">
        <v>84</v>
      </c>
      <c r="N161" t="s">
        <v>123</v>
      </c>
      <c r="O161" t="s">
        <v>230</v>
      </c>
      <c r="P161">
        <v>0.12045502765785455</v>
      </c>
      <c r="Q161" t="s">
        <v>84</v>
      </c>
      <c r="S161" t="s">
        <v>138</v>
      </c>
      <c r="T161" t="s">
        <v>230</v>
      </c>
      <c r="U161">
        <v>0.12078390756784424</v>
      </c>
      <c r="V161" t="s">
        <v>84</v>
      </c>
    </row>
    <row r="162" spans="9:22" x14ac:dyDescent="0.45">
      <c r="I162" t="s">
        <v>107</v>
      </c>
      <c r="J162" t="s">
        <v>231</v>
      </c>
      <c r="K162">
        <v>0</v>
      </c>
      <c r="L162" t="s">
        <v>84</v>
      </c>
      <c r="N162" t="s">
        <v>123</v>
      </c>
      <c r="O162" t="s">
        <v>231</v>
      </c>
      <c r="P162">
        <v>0.11719687754315855</v>
      </c>
      <c r="Q162" t="s">
        <v>84</v>
      </c>
      <c r="S162" t="s">
        <v>138</v>
      </c>
      <c r="T162" t="s">
        <v>231</v>
      </c>
      <c r="U162">
        <v>0.12111024622003952</v>
      </c>
      <c r="V162" t="s">
        <v>84</v>
      </c>
    </row>
    <row r="163" spans="9:22" x14ac:dyDescent="0.45">
      <c r="I163" t="s">
        <v>107</v>
      </c>
      <c r="J163" t="s">
        <v>232</v>
      </c>
      <c r="K163">
        <v>3.1211073502269999E-3</v>
      </c>
      <c r="L163" t="s">
        <v>84</v>
      </c>
      <c r="N163" t="s">
        <v>123</v>
      </c>
      <c r="O163" t="s">
        <v>232</v>
      </c>
      <c r="P163">
        <v>2.1535536947590663E-2</v>
      </c>
      <c r="Q163" t="s">
        <v>84</v>
      </c>
      <c r="S163" t="s">
        <v>138</v>
      </c>
      <c r="T163" t="s">
        <v>232</v>
      </c>
      <c r="U163">
        <v>2.1448303267540273E-2</v>
      </c>
      <c r="V163" t="s">
        <v>84</v>
      </c>
    </row>
    <row r="164" spans="9:22" x14ac:dyDescent="0.45">
      <c r="I164" t="s">
        <v>107</v>
      </c>
      <c r="J164" t="s">
        <v>233</v>
      </c>
      <c r="K164">
        <v>0.34010326061731633</v>
      </c>
      <c r="L164" t="s">
        <v>84</v>
      </c>
      <c r="N164" t="s">
        <v>123</v>
      </c>
      <c r="O164" t="s">
        <v>233</v>
      </c>
      <c r="P164">
        <v>0.11238858785628497</v>
      </c>
      <c r="Q164" t="s">
        <v>84</v>
      </c>
      <c r="S164" t="s">
        <v>138</v>
      </c>
      <c r="T164" t="s">
        <v>233</v>
      </c>
      <c r="U164">
        <v>0.10638376087462231</v>
      </c>
      <c r="V164" t="s">
        <v>84</v>
      </c>
    </row>
    <row r="165" spans="9:22" x14ac:dyDescent="0.45">
      <c r="I165" t="s">
        <v>107</v>
      </c>
      <c r="J165" t="s">
        <v>234</v>
      </c>
      <c r="K165">
        <v>1.8044891433066108E-2</v>
      </c>
      <c r="L165" t="s">
        <v>84</v>
      </c>
      <c r="N165" t="s">
        <v>123</v>
      </c>
      <c r="O165" t="s">
        <v>234</v>
      </c>
      <c r="P165">
        <v>8.7215026764289119E-2</v>
      </c>
      <c r="Q165" t="s">
        <v>84</v>
      </c>
      <c r="S165" t="s">
        <v>138</v>
      </c>
      <c r="T165" t="s">
        <v>234</v>
      </c>
      <c r="U165">
        <v>0.10542366301666771</v>
      </c>
      <c r="V165" t="s">
        <v>84</v>
      </c>
    </row>
    <row r="166" spans="9:22" x14ac:dyDescent="0.45">
      <c r="I166" t="s">
        <v>107</v>
      </c>
      <c r="J166" t="s">
        <v>235</v>
      </c>
      <c r="K166">
        <v>4.66927468134034E-2</v>
      </c>
      <c r="L166" t="s">
        <v>84</v>
      </c>
      <c r="N166" t="s">
        <v>123</v>
      </c>
      <c r="O166" t="s">
        <v>235</v>
      </c>
      <c r="P166">
        <v>1.7577302528668695E-2</v>
      </c>
      <c r="Q166" t="s">
        <v>84</v>
      </c>
      <c r="S166" t="s">
        <v>138</v>
      </c>
      <c r="T166" t="s">
        <v>235</v>
      </c>
      <c r="U166">
        <v>1.8826582109858589E-2</v>
      </c>
      <c r="V166" t="s">
        <v>84</v>
      </c>
    </row>
    <row r="167" spans="9:22" x14ac:dyDescent="0.45">
      <c r="I167" t="s">
        <v>108</v>
      </c>
      <c r="J167" t="s">
        <v>224</v>
      </c>
      <c r="K167">
        <v>0.25884274943475183</v>
      </c>
      <c r="L167" t="s">
        <v>84</v>
      </c>
      <c r="N167" t="s">
        <v>124</v>
      </c>
      <c r="O167" t="s">
        <v>224</v>
      </c>
      <c r="P167">
        <v>0.15928092240426012</v>
      </c>
      <c r="Q167" t="s">
        <v>84</v>
      </c>
      <c r="S167" t="s">
        <v>139</v>
      </c>
      <c r="T167" t="s">
        <v>224</v>
      </c>
      <c r="U167">
        <v>0.11338252416013357</v>
      </c>
      <c r="V167" t="s">
        <v>84</v>
      </c>
    </row>
    <row r="168" spans="9:22" x14ac:dyDescent="0.45">
      <c r="I168" t="s">
        <v>108</v>
      </c>
      <c r="J168" t="s">
        <v>225</v>
      </c>
      <c r="K168">
        <v>4.0271433498258492E-3</v>
      </c>
      <c r="L168" t="s">
        <v>84</v>
      </c>
      <c r="N168" t="s">
        <v>124</v>
      </c>
      <c r="O168" t="s">
        <v>225</v>
      </c>
      <c r="P168">
        <v>0.12574050435016337</v>
      </c>
      <c r="Q168" t="s">
        <v>84</v>
      </c>
      <c r="S168" t="s">
        <v>139</v>
      </c>
      <c r="T168" t="s">
        <v>225</v>
      </c>
      <c r="U168">
        <v>0.10948874226163639</v>
      </c>
      <c r="V168" t="s">
        <v>84</v>
      </c>
    </row>
    <row r="169" spans="9:22" x14ac:dyDescent="0.45">
      <c r="I169" t="s">
        <v>108</v>
      </c>
      <c r="J169" t="s">
        <v>226</v>
      </c>
      <c r="K169">
        <v>2.5974928027664653E-2</v>
      </c>
      <c r="L169" t="s">
        <v>84</v>
      </c>
      <c r="N169" t="s">
        <v>124</v>
      </c>
      <c r="O169" t="s">
        <v>226</v>
      </c>
      <c r="P169">
        <v>2.8873121295525595E-2</v>
      </c>
      <c r="Q169" t="s">
        <v>84</v>
      </c>
      <c r="S169" t="s">
        <v>139</v>
      </c>
      <c r="T169" t="s">
        <v>226</v>
      </c>
      <c r="U169">
        <v>2.0065759728602313E-2</v>
      </c>
      <c r="V169" t="s">
        <v>84</v>
      </c>
    </row>
    <row r="170" spans="9:22" x14ac:dyDescent="0.45">
      <c r="I170" t="s">
        <v>108</v>
      </c>
      <c r="J170" t="s">
        <v>227</v>
      </c>
      <c r="K170">
        <v>0.17439163134759592</v>
      </c>
      <c r="L170" t="s">
        <v>84</v>
      </c>
      <c r="N170" t="s">
        <v>124</v>
      </c>
      <c r="O170" t="s">
        <v>227</v>
      </c>
      <c r="P170">
        <v>8.8686083994127599E-2</v>
      </c>
      <c r="Q170" t="s">
        <v>84</v>
      </c>
      <c r="S170" t="s">
        <v>139</v>
      </c>
      <c r="T170" t="s">
        <v>227</v>
      </c>
      <c r="U170">
        <v>0.11128292209570376</v>
      </c>
      <c r="V170" t="s">
        <v>84</v>
      </c>
    </row>
    <row r="171" spans="9:22" x14ac:dyDescent="0.45">
      <c r="I171" t="s">
        <v>108</v>
      </c>
      <c r="J171" t="s">
        <v>228</v>
      </c>
      <c r="K171">
        <v>0</v>
      </c>
      <c r="L171" t="s">
        <v>84</v>
      </c>
      <c r="N171" t="s">
        <v>124</v>
      </c>
      <c r="O171" t="s">
        <v>228</v>
      </c>
      <c r="P171">
        <v>7.9948802010258002E-2</v>
      </c>
      <c r="Q171" t="s">
        <v>84</v>
      </c>
      <c r="S171" t="s">
        <v>139</v>
      </c>
      <c r="T171" t="s">
        <v>228</v>
      </c>
      <c r="U171">
        <v>0.1128697943176378</v>
      </c>
      <c r="V171" t="s">
        <v>84</v>
      </c>
    </row>
    <row r="172" spans="9:22" x14ac:dyDescent="0.45">
      <c r="I172" t="s">
        <v>108</v>
      </c>
      <c r="J172" t="s">
        <v>229</v>
      </c>
      <c r="K172">
        <v>1.3887629742735452E-2</v>
      </c>
      <c r="L172" t="s">
        <v>84</v>
      </c>
      <c r="N172" t="s">
        <v>124</v>
      </c>
      <c r="O172" t="s">
        <v>229</v>
      </c>
      <c r="P172">
        <v>1.5095828897726192E-2</v>
      </c>
      <c r="Q172" t="s">
        <v>84</v>
      </c>
      <c r="S172" t="s">
        <v>139</v>
      </c>
      <c r="T172" t="s">
        <v>229</v>
      </c>
      <c r="U172">
        <v>2.1859708188060347E-2</v>
      </c>
      <c r="V172" t="s">
        <v>84</v>
      </c>
    </row>
    <row r="173" spans="9:22" x14ac:dyDescent="0.45">
      <c r="I173" t="s">
        <v>108</v>
      </c>
      <c r="J173" t="s">
        <v>230</v>
      </c>
      <c r="K173">
        <v>0.10880847881611726</v>
      </c>
      <c r="L173" t="s">
        <v>84</v>
      </c>
      <c r="N173" t="s">
        <v>124</v>
      </c>
      <c r="O173" t="s">
        <v>230</v>
      </c>
      <c r="P173">
        <v>0.12052507233819465</v>
      </c>
      <c r="Q173" t="s">
        <v>84</v>
      </c>
      <c r="S173" t="s">
        <v>139</v>
      </c>
      <c r="T173" t="s">
        <v>230</v>
      </c>
      <c r="U173">
        <v>0.11803192109380267</v>
      </c>
      <c r="V173" t="s">
        <v>84</v>
      </c>
    </row>
    <row r="174" spans="9:22" x14ac:dyDescent="0.45">
      <c r="I174" t="s">
        <v>108</v>
      </c>
      <c r="J174" t="s">
        <v>231</v>
      </c>
      <c r="K174">
        <v>0</v>
      </c>
      <c r="L174" t="s">
        <v>84</v>
      </c>
      <c r="N174" t="s">
        <v>124</v>
      </c>
      <c r="O174" t="s">
        <v>231</v>
      </c>
      <c r="P174">
        <v>0.11699595318326189</v>
      </c>
      <c r="Q174" t="s">
        <v>84</v>
      </c>
      <c r="S174" t="s">
        <v>139</v>
      </c>
      <c r="T174" t="s">
        <v>231</v>
      </c>
      <c r="U174">
        <v>0.11722100769266709</v>
      </c>
      <c r="V174" t="s">
        <v>84</v>
      </c>
    </row>
    <row r="175" spans="9:22" x14ac:dyDescent="0.45">
      <c r="I175" t="s">
        <v>108</v>
      </c>
      <c r="J175" t="s">
        <v>232</v>
      </c>
      <c r="K175">
        <v>2.8810792348718684E-3</v>
      </c>
      <c r="L175" t="s">
        <v>84</v>
      </c>
      <c r="N175" t="s">
        <v>124</v>
      </c>
      <c r="O175" t="s">
        <v>232</v>
      </c>
      <c r="P175">
        <v>2.1882137845158311E-2</v>
      </c>
      <c r="Q175" t="s">
        <v>84</v>
      </c>
      <c r="S175" t="s">
        <v>139</v>
      </c>
      <c r="T175" t="s">
        <v>232</v>
      </c>
      <c r="U175">
        <v>2.1674995532828454E-2</v>
      </c>
      <c r="V175" t="s">
        <v>84</v>
      </c>
    </row>
    <row r="176" spans="9:22" x14ac:dyDescent="0.45">
      <c r="I176" t="s">
        <v>108</v>
      </c>
      <c r="J176" t="s">
        <v>233</v>
      </c>
      <c r="K176">
        <v>0.34651858772401506</v>
      </c>
      <c r="L176" t="s">
        <v>84</v>
      </c>
      <c r="N176" t="s">
        <v>124</v>
      </c>
      <c r="O176" t="s">
        <v>233</v>
      </c>
      <c r="P176">
        <v>0.13143959623631774</v>
      </c>
      <c r="Q176" t="s">
        <v>84</v>
      </c>
      <c r="S176" t="s">
        <v>139</v>
      </c>
      <c r="T176" t="s">
        <v>233</v>
      </c>
      <c r="U176">
        <v>0.11620197659949118</v>
      </c>
      <c r="V176" t="s">
        <v>84</v>
      </c>
    </row>
    <row r="177" spans="9:22" x14ac:dyDescent="0.45">
      <c r="I177" t="s">
        <v>108</v>
      </c>
      <c r="J177" t="s">
        <v>234</v>
      </c>
      <c r="K177">
        <v>1.6326007476608461E-2</v>
      </c>
      <c r="L177" t="s">
        <v>84</v>
      </c>
      <c r="N177" t="s">
        <v>124</v>
      </c>
      <c r="O177" t="s">
        <v>234</v>
      </c>
      <c r="P177">
        <v>8.7109941101944172E-2</v>
      </c>
      <c r="Q177" t="s">
        <v>84</v>
      </c>
      <c r="S177" t="s">
        <v>139</v>
      </c>
      <c r="T177" t="s">
        <v>234</v>
      </c>
      <c r="U177">
        <v>0.11613158567752985</v>
      </c>
      <c r="V177" t="s">
        <v>84</v>
      </c>
    </row>
    <row r="178" spans="9:22" x14ac:dyDescent="0.45">
      <c r="I178" t="s">
        <v>108</v>
      </c>
      <c r="J178" t="s">
        <v>235</v>
      </c>
      <c r="K178">
        <v>4.834176484581424E-2</v>
      </c>
      <c r="L178" t="s">
        <v>84</v>
      </c>
      <c r="N178" t="s">
        <v>124</v>
      </c>
      <c r="O178" t="s">
        <v>235</v>
      </c>
      <c r="P178">
        <v>2.4422036343056952E-2</v>
      </c>
      <c r="Q178" t="s">
        <v>84</v>
      </c>
      <c r="S178" t="s">
        <v>139</v>
      </c>
      <c r="T178" t="s">
        <v>235</v>
      </c>
      <c r="U178">
        <v>2.1789062651908019E-2</v>
      </c>
      <c r="V178" t="s">
        <v>84</v>
      </c>
    </row>
    <row r="179" spans="9:22" x14ac:dyDescent="0.45">
      <c r="I179" t="s">
        <v>109</v>
      </c>
      <c r="J179" t="s">
        <v>224</v>
      </c>
      <c r="K179">
        <v>0.26474982115375623</v>
      </c>
      <c r="L179" t="s">
        <v>84</v>
      </c>
      <c r="N179" t="s">
        <v>125</v>
      </c>
      <c r="O179" t="s">
        <v>224</v>
      </c>
      <c r="P179">
        <v>0.16172901523958175</v>
      </c>
      <c r="Q179" t="s">
        <v>84</v>
      </c>
      <c r="S179" t="s">
        <v>140</v>
      </c>
      <c r="T179" t="s">
        <v>224</v>
      </c>
      <c r="U179">
        <v>0.11515348265432834</v>
      </c>
      <c r="V179" t="s">
        <v>84</v>
      </c>
    </row>
    <row r="180" spans="9:22" x14ac:dyDescent="0.45">
      <c r="I180" t="s">
        <v>109</v>
      </c>
      <c r="J180" t="s">
        <v>225</v>
      </c>
      <c r="K180">
        <v>6.2692153599431663E-3</v>
      </c>
      <c r="L180" t="s">
        <v>84</v>
      </c>
      <c r="N180" t="s">
        <v>125</v>
      </c>
      <c r="O180" t="s">
        <v>225</v>
      </c>
      <c r="P180">
        <v>0.13460255786326661</v>
      </c>
      <c r="Q180" t="s">
        <v>84</v>
      </c>
      <c r="S180" t="s">
        <v>140</v>
      </c>
      <c r="T180" t="s">
        <v>225</v>
      </c>
      <c r="U180">
        <v>0.11365181181133856</v>
      </c>
      <c r="V180" t="s">
        <v>84</v>
      </c>
    </row>
    <row r="181" spans="9:22" x14ac:dyDescent="0.45">
      <c r="I181" t="s">
        <v>109</v>
      </c>
      <c r="J181" t="s">
        <v>226</v>
      </c>
      <c r="K181">
        <v>3.1476735552928424E-2</v>
      </c>
      <c r="L181" t="s">
        <v>84</v>
      </c>
      <c r="N181" t="s">
        <v>125</v>
      </c>
      <c r="O181" t="s">
        <v>226</v>
      </c>
      <c r="P181">
        <v>3.1257232184870018E-2</v>
      </c>
      <c r="Q181" t="s">
        <v>84</v>
      </c>
      <c r="S181" t="s">
        <v>140</v>
      </c>
      <c r="T181" t="s">
        <v>226</v>
      </c>
      <c r="U181">
        <v>2.0329023613229514E-2</v>
      </c>
      <c r="V181" t="s">
        <v>84</v>
      </c>
    </row>
    <row r="182" spans="9:22" x14ac:dyDescent="0.45">
      <c r="I182" t="s">
        <v>109</v>
      </c>
      <c r="J182" t="s">
        <v>227</v>
      </c>
      <c r="K182">
        <v>0.16494547004939766</v>
      </c>
      <c r="L182" t="s">
        <v>84</v>
      </c>
      <c r="N182" t="s">
        <v>125</v>
      </c>
      <c r="O182" t="s">
        <v>227</v>
      </c>
      <c r="P182">
        <v>8.8916137896206782E-2</v>
      </c>
      <c r="Q182" t="s">
        <v>84</v>
      </c>
      <c r="S182" t="s">
        <v>140</v>
      </c>
      <c r="T182" t="s">
        <v>227</v>
      </c>
      <c r="U182">
        <v>0.11041657491780597</v>
      </c>
      <c r="V182" t="s">
        <v>84</v>
      </c>
    </row>
    <row r="183" spans="9:22" x14ac:dyDescent="0.45">
      <c r="I183" t="s">
        <v>109</v>
      </c>
      <c r="J183" t="s">
        <v>228</v>
      </c>
      <c r="K183">
        <v>0</v>
      </c>
      <c r="L183" t="s">
        <v>84</v>
      </c>
      <c r="N183" t="s">
        <v>125</v>
      </c>
      <c r="O183" t="s">
        <v>228</v>
      </c>
      <c r="P183">
        <v>7.223022941796442E-2</v>
      </c>
      <c r="Q183" t="s">
        <v>84</v>
      </c>
      <c r="S183" t="s">
        <v>140</v>
      </c>
      <c r="T183" t="s">
        <v>228</v>
      </c>
      <c r="U183">
        <v>0.10932835658256149</v>
      </c>
      <c r="V183" t="s">
        <v>84</v>
      </c>
    </row>
    <row r="184" spans="9:22" x14ac:dyDescent="0.45">
      <c r="I184" t="s">
        <v>109</v>
      </c>
      <c r="J184" t="s">
        <v>229</v>
      </c>
      <c r="K184">
        <v>1.4754588855935988E-2</v>
      </c>
      <c r="L184" t="s">
        <v>84</v>
      </c>
      <c r="N184" t="s">
        <v>125</v>
      </c>
      <c r="O184" t="s">
        <v>229</v>
      </c>
      <c r="P184">
        <v>1.6068068373769062E-2</v>
      </c>
      <c r="Q184" t="s">
        <v>84</v>
      </c>
      <c r="S184" t="s">
        <v>140</v>
      </c>
      <c r="T184" t="s">
        <v>229</v>
      </c>
      <c r="U184">
        <v>2.0596588256061706E-2</v>
      </c>
      <c r="V184" t="s">
        <v>84</v>
      </c>
    </row>
    <row r="185" spans="9:22" x14ac:dyDescent="0.45">
      <c r="I185" t="s">
        <v>109</v>
      </c>
      <c r="J185" t="s">
        <v>230</v>
      </c>
      <c r="K185">
        <v>0.10006370030436722</v>
      </c>
      <c r="L185" t="s">
        <v>84</v>
      </c>
      <c r="N185" t="s">
        <v>125</v>
      </c>
      <c r="O185" t="s">
        <v>230</v>
      </c>
      <c r="P185">
        <v>0.11724666903987105</v>
      </c>
      <c r="Q185" t="s">
        <v>84</v>
      </c>
      <c r="S185" t="s">
        <v>140</v>
      </c>
      <c r="T185" t="s">
        <v>230</v>
      </c>
      <c r="U185">
        <v>0.11720570572105228</v>
      </c>
      <c r="V185" t="s">
        <v>84</v>
      </c>
    </row>
    <row r="186" spans="9:22" x14ac:dyDescent="0.45">
      <c r="I186" t="s">
        <v>109</v>
      </c>
      <c r="J186" t="s">
        <v>231</v>
      </c>
      <c r="K186">
        <v>0</v>
      </c>
      <c r="L186" t="s">
        <v>84</v>
      </c>
      <c r="N186" t="s">
        <v>125</v>
      </c>
      <c r="O186" t="s">
        <v>231</v>
      </c>
      <c r="P186">
        <v>0.11137664234451572</v>
      </c>
      <c r="Q186" t="s">
        <v>84</v>
      </c>
      <c r="S186" t="s">
        <v>140</v>
      </c>
      <c r="T186" t="s">
        <v>231</v>
      </c>
      <c r="U186">
        <v>0.11706514489089401</v>
      </c>
      <c r="V186" t="s">
        <v>84</v>
      </c>
    </row>
    <row r="187" spans="9:22" x14ac:dyDescent="0.45">
      <c r="I187" t="s">
        <v>109</v>
      </c>
      <c r="J187" t="s">
        <v>232</v>
      </c>
      <c r="K187">
        <v>2.8836025457267878E-3</v>
      </c>
      <c r="L187" t="s">
        <v>84</v>
      </c>
      <c r="N187" t="s">
        <v>125</v>
      </c>
      <c r="O187" t="s">
        <v>232</v>
      </c>
      <c r="P187">
        <v>2.2734519012808971E-2</v>
      </c>
      <c r="Q187" t="s">
        <v>84</v>
      </c>
      <c r="S187" t="s">
        <v>140</v>
      </c>
      <c r="T187" t="s">
        <v>232</v>
      </c>
      <c r="U187">
        <v>2.131599926589501E-2</v>
      </c>
      <c r="V187" t="s">
        <v>84</v>
      </c>
    </row>
    <row r="188" spans="9:22" x14ac:dyDescent="0.45">
      <c r="I188" t="s">
        <v>109</v>
      </c>
      <c r="J188" t="s">
        <v>233</v>
      </c>
      <c r="K188">
        <v>0.34308926576028892</v>
      </c>
      <c r="L188" t="s">
        <v>84</v>
      </c>
      <c r="N188" t="s">
        <v>125</v>
      </c>
      <c r="O188" t="s">
        <v>233</v>
      </c>
      <c r="P188">
        <v>0.12732433639650115</v>
      </c>
      <c r="Q188" t="s">
        <v>84</v>
      </c>
      <c r="S188" t="s">
        <v>140</v>
      </c>
      <c r="T188" t="s">
        <v>233</v>
      </c>
      <c r="U188">
        <v>0.11698875325871361</v>
      </c>
      <c r="V188" t="s">
        <v>84</v>
      </c>
    </row>
    <row r="189" spans="9:22" x14ac:dyDescent="0.45">
      <c r="I189" t="s">
        <v>109</v>
      </c>
      <c r="J189" t="s">
        <v>234</v>
      </c>
      <c r="K189">
        <v>1.9171422009326221E-2</v>
      </c>
      <c r="L189" t="s">
        <v>84</v>
      </c>
      <c r="N189" t="s">
        <v>125</v>
      </c>
      <c r="O189" t="s">
        <v>234</v>
      </c>
      <c r="P189">
        <v>9.271127788971012E-2</v>
      </c>
      <c r="Q189" t="s">
        <v>84</v>
      </c>
      <c r="S189" t="s">
        <v>140</v>
      </c>
      <c r="T189" t="s">
        <v>234</v>
      </c>
      <c r="U189">
        <v>0.11678728705717903</v>
      </c>
      <c r="V189" t="s">
        <v>84</v>
      </c>
    </row>
    <row r="190" spans="9:22" x14ac:dyDescent="0.45">
      <c r="I190" t="s">
        <v>109</v>
      </c>
      <c r="J190" t="s">
        <v>235</v>
      </c>
      <c r="K190">
        <v>5.2596178408328878E-2</v>
      </c>
      <c r="L190" t="s">
        <v>84</v>
      </c>
      <c r="N190" t="s">
        <v>125</v>
      </c>
      <c r="O190" t="s">
        <v>235</v>
      </c>
      <c r="P190">
        <v>2.3803314340935935E-2</v>
      </c>
      <c r="Q190" t="s">
        <v>84</v>
      </c>
      <c r="S190" t="s">
        <v>140</v>
      </c>
      <c r="T190" t="s">
        <v>235</v>
      </c>
      <c r="U190">
        <v>2.1161271970941944E-2</v>
      </c>
      <c r="V190" t="s">
        <v>84</v>
      </c>
    </row>
    <row r="191" spans="9:22" x14ac:dyDescent="0.45">
      <c r="I191" t="s">
        <v>110</v>
      </c>
      <c r="J191" t="s">
        <v>224</v>
      </c>
      <c r="K191">
        <v>0.26157996351616103</v>
      </c>
      <c r="L191" t="s">
        <v>84</v>
      </c>
      <c r="S191" t="s">
        <v>141</v>
      </c>
      <c r="T191" t="s">
        <v>224</v>
      </c>
      <c r="U191">
        <v>0.11393794803189934</v>
      </c>
      <c r="V191" t="s">
        <v>84</v>
      </c>
    </row>
    <row r="192" spans="9:22" x14ac:dyDescent="0.45">
      <c r="I192" t="s">
        <v>110</v>
      </c>
      <c r="J192" t="s">
        <v>225</v>
      </c>
      <c r="K192">
        <v>4.8391511968053913E-3</v>
      </c>
      <c r="L192" t="s">
        <v>84</v>
      </c>
      <c r="S192" t="s">
        <v>141</v>
      </c>
      <c r="T192" t="s">
        <v>225</v>
      </c>
      <c r="U192">
        <v>0.11061795275094871</v>
      </c>
      <c r="V192" t="s">
        <v>84</v>
      </c>
    </row>
    <row r="193" spans="9:22" x14ac:dyDescent="0.45">
      <c r="I193" t="s">
        <v>110</v>
      </c>
      <c r="J193" t="s">
        <v>226</v>
      </c>
      <c r="K193">
        <v>2.7793659581838277E-2</v>
      </c>
      <c r="L193" t="s">
        <v>84</v>
      </c>
      <c r="S193" t="s">
        <v>141</v>
      </c>
      <c r="T193" t="s">
        <v>226</v>
      </c>
      <c r="U193">
        <v>2.0364919987033148E-2</v>
      </c>
      <c r="V193" t="s">
        <v>84</v>
      </c>
    </row>
    <row r="194" spans="9:22" x14ac:dyDescent="0.45">
      <c r="I194" t="s">
        <v>110</v>
      </c>
      <c r="J194" t="s">
        <v>227</v>
      </c>
      <c r="K194">
        <v>0.17073858874318656</v>
      </c>
      <c r="L194" t="s">
        <v>84</v>
      </c>
      <c r="S194" t="s">
        <v>141</v>
      </c>
      <c r="T194" t="s">
        <v>227</v>
      </c>
      <c r="U194">
        <v>0.12126109058927055</v>
      </c>
      <c r="V194" t="s">
        <v>84</v>
      </c>
    </row>
    <row r="195" spans="9:22" x14ac:dyDescent="0.45">
      <c r="I195" t="s">
        <v>110</v>
      </c>
      <c r="J195" t="s">
        <v>228</v>
      </c>
      <c r="K195">
        <v>0</v>
      </c>
      <c r="L195" t="s">
        <v>84</v>
      </c>
      <c r="S195" t="s">
        <v>141</v>
      </c>
      <c r="T195" t="s">
        <v>228</v>
      </c>
      <c r="U195">
        <v>0.12015191305469618</v>
      </c>
      <c r="V195" t="s">
        <v>84</v>
      </c>
    </row>
    <row r="196" spans="9:22" x14ac:dyDescent="0.45">
      <c r="I196" t="s">
        <v>110</v>
      </c>
      <c r="J196" t="s">
        <v>229</v>
      </c>
      <c r="K196">
        <v>1.3147305503609562E-2</v>
      </c>
      <c r="L196" t="s">
        <v>84</v>
      </c>
      <c r="S196" t="s">
        <v>141</v>
      </c>
      <c r="T196" t="s">
        <v>229</v>
      </c>
      <c r="U196">
        <v>2.1608042821763471E-2</v>
      </c>
      <c r="V196" t="s">
        <v>84</v>
      </c>
    </row>
    <row r="197" spans="9:22" x14ac:dyDescent="0.45">
      <c r="I197" t="s">
        <v>110</v>
      </c>
      <c r="J197" t="s">
        <v>230</v>
      </c>
      <c r="K197">
        <v>0.10663352429038594</v>
      </c>
      <c r="L197" t="s">
        <v>84</v>
      </c>
      <c r="S197" t="s">
        <v>141</v>
      </c>
      <c r="T197" t="s">
        <v>230</v>
      </c>
      <c r="U197">
        <v>0.11853615424464042</v>
      </c>
      <c r="V197" t="s">
        <v>84</v>
      </c>
    </row>
    <row r="198" spans="9:22" x14ac:dyDescent="0.45">
      <c r="I198" t="s">
        <v>110</v>
      </c>
      <c r="J198" t="s">
        <v>231</v>
      </c>
      <c r="K198">
        <v>0</v>
      </c>
      <c r="L198" t="s">
        <v>84</v>
      </c>
      <c r="S198" t="s">
        <v>141</v>
      </c>
      <c r="T198" t="s">
        <v>231</v>
      </c>
      <c r="U198">
        <v>0.11752270383128273</v>
      </c>
      <c r="V198" t="s">
        <v>84</v>
      </c>
    </row>
    <row r="199" spans="9:22" x14ac:dyDescent="0.45">
      <c r="I199" t="s">
        <v>110</v>
      </c>
      <c r="J199" t="s">
        <v>232</v>
      </c>
      <c r="K199">
        <v>2.8619890404803922E-3</v>
      </c>
      <c r="L199" t="s">
        <v>84</v>
      </c>
      <c r="S199" t="s">
        <v>141</v>
      </c>
      <c r="T199" t="s">
        <v>232</v>
      </c>
      <c r="U199">
        <v>2.0767175877751041E-2</v>
      </c>
      <c r="V199" t="s">
        <v>84</v>
      </c>
    </row>
    <row r="200" spans="9:22" x14ac:dyDescent="0.45">
      <c r="I200" t="s">
        <v>110</v>
      </c>
      <c r="J200" t="s">
        <v>233</v>
      </c>
      <c r="K200">
        <v>0.34748181341344159</v>
      </c>
      <c r="L200" t="s">
        <v>84</v>
      </c>
      <c r="S200" t="s">
        <v>141</v>
      </c>
      <c r="T200" t="s">
        <v>233</v>
      </c>
      <c r="U200">
        <v>0.10819354788906041</v>
      </c>
      <c r="V200" t="s">
        <v>84</v>
      </c>
    </row>
    <row r="201" spans="9:22" x14ac:dyDescent="0.45">
      <c r="I201" t="s">
        <v>110</v>
      </c>
      <c r="J201" t="s">
        <v>234</v>
      </c>
      <c r="K201">
        <v>1.5983490324597411E-2</v>
      </c>
      <c r="L201" t="s">
        <v>84</v>
      </c>
      <c r="S201" t="s">
        <v>141</v>
      </c>
      <c r="T201" t="s">
        <v>234</v>
      </c>
      <c r="U201">
        <v>0.10706985871638972</v>
      </c>
      <c r="V201" t="s">
        <v>84</v>
      </c>
    </row>
    <row r="202" spans="9:22" x14ac:dyDescent="0.45">
      <c r="I202" t="s">
        <v>110</v>
      </c>
      <c r="J202" t="s">
        <v>235</v>
      </c>
      <c r="K202">
        <v>4.8940514389494226E-2</v>
      </c>
      <c r="L202" t="s">
        <v>84</v>
      </c>
      <c r="S202" t="s">
        <v>141</v>
      </c>
      <c r="T202" t="s">
        <v>235</v>
      </c>
      <c r="U202">
        <v>1.9968692205263729E-2</v>
      </c>
      <c r="V202" t="s">
        <v>84</v>
      </c>
    </row>
    <row r="203" spans="9:22" x14ac:dyDescent="0.45">
      <c r="S203" t="s">
        <v>142</v>
      </c>
      <c r="T203" t="s">
        <v>224</v>
      </c>
      <c r="U203">
        <v>0.1178839863663107</v>
      </c>
      <c r="V203" t="s">
        <v>84</v>
      </c>
    </row>
    <row r="204" spans="9:22" x14ac:dyDescent="0.45">
      <c r="S204" t="s">
        <v>142</v>
      </c>
      <c r="T204" t="s">
        <v>225</v>
      </c>
      <c r="U204">
        <v>0.11568047826019931</v>
      </c>
      <c r="V204" t="s">
        <v>84</v>
      </c>
    </row>
    <row r="205" spans="9:22" x14ac:dyDescent="0.45">
      <c r="S205" t="s">
        <v>142</v>
      </c>
      <c r="T205" t="s">
        <v>226</v>
      </c>
      <c r="U205">
        <v>2.0641236147966542E-2</v>
      </c>
      <c r="V205" t="s">
        <v>84</v>
      </c>
    </row>
    <row r="206" spans="9:22" x14ac:dyDescent="0.45">
      <c r="S206" t="s">
        <v>142</v>
      </c>
      <c r="T206" t="s">
        <v>227</v>
      </c>
      <c r="U206">
        <v>0.11076503489442305</v>
      </c>
      <c r="V206" t="s">
        <v>84</v>
      </c>
    </row>
    <row r="207" spans="9:22" x14ac:dyDescent="0.45">
      <c r="S207" t="s">
        <v>142</v>
      </c>
      <c r="T207" t="s">
        <v>228</v>
      </c>
      <c r="U207">
        <v>0.10901163415884768</v>
      </c>
      <c r="V207" t="s">
        <v>84</v>
      </c>
    </row>
    <row r="208" spans="9:22" x14ac:dyDescent="0.45">
      <c r="S208" t="s">
        <v>142</v>
      </c>
      <c r="T208" t="s">
        <v>229</v>
      </c>
      <c r="U208">
        <v>2.0416004750134012E-2</v>
      </c>
      <c r="V208" t="s">
        <v>84</v>
      </c>
    </row>
    <row r="209" spans="19:22" x14ac:dyDescent="0.45">
      <c r="S209" t="s">
        <v>142</v>
      </c>
      <c r="T209" t="s">
        <v>230</v>
      </c>
      <c r="U209">
        <v>0.11526149743839011</v>
      </c>
      <c r="V209" t="s">
        <v>84</v>
      </c>
    </row>
    <row r="210" spans="19:22" x14ac:dyDescent="0.45">
      <c r="S210" t="s">
        <v>142</v>
      </c>
      <c r="T210" t="s">
        <v>231</v>
      </c>
      <c r="U210">
        <v>0.1159244280317643</v>
      </c>
      <c r="V210" t="s">
        <v>84</v>
      </c>
    </row>
    <row r="211" spans="19:22" x14ac:dyDescent="0.45">
      <c r="S211" t="s">
        <v>142</v>
      </c>
      <c r="T211" t="s">
        <v>232</v>
      </c>
      <c r="U211">
        <v>2.0723463706586204E-2</v>
      </c>
      <c r="V211" t="s">
        <v>84</v>
      </c>
    </row>
    <row r="212" spans="19:22" x14ac:dyDescent="0.45">
      <c r="S212" t="s">
        <v>142</v>
      </c>
      <c r="T212" t="s">
        <v>233</v>
      </c>
      <c r="U212">
        <v>0.11671044423035851</v>
      </c>
      <c r="V212" t="s">
        <v>84</v>
      </c>
    </row>
    <row r="213" spans="19:22" x14ac:dyDescent="0.45">
      <c r="S213" t="s">
        <v>142</v>
      </c>
      <c r="T213" t="s">
        <v>234</v>
      </c>
      <c r="U213">
        <v>0.11594236225172999</v>
      </c>
      <c r="V213" t="s">
        <v>84</v>
      </c>
    </row>
    <row r="214" spans="19:22" x14ac:dyDescent="0.45">
      <c r="S214" t="s">
        <v>142</v>
      </c>
      <c r="T214" t="s">
        <v>235</v>
      </c>
      <c r="U214">
        <v>2.103942976329121E-2</v>
      </c>
      <c r="V214" t="s">
        <v>84</v>
      </c>
    </row>
    <row r="215" spans="19:22" x14ac:dyDescent="0.45">
      <c r="S215" t="s">
        <v>143</v>
      </c>
      <c r="T215" t="s">
        <v>224</v>
      </c>
      <c r="U215">
        <v>0.11570459014628633</v>
      </c>
      <c r="V215" t="s">
        <v>84</v>
      </c>
    </row>
    <row r="216" spans="19:22" x14ac:dyDescent="0.45">
      <c r="S216" t="s">
        <v>143</v>
      </c>
      <c r="T216" t="s">
        <v>225</v>
      </c>
      <c r="U216">
        <v>0.11254747366701257</v>
      </c>
      <c r="V216" t="s">
        <v>84</v>
      </c>
    </row>
    <row r="217" spans="19:22" x14ac:dyDescent="0.45">
      <c r="S217" t="s">
        <v>143</v>
      </c>
      <c r="T217" t="s">
        <v>226</v>
      </c>
      <c r="U217">
        <v>2.0999502006816169E-2</v>
      </c>
      <c r="V217" t="s">
        <v>84</v>
      </c>
    </row>
    <row r="218" spans="19:22" x14ac:dyDescent="0.45">
      <c r="S218" t="s">
        <v>143</v>
      </c>
      <c r="T218" t="s">
        <v>227</v>
      </c>
      <c r="U218">
        <v>0.11462160059890976</v>
      </c>
      <c r="V218" t="s">
        <v>84</v>
      </c>
    </row>
    <row r="219" spans="19:22" x14ac:dyDescent="0.45">
      <c r="S219" t="s">
        <v>143</v>
      </c>
      <c r="T219" t="s">
        <v>228</v>
      </c>
      <c r="U219">
        <v>0.11289449227819413</v>
      </c>
      <c r="V219" t="s">
        <v>84</v>
      </c>
    </row>
    <row r="220" spans="19:22" x14ac:dyDescent="0.45">
      <c r="S220" t="s">
        <v>143</v>
      </c>
      <c r="T220" t="s">
        <v>229</v>
      </c>
      <c r="U220">
        <v>2.110468745081405E-2</v>
      </c>
      <c r="V220" t="s">
        <v>84</v>
      </c>
    </row>
    <row r="221" spans="19:22" x14ac:dyDescent="0.45">
      <c r="S221" t="s">
        <v>143</v>
      </c>
      <c r="T221" t="s">
        <v>230</v>
      </c>
      <c r="U221">
        <v>0.11833961558207363</v>
      </c>
      <c r="V221" t="s">
        <v>84</v>
      </c>
    </row>
    <row r="222" spans="19:22" x14ac:dyDescent="0.45">
      <c r="S222" t="s">
        <v>143</v>
      </c>
      <c r="T222" t="s">
        <v>231</v>
      </c>
      <c r="U222">
        <v>0.11589775469949855</v>
      </c>
      <c r="V222" t="s">
        <v>84</v>
      </c>
    </row>
    <row r="223" spans="19:22" x14ac:dyDescent="0.45">
      <c r="S223" t="s">
        <v>143</v>
      </c>
      <c r="T223" t="s">
        <v>232</v>
      </c>
      <c r="U223">
        <v>2.1134836168632022E-2</v>
      </c>
      <c r="V223" t="s">
        <v>84</v>
      </c>
    </row>
    <row r="224" spans="19:22" x14ac:dyDescent="0.45">
      <c r="S224" t="s">
        <v>143</v>
      </c>
      <c r="T224" t="s">
        <v>233</v>
      </c>
      <c r="U224">
        <v>0.11346313307527689</v>
      </c>
      <c r="V224" t="s">
        <v>84</v>
      </c>
    </row>
    <row r="225" spans="19:22" x14ac:dyDescent="0.45">
      <c r="S225" t="s">
        <v>143</v>
      </c>
      <c r="T225" t="s">
        <v>234</v>
      </c>
      <c r="U225">
        <v>0.11220508659839382</v>
      </c>
      <c r="V225" t="s">
        <v>84</v>
      </c>
    </row>
    <row r="226" spans="19:22" x14ac:dyDescent="0.45">
      <c r="S226" t="s">
        <v>143</v>
      </c>
      <c r="T226" t="s">
        <v>235</v>
      </c>
      <c r="U226">
        <v>2.1087227728091257E-2</v>
      </c>
      <c r="V226" t="s">
        <v>84</v>
      </c>
    </row>
    <row r="227" spans="19:22" x14ac:dyDescent="0.45">
      <c r="S227" t="s">
        <v>144</v>
      </c>
      <c r="T227" t="s">
        <v>224</v>
      </c>
      <c r="U227">
        <v>0.11605390933722523</v>
      </c>
      <c r="V227" t="s">
        <v>84</v>
      </c>
    </row>
    <row r="228" spans="19:22" x14ac:dyDescent="0.45">
      <c r="S228" t="s">
        <v>144</v>
      </c>
      <c r="T228" t="s">
        <v>225</v>
      </c>
      <c r="U228">
        <v>0.11331972978618253</v>
      </c>
      <c r="V228" t="s">
        <v>84</v>
      </c>
    </row>
    <row r="229" spans="19:22" x14ac:dyDescent="0.45">
      <c r="S229" t="s">
        <v>144</v>
      </c>
      <c r="T229" t="s">
        <v>226</v>
      </c>
      <c r="U229">
        <v>2.0558475972854078E-2</v>
      </c>
      <c r="V229" t="s">
        <v>84</v>
      </c>
    </row>
    <row r="230" spans="19:22" x14ac:dyDescent="0.45">
      <c r="S230" t="s">
        <v>144</v>
      </c>
      <c r="T230" t="s">
        <v>227</v>
      </c>
      <c r="U230">
        <v>0.11639741823799485</v>
      </c>
      <c r="V230" t="s">
        <v>84</v>
      </c>
    </row>
    <row r="231" spans="19:22" x14ac:dyDescent="0.45">
      <c r="S231" t="s">
        <v>144</v>
      </c>
      <c r="T231" t="s">
        <v>228</v>
      </c>
      <c r="U231">
        <v>0.11389142901013978</v>
      </c>
      <c r="V231" t="s">
        <v>84</v>
      </c>
    </row>
    <row r="232" spans="19:22" x14ac:dyDescent="0.45">
      <c r="S232" t="s">
        <v>144</v>
      </c>
      <c r="T232" t="s">
        <v>229</v>
      </c>
      <c r="U232">
        <v>2.1249413482703532E-2</v>
      </c>
      <c r="V232" t="s">
        <v>84</v>
      </c>
    </row>
    <row r="233" spans="19:22" x14ac:dyDescent="0.45">
      <c r="S233" t="s">
        <v>144</v>
      </c>
      <c r="T233" t="s">
        <v>230</v>
      </c>
      <c r="U233">
        <v>0.114485879951083</v>
      </c>
      <c r="V233" t="s">
        <v>84</v>
      </c>
    </row>
    <row r="234" spans="19:22" x14ac:dyDescent="0.45">
      <c r="S234" t="s">
        <v>144</v>
      </c>
      <c r="T234" t="s">
        <v>231</v>
      </c>
      <c r="U234">
        <v>0.11487966274147915</v>
      </c>
      <c r="V234" t="s">
        <v>84</v>
      </c>
    </row>
    <row r="235" spans="19:22" x14ac:dyDescent="0.45">
      <c r="S235" t="s">
        <v>144</v>
      </c>
      <c r="T235" t="s">
        <v>232</v>
      </c>
      <c r="U235">
        <v>2.104033777372288E-2</v>
      </c>
      <c r="V235" t="s">
        <v>84</v>
      </c>
    </row>
    <row r="236" spans="19:22" x14ac:dyDescent="0.45">
      <c r="S236" t="s">
        <v>144</v>
      </c>
      <c r="T236" t="s">
        <v>233</v>
      </c>
      <c r="U236">
        <v>0.11453027060842653</v>
      </c>
      <c r="V236" t="s">
        <v>84</v>
      </c>
    </row>
    <row r="237" spans="19:22" x14ac:dyDescent="0.45">
      <c r="S237" t="s">
        <v>144</v>
      </c>
      <c r="T237" t="s">
        <v>234</v>
      </c>
      <c r="U237">
        <v>0.11281765166204398</v>
      </c>
      <c r="V237" t="s">
        <v>84</v>
      </c>
    </row>
    <row r="238" spans="19:22" x14ac:dyDescent="0.45">
      <c r="S238" t="s">
        <v>144</v>
      </c>
      <c r="T238" t="s">
        <v>235</v>
      </c>
      <c r="U238">
        <v>2.0775821436143899E-2</v>
      </c>
      <c r="V238" t="s">
        <v>84</v>
      </c>
    </row>
    <row r="239" spans="19:22" x14ac:dyDescent="0.45">
      <c r="S239" t="s">
        <v>145</v>
      </c>
      <c r="T239" t="s">
        <v>224</v>
      </c>
      <c r="U239">
        <v>0.12527235774831438</v>
      </c>
      <c r="V239" t="s">
        <v>84</v>
      </c>
    </row>
    <row r="240" spans="19:22" x14ac:dyDescent="0.45">
      <c r="S240" t="s">
        <v>145</v>
      </c>
      <c r="T240" t="s">
        <v>225</v>
      </c>
      <c r="U240">
        <v>0.13358696460894479</v>
      </c>
      <c r="V240" t="s">
        <v>84</v>
      </c>
    </row>
    <row r="241" spans="19:22" x14ac:dyDescent="0.45">
      <c r="S241" t="s">
        <v>145</v>
      </c>
      <c r="T241" t="s">
        <v>226</v>
      </c>
      <c r="U241">
        <v>2.4458377310024822E-2</v>
      </c>
      <c r="V241" t="s">
        <v>84</v>
      </c>
    </row>
    <row r="242" spans="19:22" x14ac:dyDescent="0.45">
      <c r="S242" t="s">
        <v>145</v>
      </c>
      <c r="T242" t="s">
        <v>227</v>
      </c>
      <c r="U242">
        <v>9.7841885933528897E-2</v>
      </c>
      <c r="V242" t="s">
        <v>84</v>
      </c>
    </row>
    <row r="243" spans="19:22" x14ac:dyDescent="0.45">
      <c r="S243" t="s">
        <v>145</v>
      </c>
      <c r="T243" t="s">
        <v>228</v>
      </c>
      <c r="U243">
        <v>0.10037077481143185</v>
      </c>
      <c r="V243" t="s">
        <v>84</v>
      </c>
    </row>
    <row r="244" spans="19:22" x14ac:dyDescent="0.45">
      <c r="S244" t="s">
        <v>145</v>
      </c>
      <c r="T244" t="s">
        <v>229</v>
      </c>
      <c r="U244">
        <v>1.8713215983783636E-2</v>
      </c>
      <c r="V244" t="s">
        <v>84</v>
      </c>
    </row>
    <row r="245" spans="19:22" x14ac:dyDescent="0.45">
      <c r="S245" t="s">
        <v>145</v>
      </c>
      <c r="T245" t="s">
        <v>230</v>
      </c>
      <c r="U245">
        <v>0.12755399451929539</v>
      </c>
      <c r="V245" t="s">
        <v>84</v>
      </c>
    </row>
    <row r="246" spans="19:22" x14ac:dyDescent="0.45">
      <c r="S246" t="s">
        <v>145</v>
      </c>
      <c r="T246" t="s">
        <v>231</v>
      </c>
      <c r="U246">
        <v>0.12784690512719718</v>
      </c>
      <c r="V246" t="s">
        <v>84</v>
      </c>
    </row>
    <row r="247" spans="19:22" x14ac:dyDescent="0.45">
      <c r="S247" t="s">
        <v>145</v>
      </c>
      <c r="T247" t="s">
        <v>232</v>
      </c>
      <c r="U247">
        <v>2.2885951549423567E-2</v>
      </c>
      <c r="V247" t="s">
        <v>84</v>
      </c>
    </row>
    <row r="248" spans="19:22" x14ac:dyDescent="0.45">
      <c r="S248" t="s">
        <v>145</v>
      </c>
      <c r="T248" t="s">
        <v>233</v>
      </c>
      <c r="U248">
        <v>9.9166866083796545E-2</v>
      </c>
      <c r="V248" t="s">
        <v>84</v>
      </c>
    </row>
    <row r="249" spans="19:22" x14ac:dyDescent="0.45">
      <c r="S249" t="s">
        <v>145</v>
      </c>
      <c r="T249" t="s">
        <v>234</v>
      </c>
      <c r="U249">
        <v>0.10311498201250245</v>
      </c>
      <c r="V249" t="s">
        <v>84</v>
      </c>
    </row>
    <row r="250" spans="19:22" x14ac:dyDescent="0.45">
      <c r="S250" t="s">
        <v>145</v>
      </c>
      <c r="T250" t="s">
        <v>235</v>
      </c>
      <c r="U250">
        <v>1.9187724311753467E-2</v>
      </c>
      <c r="V250" t="s">
        <v>84</v>
      </c>
    </row>
    <row r="251" spans="19:22" x14ac:dyDescent="0.45">
      <c r="S251" t="s">
        <v>146</v>
      </c>
      <c r="T251" t="s">
        <v>224</v>
      </c>
      <c r="U251">
        <v>0.12995156799097099</v>
      </c>
      <c r="V251" t="s">
        <v>84</v>
      </c>
    </row>
    <row r="252" spans="19:22" x14ac:dyDescent="0.45">
      <c r="S252" t="s">
        <v>146</v>
      </c>
      <c r="T252" t="s">
        <v>225</v>
      </c>
      <c r="U252">
        <v>0.13231622126289075</v>
      </c>
      <c r="V252" t="s">
        <v>84</v>
      </c>
    </row>
    <row r="253" spans="19:22" x14ac:dyDescent="0.45">
      <c r="S253" t="s">
        <v>146</v>
      </c>
      <c r="T253" t="s">
        <v>226</v>
      </c>
      <c r="U253">
        <v>2.4848496996174967E-2</v>
      </c>
      <c r="V253" t="s">
        <v>84</v>
      </c>
    </row>
    <row r="254" spans="19:22" x14ac:dyDescent="0.45">
      <c r="S254" t="s">
        <v>146</v>
      </c>
      <c r="T254" t="s">
        <v>227</v>
      </c>
      <c r="U254">
        <v>9.7356100043753599E-2</v>
      </c>
      <c r="V254" t="s">
        <v>84</v>
      </c>
    </row>
    <row r="255" spans="19:22" x14ac:dyDescent="0.45">
      <c r="S255" t="s">
        <v>146</v>
      </c>
      <c r="T255" t="s">
        <v>228</v>
      </c>
      <c r="U255">
        <v>9.6362032319308843E-2</v>
      </c>
      <c r="V255" t="s">
        <v>84</v>
      </c>
    </row>
    <row r="256" spans="19:22" x14ac:dyDescent="0.45">
      <c r="S256" t="s">
        <v>146</v>
      </c>
      <c r="T256" t="s">
        <v>229</v>
      </c>
      <c r="U256">
        <v>1.72515914894368E-2</v>
      </c>
      <c r="V256" t="s">
        <v>84</v>
      </c>
    </row>
    <row r="257" spans="19:22" x14ac:dyDescent="0.45">
      <c r="S257" t="s">
        <v>146</v>
      </c>
      <c r="T257" t="s">
        <v>230</v>
      </c>
      <c r="U257">
        <v>0.12658433562577551</v>
      </c>
      <c r="V257" t="s">
        <v>84</v>
      </c>
    </row>
    <row r="258" spans="19:22" x14ac:dyDescent="0.45">
      <c r="S258" t="s">
        <v>146</v>
      </c>
      <c r="T258" t="s">
        <v>231</v>
      </c>
      <c r="U258">
        <v>0.12704269055694484</v>
      </c>
      <c r="V258" t="s">
        <v>84</v>
      </c>
    </row>
    <row r="259" spans="19:22" x14ac:dyDescent="0.45">
      <c r="S259" t="s">
        <v>146</v>
      </c>
      <c r="T259" t="s">
        <v>232</v>
      </c>
      <c r="U259">
        <v>2.3391861215414481E-2</v>
      </c>
      <c r="V259" t="s">
        <v>84</v>
      </c>
    </row>
    <row r="260" spans="19:22" x14ac:dyDescent="0.45">
      <c r="S260" t="s">
        <v>146</v>
      </c>
      <c r="T260" t="s">
        <v>233</v>
      </c>
      <c r="U260">
        <v>0.10256470545630264</v>
      </c>
      <c r="V260" t="s">
        <v>84</v>
      </c>
    </row>
    <row r="261" spans="19:22" x14ac:dyDescent="0.45">
      <c r="S261" t="s">
        <v>146</v>
      </c>
      <c r="T261" t="s">
        <v>234</v>
      </c>
      <c r="U261">
        <v>0.10381321627432204</v>
      </c>
      <c r="V261" t="s">
        <v>84</v>
      </c>
    </row>
    <row r="262" spans="19:22" x14ac:dyDescent="0.45">
      <c r="S262" t="s">
        <v>146</v>
      </c>
      <c r="T262" t="s">
        <v>235</v>
      </c>
      <c r="U262">
        <v>1.8517180768702426E-2</v>
      </c>
      <c r="V262" t="s">
        <v>84</v>
      </c>
    </row>
    <row r="263" spans="19:22" x14ac:dyDescent="0.45">
      <c r="S263" t="s">
        <v>147</v>
      </c>
      <c r="T263" t="s">
        <v>224</v>
      </c>
      <c r="U263">
        <v>0.1289425974613902</v>
      </c>
      <c r="V263" t="s">
        <v>84</v>
      </c>
    </row>
    <row r="264" spans="19:22" x14ac:dyDescent="0.45">
      <c r="S264" t="s">
        <v>147</v>
      </c>
      <c r="T264" t="s">
        <v>225</v>
      </c>
      <c r="U264">
        <v>0.13096324137967172</v>
      </c>
      <c r="V264" t="s">
        <v>84</v>
      </c>
    </row>
    <row r="265" spans="19:22" x14ac:dyDescent="0.45">
      <c r="S265" t="s">
        <v>147</v>
      </c>
      <c r="T265" t="s">
        <v>226</v>
      </c>
      <c r="U265">
        <v>2.4460559801278172E-2</v>
      </c>
      <c r="V265" t="s">
        <v>84</v>
      </c>
    </row>
    <row r="266" spans="19:22" x14ac:dyDescent="0.45">
      <c r="S266" t="s">
        <v>147</v>
      </c>
      <c r="T266" t="s">
        <v>227</v>
      </c>
      <c r="U266">
        <v>0.10274889460974623</v>
      </c>
      <c r="V266" t="s">
        <v>84</v>
      </c>
    </row>
    <row r="267" spans="19:22" x14ac:dyDescent="0.45">
      <c r="S267" t="s">
        <v>147</v>
      </c>
      <c r="T267" t="s">
        <v>228</v>
      </c>
      <c r="U267">
        <v>0.10216231157821853</v>
      </c>
      <c r="V267" t="s">
        <v>84</v>
      </c>
    </row>
    <row r="268" spans="19:22" x14ac:dyDescent="0.45">
      <c r="S268" t="s">
        <v>147</v>
      </c>
      <c r="T268" t="s">
        <v>229</v>
      </c>
      <c r="U268">
        <v>1.8739387384305747E-2</v>
      </c>
      <c r="V268" t="s">
        <v>84</v>
      </c>
    </row>
    <row r="269" spans="19:22" x14ac:dyDescent="0.45">
      <c r="S269" t="s">
        <v>147</v>
      </c>
      <c r="T269" t="s">
        <v>230</v>
      </c>
      <c r="U269">
        <v>0.13072649076476148</v>
      </c>
      <c r="V269" t="s">
        <v>84</v>
      </c>
    </row>
    <row r="270" spans="19:22" x14ac:dyDescent="0.45">
      <c r="S270" t="s">
        <v>147</v>
      </c>
      <c r="T270" t="s">
        <v>231</v>
      </c>
      <c r="U270">
        <v>0.12752256597528819</v>
      </c>
      <c r="V270" t="s">
        <v>84</v>
      </c>
    </row>
    <row r="271" spans="19:22" x14ac:dyDescent="0.45">
      <c r="S271" t="s">
        <v>147</v>
      </c>
      <c r="T271" t="s">
        <v>232</v>
      </c>
      <c r="U271">
        <v>2.4726025466516689E-2</v>
      </c>
      <c r="V271" t="s">
        <v>84</v>
      </c>
    </row>
    <row r="272" spans="19:22" x14ac:dyDescent="0.45">
      <c r="S272" t="s">
        <v>147</v>
      </c>
      <c r="T272" t="s">
        <v>233</v>
      </c>
      <c r="U272">
        <v>9.5206994995879188E-2</v>
      </c>
      <c r="V272" t="s">
        <v>84</v>
      </c>
    </row>
    <row r="273" spans="19:22" x14ac:dyDescent="0.45">
      <c r="S273" t="s">
        <v>147</v>
      </c>
      <c r="T273" t="s">
        <v>234</v>
      </c>
      <c r="U273">
        <v>9.6309254354441834E-2</v>
      </c>
      <c r="V273" t="s">
        <v>84</v>
      </c>
    </row>
    <row r="274" spans="19:22" x14ac:dyDescent="0.45">
      <c r="S274" t="s">
        <v>147</v>
      </c>
      <c r="T274" t="s">
        <v>235</v>
      </c>
      <c r="U274">
        <v>1.7491676228502222E-2</v>
      </c>
      <c r="V274" t="s">
        <v>84</v>
      </c>
    </row>
    <row r="275" spans="19:22" x14ac:dyDescent="0.45">
      <c r="S275" t="s">
        <v>148</v>
      </c>
      <c r="T275" t="s">
        <v>224</v>
      </c>
      <c r="U275">
        <v>0.12617054340742223</v>
      </c>
      <c r="V275" t="s">
        <v>84</v>
      </c>
    </row>
    <row r="276" spans="19:22" x14ac:dyDescent="0.45">
      <c r="S276" t="s">
        <v>148</v>
      </c>
      <c r="T276" t="s">
        <v>225</v>
      </c>
      <c r="U276">
        <v>0.1263751994102113</v>
      </c>
      <c r="V276" t="s">
        <v>84</v>
      </c>
    </row>
    <row r="277" spans="19:22" x14ac:dyDescent="0.45">
      <c r="S277" t="s">
        <v>148</v>
      </c>
      <c r="T277" t="s">
        <v>226</v>
      </c>
      <c r="U277">
        <v>2.5945998336484786E-2</v>
      </c>
      <c r="V277" t="s">
        <v>84</v>
      </c>
    </row>
    <row r="278" spans="19:22" x14ac:dyDescent="0.45">
      <c r="S278" t="s">
        <v>148</v>
      </c>
      <c r="T278" t="s">
        <v>227</v>
      </c>
      <c r="U278">
        <v>0.10252853611930449</v>
      </c>
      <c r="V278" t="s">
        <v>84</v>
      </c>
    </row>
    <row r="279" spans="19:22" x14ac:dyDescent="0.45">
      <c r="S279" t="s">
        <v>148</v>
      </c>
      <c r="T279" t="s">
        <v>228</v>
      </c>
      <c r="U279">
        <v>9.6183875348006473E-2</v>
      </c>
      <c r="V279" t="s">
        <v>84</v>
      </c>
    </row>
    <row r="280" spans="19:22" x14ac:dyDescent="0.45">
      <c r="S280" t="s">
        <v>148</v>
      </c>
      <c r="T280" t="s">
        <v>229</v>
      </c>
      <c r="U280">
        <v>1.8909081629865737E-2</v>
      </c>
      <c r="V280" t="s">
        <v>84</v>
      </c>
    </row>
    <row r="281" spans="19:22" x14ac:dyDescent="0.45">
      <c r="S281" t="s">
        <v>148</v>
      </c>
      <c r="T281" t="s">
        <v>230</v>
      </c>
      <c r="U281">
        <v>0.12840401264955414</v>
      </c>
      <c r="V281" t="s">
        <v>84</v>
      </c>
    </row>
    <row r="282" spans="19:22" x14ac:dyDescent="0.45">
      <c r="S282" t="s">
        <v>148</v>
      </c>
      <c r="T282" t="s">
        <v>231</v>
      </c>
      <c r="U282">
        <v>0.12195240483296638</v>
      </c>
      <c r="V282" t="s">
        <v>84</v>
      </c>
    </row>
    <row r="283" spans="19:22" x14ac:dyDescent="0.45">
      <c r="S283" t="s">
        <v>148</v>
      </c>
      <c r="T283" t="s">
        <v>232</v>
      </c>
      <c r="U283">
        <v>2.2223234259536047E-2</v>
      </c>
      <c r="V283" t="s">
        <v>84</v>
      </c>
    </row>
    <row r="284" spans="19:22" x14ac:dyDescent="0.45">
      <c r="S284" t="s">
        <v>148</v>
      </c>
      <c r="T284" t="s">
        <v>233</v>
      </c>
      <c r="U284">
        <v>0.10549334213602923</v>
      </c>
      <c r="V284" t="s">
        <v>84</v>
      </c>
    </row>
    <row r="285" spans="19:22" x14ac:dyDescent="0.45">
      <c r="S285" t="s">
        <v>148</v>
      </c>
      <c r="T285" t="s">
        <v>234</v>
      </c>
      <c r="U285">
        <v>0.10492958152215191</v>
      </c>
      <c r="V285" t="s">
        <v>84</v>
      </c>
    </row>
    <row r="286" spans="19:22" x14ac:dyDescent="0.45">
      <c r="S286" t="s">
        <v>148</v>
      </c>
      <c r="T286" t="s">
        <v>235</v>
      </c>
      <c r="U286">
        <v>2.0884190348464123E-2</v>
      </c>
      <c r="V286" t="s">
        <v>84</v>
      </c>
    </row>
    <row r="287" spans="19:22" x14ac:dyDescent="0.45">
      <c r="S287" t="s">
        <v>149</v>
      </c>
      <c r="T287" t="s">
        <v>224</v>
      </c>
      <c r="U287">
        <v>0.12882894193252725</v>
      </c>
      <c r="V287" t="s">
        <v>84</v>
      </c>
    </row>
    <row r="288" spans="19:22" x14ac:dyDescent="0.45">
      <c r="S288" t="s">
        <v>149</v>
      </c>
      <c r="T288" t="s">
        <v>225</v>
      </c>
      <c r="U288">
        <v>0.13207094895892707</v>
      </c>
      <c r="V288" t="s">
        <v>84</v>
      </c>
    </row>
    <row r="289" spans="19:22" x14ac:dyDescent="0.45">
      <c r="S289" t="s">
        <v>149</v>
      </c>
      <c r="T289" t="s">
        <v>226</v>
      </c>
      <c r="U289">
        <v>2.6329094048233255E-2</v>
      </c>
      <c r="V289" t="s">
        <v>84</v>
      </c>
    </row>
    <row r="290" spans="19:22" x14ac:dyDescent="0.45">
      <c r="S290" t="s">
        <v>149</v>
      </c>
      <c r="T290" t="s">
        <v>227</v>
      </c>
      <c r="U290">
        <v>9.864502205228913E-2</v>
      </c>
      <c r="V290" t="s">
        <v>84</v>
      </c>
    </row>
    <row r="291" spans="19:22" x14ac:dyDescent="0.45">
      <c r="S291" t="s">
        <v>149</v>
      </c>
      <c r="T291" t="s">
        <v>228</v>
      </c>
      <c r="U291">
        <v>9.3520780617070615E-2</v>
      </c>
      <c r="V291" t="s">
        <v>84</v>
      </c>
    </row>
    <row r="292" spans="19:22" x14ac:dyDescent="0.45">
      <c r="S292" t="s">
        <v>149</v>
      </c>
      <c r="T292" t="s">
        <v>229</v>
      </c>
      <c r="U292">
        <v>1.8712653671308213E-2</v>
      </c>
      <c r="V292" t="s">
        <v>84</v>
      </c>
    </row>
    <row r="293" spans="19:22" x14ac:dyDescent="0.45">
      <c r="S293" t="s">
        <v>149</v>
      </c>
      <c r="T293" t="s">
        <v>230</v>
      </c>
      <c r="U293">
        <v>0.12285436253289124</v>
      </c>
      <c r="V293" t="s">
        <v>84</v>
      </c>
    </row>
    <row r="294" spans="19:22" x14ac:dyDescent="0.45">
      <c r="S294" t="s">
        <v>149</v>
      </c>
      <c r="T294" t="s">
        <v>231</v>
      </c>
      <c r="U294">
        <v>0.12343650544769084</v>
      </c>
      <c r="V294" t="s">
        <v>84</v>
      </c>
    </row>
    <row r="295" spans="19:22" x14ac:dyDescent="0.45">
      <c r="S295" t="s">
        <v>149</v>
      </c>
      <c r="T295" t="s">
        <v>232</v>
      </c>
      <c r="U295">
        <v>2.3940226813495811E-2</v>
      </c>
      <c r="V295" t="s">
        <v>84</v>
      </c>
    </row>
    <row r="296" spans="19:22" x14ac:dyDescent="0.45">
      <c r="S296" t="s">
        <v>149</v>
      </c>
      <c r="T296" t="s">
        <v>233</v>
      </c>
      <c r="U296">
        <v>0.10551767238588855</v>
      </c>
      <c r="V296" t="s">
        <v>84</v>
      </c>
    </row>
    <row r="297" spans="19:22" x14ac:dyDescent="0.45">
      <c r="S297" t="s">
        <v>149</v>
      </c>
      <c r="T297" t="s">
        <v>234</v>
      </c>
      <c r="U297">
        <v>0.10488499275757343</v>
      </c>
      <c r="V297" t="s">
        <v>84</v>
      </c>
    </row>
    <row r="298" spans="19:22" x14ac:dyDescent="0.45">
      <c r="S298" t="s">
        <v>149</v>
      </c>
      <c r="T298" t="s">
        <v>235</v>
      </c>
      <c r="U298">
        <v>2.1258798782105248E-2</v>
      </c>
      <c r="V298" t="s">
        <v>84</v>
      </c>
    </row>
    <row r="299" spans="19:22" x14ac:dyDescent="0.45">
      <c r="S299" t="s">
        <v>150</v>
      </c>
      <c r="T299" t="s">
        <v>224</v>
      </c>
      <c r="U299">
        <v>0.10934642865360546</v>
      </c>
      <c r="V299" t="s">
        <v>84</v>
      </c>
    </row>
    <row r="300" spans="19:22" x14ac:dyDescent="0.45">
      <c r="S300" t="s">
        <v>150</v>
      </c>
      <c r="T300" t="s">
        <v>225</v>
      </c>
      <c r="U300">
        <v>0.12906703784140394</v>
      </c>
      <c r="V300" t="s">
        <v>84</v>
      </c>
    </row>
    <row r="301" spans="19:22" x14ac:dyDescent="0.45">
      <c r="S301" t="s">
        <v>150</v>
      </c>
      <c r="T301" t="s">
        <v>226</v>
      </c>
      <c r="U301">
        <v>2.2332851763372283E-2</v>
      </c>
      <c r="V301" t="s">
        <v>84</v>
      </c>
    </row>
    <row r="302" spans="19:22" x14ac:dyDescent="0.45">
      <c r="S302" t="s">
        <v>150</v>
      </c>
      <c r="T302" t="s">
        <v>227</v>
      </c>
      <c r="U302">
        <v>9.7149889651328744E-2</v>
      </c>
      <c r="V302" t="s">
        <v>84</v>
      </c>
    </row>
    <row r="303" spans="19:22" x14ac:dyDescent="0.45">
      <c r="S303" t="s">
        <v>150</v>
      </c>
      <c r="T303" t="s">
        <v>228</v>
      </c>
      <c r="U303">
        <v>0.10621399098962876</v>
      </c>
      <c r="V303" t="s">
        <v>84</v>
      </c>
    </row>
    <row r="304" spans="19:22" x14ac:dyDescent="0.45">
      <c r="S304" t="s">
        <v>150</v>
      </c>
      <c r="T304" t="s">
        <v>229</v>
      </c>
      <c r="U304">
        <v>1.8853135690863422E-2</v>
      </c>
      <c r="V304" t="s">
        <v>84</v>
      </c>
    </row>
    <row r="305" spans="19:22" x14ac:dyDescent="0.45">
      <c r="S305" t="s">
        <v>150</v>
      </c>
      <c r="T305" t="s">
        <v>230</v>
      </c>
      <c r="U305">
        <v>0.11957063822316191</v>
      </c>
      <c r="V305" t="s">
        <v>84</v>
      </c>
    </row>
    <row r="306" spans="19:22" x14ac:dyDescent="0.45">
      <c r="S306" t="s">
        <v>150</v>
      </c>
      <c r="T306" t="s">
        <v>231</v>
      </c>
      <c r="U306">
        <v>0.12934833355648881</v>
      </c>
      <c r="V306" t="s">
        <v>84</v>
      </c>
    </row>
    <row r="307" spans="19:22" x14ac:dyDescent="0.45">
      <c r="S307" t="s">
        <v>150</v>
      </c>
      <c r="T307" t="s">
        <v>232</v>
      </c>
      <c r="U307">
        <v>2.2601765932593398E-2</v>
      </c>
      <c r="V307" t="s">
        <v>84</v>
      </c>
    </row>
    <row r="308" spans="19:22" x14ac:dyDescent="0.45">
      <c r="S308" t="s">
        <v>150</v>
      </c>
      <c r="T308" t="s">
        <v>233</v>
      </c>
      <c r="U308">
        <v>0.10949521022487475</v>
      </c>
      <c r="V308" t="s">
        <v>84</v>
      </c>
    </row>
    <row r="309" spans="19:22" x14ac:dyDescent="0.45">
      <c r="S309" t="s">
        <v>150</v>
      </c>
      <c r="T309" t="s">
        <v>234</v>
      </c>
      <c r="U309">
        <v>0.11384057483176378</v>
      </c>
      <c r="V309" t="s">
        <v>84</v>
      </c>
    </row>
    <row r="310" spans="19:22" x14ac:dyDescent="0.45">
      <c r="S310" t="s">
        <v>150</v>
      </c>
      <c r="T310" t="s">
        <v>235</v>
      </c>
      <c r="U310">
        <v>2.2180142640913839E-2</v>
      </c>
      <c r="V310" t="s">
        <v>84</v>
      </c>
    </row>
    <row r="311" spans="19:22" x14ac:dyDescent="0.45">
      <c r="S311" t="s">
        <v>151</v>
      </c>
      <c r="T311" t="s">
        <v>224</v>
      </c>
      <c r="U311">
        <v>0.1054496799299806</v>
      </c>
      <c r="V311" t="s">
        <v>84</v>
      </c>
    </row>
    <row r="312" spans="19:22" x14ac:dyDescent="0.45">
      <c r="S312" t="s">
        <v>151</v>
      </c>
      <c r="T312" t="s">
        <v>225</v>
      </c>
      <c r="U312">
        <v>0.12926907665100112</v>
      </c>
      <c r="V312" t="s">
        <v>84</v>
      </c>
    </row>
    <row r="313" spans="19:22" x14ac:dyDescent="0.45">
      <c r="S313" t="s">
        <v>151</v>
      </c>
      <c r="T313" t="s">
        <v>226</v>
      </c>
      <c r="U313">
        <v>2.4096593871932265E-2</v>
      </c>
      <c r="V313" t="s">
        <v>84</v>
      </c>
    </row>
    <row r="314" spans="19:22" x14ac:dyDescent="0.45">
      <c r="S314" t="s">
        <v>151</v>
      </c>
      <c r="T314" t="s">
        <v>227</v>
      </c>
      <c r="U314">
        <v>9.5892776870824273E-2</v>
      </c>
      <c r="V314" t="s">
        <v>84</v>
      </c>
    </row>
    <row r="315" spans="19:22" x14ac:dyDescent="0.45">
      <c r="S315" t="s">
        <v>151</v>
      </c>
      <c r="T315" t="s">
        <v>228</v>
      </c>
      <c r="U315">
        <v>0.10858676542395425</v>
      </c>
      <c r="V315" t="s">
        <v>84</v>
      </c>
    </row>
    <row r="316" spans="19:22" x14ac:dyDescent="0.45">
      <c r="S316" t="s">
        <v>151</v>
      </c>
      <c r="T316" t="s">
        <v>229</v>
      </c>
      <c r="U316">
        <v>2.029586243227292E-2</v>
      </c>
      <c r="V316" t="s">
        <v>84</v>
      </c>
    </row>
    <row r="317" spans="19:22" x14ac:dyDescent="0.45">
      <c r="S317" t="s">
        <v>151</v>
      </c>
      <c r="T317" t="s">
        <v>230</v>
      </c>
      <c r="U317">
        <v>0.12072524680229703</v>
      </c>
      <c r="V317" t="s">
        <v>84</v>
      </c>
    </row>
    <row r="318" spans="19:22" x14ac:dyDescent="0.45">
      <c r="S318" t="s">
        <v>151</v>
      </c>
      <c r="T318" t="s">
        <v>231</v>
      </c>
      <c r="U318">
        <v>0.1312983423168281</v>
      </c>
      <c r="V318" t="s">
        <v>84</v>
      </c>
    </row>
    <row r="319" spans="19:22" x14ac:dyDescent="0.45">
      <c r="S319" t="s">
        <v>151</v>
      </c>
      <c r="T319" t="s">
        <v>232</v>
      </c>
      <c r="U319">
        <v>2.4022920954296704E-2</v>
      </c>
      <c r="V319" t="s">
        <v>84</v>
      </c>
    </row>
    <row r="320" spans="19:22" x14ac:dyDescent="0.45">
      <c r="S320" t="s">
        <v>151</v>
      </c>
      <c r="T320" t="s">
        <v>233</v>
      </c>
      <c r="U320">
        <v>0.1039632014312722</v>
      </c>
      <c r="V320" t="s">
        <v>84</v>
      </c>
    </row>
    <row r="321" spans="19:22" x14ac:dyDescent="0.45">
      <c r="S321" t="s">
        <v>151</v>
      </c>
      <c r="T321" t="s">
        <v>234</v>
      </c>
      <c r="U321">
        <v>0.11272214068114883</v>
      </c>
      <c r="V321" t="s">
        <v>84</v>
      </c>
    </row>
    <row r="322" spans="19:22" x14ac:dyDescent="0.45">
      <c r="S322" t="s">
        <v>151</v>
      </c>
      <c r="T322" t="s">
        <v>235</v>
      </c>
      <c r="U322">
        <v>2.367739263419336E-2</v>
      </c>
      <c r="V322" t="s">
        <v>84</v>
      </c>
    </row>
    <row r="323" spans="19:22" x14ac:dyDescent="0.45">
      <c r="S323" t="s">
        <v>152</v>
      </c>
      <c r="T323" t="s">
        <v>224</v>
      </c>
      <c r="U323">
        <v>0.12448536922453196</v>
      </c>
      <c r="V323" t="s">
        <v>84</v>
      </c>
    </row>
    <row r="324" spans="19:22" x14ac:dyDescent="0.45">
      <c r="S324" t="s">
        <v>152</v>
      </c>
      <c r="T324" t="s">
        <v>225</v>
      </c>
      <c r="U324">
        <v>0.11351604290456345</v>
      </c>
      <c r="V324" t="s">
        <v>84</v>
      </c>
    </row>
    <row r="325" spans="19:22" x14ac:dyDescent="0.45">
      <c r="S325" t="s">
        <v>152</v>
      </c>
      <c r="T325" t="s">
        <v>226</v>
      </c>
      <c r="U325">
        <v>2.314777885919065E-2</v>
      </c>
      <c r="V325" t="s">
        <v>84</v>
      </c>
    </row>
    <row r="326" spans="19:22" x14ac:dyDescent="0.45">
      <c r="S326" t="s">
        <v>152</v>
      </c>
      <c r="T326" t="s">
        <v>227</v>
      </c>
      <c r="U326">
        <v>0.10743356419581157</v>
      </c>
      <c r="V326" t="s">
        <v>84</v>
      </c>
    </row>
    <row r="327" spans="19:22" x14ac:dyDescent="0.45">
      <c r="S327" t="s">
        <v>152</v>
      </c>
      <c r="T327" t="s">
        <v>228</v>
      </c>
      <c r="U327">
        <v>0.11027689919106591</v>
      </c>
      <c r="V327" t="s">
        <v>84</v>
      </c>
    </row>
    <row r="328" spans="19:22" x14ac:dyDescent="0.45">
      <c r="S328" t="s">
        <v>152</v>
      </c>
      <c r="T328" t="s">
        <v>229</v>
      </c>
      <c r="U328">
        <v>2.0402760120059996E-2</v>
      </c>
      <c r="V328" t="s">
        <v>84</v>
      </c>
    </row>
    <row r="329" spans="19:22" x14ac:dyDescent="0.45">
      <c r="S329" t="s">
        <v>152</v>
      </c>
      <c r="T329" t="s">
        <v>230</v>
      </c>
      <c r="U329">
        <v>0.12328106157560799</v>
      </c>
      <c r="V329" t="s">
        <v>84</v>
      </c>
    </row>
    <row r="330" spans="19:22" x14ac:dyDescent="0.45">
      <c r="S330" t="s">
        <v>152</v>
      </c>
      <c r="T330" t="s">
        <v>231</v>
      </c>
      <c r="U330">
        <v>0.12461965990300593</v>
      </c>
      <c r="V330" t="s">
        <v>84</v>
      </c>
    </row>
    <row r="331" spans="19:22" x14ac:dyDescent="0.45">
      <c r="S331" t="s">
        <v>152</v>
      </c>
      <c r="T331" t="s">
        <v>232</v>
      </c>
      <c r="U331">
        <v>2.2606686170476776E-2</v>
      </c>
      <c r="V331" t="s">
        <v>84</v>
      </c>
    </row>
    <row r="332" spans="19:22" x14ac:dyDescent="0.45">
      <c r="S332" t="s">
        <v>152</v>
      </c>
      <c r="T332" t="s">
        <v>233</v>
      </c>
      <c r="U332">
        <v>0.10782118842021329</v>
      </c>
      <c r="V332" t="s">
        <v>84</v>
      </c>
    </row>
    <row r="333" spans="19:22" x14ac:dyDescent="0.45">
      <c r="S333" t="s">
        <v>152</v>
      </c>
      <c r="T333" t="s">
        <v>234</v>
      </c>
      <c r="U333">
        <v>0.10176823351235954</v>
      </c>
      <c r="V333" t="s">
        <v>84</v>
      </c>
    </row>
    <row r="334" spans="19:22" x14ac:dyDescent="0.45">
      <c r="S334" t="s">
        <v>152</v>
      </c>
      <c r="T334" t="s">
        <v>235</v>
      </c>
      <c r="U334">
        <v>2.0640755923110429E-2</v>
      </c>
      <c r="V334" t="s">
        <v>84</v>
      </c>
    </row>
    <row r="335" spans="19:22" x14ac:dyDescent="0.45">
      <c r="S335" t="s">
        <v>153</v>
      </c>
      <c r="T335" t="s">
        <v>224</v>
      </c>
      <c r="U335">
        <v>0.11763431210609618</v>
      </c>
      <c r="V335" t="s">
        <v>84</v>
      </c>
    </row>
    <row r="336" spans="19:22" x14ac:dyDescent="0.45">
      <c r="S336" t="s">
        <v>153</v>
      </c>
      <c r="T336" t="s">
        <v>225</v>
      </c>
      <c r="U336">
        <v>0.1203234673977573</v>
      </c>
      <c r="V336" t="s">
        <v>84</v>
      </c>
    </row>
    <row r="337" spans="19:22" x14ac:dyDescent="0.45">
      <c r="S337" t="s">
        <v>153</v>
      </c>
      <c r="T337" t="s">
        <v>226</v>
      </c>
      <c r="U337">
        <v>2.447745299790317E-2</v>
      </c>
      <c r="V337" t="s">
        <v>84</v>
      </c>
    </row>
    <row r="338" spans="19:22" x14ac:dyDescent="0.45">
      <c r="S338" t="s">
        <v>153</v>
      </c>
      <c r="T338" t="s">
        <v>227</v>
      </c>
      <c r="U338">
        <v>0.10987794175253715</v>
      </c>
      <c r="V338" t="s">
        <v>84</v>
      </c>
    </row>
    <row r="339" spans="19:22" x14ac:dyDescent="0.45">
      <c r="S339" t="s">
        <v>153</v>
      </c>
      <c r="T339" t="s">
        <v>228</v>
      </c>
      <c r="U339">
        <v>0.11341509891042538</v>
      </c>
      <c r="V339" t="s">
        <v>84</v>
      </c>
    </row>
    <row r="340" spans="19:22" x14ac:dyDescent="0.45">
      <c r="S340" t="s">
        <v>153</v>
      </c>
      <c r="T340" t="s">
        <v>229</v>
      </c>
      <c r="U340">
        <v>2.1576870622846321E-2</v>
      </c>
      <c r="V340" t="s">
        <v>84</v>
      </c>
    </row>
    <row r="341" spans="19:22" x14ac:dyDescent="0.45">
      <c r="S341" t="s">
        <v>153</v>
      </c>
      <c r="T341" t="s">
        <v>230</v>
      </c>
      <c r="U341">
        <v>0.12178213844281963</v>
      </c>
      <c r="V341" t="s">
        <v>84</v>
      </c>
    </row>
    <row r="342" spans="19:22" x14ac:dyDescent="0.45">
      <c r="S342" t="s">
        <v>153</v>
      </c>
      <c r="T342" t="s">
        <v>231</v>
      </c>
      <c r="U342">
        <v>0.12242404469213866</v>
      </c>
      <c r="V342" t="s">
        <v>84</v>
      </c>
    </row>
    <row r="343" spans="19:22" x14ac:dyDescent="0.45">
      <c r="S343" t="s">
        <v>153</v>
      </c>
      <c r="T343" t="s">
        <v>232</v>
      </c>
      <c r="U343">
        <v>2.3454982965141227E-2</v>
      </c>
      <c r="V343" t="s">
        <v>84</v>
      </c>
    </row>
    <row r="344" spans="19:22" x14ac:dyDescent="0.45">
      <c r="S344" t="s">
        <v>153</v>
      </c>
      <c r="T344" t="s">
        <v>233</v>
      </c>
      <c r="U344">
        <v>0.10406043685697461</v>
      </c>
      <c r="V344" t="s">
        <v>84</v>
      </c>
    </row>
    <row r="345" spans="19:22" x14ac:dyDescent="0.45">
      <c r="S345" t="s">
        <v>153</v>
      </c>
      <c r="T345" t="s">
        <v>234</v>
      </c>
      <c r="U345">
        <v>0.10103101436992554</v>
      </c>
      <c r="V345" t="s">
        <v>84</v>
      </c>
    </row>
    <row r="346" spans="19:22" x14ac:dyDescent="0.45">
      <c r="S346" t="s">
        <v>153</v>
      </c>
      <c r="T346" t="s">
        <v>235</v>
      </c>
      <c r="U346">
        <v>1.9942238885436787E-2</v>
      </c>
      <c r="V346" t="s">
        <v>84</v>
      </c>
    </row>
    <row r="347" spans="19:22" x14ac:dyDescent="0.45">
      <c r="S347" t="s">
        <v>154</v>
      </c>
      <c r="T347" t="s">
        <v>224</v>
      </c>
      <c r="U347">
        <v>9.8836166490462382E-2</v>
      </c>
      <c r="V347" t="s">
        <v>84</v>
      </c>
    </row>
    <row r="348" spans="19:22" x14ac:dyDescent="0.45">
      <c r="S348" t="s">
        <v>154</v>
      </c>
      <c r="T348" t="s">
        <v>225</v>
      </c>
      <c r="U348">
        <v>0.12066860219860735</v>
      </c>
      <c r="V348" t="s">
        <v>84</v>
      </c>
    </row>
    <row r="349" spans="19:22" x14ac:dyDescent="0.45">
      <c r="S349" t="s">
        <v>154</v>
      </c>
      <c r="T349" t="s">
        <v>226</v>
      </c>
      <c r="U349">
        <v>1.9469831077335326E-2</v>
      </c>
      <c r="V349" t="s">
        <v>84</v>
      </c>
    </row>
    <row r="350" spans="19:22" x14ac:dyDescent="0.45">
      <c r="S350" t="s">
        <v>154</v>
      </c>
      <c r="T350" t="s">
        <v>227</v>
      </c>
      <c r="U350">
        <v>0.11066616686766956</v>
      </c>
      <c r="V350" t="s">
        <v>84</v>
      </c>
    </row>
    <row r="351" spans="19:22" x14ac:dyDescent="0.45">
      <c r="S351" t="s">
        <v>154</v>
      </c>
      <c r="T351" t="s">
        <v>228</v>
      </c>
      <c r="U351">
        <v>0.11380875152207968</v>
      </c>
      <c r="V351" t="s">
        <v>84</v>
      </c>
    </row>
    <row r="352" spans="19:22" x14ac:dyDescent="0.45">
      <c r="S352" t="s">
        <v>154</v>
      </c>
      <c r="T352" t="s">
        <v>229</v>
      </c>
      <c r="U352">
        <v>1.9635349030859589E-2</v>
      </c>
      <c r="V352" t="s">
        <v>84</v>
      </c>
    </row>
    <row r="353" spans="19:22" x14ac:dyDescent="0.45">
      <c r="S353" t="s">
        <v>154</v>
      </c>
      <c r="T353" t="s">
        <v>230</v>
      </c>
      <c r="U353">
        <v>0.12449081179928249</v>
      </c>
      <c r="V353" t="s">
        <v>84</v>
      </c>
    </row>
    <row r="354" spans="19:22" x14ac:dyDescent="0.45">
      <c r="S354" t="s">
        <v>154</v>
      </c>
      <c r="T354" t="s">
        <v>231</v>
      </c>
      <c r="U354">
        <v>0.1268626086834829</v>
      </c>
      <c r="V354" t="s">
        <v>84</v>
      </c>
    </row>
    <row r="355" spans="19:22" x14ac:dyDescent="0.45">
      <c r="S355" t="s">
        <v>154</v>
      </c>
      <c r="T355" t="s">
        <v>232</v>
      </c>
      <c r="U355">
        <v>2.3089069773450561E-2</v>
      </c>
      <c r="V355" t="s">
        <v>84</v>
      </c>
    </row>
    <row r="356" spans="19:22" x14ac:dyDescent="0.45">
      <c r="S356" t="s">
        <v>154</v>
      </c>
      <c r="T356" t="s">
        <v>233</v>
      </c>
      <c r="U356">
        <v>0.11339871525903476</v>
      </c>
      <c r="V356" t="s">
        <v>84</v>
      </c>
    </row>
    <row r="357" spans="19:22" x14ac:dyDescent="0.45">
      <c r="S357" t="s">
        <v>154</v>
      </c>
      <c r="T357" t="s">
        <v>234</v>
      </c>
      <c r="U357">
        <v>0.10906697221795497</v>
      </c>
      <c r="V357" t="s">
        <v>84</v>
      </c>
    </row>
    <row r="358" spans="19:22" x14ac:dyDescent="0.45">
      <c r="S358" t="s">
        <v>154</v>
      </c>
      <c r="T358" t="s">
        <v>235</v>
      </c>
      <c r="U358">
        <v>2.0006955079779454E-2</v>
      </c>
      <c r="V358" t="s">
        <v>84</v>
      </c>
    </row>
    <row r="359" spans="19:22" x14ac:dyDescent="0.45">
      <c r="S359" t="s">
        <v>155</v>
      </c>
      <c r="T359" t="s">
        <v>224</v>
      </c>
      <c r="U359">
        <v>0.11375978564095607</v>
      </c>
      <c r="V359" t="s">
        <v>84</v>
      </c>
    </row>
    <row r="360" spans="19:22" x14ac:dyDescent="0.45">
      <c r="S360" t="s">
        <v>155</v>
      </c>
      <c r="T360" t="s">
        <v>225</v>
      </c>
      <c r="U360">
        <v>0.12221889818308286</v>
      </c>
      <c r="V360" t="s">
        <v>84</v>
      </c>
    </row>
    <row r="361" spans="19:22" x14ac:dyDescent="0.45">
      <c r="S361" t="s">
        <v>155</v>
      </c>
      <c r="T361" t="s">
        <v>226</v>
      </c>
      <c r="U361">
        <v>2.0083765112268951E-2</v>
      </c>
      <c r="V361" t="s">
        <v>84</v>
      </c>
    </row>
    <row r="362" spans="19:22" x14ac:dyDescent="0.45">
      <c r="S362" t="s">
        <v>155</v>
      </c>
      <c r="T362" t="s">
        <v>227</v>
      </c>
      <c r="U362">
        <v>0.10768378398079843</v>
      </c>
      <c r="V362" t="s">
        <v>84</v>
      </c>
    </row>
    <row r="363" spans="19:22" x14ac:dyDescent="0.45">
      <c r="S363" t="s">
        <v>155</v>
      </c>
      <c r="T363" t="s">
        <v>228</v>
      </c>
      <c r="U363">
        <v>0.11137506327831019</v>
      </c>
      <c r="V363" t="s">
        <v>84</v>
      </c>
    </row>
    <row r="364" spans="19:22" x14ac:dyDescent="0.45">
      <c r="S364" t="s">
        <v>155</v>
      </c>
      <c r="T364" t="s">
        <v>229</v>
      </c>
      <c r="U364">
        <v>1.9053419819596067E-2</v>
      </c>
      <c r="V364" t="s">
        <v>84</v>
      </c>
    </row>
    <row r="365" spans="19:22" x14ac:dyDescent="0.45">
      <c r="S365" t="s">
        <v>155</v>
      </c>
      <c r="T365" t="s">
        <v>230</v>
      </c>
      <c r="U365">
        <v>0.1231603463811822</v>
      </c>
      <c r="V365" t="s">
        <v>84</v>
      </c>
    </row>
    <row r="366" spans="19:22" x14ac:dyDescent="0.45">
      <c r="S366" t="s">
        <v>155</v>
      </c>
      <c r="T366" t="s">
        <v>231</v>
      </c>
      <c r="U366">
        <v>0.12829246465487545</v>
      </c>
      <c r="V366" t="s">
        <v>84</v>
      </c>
    </row>
    <row r="367" spans="19:22" x14ac:dyDescent="0.45">
      <c r="S367" t="s">
        <v>155</v>
      </c>
      <c r="T367" t="s">
        <v>232</v>
      </c>
      <c r="U367">
        <v>2.2807034991517577E-2</v>
      </c>
      <c r="V367" t="s">
        <v>84</v>
      </c>
    </row>
    <row r="368" spans="19:22" x14ac:dyDescent="0.45">
      <c r="S368" t="s">
        <v>155</v>
      </c>
      <c r="T368" t="s">
        <v>233</v>
      </c>
      <c r="U368">
        <v>0.10648821446666115</v>
      </c>
      <c r="V368" t="s">
        <v>84</v>
      </c>
    </row>
    <row r="369" spans="19:22" x14ac:dyDescent="0.45">
      <c r="S369" t="s">
        <v>155</v>
      </c>
      <c r="T369" t="s">
        <v>234</v>
      </c>
      <c r="U369">
        <v>0.1061659390361611</v>
      </c>
      <c r="V369" t="s">
        <v>84</v>
      </c>
    </row>
    <row r="370" spans="19:22" x14ac:dyDescent="0.45">
      <c r="S370" t="s">
        <v>155</v>
      </c>
      <c r="T370" t="s">
        <v>235</v>
      </c>
      <c r="U370">
        <v>1.8911284454586497E-2</v>
      </c>
      <c r="V370" t="s">
        <v>84</v>
      </c>
    </row>
    <row r="371" spans="19:22" x14ac:dyDescent="0.45">
      <c r="S371" t="s">
        <v>156</v>
      </c>
      <c r="T371" t="s">
        <v>224</v>
      </c>
      <c r="U371">
        <v>0.12410705123386702</v>
      </c>
      <c r="V371" t="s">
        <v>84</v>
      </c>
    </row>
    <row r="372" spans="19:22" x14ac:dyDescent="0.45">
      <c r="S372" t="s">
        <v>156</v>
      </c>
      <c r="T372" t="s">
        <v>225</v>
      </c>
      <c r="U372">
        <v>0.12944192455092618</v>
      </c>
      <c r="V372" t="s">
        <v>84</v>
      </c>
    </row>
    <row r="373" spans="19:22" x14ac:dyDescent="0.45">
      <c r="S373" t="s">
        <v>156</v>
      </c>
      <c r="T373" t="s">
        <v>226</v>
      </c>
      <c r="U373">
        <v>2.1778649065768162E-2</v>
      </c>
      <c r="V373" t="s">
        <v>84</v>
      </c>
    </row>
    <row r="374" spans="19:22" x14ac:dyDescent="0.45">
      <c r="S374" t="s">
        <v>156</v>
      </c>
      <c r="T374" t="s">
        <v>227</v>
      </c>
      <c r="U374">
        <v>0.10352260452379709</v>
      </c>
      <c r="V374" t="s">
        <v>84</v>
      </c>
    </row>
    <row r="375" spans="19:22" x14ac:dyDescent="0.45">
      <c r="S375" t="s">
        <v>156</v>
      </c>
      <c r="T375" t="s">
        <v>228</v>
      </c>
      <c r="U375">
        <v>0.10413240206888788</v>
      </c>
      <c r="V375" t="s">
        <v>84</v>
      </c>
    </row>
    <row r="376" spans="19:22" x14ac:dyDescent="0.45">
      <c r="S376" t="s">
        <v>156</v>
      </c>
      <c r="T376" t="s">
        <v>229</v>
      </c>
      <c r="U376">
        <v>1.9582539810636894E-2</v>
      </c>
      <c r="V376" t="s">
        <v>84</v>
      </c>
    </row>
    <row r="377" spans="19:22" x14ac:dyDescent="0.45">
      <c r="S377" t="s">
        <v>156</v>
      </c>
      <c r="T377" t="s">
        <v>230</v>
      </c>
      <c r="U377">
        <v>0.1274397380955464</v>
      </c>
      <c r="V377" t="s">
        <v>84</v>
      </c>
    </row>
    <row r="378" spans="19:22" x14ac:dyDescent="0.45">
      <c r="S378" t="s">
        <v>156</v>
      </c>
      <c r="T378" t="s">
        <v>231</v>
      </c>
      <c r="U378">
        <v>0.12943128057264744</v>
      </c>
      <c r="V378" t="s">
        <v>84</v>
      </c>
    </row>
    <row r="379" spans="19:22" x14ac:dyDescent="0.45">
      <c r="S379" t="s">
        <v>156</v>
      </c>
      <c r="T379" t="s">
        <v>232</v>
      </c>
      <c r="U379">
        <v>2.2665736868761648E-2</v>
      </c>
      <c r="V379" t="s">
        <v>84</v>
      </c>
    </row>
    <row r="380" spans="19:22" x14ac:dyDescent="0.45">
      <c r="S380" t="s">
        <v>156</v>
      </c>
      <c r="T380" t="s">
        <v>233</v>
      </c>
      <c r="U380">
        <v>9.4991087532311974E-2</v>
      </c>
      <c r="V380" t="s">
        <v>84</v>
      </c>
    </row>
    <row r="381" spans="19:22" x14ac:dyDescent="0.45">
      <c r="S381" t="s">
        <v>156</v>
      </c>
      <c r="T381" t="s">
        <v>234</v>
      </c>
      <c r="U381">
        <v>0.10401307087588325</v>
      </c>
      <c r="V381" t="s">
        <v>84</v>
      </c>
    </row>
    <row r="382" spans="19:22" x14ac:dyDescent="0.45">
      <c r="S382" t="s">
        <v>156</v>
      </c>
      <c r="T382" t="s">
        <v>235</v>
      </c>
      <c r="U382">
        <v>1.889391480096313E-2</v>
      </c>
      <c r="V382" t="s">
        <v>84</v>
      </c>
    </row>
    <row r="383" spans="19:22" x14ac:dyDescent="0.45">
      <c r="S383" t="s">
        <v>157</v>
      </c>
      <c r="T383" t="s">
        <v>224</v>
      </c>
      <c r="U383">
        <v>0.13787935340451626</v>
      </c>
      <c r="V383" t="s">
        <v>84</v>
      </c>
    </row>
    <row r="384" spans="19:22" x14ac:dyDescent="0.45">
      <c r="S384" t="s">
        <v>157</v>
      </c>
      <c r="T384" t="s">
        <v>225</v>
      </c>
      <c r="U384">
        <v>0.13532130613941329</v>
      </c>
      <c r="V384" t="s">
        <v>84</v>
      </c>
    </row>
    <row r="385" spans="19:22" x14ac:dyDescent="0.45">
      <c r="S385" t="s">
        <v>157</v>
      </c>
      <c r="T385" t="s">
        <v>226</v>
      </c>
      <c r="U385">
        <v>2.7659005594295728E-2</v>
      </c>
      <c r="V385" t="s">
        <v>84</v>
      </c>
    </row>
    <row r="386" spans="19:22" x14ac:dyDescent="0.45">
      <c r="S386" t="s">
        <v>157</v>
      </c>
      <c r="T386" t="s">
        <v>227</v>
      </c>
      <c r="U386">
        <v>9.6566794836813477E-2</v>
      </c>
      <c r="V386" t="s">
        <v>84</v>
      </c>
    </row>
    <row r="387" spans="19:22" x14ac:dyDescent="0.45">
      <c r="S387" t="s">
        <v>157</v>
      </c>
      <c r="T387" t="s">
        <v>228</v>
      </c>
      <c r="U387">
        <v>9.5199974744647142E-2</v>
      </c>
      <c r="V387" t="s">
        <v>84</v>
      </c>
    </row>
    <row r="388" spans="19:22" x14ac:dyDescent="0.45">
      <c r="S388" t="s">
        <v>157</v>
      </c>
      <c r="T388" t="s">
        <v>229</v>
      </c>
      <c r="U388">
        <v>1.846170478855836E-2</v>
      </c>
      <c r="V388" t="s">
        <v>84</v>
      </c>
    </row>
    <row r="389" spans="19:22" x14ac:dyDescent="0.45">
      <c r="S389" t="s">
        <v>157</v>
      </c>
      <c r="T389" t="s">
        <v>230</v>
      </c>
      <c r="U389">
        <v>0.12089493717642846</v>
      </c>
      <c r="V389" t="s">
        <v>84</v>
      </c>
    </row>
    <row r="390" spans="19:22" x14ac:dyDescent="0.45">
      <c r="S390" t="s">
        <v>157</v>
      </c>
      <c r="T390" t="s">
        <v>231</v>
      </c>
      <c r="U390">
        <v>0.12343710110190614</v>
      </c>
      <c r="V390" t="s">
        <v>84</v>
      </c>
    </row>
    <row r="391" spans="19:22" x14ac:dyDescent="0.45">
      <c r="S391" t="s">
        <v>157</v>
      </c>
      <c r="T391" t="s">
        <v>232</v>
      </c>
      <c r="U391">
        <v>2.3009658713639594E-2</v>
      </c>
      <c r="V391" t="s">
        <v>84</v>
      </c>
    </row>
    <row r="392" spans="19:22" x14ac:dyDescent="0.45">
      <c r="S392" t="s">
        <v>157</v>
      </c>
      <c r="T392" t="s">
        <v>233</v>
      </c>
      <c r="U392">
        <v>9.8119292100332683E-2</v>
      </c>
      <c r="V392" t="s">
        <v>84</v>
      </c>
    </row>
    <row r="393" spans="19:22" x14ac:dyDescent="0.45">
      <c r="S393" t="s">
        <v>157</v>
      </c>
      <c r="T393" t="s">
        <v>234</v>
      </c>
      <c r="U393">
        <v>0.10264000684374516</v>
      </c>
      <c r="V393" t="s">
        <v>84</v>
      </c>
    </row>
    <row r="394" spans="19:22" x14ac:dyDescent="0.45">
      <c r="S394" t="s">
        <v>157</v>
      </c>
      <c r="T394" t="s">
        <v>235</v>
      </c>
      <c r="U394">
        <v>2.0810864555702555E-2</v>
      </c>
      <c r="V394" t="s">
        <v>84</v>
      </c>
    </row>
    <row r="395" spans="19:22" x14ac:dyDescent="0.45">
      <c r="S395" t="s">
        <v>158</v>
      </c>
      <c r="T395" t="s">
        <v>224</v>
      </c>
      <c r="U395">
        <v>0.12991707634764427</v>
      </c>
      <c r="V395" t="s">
        <v>84</v>
      </c>
    </row>
    <row r="396" spans="19:22" x14ac:dyDescent="0.45">
      <c r="S396" t="s">
        <v>158</v>
      </c>
      <c r="T396" t="s">
        <v>225</v>
      </c>
      <c r="U396">
        <v>0.12540959269875013</v>
      </c>
      <c r="V396" t="s">
        <v>84</v>
      </c>
    </row>
    <row r="397" spans="19:22" x14ac:dyDescent="0.45">
      <c r="S397" t="s">
        <v>158</v>
      </c>
      <c r="T397" t="s">
        <v>226</v>
      </c>
      <c r="U397">
        <v>2.39722436118989E-2</v>
      </c>
      <c r="V397" t="s">
        <v>84</v>
      </c>
    </row>
    <row r="398" spans="19:22" x14ac:dyDescent="0.45">
      <c r="S398" t="s">
        <v>158</v>
      </c>
      <c r="T398" t="s">
        <v>227</v>
      </c>
      <c r="U398">
        <v>0.10539268647178159</v>
      </c>
      <c r="V398" t="s">
        <v>84</v>
      </c>
    </row>
    <row r="399" spans="19:22" x14ac:dyDescent="0.45">
      <c r="S399" t="s">
        <v>158</v>
      </c>
      <c r="T399" t="s">
        <v>228</v>
      </c>
      <c r="U399">
        <v>0.10458537913397814</v>
      </c>
      <c r="V399" t="s">
        <v>84</v>
      </c>
    </row>
    <row r="400" spans="19:22" x14ac:dyDescent="0.45">
      <c r="S400" t="s">
        <v>158</v>
      </c>
      <c r="T400" t="s">
        <v>229</v>
      </c>
      <c r="U400">
        <v>2.0120261229496381E-2</v>
      </c>
      <c r="V400" t="s">
        <v>84</v>
      </c>
    </row>
    <row r="401" spans="19:22" x14ac:dyDescent="0.45">
      <c r="S401" t="s">
        <v>158</v>
      </c>
      <c r="T401" t="s">
        <v>230</v>
      </c>
      <c r="U401">
        <v>0.11396276265193385</v>
      </c>
      <c r="V401" t="s">
        <v>84</v>
      </c>
    </row>
    <row r="402" spans="19:22" x14ac:dyDescent="0.45">
      <c r="S402" t="s">
        <v>158</v>
      </c>
      <c r="T402" t="s">
        <v>231</v>
      </c>
      <c r="U402">
        <v>0.11701108862156309</v>
      </c>
      <c r="V402" t="s">
        <v>84</v>
      </c>
    </row>
    <row r="403" spans="19:22" x14ac:dyDescent="0.45">
      <c r="S403" t="s">
        <v>158</v>
      </c>
      <c r="T403" t="s">
        <v>232</v>
      </c>
      <c r="U403">
        <v>2.0812851671103486E-2</v>
      </c>
      <c r="V403" t="s">
        <v>84</v>
      </c>
    </row>
    <row r="404" spans="19:22" x14ac:dyDescent="0.45">
      <c r="S404" t="s">
        <v>158</v>
      </c>
      <c r="T404" t="s">
        <v>233</v>
      </c>
      <c r="U404">
        <v>0.10807638094363586</v>
      </c>
      <c r="V404" t="s">
        <v>84</v>
      </c>
    </row>
    <row r="405" spans="19:22" x14ac:dyDescent="0.45">
      <c r="S405" t="s">
        <v>158</v>
      </c>
      <c r="T405" t="s">
        <v>234</v>
      </c>
      <c r="U405">
        <v>0.10882604918140559</v>
      </c>
      <c r="V405" t="s">
        <v>84</v>
      </c>
    </row>
    <row r="406" spans="19:22" x14ac:dyDescent="0.45">
      <c r="S406" t="s">
        <v>158</v>
      </c>
      <c r="T406" t="s">
        <v>235</v>
      </c>
      <c r="U406">
        <v>2.1913627436802904E-2</v>
      </c>
      <c r="V406" t="s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kea-tui</vt:lpstr>
      <vt:lpstr>car demand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2025-12-03T06:16:36Z</dcterms:modified>
</cp:coreProperties>
</file>