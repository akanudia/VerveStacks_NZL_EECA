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ED54EE4-F3B5-4902-B9AD-5CDD96F5236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grids" sheetId="5" r:id="rId1"/>
    <sheet name="VS-EECA links" sheetId="6" r:id="rId2"/>
    <sheet name="Veda" sheetId="1" r:id="rId3"/>
    <sheet name="buildrates" sheetId="4" r:id="rId4"/>
    <sheet name="historical_data_long" sheetId="3" r:id="rId5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6" l="1"/>
  <c r="U35" i="6"/>
  <c r="U36" i="6"/>
  <c r="U37" i="6"/>
  <c r="U38" i="6"/>
  <c r="U39" i="6"/>
  <c r="U40" i="6"/>
  <c r="U41" i="6"/>
  <c r="U42" i="6"/>
  <c r="U43" i="6"/>
  <c r="U44" i="6"/>
  <c r="U45" i="6"/>
  <c r="U47" i="6"/>
  <c r="U48" i="6"/>
  <c r="U49" i="6"/>
  <c r="U50" i="6"/>
  <c r="U51" i="6"/>
  <c r="U52" i="6"/>
  <c r="U53" i="6"/>
  <c r="U54" i="6"/>
  <c r="R54" i="6"/>
  <c r="Q54" i="6"/>
  <c r="R53" i="6"/>
  <c r="Q53" i="6"/>
  <c r="R52" i="6"/>
  <c r="Q52" i="6"/>
  <c r="R51" i="6"/>
  <c r="Q51" i="6"/>
  <c r="R50" i="6"/>
  <c r="Q50" i="6"/>
  <c r="R49" i="6"/>
  <c r="Q49" i="6"/>
  <c r="R48" i="6"/>
  <c r="Q48" i="6"/>
  <c r="R47" i="6"/>
  <c r="Q47" i="6"/>
  <c r="R46" i="6"/>
  <c r="Q46" i="6"/>
  <c r="R45" i="6"/>
  <c r="Q45" i="6"/>
  <c r="R44" i="6"/>
  <c r="Q44" i="6"/>
  <c r="R43" i="6"/>
  <c r="Q43" i="6"/>
  <c r="R42" i="6"/>
  <c r="Q42" i="6"/>
  <c r="R41" i="6"/>
  <c r="Q41" i="6"/>
  <c r="R40" i="6"/>
  <c r="Q40" i="6"/>
  <c r="R39" i="6"/>
  <c r="Q39" i="6"/>
  <c r="R38" i="6"/>
  <c r="Q38" i="6"/>
  <c r="R37" i="6"/>
  <c r="Q37" i="6"/>
  <c r="R36" i="6"/>
  <c r="Q36" i="6"/>
  <c r="R35" i="6"/>
  <c r="Q35" i="6"/>
  <c r="R34" i="6"/>
  <c r="Q34" i="6"/>
  <c r="R33" i="6"/>
  <c r="Q33" i="6"/>
  <c r="N47" i="6"/>
  <c r="N48" i="6"/>
  <c r="N49" i="6"/>
  <c r="N50" i="6"/>
  <c r="N51" i="6"/>
  <c r="N52" i="6"/>
  <c r="N53" i="6"/>
  <c r="N54" i="6"/>
  <c r="N34" i="6"/>
  <c r="N35" i="6"/>
  <c r="N36" i="6"/>
  <c r="N37" i="6"/>
  <c r="N38" i="6"/>
  <c r="N39" i="6"/>
  <c r="N40" i="6"/>
  <c r="N41" i="6"/>
  <c r="N42" i="6"/>
  <c r="N43" i="6"/>
  <c r="N44" i="6"/>
  <c r="N45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33" i="6"/>
  <c r="F34" i="6"/>
  <c r="F35" i="6"/>
  <c r="F36" i="6"/>
  <c r="F37" i="6"/>
  <c r="F38" i="6"/>
  <c r="F39" i="6"/>
  <c r="F40" i="6"/>
  <c r="F41" i="6"/>
  <c r="F42" i="6"/>
  <c r="F43" i="6"/>
  <c r="F44" i="6"/>
  <c r="F45" i="6"/>
  <c r="F47" i="6"/>
  <c r="F48" i="6"/>
  <c r="F49" i="6"/>
  <c r="F50" i="6"/>
  <c r="F51" i="6"/>
  <c r="F52" i="6"/>
  <c r="F53" i="6"/>
  <c r="F54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33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H29" i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<sst xmlns="http://schemas.openxmlformats.org/spreadsheetml/2006/main" count="3900" uniqueCount="759">
  <si>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</si>
  <si>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</si>
  <si>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</si>
  <si>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</si>
  <si>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</si>
  <si>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</si>
  <si>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</si>
  <si>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</si>
  <si>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</si>
  <si>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</si>
  <si>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</si>
  <si>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</si>
  <si>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</si>
  <si>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</si>
  <si>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</si>
  <si>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</si>
  <si>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</si>
  <si>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</si>
  <si>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</si>
  <si>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</si>
  <si>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</si>
  <si>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</si>
  <si>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</si>
  <si>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</si>
  <si>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</si>
  <si>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</si>
  <si>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</si>
  <si>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</si>
  <si>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</si>
  <si>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</si>
  <si>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</si>
  <si>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</si>
  <si>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</si>
  <si>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</si>
  <si>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</si>
  <si>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</si>
  <si>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</si>
  <si>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</si>
  <si>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</si>
  <si>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</si>
  <si>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</si>
  <si>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</si>
  <si>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</si>
  <si>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</si>
  <si>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</si>
  <si>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</si>
  <si>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</si>
  <si>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</si>
  <si>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</si>
  <si>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</si>
  <si>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</si>
  <si>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</si>
  <si>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</si>
  <si>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</si>
  <si>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</si>
  <si>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</si>
  <si>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</si>
  <si>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</si>
  <si>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</si>
  <si>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</si>
  <si>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</si>
  <si>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</si>
  <si>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</si>
  <si>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</si>
  <si>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</si>
  <si>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</si>
  <si>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</si>
  <si>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</si>
  <si>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</si>
  <si>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</si>
  <si>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</si>
  <si>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</si>
  <si>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</si>
  <si>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</si>
  <si>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</si>
  <si>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</si>
  <si>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</si>
  <si>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</si>
  <si>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</si>
  <si>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</si>
  <si>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</si>
  <si>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</si>
  <si>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</si>
  <si>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</si>
  <si>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</si>
  <si>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</si>
  <si>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</si>
  <si>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</si>
  <si>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</si>
  <si>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</si>
  <si>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</si>
  <si>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</si>
  <si>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</si>
  <si>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</si>
  <si>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</si>
  <si>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</si>
  <si>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</si>
  <si>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</si>
  <si>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</si>
  <si>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</si>
  <si>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</si>
  <si>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</si>
  <si>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</si>
  <si>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</si>
  <si>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</si>
  <si>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</si>
  <si>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</si>
  <si>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</si>
  <si>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</si>
  <si>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</si>
  <si>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</si>
  <si>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</si>
  <si>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</si>
  <si>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</si>
  <si>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</si>
  <si>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</si>
  <si>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</si>
  <si>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</si>
  <si>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</si>
  <si>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</si>
  <si>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</si>
  <si>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</si>
  <si>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</si>
  <si>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</si>
  <si>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</si>
  <si>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</si>
  <si>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</si>
  <si>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</si>
  <si>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</si>
  <si>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</si>
  <si>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</si>
  <si>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</si>
  <si>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</si>
  <si>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</si>
  <si>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</si>
  <si>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</si>
  <si>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</si>
  <si>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</si>
  <si>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</si>
  <si>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</si>
  <si>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</si>
  <si>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</si>
  <si>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</si>
  <si>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</si>
  <si>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</si>
  <si>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</si>
  <si>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</si>
  <si>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</si>
  <si>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</si>
  <si>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</si>
  <si>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</si>
  <si>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</si>
  <si>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</si>
  <si>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</si>
  <si>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</si>
  <si>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</si>
  <si>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</si>
  <si>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</si>
  <si>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</si>
  <si>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</si>
  <si>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</si>
  <si>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</si>
  <si>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</si>
  <si>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</si>
  <si>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</si>
  <si>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</si>
  <si>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</si>
  <si>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</si>
  <si>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</si>
  <si>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</si>
  <si>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</si>
  <si>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</si>
  <si>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</si>
  <si>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</si>
  <si>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</si>
  <si>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</si>
  <si>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</si>
  <si>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</si>
  <si>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</si>
  <si>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</si>
  <si>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</si>
  <si>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</si>
  <si>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</si>
  <si>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</si>
  <si>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</si>
  <si>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</si>
  <si>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</si>
  <si>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</si>
  <si>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</si>
  <si>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</si>
  <si>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</si>
  <si>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</si>
  <si>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</si>
  <si>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</si>
  <si>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</si>
  <si>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</si>
  <si>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</si>
  <si>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</si>
  <si>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</si>
  <si>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</si>
  <si>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</si>
  <si>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</si>
  <si>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</si>
  <si>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</si>
  <si>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</si>
  <si>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</si>
  <si>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</si>
  <si>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</si>
  <si>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</si>
  <si>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</si>
  <si>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</si>
  <si>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</si>
  <si>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</si>
  <si>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</si>
  <si>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</si>
  <si>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</si>
  <si>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</si>
  <si>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</si>
  <si>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</si>
  <si>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</si>
  <si>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</si>
  <si>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</si>
  <si>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</si>
  <si>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</si>
  <si>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</si>
  <si>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</si>
  <si>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</si>
  <si>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</si>
  <si>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</si>
  <si>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</si>
  <si>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</si>
  <si>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</si>
  <si>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</si>
  <si>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</si>
  <si>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</si>
  <si>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</si>
  <si>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</si>
  <si>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</si>
  <si>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</si>
  <si>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</si>
  <si>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</si>
  <si>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</si>
  <si>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</si>
  <si>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</si>
  <si>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</si>
  <si>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</si>
  <si>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</si>
  <si>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</si>
  <si>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</si>
  <si>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</si>
  <si>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</si>
  <si>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</si>
  <si>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</si>
  <si>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</si>
  <si>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</si>
  <si>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</si>
  <si>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</si>
  <si>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</si>
  <si>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</si>
  <si>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</si>
  <si>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</si>
  <si>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</si>
  <si>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</si>
  <si>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</si>
  <si>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</si>
  <si>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</si>
  <si>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</si>
  <si>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</si>
  <si>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</si>
  <si>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</si>
  <si>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</si>
  <si>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</si>
  <si>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</si>
  <si>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</si>
  <si>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</si>
  <si>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</si>
  <si>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</si>
  <si>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</si>
  <si>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</si>
  <si>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</si>
  <si>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</si>
  <si>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</si>
  <si>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</si>
  <si>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</si>
  <si>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</si>
  <si>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</si>
  <si>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</si>
  <si>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</si>
  <si>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</si>
  <si>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</si>
  <si>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</si>
  <si>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</si>
  <si>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</si>
  <si>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</si>
  <si>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</si>
  <si>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</si>
  <si>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</si>
  <si>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</si>
  <si>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</si>
  <si>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</si>
  <si>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</si>
  <si>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</si>
  <si>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</si>
  <si>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</si>
  <si>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</si>
  <si>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</si>
  <si>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</si>
  <si>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</si>
  <si>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</si>
  <si>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</si>
  <si>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</si>
  <si>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</si>
  <si>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</si>
  <si>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</si>
  <si>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</si>
  <si>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</si>
  <si>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</si>
  <si>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</si>
  <si>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</si>
  <si>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</si>
  <si>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</si>
  <si>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</si>
  <si>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</si>
  <si>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</si>
  <si>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</si>
  <si>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</si>
  <si>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</si>
  <si>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</si>
  <si>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</si>
  <si>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</si>
  <si>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</si>
  <si>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</si>
  <si>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</si>
  <si>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</si>
  <si>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</si>
  <si>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</si>
  <si>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</si>
  <si>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</si>
  <si>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</si>
  <si>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</si>
  <si>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</si>
  <si>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</si>
  <si>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</si>
  <si>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</si>
  <si>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</si>
  <si>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</si>
  <si>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</si>
  <si>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</si>
  <si>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</si>
  <si>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</si>
  <si>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</si>
  <si>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</si>
  <si>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</si>
  <si>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</si>
  <si>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</si>
  <si>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</si>
  <si>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</si>
  <si>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</si>
  <si>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</si>
  <si>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</si>
  <si>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</si>
  <si>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</si>
  <si>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</si>
  <si>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</si>
  <si>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</si>
  <si>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</si>
  <si>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</si>
  <si>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</si>
  <si>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</si>
  <si>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</si>
  <si>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</si>
  <si>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</si>
  <si>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</si>
  <si>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</si>
  <si>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</si>
  <si>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</si>
  <si>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</si>
  <si>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</si>
  <si>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</si>
  <si>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</si>
  <si>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</si>
  <si>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</si>
  <si>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</si>
  <si>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</si>
  <si>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</si>
  <si>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</si>
  <si>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</si>
  <si>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</si>
  <si>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</si>
  <si>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</si>
  <si>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</si>
  <si>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</si>
  <si>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</si>
  <si>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</si>
  <si>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</si>
  <si>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</si>
  <si>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</si>
  <si>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</si>
  <si>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</si>
  <si>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</si>
  <si>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</si>
  <si>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</si>
  <si>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</si>
  <si>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</si>
  <si>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</si>
  <si>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</si>
  <si>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</si>
  <si>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</si>
  <si>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</si>
  <si>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</si>
  <si>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</si>
  <si>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</si>
  <si>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</si>
  <si>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</si>
  <si>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</si>
  <si>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</si>
  <si>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</si>
  <si>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</si>
  <si>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</si>
  <si>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</si>
  <si>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</si>
  <si>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</si>
  <si>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</si>
  <si>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</si>
  <si>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</si>
  <si>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</si>
  <si>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</si>
  <si>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</si>
  <si>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</si>
  <si>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</si>
  <si>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</si>
  <si>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</si>
  <si>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</si>
  <si>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</si>
  <si>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</si>
  <si>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</si>
  <si>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</si>
  <si>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</si>
  <si>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</si>
  <si>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</si>
  <si>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</si>
  <si>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</si>
  <si>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</si>
  <si>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</si>
  <si>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</si>
  <si>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</si>
  <si>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</si>
  <si>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</si>
  <si>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</si>
  <si>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</si>
  <si>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</si>
  <si>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</si>
  <si>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</si>
  <si>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</si>
  <si>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</si>
  <si>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</si>
  <si>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</si>
  <si>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</si>
  <si>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</si>
  <si>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</si>
  <si>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</si>
  <si>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</si>
  <si>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</si>
  <si>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</si>
  <si>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</si>
  <si>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</si>
  <si>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</si>
  <si>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</si>
  <si>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</si>
  <si>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</si>
  <si>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</si>
  <si>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</si>
  <si>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</si>
  <si>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</si>
  <si>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</si>
  <si>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</si>
  <si>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</si>
  <si>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</si>
  <si>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</si>
  <si>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</si>
  <si>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</si>
  <si>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</si>
  <si>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</si>
  <si>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</si>
  <si>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</si>
  <si>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</si>
  <si>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</si>
  <si>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</si>
  <si>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</si>
  <si>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</si>
  <si>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</si>
  <si>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</si>
  <si>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</si>
  <si>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</si>
  <si>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</si>
  <si>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</si>
  <si>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</si>
  <si>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</si>
  <si>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</si>
  <si>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</si>
  <si>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</si>
  <si>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</si>
  <si>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</si>
  <si>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</si>
  <si>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</si>
  <si>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</si>
  <si>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</si>
  <si>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</si>
  <si>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</si>
  <si>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</si>
  <si>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</si>
  <si>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</si>
  <si>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</si>
  <si>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</si>
  <si>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</si>
  <si>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</si>
  <si>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</si>
  <si>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</si>
  <si>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</si>
  <si>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</si>
  <si>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</si>
  <si>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</si>
  <si>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</si>
  <si>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</si>
  <si>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</si>
  <si>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</si>
  <si>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</si>
  <si>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</si>
  <si>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</si>
  <si>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</si>
  <si>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</si>
  <si>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</si>
  <si>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</si>
  <si>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</si>
  <si>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</si>
  <si>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</si>
  <si>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</si>
  <si>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</si>
  <si>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</si>
  <si>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</si>
  <si>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</si>
  <si>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</si>
  <si>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</si>
  <si>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</si>
  <si>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</si>
  <si>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</si>
  <si>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</si>
  <si>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</si>
  <si>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</si>
  <si>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</si>
  <si>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</si>
  <si>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</si>
  <si>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</si>
  <si>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</si>
  <si>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</si>
  <si>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</si>
  <si>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</si>
  <si>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</si>
  <si>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</si>
  <si>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</si>
  <si>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</si>
  <si>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</si>
  <si>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</si>
  <si>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</si>
  <si>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</si>
  <si>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</si>
  <si>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</si>
  <si>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</si>
  <si>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</si>
  <si>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</si>
  <si>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</si>
  <si>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</si>
  <si>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</si>
  <si>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</si>
  <si>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</si>
  <si>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</si>
  <si>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</si>
  <si>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</si>
  <si>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</si>
  <si>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</si>
  <si>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</si>
  <si>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</si>
  <si>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</si>
  <si>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</si>
  <si>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</si>
  <si>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</si>
  <si>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</si>
  <si>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</si>
  <si>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</si>
  <si>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</si>
  <si>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</si>
  <si>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</si>
  <si>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</si>
  <si>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</si>
  <si>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</si>
  <si>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</si>
  <si>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</si>
  <si>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</si>
  <si>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</si>
  <si>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</si>
  <si>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</si>
  <si>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</si>
  <si>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</si>
  <si>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</si>
  <si>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</si>
  <si>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</si>
  <si>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</si>
  <si>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</si>
  <si>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</si>
  <si>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</si>
  <si>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</si>
  <si>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</si>
  <si>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</si>
  <si>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</si>
  <si>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</si>
  <si>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</si>
  <si>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</si>
  <si>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</si>
  <si>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</si>
  <si>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</si>
  <si>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</si>
  <si>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</si>
  <si>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</si>
  <si>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</si>
  <si>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</si>
  <si>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</si>
  <si>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</si>
  <si>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</si>
  <si>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</si>
  <si>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</si>
  <si>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</si>
  <si>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</si>
  <si>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</si>
  <si>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</si>
  <si>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</si>
  <si>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</si>
  <si>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</si>
  <si>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</si>
  <si>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</si>
  <si>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</si>
  <si>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</si>
  <si>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</si>
  <si>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</si>
  <si>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</si>
  <si>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</si>
  <si>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</si>
  <si>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</si>
  <si>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</si>
  <si>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</si>
  <si>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</si>
  <si>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</si>
  <si>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</si>
  <si>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</si>
  <si>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</si>
  <si>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</si>
  <si>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</si>
  <si>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</si>
  <si>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</si>
  <si>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</si>
  <si>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</si>
  <si>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</si>
  <si>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</si>
  <si>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</si>
  <si>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</si>
  <si>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</si>
  <si>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</si>
  <si>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</si>
  <si>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</si>
  <si>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</si>
  <si>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</si>
  <si>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</si>
  <si>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</si>
  <si>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</si>
  <si>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</si>
  <si>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</si>
  <si>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</si>
  <si>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</si>
  <si>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</si>
  <si>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</si>
  <si>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</si>
  <si>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</si>
  <si>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</si>
  <si>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</si>
  <si>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</si>
  <si>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</si>
  <si>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</si>
  <si>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</si>
  <si>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</si>
  <si>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</si>
  <si>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</si>
  <si>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</si>
  <si>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</si>
  <si>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</si>
  <si>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</si>
  <si>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</si>
  <si>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</si>
  <si>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</si>
  <si>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</si>
  <si>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</si>
  <si>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</si>
  <si>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</si>
  <si>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</si>
  <si>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</si>
  <si>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</si>
  <si>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</si>
  <si>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</si>
  <si>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</si>
  <si>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</si>
  <si>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</si>
  <si>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</si>
  <si>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</si>
  <si>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</si>
  <si>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</si>
  <si>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</si>
  <si>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</si>
  <si>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</si>
  <si>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</si>
  <si>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</si>
  <si>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</si>
  <si>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</si>
  <si>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</si>
  <si>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</si>
  <si>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</si>
  <si>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</si>
  <si>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</si>
  <si>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</si>
  <si>
    <t>deact tfm_ins-at</t>
  </si>
  <si>
    <t>bus_id</t>
  </si>
  <si>
    <t>island</t>
  </si>
  <si>
    <t>NI</t>
  </si>
  <si>
    <t>NZ11-220</t>
  </si>
  <si>
    <t>NZ13-220</t>
  </si>
  <si>
    <t>NZ27-220</t>
  </si>
  <si>
    <t>w87928925-220</t>
  </si>
  <si>
    <t>w94053861-220</t>
  </si>
  <si>
    <t>w95344674-220</t>
  </si>
  <si>
    <t>w119877500-220</t>
  </si>
  <si>
    <t>w167285260-220</t>
  </si>
  <si>
    <t>w167285336-220</t>
  </si>
  <si>
    <t>w167300914-220</t>
  </si>
  <si>
    <t>w270022030-220</t>
  </si>
  <si>
    <t>w907631032-220</t>
  </si>
  <si>
    <t>w1167708390-220</t>
  </si>
  <si>
    <t>w1363994055-220</t>
  </si>
  <si>
    <t>w33795353-220</t>
  </si>
  <si>
    <t>w270521928-220</t>
  </si>
  <si>
    <t>w95343089-220</t>
  </si>
  <si>
    <t>w100957314-220</t>
  </si>
  <si>
    <t>w167286837-220</t>
  </si>
  <si>
    <t>w180519027-220</t>
  </si>
  <si>
    <t>w268826084-220</t>
  </si>
  <si>
    <t>w272195826-220</t>
  </si>
  <si>
    <t>RESELC</t>
  </si>
  <si>
    <t>COMELC</t>
  </si>
  <si>
    <t>TRAELC</t>
  </si>
  <si>
    <t>INDELC</t>
  </si>
  <si>
    <t>AGRELC</t>
  </si>
  <si>
    <t>RESELC,COMELC,TRAELC</t>
  </si>
  <si>
    <t>~TFM_INS-TS: attribute=FLO_SHAR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</si>
</sst>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opLeftCell="R1" workbookViewId="0">
      <selection activeCell="AA8" sqref="AA8:AE10"/>
    </sheetView>
  </sheetViews>
  <sheetFormatPr defaultRowHeight="14.25" x14ac:dyDescent="0.45"/>
  <cols>
    <col min="28" max="28" width="13.796875" bestFit="1" customWidth="1"/>
  </cols>
  <sheetData>
    <row r="2" spans="2:42" x14ac:dyDescent="0.45">
      <c r="B2" t="s">
        <v>0</v>
      </c>
      <c r="H2" t="s">
        <v>252</v>
      </c>
      <c r="P2" t="s">
        <v>298</v>
      </c>
      <c r="U2" t="s">
        <v>298</v>
      </c>
    </row>
    <row r="3" spans="2:42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726</v>
      </c>
    </row>
    <row r="4" spans="2:42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571</v>
      </c>
      <c r="AC4" t="s">
        <v>573</v>
      </c>
      <c r="AD4" t="s">
        <v>574</v>
      </c>
      <c r="AE4" t="s">
        <v>575</v>
      </c>
    </row>
    <row r="5" spans="2:42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570</v>
      </c>
      <c r="AB5" t="s">
        <v>572</v>
      </c>
      <c r="AC5">
        <v>2</v>
      </c>
      <c r="AD5">
        <v>0</v>
      </c>
      <c r="AE5" t="s">
        <v>576</v>
      </c>
    </row>
    <row r="6" spans="2:42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42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42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  <c r="AA8" t="s">
        <v>722</v>
      </c>
    </row>
    <row r="9" spans="2:42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  <c r="AA9" t="s">
        <v>311</v>
      </c>
      <c r="AB9" t="s">
        <v>253</v>
      </c>
      <c r="AC9" t="s">
        <v>14</v>
      </c>
      <c r="AD9" t="s">
        <v>38</v>
      </c>
      <c r="AE9" t="s">
        <v>299</v>
      </c>
      <c r="AI9" t="s">
        <v>577</v>
      </c>
      <c r="AJ9" t="s">
        <v>578</v>
      </c>
      <c r="AM9" t="s">
        <v>575</v>
      </c>
      <c r="AN9" t="s">
        <v>594</v>
      </c>
      <c r="AO9" t="s">
        <v>595</v>
      </c>
    </row>
    <row r="10" spans="2:42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  <c r="AA10" t="str">
        <f>AP10</f>
        <v>NI</v>
      </c>
      <c r="AB10" t="str">
        <f>"e"&amp;MID(AM10,2,255)&amp;"-220"</f>
        <v>e_w26671244-220</v>
      </c>
      <c r="AC10" t="s">
        <v>724</v>
      </c>
      <c r="AD10" t="s">
        <v>723</v>
      </c>
      <c r="AE10" t="s">
        <v>301</v>
      </c>
      <c r="AI10" t="s">
        <v>579</v>
      </c>
      <c r="AJ10" t="s">
        <v>580</v>
      </c>
      <c r="AK10" t="s">
        <v>721</v>
      </c>
      <c r="AM10" t="s">
        <v>596</v>
      </c>
      <c r="AN10" t="s">
        <v>597</v>
      </c>
      <c r="AO10" t="s">
        <v>579</v>
      </c>
      <c r="AP10" t="str">
        <f t="shared" ref="AP10:AP41" si="0">IFERROR(VLOOKUP(AO10,$AJ$10:$AK$18,2,FALSE),"NI")</f>
        <v>NI</v>
      </c>
    </row>
    <row r="11" spans="2:42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724</v>
      </c>
      <c r="AD11" t="s">
        <v>723</v>
      </c>
      <c r="AE11" t="s">
        <v>301</v>
      </c>
      <c r="AI11" t="s">
        <v>581</v>
      </c>
      <c r="AJ11" t="s">
        <v>582</v>
      </c>
      <c r="AK11" t="s">
        <v>721</v>
      </c>
      <c r="AM11" t="s">
        <v>598</v>
      </c>
      <c r="AN11" t="s">
        <v>597</v>
      </c>
      <c r="AO11" t="s">
        <v>580</v>
      </c>
      <c r="AP11" t="str">
        <f t="shared" si="0"/>
        <v>SI</v>
      </c>
    </row>
    <row r="12" spans="2:42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  <c r="AA12" t="str">
        <f t="shared" si="1"/>
        <v>NI</v>
      </c>
      <c r="AB12" t="str">
        <f t="shared" si="2"/>
        <v>e_w61455399-220</v>
      </c>
      <c r="AC12" t="s">
        <v>724</v>
      </c>
      <c r="AD12" t="s">
        <v>723</v>
      </c>
      <c r="AE12" t="s">
        <v>301</v>
      </c>
      <c r="AI12" t="s">
        <v>583</v>
      </c>
      <c r="AJ12" t="s">
        <v>584</v>
      </c>
      <c r="AK12" t="s">
        <v>721</v>
      </c>
      <c r="AM12" t="s">
        <v>599</v>
      </c>
      <c r="AN12" t="s">
        <v>597</v>
      </c>
      <c r="AO12" t="s">
        <v>579</v>
      </c>
      <c r="AP12" t="str">
        <f t="shared" si="0"/>
        <v>NI</v>
      </c>
    </row>
    <row r="13" spans="2:42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  <c r="AA13" t="str">
        <f t="shared" si="1"/>
        <v>NI</v>
      </c>
      <c r="AB13" t="str">
        <f t="shared" si="2"/>
        <v>e_w61853727-220</v>
      </c>
      <c r="AC13" t="s">
        <v>724</v>
      </c>
      <c r="AD13" t="s">
        <v>723</v>
      </c>
      <c r="AE13" t="s">
        <v>301</v>
      </c>
      <c r="AI13" t="s">
        <v>585</v>
      </c>
      <c r="AJ13" t="s">
        <v>586</v>
      </c>
      <c r="AK13" t="s">
        <v>721</v>
      </c>
      <c r="AM13" t="s">
        <v>600</v>
      </c>
      <c r="AN13" t="s">
        <v>597</v>
      </c>
      <c r="AO13" t="s">
        <v>579</v>
      </c>
      <c r="AP13" t="str">
        <f t="shared" si="0"/>
        <v>NI</v>
      </c>
    </row>
    <row r="14" spans="2:42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  <c r="AA14" t="str">
        <f t="shared" si="1"/>
        <v>NI</v>
      </c>
      <c r="AB14" t="str">
        <f t="shared" si="2"/>
        <v>e_w75609279-220</v>
      </c>
      <c r="AC14" t="s">
        <v>724</v>
      </c>
      <c r="AD14" t="s">
        <v>723</v>
      </c>
      <c r="AE14" t="s">
        <v>301</v>
      </c>
      <c r="AI14" t="s">
        <v>587</v>
      </c>
      <c r="AJ14" t="s">
        <v>588</v>
      </c>
      <c r="AK14" t="s">
        <v>721</v>
      </c>
      <c r="AM14" t="s">
        <v>601</v>
      </c>
      <c r="AN14" t="s">
        <v>597</v>
      </c>
      <c r="AO14" t="s">
        <v>579</v>
      </c>
      <c r="AP14" t="str">
        <f t="shared" si="0"/>
        <v>NI</v>
      </c>
    </row>
    <row r="15" spans="2:42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  <c r="AA15" t="str">
        <f t="shared" si="1"/>
        <v>NI</v>
      </c>
      <c r="AB15" t="str">
        <f t="shared" si="2"/>
        <v>e_w82881422-220</v>
      </c>
      <c r="AC15" t="s">
        <v>724</v>
      </c>
      <c r="AD15" t="s">
        <v>723</v>
      </c>
      <c r="AE15" t="s">
        <v>301</v>
      </c>
      <c r="AI15" t="s">
        <v>589</v>
      </c>
      <c r="AJ15" t="s">
        <v>590</v>
      </c>
      <c r="AK15" t="s">
        <v>721</v>
      </c>
      <c r="AM15" t="s">
        <v>602</v>
      </c>
      <c r="AN15" t="s">
        <v>597</v>
      </c>
      <c r="AO15" t="s">
        <v>579</v>
      </c>
      <c r="AP15" t="str">
        <f t="shared" si="0"/>
        <v>NI</v>
      </c>
    </row>
    <row r="16" spans="2:42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  <c r="AA16" t="str">
        <f t="shared" si="1"/>
        <v>NI</v>
      </c>
      <c r="AB16" t="str">
        <f t="shared" si="2"/>
        <v>e_w87837416-220</v>
      </c>
      <c r="AC16" t="s">
        <v>724</v>
      </c>
      <c r="AD16" t="s">
        <v>723</v>
      </c>
      <c r="AE16" t="s">
        <v>301</v>
      </c>
      <c r="AI16" t="s">
        <v>591</v>
      </c>
      <c r="AJ16" t="s">
        <v>592</v>
      </c>
      <c r="AK16" t="s">
        <v>721</v>
      </c>
      <c r="AM16" t="s">
        <v>603</v>
      </c>
      <c r="AN16" t="s">
        <v>597</v>
      </c>
      <c r="AO16" t="s">
        <v>581</v>
      </c>
      <c r="AP16" t="str">
        <f t="shared" si="0"/>
        <v>NI</v>
      </c>
    </row>
    <row r="17" spans="2:42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  <c r="AA17" t="str">
        <f t="shared" si="1"/>
        <v>NI</v>
      </c>
      <c r="AB17" t="str">
        <f t="shared" si="2"/>
        <v>e_w87897292-220</v>
      </c>
      <c r="AC17" t="s">
        <v>724</v>
      </c>
      <c r="AD17" t="s">
        <v>723</v>
      </c>
      <c r="AE17" t="s">
        <v>301</v>
      </c>
      <c r="AI17" t="s">
        <v>593</v>
      </c>
      <c r="AM17" t="s">
        <v>604</v>
      </c>
      <c r="AN17" t="s">
        <v>597</v>
      </c>
      <c r="AO17" t="s">
        <v>579</v>
      </c>
      <c r="AP17" t="str">
        <f t="shared" si="0"/>
        <v>NI</v>
      </c>
    </row>
    <row r="18" spans="2:42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  <c r="AA18" t="str">
        <f t="shared" si="1"/>
        <v>NI</v>
      </c>
      <c r="AB18" t="str">
        <f t="shared" si="2"/>
        <v>e_w87928925-220</v>
      </c>
      <c r="AC18" t="s">
        <v>724</v>
      </c>
      <c r="AD18" t="s">
        <v>723</v>
      </c>
      <c r="AE18" t="s">
        <v>301</v>
      </c>
      <c r="AM18" t="s">
        <v>605</v>
      </c>
      <c r="AN18" t="s">
        <v>597</v>
      </c>
      <c r="AO18" t="s">
        <v>581</v>
      </c>
      <c r="AP18" t="str">
        <f t="shared" si="0"/>
        <v>NI</v>
      </c>
    </row>
    <row r="19" spans="2:42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  <c r="AA19" t="str">
        <f t="shared" si="1"/>
        <v>NI</v>
      </c>
      <c r="AB19" t="str">
        <f t="shared" si="2"/>
        <v>e_w89411122-220</v>
      </c>
      <c r="AC19" t="s">
        <v>724</v>
      </c>
      <c r="AD19" t="s">
        <v>723</v>
      </c>
      <c r="AE19" t="s">
        <v>301</v>
      </c>
      <c r="AM19" t="s">
        <v>606</v>
      </c>
      <c r="AN19" t="s">
        <v>597</v>
      </c>
      <c r="AO19" t="s">
        <v>581</v>
      </c>
      <c r="AP19" t="str">
        <f t="shared" si="0"/>
        <v>NI</v>
      </c>
    </row>
    <row r="20" spans="2:42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  <c r="AA20" t="str">
        <f t="shared" si="1"/>
        <v>SI</v>
      </c>
      <c r="AB20" t="str">
        <f t="shared" si="2"/>
        <v>e_w89635947-220</v>
      </c>
      <c r="AC20" t="s">
        <v>724</v>
      </c>
      <c r="AD20" t="s">
        <v>723</v>
      </c>
      <c r="AE20" t="s">
        <v>301</v>
      </c>
      <c r="AM20" t="s">
        <v>607</v>
      </c>
      <c r="AN20" t="s">
        <v>597</v>
      </c>
      <c r="AO20" t="s">
        <v>580</v>
      </c>
      <c r="AP20" t="str">
        <f t="shared" si="0"/>
        <v>SI</v>
      </c>
    </row>
    <row r="21" spans="2:42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  <c r="AA21" t="str">
        <f t="shared" si="1"/>
        <v>SI</v>
      </c>
      <c r="AB21" t="str">
        <f t="shared" si="2"/>
        <v>e_w89636266-220</v>
      </c>
      <c r="AC21" t="s">
        <v>724</v>
      </c>
      <c r="AD21" t="s">
        <v>723</v>
      </c>
      <c r="AE21" t="s">
        <v>301</v>
      </c>
      <c r="AM21" t="s">
        <v>608</v>
      </c>
      <c r="AN21" t="s">
        <v>597</v>
      </c>
      <c r="AO21" t="s">
        <v>580</v>
      </c>
      <c r="AP21" t="str">
        <f t="shared" si="0"/>
        <v>SI</v>
      </c>
    </row>
    <row r="22" spans="2:42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  <c r="AA22" t="str">
        <f t="shared" si="1"/>
        <v>SI</v>
      </c>
      <c r="AB22" t="str">
        <f t="shared" si="2"/>
        <v>e_w89636510-220</v>
      </c>
      <c r="AC22" t="s">
        <v>724</v>
      </c>
      <c r="AD22" t="s">
        <v>723</v>
      </c>
      <c r="AE22" t="s">
        <v>301</v>
      </c>
      <c r="AM22" t="s">
        <v>609</v>
      </c>
      <c r="AN22" t="s">
        <v>597</v>
      </c>
      <c r="AO22" t="s">
        <v>580</v>
      </c>
      <c r="AP22" t="str">
        <f t="shared" si="0"/>
        <v>SI</v>
      </c>
    </row>
    <row r="23" spans="2:42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  <c r="AA23" t="str">
        <f t="shared" si="1"/>
        <v>SI</v>
      </c>
      <c r="AB23" t="str">
        <f t="shared" si="2"/>
        <v>e_w89637173-220</v>
      </c>
      <c r="AC23" t="s">
        <v>724</v>
      </c>
      <c r="AD23" t="s">
        <v>723</v>
      </c>
      <c r="AE23" t="s">
        <v>301</v>
      </c>
      <c r="AM23" t="s">
        <v>610</v>
      </c>
      <c r="AN23" t="s">
        <v>597</v>
      </c>
      <c r="AO23" t="s">
        <v>580</v>
      </c>
      <c r="AP23" t="str">
        <f t="shared" si="0"/>
        <v>SI</v>
      </c>
    </row>
    <row r="24" spans="2:42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  <c r="AA24" t="str">
        <f t="shared" si="1"/>
        <v>SI</v>
      </c>
      <c r="AB24" t="str">
        <f t="shared" si="2"/>
        <v>e_w89637174-220</v>
      </c>
      <c r="AC24" t="s">
        <v>724</v>
      </c>
      <c r="AD24" t="s">
        <v>723</v>
      </c>
      <c r="AE24" t="s">
        <v>301</v>
      </c>
      <c r="AM24" t="s">
        <v>611</v>
      </c>
      <c r="AN24" t="s">
        <v>597</v>
      </c>
      <c r="AO24" t="s">
        <v>580</v>
      </c>
      <c r="AP24" t="str">
        <f t="shared" si="0"/>
        <v>SI</v>
      </c>
    </row>
    <row r="25" spans="2:42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  <c r="AA25" t="str">
        <f t="shared" si="1"/>
        <v>SI</v>
      </c>
      <c r="AB25" t="str">
        <f t="shared" si="2"/>
        <v>e_w89637277-220</v>
      </c>
      <c r="AC25" t="s">
        <v>724</v>
      </c>
      <c r="AD25" t="s">
        <v>723</v>
      </c>
      <c r="AE25" t="s">
        <v>301</v>
      </c>
      <c r="AM25" t="s">
        <v>612</v>
      </c>
      <c r="AN25" t="s">
        <v>597</v>
      </c>
      <c r="AO25" t="s">
        <v>582</v>
      </c>
      <c r="AP25" t="str">
        <f t="shared" si="0"/>
        <v>SI</v>
      </c>
    </row>
    <row r="26" spans="2:42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  <c r="AA26" t="str">
        <f t="shared" si="1"/>
        <v>SI</v>
      </c>
      <c r="AB26" t="str">
        <f t="shared" si="2"/>
        <v>e_w270521928-220</v>
      </c>
      <c r="AC26" t="s">
        <v>724</v>
      </c>
      <c r="AD26" t="s">
        <v>723</v>
      </c>
      <c r="AE26" t="s">
        <v>301</v>
      </c>
      <c r="AM26" t="s">
        <v>613</v>
      </c>
      <c r="AN26" t="s">
        <v>597</v>
      </c>
      <c r="AO26" t="s">
        <v>582</v>
      </c>
      <c r="AP26" t="str">
        <f t="shared" si="0"/>
        <v>SI</v>
      </c>
    </row>
    <row r="27" spans="2:42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  <c r="AA27" t="str">
        <f t="shared" si="1"/>
        <v>SI</v>
      </c>
      <c r="AB27" t="str">
        <f t="shared" si="2"/>
        <v>e_w89664063-220</v>
      </c>
      <c r="AC27" t="s">
        <v>724</v>
      </c>
      <c r="AD27" t="s">
        <v>723</v>
      </c>
      <c r="AE27" t="s">
        <v>301</v>
      </c>
      <c r="AM27" t="s">
        <v>614</v>
      </c>
      <c r="AN27" t="s">
        <v>597</v>
      </c>
      <c r="AO27" t="s">
        <v>580</v>
      </c>
      <c r="AP27" t="str">
        <f t="shared" si="0"/>
        <v>SI</v>
      </c>
    </row>
    <row r="28" spans="2:42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  <c r="AA28" t="str">
        <f t="shared" si="1"/>
        <v>NI</v>
      </c>
      <c r="AB28" t="str">
        <f t="shared" si="2"/>
        <v>e_w89943957-220</v>
      </c>
      <c r="AC28" t="s">
        <v>724</v>
      </c>
      <c r="AD28" t="s">
        <v>723</v>
      </c>
      <c r="AE28" t="s">
        <v>301</v>
      </c>
      <c r="AM28" t="s">
        <v>615</v>
      </c>
      <c r="AN28" t="s">
        <v>597</v>
      </c>
      <c r="AO28" t="s">
        <v>583</v>
      </c>
      <c r="AP28" t="str">
        <f t="shared" si="0"/>
        <v>NI</v>
      </c>
    </row>
    <row r="29" spans="2:42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  <c r="AA29" t="str">
        <f t="shared" si="1"/>
        <v>SI</v>
      </c>
      <c r="AB29" t="str">
        <f t="shared" si="2"/>
        <v>e_w90092620-220</v>
      </c>
      <c r="AC29" t="s">
        <v>724</v>
      </c>
      <c r="AD29" t="s">
        <v>723</v>
      </c>
      <c r="AE29" t="s">
        <v>301</v>
      </c>
      <c r="AM29" t="s">
        <v>616</v>
      </c>
      <c r="AN29" t="s">
        <v>597</v>
      </c>
      <c r="AO29" t="s">
        <v>584</v>
      </c>
      <c r="AP29" t="str">
        <f t="shared" si="0"/>
        <v>SI</v>
      </c>
    </row>
    <row r="30" spans="2:42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  <c r="AA30" t="str">
        <f t="shared" si="1"/>
        <v>NI</v>
      </c>
      <c r="AB30" t="str">
        <f t="shared" si="2"/>
        <v>e_w90098853-220</v>
      </c>
      <c r="AC30" t="s">
        <v>724</v>
      </c>
      <c r="AD30" t="s">
        <v>723</v>
      </c>
      <c r="AE30" t="s">
        <v>301</v>
      </c>
      <c r="AM30" t="s">
        <v>617</v>
      </c>
      <c r="AN30" t="s">
        <v>597</v>
      </c>
      <c r="AO30" t="s">
        <v>579</v>
      </c>
      <c r="AP30" t="str">
        <f t="shared" si="0"/>
        <v>NI</v>
      </c>
    </row>
    <row r="31" spans="2:42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  <c r="AA31" t="str">
        <f t="shared" si="1"/>
        <v>NI</v>
      </c>
      <c r="AB31" t="str">
        <f t="shared" si="2"/>
        <v>e_w93419960-220</v>
      </c>
      <c r="AC31" t="s">
        <v>724</v>
      </c>
      <c r="AD31" t="s">
        <v>723</v>
      </c>
      <c r="AE31" t="s">
        <v>301</v>
      </c>
      <c r="AM31" t="s">
        <v>618</v>
      </c>
      <c r="AN31" t="s">
        <v>597</v>
      </c>
      <c r="AO31" t="s">
        <v>585</v>
      </c>
      <c r="AP31" t="str">
        <f t="shared" si="0"/>
        <v>NI</v>
      </c>
    </row>
    <row r="32" spans="2:42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  <c r="AA32" t="str">
        <f t="shared" si="1"/>
        <v>NI</v>
      </c>
      <c r="AB32" t="str">
        <f t="shared" si="2"/>
        <v>e_w93556808-220</v>
      </c>
      <c r="AC32" t="s">
        <v>724</v>
      </c>
      <c r="AD32" t="s">
        <v>723</v>
      </c>
      <c r="AE32" t="s">
        <v>301</v>
      </c>
      <c r="AM32" t="s">
        <v>619</v>
      </c>
      <c r="AN32" t="s">
        <v>597</v>
      </c>
      <c r="AO32" t="s">
        <v>581</v>
      </c>
      <c r="AP32" t="str">
        <f t="shared" si="0"/>
        <v>NI</v>
      </c>
    </row>
    <row r="33" spans="2:42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  <c r="AA33" t="str">
        <f t="shared" si="1"/>
        <v>NI</v>
      </c>
      <c r="AB33" t="str">
        <f t="shared" si="2"/>
        <v>e_w93713118-220</v>
      </c>
      <c r="AC33" t="s">
        <v>724</v>
      </c>
      <c r="AD33" t="s">
        <v>723</v>
      </c>
      <c r="AE33" t="s">
        <v>301</v>
      </c>
      <c r="AM33" t="s">
        <v>620</v>
      </c>
      <c r="AN33" t="s">
        <v>597</v>
      </c>
      <c r="AO33" t="s">
        <v>587</v>
      </c>
      <c r="AP33" t="str">
        <f t="shared" si="0"/>
        <v>NI</v>
      </c>
    </row>
    <row r="34" spans="2:42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  <c r="AA34" t="str">
        <f t="shared" si="1"/>
        <v>SI</v>
      </c>
      <c r="AB34" t="str">
        <f t="shared" si="2"/>
        <v>e_w93827784-220</v>
      </c>
      <c r="AC34" t="s">
        <v>724</v>
      </c>
      <c r="AD34" t="s">
        <v>723</v>
      </c>
      <c r="AE34" t="s">
        <v>301</v>
      </c>
      <c r="AM34" t="s">
        <v>621</v>
      </c>
      <c r="AN34" t="s">
        <v>597</v>
      </c>
      <c r="AO34" t="s">
        <v>580</v>
      </c>
      <c r="AP34" t="str">
        <f t="shared" si="0"/>
        <v>SI</v>
      </c>
    </row>
    <row r="35" spans="2:42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  <c r="AA35" t="str">
        <f t="shared" si="1"/>
        <v>NI</v>
      </c>
      <c r="AB35" t="str">
        <f t="shared" si="2"/>
        <v>e_w94053861-220</v>
      </c>
      <c r="AC35" t="s">
        <v>724</v>
      </c>
      <c r="AD35" t="s">
        <v>723</v>
      </c>
      <c r="AE35" t="s">
        <v>301</v>
      </c>
      <c r="AM35" t="s">
        <v>622</v>
      </c>
      <c r="AN35" t="s">
        <v>597</v>
      </c>
      <c r="AO35" t="s">
        <v>581</v>
      </c>
      <c r="AP35" t="str">
        <f t="shared" si="0"/>
        <v>NI</v>
      </c>
    </row>
    <row r="36" spans="2:42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  <c r="AA36" t="str">
        <f t="shared" si="1"/>
        <v>SI</v>
      </c>
      <c r="AB36" t="str">
        <f t="shared" si="2"/>
        <v>e_w94840399-220</v>
      </c>
      <c r="AC36" t="s">
        <v>724</v>
      </c>
      <c r="AD36" t="s">
        <v>723</v>
      </c>
      <c r="AE36" t="s">
        <v>301</v>
      </c>
      <c r="AM36" t="s">
        <v>623</v>
      </c>
      <c r="AN36" t="s">
        <v>597</v>
      </c>
      <c r="AO36" t="s">
        <v>582</v>
      </c>
      <c r="AP36" t="str">
        <f t="shared" si="0"/>
        <v>SI</v>
      </c>
    </row>
    <row r="37" spans="2:42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  <c r="AA37" t="str">
        <f t="shared" si="1"/>
        <v>SI</v>
      </c>
      <c r="AB37" t="str">
        <f t="shared" si="2"/>
        <v>e_w95046918-220</v>
      </c>
      <c r="AC37" t="s">
        <v>724</v>
      </c>
      <c r="AD37" t="s">
        <v>723</v>
      </c>
      <c r="AE37" t="s">
        <v>301</v>
      </c>
      <c r="AM37" t="s">
        <v>624</v>
      </c>
      <c r="AN37" t="s">
        <v>597</v>
      </c>
      <c r="AO37" t="s">
        <v>580</v>
      </c>
      <c r="AP37" t="str">
        <f t="shared" si="0"/>
        <v>SI</v>
      </c>
    </row>
    <row r="38" spans="2:42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  <c r="AA38" t="str">
        <f t="shared" si="1"/>
        <v>SI</v>
      </c>
      <c r="AB38" t="str">
        <f t="shared" si="2"/>
        <v>e_w95048289-220</v>
      </c>
      <c r="AC38" t="s">
        <v>724</v>
      </c>
      <c r="AD38" t="s">
        <v>723</v>
      </c>
      <c r="AE38" t="s">
        <v>301</v>
      </c>
      <c r="AM38" t="s">
        <v>625</v>
      </c>
      <c r="AN38" t="s">
        <v>597</v>
      </c>
      <c r="AO38" t="s">
        <v>586</v>
      </c>
      <c r="AP38" t="str">
        <f t="shared" si="0"/>
        <v>SI</v>
      </c>
    </row>
    <row r="39" spans="2:42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  <c r="AA39" t="str">
        <f t="shared" si="1"/>
        <v>NI</v>
      </c>
      <c r="AB39" t="str">
        <f t="shared" si="2"/>
        <v>e_w95343089-220</v>
      </c>
      <c r="AC39" t="s">
        <v>724</v>
      </c>
      <c r="AD39" t="s">
        <v>723</v>
      </c>
      <c r="AE39" t="s">
        <v>301</v>
      </c>
      <c r="AM39" t="s">
        <v>626</v>
      </c>
      <c r="AN39" t="s">
        <v>597</v>
      </c>
      <c r="AO39" t="s">
        <v>587</v>
      </c>
      <c r="AP39" t="str">
        <f t="shared" si="0"/>
        <v>NI</v>
      </c>
    </row>
    <row r="40" spans="2:42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  <c r="AA40" t="str">
        <f t="shared" si="1"/>
        <v>NI</v>
      </c>
      <c r="AB40" t="str">
        <f t="shared" si="2"/>
        <v>e_w95344674-220</v>
      </c>
      <c r="AC40" t="s">
        <v>724</v>
      </c>
      <c r="AD40" t="s">
        <v>723</v>
      </c>
      <c r="AE40" t="s">
        <v>301</v>
      </c>
      <c r="AM40" t="s">
        <v>627</v>
      </c>
      <c r="AN40" t="s">
        <v>597</v>
      </c>
      <c r="AO40" t="s">
        <v>589</v>
      </c>
      <c r="AP40" t="str">
        <f t="shared" si="0"/>
        <v>NI</v>
      </c>
    </row>
    <row r="41" spans="2:42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  <c r="AA41" t="str">
        <f t="shared" si="1"/>
        <v>NI</v>
      </c>
      <c r="AB41" t="str">
        <f t="shared" si="2"/>
        <v>e_w95512216-220</v>
      </c>
      <c r="AC41" t="s">
        <v>724</v>
      </c>
      <c r="AD41" t="s">
        <v>723</v>
      </c>
      <c r="AE41" t="s">
        <v>301</v>
      </c>
      <c r="AM41" t="s">
        <v>628</v>
      </c>
      <c r="AN41" t="s">
        <v>597</v>
      </c>
      <c r="AO41" t="s">
        <v>585</v>
      </c>
      <c r="AP41" t="str">
        <f t="shared" si="0"/>
        <v>NI</v>
      </c>
    </row>
    <row r="42" spans="2:42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  <c r="AA42" t="str">
        <f t="shared" si="1"/>
        <v>SI</v>
      </c>
      <c r="AB42" t="str">
        <f t="shared" si="2"/>
        <v>e_w100957314-220</v>
      </c>
      <c r="AC42" t="s">
        <v>724</v>
      </c>
      <c r="AD42" t="s">
        <v>723</v>
      </c>
      <c r="AE42" t="s">
        <v>301</v>
      </c>
      <c r="AM42" t="s">
        <v>629</v>
      </c>
      <c r="AN42" t="s">
        <v>597</v>
      </c>
      <c r="AO42" t="s">
        <v>580</v>
      </c>
      <c r="AP42" t="str">
        <f t="shared" ref="AP42:AP73" si="3">IFERROR(VLOOKUP(AO42,$AJ$10:$AK$18,2,FALSE),"NI")</f>
        <v>SI</v>
      </c>
    </row>
    <row r="43" spans="2:42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302</v>
      </c>
      <c r="X43" t="s">
        <v>314</v>
      </c>
      <c r="AA43" t="str">
        <f t="shared" si="1"/>
        <v>NI</v>
      </c>
      <c r="AB43" t="str">
        <f t="shared" si="2"/>
        <v>e_w119877500-220</v>
      </c>
      <c r="AC43" t="s">
        <v>724</v>
      </c>
      <c r="AD43" t="s">
        <v>723</v>
      </c>
      <c r="AE43" t="s">
        <v>301</v>
      </c>
      <c r="AM43" t="s">
        <v>630</v>
      </c>
      <c r="AN43" t="s">
        <v>597</v>
      </c>
      <c r="AO43" t="s">
        <v>591</v>
      </c>
      <c r="AP43" t="str">
        <f t="shared" si="3"/>
        <v>NI</v>
      </c>
    </row>
    <row r="44" spans="2:42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355</v>
      </c>
      <c r="W44" t="s">
        <v>302</v>
      </c>
      <c r="X44" t="s">
        <v>314</v>
      </c>
      <c r="AA44" t="str">
        <f t="shared" si="1"/>
        <v>NI</v>
      </c>
      <c r="AB44" t="str">
        <f t="shared" si="2"/>
        <v>e_w148300699-220</v>
      </c>
      <c r="AC44" t="s">
        <v>724</v>
      </c>
      <c r="AD44" t="s">
        <v>723</v>
      </c>
      <c r="AE44" t="s">
        <v>301</v>
      </c>
      <c r="AM44" t="s">
        <v>631</v>
      </c>
      <c r="AN44" t="s">
        <v>597</v>
      </c>
      <c r="AO44" t="s">
        <v>591</v>
      </c>
      <c r="AP44" t="str">
        <f t="shared" si="3"/>
        <v>NI</v>
      </c>
    </row>
    <row r="45" spans="2:42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356</v>
      </c>
      <c r="W45" t="s">
        <v>302</v>
      </c>
      <c r="X45" t="s">
        <v>314</v>
      </c>
      <c r="AA45" t="str">
        <f t="shared" si="1"/>
        <v>NI</v>
      </c>
      <c r="AB45" t="str">
        <f t="shared" si="2"/>
        <v>e_w156094589-220</v>
      </c>
      <c r="AC45" t="s">
        <v>724</v>
      </c>
      <c r="AD45" t="s">
        <v>723</v>
      </c>
      <c r="AE45" t="s">
        <v>301</v>
      </c>
      <c r="AM45" t="s">
        <v>632</v>
      </c>
      <c r="AN45" t="s">
        <v>597</v>
      </c>
      <c r="AO45" t="s">
        <v>579</v>
      </c>
      <c r="AP45" t="str">
        <f t="shared" si="3"/>
        <v>NI</v>
      </c>
    </row>
    <row r="46" spans="2:42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357</v>
      </c>
      <c r="W46" t="s">
        <v>302</v>
      </c>
      <c r="X46" t="s">
        <v>314</v>
      </c>
      <c r="AA46" t="str">
        <f t="shared" si="1"/>
        <v>NI</v>
      </c>
      <c r="AB46" t="str">
        <f t="shared" si="2"/>
        <v>e_w161270797-220</v>
      </c>
      <c r="AC46" t="s">
        <v>724</v>
      </c>
      <c r="AD46" t="s">
        <v>723</v>
      </c>
      <c r="AE46" t="s">
        <v>301</v>
      </c>
      <c r="AM46" t="s">
        <v>633</v>
      </c>
      <c r="AN46" t="s">
        <v>597</v>
      </c>
      <c r="AO46" t="s">
        <v>579</v>
      </c>
      <c r="AP46" t="str">
        <f t="shared" si="3"/>
        <v>NI</v>
      </c>
    </row>
    <row r="47" spans="2:42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358</v>
      </c>
      <c r="W47" t="s">
        <v>302</v>
      </c>
      <c r="X47" t="s">
        <v>314</v>
      </c>
      <c r="AA47" t="str">
        <f t="shared" si="1"/>
        <v>NI</v>
      </c>
      <c r="AB47" t="str">
        <f t="shared" si="2"/>
        <v>e_w167177413-220</v>
      </c>
      <c r="AC47" t="s">
        <v>724</v>
      </c>
      <c r="AD47" t="s">
        <v>723</v>
      </c>
      <c r="AE47" t="s">
        <v>301</v>
      </c>
      <c r="AM47" t="s">
        <v>634</v>
      </c>
      <c r="AN47" t="s">
        <v>597</v>
      </c>
      <c r="AO47" t="s">
        <v>581</v>
      </c>
      <c r="AP47" t="str">
        <f t="shared" si="3"/>
        <v>NI</v>
      </c>
    </row>
    <row r="48" spans="2:42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359</v>
      </c>
      <c r="W48" t="s">
        <v>302</v>
      </c>
      <c r="X48" t="s">
        <v>314</v>
      </c>
      <c r="AA48" t="str">
        <f t="shared" si="1"/>
        <v>NI</v>
      </c>
      <c r="AB48" t="str">
        <f t="shared" si="2"/>
        <v>e_w167283894-220</v>
      </c>
      <c r="AC48" t="s">
        <v>724</v>
      </c>
      <c r="AD48" t="s">
        <v>723</v>
      </c>
      <c r="AE48" t="s">
        <v>301</v>
      </c>
      <c r="AM48" t="s">
        <v>635</v>
      </c>
      <c r="AN48" t="s">
        <v>597</v>
      </c>
      <c r="AO48" t="s">
        <v>591</v>
      </c>
      <c r="AP48" t="str">
        <f t="shared" si="3"/>
        <v>NI</v>
      </c>
    </row>
    <row r="49" spans="2:42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360</v>
      </c>
      <c r="W49" t="s">
        <v>302</v>
      </c>
      <c r="X49" t="s">
        <v>314</v>
      </c>
      <c r="AA49" t="str">
        <f t="shared" si="1"/>
        <v>NI</v>
      </c>
      <c r="AB49" t="str">
        <f t="shared" si="2"/>
        <v>e_w167285260-220</v>
      </c>
      <c r="AC49" t="s">
        <v>724</v>
      </c>
      <c r="AD49" t="s">
        <v>723</v>
      </c>
      <c r="AE49" t="s">
        <v>301</v>
      </c>
      <c r="AM49" t="s">
        <v>636</v>
      </c>
      <c r="AN49" t="s">
        <v>597</v>
      </c>
      <c r="AO49" t="s">
        <v>581</v>
      </c>
      <c r="AP49" t="str">
        <f t="shared" si="3"/>
        <v>NI</v>
      </c>
    </row>
    <row r="50" spans="2:42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361</v>
      </c>
      <c r="W50" t="s">
        <v>302</v>
      </c>
      <c r="X50" t="s">
        <v>314</v>
      </c>
      <c r="AA50" t="str">
        <f t="shared" si="1"/>
        <v>NI</v>
      </c>
      <c r="AB50" t="str">
        <f t="shared" si="2"/>
        <v>e_w167285336-220</v>
      </c>
      <c r="AC50" t="s">
        <v>724</v>
      </c>
      <c r="AD50" t="s">
        <v>723</v>
      </c>
      <c r="AE50" t="s">
        <v>301</v>
      </c>
      <c r="AM50" t="s">
        <v>637</v>
      </c>
      <c r="AN50" t="s">
        <v>597</v>
      </c>
      <c r="AO50" t="s">
        <v>589</v>
      </c>
      <c r="AP50" t="str">
        <f t="shared" si="3"/>
        <v>NI</v>
      </c>
    </row>
    <row r="51" spans="2:42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362</v>
      </c>
      <c r="W51" t="s">
        <v>302</v>
      </c>
      <c r="X51" t="s">
        <v>314</v>
      </c>
      <c r="AA51" t="str">
        <f t="shared" si="1"/>
        <v>SI</v>
      </c>
      <c r="AB51" t="str">
        <f t="shared" si="2"/>
        <v>e_w167286837-220</v>
      </c>
      <c r="AC51" t="s">
        <v>724</v>
      </c>
      <c r="AD51" t="s">
        <v>723</v>
      </c>
      <c r="AE51" t="s">
        <v>301</v>
      </c>
      <c r="AM51" t="s">
        <v>638</v>
      </c>
      <c r="AN51" t="s">
        <v>597</v>
      </c>
      <c r="AO51" t="s">
        <v>580</v>
      </c>
      <c r="AP51" t="str">
        <f t="shared" si="3"/>
        <v>SI</v>
      </c>
    </row>
    <row r="52" spans="2:42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363</v>
      </c>
      <c r="W52" t="s">
        <v>302</v>
      </c>
      <c r="X52" t="s">
        <v>314</v>
      </c>
      <c r="AA52" t="str">
        <f t="shared" si="1"/>
        <v>NI</v>
      </c>
      <c r="AB52" t="str">
        <f t="shared" si="2"/>
        <v>e_w167293888-220</v>
      </c>
      <c r="AC52" t="s">
        <v>724</v>
      </c>
      <c r="AD52" t="s">
        <v>723</v>
      </c>
      <c r="AE52" t="s">
        <v>301</v>
      </c>
      <c r="AM52" t="s">
        <v>639</v>
      </c>
      <c r="AN52" t="s">
        <v>597</v>
      </c>
      <c r="AO52" t="s">
        <v>581</v>
      </c>
      <c r="AP52" t="str">
        <f t="shared" si="3"/>
        <v>NI</v>
      </c>
    </row>
    <row r="53" spans="2:42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364</v>
      </c>
      <c r="W53" t="s">
        <v>302</v>
      </c>
      <c r="X53" t="s">
        <v>314</v>
      </c>
      <c r="AA53" t="str">
        <f t="shared" si="1"/>
        <v>NI</v>
      </c>
      <c r="AB53" t="str">
        <f t="shared" si="2"/>
        <v>e_w167300914-220</v>
      </c>
      <c r="AC53" t="s">
        <v>724</v>
      </c>
      <c r="AD53" t="s">
        <v>723</v>
      </c>
      <c r="AE53" t="s">
        <v>301</v>
      </c>
      <c r="AM53" t="s">
        <v>640</v>
      </c>
      <c r="AN53" t="s">
        <v>597</v>
      </c>
      <c r="AO53" t="s">
        <v>589</v>
      </c>
      <c r="AP53" t="str">
        <f t="shared" si="3"/>
        <v>NI</v>
      </c>
    </row>
    <row r="54" spans="2:42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365</v>
      </c>
      <c r="W54" t="s">
        <v>302</v>
      </c>
      <c r="X54" t="s">
        <v>314</v>
      </c>
      <c r="AA54" t="str">
        <f t="shared" si="1"/>
        <v>NI</v>
      </c>
      <c r="AB54" t="str">
        <f t="shared" si="2"/>
        <v>e_w167427251-220</v>
      </c>
      <c r="AC54" t="s">
        <v>724</v>
      </c>
      <c r="AD54" t="s">
        <v>723</v>
      </c>
      <c r="AE54" t="s">
        <v>301</v>
      </c>
      <c r="AM54" t="s">
        <v>641</v>
      </c>
      <c r="AN54" t="s">
        <v>597</v>
      </c>
      <c r="AO54" t="s">
        <v>589</v>
      </c>
      <c r="AP54" t="str">
        <f t="shared" si="3"/>
        <v>NI</v>
      </c>
    </row>
    <row r="55" spans="2:42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366</v>
      </c>
      <c r="W55" t="s">
        <v>302</v>
      </c>
      <c r="X55" t="s">
        <v>314</v>
      </c>
      <c r="AA55" t="str">
        <f t="shared" si="1"/>
        <v>NI</v>
      </c>
      <c r="AB55" t="str">
        <f t="shared" si="2"/>
        <v>e_w167572576-220</v>
      </c>
      <c r="AC55" t="s">
        <v>724</v>
      </c>
      <c r="AD55" t="s">
        <v>723</v>
      </c>
      <c r="AE55" t="s">
        <v>301</v>
      </c>
      <c r="AM55" t="s">
        <v>642</v>
      </c>
      <c r="AN55" t="s">
        <v>597</v>
      </c>
      <c r="AO55" t="s">
        <v>589</v>
      </c>
      <c r="AP55" t="str">
        <f t="shared" si="3"/>
        <v>NI</v>
      </c>
    </row>
    <row r="56" spans="2:42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367</v>
      </c>
      <c r="W56" t="s">
        <v>368</v>
      </c>
      <c r="X56" t="s">
        <v>314</v>
      </c>
      <c r="AA56" t="str">
        <f t="shared" si="1"/>
        <v>SI</v>
      </c>
      <c r="AB56" t="str">
        <f t="shared" si="2"/>
        <v>e_w167705537-220</v>
      </c>
      <c r="AC56" t="s">
        <v>724</v>
      </c>
      <c r="AD56" t="s">
        <v>723</v>
      </c>
      <c r="AE56" t="s">
        <v>301</v>
      </c>
      <c r="AM56" t="s">
        <v>643</v>
      </c>
      <c r="AN56" t="s">
        <v>597</v>
      </c>
      <c r="AO56" t="s">
        <v>588</v>
      </c>
      <c r="AP56" t="str">
        <f t="shared" si="3"/>
        <v>SI</v>
      </c>
    </row>
    <row r="57" spans="2:42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369</v>
      </c>
      <c r="W57" t="s">
        <v>368</v>
      </c>
      <c r="X57" t="s">
        <v>314</v>
      </c>
      <c r="AA57" t="str">
        <f t="shared" si="1"/>
        <v>NI</v>
      </c>
      <c r="AB57" t="str">
        <f t="shared" si="2"/>
        <v>e_w169512273-220</v>
      </c>
      <c r="AC57" t="s">
        <v>724</v>
      </c>
      <c r="AD57" t="s">
        <v>723</v>
      </c>
      <c r="AE57" t="s">
        <v>301</v>
      </c>
      <c r="AM57" t="s">
        <v>644</v>
      </c>
      <c r="AN57" t="s">
        <v>597</v>
      </c>
      <c r="AO57" t="s">
        <v>581</v>
      </c>
      <c r="AP57" t="str">
        <f t="shared" si="3"/>
        <v>NI</v>
      </c>
    </row>
    <row r="58" spans="2:42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370</v>
      </c>
      <c r="W58" t="s">
        <v>368</v>
      </c>
      <c r="X58" t="s">
        <v>314</v>
      </c>
      <c r="AA58" t="str">
        <f t="shared" si="1"/>
        <v>SI</v>
      </c>
      <c r="AB58" t="str">
        <f t="shared" si="2"/>
        <v>e_w170300247-220</v>
      </c>
      <c r="AC58" t="s">
        <v>724</v>
      </c>
      <c r="AD58" t="s">
        <v>723</v>
      </c>
      <c r="AE58" t="s">
        <v>301</v>
      </c>
      <c r="AM58" t="s">
        <v>645</v>
      </c>
      <c r="AN58" t="s">
        <v>597</v>
      </c>
      <c r="AO58" t="s">
        <v>580</v>
      </c>
      <c r="AP58" t="str">
        <f t="shared" si="3"/>
        <v>SI</v>
      </c>
    </row>
    <row r="59" spans="2:42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371</v>
      </c>
      <c r="W59" t="s">
        <v>372</v>
      </c>
      <c r="X59" t="s">
        <v>314</v>
      </c>
      <c r="AA59" t="str">
        <f t="shared" si="1"/>
        <v>SI</v>
      </c>
      <c r="AB59" t="str">
        <f t="shared" si="2"/>
        <v>e_w180514007-220</v>
      </c>
      <c r="AC59" t="s">
        <v>724</v>
      </c>
      <c r="AD59" t="s">
        <v>723</v>
      </c>
      <c r="AE59" t="s">
        <v>301</v>
      </c>
      <c r="AM59" t="s">
        <v>646</v>
      </c>
      <c r="AN59" t="s">
        <v>597</v>
      </c>
      <c r="AO59" t="s">
        <v>582</v>
      </c>
      <c r="AP59" t="str">
        <f t="shared" si="3"/>
        <v>SI</v>
      </c>
    </row>
    <row r="60" spans="2:42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373</v>
      </c>
      <c r="W60" t="s">
        <v>372</v>
      </c>
      <c r="X60" t="s">
        <v>314</v>
      </c>
      <c r="AA60" t="str">
        <f t="shared" si="1"/>
        <v>SI</v>
      </c>
      <c r="AB60" t="str">
        <f t="shared" si="2"/>
        <v>e_w180519027-220</v>
      </c>
      <c r="AC60" t="s">
        <v>724</v>
      </c>
      <c r="AD60" t="s">
        <v>723</v>
      </c>
      <c r="AE60" t="s">
        <v>301</v>
      </c>
      <c r="AM60" t="s">
        <v>647</v>
      </c>
      <c r="AN60" t="s">
        <v>597</v>
      </c>
      <c r="AO60" t="s">
        <v>582</v>
      </c>
      <c r="AP60" t="str">
        <f t="shared" si="3"/>
        <v>SI</v>
      </c>
    </row>
    <row r="61" spans="2:42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374</v>
      </c>
      <c r="W61" t="s">
        <v>372</v>
      </c>
      <c r="X61" t="s">
        <v>314</v>
      </c>
      <c r="AA61" t="str">
        <f t="shared" si="1"/>
        <v>NI</v>
      </c>
      <c r="AB61" t="str">
        <f t="shared" si="2"/>
        <v>e_w187858674-220</v>
      </c>
      <c r="AC61" t="s">
        <v>724</v>
      </c>
      <c r="AD61" t="s">
        <v>723</v>
      </c>
      <c r="AE61" t="s">
        <v>301</v>
      </c>
      <c r="AM61" t="s">
        <v>648</v>
      </c>
      <c r="AN61" t="s">
        <v>597</v>
      </c>
      <c r="AO61" t="s">
        <v>581</v>
      </c>
      <c r="AP61" t="str">
        <f t="shared" si="3"/>
        <v>NI</v>
      </c>
    </row>
    <row r="62" spans="2:42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375</v>
      </c>
      <c r="W62" t="s">
        <v>376</v>
      </c>
      <c r="X62" t="s">
        <v>314</v>
      </c>
      <c r="AA62" t="str">
        <f t="shared" si="1"/>
        <v>NI</v>
      </c>
      <c r="AB62" t="str">
        <f t="shared" si="2"/>
        <v>e_w191346761-220</v>
      </c>
      <c r="AC62" t="s">
        <v>724</v>
      </c>
      <c r="AD62" t="s">
        <v>723</v>
      </c>
      <c r="AE62" t="s">
        <v>301</v>
      </c>
      <c r="AM62" t="s">
        <v>649</v>
      </c>
      <c r="AN62" t="s">
        <v>597</v>
      </c>
      <c r="AO62" t="s">
        <v>589</v>
      </c>
      <c r="AP62" t="str">
        <f t="shared" si="3"/>
        <v>NI</v>
      </c>
    </row>
    <row r="63" spans="2:42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377</v>
      </c>
      <c r="W63" t="s">
        <v>376</v>
      </c>
      <c r="X63" t="s">
        <v>314</v>
      </c>
      <c r="AA63" t="str">
        <f t="shared" si="1"/>
        <v>NI</v>
      </c>
      <c r="AB63" t="str">
        <f t="shared" si="2"/>
        <v>e_w232382576-220</v>
      </c>
      <c r="AC63" t="s">
        <v>724</v>
      </c>
      <c r="AD63" t="s">
        <v>723</v>
      </c>
      <c r="AE63" t="s">
        <v>301</v>
      </c>
      <c r="AM63" t="s">
        <v>650</v>
      </c>
      <c r="AN63" t="s">
        <v>597</v>
      </c>
      <c r="AO63" t="s">
        <v>583</v>
      </c>
      <c r="AP63" t="str">
        <f t="shared" si="3"/>
        <v>NI</v>
      </c>
    </row>
    <row r="64" spans="2:42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378</v>
      </c>
      <c r="W64" t="s">
        <v>376</v>
      </c>
      <c r="X64" t="s">
        <v>314</v>
      </c>
      <c r="AA64" t="str">
        <f t="shared" si="1"/>
        <v>NI</v>
      </c>
      <c r="AB64" t="str">
        <f t="shared" si="2"/>
        <v>e_w235066414-220</v>
      </c>
      <c r="AC64" t="s">
        <v>724</v>
      </c>
      <c r="AD64" t="s">
        <v>723</v>
      </c>
      <c r="AE64" t="s">
        <v>301</v>
      </c>
      <c r="AM64" t="s">
        <v>651</v>
      </c>
      <c r="AN64" t="s">
        <v>597</v>
      </c>
      <c r="AO64" t="s">
        <v>579</v>
      </c>
      <c r="AP64" t="str">
        <f t="shared" si="3"/>
        <v>NI</v>
      </c>
    </row>
    <row r="65" spans="2:42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379</v>
      </c>
      <c r="W65" t="s">
        <v>380</v>
      </c>
      <c r="X65" t="s">
        <v>314</v>
      </c>
      <c r="AA65" t="str">
        <f t="shared" si="1"/>
        <v>NI</v>
      </c>
      <c r="AB65" t="str">
        <f t="shared" si="2"/>
        <v>e_w255873374-220</v>
      </c>
      <c r="AC65" t="s">
        <v>724</v>
      </c>
      <c r="AD65" t="s">
        <v>723</v>
      </c>
      <c r="AE65" t="s">
        <v>301</v>
      </c>
      <c r="AM65" t="s">
        <v>652</v>
      </c>
      <c r="AN65" t="s">
        <v>597</v>
      </c>
      <c r="AO65" t="s">
        <v>581</v>
      </c>
      <c r="AP65" t="str">
        <f t="shared" si="3"/>
        <v>NI</v>
      </c>
    </row>
    <row r="66" spans="2:42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381</v>
      </c>
      <c r="W66" t="s">
        <v>380</v>
      </c>
      <c r="X66" t="s">
        <v>314</v>
      </c>
      <c r="AA66" t="str">
        <f t="shared" si="1"/>
        <v>SI</v>
      </c>
      <c r="AB66" t="str">
        <f t="shared" si="2"/>
        <v>e_w268826084-220</v>
      </c>
      <c r="AC66" t="s">
        <v>724</v>
      </c>
      <c r="AD66" t="s">
        <v>723</v>
      </c>
      <c r="AE66" t="s">
        <v>301</v>
      </c>
      <c r="AM66" t="s">
        <v>653</v>
      </c>
      <c r="AN66" t="s">
        <v>597</v>
      </c>
      <c r="AO66" t="s">
        <v>580</v>
      </c>
      <c r="AP66" t="str">
        <f t="shared" si="3"/>
        <v>SI</v>
      </c>
    </row>
    <row r="67" spans="2:42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382</v>
      </c>
      <c r="W67" t="s">
        <v>380</v>
      </c>
      <c r="X67" t="s">
        <v>314</v>
      </c>
      <c r="AA67" t="str">
        <f t="shared" si="1"/>
        <v>SI</v>
      </c>
      <c r="AB67" t="str">
        <f t="shared" si="2"/>
        <v>e_w268841395-220</v>
      </c>
      <c r="AC67" t="s">
        <v>724</v>
      </c>
      <c r="AD67" t="s">
        <v>723</v>
      </c>
      <c r="AE67" t="s">
        <v>301</v>
      </c>
      <c r="AM67" t="s">
        <v>654</v>
      </c>
      <c r="AN67" t="s">
        <v>597</v>
      </c>
      <c r="AO67" t="s">
        <v>584</v>
      </c>
      <c r="AP67" t="str">
        <f t="shared" si="3"/>
        <v>SI</v>
      </c>
    </row>
    <row r="68" spans="2:42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383</v>
      </c>
      <c r="W68" t="s">
        <v>384</v>
      </c>
      <c r="X68" t="s">
        <v>314</v>
      </c>
      <c r="AA68" t="str">
        <f t="shared" si="1"/>
        <v>SI</v>
      </c>
      <c r="AB68" t="str">
        <f t="shared" si="2"/>
        <v>e_w270012796-220</v>
      </c>
      <c r="AC68" t="s">
        <v>724</v>
      </c>
      <c r="AD68" t="s">
        <v>723</v>
      </c>
      <c r="AE68" t="s">
        <v>301</v>
      </c>
      <c r="AM68" t="s">
        <v>655</v>
      </c>
      <c r="AN68" t="s">
        <v>597</v>
      </c>
      <c r="AO68" t="s">
        <v>580</v>
      </c>
      <c r="AP68" t="str">
        <f t="shared" si="3"/>
        <v>SI</v>
      </c>
    </row>
    <row r="69" spans="2:42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385</v>
      </c>
      <c r="W69" t="s">
        <v>384</v>
      </c>
      <c r="X69" t="s">
        <v>314</v>
      </c>
      <c r="AA69" t="str">
        <f t="shared" si="1"/>
        <v>NI</v>
      </c>
      <c r="AB69" t="str">
        <f t="shared" si="2"/>
        <v>e_w270018358-220</v>
      </c>
      <c r="AC69" t="s">
        <v>724</v>
      </c>
      <c r="AD69" t="s">
        <v>723</v>
      </c>
      <c r="AE69" t="s">
        <v>301</v>
      </c>
      <c r="AM69" t="s">
        <v>656</v>
      </c>
      <c r="AN69" t="s">
        <v>597</v>
      </c>
      <c r="AO69" t="s">
        <v>581</v>
      </c>
      <c r="AP69" t="str">
        <f t="shared" si="3"/>
        <v>NI</v>
      </c>
    </row>
    <row r="70" spans="2:42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386</v>
      </c>
      <c r="W70" t="s">
        <v>384</v>
      </c>
      <c r="X70" t="s">
        <v>314</v>
      </c>
      <c r="AA70" t="str">
        <f t="shared" si="1"/>
        <v>NI</v>
      </c>
      <c r="AB70" t="str">
        <f t="shared" si="2"/>
        <v>e_w270022030-220</v>
      </c>
      <c r="AC70" t="s">
        <v>724</v>
      </c>
      <c r="AD70" t="s">
        <v>723</v>
      </c>
      <c r="AE70" t="s">
        <v>301</v>
      </c>
      <c r="AM70" t="s">
        <v>657</v>
      </c>
      <c r="AN70" t="s">
        <v>597</v>
      </c>
      <c r="AO70" t="s">
        <v>591</v>
      </c>
      <c r="AP70" t="str">
        <f t="shared" si="3"/>
        <v>NI</v>
      </c>
    </row>
    <row r="71" spans="2:42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387</v>
      </c>
      <c r="W71" t="s">
        <v>388</v>
      </c>
      <c r="X71" t="s">
        <v>314</v>
      </c>
      <c r="AA71" t="str">
        <f t="shared" si="1"/>
        <v>NI</v>
      </c>
      <c r="AB71" t="str">
        <f t="shared" si="2"/>
        <v>e_w270554679-220</v>
      </c>
      <c r="AC71" t="s">
        <v>724</v>
      </c>
      <c r="AD71" t="s">
        <v>723</v>
      </c>
      <c r="AE71" t="s">
        <v>301</v>
      </c>
      <c r="AM71" t="s">
        <v>658</v>
      </c>
      <c r="AN71" t="s">
        <v>597</v>
      </c>
      <c r="AO71" t="s">
        <v>581</v>
      </c>
      <c r="AP71" t="str">
        <f t="shared" si="3"/>
        <v>NI</v>
      </c>
    </row>
    <row r="72" spans="2:42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389</v>
      </c>
      <c r="W72" t="s">
        <v>388</v>
      </c>
      <c r="X72" t="s">
        <v>314</v>
      </c>
      <c r="AA72" t="str">
        <f t="shared" si="1"/>
        <v>NI</v>
      </c>
      <c r="AB72" t="str">
        <f t="shared" si="2"/>
        <v>e_w270556206-220</v>
      </c>
      <c r="AC72" t="s">
        <v>724</v>
      </c>
      <c r="AD72" t="s">
        <v>723</v>
      </c>
      <c r="AE72" t="s">
        <v>301</v>
      </c>
      <c r="AM72" t="s">
        <v>659</v>
      </c>
      <c r="AN72" t="s">
        <v>597</v>
      </c>
      <c r="AO72" t="s">
        <v>581</v>
      </c>
      <c r="AP72" t="str">
        <f t="shared" si="3"/>
        <v>NI</v>
      </c>
    </row>
    <row r="73" spans="2:42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390</v>
      </c>
      <c r="W73" t="s">
        <v>388</v>
      </c>
      <c r="X73" t="s">
        <v>314</v>
      </c>
      <c r="AA73" t="str">
        <f t="shared" si="1"/>
        <v>SI</v>
      </c>
      <c r="AB73" t="str">
        <f t="shared" si="2"/>
        <v>e_w272195826-220</v>
      </c>
      <c r="AC73" t="s">
        <v>724</v>
      </c>
      <c r="AD73" t="s">
        <v>723</v>
      </c>
      <c r="AE73" t="s">
        <v>301</v>
      </c>
      <c r="AM73" t="s">
        <v>660</v>
      </c>
      <c r="AN73" t="s">
        <v>597</v>
      </c>
      <c r="AO73" t="s">
        <v>584</v>
      </c>
      <c r="AP73" t="str">
        <f t="shared" si="3"/>
        <v>SI</v>
      </c>
    </row>
    <row r="74" spans="2:42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391</v>
      </c>
      <c r="W74" t="s">
        <v>392</v>
      </c>
      <c r="X74" t="s">
        <v>314</v>
      </c>
      <c r="AA74" t="str">
        <f t="shared" si="1"/>
        <v>NI</v>
      </c>
      <c r="AB74" t="str">
        <f t="shared" si="2"/>
        <v>e_w272522517-220</v>
      </c>
      <c r="AC74" t="s">
        <v>724</v>
      </c>
      <c r="AD74" t="s">
        <v>723</v>
      </c>
      <c r="AE74" t="s">
        <v>301</v>
      </c>
      <c r="AM74" t="s">
        <v>661</v>
      </c>
      <c r="AN74" t="s">
        <v>597</v>
      </c>
      <c r="AO74" t="s">
        <v>581</v>
      </c>
      <c r="AP74" t="str">
        <f t="shared" ref="AP74:AP105" si="4">IFERROR(VLOOKUP(AO74,$AJ$10:$AK$18,2,FALSE),"NI")</f>
        <v>NI</v>
      </c>
    </row>
    <row r="75" spans="2:42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393</v>
      </c>
      <c r="W75" t="s">
        <v>392</v>
      </c>
      <c r="X75" t="s">
        <v>314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724</v>
      </c>
      <c r="AD75" t="s">
        <v>723</v>
      </c>
      <c r="AE75" t="s">
        <v>301</v>
      </c>
      <c r="AM75" t="s">
        <v>662</v>
      </c>
      <c r="AN75" t="s">
        <v>597</v>
      </c>
      <c r="AO75" t="s">
        <v>581</v>
      </c>
      <c r="AP75" t="str">
        <f t="shared" si="4"/>
        <v>NI</v>
      </c>
    </row>
    <row r="76" spans="2:42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394</v>
      </c>
      <c r="W76" t="s">
        <v>392</v>
      </c>
      <c r="X76" t="s">
        <v>314</v>
      </c>
      <c r="AA76" t="str">
        <f t="shared" si="5"/>
        <v>NI</v>
      </c>
      <c r="AB76" t="str">
        <f t="shared" si="6"/>
        <v>e_w341099346-220</v>
      </c>
      <c r="AC76" t="s">
        <v>724</v>
      </c>
      <c r="AD76" t="s">
        <v>723</v>
      </c>
      <c r="AE76" t="s">
        <v>301</v>
      </c>
      <c r="AM76" t="s">
        <v>663</v>
      </c>
      <c r="AN76" t="s">
        <v>597</v>
      </c>
      <c r="AO76" t="s">
        <v>579</v>
      </c>
      <c r="AP76" t="str">
        <f t="shared" si="4"/>
        <v>NI</v>
      </c>
    </row>
    <row r="77" spans="2:42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395</v>
      </c>
      <c r="W77" t="s">
        <v>396</v>
      </c>
      <c r="X77" t="s">
        <v>314</v>
      </c>
      <c r="AA77" t="str">
        <f t="shared" si="5"/>
        <v>NI</v>
      </c>
      <c r="AB77" t="str">
        <f t="shared" si="6"/>
        <v>e_w359449581-220</v>
      </c>
      <c r="AC77" t="s">
        <v>724</v>
      </c>
      <c r="AD77" t="s">
        <v>723</v>
      </c>
      <c r="AE77" t="s">
        <v>301</v>
      </c>
      <c r="AM77" t="s">
        <v>664</v>
      </c>
      <c r="AN77" t="s">
        <v>597</v>
      </c>
      <c r="AO77" t="s">
        <v>579</v>
      </c>
      <c r="AP77" t="str">
        <f t="shared" si="4"/>
        <v>NI</v>
      </c>
    </row>
    <row r="78" spans="2:42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397</v>
      </c>
      <c r="W78" t="s">
        <v>396</v>
      </c>
      <c r="X78" t="s">
        <v>314</v>
      </c>
      <c r="AA78" t="str">
        <f t="shared" si="5"/>
        <v>NI</v>
      </c>
      <c r="AB78" t="str">
        <f t="shared" si="6"/>
        <v>e_w409049317-220</v>
      </c>
      <c r="AC78" t="s">
        <v>724</v>
      </c>
      <c r="AD78" t="s">
        <v>723</v>
      </c>
      <c r="AE78" t="s">
        <v>301</v>
      </c>
      <c r="AM78" t="s">
        <v>665</v>
      </c>
      <c r="AN78" t="s">
        <v>597</v>
      </c>
      <c r="AO78" t="s">
        <v>585</v>
      </c>
      <c r="AP78" t="str">
        <f t="shared" si="4"/>
        <v>NI</v>
      </c>
    </row>
    <row r="79" spans="2:42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398</v>
      </c>
      <c r="W79" t="s">
        <v>396</v>
      </c>
      <c r="X79" t="s">
        <v>314</v>
      </c>
      <c r="AA79" t="str">
        <f t="shared" si="5"/>
        <v>SI</v>
      </c>
      <c r="AB79" t="str">
        <f t="shared" si="6"/>
        <v>e_w412589726-220</v>
      </c>
      <c r="AC79" t="s">
        <v>724</v>
      </c>
      <c r="AD79" t="s">
        <v>723</v>
      </c>
      <c r="AE79" t="s">
        <v>301</v>
      </c>
      <c r="AM79" t="s">
        <v>666</v>
      </c>
      <c r="AN79" t="s">
        <v>597</v>
      </c>
      <c r="AO79" t="s">
        <v>584</v>
      </c>
      <c r="AP79" t="str">
        <f t="shared" si="4"/>
        <v>SI</v>
      </c>
    </row>
    <row r="80" spans="2:42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399</v>
      </c>
      <c r="W80" t="s">
        <v>400</v>
      </c>
      <c r="X80" t="s">
        <v>314</v>
      </c>
      <c r="AA80" t="str">
        <f t="shared" si="5"/>
        <v>SI</v>
      </c>
      <c r="AB80" t="str">
        <f t="shared" si="6"/>
        <v>e_w414953388-220</v>
      </c>
      <c r="AC80" t="s">
        <v>724</v>
      </c>
      <c r="AD80" t="s">
        <v>723</v>
      </c>
      <c r="AE80" t="s">
        <v>301</v>
      </c>
      <c r="AM80" t="s">
        <v>667</v>
      </c>
      <c r="AN80" t="s">
        <v>597</v>
      </c>
      <c r="AO80" t="s">
        <v>582</v>
      </c>
      <c r="AP80" t="str">
        <f t="shared" si="4"/>
        <v>SI</v>
      </c>
    </row>
    <row r="81" spans="2:42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401</v>
      </c>
      <c r="W81" t="s">
        <v>400</v>
      </c>
      <c r="X81" t="s">
        <v>314</v>
      </c>
      <c r="AA81" t="str">
        <f t="shared" si="5"/>
        <v>NI</v>
      </c>
      <c r="AB81" t="str">
        <f t="shared" si="6"/>
        <v>e_w627162826-220</v>
      </c>
      <c r="AC81" t="s">
        <v>724</v>
      </c>
      <c r="AD81" t="s">
        <v>723</v>
      </c>
      <c r="AE81" t="s">
        <v>301</v>
      </c>
      <c r="AM81" t="s">
        <v>668</v>
      </c>
      <c r="AN81" t="s">
        <v>597</v>
      </c>
      <c r="AO81" t="s">
        <v>587</v>
      </c>
      <c r="AP81" t="str">
        <f t="shared" si="4"/>
        <v>NI</v>
      </c>
    </row>
    <row r="82" spans="2:42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402</v>
      </c>
      <c r="W82" t="s">
        <v>400</v>
      </c>
      <c r="X82" t="s">
        <v>314</v>
      </c>
      <c r="AA82" t="str">
        <f t="shared" si="5"/>
        <v>NI</v>
      </c>
      <c r="AB82" t="str">
        <f t="shared" si="6"/>
        <v>e_w849110529-220</v>
      </c>
      <c r="AC82" t="s">
        <v>724</v>
      </c>
      <c r="AD82" t="s">
        <v>723</v>
      </c>
      <c r="AE82" t="s">
        <v>301</v>
      </c>
      <c r="AM82" t="s">
        <v>669</v>
      </c>
      <c r="AN82" t="s">
        <v>597</v>
      </c>
      <c r="AO82" t="s">
        <v>579</v>
      </c>
      <c r="AP82" t="str">
        <f t="shared" si="4"/>
        <v>NI</v>
      </c>
    </row>
    <row r="83" spans="2:42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403</v>
      </c>
      <c r="W83" t="s">
        <v>404</v>
      </c>
      <c r="X83" t="s">
        <v>314</v>
      </c>
      <c r="AA83" t="str">
        <f t="shared" si="5"/>
        <v>NI</v>
      </c>
      <c r="AB83" t="str">
        <f t="shared" si="6"/>
        <v>e_w907631032-220</v>
      </c>
      <c r="AC83" t="s">
        <v>724</v>
      </c>
      <c r="AD83" t="s">
        <v>723</v>
      </c>
      <c r="AE83" t="s">
        <v>301</v>
      </c>
      <c r="AM83" t="s">
        <v>670</v>
      </c>
      <c r="AN83" t="s">
        <v>597</v>
      </c>
      <c r="AO83" t="s">
        <v>579</v>
      </c>
      <c r="AP83" t="str">
        <f t="shared" si="4"/>
        <v>NI</v>
      </c>
    </row>
    <row r="84" spans="2:42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405</v>
      </c>
      <c r="W84" t="s">
        <v>404</v>
      </c>
      <c r="X84" t="s">
        <v>314</v>
      </c>
      <c r="AA84" t="str">
        <f t="shared" si="5"/>
        <v>NI</v>
      </c>
      <c r="AB84" t="str">
        <f t="shared" si="6"/>
        <v>e_w1018655038-220</v>
      </c>
      <c r="AC84" t="s">
        <v>724</v>
      </c>
      <c r="AD84" t="s">
        <v>723</v>
      </c>
      <c r="AE84" t="s">
        <v>301</v>
      </c>
      <c r="AM84" t="s">
        <v>671</v>
      </c>
      <c r="AN84" t="s">
        <v>597</v>
      </c>
      <c r="AO84" t="s">
        <v>579</v>
      </c>
      <c r="AP84" t="str">
        <f t="shared" si="4"/>
        <v>NI</v>
      </c>
    </row>
    <row r="85" spans="2:42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406</v>
      </c>
      <c r="W85" t="s">
        <v>404</v>
      </c>
      <c r="X85" t="s">
        <v>314</v>
      </c>
      <c r="AA85" t="str">
        <f t="shared" si="5"/>
        <v>NI</v>
      </c>
      <c r="AB85" t="str">
        <f t="shared" si="6"/>
        <v>e_w1026587442-220</v>
      </c>
      <c r="AC85" t="s">
        <v>724</v>
      </c>
      <c r="AD85" t="s">
        <v>723</v>
      </c>
      <c r="AE85" t="s">
        <v>301</v>
      </c>
      <c r="AM85" t="s">
        <v>672</v>
      </c>
      <c r="AN85" t="s">
        <v>597</v>
      </c>
      <c r="AO85" t="s">
        <v>589</v>
      </c>
      <c r="AP85" t="str">
        <f t="shared" si="4"/>
        <v>NI</v>
      </c>
    </row>
    <row r="86" spans="2:42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407</v>
      </c>
      <c r="W86" t="s">
        <v>408</v>
      </c>
      <c r="X86" t="s">
        <v>314</v>
      </c>
      <c r="AA86" t="str">
        <f t="shared" si="5"/>
        <v>NI</v>
      </c>
      <c r="AB86" t="str">
        <f t="shared" si="6"/>
        <v>e_w1034927052-220</v>
      </c>
      <c r="AC86" t="s">
        <v>724</v>
      </c>
      <c r="AD86" t="s">
        <v>723</v>
      </c>
      <c r="AE86" t="s">
        <v>301</v>
      </c>
      <c r="AM86" t="s">
        <v>673</v>
      </c>
      <c r="AN86" t="s">
        <v>597</v>
      </c>
      <c r="AO86" t="s">
        <v>581</v>
      </c>
      <c r="AP86" t="str">
        <f t="shared" si="4"/>
        <v>NI</v>
      </c>
    </row>
    <row r="87" spans="2:42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409</v>
      </c>
      <c r="W87" t="s">
        <v>408</v>
      </c>
      <c r="X87" t="s">
        <v>314</v>
      </c>
      <c r="AA87" t="str">
        <f t="shared" si="5"/>
        <v>SI</v>
      </c>
      <c r="AB87" t="str">
        <f t="shared" si="6"/>
        <v>e_w1099619174-220</v>
      </c>
      <c r="AC87" t="s">
        <v>724</v>
      </c>
      <c r="AD87" t="s">
        <v>723</v>
      </c>
      <c r="AE87" t="s">
        <v>301</v>
      </c>
      <c r="AM87" t="s">
        <v>674</v>
      </c>
      <c r="AN87" t="s">
        <v>597</v>
      </c>
      <c r="AO87" t="s">
        <v>580</v>
      </c>
      <c r="AP87" t="str">
        <f t="shared" si="4"/>
        <v>SI</v>
      </c>
    </row>
    <row r="88" spans="2:42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410</v>
      </c>
      <c r="W88" t="s">
        <v>408</v>
      </c>
      <c r="X88" t="s">
        <v>314</v>
      </c>
      <c r="AA88" t="str">
        <f t="shared" si="5"/>
        <v>NI</v>
      </c>
      <c r="AB88" t="str">
        <f t="shared" si="6"/>
        <v>e_w1167708390-220</v>
      </c>
      <c r="AC88" t="s">
        <v>724</v>
      </c>
      <c r="AD88" t="s">
        <v>723</v>
      </c>
      <c r="AE88" t="s">
        <v>301</v>
      </c>
      <c r="AM88" t="s">
        <v>675</v>
      </c>
      <c r="AN88" t="s">
        <v>597</v>
      </c>
      <c r="AO88" t="s">
        <v>589</v>
      </c>
      <c r="AP88" t="str">
        <f t="shared" si="4"/>
        <v>NI</v>
      </c>
    </row>
    <row r="89" spans="2:42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411</v>
      </c>
      <c r="W89" t="s">
        <v>412</v>
      </c>
      <c r="X89" t="s">
        <v>314</v>
      </c>
      <c r="AA89" t="str">
        <f t="shared" si="5"/>
        <v>NI</v>
      </c>
      <c r="AB89" t="str">
        <f t="shared" si="6"/>
        <v>e_w1363994055-220</v>
      </c>
      <c r="AC89" t="s">
        <v>724</v>
      </c>
      <c r="AD89" t="s">
        <v>723</v>
      </c>
      <c r="AE89" t="s">
        <v>301</v>
      </c>
      <c r="AM89" t="s">
        <v>676</v>
      </c>
      <c r="AN89" t="s">
        <v>597</v>
      </c>
      <c r="AO89" t="s">
        <v>579</v>
      </c>
      <c r="AP89" t="str">
        <f t="shared" si="4"/>
        <v>NI</v>
      </c>
    </row>
    <row r="90" spans="2:42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413</v>
      </c>
      <c r="W90" t="s">
        <v>412</v>
      </c>
      <c r="X90" t="s">
        <v>314</v>
      </c>
      <c r="AA90" t="str">
        <f t="shared" si="5"/>
        <v>NI</v>
      </c>
      <c r="AB90" t="str">
        <f t="shared" si="6"/>
        <v>e_r17609399-220</v>
      </c>
      <c r="AC90" t="s">
        <v>724</v>
      </c>
      <c r="AD90" t="s">
        <v>723</v>
      </c>
      <c r="AE90" t="s">
        <v>301</v>
      </c>
      <c r="AM90" t="s">
        <v>677</v>
      </c>
      <c r="AN90" t="s">
        <v>597</v>
      </c>
      <c r="AO90" t="s">
        <v>593</v>
      </c>
      <c r="AP90" t="str">
        <f t="shared" si="4"/>
        <v>NI</v>
      </c>
    </row>
    <row r="91" spans="2:42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414</v>
      </c>
      <c r="W91" t="s">
        <v>412</v>
      </c>
      <c r="X91" t="s">
        <v>314</v>
      </c>
      <c r="AA91" t="str">
        <f t="shared" si="5"/>
        <v>NI</v>
      </c>
      <c r="AB91" t="str">
        <f t="shared" si="6"/>
        <v>e_NZ26-220</v>
      </c>
      <c r="AC91" t="s">
        <v>724</v>
      </c>
      <c r="AD91" t="s">
        <v>723</v>
      </c>
      <c r="AE91" t="s">
        <v>301</v>
      </c>
      <c r="AM91" t="s">
        <v>678</v>
      </c>
      <c r="AN91" t="s">
        <v>597</v>
      </c>
      <c r="AO91" t="s">
        <v>587</v>
      </c>
      <c r="AP91" t="str">
        <f t="shared" si="4"/>
        <v>NI</v>
      </c>
    </row>
    <row r="92" spans="2:42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415</v>
      </c>
      <c r="W92" t="s">
        <v>416</v>
      </c>
      <c r="X92" t="s">
        <v>314</v>
      </c>
      <c r="AA92" t="str">
        <f t="shared" si="5"/>
        <v>SI</v>
      </c>
      <c r="AB92" t="str">
        <f t="shared" si="6"/>
        <v>e_NZ28-220</v>
      </c>
      <c r="AC92" t="s">
        <v>724</v>
      </c>
      <c r="AD92" t="s">
        <v>723</v>
      </c>
      <c r="AE92" t="s">
        <v>301</v>
      </c>
      <c r="AM92" t="s">
        <v>679</v>
      </c>
      <c r="AN92" t="s">
        <v>597</v>
      </c>
      <c r="AO92" t="s">
        <v>580</v>
      </c>
      <c r="AP92" t="str">
        <f t="shared" si="4"/>
        <v>SI</v>
      </c>
    </row>
    <row r="93" spans="2:42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417</v>
      </c>
      <c r="W93" t="s">
        <v>416</v>
      </c>
      <c r="X93" t="s">
        <v>314</v>
      </c>
      <c r="AA93" t="str">
        <f t="shared" si="5"/>
        <v>NI</v>
      </c>
      <c r="AB93" t="str">
        <f t="shared" si="6"/>
        <v>e_NZ4-220</v>
      </c>
      <c r="AC93" t="s">
        <v>724</v>
      </c>
      <c r="AD93" t="s">
        <v>723</v>
      </c>
      <c r="AE93" t="s">
        <v>301</v>
      </c>
      <c r="AM93" t="s">
        <v>680</v>
      </c>
      <c r="AN93" t="s">
        <v>597</v>
      </c>
      <c r="AO93" t="s">
        <v>579</v>
      </c>
      <c r="AP93" t="str">
        <f t="shared" si="4"/>
        <v>NI</v>
      </c>
    </row>
    <row r="94" spans="2:42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418</v>
      </c>
      <c r="W94" t="s">
        <v>416</v>
      </c>
      <c r="X94" t="s">
        <v>314</v>
      </c>
      <c r="AA94" t="str">
        <f t="shared" si="5"/>
        <v>NI</v>
      </c>
      <c r="AB94" t="str">
        <f t="shared" si="6"/>
        <v>e_NZ20-220</v>
      </c>
      <c r="AC94" t="s">
        <v>724</v>
      </c>
      <c r="AD94" t="s">
        <v>723</v>
      </c>
      <c r="AE94" t="s">
        <v>301</v>
      </c>
      <c r="AM94" t="s">
        <v>681</v>
      </c>
      <c r="AN94" t="s">
        <v>597</v>
      </c>
      <c r="AO94" t="s">
        <v>581</v>
      </c>
      <c r="AP94" t="str">
        <f t="shared" si="4"/>
        <v>NI</v>
      </c>
    </row>
    <row r="95" spans="2:42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419</v>
      </c>
      <c r="W95" t="s">
        <v>420</v>
      </c>
      <c r="X95" t="s">
        <v>314</v>
      </c>
      <c r="AA95" t="str">
        <f t="shared" si="5"/>
        <v>NI</v>
      </c>
      <c r="AB95" t="str">
        <f t="shared" si="6"/>
        <v>e_NZ19-220</v>
      </c>
      <c r="AC95" t="s">
        <v>724</v>
      </c>
      <c r="AD95" t="s">
        <v>723</v>
      </c>
      <c r="AE95" t="s">
        <v>301</v>
      </c>
      <c r="AM95" t="s">
        <v>682</v>
      </c>
      <c r="AN95" t="s">
        <v>597</v>
      </c>
      <c r="AO95" t="s">
        <v>581</v>
      </c>
      <c r="AP95" t="str">
        <f t="shared" si="4"/>
        <v>NI</v>
      </c>
    </row>
    <row r="96" spans="2:42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421</v>
      </c>
      <c r="W96" t="s">
        <v>420</v>
      </c>
      <c r="X96" t="s">
        <v>314</v>
      </c>
      <c r="AA96" t="str">
        <f t="shared" si="5"/>
        <v>SI</v>
      </c>
      <c r="AB96" t="str">
        <f t="shared" si="6"/>
        <v>e_NZ37-220</v>
      </c>
      <c r="AC96" t="s">
        <v>724</v>
      </c>
      <c r="AD96" t="s">
        <v>723</v>
      </c>
      <c r="AE96" t="s">
        <v>301</v>
      </c>
      <c r="AM96" t="s">
        <v>683</v>
      </c>
      <c r="AN96" t="s">
        <v>597</v>
      </c>
      <c r="AO96" t="s">
        <v>580</v>
      </c>
      <c r="AP96" t="str">
        <f t="shared" si="4"/>
        <v>SI</v>
      </c>
    </row>
    <row r="97" spans="2:42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422</v>
      </c>
      <c r="W97" t="s">
        <v>420</v>
      </c>
      <c r="X97" t="s">
        <v>314</v>
      </c>
      <c r="AA97" t="str">
        <f t="shared" si="5"/>
        <v>SI</v>
      </c>
      <c r="AB97" t="str">
        <f t="shared" si="6"/>
        <v>e_NZ36-220</v>
      </c>
      <c r="AC97" t="s">
        <v>724</v>
      </c>
      <c r="AD97" t="s">
        <v>723</v>
      </c>
      <c r="AE97" t="s">
        <v>301</v>
      </c>
      <c r="AM97" t="s">
        <v>684</v>
      </c>
      <c r="AN97" t="s">
        <v>597</v>
      </c>
      <c r="AO97" t="s">
        <v>580</v>
      </c>
      <c r="AP97" t="str">
        <f t="shared" si="4"/>
        <v>SI</v>
      </c>
    </row>
    <row r="98" spans="2:42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423</v>
      </c>
      <c r="W98" t="s">
        <v>424</v>
      </c>
      <c r="X98" t="s">
        <v>314</v>
      </c>
      <c r="AA98" t="str">
        <f t="shared" si="5"/>
        <v>SI</v>
      </c>
      <c r="AB98" t="str">
        <f t="shared" si="6"/>
        <v>e_NZ34-220</v>
      </c>
      <c r="AC98" t="s">
        <v>724</v>
      </c>
      <c r="AD98" t="s">
        <v>723</v>
      </c>
      <c r="AE98" t="s">
        <v>301</v>
      </c>
      <c r="AM98" t="s">
        <v>685</v>
      </c>
      <c r="AN98" t="s">
        <v>597</v>
      </c>
      <c r="AO98" t="s">
        <v>580</v>
      </c>
      <c r="AP98" t="str">
        <f t="shared" si="4"/>
        <v>SI</v>
      </c>
    </row>
    <row r="99" spans="2:42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425</v>
      </c>
      <c r="W99" t="s">
        <v>424</v>
      </c>
      <c r="X99" t="s">
        <v>314</v>
      </c>
      <c r="AA99" t="str">
        <f t="shared" si="5"/>
        <v>SI</v>
      </c>
      <c r="AB99" t="str">
        <f t="shared" si="6"/>
        <v>e_NZ39-220</v>
      </c>
      <c r="AC99" t="s">
        <v>724</v>
      </c>
      <c r="AD99" t="s">
        <v>723</v>
      </c>
      <c r="AE99" t="s">
        <v>301</v>
      </c>
      <c r="AM99" t="s">
        <v>686</v>
      </c>
      <c r="AN99" t="s">
        <v>597</v>
      </c>
      <c r="AO99" t="s">
        <v>580</v>
      </c>
      <c r="AP99" t="str">
        <f t="shared" si="4"/>
        <v>SI</v>
      </c>
    </row>
    <row r="100" spans="2:42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426</v>
      </c>
      <c r="W100" t="s">
        <v>424</v>
      </c>
      <c r="X100" t="s">
        <v>314</v>
      </c>
      <c r="AA100" t="str">
        <f t="shared" si="5"/>
        <v>SI</v>
      </c>
      <c r="AB100" t="str">
        <f t="shared" si="6"/>
        <v>e_NZ29-220</v>
      </c>
      <c r="AC100" t="s">
        <v>724</v>
      </c>
      <c r="AD100" t="s">
        <v>723</v>
      </c>
      <c r="AE100" t="s">
        <v>301</v>
      </c>
      <c r="AM100" t="s">
        <v>687</v>
      </c>
      <c r="AN100" t="s">
        <v>597</v>
      </c>
      <c r="AO100" t="s">
        <v>580</v>
      </c>
      <c r="AP100" t="str">
        <f t="shared" si="4"/>
        <v>SI</v>
      </c>
    </row>
    <row r="101" spans="2:42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427</v>
      </c>
      <c r="W101" t="s">
        <v>428</v>
      </c>
      <c r="X101" t="s">
        <v>314</v>
      </c>
      <c r="AA101" t="str">
        <f t="shared" si="5"/>
        <v>SI</v>
      </c>
      <c r="AB101" t="str">
        <f t="shared" si="6"/>
        <v>e_NZ42-220</v>
      </c>
      <c r="AC101" t="s">
        <v>724</v>
      </c>
      <c r="AD101" t="s">
        <v>723</v>
      </c>
      <c r="AE101" t="s">
        <v>301</v>
      </c>
      <c r="AM101" t="s">
        <v>688</v>
      </c>
      <c r="AN101" t="s">
        <v>597</v>
      </c>
      <c r="AO101" t="s">
        <v>584</v>
      </c>
      <c r="AP101" t="str">
        <f t="shared" si="4"/>
        <v>SI</v>
      </c>
    </row>
    <row r="102" spans="2:42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429</v>
      </c>
      <c r="W102" t="s">
        <v>428</v>
      </c>
      <c r="X102" t="s">
        <v>314</v>
      </c>
      <c r="AA102" t="str">
        <f t="shared" si="5"/>
        <v>SI</v>
      </c>
      <c r="AB102" t="str">
        <f t="shared" si="6"/>
        <v>e_NZ41-220</v>
      </c>
      <c r="AC102" t="s">
        <v>724</v>
      </c>
      <c r="AD102" t="s">
        <v>723</v>
      </c>
      <c r="AE102" t="s">
        <v>301</v>
      </c>
      <c r="AM102" t="s">
        <v>689</v>
      </c>
      <c r="AN102" t="s">
        <v>597</v>
      </c>
      <c r="AO102" t="s">
        <v>584</v>
      </c>
      <c r="AP102" t="str">
        <f t="shared" si="4"/>
        <v>SI</v>
      </c>
    </row>
    <row r="103" spans="2:42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430</v>
      </c>
      <c r="W103" t="s">
        <v>428</v>
      </c>
      <c r="X103" t="s">
        <v>314</v>
      </c>
      <c r="AA103" t="str">
        <f t="shared" si="5"/>
        <v>SI</v>
      </c>
      <c r="AB103" t="str">
        <f t="shared" si="6"/>
        <v>e_NZ43-220</v>
      </c>
      <c r="AC103" t="s">
        <v>724</v>
      </c>
      <c r="AD103" t="s">
        <v>723</v>
      </c>
      <c r="AE103" t="s">
        <v>301</v>
      </c>
      <c r="AM103" t="s">
        <v>690</v>
      </c>
      <c r="AN103" t="s">
        <v>597</v>
      </c>
      <c r="AO103" t="s">
        <v>584</v>
      </c>
      <c r="AP103" t="str">
        <f t="shared" si="4"/>
        <v>SI</v>
      </c>
    </row>
    <row r="104" spans="2:42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431</v>
      </c>
      <c r="W104" t="s">
        <v>432</v>
      </c>
      <c r="X104" t="s">
        <v>314</v>
      </c>
      <c r="AA104" t="str">
        <f t="shared" si="5"/>
        <v>NI</v>
      </c>
      <c r="AB104" t="str">
        <f t="shared" si="6"/>
        <v>e_NZ10-220</v>
      </c>
      <c r="AC104" t="s">
        <v>724</v>
      </c>
      <c r="AD104" t="s">
        <v>723</v>
      </c>
      <c r="AE104" t="s">
        <v>301</v>
      </c>
      <c r="AM104" t="s">
        <v>691</v>
      </c>
      <c r="AN104" t="s">
        <v>597</v>
      </c>
      <c r="AO104" t="s">
        <v>581</v>
      </c>
      <c r="AP104" t="str">
        <f t="shared" si="4"/>
        <v>NI</v>
      </c>
    </row>
    <row r="105" spans="2:42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433</v>
      </c>
      <c r="W105" t="s">
        <v>432</v>
      </c>
      <c r="X105" t="s">
        <v>314</v>
      </c>
      <c r="AA105" t="str">
        <f t="shared" si="5"/>
        <v>NI</v>
      </c>
      <c r="AB105" t="str">
        <f t="shared" si="6"/>
        <v>e_NZ21-220</v>
      </c>
      <c r="AC105" t="s">
        <v>724</v>
      </c>
      <c r="AD105" t="s">
        <v>723</v>
      </c>
      <c r="AE105" t="s">
        <v>301</v>
      </c>
      <c r="AM105" t="s">
        <v>692</v>
      </c>
      <c r="AN105" t="s">
        <v>597</v>
      </c>
      <c r="AO105" t="s">
        <v>581</v>
      </c>
      <c r="AP105" t="str">
        <f t="shared" si="4"/>
        <v>NI</v>
      </c>
    </row>
    <row r="106" spans="2:42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434</v>
      </c>
      <c r="W106" t="s">
        <v>432</v>
      </c>
      <c r="X106" t="s">
        <v>314</v>
      </c>
      <c r="AA106" t="str">
        <f t="shared" si="5"/>
        <v>NI</v>
      </c>
      <c r="AB106" t="str">
        <f t="shared" si="6"/>
        <v>e_NZ16-220</v>
      </c>
      <c r="AC106" t="s">
        <v>724</v>
      </c>
      <c r="AD106" t="s">
        <v>723</v>
      </c>
      <c r="AE106" t="s">
        <v>301</v>
      </c>
      <c r="AM106" t="s">
        <v>693</v>
      </c>
      <c r="AN106" t="s">
        <v>597</v>
      </c>
      <c r="AO106" t="s">
        <v>581</v>
      </c>
      <c r="AP106" t="str">
        <f t="shared" ref="AP106:AP133" si="7">IFERROR(VLOOKUP(AO106,$AJ$10:$AK$18,2,FALSE),"NI")</f>
        <v>NI</v>
      </c>
    </row>
    <row r="107" spans="2:42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435</v>
      </c>
      <c r="W107" t="s">
        <v>436</v>
      </c>
      <c r="X107" t="s">
        <v>314</v>
      </c>
      <c r="AA107" t="str">
        <f t="shared" si="5"/>
        <v>SI</v>
      </c>
      <c r="AB107" t="str">
        <f t="shared" si="6"/>
        <v>e_NZ32-220</v>
      </c>
      <c r="AC107" t="s">
        <v>724</v>
      </c>
      <c r="AD107" t="s">
        <v>723</v>
      </c>
      <c r="AE107" t="s">
        <v>301</v>
      </c>
      <c r="AM107" t="s">
        <v>694</v>
      </c>
      <c r="AN107" t="s">
        <v>597</v>
      </c>
      <c r="AO107" t="s">
        <v>580</v>
      </c>
      <c r="AP107" t="str">
        <f t="shared" si="7"/>
        <v>SI</v>
      </c>
    </row>
    <row r="108" spans="2:42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437</v>
      </c>
      <c r="W108" t="s">
        <v>436</v>
      </c>
      <c r="X108" t="s">
        <v>314</v>
      </c>
      <c r="AA108" t="str">
        <f t="shared" si="5"/>
        <v>NI</v>
      </c>
      <c r="AB108" t="str">
        <f t="shared" si="6"/>
        <v>e_NZ7-220</v>
      </c>
      <c r="AC108" t="s">
        <v>724</v>
      </c>
      <c r="AD108" t="s">
        <v>723</v>
      </c>
      <c r="AE108" t="s">
        <v>301</v>
      </c>
      <c r="AM108" t="s">
        <v>695</v>
      </c>
      <c r="AN108" t="s">
        <v>597</v>
      </c>
      <c r="AO108" t="s">
        <v>581</v>
      </c>
      <c r="AP108" t="str">
        <f t="shared" si="7"/>
        <v>NI</v>
      </c>
    </row>
    <row r="109" spans="2:42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438</v>
      </c>
      <c r="W109" t="s">
        <v>436</v>
      </c>
      <c r="X109" t="s">
        <v>314</v>
      </c>
      <c r="AA109" t="str">
        <f t="shared" si="5"/>
        <v>NI</v>
      </c>
      <c r="AB109" t="str">
        <f t="shared" si="6"/>
        <v>e_NZ25-220</v>
      </c>
      <c r="AC109" t="s">
        <v>724</v>
      </c>
      <c r="AD109" t="s">
        <v>723</v>
      </c>
      <c r="AE109" t="s">
        <v>301</v>
      </c>
      <c r="AM109" t="s">
        <v>696</v>
      </c>
      <c r="AN109" t="s">
        <v>597</v>
      </c>
      <c r="AO109" t="s">
        <v>589</v>
      </c>
      <c r="AP109" t="str">
        <f t="shared" si="7"/>
        <v>NI</v>
      </c>
    </row>
    <row r="110" spans="2:42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439</v>
      </c>
      <c r="W110" t="s">
        <v>440</v>
      </c>
      <c r="X110" t="s">
        <v>314</v>
      </c>
      <c r="AA110" t="str">
        <f t="shared" si="5"/>
        <v>NI</v>
      </c>
      <c r="AB110" t="str">
        <f t="shared" si="6"/>
        <v>e_NZ24-220</v>
      </c>
      <c r="AC110" t="s">
        <v>724</v>
      </c>
      <c r="AD110" t="s">
        <v>723</v>
      </c>
      <c r="AE110" t="s">
        <v>301</v>
      </c>
      <c r="AM110" t="s">
        <v>697</v>
      </c>
      <c r="AN110" t="s">
        <v>597</v>
      </c>
      <c r="AO110" t="s">
        <v>589</v>
      </c>
      <c r="AP110" t="str">
        <f t="shared" si="7"/>
        <v>NI</v>
      </c>
    </row>
    <row r="111" spans="2:42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441</v>
      </c>
      <c r="W111" t="s">
        <v>440</v>
      </c>
      <c r="X111" t="s">
        <v>314</v>
      </c>
      <c r="AA111" t="str">
        <f t="shared" si="5"/>
        <v>SI</v>
      </c>
      <c r="AB111" t="str">
        <f t="shared" si="6"/>
        <v>e_NZ40-220</v>
      </c>
      <c r="AC111" t="s">
        <v>724</v>
      </c>
      <c r="AD111" t="s">
        <v>723</v>
      </c>
      <c r="AE111" t="s">
        <v>301</v>
      </c>
      <c r="AM111" t="s">
        <v>698</v>
      </c>
      <c r="AN111" t="s">
        <v>597</v>
      </c>
      <c r="AO111" t="s">
        <v>582</v>
      </c>
      <c r="AP111" t="str">
        <f t="shared" si="7"/>
        <v>SI</v>
      </c>
    </row>
    <row r="112" spans="2:42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442</v>
      </c>
      <c r="W112" t="s">
        <v>440</v>
      </c>
      <c r="X112" t="s">
        <v>314</v>
      </c>
      <c r="AA112" t="str">
        <f t="shared" si="5"/>
        <v>NI</v>
      </c>
      <c r="AB112" t="str">
        <f t="shared" si="6"/>
        <v>e_NZ9-220</v>
      </c>
      <c r="AC112" t="s">
        <v>724</v>
      </c>
      <c r="AD112" t="s">
        <v>723</v>
      </c>
      <c r="AE112" t="s">
        <v>301</v>
      </c>
      <c r="AM112" t="s">
        <v>699</v>
      </c>
      <c r="AN112" t="s">
        <v>597</v>
      </c>
      <c r="AO112" t="s">
        <v>581</v>
      </c>
      <c r="AP112" t="str">
        <f t="shared" si="7"/>
        <v>NI</v>
      </c>
    </row>
    <row r="113" spans="2:42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443</v>
      </c>
      <c r="W113" t="s">
        <v>444</v>
      </c>
      <c r="X113" t="s">
        <v>314</v>
      </c>
      <c r="AA113" t="str">
        <f t="shared" si="5"/>
        <v>NI</v>
      </c>
      <c r="AB113" t="str">
        <f t="shared" si="6"/>
        <v>e_NZ11-220</v>
      </c>
      <c r="AC113" t="s">
        <v>724</v>
      </c>
      <c r="AD113" t="s">
        <v>723</v>
      </c>
      <c r="AE113" t="s">
        <v>301</v>
      </c>
      <c r="AM113" t="s">
        <v>700</v>
      </c>
      <c r="AN113" t="s">
        <v>597</v>
      </c>
      <c r="AO113" t="s">
        <v>581</v>
      </c>
      <c r="AP113" t="str">
        <f t="shared" si="7"/>
        <v>NI</v>
      </c>
    </row>
    <row r="114" spans="2:42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445</v>
      </c>
      <c r="W114" t="s">
        <v>444</v>
      </c>
      <c r="X114" t="s">
        <v>314</v>
      </c>
      <c r="AA114" t="str">
        <f t="shared" si="5"/>
        <v>NI</v>
      </c>
      <c r="AB114" t="str">
        <f t="shared" si="6"/>
        <v>e_NZ12-220</v>
      </c>
      <c r="AC114" t="s">
        <v>724</v>
      </c>
      <c r="AD114" t="s">
        <v>723</v>
      </c>
      <c r="AE114" t="s">
        <v>301</v>
      </c>
      <c r="AM114" t="s">
        <v>701</v>
      </c>
      <c r="AN114" t="s">
        <v>597</v>
      </c>
      <c r="AO114" t="s">
        <v>581</v>
      </c>
      <c r="AP114" t="str">
        <f t="shared" si="7"/>
        <v>NI</v>
      </c>
    </row>
    <row r="115" spans="2:42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446</v>
      </c>
      <c r="W115" t="s">
        <v>444</v>
      </c>
      <c r="X115" t="s">
        <v>314</v>
      </c>
      <c r="AA115" t="str">
        <f t="shared" si="5"/>
        <v>SI</v>
      </c>
      <c r="AB115" t="str">
        <f t="shared" si="6"/>
        <v>e_NZ27-220</v>
      </c>
      <c r="AC115" t="s">
        <v>724</v>
      </c>
      <c r="AD115" t="s">
        <v>723</v>
      </c>
      <c r="AE115" t="s">
        <v>301</v>
      </c>
      <c r="AM115" t="s">
        <v>702</v>
      </c>
      <c r="AN115" t="s">
        <v>597</v>
      </c>
      <c r="AO115" t="s">
        <v>588</v>
      </c>
      <c r="AP115" t="str">
        <f t="shared" si="7"/>
        <v>SI</v>
      </c>
    </row>
    <row r="116" spans="2:42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447</v>
      </c>
      <c r="W116" t="s">
        <v>448</v>
      </c>
      <c r="X116" t="s">
        <v>314</v>
      </c>
      <c r="AA116" t="str">
        <f t="shared" si="5"/>
        <v>NI</v>
      </c>
      <c r="AB116" t="str">
        <f t="shared" si="6"/>
        <v>e_NZ5-220</v>
      </c>
      <c r="AC116" t="s">
        <v>724</v>
      </c>
      <c r="AD116" t="s">
        <v>723</v>
      </c>
      <c r="AE116" t="s">
        <v>301</v>
      </c>
      <c r="AM116" t="s">
        <v>703</v>
      </c>
      <c r="AN116" t="s">
        <v>597</v>
      </c>
      <c r="AO116" t="s">
        <v>581</v>
      </c>
      <c r="AP116" t="str">
        <f t="shared" si="7"/>
        <v>NI</v>
      </c>
    </row>
    <row r="117" spans="2:42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449</v>
      </c>
      <c r="W117" t="s">
        <v>448</v>
      </c>
      <c r="X117" t="s">
        <v>314</v>
      </c>
      <c r="AA117" t="str">
        <f t="shared" si="5"/>
        <v>NI</v>
      </c>
      <c r="AB117" t="str">
        <f t="shared" si="6"/>
        <v>e_NZ2-220</v>
      </c>
      <c r="AC117" t="s">
        <v>724</v>
      </c>
      <c r="AD117" t="s">
        <v>723</v>
      </c>
      <c r="AE117" t="s">
        <v>301</v>
      </c>
      <c r="AM117" t="s">
        <v>704</v>
      </c>
      <c r="AN117" t="s">
        <v>597</v>
      </c>
      <c r="AO117" t="s">
        <v>579</v>
      </c>
      <c r="AP117" t="str">
        <f t="shared" si="7"/>
        <v>NI</v>
      </c>
    </row>
    <row r="118" spans="2:42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450</v>
      </c>
      <c r="W118" t="s">
        <v>448</v>
      </c>
      <c r="X118" t="s">
        <v>314</v>
      </c>
      <c r="AA118" t="str">
        <f t="shared" si="5"/>
        <v>NI</v>
      </c>
      <c r="AB118" t="str">
        <f t="shared" si="6"/>
        <v>e_NZ3-220</v>
      </c>
      <c r="AC118" t="s">
        <v>724</v>
      </c>
      <c r="AD118" t="s">
        <v>723</v>
      </c>
      <c r="AE118" t="s">
        <v>301</v>
      </c>
      <c r="AM118" t="s">
        <v>705</v>
      </c>
      <c r="AN118" t="s">
        <v>597</v>
      </c>
      <c r="AO118" t="s">
        <v>579</v>
      </c>
      <c r="AP118" t="str">
        <f t="shared" si="7"/>
        <v>NI</v>
      </c>
    </row>
    <row r="119" spans="2:42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451</v>
      </c>
      <c r="W119" t="s">
        <v>452</v>
      </c>
      <c r="X119" t="s">
        <v>314</v>
      </c>
      <c r="AA119" t="str">
        <f t="shared" si="5"/>
        <v>NI</v>
      </c>
      <c r="AB119" t="str">
        <f t="shared" si="6"/>
        <v>e_NZ18-220</v>
      </c>
      <c r="AC119" t="s">
        <v>724</v>
      </c>
      <c r="AD119" t="s">
        <v>723</v>
      </c>
      <c r="AE119" t="s">
        <v>301</v>
      </c>
      <c r="AM119" t="s">
        <v>706</v>
      </c>
      <c r="AN119" t="s">
        <v>597</v>
      </c>
      <c r="AO119" t="s">
        <v>581</v>
      </c>
      <c r="AP119" t="str">
        <f t="shared" si="7"/>
        <v>NI</v>
      </c>
    </row>
    <row r="120" spans="2:42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453</v>
      </c>
      <c r="W120" t="s">
        <v>452</v>
      </c>
      <c r="X120" t="s">
        <v>314</v>
      </c>
      <c r="AA120" t="str">
        <f t="shared" si="5"/>
        <v>NI</v>
      </c>
      <c r="AB120" t="str">
        <f t="shared" si="6"/>
        <v>e_NZ6-220</v>
      </c>
      <c r="AC120" t="s">
        <v>724</v>
      </c>
      <c r="AD120" t="s">
        <v>723</v>
      </c>
      <c r="AE120" t="s">
        <v>301</v>
      </c>
      <c r="AM120" t="s">
        <v>707</v>
      </c>
      <c r="AN120" t="s">
        <v>597</v>
      </c>
      <c r="AO120" t="s">
        <v>581</v>
      </c>
      <c r="AP120" t="str">
        <f t="shared" si="7"/>
        <v>NI</v>
      </c>
    </row>
    <row r="121" spans="2:42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454</v>
      </c>
      <c r="W121" t="s">
        <v>452</v>
      </c>
      <c r="X121" t="s">
        <v>314</v>
      </c>
      <c r="AA121" t="str">
        <f t="shared" si="5"/>
        <v>SI</v>
      </c>
      <c r="AB121" t="str">
        <f t="shared" si="6"/>
        <v>e_NZ30-220</v>
      </c>
      <c r="AC121" t="s">
        <v>724</v>
      </c>
      <c r="AD121" t="s">
        <v>723</v>
      </c>
      <c r="AE121" t="s">
        <v>301</v>
      </c>
      <c r="AM121" t="s">
        <v>708</v>
      </c>
      <c r="AN121" t="s">
        <v>597</v>
      </c>
      <c r="AO121" t="s">
        <v>580</v>
      </c>
      <c r="AP121" t="str">
        <f t="shared" si="7"/>
        <v>SI</v>
      </c>
    </row>
    <row r="122" spans="2:42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455</v>
      </c>
      <c r="W122" t="s">
        <v>456</v>
      </c>
      <c r="X122" t="s">
        <v>314</v>
      </c>
      <c r="AA122" t="str">
        <f t="shared" si="5"/>
        <v>NI</v>
      </c>
      <c r="AB122" t="str">
        <f t="shared" si="6"/>
        <v>e_NZ1-220</v>
      </c>
      <c r="AC122" t="s">
        <v>724</v>
      </c>
      <c r="AD122" t="s">
        <v>723</v>
      </c>
      <c r="AE122" t="s">
        <v>301</v>
      </c>
      <c r="AM122" t="s">
        <v>709</v>
      </c>
      <c r="AN122" t="s">
        <v>597</v>
      </c>
      <c r="AO122" t="s">
        <v>579</v>
      </c>
      <c r="AP122" t="str">
        <f t="shared" si="7"/>
        <v>NI</v>
      </c>
    </row>
    <row r="123" spans="2:42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457</v>
      </c>
      <c r="W123" t="s">
        <v>456</v>
      </c>
      <c r="X123" t="s">
        <v>314</v>
      </c>
      <c r="AA123" t="str">
        <f t="shared" si="5"/>
        <v>NI</v>
      </c>
      <c r="AB123" t="str">
        <f t="shared" si="6"/>
        <v>e_NZ17-220</v>
      </c>
      <c r="AC123" t="s">
        <v>724</v>
      </c>
      <c r="AD123" t="s">
        <v>723</v>
      </c>
      <c r="AE123" t="s">
        <v>301</v>
      </c>
      <c r="AM123" t="s">
        <v>710</v>
      </c>
      <c r="AN123" t="s">
        <v>597</v>
      </c>
      <c r="AO123" t="s">
        <v>581</v>
      </c>
      <c r="AP123" t="str">
        <f t="shared" si="7"/>
        <v>NI</v>
      </c>
    </row>
    <row r="124" spans="2:42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458</v>
      </c>
      <c r="W124" t="s">
        <v>456</v>
      </c>
      <c r="X124" t="s">
        <v>314</v>
      </c>
      <c r="AA124" t="str">
        <f t="shared" si="5"/>
        <v>NI</v>
      </c>
      <c r="AB124" t="str">
        <f t="shared" si="6"/>
        <v>e_NZ22-220</v>
      </c>
      <c r="AC124" t="s">
        <v>724</v>
      </c>
      <c r="AD124" t="s">
        <v>723</v>
      </c>
      <c r="AE124" t="s">
        <v>301</v>
      </c>
      <c r="AM124" t="s">
        <v>711</v>
      </c>
      <c r="AN124" t="s">
        <v>597</v>
      </c>
      <c r="AO124" t="s">
        <v>581</v>
      </c>
      <c r="AP124" t="str">
        <f t="shared" si="7"/>
        <v>NI</v>
      </c>
    </row>
    <row r="125" spans="2:42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459</v>
      </c>
      <c r="W125" t="s">
        <v>313</v>
      </c>
      <c r="X125" t="s">
        <v>314</v>
      </c>
      <c r="AA125" t="str">
        <f t="shared" si="5"/>
        <v>SI</v>
      </c>
      <c r="AB125" t="str">
        <f t="shared" si="6"/>
        <v>e_NZ31-220</v>
      </c>
      <c r="AC125" t="s">
        <v>724</v>
      </c>
      <c r="AD125" t="s">
        <v>723</v>
      </c>
      <c r="AE125" t="s">
        <v>301</v>
      </c>
      <c r="AM125" t="s">
        <v>712</v>
      </c>
      <c r="AN125" t="s">
        <v>597</v>
      </c>
      <c r="AO125" t="s">
        <v>580</v>
      </c>
      <c r="AP125" t="str">
        <f t="shared" si="7"/>
        <v>SI</v>
      </c>
    </row>
    <row r="126" spans="2:42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460</v>
      </c>
      <c r="W126" t="s">
        <v>313</v>
      </c>
      <c r="X126" t="s">
        <v>314</v>
      </c>
      <c r="AA126" t="str">
        <f t="shared" si="5"/>
        <v>NI</v>
      </c>
      <c r="AB126" t="str">
        <f t="shared" si="6"/>
        <v>e_NZ13-220</v>
      </c>
      <c r="AC126" t="s">
        <v>724</v>
      </c>
      <c r="AD126" t="s">
        <v>723</v>
      </c>
      <c r="AE126" t="s">
        <v>301</v>
      </c>
      <c r="AM126" t="s">
        <v>713</v>
      </c>
      <c r="AN126" t="s">
        <v>597</v>
      </c>
      <c r="AO126" t="s">
        <v>591</v>
      </c>
      <c r="AP126" t="str">
        <f t="shared" si="7"/>
        <v>NI</v>
      </c>
    </row>
    <row r="127" spans="2:42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461</v>
      </c>
      <c r="W127" t="s">
        <v>328</v>
      </c>
      <c r="X127" t="s">
        <v>314</v>
      </c>
      <c r="AA127" t="str">
        <f t="shared" si="5"/>
        <v>NI</v>
      </c>
      <c r="AB127" t="str">
        <f t="shared" si="6"/>
        <v>e_NZ14-220</v>
      </c>
      <c r="AC127" t="s">
        <v>724</v>
      </c>
      <c r="AD127" t="s">
        <v>723</v>
      </c>
      <c r="AE127" t="s">
        <v>301</v>
      </c>
      <c r="AM127" t="s">
        <v>714</v>
      </c>
      <c r="AN127" t="s">
        <v>597</v>
      </c>
      <c r="AO127" t="s">
        <v>581</v>
      </c>
      <c r="AP127" t="str">
        <f t="shared" si="7"/>
        <v>NI</v>
      </c>
    </row>
    <row r="128" spans="2:42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462</v>
      </c>
      <c r="W128" t="s">
        <v>328</v>
      </c>
      <c r="X128" t="s">
        <v>314</v>
      </c>
      <c r="AA128" t="str">
        <f t="shared" si="5"/>
        <v>NI</v>
      </c>
      <c r="AB128" t="str">
        <f t="shared" si="6"/>
        <v>e_NZ23-220</v>
      </c>
      <c r="AC128" t="s">
        <v>724</v>
      </c>
      <c r="AD128" t="s">
        <v>723</v>
      </c>
      <c r="AE128" t="s">
        <v>301</v>
      </c>
      <c r="AM128" t="s">
        <v>715</v>
      </c>
      <c r="AN128" t="s">
        <v>597</v>
      </c>
      <c r="AO128" t="s">
        <v>589</v>
      </c>
      <c r="AP128" t="str">
        <f t="shared" si="7"/>
        <v>NI</v>
      </c>
    </row>
    <row r="129" spans="2:42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463</v>
      </c>
      <c r="W129" t="s">
        <v>310</v>
      </c>
      <c r="X129" t="s">
        <v>314</v>
      </c>
      <c r="AA129" t="str">
        <f t="shared" si="5"/>
        <v>SI</v>
      </c>
      <c r="AB129" t="str">
        <f t="shared" si="6"/>
        <v>e_NZ38-220</v>
      </c>
      <c r="AC129" t="s">
        <v>724</v>
      </c>
      <c r="AD129" t="s">
        <v>723</v>
      </c>
      <c r="AE129" t="s">
        <v>301</v>
      </c>
      <c r="AM129" t="s">
        <v>716</v>
      </c>
      <c r="AN129" t="s">
        <v>597</v>
      </c>
      <c r="AO129" t="s">
        <v>580</v>
      </c>
      <c r="AP129" t="str">
        <f t="shared" si="7"/>
        <v>SI</v>
      </c>
    </row>
    <row r="130" spans="2:42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464</v>
      </c>
      <c r="W130" t="s">
        <v>310</v>
      </c>
      <c r="X130" t="s">
        <v>314</v>
      </c>
      <c r="AA130" t="str">
        <f t="shared" si="5"/>
        <v>NI</v>
      </c>
      <c r="AB130" t="str">
        <f t="shared" si="6"/>
        <v>e_NZ8-220</v>
      </c>
      <c r="AC130" t="s">
        <v>724</v>
      </c>
      <c r="AD130" t="s">
        <v>723</v>
      </c>
      <c r="AE130" t="s">
        <v>301</v>
      </c>
      <c r="AM130" t="s">
        <v>717</v>
      </c>
      <c r="AN130" t="s">
        <v>597</v>
      </c>
      <c r="AO130" t="s">
        <v>581</v>
      </c>
      <c r="AP130" t="str">
        <f t="shared" si="7"/>
        <v>NI</v>
      </c>
    </row>
    <row r="131" spans="2:42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465</v>
      </c>
      <c r="W131" t="s">
        <v>302</v>
      </c>
      <c r="X131" t="s">
        <v>314</v>
      </c>
      <c r="AA131" t="str">
        <f t="shared" si="5"/>
        <v>SI</v>
      </c>
      <c r="AB131" t="str">
        <f t="shared" si="6"/>
        <v>e_NZ35-220</v>
      </c>
      <c r="AC131" t="s">
        <v>724</v>
      </c>
      <c r="AD131" t="s">
        <v>723</v>
      </c>
      <c r="AE131" t="s">
        <v>301</v>
      </c>
      <c r="AM131" t="s">
        <v>718</v>
      </c>
      <c r="AN131" t="s">
        <v>597</v>
      </c>
      <c r="AO131" t="s">
        <v>580</v>
      </c>
      <c r="AP131" t="str">
        <f t="shared" si="7"/>
        <v>SI</v>
      </c>
    </row>
    <row r="132" spans="2:42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466</v>
      </c>
      <c r="W132" t="s">
        <v>302</v>
      </c>
      <c r="X132" t="s">
        <v>314</v>
      </c>
      <c r="AA132" t="str">
        <f t="shared" si="5"/>
        <v>SI</v>
      </c>
      <c r="AB132" t="str">
        <f t="shared" si="6"/>
        <v>e_NZ33-220</v>
      </c>
      <c r="AC132" t="s">
        <v>724</v>
      </c>
      <c r="AD132" t="s">
        <v>723</v>
      </c>
      <c r="AE132" t="s">
        <v>301</v>
      </c>
      <c r="AM132" t="s">
        <v>719</v>
      </c>
      <c r="AN132" t="s">
        <v>597</v>
      </c>
      <c r="AO132" t="s">
        <v>580</v>
      </c>
      <c r="AP132" t="str">
        <f t="shared" si="7"/>
        <v>SI</v>
      </c>
    </row>
    <row r="133" spans="2:42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467</v>
      </c>
      <c r="W133" t="s">
        <v>468</v>
      </c>
      <c r="X133" t="s">
        <v>314</v>
      </c>
      <c r="AA133" t="str">
        <f t="shared" si="5"/>
        <v>NI</v>
      </c>
      <c r="AB133" t="str">
        <f t="shared" si="6"/>
        <v>e_NZ15-220</v>
      </c>
      <c r="AC133" t="s">
        <v>724</v>
      </c>
      <c r="AD133" t="s">
        <v>723</v>
      </c>
      <c r="AE133" t="s">
        <v>301</v>
      </c>
      <c r="AM133" t="s">
        <v>720</v>
      </c>
      <c r="AN133" t="s">
        <v>597</v>
      </c>
      <c r="AO133" t="s">
        <v>581</v>
      </c>
      <c r="AP133" t="str">
        <f t="shared" si="7"/>
        <v>NI</v>
      </c>
    </row>
    <row r="134" spans="2:42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469</v>
      </c>
      <c r="W134" t="s">
        <v>468</v>
      </c>
      <c r="X134" t="s">
        <v>314</v>
      </c>
    </row>
    <row r="135" spans="2:42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470</v>
      </c>
      <c r="W135" t="s">
        <v>471</v>
      </c>
      <c r="X135" t="s">
        <v>314</v>
      </c>
    </row>
    <row r="136" spans="2:42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472</v>
      </c>
      <c r="W136" t="s">
        <v>471</v>
      </c>
      <c r="X136" t="s">
        <v>314</v>
      </c>
    </row>
    <row r="137" spans="2:42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473</v>
      </c>
      <c r="W137" t="s">
        <v>474</v>
      </c>
      <c r="X137" t="s">
        <v>314</v>
      </c>
    </row>
    <row r="138" spans="2:42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475</v>
      </c>
      <c r="W138" t="s">
        <v>474</v>
      </c>
      <c r="X138" t="s">
        <v>314</v>
      </c>
    </row>
    <row r="139" spans="2:42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476</v>
      </c>
      <c r="W139" t="s">
        <v>477</v>
      </c>
      <c r="X139" t="s">
        <v>314</v>
      </c>
    </row>
    <row r="140" spans="2:42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478</v>
      </c>
      <c r="W140" t="s">
        <v>477</v>
      </c>
      <c r="X140" t="s">
        <v>314</v>
      </c>
    </row>
    <row r="141" spans="2:42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479</v>
      </c>
      <c r="W141" t="s">
        <v>424</v>
      </c>
      <c r="X141" t="s">
        <v>314</v>
      </c>
    </row>
    <row r="142" spans="2:42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480</v>
      </c>
      <c r="W142" t="s">
        <v>424</v>
      </c>
      <c r="X142" t="s">
        <v>314</v>
      </c>
    </row>
    <row r="143" spans="2:42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481</v>
      </c>
      <c r="W143" t="s">
        <v>482</v>
      </c>
      <c r="X143" t="s">
        <v>314</v>
      </c>
    </row>
    <row r="144" spans="2:42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483</v>
      </c>
      <c r="W144" t="s">
        <v>482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484</v>
      </c>
      <c r="W145" t="s">
        <v>485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486</v>
      </c>
      <c r="W146" t="s">
        <v>485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487</v>
      </c>
      <c r="W147" t="s">
        <v>488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489</v>
      </c>
      <c r="W148" t="s">
        <v>488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490</v>
      </c>
      <c r="W149" t="s">
        <v>491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492</v>
      </c>
      <c r="W150" t="s">
        <v>491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493</v>
      </c>
      <c r="W151" t="s">
        <v>494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495</v>
      </c>
      <c r="W152" t="s">
        <v>494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496</v>
      </c>
      <c r="W153" t="s">
        <v>497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498</v>
      </c>
      <c r="W154" t="s">
        <v>497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499</v>
      </c>
      <c r="W155" t="s">
        <v>500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501</v>
      </c>
      <c r="W156" t="s">
        <v>500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502</v>
      </c>
      <c r="W157" t="s">
        <v>503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504</v>
      </c>
      <c r="W158" t="s">
        <v>503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505</v>
      </c>
      <c r="W159" t="s">
        <v>506</v>
      </c>
      <c r="X159" t="s">
        <v>314</v>
      </c>
    </row>
    <row r="160" spans="2:24" x14ac:dyDescent="0.45">
      <c r="U160" t="s">
        <v>92</v>
      </c>
      <c r="V160" t="s">
        <v>507</v>
      </c>
      <c r="W160" t="s">
        <v>506</v>
      </c>
      <c r="X160" t="s">
        <v>314</v>
      </c>
    </row>
    <row r="161" spans="21:24" x14ac:dyDescent="0.45">
      <c r="U161" t="s">
        <v>92</v>
      </c>
      <c r="V161" t="s">
        <v>508</v>
      </c>
      <c r="W161" t="s">
        <v>509</v>
      </c>
      <c r="X161" t="s">
        <v>314</v>
      </c>
    </row>
    <row r="162" spans="21:24" x14ac:dyDescent="0.45">
      <c r="U162" t="s">
        <v>92</v>
      </c>
      <c r="V162" t="s">
        <v>510</v>
      </c>
      <c r="W162" t="s">
        <v>509</v>
      </c>
      <c r="X162" t="s">
        <v>314</v>
      </c>
    </row>
    <row r="163" spans="21:24" x14ac:dyDescent="0.45">
      <c r="U163" t="s">
        <v>92</v>
      </c>
      <c r="V163" t="s">
        <v>511</v>
      </c>
      <c r="W163" t="s">
        <v>512</v>
      </c>
      <c r="X163" t="s">
        <v>314</v>
      </c>
    </row>
    <row r="164" spans="21:24" x14ac:dyDescent="0.45">
      <c r="U164" t="s">
        <v>92</v>
      </c>
      <c r="V164" t="s">
        <v>513</v>
      </c>
      <c r="W164" t="s">
        <v>512</v>
      </c>
      <c r="X164" t="s">
        <v>314</v>
      </c>
    </row>
    <row r="165" spans="21:24" x14ac:dyDescent="0.45">
      <c r="U165" t="s">
        <v>92</v>
      </c>
      <c r="V165" t="s">
        <v>514</v>
      </c>
      <c r="W165" t="s">
        <v>515</v>
      </c>
      <c r="X165" t="s">
        <v>314</v>
      </c>
    </row>
    <row r="166" spans="21:24" x14ac:dyDescent="0.45">
      <c r="U166" t="s">
        <v>92</v>
      </c>
      <c r="V166" t="s">
        <v>516</v>
      </c>
      <c r="W166" t="s">
        <v>515</v>
      </c>
      <c r="X166" t="s">
        <v>314</v>
      </c>
    </row>
    <row r="167" spans="21:24" x14ac:dyDescent="0.45">
      <c r="U167" t="s">
        <v>92</v>
      </c>
      <c r="V167" t="s">
        <v>517</v>
      </c>
      <c r="W167" t="s">
        <v>518</v>
      </c>
      <c r="X167" t="s">
        <v>314</v>
      </c>
    </row>
    <row r="168" spans="21:24" x14ac:dyDescent="0.45">
      <c r="U168" t="s">
        <v>92</v>
      </c>
      <c r="V168" t="s">
        <v>519</v>
      </c>
      <c r="W168" t="s">
        <v>518</v>
      </c>
      <c r="X168" t="s">
        <v>314</v>
      </c>
    </row>
    <row r="169" spans="21:24" x14ac:dyDescent="0.45">
      <c r="U169" t="s">
        <v>92</v>
      </c>
      <c r="V169" t="s">
        <v>520</v>
      </c>
      <c r="W169" t="s">
        <v>521</v>
      </c>
      <c r="X169" t="s">
        <v>314</v>
      </c>
    </row>
    <row r="170" spans="21:24" x14ac:dyDescent="0.45">
      <c r="U170" t="s">
        <v>92</v>
      </c>
      <c r="V170" t="s">
        <v>522</v>
      </c>
      <c r="W170" t="s">
        <v>521</v>
      </c>
      <c r="X170" t="s">
        <v>314</v>
      </c>
    </row>
    <row r="171" spans="21:24" x14ac:dyDescent="0.45">
      <c r="U171" t="s">
        <v>92</v>
      </c>
      <c r="V171" t="s">
        <v>523</v>
      </c>
      <c r="W171" t="s">
        <v>368</v>
      </c>
      <c r="X171" t="s">
        <v>314</v>
      </c>
    </row>
    <row r="172" spans="21:24" x14ac:dyDescent="0.45">
      <c r="U172" t="s">
        <v>92</v>
      </c>
      <c r="V172" t="s">
        <v>524</v>
      </c>
      <c r="W172" t="s">
        <v>368</v>
      </c>
      <c r="X172" t="s">
        <v>314</v>
      </c>
    </row>
    <row r="173" spans="21:24" x14ac:dyDescent="0.45">
      <c r="U173" t="s">
        <v>92</v>
      </c>
      <c r="V173" t="s">
        <v>525</v>
      </c>
      <c r="W173" t="s">
        <v>372</v>
      </c>
      <c r="X173" t="s">
        <v>314</v>
      </c>
    </row>
    <row r="174" spans="21:24" x14ac:dyDescent="0.45">
      <c r="U174" t="s">
        <v>92</v>
      </c>
      <c r="V174" t="s">
        <v>526</v>
      </c>
      <c r="W174" t="s">
        <v>372</v>
      </c>
      <c r="X174" t="s">
        <v>314</v>
      </c>
    </row>
    <row r="175" spans="21:24" x14ac:dyDescent="0.45">
      <c r="U175" t="s">
        <v>92</v>
      </c>
      <c r="V175" t="s">
        <v>527</v>
      </c>
      <c r="W175" t="s">
        <v>376</v>
      </c>
      <c r="X175" t="s">
        <v>314</v>
      </c>
    </row>
    <row r="176" spans="21:24" x14ac:dyDescent="0.45">
      <c r="U176" t="s">
        <v>92</v>
      </c>
      <c r="V176" t="s">
        <v>528</v>
      </c>
      <c r="W176" t="s">
        <v>376</v>
      </c>
      <c r="X176" t="s">
        <v>314</v>
      </c>
    </row>
    <row r="177" spans="21:24" x14ac:dyDescent="0.45">
      <c r="U177" t="s">
        <v>92</v>
      </c>
      <c r="V177" t="s">
        <v>529</v>
      </c>
      <c r="W177" t="s">
        <v>380</v>
      </c>
      <c r="X177" t="s">
        <v>314</v>
      </c>
    </row>
    <row r="178" spans="21:24" x14ac:dyDescent="0.45">
      <c r="U178" t="s">
        <v>92</v>
      </c>
      <c r="V178" t="s">
        <v>530</v>
      </c>
      <c r="W178" t="s">
        <v>380</v>
      </c>
      <c r="X178" t="s">
        <v>314</v>
      </c>
    </row>
    <row r="179" spans="21:24" x14ac:dyDescent="0.45">
      <c r="U179" t="s">
        <v>92</v>
      </c>
      <c r="V179" t="s">
        <v>531</v>
      </c>
      <c r="W179" t="s">
        <v>384</v>
      </c>
      <c r="X179" t="s">
        <v>314</v>
      </c>
    </row>
    <row r="180" spans="21:24" x14ac:dyDescent="0.45">
      <c r="U180" t="s">
        <v>92</v>
      </c>
      <c r="V180" t="s">
        <v>532</v>
      </c>
      <c r="W180" t="s">
        <v>384</v>
      </c>
      <c r="X180" t="s">
        <v>314</v>
      </c>
    </row>
    <row r="181" spans="21:24" x14ac:dyDescent="0.45">
      <c r="U181" t="s">
        <v>92</v>
      </c>
      <c r="V181" t="s">
        <v>533</v>
      </c>
      <c r="W181" t="s">
        <v>388</v>
      </c>
      <c r="X181" t="s">
        <v>314</v>
      </c>
    </row>
    <row r="182" spans="21:24" x14ac:dyDescent="0.45">
      <c r="U182" t="s">
        <v>92</v>
      </c>
      <c r="V182" t="s">
        <v>534</v>
      </c>
      <c r="W182" t="s">
        <v>388</v>
      </c>
      <c r="X182" t="s">
        <v>314</v>
      </c>
    </row>
    <row r="183" spans="21:24" x14ac:dyDescent="0.45">
      <c r="U183" t="s">
        <v>92</v>
      </c>
      <c r="V183" t="s">
        <v>535</v>
      </c>
      <c r="W183" t="s">
        <v>392</v>
      </c>
      <c r="X183" t="s">
        <v>314</v>
      </c>
    </row>
    <row r="184" spans="21:24" x14ac:dyDescent="0.45">
      <c r="U184" t="s">
        <v>92</v>
      </c>
      <c r="V184" t="s">
        <v>536</v>
      </c>
      <c r="W184" t="s">
        <v>392</v>
      </c>
      <c r="X184" t="s">
        <v>314</v>
      </c>
    </row>
    <row r="185" spans="21:24" x14ac:dyDescent="0.45">
      <c r="U185" t="s">
        <v>92</v>
      </c>
      <c r="V185" t="s">
        <v>537</v>
      </c>
      <c r="W185" t="s">
        <v>396</v>
      </c>
      <c r="X185" t="s">
        <v>314</v>
      </c>
    </row>
    <row r="186" spans="21:24" x14ac:dyDescent="0.45">
      <c r="U186" t="s">
        <v>92</v>
      </c>
      <c r="V186" t="s">
        <v>538</v>
      </c>
      <c r="W186" t="s">
        <v>396</v>
      </c>
      <c r="X186" t="s">
        <v>314</v>
      </c>
    </row>
    <row r="187" spans="21:24" x14ac:dyDescent="0.45">
      <c r="U187" t="s">
        <v>92</v>
      </c>
      <c r="V187" t="s">
        <v>539</v>
      </c>
      <c r="W187" t="s">
        <v>400</v>
      </c>
      <c r="X187" t="s">
        <v>314</v>
      </c>
    </row>
    <row r="188" spans="21:24" x14ac:dyDescent="0.45">
      <c r="U188" t="s">
        <v>92</v>
      </c>
      <c r="V188" t="s">
        <v>540</v>
      </c>
      <c r="W188" t="s">
        <v>400</v>
      </c>
      <c r="X188" t="s">
        <v>314</v>
      </c>
    </row>
    <row r="189" spans="21:24" x14ac:dyDescent="0.45">
      <c r="U189" t="s">
        <v>92</v>
      </c>
      <c r="V189" t="s">
        <v>541</v>
      </c>
      <c r="W189" t="s">
        <v>404</v>
      </c>
      <c r="X189" t="s">
        <v>314</v>
      </c>
    </row>
    <row r="190" spans="21:24" x14ac:dyDescent="0.45">
      <c r="U190" t="s">
        <v>92</v>
      </c>
      <c r="V190" t="s">
        <v>542</v>
      </c>
      <c r="W190" t="s">
        <v>404</v>
      </c>
      <c r="X190" t="s">
        <v>314</v>
      </c>
    </row>
    <row r="191" spans="21:24" x14ac:dyDescent="0.45">
      <c r="U191" t="s">
        <v>92</v>
      </c>
      <c r="V191" t="s">
        <v>543</v>
      </c>
      <c r="W191" t="s">
        <v>408</v>
      </c>
      <c r="X191" t="s">
        <v>314</v>
      </c>
    </row>
    <row r="192" spans="21:24" x14ac:dyDescent="0.45">
      <c r="U192" t="s">
        <v>92</v>
      </c>
      <c r="V192" t="s">
        <v>544</v>
      </c>
      <c r="W192" t="s">
        <v>408</v>
      </c>
      <c r="X192" t="s">
        <v>314</v>
      </c>
    </row>
    <row r="193" spans="21:24" x14ac:dyDescent="0.45">
      <c r="U193" t="s">
        <v>92</v>
      </c>
      <c r="V193" t="s">
        <v>545</v>
      </c>
      <c r="W193" t="s">
        <v>412</v>
      </c>
      <c r="X193" t="s">
        <v>314</v>
      </c>
    </row>
    <row r="194" spans="21:24" x14ac:dyDescent="0.45">
      <c r="U194" t="s">
        <v>92</v>
      </c>
      <c r="V194" t="s">
        <v>546</v>
      </c>
      <c r="W194" t="s">
        <v>412</v>
      </c>
      <c r="X194" t="s">
        <v>314</v>
      </c>
    </row>
    <row r="195" spans="21:24" x14ac:dyDescent="0.45">
      <c r="U195" t="s">
        <v>92</v>
      </c>
      <c r="V195" t="s">
        <v>547</v>
      </c>
      <c r="W195" t="s">
        <v>416</v>
      </c>
      <c r="X195" t="s">
        <v>314</v>
      </c>
    </row>
    <row r="196" spans="21:24" x14ac:dyDescent="0.45">
      <c r="U196" t="s">
        <v>92</v>
      </c>
      <c r="V196" t="s">
        <v>548</v>
      </c>
      <c r="W196" t="s">
        <v>416</v>
      </c>
      <c r="X196" t="s">
        <v>314</v>
      </c>
    </row>
    <row r="197" spans="21:24" x14ac:dyDescent="0.45">
      <c r="U197" t="s">
        <v>92</v>
      </c>
      <c r="V197" t="s">
        <v>549</v>
      </c>
      <c r="W197" t="s">
        <v>420</v>
      </c>
      <c r="X197" t="s">
        <v>314</v>
      </c>
    </row>
    <row r="198" spans="21:24" x14ac:dyDescent="0.45">
      <c r="U198" t="s">
        <v>92</v>
      </c>
      <c r="V198" t="s">
        <v>550</v>
      </c>
      <c r="W198" t="s">
        <v>420</v>
      </c>
      <c r="X198" t="s">
        <v>314</v>
      </c>
    </row>
    <row r="199" spans="21:24" x14ac:dyDescent="0.45">
      <c r="U199" t="s">
        <v>92</v>
      </c>
      <c r="V199" t="s">
        <v>551</v>
      </c>
      <c r="W199" t="s">
        <v>428</v>
      </c>
      <c r="X199" t="s">
        <v>314</v>
      </c>
    </row>
    <row r="200" spans="21:24" x14ac:dyDescent="0.45">
      <c r="U200" t="s">
        <v>92</v>
      </c>
      <c r="V200" t="s">
        <v>552</v>
      </c>
      <c r="W200" t="s">
        <v>428</v>
      </c>
      <c r="X200" t="s">
        <v>314</v>
      </c>
    </row>
    <row r="201" spans="21:24" x14ac:dyDescent="0.45">
      <c r="U201" t="s">
        <v>92</v>
      </c>
      <c r="V201" t="s">
        <v>553</v>
      </c>
      <c r="W201" t="s">
        <v>432</v>
      </c>
      <c r="X201" t="s">
        <v>314</v>
      </c>
    </row>
    <row r="202" spans="21:24" x14ac:dyDescent="0.45">
      <c r="U202" t="s">
        <v>92</v>
      </c>
      <c r="V202" t="s">
        <v>554</v>
      </c>
      <c r="W202" t="s">
        <v>432</v>
      </c>
      <c r="X202" t="s">
        <v>314</v>
      </c>
    </row>
    <row r="203" spans="21:24" x14ac:dyDescent="0.45">
      <c r="U203" t="s">
        <v>92</v>
      </c>
      <c r="V203" t="s">
        <v>555</v>
      </c>
      <c r="W203" t="s">
        <v>436</v>
      </c>
      <c r="X203" t="s">
        <v>314</v>
      </c>
    </row>
    <row r="204" spans="21:24" x14ac:dyDescent="0.45">
      <c r="U204" t="s">
        <v>92</v>
      </c>
      <c r="V204" t="s">
        <v>556</v>
      </c>
      <c r="W204" t="s">
        <v>436</v>
      </c>
      <c r="X204" t="s">
        <v>314</v>
      </c>
    </row>
    <row r="205" spans="21:24" x14ac:dyDescent="0.45">
      <c r="U205" t="s">
        <v>92</v>
      </c>
      <c r="V205" t="s">
        <v>557</v>
      </c>
      <c r="W205" t="s">
        <v>440</v>
      </c>
      <c r="X205" t="s">
        <v>314</v>
      </c>
    </row>
    <row r="206" spans="21:24" x14ac:dyDescent="0.45">
      <c r="U206" t="s">
        <v>92</v>
      </c>
      <c r="V206" t="s">
        <v>558</v>
      </c>
      <c r="W206" t="s">
        <v>440</v>
      </c>
      <c r="X206" t="s">
        <v>314</v>
      </c>
    </row>
    <row r="207" spans="21:24" x14ac:dyDescent="0.45">
      <c r="U207" t="s">
        <v>92</v>
      </c>
      <c r="V207" t="s">
        <v>559</v>
      </c>
      <c r="W207" t="s">
        <v>444</v>
      </c>
      <c r="X207" t="s">
        <v>314</v>
      </c>
    </row>
    <row r="208" spans="21:24" x14ac:dyDescent="0.45">
      <c r="U208" t="s">
        <v>92</v>
      </c>
      <c r="V208" t="s">
        <v>560</v>
      </c>
      <c r="W208" t="s">
        <v>444</v>
      </c>
      <c r="X208" t="s">
        <v>314</v>
      </c>
    </row>
    <row r="209" spans="21:24" x14ac:dyDescent="0.45">
      <c r="U209" t="s">
        <v>92</v>
      </c>
      <c r="V209" t="s">
        <v>561</v>
      </c>
      <c r="W209" t="s">
        <v>448</v>
      </c>
      <c r="X209" t="s">
        <v>314</v>
      </c>
    </row>
    <row r="210" spans="21:24" x14ac:dyDescent="0.45">
      <c r="U210" t="s">
        <v>92</v>
      </c>
      <c r="V210" t="s">
        <v>562</v>
      </c>
      <c r="W210" t="s">
        <v>448</v>
      </c>
      <c r="X210" t="s">
        <v>314</v>
      </c>
    </row>
    <row r="211" spans="21:24" x14ac:dyDescent="0.45">
      <c r="U211" t="s">
        <v>92</v>
      </c>
      <c r="V211" t="s">
        <v>563</v>
      </c>
      <c r="W211" t="s">
        <v>452</v>
      </c>
      <c r="X211" t="s">
        <v>314</v>
      </c>
    </row>
    <row r="212" spans="21:24" x14ac:dyDescent="0.45">
      <c r="U212" t="s">
        <v>92</v>
      </c>
      <c r="V212" t="s">
        <v>564</v>
      </c>
      <c r="W212" t="s">
        <v>452</v>
      </c>
      <c r="X212" t="s">
        <v>314</v>
      </c>
    </row>
    <row r="213" spans="21:24" x14ac:dyDescent="0.45">
      <c r="U213" t="s">
        <v>92</v>
      </c>
      <c r="V213" t="s">
        <v>565</v>
      </c>
      <c r="W213" t="s">
        <v>456</v>
      </c>
      <c r="X213" t="s">
        <v>314</v>
      </c>
    </row>
    <row r="214" spans="21:24" x14ac:dyDescent="0.45">
      <c r="U214" t="s">
        <v>92</v>
      </c>
      <c r="V214" t="s">
        <v>566</v>
      </c>
      <c r="W214" t="s">
        <v>456</v>
      </c>
      <c r="X214" t="s">
        <v>314</v>
      </c>
    </row>
    <row r="215" spans="21:24" x14ac:dyDescent="0.45">
      <c r="U215" t="s">
        <v>92</v>
      </c>
      <c r="V215" t="s">
        <v>567</v>
      </c>
      <c r="W215" t="s">
        <v>568</v>
      </c>
      <c r="X215" t="s">
        <v>314</v>
      </c>
    </row>
    <row r="216" spans="21:24" x14ac:dyDescent="0.45">
      <c r="U216" t="s">
        <v>92</v>
      </c>
      <c r="V216" t="s">
        <v>569</v>
      </c>
      <c r="W216" t="s">
        <v>568</v>
      </c>
      <c r="X216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EC81-2889-429D-9E2D-D5BB4326DD32}">
  <dimension ref="B2:V54"/>
  <sheetViews>
    <sheetView tabSelected="1" topLeftCell="A13" workbookViewId="0">
      <selection activeCell="D33" sqref="D33"/>
    </sheetView>
  </sheetViews>
  <sheetFormatPr defaultRowHeight="14.25" x14ac:dyDescent="0.45"/>
  <cols>
    <col min="2" max="2" width="11.59765625" bestFit="1" customWidth="1"/>
    <col min="3" max="3" width="17.46484375" bestFit="1" customWidth="1"/>
    <col min="4" max="4" width="6.86328125" bestFit="1" customWidth="1"/>
    <col min="5" max="5" width="6.9296875" bestFit="1" customWidth="1"/>
    <col min="6" max="6" width="4.73046875" bestFit="1" customWidth="1"/>
    <col min="12" max="12" width="15.6640625" bestFit="1" customWidth="1"/>
    <col min="13" max="13" width="5.46484375" bestFit="1" customWidth="1"/>
    <col min="14" max="14" width="12" bestFit="1" customWidth="1"/>
    <col min="15" max="15" width="12.86328125" bestFit="1" customWidth="1"/>
    <col min="16" max="17" width="11.86328125" bestFit="1" customWidth="1"/>
    <col min="18" max="18" width="12.265625" bestFit="1" customWidth="1"/>
  </cols>
  <sheetData>
    <row r="2" spans="2:18" x14ac:dyDescent="0.45">
      <c r="L2" t="s">
        <v>727</v>
      </c>
      <c r="M2" t="s">
        <v>728</v>
      </c>
      <c r="N2" t="s">
        <v>752</v>
      </c>
      <c r="O2" t="s">
        <v>753</v>
      </c>
      <c r="P2" t="s">
        <v>754</v>
      </c>
      <c r="Q2" t="s">
        <v>755</v>
      </c>
      <c r="R2" t="s">
        <v>756</v>
      </c>
    </row>
    <row r="3" spans="2:18" x14ac:dyDescent="0.45">
      <c r="B3" t="s">
        <v>722</v>
      </c>
      <c r="L3" t="s">
        <v>733</v>
      </c>
      <c r="M3" t="s">
        <v>729</v>
      </c>
      <c r="N3" s="2">
        <v>5.86636006449012E-3</v>
      </c>
      <c r="O3" s="2">
        <v>5.8663600644901E-3</v>
      </c>
      <c r="P3" s="2">
        <v>5.8663600644900896E-3</v>
      </c>
      <c r="Q3" s="2">
        <v>2.0049350726642299E-2</v>
      </c>
      <c r="R3" s="2">
        <v>7.0394854969028198E-2</v>
      </c>
    </row>
    <row r="4" spans="2:18" x14ac:dyDescent="0.45">
      <c r="B4" t="s">
        <v>311</v>
      </c>
      <c r="C4" t="s">
        <v>253</v>
      </c>
      <c r="D4" t="s">
        <v>14</v>
      </c>
      <c r="E4" t="s">
        <v>38</v>
      </c>
      <c r="F4" t="s">
        <v>299</v>
      </c>
      <c r="L4" t="s">
        <v>734</v>
      </c>
      <c r="M4" t="s">
        <v>729</v>
      </c>
      <c r="N4" s="2">
        <v>8.1561509900455104E-2</v>
      </c>
      <c r="O4" s="2">
        <v>8.1561509900455104E-2</v>
      </c>
      <c r="P4" s="2">
        <v>8.1561509900455104E-2</v>
      </c>
      <c r="Q4" s="2">
        <v>8.06356741102075E-2</v>
      </c>
      <c r="R4" s="2">
        <v>6.8580675281546405E-2</v>
      </c>
    </row>
    <row r="5" spans="2:18" x14ac:dyDescent="0.45">
      <c r="B5" t="str">
        <f>M3</f>
        <v>NI</v>
      </c>
      <c r="C5" t="str">
        <f>"e_"&amp;L3</f>
        <v>e_w87928925-220</v>
      </c>
      <c r="D5" t="s">
        <v>724</v>
      </c>
      <c r="E5" t="s">
        <v>723</v>
      </c>
      <c r="F5" t="s">
        <v>301</v>
      </c>
      <c r="L5" t="s">
        <v>735</v>
      </c>
      <c r="M5" t="s">
        <v>729</v>
      </c>
      <c r="N5" s="2">
        <v>1.7030252471331601E-2</v>
      </c>
      <c r="O5" s="2">
        <v>1.7030252471331601E-2</v>
      </c>
      <c r="P5" s="2">
        <v>1.7030252471331601E-2</v>
      </c>
      <c r="Q5" s="2">
        <v>2.8984919214794801E-2</v>
      </c>
      <c r="R5" s="2">
        <v>0.12292330838603201</v>
      </c>
    </row>
    <row r="6" spans="2:18" x14ac:dyDescent="0.45">
      <c r="B6" t="str">
        <f t="shared" ref="B6:B26" si="0">M4</f>
        <v>NI</v>
      </c>
      <c r="C6" t="str">
        <f t="shared" ref="C6:C26" si="1">"e_"&amp;L4</f>
        <v>e_w94053861-220</v>
      </c>
      <c r="D6" t="s">
        <v>724</v>
      </c>
      <c r="E6" t="s">
        <v>723</v>
      </c>
      <c r="F6" t="s">
        <v>301</v>
      </c>
      <c r="L6" t="s">
        <v>736</v>
      </c>
      <c r="M6" t="s">
        <v>729</v>
      </c>
      <c r="N6" s="2">
        <v>6.5397898449555403E-2</v>
      </c>
      <c r="O6" s="2">
        <v>6.5397898449555403E-2</v>
      </c>
      <c r="P6" s="2">
        <v>6.5397898449555403E-2</v>
      </c>
      <c r="Q6" s="2">
        <v>6.7698335422951006E-2</v>
      </c>
      <c r="R6" s="2">
        <v>3.9503551970168603E-2</v>
      </c>
    </row>
    <row r="7" spans="2:18" x14ac:dyDescent="0.45">
      <c r="B7" t="str">
        <f t="shared" si="0"/>
        <v>NI</v>
      </c>
      <c r="C7" t="str">
        <f t="shared" si="1"/>
        <v>e_w95344674-220</v>
      </c>
      <c r="D7" t="s">
        <v>724</v>
      </c>
      <c r="E7" t="s">
        <v>723</v>
      </c>
      <c r="F7" t="s">
        <v>301</v>
      </c>
      <c r="L7" t="s">
        <v>737</v>
      </c>
      <c r="M7" t="s">
        <v>729</v>
      </c>
      <c r="N7" s="2">
        <v>1.0210371164411E-2</v>
      </c>
      <c r="O7" s="2">
        <v>1.0210371164411E-2</v>
      </c>
      <c r="P7" s="2">
        <v>1.0210371164410899E-2</v>
      </c>
      <c r="Q7" s="2">
        <v>2.3526292933004799E-2</v>
      </c>
      <c r="R7" s="2">
        <v>0.11850700547946599</v>
      </c>
    </row>
    <row r="8" spans="2:18" x14ac:dyDescent="0.45">
      <c r="B8" t="str">
        <f t="shared" si="0"/>
        <v>NI</v>
      </c>
      <c r="C8" t="str">
        <f t="shared" si="1"/>
        <v>e_w119877500-220</v>
      </c>
      <c r="D8" t="s">
        <v>724</v>
      </c>
      <c r="E8" t="s">
        <v>723</v>
      </c>
      <c r="F8" t="s">
        <v>301</v>
      </c>
      <c r="L8" t="s">
        <v>738</v>
      </c>
      <c r="M8" t="s">
        <v>729</v>
      </c>
      <c r="N8" s="2">
        <v>7.6938704058300096E-3</v>
      </c>
      <c r="O8" s="2">
        <v>7.69387040583E-3</v>
      </c>
      <c r="P8" s="2">
        <v>7.69387040583E-3</v>
      </c>
      <c r="Q8" s="2">
        <v>2.1512088204104898E-2</v>
      </c>
      <c r="R8" s="2">
        <v>0.11113019841467001</v>
      </c>
    </row>
    <row r="9" spans="2:18" x14ac:dyDescent="0.45">
      <c r="B9" t="str">
        <f t="shared" si="0"/>
        <v>NI</v>
      </c>
      <c r="C9" t="str">
        <f t="shared" si="1"/>
        <v>e_w167285260-220</v>
      </c>
      <c r="D9" t="s">
        <v>724</v>
      </c>
      <c r="E9" t="s">
        <v>723</v>
      </c>
      <c r="F9" t="s">
        <v>301</v>
      </c>
      <c r="L9" t="s">
        <v>739</v>
      </c>
      <c r="M9" t="s">
        <v>729</v>
      </c>
      <c r="N9" s="2">
        <v>3.2952241812295398E-2</v>
      </c>
      <c r="O9" s="2">
        <v>3.2952241812295398E-2</v>
      </c>
      <c r="P9" s="2">
        <v>3.2952241812295398E-2</v>
      </c>
      <c r="Q9" s="2">
        <v>4.1728863803209698E-2</v>
      </c>
      <c r="R9" s="2">
        <v>0.125235778416185</v>
      </c>
    </row>
    <row r="10" spans="2:18" x14ac:dyDescent="0.45">
      <c r="B10" t="str">
        <f t="shared" si="0"/>
        <v>NI</v>
      </c>
      <c r="C10" t="str">
        <f t="shared" si="1"/>
        <v>e_w167285336-220</v>
      </c>
      <c r="D10" t="s">
        <v>724</v>
      </c>
      <c r="E10" t="s">
        <v>723</v>
      </c>
      <c r="F10" t="s">
        <v>301</v>
      </c>
      <c r="L10" t="s">
        <v>740</v>
      </c>
      <c r="M10" t="s">
        <v>729</v>
      </c>
      <c r="N10" s="2">
        <v>2.34291321054837E-2</v>
      </c>
      <c r="O10" s="2">
        <v>2.3429132105483801E-2</v>
      </c>
      <c r="P10" s="2">
        <v>2.3429132105483801E-2</v>
      </c>
      <c r="Q10" s="2">
        <v>3.4106576172306398E-2</v>
      </c>
      <c r="R10" s="2">
        <v>9.4538907932051705E-2</v>
      </c>
    </row>
    <row r="11" spans="2:18" x14ac:dyDescent="0.45">
      <c r="B11" t="str">
        <f t="shared" si="0"/>
        <v>NI</v>
      </c>
      <c r="C11" t="str">
        <f t="shared" si="1"/>
        <v>e_w167300914-220</v>
      </c>
      <c r="D11" t="s">
        <v>724</v>
      </c>
      <c r="E11" t="s">
        <v>723</v>
      </c>
      <c r="F11" t="s">
        <v>301</v>
      </c>
      <c r="L11" t="s">
        <v>741</v>
      </c>
      <c r="M11" t="s">
        <v>729</v>
      </c>
      <c r="N11" s="2">
        <v>0.63543589233768305</v>
      </c>
      <c r="O11" s="2">
        <v>0.63543589233768305</v>
      </c>
      <c r="P11" s="2">
        <v>0.63543589233768305</v>
      </c>
      <c r="Q11" s="2">
        <v>0.52395618435339197</v>
      </c>
      <c r="R11" s="2">
        <v>4.2286542778396897E-3</v>
      </c>
    </row>
    <row r="12" spans="2:18" x14ac:dyDescent="0.45">
      <c r="B12" t="str">
        <f t="shared" si="0"/>
        <v>NI</v>
      </c>
      <c r="C12" t="str">
        <f t="shared" si="1"/>
        <v>e_w270022030-220</v>
      </c>
      <c r="D12" t="s">
        <v>724</v>
      </c>
      <c r="E12" t="s">
        <v>723</v>
      </c>
      <c r="F12" t="s">
        <v>301</v>
      </c>
      <c r="L12" t="s">
        <v>742</v>
      </c>
      <c r="M12" t="s">
        <v>729</v>
      </c>
      <c r="N12" s="2">
        <v>8.5661305450976596E-3</v>
      </c>
      <c r="O12" s="2">
        <v>8.5661305450976995E-3</v>
      </c>
      <c r="P12" s="2">
        <v>8.5661305450976891E-3</v>
      </c>
      <c r="Q12" s="2">
        <v>2.2210244360566699E-2</v>
      </c>
      <c r="R12" s="2">
        <v>9.8552632363159004E-2</v>
      </c>
    </row>
    <row r="13" spans="2:18" x14ac:dyDescent="0.45">
      <c r="B13" t="str">
        <f t="shared" si="0"/>
        <v>NI</v>
      </c>
      <c r="C13" t="str">
        <f t="shared" si="1"/>
        <v>e_w907631032-220</v>
      </c>
      <c r="D13" t="s">
        <v>724</v>
      </c>
      <c r="E13" t="s">
        <v>723</v>
      </c>
      <c r="F13" t="s">
        <v>301</v>
      </c>
      <c r="L13" t="s">
        <v>743</v>
      </c>
      <c r="M13" t="s">
        <v>729</v>
      </c>
      <c r="N13" s="2">
        <v>8.8870686785993705E-2</v>
      </c>
      <c r="O13" s="2">
        <v>8.8870686785993594E-2</v>
      </c>
      <c r="P13" s="2">
        <v>8.8870686785993594E-2</v>
      </c>
      <c r="Q13" s="2">
        <v>8.6485932091261195E-2</v>
      </c>
      <c r="R13" s="2">
        <v>4.8221286775162204E-3</v>
      </c>
    </row>
    <row r="14" spans="2:18" x14ac:dyDescent="0.45">
      <c r="B14" t="str">
        <f t="shared" si="0"/>
        <v>NI</v>
      </c>
      <c r="C14" t="str">
        <f t="shared" si="1"/>
        <v>e_w1167708390-220</v>
      </c>
      <c r="D14" t="s">
        <v>724</v>
      </c>
      <c r="E14" t="s">
        <v>723</v>
      </c>
      <c r="F14" t="s">
        <v>301</v>
      </c>
      <c r="L14" t="s">
        <v>730</v>
      </c>
      <c r="M14" t="s">
        <v>729</v>
      </c>
      <c r="N14" s="2">
        <v>8.0617065696143696E-3</v>
      </c>
      <c r="O14" s="2">
        <v>8.0617065696143003E-3</v>
      </c>
      <c r="P14" s="2">
        <v>8.0617065696143003E-3</v>
      </c>
      <c r="Q14" s="2">
        <v>2.18065039073502E-2</v>
      </c>
      <c r="R14" s="2">
        <v>8.1145533401035905E-2</v>
      </c>
    </row>
    <row r="15" spans="2:18" x14ac:dyDescent="0.45">
      <c r="B15" t="str">
        <f t="shared" si="0"/>
        <v>NI</v>
      </c>
      <c r="C15" t="str">
        <f t="shared" si="1"/>
        <v>e_w1363994055-220</v>
      </c>
      <c r="D15" t="s">
        <v>724</v>
      </c>
      <c r="E15" t="s">
        <v>723</v>
      </c>
      <c r="F15" t="s">
        <v>301</v>
      </c>
      <c r="L15" t="s">
        <v>731</v>
      </c>
      <c r="M15" t="s">
        <v>729</v>
      </c>
      <c r="N15" s="2">
        <v>1.4923947387757999E-2</v>
      </c>
      <c r="O15" s="2">
        <v>1.49239473877581E-2</v>
      </c>
      <c r="P15" s="2">
        <v>1.49239473877581E-2</v>
      </c>
      <c r="Q15" s="2">
        <v>2.7299034700207302E-2</v>
      </c>
      <c r="R15" s="2">
        <v>6.04367704312977E-2</v>
      </c>
    </row>
    <row r="16" spans="2:18" x14ac:dyDescent="0.45">
      <c r="B16" t="str">
        <f t="shared" si="0"/>
        <v>NI</v>
      </c>
      <c r="C16" t="str">
        <f t="shared" si="1"/>
        <v>e_NZ11-220</v>
      </c>
      <c r="D16" t="s">
        <v>724</v>
      </c>
      <c r="E16" t="s">
        <v>723</v>
      </c>
      <c r="F16" t="s">
        <v>301</v>
      </c>
      <c r="L16" t="s">
        <v>744</v>
      </c>
      <c r="M16" t="s">
        <v>721</v>
      </c>
      <c r="N16" s="2">
        <v>2.1443297887408799E-2</v>
      </c>
      <c r="O16" s="2">
        <v>2.1696550845568201E-2</v>
      </c>
      <c r="P16" s="2">
        <v>2.1696550845568201E-2</v>
      </c>
      <c r="Q16" s="2">
        <v>4.2007495042417201E-2</v>
      </c>
      <c r="R16" s="2">
        <v>6.3638923649862705E-2</v>
      </c>
    </row>
    <row r="17" spans="2:22" x14ac:dyDescent="0.45">
      <c r="B17" t="str">
        <f t="shared" si="0"/>
        <v>NI</v>
      </c>
      <c r="C17" t="str">
        <f t="shared" si="1"/>
        <v>e_NZ13-220</v>
      </c>
      <c r="D17" t="s">
        <v>724</v>
      </c>
      <c r="E17" t="s">
        <v>723</v>
      </c>
      <c r="F17" t="s">
        <v>301</v>
      </c>
      <c r="L17" t="s">
        <v>745</v>
      </c>
      <c r="M17" t="s">
        <v>721</v>
      </c>
      <c r="N17" s="2">
        <v>1.7574323650842699E-2</v>
      </c>
      <c r="O17" s="2">
        <v>1.7781882650190501E-2</v>
      </c>
      <c r="P17" s="2">
        <v>1.77818826501904E-2</v>
      </c>
      <c r="Q17" s="2">
        <v>3.9025821902286997E-2</v>
      </c>
      <c r="R17" s="2">
        <v>0.142535486755099</v>
      </c>
    </row>
    <row r="18" spans="2:22" x14ac:dyDescent="0.45">
      <c r="B18" t="str">
        <f t="shared" si="0"/>
        <v>SI</v>
      </c>
      <c r="C18" t="str">
        <f t="shared" si="1"/>
        <v>e_w33795353-220</v>
      </c>
      <c r="D18" t="s">
        <v>724</v>
      </c>
      <c r="E18" t="s">
        <v>723</v>
      </c>
      <c r="F18" t="s">
        <v>301</v>
      </c>
      <c r="L18" t="s">
        <v>746</v>
      </c>
      <c r="M18" t="s">
        <v>721</v>
      </c>
      <c r="N18" s="2">
        <v>0.28354990845613498</v>
      </c>
      <c r="O18" s="2">
        <v>0.28689873350531298</v>
      </c>
      <c r="P18" s="2">
        <v>0.28689873350531298</v>
      </c>
      <c r="Q18" s="2">
        <v>0.244003216078024</v>
      </c>
      <c r="R18" s="2">
        <v>3.1587285738253097E-2</v>
      </c>
    </row>
    <row r="19" spans="2:22" x14ac:dyDescent="0.45">
      <c r="B19" t="str">
        <f t="shared" si="0"/>
        <v>SI</v>
      </c>
      <c r="C19" t="str">
        <f t="shared" si="1"/>
        <v>e_w270521928-220</v>
      </c>
      <c r="D19" t="s">
        <v>724</v>
      </c>
      <c r="E19" t="s">
        <v>723</v>
      </c>
      <c r="F19" t="s">
        <v>301</v>
      </c>
      <c r="L19" t="s">
        <v>747</v>
      </c>
      <c r="M19" t="s">
        <v>721</v>
      </c>
      <c r="N19" s="2">
        <v>0.50257319574648895</v>
      </c>
      <c r="O19" s="2">
        <v>0.50850876354873298</v>
      </c>
      <c r="P19" s="2">
        <v>0.50850876354873298</v>
      </c>
      <c r="Q19" s="2">
        <v>0.41279623790913</v>
      </c>
      <c r="R19" s="2">
        <v>3.2834920354623598E-2</v>
      </c>
    </row>
    <row r="20" spans="2:22" x14ac:dyDescent="0.45">
      <c r="B20" t="str">
        <f t="shared" si="0"/>
        <v>SI</v>
      </c>
      <c r="C20" t="str">
        <f t="shared" si="1"/>
        <v>e_w95343089-220</v>
      </c>
      <c r="D20" t="s">
        <v>724</v>
      </c>
      <c r="E20" t="s">
        <v>723</v>
      </c>
      <c r="F20" t="s">
        <v>301</v>
      </c>
      <c r="L20" t="s">
        <v>748</v>
      </c>
      <c r="M20" t="s">
        <v>721</v>
      </c>
      <c r="N20" s="2">
        <v>3.60680205016288E-2</v>
      </c>
      <c r="O20" s="2">
        <v>3.6493996624096303E-2</v>
      </c>
      <c r="P20" s="2">
        <v>3.6493996624096199E-2</v>
      </c>
      <c r="Q20" s="2">
        <v>5.3278219512109801E-2</v>
      </c>
      <c r="R20" s="2">
        <v>0.191013906423359</v>
      </c>
    </row>
    <row r="21" spans="2:22" x14ac:dyDescent="0.45">
      <c r="B21" t="str">
        <f t="shared" si="0"/>
        <v>SI</v>
      </c>
      <c r="C21" t="str">
        <f t="shared" si="1"/>
        <v>e_w100957314-220</v>
      </c>
      <c r="D21" t="s">
        <v>724</v>
      </c>
      <c r="E21" t="s">
        <v>723</v>
      </c>
      <c r="F21" t="s">
        <v>301</v>
      </c>
      <c r="L21" t="s">
        <v>749</v>
      </c>
      <c r="M21" t="s">
        <v>721</v>
      </c>
      <c r="N21" s="2">
        <v>3.34436756042156E-2</v>
      </c>
      <c r="O21" s="2">
        <v>2.2028302387549499E-2</v>
      </c>
      <c r="P21" s="2">
        <v>2.2028302387549398E-2</v>
      </c>
      <c r="Q21" s="2">
        <v>5.1255735460109399E-2</v>
      </c>
      <c r="R21" s="2">
        <v>4.7306892983382899E-2</v>
      </c>
    </row>
    <row r="22" spans="2:22" x14ac:dyDescent="0.45">
      <c r="B22" t="str">
        <f t="shared" si="0"/>
        <v>SI</v>
      </c>
      <c r="C22" t="str">
        <f t="shared" si="1"/>
        <v>e_w167286837-220</v>
      </c>
      <c r="D22" t="s">
        <v>724</v>
      </c>
      <c r="E22" t="s">
        <v>723</v>
      </c>
      <c r="F22" t="s">
        <v>301</v>
      </c>
      <c r="L22" t="s">
        <v>750</v>
      </c>
      <c r="M22" t="s">
        <v>721</v>
      </c>
      <c r="N22" s="2">
        <v>2.3213845419396702E-2</v>
      </c>
      <c r="O22" s="2">
        <v>2.34880091722665E-2</v>
      </c>
      <c r="P22" s="2">
        <v>2.3488009172266601E-2</v>
      </c>
      <c r="Q22" s="2">
        <v>4.3371989530273498E-2</v>
      </c>
      <c r="R22" s="2">
        <v>0.12562350163285799</v>
      </c>
    </row>
    <row r="23" spans="2:22" x14ac:dyDescent="0.45">
      <c r="B23" t="str">
        <f t="shared" si="0"/>
        <v>SI</v>
      </c>
      <c r="C23" t="str">
        <f t="shared" si="1"/>
        <v>e_w180519027-220</v>
      </c>
      <c r="D23" t="s">
        <v>724</v>
      </c>
      <c r="E23" t="s">
        <v>723</v>
      </c>
      <c r="F23" t="s">
        <v>301</v>
      </c>
      <c r="L23" t="s">
        <v>751</v>
      </c>
      <c r="M23" t="s">
        <v>721</v>
      </c>
      <c r="N23" s="2">
        <v>6.2460982378461698E-2</v>
      </c>
      <c r="O23" s="2">
        <v>6.3198668747412298E-2</v>
      </c>
      <c r="P23" s="2">
        <v>6.3198668747412298E-2</v>
      </c>
      <c r="Q23" s="2">
        <v>7.3618284011086901E-2</v>
      </c>
      <c r="R23" s="2">
        <v>0.16693725652546401</v>
      </c>
    </row>
    <row r="24" spans="2:22" x14ac:dyDescent="0.45">
      <c r="B24" t="str">
        <f t="shared" si="0"/>
        <v>SI</v>
      </c>
      <c r="C24" t="str">
        <f t="shared" si="1"/>
        <v>e_w268826084-220</v>
      </c>
      <c r="D24" t="s">
        <v>724</v>
      </c>
      <c r="E24" t="s">
        <v>723</v>
      </c>
      <c r="F24" t="s">
        <v>301</v>
      </c>
      <c r="L24" t="s">
        <v>732</v>
      </c>
      <c r="M24" t="s">
        <v>721</v>
      </c>
      <c r="N24" s="2">
        <v>1.9672750355421001E-2</v>
      </c>
      <c r="O24" s="2">
        <v>1.9905092518869998E-2</v>
      </c>
      <c r="P24" s="2">
        <v>1.9905092518869901E-2</v>
      </c>
      <c r="Q24" s="2">
        <v>4.0643000554560903E-2</v>
      </c>
      <c r="R24" s="2">
        <v>0.198521825937094</v>
      </c>
    </row>
    <row r="25" spans="2:22" x14ac:dyDescent="0.45">
      <c r="B25" t="str">
        <f t="shared" si="0"/>
        <v>SI</v>
      </c>
      <c r="C25" t="str">
        <f t="shared" si="1"/>
        <v>e_w272195826-220</v>
      </c>
      <c r="D25" t="s">
        <v>724</v>
      </c>
      <c r="E25" t="s">
        <v>723</v>
      </c>
      <c r="F25" t="s">
        <v>301</v>
      </c>
    </row>
    <row r="26" spans="2:22" x14ac:dyDescent="0.45">
      <c r="B26" t="str">
        <f t="shared" si="0"/>
        <v>SI</v>
      </c>
      <c r="C26" t="str">
        <f t="shared" si="1"/>
        <v>e_NZ27-220</v>
      </c>
      <c r="D26" t="s">
        <v>724</v>
      </c>
      <c r="E26" t="s">
        <v>723</v>
      </c>
      <c r="F26" t="s">
        <v>301</v>
      </c>
    </row>
    <row r="31" spans="2:22" x14ac:dyDescent="0.45">
      <c r="B31" t="s">
        <v>758</v>
      </c>
      <c r="J31" t="s">
        <v>758</v>
      </c>
      <c r="Q31" t="s">
        <v>758</v>
      </c>
    </row>
    <row r="32" spans="2:22" x14ac:dyDescent="0.45">
      <c r="B32" t="s">
        <v>311</v>
      </c>
      <c r="C32" t="s">
        <v>253</v>
      </c>
      <c r="D32" t="s">
        <v>14</v>
      </c>
      <c r="E32" t="s">
        <v>38</v>
      </c>
      <c r="F32">
        <v>2020</v>
      </c>
      <c r="G32">
        <v>0</v>
      </c>
      <c r="J32" t="s">
        <v>311</v>
      </c>
      <c r="K32" t="s">
        <v>253</v>
      </c>
      <c r="L32" t="s">
        <v>14</v>
      </c>
      <c r="M32" t="s">
        <v>38</v>
      </c>
      <c r="N32">
        <v>2020</v>
      </c>
      <c r="O32">
        <v>0</v>
      </c>
      <c r="Q32" t="s">
        <v>311</v>
      </c>
      <c r="R32" t="s">
        <v>253</v>
      </c>
      <c r="S32" t="s">
        <v>14</v>
      </c>
      <c r="T32" t="s">
        <v>38</v>
      </c>
      <c r="U32">
        <v>2020</v>
      </c>
      <c r="V32">
        <v>0</v>
      </c>
    </row>
    <row r="33" spans="2:22" x14ac:dyDescent="0.45">
      <c r="B33" t="str">
        <f>B5</f>
        <v>NI</v>
      </c>
      <c r="C33" t="str">
        <f>C5</f>
        <v>e_w87928925-220</v>
      </c>
      <c r="D33" t="s">
        <v>757</v>
      </c>
      <c r="E33" t="s">
        <v>723</v>
      </c>
      <c r="F33" s="2"/>
      <c r="G33">
        <v>3</v>
      </c>
      <c r="J33" t="str">
        <f>$B33</f>
        <v>NI</v>
      </c>
      <c r="K33" t="str">
        <f>$C33</f>
        <v>e_w87928925-220</v>
      </c>
      <c r="L33" t="s">
        <v>756</v>
      </c>
      <c r="M33" t="s">
        <v>723</v>
      </c>
      <c r="N33" s="2"/>
      <c r="O33">
        <v>3</v>
      </c>
      <c r="Q33" t="str">
        <f>$B33</f>
        <v>NI</v>
      </c>
      <c r="R33" t="str">
        <f>$C33</f>
        <v>e_w87928925-220</v>
      </c>
      <c r="S33" t="s">
        <v>755</v>
      </c>
      <c r="T33" t="s">
        <v>723</v>
      </c>
      <c r="U33" s="2"/>
      <c r="V33">
        <v>3</v>
      </c>
    </row>
    <row r="34" spans="2:22" x14ac:dyDescent="0.45">
      <c r="B34" t="str">
        <f t="shared" ref="B34:C54" si="2">B6</f>
        <v>NI</v>
      </c>
      <c r="C34" t="str">
        <f t="shared" si="2"/>
        <v>e_w94053861-220</v>
      </c>
      <c r="D34" t="s">
        <v>757</v>
      </c>
      <c r="E34" t="s">
        <v>723</v>
      </c>
      <c r="F34" s="2">
        <f t="shared" ref="F34:F54" si="3">N4</f>
        <v>8.1561509900455104E-2</v>
      </c>
      <c r="G34">
        <v>3</v>
      </c>
      <c r="J34" t="str">
        <f t="shared" ref="J34:J54" si="4">$B34</f>
        <v>NI</v>
      </c>
      <c r="K34" t="str">
        <f t="shared" ref="K34:K54" si="5">$C34</f>
        <v>e_w94053861-220</v>
      </c>
      <c r="L34" t="s">
        <v>756</v>
      </c>
      <c r="M34" t="s">
        <v>723</v>
      </c>
      <c r="N34" s="2">
        <f t="shared" ref="N34:N45" si="6">R4</f>
        <v>6.8580675281546405E-2</v>
      </c>
      <c r="O34">
        <v>3</v>
      </c>
      <c r="Q34" t="str">
        <f t="shared" ref="Q34:Q54" si="7">$B34</f>
        <v>NI</v>
      </c>
      <c r="R34" t="str">
        <f t="shared" ref="R34:R54" si="8">$C34</f>
        <v>e_w94053861-220</v>
      </c>
      <c r="S34" t="s">
        <v>755</v>
      </c>
      <c r="T34" t="s">
        <v>723</v>
      </c>
      <c r="U34" s="2">
        <f t="shared" ref="U34:U54" si="9">Q4</f>
        <v>8.06356741102075E-2</v>
      </c>
      <c r="V34">
        <v>3</v>
      </c>
    </row>
    <row r="35" spans="2:22" x14ac:dyDescent="0.45">
      <c r="B35" t="str">
        <f t="shared" si="2"/>
        <v>NI</v>
      </c>
      <c r="C35" t="str">
        <f t="shared" si="2"/>
        <v>e_w95344674-220</v>
      </c>
      <c r="D35" t="s">
        <v>757</v>
      </c>
      <c r="E35" t="s">
        <v>723</v>
      </c>
      <c r="F35" s="2">
        <f t="shared" si="3"/>
        <v>1.7030252471331601E-2</v>
      </c>
      <c r="G35">
        <v>3</v>
      </c>
      <c r="J35" t="str">
        <f t="shared" si="4"/>
        <v>NI</v>
      </c>
      <c r="K35" t="str">
        <f t="shared" si="5"/>
        <v>e_w95344674-220</v>
      </c>
      <c r="L35" t="s">
        <v>756</v>
      </c>
      <c r="M35" t="s">
        <v>723</v>
      </c>
      <c r="N35" s="2">
        <f t="shared" si="6"/>
        <v>0.12292330838603201</v>
      </c>
      <c r="O35">
        <v>3</v>
      </c>
      <c r="Q35" t="str">
        <f t="shared" si="7"/>
        <v>NI</v>
      </c>
      <c r="R35" t="str">
        <f t="shared" si="8"/>
        <v>e_w95344674-220</v>
      </c>
      <c r="S35" t="s">
        <v>755</v>
      </c>
      <c r="T35" t="s">
        <v>723</v>
      </c>
      <c r="U35" s="2">
        <f t="shared" si="9"/>
        <v>2.8984919214794801E-2</v>
      </c>
      <c r="V35">
        <v>3</v>
      </c>
    </row>
    <row r="36" spans="2:22" x14ac:dyDescent="0.45">
      <c r="B36" t="str">
        <f t="shared" si="2"/>
        <v>NI</v>
      </c>
      <c r="C36" t="str">
        <f t="shared" si="2"/>
        <v>e_w119877500-220</v>
      </c>
      <c r="D36" t="s">
        <v>757</v>
      </c>
      <c r="E36" t="s">
        <v>723</v>
      </c>
      <c r="F36" s="2">
        <f t="shared" si="3"/>
        <v>6.5397898449555403E-2</v>
      </c>
      <c r="G36">
        <v>3</v>
      </c>
      <c r="J36" t="str">
        <f t="shared" si="4"/>
        <v>NI</v>
      </c>
      <c r="K36" t="str">
        <f t="shared" si="5"/>
        <v>e_w119877500-220</v>
      </c>
      <c r="L36" t="s">
        <v>756</v>
      </c>
      <c r="M36" t="s">
        <v>723</v>
      </c>
      <c r="N36" s="2">
        <f t="shared" si="6"/>
        <v>3.9503551970168603E-2</v>
      </c>
      <c r="O36">
        <v>3</v>
      </c>
      <c r="Q36" t="str">
        <f t="shared" si="7"/>
        <v>NI</v>
      </c>
      <c r="R36" t="str">
        <f t="shared" si="8"/>
        <v>e_w119877500-220</v>
      </c>
      <c r="S36" t="s">
        <v>755</v>
      </c>
      <c r="T36" t="s">
        <v>723</v>
      </c>
      <c r="U36" s="2">
        <f t="shared" si="9"/>
        <v>6.7698335422951006E-2</v>
      </c>
      <c r="V36">
        <v>3</v>
      </c>
    </row>
    <row r="37" spans="2:22" x14ac:dyDescent="0.45">
      <c r="B37" t="str">
        <f t="shared" si="2"/>
        <v>NI</v>
      </c>
      <c r="C37" t="str">
        <f t="shared" si="2"/>
        <v>e_w167285260-220</v>
      </c>
      <c r="D37" t="s">
        <v>757</v>
      </c>
      <c r="E37" t="s">
        <v>723</v>
      </c>
      <c r="F37" s="2">
        <f t="shared" si="3"/>
        <v>1.0210371164411E-2</v>
      </c>
      <c r="G37">
        <v>3</v>
      </c>
      <c r="J37" t="str">
        <f t="shared" si="4"/>
        <v>NI</v>
      </c>
      <c r="K37" t="str">
        <f t="shared" si="5"/>
        <v>e_w167285260-220</v>
      </c>
      <c r="L37" t="s">
        <v>756</v>
      </c>
      <c r="M37" t="s">
        <v>723</v>
      </c>
      <c r="N37" s="2">
        <f t="shared" si="6"/>
        <v>0.11850700547946599</v>
      </c>
      <c r="O37">
        <v>3</v>
      </c>
      <c r="Q37" t="str">
        <f t="shared" si="7"/>
        <v>NI</v>
      </c>
      <c r="R37" t="str">
        <f t="shared" si="8"/>
        <v>e_w167285260-220</v>
      </c>
      <c r="S37" t="s">
        <v>755</v>
      </c>
      <c r="T37" t="s">
        <v>723</v>
      </c>
      <c r="U37" s="2">
        <f t="shared" si="9"/>
        <v>2.3526292933004799E-2</v>
      </c>
      <c r="V37">
        <v>3</v>
      </c>
    </row>
    <row r="38" spans="2:22" x14ac:dyDescent="0.45">
      <c r="B38" t="str">
        <f t="shared" si="2"/>
        <v>NI</v>
      </c>
      <c r="C38" t="str">
        <f t="shared" si="2"/>
        <v>e_w167285336-220</v>
      </c>
      <c r="D38" t="s">
        <v>757</v>
      </c>
      <c r="E38" t="s">
        <v>723</v>
      </c>
      <c r="F38" s="2">
        <f t="shared" si="3"/>
        <v>7.6938704058300096E-3</v>
      </c>
      <c r="G38">
        <v>3</v>
      </c>
      <c r="J38" t="str">
        <f t="shared" si="4"/>
        <v>NI</v>
      </c>
      <c r="K38" t="str">
        <f t="shared" si="5"/>
        <v>e_w167285336-220</v>
      </c>
      <c r="L38" t="s">
        <v>756</v>
      </c>
      <c r="M38" t="s">
        <v>723</v>
      </c>
      <c r="N38" s="2">
        <f t="shared" si="6"/>
        <v>0.11113019841467001</v>
      </c>
      <c r="O38">
        <v>3</v>
      </c>
      <c r="Q38" t="str">
        <f t="shared" si="7"/>
        <v>NI</v>
      </c>
      <c r="R38" t="str">
        <f t="shared" si="8"/>
        <v>e_w167285336-220</v>
      </c>
      <c r="S38" t="s">
        <v>755</v>
      </c>
      <c r="T38" t="s">
        <v>723</v>
      </c>
      <c r="U38" s="2">
        <f t="shared" si="9"/>
        <v>2.1512088204104898E-2</v>
      </c>
      <c r="V38">
        <v>3</v>
      </c>
    </row>
    <row r="39" spans="2:22" x14ac:dyDescent="0.45">
      <c r="B39" t="str">
        <f t="shared" si="2"/>
        <v>NI</v>
      </c>
      <c r="C39" t="str">
        <f t="shared" si="2"/>
        <v>e_w167300914-220</v>
      </c>
      <c r="D39" t="s">
        <v>757</v>
      </c>
      <c r="E39" t="s">
        <v>723</v>
      </c>
      <c r="F39" s="2">
        <f t="shared" si="3"/>
        <v>3.2952241812295398E-2</v>
      </c>
      <c r="G39">
        <v>3</v>
      </c>
      <c r="J39" t="str">
        <f t="shared" si="4"/>
        <v>NI</v>
      </c>
      <c r="K39" t="str">
        <f t="shared" si="5"/>
        <v>e_w167300914-220</v>
      </c>
      <c r="L39" t="s">
        <v>756</v>
      </c>
      <c r="M39" t="s">
        <v>723</v>
      </c>
      <c r="N39" s="2">
        <f t="shared" si="6"/>
        <v>0.125235778416185</v>
      </c>
      <c r="O39">
        <v>3</v>
      </c>
      <c r="Q39" t="str">
        <f t="shared" si="7"/>
        <v>NI</v>
      </c>
      <c r="R39" t="str">
        <f t="shared" si="8"/>
        <v>e_w167300914-220</v>
      </c>
      <c r="S39" t="s">
        <v>755</v>
      </c>
      <c r="T39" t="s">
        <v>723</v>
      </c>
      <c r="U39" s="2">
        <f t="shared" si="9"/>
        <v>4.1728863803209698E-2</v>
      </c>
      <c r="V39">
        <v>3</v>
      </c>
    </row>
    <row r="40" spans="2:22" x14ac:dyDescent="0.45">
      <c r="B40" t="str">
        <f t="shared" si="2"/>
        <v>NI</v>
      </c>
      <c r="C40" t="str">
        <f t="shared" si="2"/>
        <v>e_w270022030-220</v>
      </c>
      <c r="D40" t="s">
        <v>757</v>
      </c>
      <c r="E40" t="s">
        <v>723</v>
      </c>
      <c r="F40" s="2">
        <f t="shared" si="3"/>
        <v>2.34291321054837E-2</v>
      </c>
      <c r="G40">
        <v>3</v>
      </c>
      <c r="J40" t="str">
        <f t="shared" si="4"/>
        <v>NI</v>
      </c>
      <c r="K40" t="str">
        <f t="shared" si="5"/>
        <v>e_w270022030-220</v>
      </c>
      <c r="L40" t="s">
        <v>756</v>
      </c>
      <c r="M40" t="s">
        <v>723</v>
      </c>
      <c r="N40" s="2">
        <f t="shared" si="6"/>
        <v>9.4538907932051705E-2</v>
      </c>
      <c r="O40">
        <v>3</v>
      </c>
      <c r="Q40" t="str">
        <f t="shared" si="7"/>
        <v>NI</v>
      </c>
      <c r="R40" t="str">
        <f t="shared" si="8"/>
        <v>e_w270022030-220</v>
      </c>
      <c r="S40" t="s">
        <v>755</v>
      </c>
      <c r="T40" t="s">
        <v>723</v>
      </c>
      <c r="U40" s="2">
        <f t="shared" si="9"/>
        <v>3.4106576172306398E-2</v>
      </c>
      <c r="V40">
        <v>3</v>
      </c>
    </row>
    <row r="41" spans="2:22" x14ac:dyDescent="0.45">
      <c r="B41" t="str">
        <f t="shared" si="2"/>
        <v>NI</v>
      </c>
      <c r="C41" t="str">
        <f t="shared" si="2"/>
        <v>e_w907631032-220</v>
      </c>
      <c r="D41" t="s">
        <v>757</v>
      </c>
      <c r="E41" t="s">
        <v>723</v>
      </c>
      <c r="F41" s="2">
        <f t="shared" si="3"/>
        <v>0.63543589233768305</v>
      </c>
      <c r="G41">
        <v>3</v>
      </c>
      <c r="J41" t="str">
        <f t="shared" si="4"/>
        <v>NI</v>
      </c>
      <c r="K41" t="str">
        <f t="shared" si="5"/>
        <v>e_w907631032-220</v>
      </c>
      <c r="L41" t="s">
        <v>756</v>
      </c>
      <c r="M41" t="s">
        <v>723</v>
      </c>
      <c r="N41" s="2">
        <f t="shared" si="6"/>
        <v>4.2286542778396897E-3</v>
      </c>
      <c r="O41">
        <v>3</v>
      </c>
      <c r="Q41" t="str">
        <f t="shared" si="7"/>
        <v>NI</v>
      </c>
      <c r="R41" t="str">
        <f t="shared" si="8"/>
        <v>e_w907631032-220</v>
      </c>
      <c r="S41" t="s">
        <v>755</v>
      </c>
      <c r="T41" t="s">
        <v>723</v>
      </c>
      <c r="U41" s="2">
        <f t="shared" si="9"/>
        <v>0.52395618435339197</v>
      </c>
      <c r="V41">
        <v>3</v>
      </c>
    </row>
    <row r="42" spans="2:22" x14ac:dyDescent="0.45">
      <c r="B42" t="str">
        <f t="shared" si="2"/>
        <v>NI</v>
      </c>
      <c r="C42" t="str">
        <f t="shared" si="2"/>
        <v>e_w1167708390-220</v>
      </c>
      <c r="D42" t="s">
        <v>757</v>
      </c>
      <c r="E42" t="s">
        <v>723</v>
      </c>
      <c r="F42" s="2">
        <f t="shared" si="3"/>
        <v>8.5661305450976596E-3</v>
      </c>
      <c r="G42">
        <v>3</v>
      </c>
      <c r="J42" t="str">
        <f t="shared" si="4"/>
        <v>NI</v>
      </c>
      <c r="K42" t="str">
        <f t="shared" si="5"/>
        <v>e_w1167708390-220</v>
      </c>
      <c r="L42" t="s">
        <v>756</v>
      </c>
      <c r="M42" t="s">
        <v>723</v>
      </c>
      <c r="N42" s="2">
        <f t="shared" si="6"/>
        <v>9.8552632363159004E-2</v>
      </c>
      <c r="O42">
        <v>3</v>
      </c>
      <c r="Q42" t="str">
        <f t="shared" si="7"/>
        <v>NI</v>
      </c>
      <c r="R42" t="str">
        <f t="shared" si="8"/>
        <v>e_w1167708390-220</v>
      </c>
      <c r="S42" t="s">
        <v>755</v>
      </c>
      <c r="T42" t="s">
        <v>723</v>
      </c>
      <c r="U42" s="2">
        <f t="shared" si="9"/>
        <v>2.2210244360566699E-2</v>
      </c>
      <c r="V42">
        <v>3</v>
      </c>
    </row>
    <row r="43" spans="2:22" x14ac:dyDescent="0.45">
      <c r="B43" t="str">
        <f t="shared" si="2"/>
        <v>NI</v>
      </c>
      <c r="C43" t="str">
        <f t="shared" si="2"/>
        <v>e_w1363994055-220</v>
      </c>
      <c r="D43" t="s">
        <v>757</v>
      </c>
      <c r="E43" t="s">
        <v>723</v>
      </c>
      <c r="F43" s="2">
        <f t="shared" si="3"/>
        <v>8.8870686785993705E-2</v>
      </c>
      <c r="G43">
        <v>3</v>
      </c>
      <c r="J43" t="str">
        <f t="shared" si="4"/>
        <v>NI</v>
      </c>
      <c r="K43" t="str">
        <f t="shared" si="5"/>
        <v>e_w1363994055-220</v>
      </c>
      <c r="L43" t="s">
        <v>756</v>
      </c>
      <c r="M43" t="s">
        <v>723</v>
      </c>
      <c r="N43" s="2">
        <f t="shared" si="6"/>
        <v>4.8221286775162204E-3</v>
      </c>
      <c r="O43">
        <v>3</v>
      </c>
      <c r="Q43" t="str">
        <f t="shared" si="7"/>
        <v>NI</v>
      </c>
      <c r="R43" t="str">
        <f t="shared" si="8"/>
        <v>e_w1363994055-220</v>
      </c>
      <c r="S43" t="s">
        <v>755</v>
      </c>
      <c r="T43" t="s">
        <v>723</v>
      </c>
      <c r="U43" s="2">
        <f t="shared" si="9"/>
        <v>8.6485932091261195E-2</v>
      </c>
      <c r="V43">
        <v>3</v>
      </c>
    </row>
    <row r="44" spans="2:22" x14ac:dyDescent="0.45">
      <c r="B44" t="str">
        <f t="shared" si="2"/>
        <v>NI</v>
      </c>
      <c r="C44" t="str">
        <f t="shared" si="2"/>
        <v>e_NZ11-220</v>
      </c>
      <c r="D44" t="s">
        <v>757</v>
      </c>
      <c r="E44" t="s">
        <v>723</v>
      </c>
      <c r="F44" s="2">
        <f t="shared" si="3"/>
        <v>8.0617065696143696E-3</v>
      </c>
      <c r="G44">
        <v>3</v>
      </c>
      <c r="J44" t="str">
        <f t="shared" si="4"/>
        <v>NI</v>
      </c>
      <c r="K44" t="str">
        <f t="shared" si="5"/>
        <v>e_NZ11-220</v>
      </c>
      <c r="L44" t="s">
        <v>756</v>
      </c>
      <c r="M44" t="s">
        <v>723</v>
      </c>
      <c r="N44" s="2">
        <f t="shared" si="6"/>
        <v>8.1145533401035905E-2</v>
      </c>
      <c r="O44">
        <v>3</v>
      </c>
      <c r="Q44" t="str">
        <f t="shared" si="7"/>
        <v>NI</v>
      </c>
      <c r="R44" t="str">
        <f t="shared" si="8"/>
        <v>e_NZ11-220</v>
      </c>
      <c r="S44" t="s">
        <v>755</v>
      </c>
      <c r="T44" t="s">
        <v>723</v>
      </c>
      <c r="U44" s="2">
        <f t="shared" si="9"/>
        <v>2.18065039073502E-2</v>
      </c>
      <c r="V44">
        <v>3</v>
      </c>
    </row>
    <row r="45" spans="2:22" x14ac:dyDescent="0.45">
      <c r="B45" t="str">
        <f t="shared" si="2"/>
        <v>NI</v>
      </c>
      <c r="C45" t="str">
        <f t="shared" si="2"/>
        <v>e_NZ13-220</v>
      </c>
      <c r="D45" t="s">
        <v>757</v>
      </c>
      <c r="E45" t="s">
        <v>723</v>
      </c>
      <c r="F45" s="2">
        <f t="shared" si="3"/>
        <v>1.4923947387757999E-2</v>
      </c>
      <c r="G45">
        <v>3</v>
      </c>
      <c r="J45" t="str">
        <f t="shared" si="4"/>
        <v>NI</v>
      </c>
      <c r="K45" t="str">
        <f t="shared" si="5"/>
        <v>e_NZ13-220</v>
      </c>
      <c r="L45" t="s">
        <v>756</v>
      </c>
      <c r="M45" t="s">
        <v>723</v>
      </c>
      <c r="N45" s="2">
        <f t="shared" si="6"/>
        <v>6.04367704312977E-2</v>
      </c>
      <c r="O45">
        <v>3</v>
      </c>
      <c r="Q45" t="str">
        <f t="shared" si="7"/>
        <v>NI</v>
      </c>
      <c r="R45" t="str">
        <f t="shared" si="8"/>
        <v>e_NZ13-220</v>
      </c>
      <c r="S45" t="s">
        <v>755</v>
      </c>
      <c r="T45" t="s">
        <v>723</v>
      </c>
      <c r="U45" s="2">
        <f t="shared" si="9"/>
        <v>2.7299034700207302E-2</v>
      </c>
      <c r="V45">
        <v>3</v>
      </c>
    </row>
    <row r="46" spans="2:22" x14ac:dyDescent="0.45">
      <c r="B46" t="str">
        <f t="shared" si="2"/>
        <v>SI</v>
      </c>
      <c r="C46" t="str">
        <f t="shared" si="2"/>
        <v>e_w33795353-220</v>
      </c>
      <c r="D46" t="s">
        <v>757</v>
      </c>
      <c r="E46" t="s">
        <v>723</v>
      </c>
      <c r="F46" s="2"/>
      <c r="G46">
        <v>3</v>
      </c>
      <c r="J46" t="str">
        <f t="shared" si="4"/>
        <v>SI</v>
      </c>
      <c r="K46" t="str">
        <f t="shared" si="5"/>
        <v>e_w33795353-220</v>
      </c>
      <c r="L46" t="s">
        <v>756</v>
      </c>
      <c r="M46" t="s">
        <v>723</v>
      </c>
      <c r="N46" s="2"/>
      <c r="O46">
        <v>3</v>
      </c>
      <c r="Q46" t="str">
        <f t="shared" si="7"/>
        <v>SI</v>
      </c>
      <c r="R46" t="str">
        <f t="shared" si="8"/>
        <v>e_w33795353-220</v>
      </c>
      <c r="S46" t="s">
        <v>755</v>
      </c>
      <c r="T46" t="s">
        <v>723</v>
      </c>
      <c r="U46" s="2"/>
      <c r="V46">
        <v>3</v>
      </c>
    </row>
    <row r="47" spans="2:22" x14ac:dyDescent="0.45">
      <c r="B47" t="str">
        <f t="shared" si="2"/>
        <v>SI</v>
      </c>
      <c r="C47" t="str">
        <f t="shared" si="2"/>
        <v>e_w270521928-220</v>
      </c>
      <c r="D47" t="s">
        <v>757</v>
      </c>
      <c r="E47" t="s">
        <v>723</v>
      </c>
      <c r="F47" s="2">
        <f t="shared" si="3"/>
        <v>1.7574323650842699E-2</v>
      </c>
      <c r="G47">
        <v>3</v>
      </c>
      <c r="J47" t="str">
        <f t="shared" si="4"/>
        <v>SI</v>
      </c>
      <c r="K47" t="str">
        <f t="shared" si="5"/>
        <v>e_w270521928-220</v>
      </c>
      <c r="L47" t="s">
        <v>756</v>
      </c>
      <c r="M47" t="s">
        <v>723</v>
      </c>
      <c r="N47" s="2">
        <f>R17</f>
        <v>0.142535486755099</v>
      </c>
      <c r="O47">
        <v>3</v>
      </c>
      <c r="Q47" t="str">
        <f t="shared" si="7"/>
        <v>SI</v>
      </c>
      <c r="R47" t="str">
        <f t="shared" si="8"/>
        <v>e_w270521928-220</v>
      </c>
      <c r="S47" t="s">
        <v>755</v>
      </c>
      <c r="T47" t="s">
        <v>723</v>
      </c>
      <c r="U47" s="2">
        <f t="shared" si="9"/>
        <v>3.9025821902286997E-2</v>
      </c>
      <c r="V47">
        <v>3</v>
      </c>
    </row>
    <row r="48" spans="2:22" x14ac:dyDescent="0.45">
      <c r="B48" t="str">
        <f t="shared" si="2"/>
        <v>SI</v>
      </c>
      <c r="C48" t="str">
        <f t="shared" si="2"/>
        <v>e_w95343089-220</v>
      </c>
      <c r="D48" t="s">
        <v>757</v>
      </c>
      <c r="E48" t="s">
        <v>723</v>
      </c>
      <c r="F48" s="2">
        <f t="shared" si="3"/>
        <v>0.28354990845613498</v>
      </c>
      <c r="G48">
        <v>3</v>
      </c>
      <c r="J48" t="str">
        <f t="shared" si="4"/>
        <v>SI</v>
      </c>
      <c r="K48" t="str">
        <f t="shared" si="5"/>
        <v>e_w95343089-220</v>
      </c>
      <c r="L48" t="s">
        <v>756</v>
      </c>
      <c r="M48" t="s">
        <v>723</v>
      </c>
      <c r="N48" s="2">
        <f t="shared" ref="N48:N54" si="10">R18</f>
        <v>3.1587285738253097E-2</v>
      </c>
      <c r="O48">
        <v>3</v>
      </c>
      <c r="Q48" t="str">
        <f t="shared" si="7"/>
        <v>SI</v>
      </c>
      <c r="R48" t="str">
        <f t="shared" si="8"/>
        <v>e_w95343089-220</v>
      </c>
      <c r="S48" t="s">
        <v>755</v>
      </c>
      <c r="T48" t="s">
        <v>723</v>
      </c>
      <c r="U48" s="2">
        <f t="shared" si="9"/>
        <v>0.244003216078024</v>
      </c>
      <c r="V48">
        <v>3</v>
      </c>
    </row>
    <row r="49" spans="2:22" x14ac:dyDescent="0.45">
      <c r="B49" t="str">
        <f t="shared" si="2"/>
        <v>SI</v>
      </c>
      <c r="C49" t="str">
        <f t="shared" si="2"/>
        <v>e_w100957314-220</v>
      </c>
      <c r="D49" t="s">
        <v>757</v>
      </c>
      <c r="E49" t="s">
        <v>723</v>
      </c>
      <c r="F49" s="2">
        <f t="shared" si="3"/>
        <v>0.50257319574648895</v>
      </c>
      <c r="G49">
        <v>3</v>
      </c>
      <c r="J49" t="str">
        <f t="shared" si="4"/>
        <v>SI</v>
      </c>
      <c r="K49" t="str">
        <f t="shared" si="5"/>
        <v>e_w100957314-220</v>
      </c>
      <c r="L49" t="s">
        <v>756</v>
      </c>
      <c r="M49" t="s">
        <v>723</v>
      </c>
      <c r="N49" s="2">
        <f t="shared" si="10"/>
        <v>3.2834920354623598E-2</v>
      </c>
      <c r="O49">
        <v>3</v>
      </c>
      <c r="Q49" t="str">
        <f t="shared" si="7"/>
        <v>SI</v>
      </c>
      <c r="R49" t="str">
        <f t="shared" si="8"/>
        <v>e_w100957314-220</v>
      </c>
      <c r="S49" t="s">
        <v>755</v>
      </c>
      <c r="T49" t="s">
        <v>723</v>
      </c>
      <c r="U49" s="2">
        <f t="shared" si="9"/>
        <v>0.41279623790913</v>
      </c>
      <c r="V49">
        <v>3</v>
      </c>
    </row>
    <row r="50" spans="2:22" x14ac:dyDescent="0.45">
      <c r="B50" t="str">
        <f t="shared" si="2"/>
        <v>SI</v>
      </c>
      <c r="C50" t="str">
        <f t="shared" si="2"/>
        <v>e_w167286837-220</v>
      </c>
      <c r="D50" t="s">
        <v>757</v>
      </c>
      <c r="E50" t="s">
        <v>723</v>
      </c>
      <c r="F50" s="2">
        <f t="shared" si="3"/>
        <v>3.60680205016288E-2</v>
      </c>
      <c r="G50">
        <v>3</v>
      </c>
      <c r="J50" t="str">
        <f t="shared" si="4"/>
        <v>SI</v>
      </c>
      <c r="K50" t="str">
        <f t="shared" si="5"/>
        <v>e_w167286837-220</v>
      </c>
      <c r="L50" t="s">
        <v>756</v>
      </c>
      <c r="M50" t="s">
        <v>723</v>
      </c>
      <c r="N50" s="2">
        <f t="shared" si="10"/>
        <v>0.191013906423359</v>
      </c>
      <c r="O50">
        <v>3</v>
      </c>
      <c r="Q50" t="str">
        <f t="shared" si="7"/>
        <v>SI</v>
      </c>
      <c r="R50" t="str">
        <f t="shared" si="8"/>
        <v>e_w167286837-220</v>
      </c>
      <c r="S50" t="s">
        <v>755</v>
      </c>
      <c r="T50" t="s">
        <v>723</v>
      </c>
      <c r="U50" s="2">
        <f t="shared" si="9"/>
        <v>5.3278219512109801E-2</v>
      </c>
      <c r="V50">
        <v>3</v>
      </c>
    </row>
    <row r="51" spans="2:22" x14ac:dyDescent="0.45">
      <c r="B51" t="str">
        <f t="shared" si="2"/>
        <v>SI</v>
      </c>
      <c r="C51" t="str">
        <f t="shared" si="2"/>
        <v>e_w180519027-220</v>
      </c>
      <c r="D51" t="s">
        <v>757</v>
      </c>
      <c r="E51" t="s">
        <v>723</v>
      </c>
      <c r="F51" s="2">
        <f t="shared" si="3"/>
        <v>3.34436756042156E-2</v>
      </c>
      <c r="G51">
        <v>3</v>
      </c>
      <c r="J51" t="str">
        <f t="shared" si="4"/>
        <v>SI</v>
      </c>
      <c r="K51" t="str">
        <f t="shared" si="5"/>
        <v>e_w180519027-220</v>
      </c>
      <c r="L51" t="s">
        <v>756</v>
      </c>
      <c r="M51" t="s">
        <v>723</v>
      </c>
      <c r="N51" s="2">
        <f t="shared" si="10"/>
        <v>4.7306892983382899E-2</v>
      </c>
      <c r="O51">
        <v>3</v>
      </c>
      <c r="Q51" t="str">
        <f t="shared" si="7"/>
        <v>SI</v>
      </c>
      <c r="R51" t="str">
        <f t="shared" si="8"/>
        <v>e_w180519027-220</v>
      </c>
      <c r="S51" t="s">
        <v>755</v>
      </c>
      <c r="T51" t="s">
        <v>723</v>
      </c>
      <c r="U51" s="2">
        <f t="shared" si="9"/>
        <v>5.1255735460109399E-2</v>
      </c>
      <c r="V51">
        <v>3</v>
      </c>
    </row>
    <row r="52" spans="2:22" x14ac:dyDescent="0.45">
      <c r="B52" t="str">
        <f t="shared" si="2"/>
        <v>SI</v>
      </c>
      <c r="C52" t="str">
        <f t="shared" si="2"/>
        <v>e_w268826084-220</v>
      </c>
      <c r="D52" t="s">
        <v>757</v>
      </c>
      <c r="E52" t="s">
        <v>723</v>
      </c>
      <c r="F52" s="2">
        <f t="shared" si="3"/>
        <v>2.3213845419396702E-2</v>
      </c>
      <c r="G52">
        <v>3</v>
      </c>
      <c r="J52" t="str">
        <f t="shared" si="4"/>
        <v>SI</v>
      </c>
      <c r="K52" t="str">
        <f t="shared" si="5"/>
        <v>e_w268826084-220</v>
      </c>
      <c r="L52" t="s">
        <v>756</v>
      </c>
      <c r="M52" t="s">
        <v>723</v>
      </c>
      <c r="N52" s="2">
        <f t="shared" si="10"/>
        <v>0.12562350163285799</v>
      </c>
      <c r="O52">
        <v>3</v>
      </c>
      <c r="Q52" t="str">
        <f t="shared" si="7"/>
        <v>SI</v>
      </c>
      <c r="R52" t="str">
        <f t="shared" si="8"/>
        <v>e_w268826084-220</v>
      </c>
      <c r="S52" t="s">
        <v>755</v>
      </c>
      <c r="T52" t="s">
        <v>723</v>
      </c>
      <c r="U52" s="2">
        <f t="shared" si="9"/>
        <v>4.3371989530273498E-2</v>
      </c>
      <c r="V52">
        <v>3</v>
      </c>
    </row>
    <row r="53" spans="2:22" x14ac:dyDescent="0.45">
      <c r="B53" t="str">
        <f t="shared" si="2"/>
        <v>SI</v>
      </c>
      <c r="C53" t="str">
        <f t="shared" si="2"/>
        <v>e_w272195826-220</v>
      </c>
      <c r="D53" t="s">
        <v>757</v>
      </c>
      <c r="E53" t="s">
        <v>723</v>
      </c>
      <c r="F53" s="2">
        <f t="shared" si="3"/>
        <v>6.2460982378461698E-2</v>
      </c>
      <c r="G53">
        <v>3</v>
      </c>
      <c r="J53" t="str">
        <f t="shared" si="4"/>
        <v>SI</v>
      </c>
      <c r="K53" t="str">
        <f t="shared" si="5"/>
        <v>e_w272195826-220</v>
      </c>
      <c r="L53" t="s">
        <v>756</v>
      </c>
      <c r="M53" t="s">
        <v>723</v>
      </c>
      <c r="N53" s="2">
        <f t="shared" si="10"/>
        <v>0.16693725652546401</v>
      </c>
      <c r="O53">
        <v>3</v>
      </c>
      <c r="Q53" t="str">
        <f t="shared" si="7"/>
        <v>SI</v>
      </c>
      <c r="R53" t="str">
        <f t="shared" si="8"/>
        <v>e_w272195826-220</v>
      </c>
      <c r="S53" t="s">
        <v>755</v>
      </c>
      <c r="T53" t="s">
        <v>723</v>
      </c>
      <c r="U53" s="2">
        <f t="shared" si="9"/>
        <v>7.3618284011086901E-2</v>
      </c>
      <c r="V53">
        <v>3</v>
      </c>
    </row>
    <row r="54" spans="2:22" x14ac:dyDescent="0.45">
      <c r="B54" t="str">
        <f t="shared" si="2"/>
        <v>SI</v>
      </c>
      <c r="C54" t="str">
        <f t="shared" si="2"/>
        <v>e_NZ27-220</v>
      </c>
      <c r="D54" t="s">
        <v>757</v>
      </c>
      <c r="E54" t="s">
        <v>723</v>
      </c>
      <c r="F54" s="2">
        <f t="shared" si="3"/>
        <v>1.9672750355421001E-2</v>
      </c>
      <c r="G54">
        <v>3</v>
      </c>
      <c r="J54" t="str">
        <f t="shared" si="4"/>
        <v>SI</v>
      </c>
      <c r="K54" t="str">
        <f t="shared" si="5"/>
        <v>e_NZ27-220</v>
      </c>
      <c r="L54" t="s">
        <v>756</v>
      </c>
      <c r="M54" t="s">
        <v>723</v>
      </c>
      <c r="N54" s="2">
        <f t="shared" si="10"/>
        <v>0.198521825937094</v>
      </c>
      <c r="O54">
        <v>3</v>
      </c>
      <c r="Q54" t="str">
        <f t="shared" si="7"/>
        <v>SI</v>
      </c>
      <c r="R54" t="str">
        <f t="shared" si="8"/>
        <v>e_NZ27-220</v>
      </c>
      <c r="S54" t="s">
        <v>755</v>
      </c>
      <c r="T54" t="s">
        <v>723</v>
      </c>
      <c r="U54" s="2">
        <f t="shared" si="9"/>
        <v>4.0643000554560903E-2</v>
      </c>
      <c r="V5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H30" sqref="H30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725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VS-EECA links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2025-10-02T10:19:50Z</dcterms:modified>
</cp:coreProperties>
</file>