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grids\SuppXLS\"/>
    </mc:Choice>
  </mc:AlternateContent>
  <xr:revisionPtr revIDLastSave="0" documentId="13_ncr:1_{61722B11-B489-49B8-82F6-8A207167602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definedNames>
    <definedName name="_xlnm._FilterDatabase" localSheetId="0" hidden="1">grids!$AM$9:$AO$163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0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0" i="5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<sst xmlns="http://schemas.openxmlformats.org/spreadsheetml/2006/main" count="3630" uniqueCount="726">
  <si>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</si>
  <si>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</si>
  <si>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</si>
  <si>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</si>
  <si>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</si>
  <si>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</si>
  <si>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</si>
  <si>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</si>
  <si>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</si>
  <si>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</si>
  <si>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</si>
  <si>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</si>
  <si>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</si>
  <si>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</si>
  <si>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</si>
  <si>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</si>
  <si>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</si>
  <si>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</si>
  <si>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</si>
  <si>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</si>
  <si>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</si>
  <si>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</si>
  <si>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</si>
  <si>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</si>
  <si>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</si>
  <si>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</si>
  <si>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</si>
  <si>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</si>
  <si>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</si>
  <si>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</si>
  <si>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</si>
  <si>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</si>
  <si>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</si>
  <si>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</si>
  <si>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</si>
  <si>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</si>
  <si>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</si>
  <si>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</si>
  <si>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</si>
  <si>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</si>
  <si>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</si>
  <si>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</si>
  <si>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</si>
  <si>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</si>
  <si>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</si>
  <si>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</si>
  <si>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</si>
  <si>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</si>
  <si>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</si>
  <si>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</si>
  <si>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</si>
  <si>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</si>
  <si>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</si>
  <si>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</si>
  <si>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</si>
  <si>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</si>
  <si>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</si>
  <si>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</si>
  <si>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</si>
  <si>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</si>
  <si>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</si>
  <si>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</si>
  <si>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</si>
  <si>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</si>
  <si>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</si>
  <si>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</si>
  <si>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</si>
  <si>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</si>
  <si>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</si>
  <si>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</si>
  <si>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</si>
  <si>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</si>
  <si>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</si>
  <si>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</si>
  <si>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</si>
  <si>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</si>
  <si>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</si>
  <si>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</si>
  <si>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</si>
  <si>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</si>
  <si>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</si>
  <si>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</si>
  <si>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</si>
  <si>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</si>
  <si>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</si>
  <si>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</si>
  <si>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</si>
  <si>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</si>
  <si>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</si>
  <si>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</si>
  <si>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</si>
  <si>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</si>
  <si>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</si>
  <si>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</si>
  <si>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</si>
  <si>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</si>
  <si>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</si>
  <si>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</si>
  <si>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</si>
  <si>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</si>
  <si>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</si>
  <si>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</si>
  <si>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</si>
  <si>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</si>
  <si>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</si>
  <si>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</si>
  <si>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</si>
  <si>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</si>
  <si>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</si>
  <si>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</si>
  <si>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</si>
  <si>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</si>
  <si>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</si>
  <si>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</si>
  <si>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</si>
  <si>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</si>
  <si>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</si>
  <si>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</si>
  <si>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</si>
  <si>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</si>
  <si>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</si>
  <si>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</si>
  <si>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</si>
  <si>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</si>
  <si>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</si>
  <si>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</si>
  <si>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</si>
  <si>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</si>
  <si>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</si>
  <si>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</si>
  <si>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</si>
  <si>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</si>
  <si>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</si>
  <si>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</si>
  <si>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</si>
  <si>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</si>
  <si>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</si>
  <si>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</si>
  <si>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</si>
  <si>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</si>
  <si>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</si>
  <si>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</si>
  <si>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</si>
  <si>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</si>
  <si>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</si>
  <si>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</si>
  <si>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</si>
  <si>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</si>
  <si>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</si>
  <si>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</si>
  <si>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</si>
  <si>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</si>
  <si>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</si>
  <si>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</si>
  <si>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</si>
  <si>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</si>
  <si>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</si>
  <si>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</si>
  <si>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</si>
  <si>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</si>
  <si>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</si>
  <si>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</si>
  <si>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</si>
  <si>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</si>
  <si>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</si>
  <si>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</si>
  <si>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</si>
  <si>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</si>
  <si>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</si>
  <si>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</si>
  <si>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</si>
  <si>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</si>
  <si>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</si>
  <si>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</si>
  <si>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</si>
  <si>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</si>
  <si>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</si>
  <si>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</si>
  <si>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</si>
  <si>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</si>
  <si>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</si>
  <si>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</si>
  <si>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</si>
  <si>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</si>
  <si>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</si>
  <si>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</si>
  <si>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</si>
  <si>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</si>
  <si>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</si>
  <si>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</si>
  <si>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</si>
  <si>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</si>
  <si>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</si>
  <si>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</si>
  <si>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</si>
  <si>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</si>
  <si>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</si>
  <si>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</si>
  <si>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</si>
  <si>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</si>
  <si>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</si>
  <si>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</si>
  <si>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</si>
  <si>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</si>
  <si>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</si>
  <si>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</si>
  <si>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</si>
  <si>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</si>
  <si>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</si>
  <si>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</si>
  <si>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</si>
  <si>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</si>
  <si>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</si>
  <si>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</si>
  <si>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</si>
  <si>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</si>
  <si>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</si>
  <si>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</si>
  <si>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</si>
  <si>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</si>
  <si>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</si>
  <si>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</si>
  <si>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</si>
  <si>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</si>
  <si>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</si>
  <si>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</si>
  <si>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</si>
  <si>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</si>
  <si>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</si>
  <si>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</si>
  <si>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</si>
  <si>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</si>
  <si>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</si>
  <si>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</si>
  <si>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</si>
  <si>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</si>
  <si>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</si>
  <si>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</si>
  <si>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</si>
  <si>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</si>
  <si>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</si>
  <si>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</si>
  <si>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</si>
  <si>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</si>
  <si>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</si>
  <si>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</si>
  <si>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</si>
  <si>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</si>
  <si>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</si>
  <si>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</si>
  <si>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</si>
  <si>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</si>
  <si>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</si>
  <si>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</si>
  <si>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</si>
  <si>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</si>
  <si>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</si>
  <si>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</si>
  <si>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</si>
  <si>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</si>
  <si>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</si>
  <si>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</si>
  <si>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</si>
  <si>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</si>
  <si>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</si>
  <si>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</si>
  <si>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</si>
  <si>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</si>
  <si>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</si>
  <si>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</si>
  <si>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</si>
  <si>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</si>
  <si>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</si>
  <si>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</si>
  <si>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</si>
  <si>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</si>
  <si>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</si>
  <si>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</si>
  <si>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</si>
  <si>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</si>
  <si>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</si>
  <si>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</si>
  <si>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</si>
  <si>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</si>
  <si>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</si>
  <si>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</si>
  <si>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</si>
  <si>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</si>
  <si>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</si>
  <si>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</si>
  <si>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</si>
  <si>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</si>
  <si>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</si>
  <si>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</si>
  <si>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</si>
  <si>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</si>
  <si>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</si>
  <si>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</si>
  <si>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</si>
  <si>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</si>
  <si>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</si>
  <si>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</si>
  <si>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</si>
  <si>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</si>
  <si>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</si>
  <si>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</si>
  <si>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</si>
  <si>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</si>
  <si>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</si>
  <si>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</si>
  <si>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</si>
  <si>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</si>
  <si>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</si>
  <si>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</si>
  <si>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</si>
  <si>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</si>
  <si>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</si>
  <si>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</si>
  <si>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</si>
  <si>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</si>
  <si>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</si>
  <si>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</si>
  <si>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</si>
  <si>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</si>
  <si>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</si>
  <si>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</si>
  <si>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</si>
  <si>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</si>
  <si>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</si>
  <si>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</si>
  <si>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</si>
  <si>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</si>
  <si>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</si>
  <si>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</si>
  <si>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</si>
  <si>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</si>
  <si>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</si>
  <si>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</si>
  <si>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</si>
  <si>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</si>
  <si>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</si>
  <si>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</si>
  <si>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</si>
  <si>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</si>
  <si>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</si>
  <si>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</si>
  <si>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</si>
  <si>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</si>
  <si>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</si>
  <si>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</si>
  <si>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</si>
  <si>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</si>
  <si>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</si>
  <si>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</si>
  <si>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Bioenergy + CCUS_w94053861-220</t>
  </si>
  <si>
    <t>Bioenergy - Large scale unit_w94053861-220</t>
  </si>
  <si>
    <t>CCGT_w94053861-220</t>
  </si>
  <si>
    <t>CCGT + CCS_w94053861-220</t>
  </si>
  <si>
    <t>Coal + CCS_w94053861-220</t>
  </si>
  <si>
    <t>Gas turbine_w94053861-220</t>
  </si>
  <si>
    <t>IGCC_w94053861-220</t>
  </si>
  <si>
    <t>IGCC + CCS_w94053861-220</t>
  </si>
  <si>
    <t>Nuclear large_w94053861-220</t>
  </si>
  <si>
    <t>Oxyfuel + CCS_w94053861-220</t>
  </si>
  <si>
    <t>Steam Coal - SUBCRITICAL_w94053861-220</t>
  </si>
  <si>
    <t>Steam Coal - SUPERCRITICAL_w94053861-220</t>
  </si>
  <si>
    <t>Steam Coal - ULTRASUPERCRITICAL_w94053861-220</t>
  </si>
  <si>
    <t>EN_Hydro_NZL-1_NZ12-220</t>
  </si>
  <si>
    <t>e_NZ12-220</t>
  </si>
  <si>
    <t>EN_Hydro_NZL-2_NZ12-220</t>
  </si>
  <si>
    <t>EN_Hydro_NZL-3_NZ12-220</t>
  </si>
  <si>
    <t>EN_Hydro_NZL-1_w270018358-220</t>
  </si>
  <si>
    <t>e_w270018358-220</t>
  </si>
  <si>
    <t>EN_Hydro_NZL-2_w270018358-220</t>
  </si>
  <si>
    <t>EN_Hydro_NZL-3_w270018358-220</t>
  </si>
  <si>
    <t>EN_Hydro_NZL-1_w93556808-220</t>
  </si>
  <si>
    <t>e_w93556808-220</t>
  </si>
  <si>
    <t>EN_Hydro_NZL-2_w93556808-220</t>
  </si>
  <si>
    <t>EN_Hydro_NZL-3_w93556808-220</t>
  </si>
  <si>
    <t>EN_Hydro_NZL-1_w89637174-220</t>
  </si>
  <si>
    <t>e_w89637174-220</t>
  </si>
  <si>
    <t>EN_Hydro_NZL-2_w89637174-220</t>
  </si>
  <si>
    <t>EN_Hydro_NZL-3_w89637174-220</t>
  </si>
  <si>
    <t>EN_Hydro_NZL-1_w89664063-220</t>
  </si>
  <si>
    <t>e_w89664063-220</t>
  </si>
  <si>
    <t>EN_Hydro_NZL-2_w89664063-220</t>
  </si>
  <si>
    <t>EN_Hydro_NZL-3_w89664063-220</t>
  </si>
  <si>
    <t>EN_Hydro_NZL-1_NZ40-220</t>
  </si>
  <si>
    <t>e_NZ40-220</t>
  </si>
  <si>
    <t>EN_Hydro_NZL-2_NZ40-220</t>
  </si>
  <si>
    <t>EN_Hydro_NZL-3_NZ40-220</t>
  </si>
  <si>
    <t>EN_Hydro_NZL-1_NZ11-220</t>
  </si>
  <si>
    <t>e_NZ11-220</t>
  </si>
  <si>
    <t>EN_Hydro_NZL-2_NZ11-220</t>
  </si>
  <si>
    <t>EN_Hydro_NZL-3_NZ11-220</t>
  </si>
  <si>
    <t>EN_Hydro_NZL-1_w180514007-220</t>
  </si>
  <si>
    <t>e_w180514007-220</t>
  </si>
  <si>
    <t>EN_Hydro_NZL-2_w180514007-220</t>
  </si>
  <si>
    <t>EN_Hydro_NZL-3_w180514007-220</t>
  </si>
  <si>
    <t>EN_Hydro_NZL-1_w412589726-220</t>
  </si>
  <si>
    <t>e_w412589726-220</t>
  </si>
  <si>
    <t>EN_Hydro_NZL-2_w412589726-220</t>
  </si>
  <si>
    <t>EN_Hydro_NZL-3_w412589726-220</t>
  </si>
  <si>
    <t>EN_Hydro_NZL-1_w87928925-220</t>
  </si>
  <si>
    <t>e_w87928925-220</t>
  </si>
  <si>
    <t>EN_Hydro_NZL-2_w87928925-220</t>
  </si>
  <si>
    <t>EN_Hydro_NZL-3_w87928925-220</t>
  </si>
  <si>
    <t>EN_Hydro_NZL-1_NZ13-220</t>
  </si>
  <si>
    <t>e_NZ13-220</t>
  </si>
  <si>
    <t>EN_Hydro_NZL-2_NZ13-220</t>
  </si>
  <si>
    <t>EN_Hydro_NZL-3_NZ13-220</t>
  </si>
  <si>
    <t>EN_Hydro_NZL-1_w272522517-220</t>
  </si>
  <si>
    <t>e_w272522517-220</t>
  </si>
  <si>
    <t>EN_Hydro_NZL-2_w272522517-220</t>
  </si>
  <si>
    <t>EN_Hydro_NZL-3_w272522517-220</t>
  </si>
  <si>
    <t>EN_Hydro_NZL-1_NZ33-220</t>
  </si>
  <si>
    <t>e_NZ33-220</t>
  </si>
  <si>
    <t>EN_Hydro_NZL-2_NZ33-220</t>
  </si>
  <si>
    <t>EN_Hydro_NZL-3_NZ33-220</t>
  </si>
  <si>
    <t>EN_Hydro_NZL-1_NZ35-220</t>
  </si>
  <si>
    <t>e_NZ35-220</t>
  </si>
  <si>
    <t>EN_Hydro_NZL-2_NZ35-220</t>
  </si>
  <si>
    <t>EN_Hydro_NZL-3_NZ35-220</t>
  </si>
  <si>
    <t>EN_Hydro_NZL-1_w89636266-220</t>
  </si>
  <si>
    <t>e_w89636266-220</t>
  </si>
  <si>
    <t>EN_Hydro_NZL-2_w89636266-220</t>
  </si>
  <si>
    <t>EN_Hydro_NZL-3_w89636266-220</t>
  </si>
  <si>
    <t>EN_Hydro_NZL-1_NZ22-220</t>
  </si>
  <si>
    <t>e_NZ22-220</t>
  </si>
  <si>
    <t>EN_Hydro_NZL-2_NZ22-220</t>
  </si>
  <si>
    <t>EN_Hydro_NZL-3_NZ22-220</t>
  </si>
  <si>
    <t>EN_Hydro_NZL-1_NZ30-220</t>
  </si>
  <si>
    <t>e_NZ30-220</t>
  </si>
  <si>
    <t>EN_Hydro_NZL-2_NZ30-220</t>
  </si>
  <si>
    <t>EN_Hydro_NZL-3_NZ30-220</t>
  </si>
  <si>
    <t>EN_Hydro_NZL-1_w89411122-220</t>
  </si>
  <si>
    <t>e_w89411122-220</t>
  </si>
  <si>
    <t>EN_Hydro_NZL-2_w89411122-220</t>
  </si>
  <si>
    <t>EN_Hydro_NZL-3_w89411122-220</t>
  </si>
  <si>
    <t>EN_Hydro_NZL-1_w95512216-220</t>
  </si>
  <si>
    <t>e_w95512216-220</t>
  </si>
  <si>
    <t>EN_Hydro_NZL-2_w95512216-220</t>
  </si>
  <si>
    <t>EN_Hydro_NZL-3_w95512216-220</t>
  </si>
  <si>
    <t>EN_Hydro_NZL-1_w169512273-220</t>
  </si>
  <si>
    <t>e_w169512273-220</t>
  </si>
  <si>
    <t>EN_Hydro_NZL-2_w169512273-220</t>
  </si>
  <si>
    <t>EN_Hydro_NZL-3_w169512273-220</t>
  </si>
  <si>
    <t>EN_Hydro_NZL-1_w270521928-220</t>
  </si>
  <si>
    <t>e_w270521928-220</t>
  </si>
  <si>
    <t>EN_Hydro_NZL-2_w270521928-220</t>
  </si>
  <si>
    <t>EN_Hydro_NZL-3_w270521928-220</t>
  </si>
  <si>
    <t>EN_Hydro_NZL-1_w89637173-220</t>
  </si>
  <si>
    <t>e_w89637173-220</t>
  </si>
  <si>
    <t>EN_Hydro_NZL-2_w89637173-220</t>
  </si>
  <si>
    <t>EN_Hydro_NZL-3_w89637173-220</t>
  </si>
  <si>
    <t>EN_Hydro_NZL-1_NZ14-220</t>
  </si>
  <si>
    <t>e_NZ14-220</t>
  </si>
  <si>
    <t>EN_Hydro_NZL-2_NZ14-220</t>
  </si>
  <si>
    <t>EN_Hydro_NZL-3_NZ14-220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</si>
  <si>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</si>
  <si>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</si>
  <si>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</si>
  <si>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</si>
  <si>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</si>
  <si>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</si>
  <si>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EN_STG8hbNREL_w94053861-220</t>
  </si>
  <si>
    <t>EN_STG4hbNREL_w94053861-220</t>
  </si>
  <si>
    <t>EN_STG8hbNREL_w1026587442-220</t>
  </si>
  <si>
    <t>e_w1026587442-220</t>
  </si>
  <si>
    <t>EN_STG4hbNREL_w1026587442-220</t>
  </si>
  <si>
    <t>EN_STG8hbNREL_w167572576-220</t>
  </si>
  <si>
    <t>e_w167572576-220</t>
  </si>
  <si>
    <t>EN_STG4hbNREL_w167572576-220</t>
  </si>
  <si>
    <t>EN_STG8hbNREL_NZ42-220</t>
  </si>
  <si>
    <t>e_NZ42-220</t>
  </si>
  <si>
    <t>EN_STG4hbNREL_NZ42-220</t>
  </si>
  <si>
    <t>EN_STG8hbNREL_NZ23-220</t>
  </si>
  <si>
    <t>e_NZ23-220</t>
  </si>
  <si>
    <t>EN_STG4hbNREL_NZ23-220</t>
  </si>
  <si>
    <t>EN_STG8hbNREL_w89636266-220</t>
  </si>
  <si>
    <t>EN_STG4hbNREL_w89636266-220</t>
  </si>
  <si>
    <t>EN_STG8hbNREL_w414953388-220</t>
  </si>
  <si>
    <t>e_w414953388-220</t>
  </si>
  <si>
    <t>EN_STG4hbNREL_w414953388-220</t>
  </si>
  <si>
    <t>EN_STG8hbNREL_w89636510-220</t>
  </si>
  <si>
    <t>e_w89636510-220</t>
  </si>
  <si>
    <t>EN_STG4hbNREL_w89636510-220</t>
  </si>
  <si>
    <t>EN_STG8hbNREL_NZ31-220</t>
  </si>
  <si>
    <t>e_NZ31-220</t>
  </si>
  <si>
    <t>EN_STG4hbNREL_NZ31-220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</si>
  <si>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</si>
  <si>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</si>
  <si>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</si>
  <si>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</si>
  <si>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</si>
  <si>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</si>
  <si>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</si>
  <si>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</si>
  <si>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</si>
  <si>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</si>
  <si>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</si>
  <si>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</si>
  <si>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</si>
  <si>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</si>
  <si>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</si>
  <si>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</si>
  <si>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</si>
  <si>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</si>
  <si>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</si>
  <si>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</si>
  <si>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</si>
  <si>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EN_STG8hbNREL_w270022030-220</t>
  </si>
  <si>
    <t>e_w270022030-220</t>
  </si>
  <si>
    <t>EN_STG4hbNREL_w270022030-220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</si>
  <si>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</si>
  <si>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</si>
  <si>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</si>
  <si>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</si>
  <si>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</si>
  <si>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</si>
  <si>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</si>
  <si>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</si>
  <si>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</si>
  <si>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</si>
  <si>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</si>
  <si>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</si>
  <si>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</si>
  <si>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</si>
  <si>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</si>
  <si>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</si>
  <si>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</si>
  <si>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</si>
  <si>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</si>
  <si>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</si>
  <si>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</si>
  <si>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</si>
  <si>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</si>
  <si>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EN_STG8hbNREL_w180514007-220</t>
  </si>
  <si>
    <t>EN_STG4hbNREL_w180514007-220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</si>
  <si>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</si>
  <si>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</si>
  <si>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</si>
  <si>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</si>
  <si>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</si>
  <si>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</si>
  <si>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</si>
  <si>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</si>
  <si>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</si>
  <si>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</si>
  <si>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</si>
  <si>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</si>
  <si>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EN_STG8hbNREL_NZ22-220</t>
  </si>
  <si>
    <t>EN_STG4hbNREL_NZ22-220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</si>
  <si>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</si>
  <si>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</si>
  <si>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</si>
  <si>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</si>
  <si>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</si>
  <si>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</si>
  <si>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</si>
  <si>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</si>
  <si>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</si>
  <si>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</si>
  <si>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</si>
  <si>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</si>
  <si>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</si>
  <si>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</si>
  <si>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EN_STG8hbNREL_w94840399-220</t>
  </si>
  <si>
    <t>e_w94840399-220</t>
  </si>
  <si>
    <t>EN_STG4hbNREL_w94840399-220</t>
  </si>
  <si>
    <t>ELC</t>
  </si>
  <si>
    <t>limtype</t>
  </si>
  <si>
    <t>UP</t>
  </si>
  <si>
    <t>flo_bnd</t>
  </si>
  <si>
    <t>year</t>
  </si>
  <si>
    <t>pset_set</t>
  </si>
  <si>
    <t>ELE,DMD,PRE</t>
  </si>
  <si>
    <t>North Island (NI)</t>
  </si>
  <si>
    <t>South Island (SI)</t>
  </si>
  <si>
    <t>Auckland</t>
  </si>
  <si>
    <t>Canterbury</t>
  </si>
  <si>
    <t>Waikato</t>
  </si>
  <si>
    <t>Otago</t>
  </si>
  <si>
    <t>Northland</t>
  </si>
  <si>
    <t>Southland</t>
  </si>
  <si>
    <t>Hawke's Bay</t>
  </si>
  <si>
    <t>Tasman District</t>
  </si>
  <si>
    <t>Wellington</t>
  </si>
  <si>
    <t>Nelson City</t>
  </si>
  <si>
    <t>Manawatu-Wanganui</t>
  </si>
  <si>
    <t>West Coast</t>
  </si>
  <si>
    <t>Bay of Plenty</t>
  </si>
  <si>
    <t>Marlborough District</t>
  </si>
  <si>
    <t>Taranaki</t>
  </si>
  <si>
    <t>dimension</t>
  </si>
  <si>
    <t>description</t>
  </si>
  <si>
    <t>p_w26671244</t>
  </si>
  <si>
    <t>admin_1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</si>
  <si>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</si>
  <si>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</si>
  <si>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</si>
  <si>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</si>
  <si>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</si>
  <si>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</si>
  <si>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</si>
  <si>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</si>
  <si>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</si>
  <si>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</si>
  <si>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</si>
  <si>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</si>
  <si>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</si>
  <si>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</si>
  <si>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</si>
  <si>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</si>
  <si>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</si>
  <si>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</si>
  <si>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</si>
  <si>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</si>
  <si>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</si>
  <si>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</si>
  <si>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</si>
  <si>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</si>
  <si>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</si>
  <si>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</si>
  <si>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</si>
  <si>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</si>
  <si>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</si>
  <si>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</si>
  <si>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</si>
  <si>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</si>
  <si>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</si>
  <si>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</si>
  <si>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</si>
  <si>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</si>
  <si>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</si>
  <si>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</si>
  <si>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</si>
  <si>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</si>
  <si>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</si>
  <si>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</si>
  <si>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</si>
  <si>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</si>
  <si>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</si>
  <si>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</si>
  <si>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</si>
  <si>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</si>
  <si>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</si>
  <si>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</si>
  <si>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</si>
  <si>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</si>
  <si>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</si>
  <si>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</si>
  <si>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</si>
  <si>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</si>
  <si>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</si>
  <si>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</si>
  <si>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</si>
  <si>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</si>
  <si>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</si>
  <si>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</si>
  <si>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</si>
  <si>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</si>
  <si>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</si>
  <si>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</si>
  <si>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</si>
  <si>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</si>
  <si>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</si>
  <si>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</si>
  <si>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</si>
  <si>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</si>
  <si>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</si>
  <si>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</si>
  <si>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</si>
  <si>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</si>
  <si>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</si>
  <si>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</si>
  <si>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</si>
  <si>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</si>
  <si>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</si>
  <si>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</si>
  <si>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</si>
  <si>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</si>
  <si>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</si>
  <si>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</si>
  <si>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</si>
  <si>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</si>
  <si>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</si>
  <si>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</si>
  <si>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</si>
  <si>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</si>
  <si>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</si>
  <si>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</si>
  <si>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</si>
  <si>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</si>
  <si>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</si>
  <si>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</si>
  <si>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</si>
  <si>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</si>
  <si>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</si>
  <si>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</si>
  <si>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</si>
  <si>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</si>
  <si>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</si>
  <si>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</si>
  <si>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</si>
  <si>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</si>
  <si>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</si>
  <si>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</si>
  <si>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</si>
  <si>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</si>
  <si>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</si>
  <si>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</si>
  <si>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</si>
  <si>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</si>
  <si>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</si>
  <si>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</si>
  <si>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</si>
  <si>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</si>
  <si>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</si>
  <si>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</si>
  <si>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</si>
  <si>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SI</t>
  </si>
  <si>
    <t>~TFM_TOPINS</t>
  </si>
  <si>
    <t>G_*</t>
  </si>
  <si>
    <t>???ELC</t>
  </si>
  <si>
    <t>attrib_cond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</si>
</sst>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0932-2571-42A8-A392-6BC0D2DAC0CD}">
  <dimension ref="B2:AP216"/>
  <sheetViews>
    <sheetView topLeftCell="U1" workbookViewId="0">
      <selection activeCell="AB10" sqref="AB10:AB133"/>
    </sheetView>
  </sheetViews>
  <sheetFormatPr defaultRowHeight="14.25" x14ac:dyDescent="0.45"/>
  <cols>
    <col min="28" max="28" width="13.796875" bestFit="1" customWidth="1"/>
  </cols>
  <sheetData>
    <row r="2" spans="2:42" x14ac:dyDescent="0.45">
      <c r="B2" t="s">
        <v>0</v>
      </c>
      <c r="H2" t="s">
        <v>252</v>
      </c>
      <c r="P2" t="s">
        <v>298</v>
      </c>
      <c r="U2" t="s">
        <v>298</v>
      </c>
    </row>
    <row r="3" spans="2:42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253</v>
      </c>
      <c r="J3" t="s">
        <v>254</v>
      </c>
      <c r="K3" t="s">
        <v>255</v>
      </c>
      <c r="L3" t="s">
        <v>14</v>
      </c>
      <c r="P3" t="s">
        <v>3</v>
      </c>
      <c r="Q3" t="s">
        <v>253</v>
      </c>
      <c r="R3" t="s">
        <v>299</v>
      </c>
      <c r="U3" t="s">
        <v>311</v>
      </c>
      <c r="V3" t="s">
        <v>3</v>
      </c>
      <c r="W3" t="s">
        <v>253</v>
      </c>
      <c r="X3" t="s">
        <v>299</v>
      </c>
      <c r="AA3" t="s">
        <v>252</v>
      </c>
    </row>
    <row r="4" spans="2:42" x14ac:dyDescent="0.45">
      <c r="B4" t="s">
        <v>96</v>
      </c>
      <c r="C4">
        <v>0.49155601918804742</v>
      </c>
      <c r="D4">
        <v>2.2000000000000002</v>
      </c>
      <c r="E4">
        <v>0.99987999999999999</v>
      </c>
      <c r="H4" t="s">
        <v>256</v>
      </c>
      <c r="I4" t="s">
        <v>257</v>
      </c>
      <c r="J4">
        <v>6.4746879831177079E-2</v>
      </c>
      <c r="K4" t="s">
        <v>258</v>
      </c>
      <c r="L4" t="s">
        <v>257</v>
      </c>
      <c r="P4" t="s">
        <v>256</v>
      </c>
      <c r="Q4" t="s">
        <v>300</v>
      </c>
      <c r="R4" t="s">
        <v>301</v>
      </c>
      <c r="U4" t="s">
        <v>92</v>
      </c>
      <c r="V4" t="s">
        <v>312</v>
      </c>
      <c r="W4" t="s">
        <v>313</v>
      </c>
      <c r="X4" t="s">
        <v>314</v>
      </c>
      <c r="AA4" t="s">
        <v>253</v>
      </c>
      <c r="AB4" t="s">
        <v>571</v>
      </c>
      <c r="AC4" t="s">
        <v>573</v>
      </c>
      <c r="AD4" t="s">
        <v>574</v>
      </c>
      <c r="AE4" t="s">
        <v>575</v>
      </c>
    </row>
    <row r="5" spans="2:42" x14ac:dyDescent="0.45">
      <c r="B5" t="s">
        <v>97</v>
      </c>
      <c r="C5">
        <v>0.98311203837609484</v>
      </c>
      <c r="D5">
        <v>80.300000000000011</v>
      </c>
      <c r="E5">
        <v>0.99561999999999995</v>
      </c>
      <c r="H5" t="s">
        <v>259</v>
      </c>
      <c r="I5" t="s">
        <v>257</v>
      </c>
      <c r="J5">
        <v>6.120396201617069E-2</v>
      </c>
      <c r="K5" t="s">
        <v>258</v>
      </c>
      <c r="L5" t="s">
        <v>257</v>
      </c>
      <c r="P5" t="s">
        <v>259</v>
      </c>
      <c r="Q5" t="s">
        <v>302</v>
      </c>
      <c r="R5" t="s">
        <v>301</v>
      </c>
      <c r="U5" t="s">
        <v>92</v>
      </c>
      <c r="V5" t="s">
        <v>315</v>
      </c>
      <c r="W5" t="s">
        <v>313</v>
      </c>
      <c r="X5" t="s">
        <v>314</v>
      </c>
      <c r="AA5" t="s">
        <v>570</v>
      </c>
      <c r="AB5" t="s">
        <v>572</v>
      </c>
      <c r="AC5">
        <v>2</v>
      </c>
      <c r="AD5">
        <v>0</v>
      </c>
      <c r="AE5" t="s">
        <v>576</v>
      </c>
    </row>
    <row r="6" spans="2:42" x14ac:dyDescent="0.45">
      <c r="B6" t="s">
        <v>98</v>
      </c>
      <c r="C6">
        <v>0.49155601918804742</v>
      </c>
      <c r="D6">
        <v>1.1000000000000001</v>
      </c>
      <c r="E6">
        <v>0.99994000000000005</v>
      </c>
      <c r="H6" t="s">
        <v>260</v>
      </c>
      <c r="I6" t="s">
        <v>257</v>
      </c>
      <c r="J6">
        <v>7.0125316451925546E-2</v>
      </c>
      <c r="K6" t="s">
        <v>258</v>
      </c>
      <c r="L6" t="s">
        <v>257</v>
      </c>
      <c r="P6" t="s">
        <v>260</v>
      </c>
      <c r="Q6" t="s">
        <v>303</v>
      </c>
      <c r="R6" t="s">
        <v>301</v>
      </c>
      <c r="U6" t="s">
        <v>92</v>
      </c>
      <c r="V6" t="s">
        <v>316</v>
      </c>
      <c r="W6" t="s">
        <v>313</v>
      </c>
      <c r="X6" t="s">
        <v>314</v>
      </c>
    </row>
    <row r="7" spans="2:42" x14ac:dyDescent="0.45">
      <c r="B7" t="s">
        <v>99</v>
      </c>
      <c r="C7">
        <v>0.98311203837609484</v>
      </c>
      <c r="D7">
        <v>122.10000000000001</v>
      </c>
      <c r="E7">
        <v>0.99334</v>
      </c>
      <c r="H7" t="s">
        <v>261</v>
      </c>
      <c r="I7" t="s">
        <v>257</v>
      </c>
      <c r="J7">
        <v>0.12429242027926862</v>
      </c>
      <c r="K7" t="s">
        <v>258</v>
      </c>
      <c r="L7" t="s">
        <v>257</v>
      </c>
      <c r="P7" t="s">
        <v>261</v>
      </c>
      <c r="Q7" t="s">
        <v>304</v>
      </c>
      <c r="R7" t="s">
        <v>301</v>
      </c>
      <c r="U7" t="s">
        <v>92</v>
      </c>
      <c r="V7" t="s">
        <v>317</v>
      </c>
      <c r="W7" t="s">
        <v>313</v>
      </c>
      <c r="X7" t="s">
        <v>314</v>
      </c>
    </row>
    <row r="8" spans="2:42" x14ac:dyDescent="0.45">
      <c r="B8" t="s">
        <v>100</v>
      </c>
      <c r="C8">
        <v>0.49155601918804742</v>
      </c>
      <c r="D8">
        <v>1.1000000000000001</v>
      </c>
      <c r="E8">
        <v>0.99994000000000005</v>
      </c>
      <c r="H8" t="s">
        <v>262</v>
      </c>
      <c r="I8" t="s">
        <v>257</v>
      </c>
      <c r="J8">
        <v>4.9074747359742522E-2</v>
      </c>
      <c r="K8" t="s">
        <v>258</v>
      </c>
      <c r="L8" t="s">
        <v>257</v>
      </c>
      <c r="P8" t="s">
        <v>262</v>
      </c>
      <c r="Q8" t="s">
        <v>305</v>
      </c>
      <c r="R8" t="s">
        <v>301</v>
      </c>
      <c r="U8" t="s">
        <v>92</v>
      </c>
      <c r="V8" t="s">
        <v>318</v>
      </c>
      <c r="W8" t="s">
        <v>313</v>
      </c>
      <c r="X8" t="s">
        <v>314</v>
      </c>
      <c r="AA8" t="s">
        <v>722</v>
      </c>
    </row>
    <row r="9" spans="2:42" x14ac:dyDescent="0.45">
      <c r="B9" t="s">
        <v>101</v>
      </c>
      <c r="C9">
        <v>0.49155601918804742</v>
      </c>
      <c r="D9">
        <v>64.900000000000006</v>
      </c>
      <c r="E9">
        <v>0.99646000000000001</v>
      </c>
      <c r="H9" t="s">
        <v>263</v>
      </c>
      <c r="I9" t="s">
        <v>257</v>
      </c>
      <c r="J9">
        <v>2.4727445074139667E-2</v>
      </c>
      <c r="K9" t="s">
        <v>258</v>
      </c>
      <c r="L9" t="s">
        <v>257</v>
      </c>
      <c r="P9" t="s">
        <v>263</v>
      </c>
      <c r="Q9" t="s">
        <v>306</v>
      </c>
      <c r="R9" t="s">
        <v>301</v>
      </c>
      <c r="U9" t="s">
        <v>92</v>
      </c>
      <c r="V9" t="s">
        <v>319</v>
      </c>
      <c r="W9" t="s">
        <v>313</v>
      </c>
      <c r="X9" t="s">
        <v>314</v>
      </c>
      <c r="AA9" t="s">
        <v>311</v>
      </c>
      <c r="AB9" t="s">
        <v>253</v>
      </c>
      <c r="AC9" t="s">
        <v>14</v>
      </c>
      <c r="AD9" t="s">
        <v>38</v>
      </c>
      <c r="AE9" t="s">
        <v>299</v>
      </c>
      <c r="AI9" t="s">
        <v>577</v>
      </c>
      <c r="AJ9" t="s">
        <v>578</v>
      </c>
      <c r="AM9" t="s">
        <v>575</v>
      </c>
      <c r="AN9" t="s">
        <v>594</v>
      </c>
      <c r="AO9" t="s">
        <v>595</v>
      </c>
    </row>
    <row r="10" spans="2:42" x14ac:dyDescent="0.45">
      <c r="B10" t="s">
        <v>102</v>
      </c>
      <c r="C10">
        <v>0.49155601918804742</v>
      </c>
      <c r="D10">
        <v>8.8000000000000007</v>
      </c>
      <c r="E10">
        <v>0.99951999999999996</v>
      </c>
      <c r="H10" t="s">
        <v>264</v>
      </c>
      <c r="I10" t="s">
        <v>257</v>
      </c>
      <c r="J10">
        <v>2.3624966116599904E-2</v>
      </c>
      <c r="K10" t="s">
        <v>258</v>
      </c>
      <c r="L10" t="s">
        <v>257</v>
      </c>
      <c r="P10" t="s">
        <v>264</v>
      </c>
      <c r="Q10" t="s">
        <v>307</v>
      </c>
      <c r="R10" t="s">
        <v>301</v>
      </c>
      <c r="U10" t="s">
        <v>92</v>
      </c>
      <c r="V10" t="s">
        <v>320</v>
      </c>
      <c r="W10" t="s">
        <v>313</v>
      </c>
      <c r="X10" t="s">
        <v>314</v>
      </c>
      <c r="AA10" t="str">
        <f>AP10</f>
        <v>NI</v>
      </c>
      <c r="AB10" t="str">
        <f>"e"&amp;MID(AM10,2,255)&amp;"-220"</f>
        <v>e_w26671244-220</v>
      </c>
      <c r="AC10" t="s">
        <v>724</v>
      </c>
      <c r="AD10" t="s">
        <v>723</v>
      </c>
      <c r="AE10" t="s">
        <v>301</v>
      </c>
      <c r="AI10" t="s">
        <v>579</v>
      </c>
      <c r="AJ10" t="s">
        <v>580</v>
      </c>
      <c r="AK10" t="s">
        <v>721</v>
      </c>
      <c r="AM10" t="s">
        <v>596</v>
      </c>
      <c r="AN10" t="s">
        <v>597</v>
      </c>
      <c r="AO10" t="s">
        <v>579</v>
      </c>
      <c r="AP10" t="str">
        <f t="shared" ref="AP10:AP41" si="0">IFERROR(VLOOKUP(AO10,$AJ$10:$AK$18,2,FALSE),"NI")</f>
        <v>NI</v>
      </c>
    </row>
    <row r="11" spans="2:42" x14ac:dyDescent="0.45">
      <c r="B11" t="s">
        <v>103</v>
      </c>
      <c r="C11">
        <v>0.49155601918804742</v>
      </c>
      <c r="D11">
        <v>4.4000000000000004</v>
      </c>
      <c r="E11">
        <v>0.99975999999999998</v>
      </c>
      <c r="H11" t="s">
        <v>265</v>
      </c>
      <c r="I11" t="s">
        <v>257</v>
      </c>
      <c r="J11">
        <v>0.47683269063818606</v>
      </c>
      <c r="K11" t="s">
        <v>258</v>
      </c>
      <c r="L11" t="s">
        <v>257</v>
      </c>
      <c r="P11" t="s">
        <v>265</v>
      </c>
      <c r="Q11" t="s">
        <v>308</v>
      </c>
      <c r="R11" t="s">
        <v>301</v>
      </c>
      <c r="U11" t="s">
        <v>92</v>
      </c>
      <c r="V11" t="s">
        <v>321</v>
      </c>
      <c r="W11" t="s">
        <v>313</v>
      </c>
      <c r="X11" t="s">
        <v>314</v>
      </c>
      <c r="AA11" t="str">
        <f t="shared" ref="AA11:AA74" si="1">AP11</f>
        <v>SI</v>
      </c>
      <c r="AB11" t="str">
        <f t="shared" ref="AB11:AB74" si="2">"e"&amp;MID(AM11,2,255)&amp;"-220"</f>
        <v>e_w33795353-220</v>
      </c>
      <c r="AC11" t="s">
        <v>724</v>
      </c>
      <c r="AD11" t="s">
        <v>723</v>
      </c>
      <c r="AE11" t="s">
        <v>301</v>
      </c>
      <c r="AI11" t="s">
        <v>581</v>
      </c>
      <c r="AJ11" t="s">
        <v>582</v>
      </c>
      <c r="AK11" t="s">
        <v>721</v>
      </c>
      <c r="AM11" t="s">
        <v>598</v>
      </c>
      <c r="AN11" t="s">
        <v>597</v>
      </c>
      <c r="AO11" t="s">
        <v>580</v>
      </c>
      <c r="AP11" t="str">
        <f t="shared" si="0"/>
        <v>SI</v>
      </c>
    </row>
    <row r="12" spans="2:42" x14ac:dyDescent="0.45">
      <c r="B12" t="s">
        <v>104</v>
      </c>
      <c r="C12">
        <v>0.98311203837609484</v>
      </c>
      <c r="D12">
        <v>2.2000000000000002</v>
      </c>
      <c r="E12">
        <v>0.99987999999999999</v>
      </c>
      <c r="H12" t="s">
        <v>266</v>
      </c>
      <c r="I12" t="s">
        <v>257</v>
      </c>
      <c r="J12">
        <v>6.6688786721083068E-2</v>
      </c>
      <c r="K12" t="s">
        <v>258</v>
      </c>
      <c r="L12" t="s">
        <v>257</v>
      </c>
      <c r="P12" t="s">
        <v>266</v>
      </c>
      <c r="Q12" t="s">
        <v>309</v>
      </c>
      <c r="R12" t="s">
        <v>301</v>
      </c>
      <c r="U12" t="s">
        <v>92</v>
      </c>
      <c r="V12" t="s">
        <v>322</v>
      </c>
      <c r="W12" t="s">
        <v>313</v>
      </c>
      <c r="X12" t="s">
        <v>314</v>
      </c>
      <c r="AA12" t="str">
        <f t="shared" si="1"/>
        <v>NI</v>
      </c>
      <c r="AB12" t="str">
        <f t="shared" si="2"/>
        <v>e_w61455399-220</v>
      </c>
      <c r="AC12" t="s">
        <v>724</v>
      </c>
      <c r="AD12" t="s">
        <v>723</v>
      </c>
      <c r="AE12" t="s">
        <v>301</v>
      </c>
      <c r="AI12" t="s">
        <v>583</v>
      </c>
      <c r="AJ12" t="s">
        <v>584</v>
      </c>
      <c r="AK12" t="s">
        <v>721</v>
      </c>
      <c r="AM12" t="s">
        <v>599</v>
      </c>
      <c r="AN12" t="s">
        <v>597</v>
      </c>
      <c r="AO12" t="s">
        <v>579</v>
      </c>
      <c r="AP12" t="str">
        <f t="shared" si="0"/>
        <v>NI</v>
      </c>
    </row>
    <row r="13" spans="2:42" x14ac:dyDescent="0.45">
      <c r="B13" t="s">
        <v>105</v>
      </c>
      <c r="C13">
        <v>0.98311203837609484</v>
      </c>
      <c r="D13">
        <v>4.4000000000000004</v>
      </c>
      <c r="E13">
        <v>0.99975999999999998</v>
      </c>
      <c r="H13" t="s">
        <v>267</v>
      </c>
      <c r="I13" t="s">
        <v>257</v>
      </c>
      <c r="J13">
        <v>1.8682785511706303E-2</v>
      </c>
      <c r="K13" t="s">
        <v>258</v>
      </c>
      <c r="L13" t="s">
        <v>257</v>
      </c>
      <c r="P13" t="s">
        <v>267</v>
      </c>
      <c r="Q13" t="s">
        <v>310</v>
      </c>
      <c r="R13" t="s">
        <v>301</v>
      </c>
      <c r="U13" t="s">
        <v>92</v>
      </c>
      <c r="V13" t="s">
        <v>323</v>
      </c>
      <c r="W13" t="s">
        <v>313</v>
      </c>
      <c r="X13" t="s">
        <v>314</v>
      </c>
      <c r="AA13" t="str">
        <f t="shared" si="1"/>
        <v>NI</v>
      </c>
      <c r="AB13" t="str">
        <f t="shared" si="2"/>
        <v>e_w61853727-220</v>
      </c>
      <c r="AC13" t="s">
        <v>724</v>
      </c>
      <c r="AD13" t="s">
        <v>723</v>
      </c>
      <c r="AE13" t="s">
        <v>301</v>
      </c>
      <c r="AI13" t="s">
        <v>585</v>
      </c>
      <c r="AJ13" t="s">
        <v>586</v>
      </c>
      <c r="AK13" t="s">
        <v>721</v>
      </c>
      <c r="AM13" t="s">
        <v>600</v>
      </c>
      <c r="AN13" t="s">
        <v>597</v>
      </c>
      <c r="AO13" t="s">
        <v>579</v>
      </c>
      <c r="AP13" t="str">
        <f t="shared" si="0"/>
        <v>NI</v>
      </c>
    </row>
    <row r="14" spans="2:42" x14ac:dyDescent="0.45">
      <c r="B14" t="s">
        <v>106</v>
      </c>
      <c r="C14">
        <v>0.49155601918804742</v>
      </c>
      <c r="D14">
        <v>2.2000000000000002</v>
      </c>
      <c r="E14">
        <v>0.99987999999999999</v>
      </c>
      <c r="H14" t="s">
        <v>268</v>
      </c>
      <c r="I14" t="s">
        <v>257</v>
      </c>
      <c r="J14">
        <v>6.4746879831177079E-2</v>
      </c>
      <c r="K14" t="s">
        <v>258</v>
      </c>
      <c r="L14" t="s">
        <v>257</v>
      </c>
      <c r="P14" t="s">
        <v>268</v>
      </c>
      <c r="Q14" t="s">
        <v>300</v>
      </c>
      <c r="R14" t="s">
        <v>301</v>
      </c>
      <c r="U14" t="s">
        <v>92</v>
      </c>
      <c r="V14" t="s">
        <v>324</v>
      </c>
      <c r="W14" t="s">
        <v>313</v>
      </c>
      <c r="X14" t="s">
        <v>314</v>
      </c>
      <c r="AA14" t="str">
        <f t="shared" si="1"/>
        <v>NI</v>
      </c>
      <c r="AB14" t="str">
        <f t="shared" si="2"/>
        <v>e_w75609279-220</v>
      </c>
      <c r="AC14" t="s">
        <v>724</v>
      </c>
      <c r="AD14" t="s">
        <v>723</v>
      </c>
      <c r="AE14" t="s">
        <v>301</v>
      </c>
      <c r="AI14" t="s">
        <v>587</v>
      </c>
      <c r="AJ14" t="s">
        <v>588</v>
      </c>
      <c r="AK14" t="s">
        <v>721</v>
      </c>
      <c r="AM14" t="s">
        <v>601</v>
      </c>
      <c r="AN14" t="s">
        <v>597</v>
      </c>
      <c r="AO14" t="s">
        <v>579</v>
      </c>
      <c r="AP14" t="str">
        <f t="shared" si="0"/>
        <v>NI</v>
      </c>
    </row>
    <row r="15" spans="2:42" x14ac:dyDescent="0.45">
      <c r="B15" t="s">
        <v>107</v>
      </c>
      <c r="C15">
        <v>0.98311203837609484</v>
      </c>
      <c r="D15">
        <v>20.900000000000002</v>
      </c>
      <c r="E15">
        <v>0.99885999999999997</v>
      </c>
      <c r="H15" t="s">
        <v>269</v>
      </c>
      <c r="I15" t="s">
        <v>257</v>
      </c>
      <c r="J15">
        <v>6.120396201617069E-2</v>
      </c>
      <c r="K15" t="s">
        <v>258</v>
      </c>
      <c r="L15" t="s">
        <v>257</v>
      </c>
      <c r="P15" t="s">
        <v>269</v>
      </c>
      <c r="Q15" t="s">
        <v>302</v>
      </c>
      <c r="R15" t="s">
        <v>301</v>
      </c>
      <c r="U15" t="s">
        <v>92</v>
      </c>
      <c r="V15" t="s">
        <v>325</v>
      </c>
      <c r="W15" t="s">
        <v>313</v>
      </c>
      <c r="X15" t="s">
        <v>314</v>
      </c>
      <c r="AA15" t="str">
        <f t="shared" si="1"/>
        <v>NI</v>
      </c>
      <c r="AB15" t="str">
        <f t="shared" si="2"/>
        <v>e_w82881422-220</v>
      </c>
      <c r="AC15" t="s">
        <v>724</v>
      </c>
      <c r="AD15" t="s">
        <v>723</v>
      </c>
      <c r="AE15" t="s">
        <v>301</v>
      </c>
      <c r="AI15" t="s">
        <v>589</v>
      </c>
      <c r="AJ15" t="s">
        <v>590</v>
      </c>
      <c r="AK15" t="s">
        <v>721</v>
      </c>
      <c r="AM15" t="s">
        <v>602</v>
      </c>
      <c r="AN15" t="s">
        <v>597</v>
      </c>
      <c r="AO15" t="s">
        <v>579</v>
      </c>
      <c r="AP15" t="str">
        <f t="shared" si="0"/>
        <v>NI</v>
      </c>
    </row>
    <row r="16" spans="2:42" x14ac:dyDescent="0.45">
      <c r="B16" t="s">
        <v>108</v>
      </c>
      <c r="C16">
        <v>0.98311203837609484</v>
      </c>
      <c r="D16">
        <v>11</v>
      </c>
      <c r="E16">
        <v>0.99939999999999996</v>
      </c>
      <c r="H16" t="s">
        <v>270</v>
      </c>
      <c r="I16" t="s">
        <v>257</v>
      </c>
      <c r="J16">
        <v>7.0125316451925546E-2</v>
      </c>
      <c r="K16" t="s">
        <v>258</v>
      </c>
      <c r="L16" t="s">
        <v>257</v>
      </c>
      <c r="P16" t="s">
        <v>270</v>
      </c>
      <c r="Q16" t="s">
        <v>303</v>
      </c>
      <c r="R16" t="s">
        <v>301</v>
      </c>
      <c r="U16" t="s">
        <v>92</v>
      </c>
      <c r="V16" t="s">
        <v>326</v>
      </c>
      <c r="W16" t="s">
        <v>313</v>
      </c>
      <c r="X16" t="s">
        <v>314</v>
      </c>
      <c r="AA16" t="str">
        <f t="shared" si="1"/>
        <v>NI</v>
      </c>
      <c r="AB16" t="str">
        <f t="shared" si="2"/>
        <v>e_w87837416-220</v>
      </c>
      <c r="AC16" t="s">
        <v>724</v>
      </c>
      <c r="AD16" t="s">
        <v>723</v>
      </c>
      <c r="AE16" t="s">
        <v>301</v>
      </c>
      <c r="AI16" t="s">
        <v>591</v>
      </c>
      <c r="AJ16" t="s">
        <v>592</v>
      </c>
      <c r="AK16" t="s">
        <v>721</v>
      </c>
      <c r="AM16" t="s">
        <v>603</v>
      </c>
      <c r="AN16" t="s">
        <v>597</v>
      </c>
      <c r="AO16" t="s">
        <v>581</v>
      </c>
      <c r="AP16" t="str">
        <f t="shared" si="0"/>
        <v>NI</v>
      </c>
    </row>
    <row r="17" spans="2:42" x14ac:dyDescent="0.45">
      <c r="B17" t="s">
        <v>109</v>
      </c>
      <c r="C17">
        <v>0.49155601918804742</v>
      </c>
      <c r="D17">
        <v>250.8</v>
      </c>
      <c r="E17">
        <v>0.98631999999999997</v>
      </c>
      <c r="H17" t="s">
        <v>271</v>
      </c>
      <c r="I17" t="s">
        <v>257</v>
      </c>
      <c r="J17">
        <v>0.12429242027926862</v>
      </c>
      <c r="K17" t="s">
        <v>258</v>
      </c>
      <c r="L17" t="s">
        <v>257</v>
      </c>
      <c r="P17" t="s">
        <v>271</v>
      </c>
      <c r="Q17" t="s">
        <v>304</v>
      </c>
      <c r="R17" t="s">
        <v>301</v>
      </c>
      <c r="U17" t="s">
        <v>92</v>
      </c>
      <c r="V17" t="s">
        <v>327</v>
      </c>
      <c r="W17" t="s">
        <v>328</v>
      </c>
      <c r="X17" t="s">
        <v>314</v>
      </c>
      <c r="AA17" t="str">
        <f t="shared" si="1"/>
        <v>NI</v>
      </c>
      <c r="AB17" t="str">
        <f t="shared" si="2"/>
        <v>e_w87897292-220</v>
      </c>
      <c r="AC17" t="s">
        <v>724</v>
      </c>
      <c r="AD17" t="s">
        <v>723</v>
      </c>
      <c r="AE17" t="s">
        <v>301</v>
      </c>
      <c r="AI17" t="s">
        <v>593</v>
      </c>
      <c r="AM17" t="s">
        <v>604</v>
      </c>
      <c r="AN17" t="s">
        <v>597</v>
      </c>
      <c r="AO17" t="s">
        <v>579</v>
      </c>
      <c r="AP17" t="str">
        <f t="shared" si="0"/>
        <v>NI</v>
      </c>
    </row>
    <row r="18" spans="2:42" x14ac:dyDescent="0.45">
      <c r="B18" t="s">
        <v>110</v>
      </c>
      <c r="C18">
        <v>0.49155601918804742</v>
      </c>
      <c r="D18">
        <v>3.3000000000000003</v>
      </c>
      <c r="E18">
        <v>0.99982000000000004</v>
      </c>
      <c r="H18" t="s">
        <v>272</v>
      </c>
      <c r="I18" t="s">
        <v>257</v>
      </c>
      <c r="J18">
        <v>4.9074747359742522E-2</v>
      </c>
      <c r="K18" t="s">
        <v>258</v>
      </c>
      <c r="L18" t="s">
        <v>257</v>
      </c>
      <c r="P18" t="s">
        <v>272</v>
      </c>
      <c r="Q18" t="s">
        <v>305</v>
      </c>
      <c r="R18" t="s">
        <v>301</v>
      </c>
      <c r="U18" t="s">
        <v>92</v>
      </c>
      <c r="V18" t="s">
        <v>329</v>
      </c>
      <c r="W18" t="s">
        <v>328</v>
      </c>
      <c r="X18" t="s">
        <v>314</v>
      </c>
      <c r="AA18" t="str">
        <f t="shared" si="1"/>
        <v>NI</v>
      </c>
      <c r="AB18" t="str">
        <f t="shared" si="2"/>
        <v>e_w87928925-220</v>
      </c>
      <c r="AC18" t="s">
        <v>724</v>
      </c>
      <c r="AD18" t="s">
        <v>723</v>
      </c>
      <c r="AE18" t="s">
        <v>301</v>
      </c>
      <c r="AM18" t="s">
        <v>605</v>
      </c>
      <c r="AN18" t="s">
        <v>597</v>
      </c>
      <c r="AO18" t="s">
        <v>581</v>
      </c>
      <c r="AP18" t="str">
        <f t="shared" si="0"/>
        <v>NI</v>
      </c>
    </row>
    <row r="19" spans="2:42" x14ac:dyDescent="0.45">
      <c r="B19" t="s">
        <v>111</v>
      </c>
      <c r="C19">
        <v>0.49155601918804742</v>
      </c>
      <c r="D19">
        <v>3.3000000000000003</v>
      </c>
      <c r="E19">
        <v>0.99982000000000004</v>
      </c>
      <c r="H19" t="s">
        <v>273</v>
      </c>
      <c r="I19" t="s">
        <v>257</v>
      </c>
      <c r="J19">
        <v>2.4727445074139667E-2</v>
      </c>
      <c r="K19" t="s">
        <v>258</v>
      </c>
      <c r="L19" t="s">
        <v>257</v>
      </c>
      <c r="P19" t="s">
        <v>273</v>
      </c>
      <c r="Q19" t="s">
        <v>306</v>
      </c>
      <c r="R19" t="s">
        <v>301</v>
      </c>
      <c r="U19" t="s">
        <v>92</v>
      </c>
      <c r="V19" t="s">
        <v>330</v>
      </c>
      <c r="W19" t="s">
        <v>328</v>
      </c>
      <c r="X19" t="s">
        <v>314</v>
      </c>
      <c r="AA19" t="str">
        <f t="shared" si="1"/>
        <v>NI</v>
      </c>
      <c r="AB19" t="str">
        <f t="shared" si="2"/>
        <v>e_w89411122-220</v>
      </c>
      <c r="AC19" t="s">
        <v>724</v>
      </c>
      <c r="AD19" t="s">
        <v>723</v>
      </c>
      <c r="AE19" t="s">
        <v>301</v>
      </c>
      <c r="AM19" t="s">
        <v>606</v>
      </c>
      <c r="AN19" t="s">
        <v>597</v>
      </c>
      <c r="AO19" t="s">
        <v>581</v>
      </c>
      <c r="AP19" t="str">
        <f t="shared" si="0"/>
        <v>NI</v>
      </c>
    </row>
    <row r="20" spans="2:42" x14ac:dyDescent="0.45">
      <c r="B20" t="s">
        <v>112</v>
      </c>
      <c r="C20">
        <v>0.98311203837609484</v>
      </c>
      <c r="D20">
        <v>38.5</v>
      </c>
      <c r="E20">
        <v>0.99790000000000001</v>
      </c>
      <c r="H20" t="s">
        <v>274</v>
      </c>
      <c r="I20" t="s">
        <v>257</v>
      </c>
      <c r="J20">
        <v>2.3624966116599904E-2</v>
      </c>
      <c r="K20" t="s">
        <v>258</v>
      </c>
      <c r="L20" t="s">
        <v>257</v>
      </c>
      <c r="P20" t="s">
        <v>274</v>
      </c>
      <c r="Q20" t="s">
        <v>307</v>
      </c>
      <c r="R20" t="s">
        <v>301</v>
      </c>
      <c r="U20" t="s">
        <v>92</v>
      </c>
      <c r="V20" t="s">
        <v>331</v>
      </c>
      <c r="W20" t="s">
        <v>328</v>
      </c>
      <c r="X20" t="s">
        <v>314</v>
      </c>
      <c r="AA20" t="str">
        <f t="shared" si="1"/>
        <v>SI</v>
      </c>
      <c r="AB20" t="str">
        <f t="shared" si="2"/>
        <v>e_w89635947-220</v>
      </c>
      <c r="AC20" t="s">
        <v>724</v>
      </c>
      <c r="AD20" t="s">
        <v>723</v>
      </c>
      <c r="AE20" t="s">
        <v>301</v>
      </c>
      <c r="AM20" t="s">
        <v>607</v>
      </c>
      <c r="AN20" t="s">
        <v>597</v>
      </c>
      <c r="AO20" t="s">
        <v>580</v>
      </c>
      <c r="AP20" t="str">
        <f t="shared" si="0"/>
        <v>SI</v>
      </c>
    </row>
    <row r="21" spans="2:42" x14ac:dyDescent="0.45">
      <c r="B21" t="s">
        <v>113</v>
      </c>
      <c r="C21">
        <v>0.98311203837609484</v>
      </c>
      <c r="D21">
        <v>71.5</v>
      </c>
      <c r="E21">
        <v>0.99609999999999999</v>
      </c>
      <c r="H21" t="s">
        <v>275</v>
      </c>
      <c r="I21" t="s">
        <v>257</v>
      </c>
      <c r="J21">
        <v>0.47683269063818606</v>
      </c>
      <c r="K21" t="s">
        <v>258</v>
      </c>
      <c r="L21" t="s">
        <v>257</v>
      </c>
      <c r="P21" t="s">
        <v>275</v>
      </c>
      <c r="Q21" t="s">
        <v>308</v>
      </c>
      <c r="R21" t="s">
        <v>301</v>
      </c>
      <c r="U21" t="s">
        <v>92</v>
      </c>
      <c r="V21" t="s">
        <v>332</v>
      </c>
      <c r="W21" t="s">
        <v>328</v>
      </c>
      <c r="X21" t="s">
        <v>314</v>
      </c>
      <c r="AA21" t="str">
        <f t="shared" si="1"/>
        <v>SI</v>
      </c>
      <c r="AB21" t="str">
        <f t="shared" si="2"/>
        <v>e_w89636266-220</v>
      </c>
      <c r="AC21" t="s">
        <v>724</v>
      </c>
      <c r="AD21" t="s">
        <v>723</v>
      </c>
      <c r="AE21" t="s">
        <v>301</v>
      </c>
      <c r="AM21" t="s">
        <v>608</v>
      </c>
      <c r="AN21" t="s">
        <v>597</v>
      </c>
      <c r="AO21" t="s">
        <v>580</v>
      </c>
      <c r="AP21" t="str">
        <f t="shared" si="0"/>
        <v>SI</v>
      </c>
    </row>
    <row r="22" spans="2:42" x14ac:dyDescent="0.45">
      <c r="B22" t="s">
        <v>114</v>
      </c>
      <c r="C22">
        <v>0.98311203837609484</v>
      </c>
      <c r="D22">
        <v>702.90000000000009</v>
      </c>
      <c r="E22">
        <v>0.96165999999999996</v>
      </c>
      <c r="H22" t="s">
        <v>276</v>
      </c>
      <c r="I22" t="s">
        <v>257</v>
      </c>
      <c r="J22">
        <v>6.6688786721083068E-2</v>
      </c>
      <c r="K22" t="s">
        <v>258</v>
      </c>
      <c r="L22" t="s">
        <v>257</v>
      </c>
      <c r="P22" t="s">
        <v>276</v>
      </c>
      <c r="Q22" t="s">
        <v>309</v>
      </c>
      <c r="R22" t="s">
        <v>301</v>
      </c>
      <c r="U22" t="s">
        <v>92</v>
      </c>
      <c r="V22" t="s">
        <v>333</v>
      </c>
      <c r="W22" t="s">
        <v>328</v>
      </c>
      <c r="X22" t="s">
        <v>314</v>
      </c>
      <c r="AA22" t="str">
        <f t="shared" si="1"/>
        <v>SI</v>
      </c>
      <c r="AB22" t="str">
        <f t="shared" si="2"/>
        <v>e_w89636510-220</v>
      </c>
      <c r="AC22" t="s">
        <v>724</v>
      </c>
      <c r="AD22" t="s">
        <v>723</v>
      </c>
      <c r="AE22" t="s">
        <v>301</v>
      </c>
      <c r="AM22" t="s">
        <v>609</v>
      </c>
      <c r="AN22" t="s">
        <v>597</v>
      </c>
      <c r="AO22" t="s">
        <v>580</v>
      </c>
      <c r="AP22" t="str">
        <f t="shared" si="0"/>
        <v>SI</v>
      </c>
    </row>
    <row r="23" spans="2:42" x14ac:dyDescent="0.45">
      <c r="B23" t="s">
        <v>115</v>
      </c>
      <c r="C23">
        <v>0.49155601918804742</v>
      </c>
      <c r="D23">
        <v>2.2000000000000002</v>
      </c>
      <c r="E23">
        <v>0.99987999999999999</v>
      </c>
      <c r="H23" t="s">
        <v>277</v>
      </c>
      <c r="I23" t="s">
        <v>257</v>
      </c>
      <c r="J23">
        <v>1.8682785511706303E-2</v>
      </c>
      <c r="K23" t="s">
        <v>258</v>
      </c>
      <c r="L23" t="s">
        <v>257</v>
      </c>
      <c r="P23" t="s">
        <v>277</v>
      </c>
      <c r="Q23" t="s">
        <v>310</v>
      </c>
      <c r="R23" t="s">
        <v>301</v>
      </c>
      <c r="U23" t="s">
        <v>92</v>
      </c>
      <c r="V23" t="s">
        <v>334</v>
      </c>
      <c r="W23" t="s">
        <v>328</v>
      </c>
      <c r="X23" t="s">
        <v>314</v>
      </c>
      <c r="AA23" t="str">
        <f t="shared" si="1"/>
        <v>SI</v>
      </c>
      <c r="AB23" t="str">
        <f t="shared" si="2"/>
        <v>e_w89637173-220</v>
      </c>
      <c r="AC23" t="s">
        <v>724</v>
      </c>
      <c r="AD23" t="s">
        <v>723</v>
      </c>
      <c r="AE23" t="s">
        <v>301</v>
      </c>
      <c r="AM23" t="s">
        <v>610</v>
      </c>
      <c r="AN23" t="s">
        <v>597</v>
      </c>
      <c r="AO23" t="s">
        <v>580</v>
      </c>
      <c r="AP23" t="str">
        <f t="shared" si="0"/>
        <v>SI</v>
      </c>
    </row>
    <row r="24" spans="2:42" x14ac:dyDescent="0.45">
      <c r="B24" t="s">
        <v>116</v>
      </c>
      <c r="C24">
        <v>0.98311203837609484</v>
      </c>
      <c r="D24">
        <v>2.2000000000000002</v>
      </c>
      <c r="E24">
        <v>0.99987999999999999</v>
      </c>
      <c r="H24" t="s">
        <v>278</v>
      </c>
      <c r="I24" t="s">
        <v>257</v>
      </c>
      <c r="J24">
        <v>6.4746879831177079E-2</v>
      </c>
      <c r="K24" t="s">
        <v>258</v>
      </c>
      <c r="L24" t="s">
        <v>257</v>
      </c>
      <c r="P24" t="s">
        <v>278</v>
      </c>
      <c r="Q24" t="s">
        <v>300</v>
      </c>
      <c r="R24" t="s">
        <v>301</v>
      </c>
      <c r="U24" t="s">
        <v>92</v>
      </c>
      <c r="V24" t="s">
        <v>335</v>
      </c>
      <c r="W24" t="s">
        <v>328</v>
      </c>
      <c r="X24" t="s">
        <v>314</v>
      </c>
      <c r="AA24" t="str">
        <f t="shared" si="1"/>
        <v>SI</v>
      </c>
      <c r="AB24" t="str">
        <f t="shared" si="2"/>
        <v>e_w89637174-220</v>
      </c>
      <c r="AC24" t="s">
        <v>724</v>
      </c>
      <c r="AD24" t="s">
        <v>723</v>
      </c>
      <c r="AE24" t="s">
        <v>301</v>
      </c>
      <c r="AM24" t="s">
        <v>611</v>
      </c>
      <c r="AN24" t="s">
        <v>597</v>
      </c>
      <c r="AO24" t="s">
        <v>580</v>
      </c>
      <c r="AP24" t="str">
        <f t="shared" si="0"/>
        <v>SI</v>
      </c>
    </row>
    <row r="25" spans="2:42" x14ac:dyDescent="0.45">
      <c r="B25" t="s">
        <v>117</v>
      </c>
      <c r="C25">
        <v>0.98311203837609484</v>
      </c>
      <c r="D25">
        <v>590.70000000000005</v>
      </c>
      <c r="E25">
        <v>0.96777999999999997</v>
      </c>
      <c r="H25" t="s">
        <v>279</v>
      </c>
      <c r="I25" t="s">
        <v>257</v>
      </c>
      <c r="J25">
        <v>6.120396201617069E-2</v>
      </c>
      <c r="K25" t="s">
        <v>258</v>
      </c>
      <c r="L25" t="s">
        <v>257</v>
      </c>
      <c r="P25" t="s">
        <v>279</v>
      </c>
      <c r="Q25" t="s">
        <v>302</v>
      </c>
      <c r="R25" t="s">
        <v>301</v>
      </c>
      <c r="U25" t="s">
        <v>92</v>
      </c>
      <c r="V25" t="s">
        <v>336</v>
      </c>
      <c r="W25" t="s">
        <v>328</v>
      </c>
      <c r="X25" t="s">
        <v>314</v>
      </c>
      <c r="AA25" t="str">
        <f t="shared" si="1"/>
        <v>SI</v>
      </c>
      <c r="AB25" t="str">
        <f t="shared" si="2"/>
        <v>e_w89637277-220</v>
      </c>
      <c r="AC25" t="s">
        <v>724</v>
      </c>
      <c r="AD25" t="s">
        <v>723</v>
      </c>
      <c r="AE25" t="s">
        <v>301</v>
      </c>
      <c r="AM25" t="s">
        <v>612</v>
      </c>
      <c r="AN25" t="s">
        <v>597</v>
      </c>
      <c r="AO25" t="s">
        <v>582</v>
      </c>
      <c r="AP25" t="str">
        <f t="shared" si="0"/>
        <v>SI</v>
      </c>
    </row>
    <row r="26" spans="2:42" x14ac:dyDescent="0.45">
      <c r="B26" t="s">
        <v>118</v>
      </c>
      <c r="C26">
        <v>0.49155601918804742</v>
      </c>
      <c r="D26">
        <v>2.2000000000000002</v>
      </c>
      <c r="E26">
        <v>0.99987999999999999</v>
      </c>
      <c r="H26" t="s">
        <v>280</v>
      </c>
      <c r="I26" t="s">
        <v>257</v>
      </c>
      <c r="J26">
        <v>7.0125316451925546E-2</v>
      </c>
      <c r="K26" t="s">
        <v>258</v>
      </c>
      <c r="L26" t="s">
        <v>257</v>
      </c>
      <c r="P26" t="s">
        <v>280</v>
      </c>
      <c r="Q26" t="s">
        <v>303</v>
      </c>
      <c r="R26" t="s">
        <v>301</v>
      </c>
      <c r="U26" t="s">
        <v>92</v>
      </c>
      <c r="V26" t="s">
        <v>337</v>
      </c>
      <c r="W26" t="s">
        <v>328</v>
      </c>
      <c r="X26" t="s">
        <v>314</v>
      </c>
      <c r="AA26" t="str">
        <f t="shared" si="1"/>
        <v>SI</v>
      </c>
      <c r="AB26" t="str">
        <f t="shared" si="2"/>
        <v>e_w270521928-220</v>
      </c>
      <c r="AC26" t="s">
        <v>724</v>
      </c>
      <c r="AD26" t="s">
        <v>723</v>
      </c>
      <c r="AE26" t="s">
        <v>301</v>
      </c>
      <c r="AM26" t="s">
        <v>613</v>
      </c>
      <c r="AN26" t="s">
        <v>597</v>
      </c>
      <c r="AO26" t="s">
        <v>582</v>
      </c>
      <c r="AP26" t="str">
        <f t="shared" si="0"/>
        <v>SI</v>
      </c>
    </row>
    <row r="27" spans="2:42" x14ac:dyDescent="0.45">
      <c r="B27" t="s">
        <v>119</v>
      </c>
      <c r="C27">
        <v>1.4746680575641422</v>
      </c>
      <c r="D27">
        <v>2.2000000000000002</v>
      </c>
      <c r="E27">
        <v>0.99987999999999999</v>
      </c>
      <c r="H27" t="s">
        <v>281</v>
      </c>
      <c r="I27" t="s">
        <v>257</v>
      </c>
      <c r="J27">
        <v>0.12429242027926862</v>
      </c>
      <c r="K27" t="s">
        <v>258</v>
      </c>
      <c r="L27" t="s">
        <v>257</v>
      </c>
      <c r="P27" t="s">
        <v>281</v>
      </c>
      <c r="Q27" t="s">
        <v>304</v>
      </c>
      <c r="R27" t="s">
        <v>301</v>
      </c>
      <c r="U27" t="s">
        <v>92</v>
      </c>
      <c r="V27" t="s">
        <v>338</v>
      </c>
      <c r="W27" t="s">
        <v>328</v>
      </c>
      <c r="X27" t="s">
        <v>314</v>
      </c>
      <c r="AA27" t="str">
        <f t="shared" si="1"/>
        <v>SI</v>
      </c>
      <c r="AB27" t="str">
        <f t="shared" si="2"/>
        <v>e_w89664063-220</v>
      </c>
      <c r="AC27" t="s">
        <v>724</v>
      </c>
      <c r="AD27" t="s">
        <v>723</v>
      </c>
      <c r="AE27" t="s">
        <v>301</v>
      </c>
      <c r="AM27" t="s">
        <v>614</v>
      </c>
      <c r="AN27" t="s">
        <v>597</v>
      </c>
      <c r="AO27" t="s">
        <v>580</v>
      </c>
      <c r="AP27" t="str">
        <f t="shared" si="0"/>
        <v>SI</v>
      </c>
    </row>
    <row r="28" spans="2:42" x14ac:dyDescent="0.45">
      <c r="B28" t="s">
        <v>120</v>
      </c>
      <c r="C28">
        <v>0.49155601918804742</v>
      </c>
      <c r="D28">
        <v>118.80000000000001</v>
      </c>
      <c r="E28">
        <v>0.99351999999999996</v>
      </c>
      <c r="H28" t="s">
        <v>282</v>
      </c>
      <c r="I28" t="s">
        <v>257</v>
      </c>
      <c r="J28">
        <v>4.9074747359742522E-2</v>
      </c>
      <c r="K28" t="s">
        <v>258</v>
      </c>
      <c r="L28" t="s">
        <v>257</v>
      </c>
      <c r="P28" t="s">
        <v>282</v>
      </c>
      <c r="Q28" t="s">
        <v>305</v>
      </c>
      <c r="R28" t="s">
        <v>301</v>
      </c>
      <c r="U28" t="s">
        <v>92</v>
      </c>
      <c r="V28" t="s">
        <v>339</v>
      </c>
      <c r="W28" t="s">
        <v>328</v>
      </c>
      <c r="X28" t="s">
        <v>314</v>
      </c>
      <c r="AA28" t="str">
        <f t="shared" si="1"/>
        <v>NI</v>
      </c>
      <c r="AB28" t="str">
        <f t="shared" si="2"/>
        <v>e_w89943957-220</v>
      </c>
      <c r="AC28" t="s">
        <v>724</v>
      </c>
      <c r="AD28" t="s">
        <v>723</v>
      </c>
      <c r="AE28" t="s">
        <v>301</v>
      </c>
      <c r="AM28" t="s">
        <v>615</v>
      </c>
      <c r="AN28" t="s">
        <v>597</v>
      </c>
      <c r="AO28" t="s">
        <v>583</v>
      </c>
      <c r="AP28" t="str">
        <f t="shared" si="0"/>
        <v>NI</v>
      </c>
    </row>
    <row r="29" spans="2:42" x14ac:dyDescent="0.45">
      <c r="B29" t="s">
        <v>121</v>
      </c>
      <c r="C29">
        <v>0.98311203837609484</v>
      </c>
      <c r="D29">
        <v>118.80000000000001</v>
      </c>
      <c r="E29">
        <v>0.99351999999999996</v>
      </c>
      <c r="H29" t="s">
        <v>283</v>
      </c>
      <c r="I29" t="s">
        <v>257</v>
      </c>
      <c r="J29">
        <v>2.4727445074139667E-2</v>
      </c>
      <c r="K29" t="s">
        <v>258</v>
      </c>
      <c r="L29" t="s">
        <v>257</v>
      </c>
      <c r="P29" t="s">
        <v>283</v>
      </c>
      <c r="Q29" t="s">
        <v>306</v>
      </c>
      <c r="R29" t="s">
        <v>301</v>
      </c>
      <c r="U29" t="s">
        <v>92</v>
      </c>
      <c r="V29" t="s">
        <v>340</v>
      </c>
      <c r="W29" t="s">
        <v>328</v>
      </c>
      <c r="X29" t="s">
        <v>314</v>
      </c>
      <c r="AA29" t="str">
        <f t="shared" si="1"/>
        <v>SI</v>
      </c>
      <c r="AB29" t="str">
        <f t="shared" si="2"/>
        <v>e_w90092620-220</v>
      </c>
      <c r="AC29" t="s">
        <v>724</v>
      </c>
      <c r="AD29" t="s">
        <v>723</v>
      </c>
      <c r="AE29" t="s">
        <v>301</v>
      </c>
      <c r="AM29" t="s">
        <v>616</v>
      </c>
      <c r="AN29" t="s">
        <v>597</v>
      </c>
      <c r="AO29" t="s">
        <v>584</v>
      </c>
      <c r="AP29" t="str">
        <f t="shared" si="0"/>
        <v>SI</v>
      </c>
    </row>
    <row r="30" spans="2:42" x14ac:dyDescent="0.45">
      <c r="B30" t="s">
        <v>122</v>
      </c>
      <c r="C30">
        <v>0.98311203837609484</v>
      </c>
      <c r="D30">
        <v>528</v>
      </c>
      <c r="E30">
        <v>0.97119999999999995</v>
      </c>
      <c r="H30" t="s">
        <v>284</v>
      </c>
      <c r="I30" t="s">
        <v>257</v>
      </c>
      <c r="J30">
        <v>2.3624966116599904E-2</v>
      </c>
      <c r="K30" t="s">
        <v>258</v>
      </c>
      <c r="L30" t="s">
        <v>257</v>
      </c>
      <c r="P30" t="s">
        <v>284</v>
      </c>
      <c r="Q30" t="s">
        <v>307</v>
      </c>
      <c r="R30" t="s">
        <v>301</v>
      </c>
      <c r="U30" t="s">
        <v>92</v>
      </c>
      <c r="V30" t="s">
        <v>341</v>
      </c>
      <c r="W30" t="s">
        <v>310</v>
      </c>
      <c r="X30" t="s">
        <v>314</v>
      </c>
      <c r="AA30" t="str">
        <f t="shared" si="1"/>
        <v>NI</v>
      </c>
      <c r="AB30" t="str">
        <f t="shared" si="2"/>
        <v>e_w90098853-220</v>
      </c>
      <c r="AC30" t="s">
        <v>724</v>
      </c>
      <c r="AD30" t="s">
        <v>723</v>
      </c>
      <c r="AE30" t="s">
        <v>301</v>
      </c>
      <c r="AM30" t="s">
        <v>617</v>
      </c>
      <c r="AN30" t="s">
        <v>597</v>
      </c>
      <c r="AO30" t="s">
        <v>579</v>
      </c>
      <c r="AP30" t="str">
        <f t="shared" si="0"/>
        <v>NI</v>
      </c>
    </row>
    <row r="31" spans="2:42" x14ac:dyDescent="0.45">
      <c r="B31" t="s">
        <v>123</v>
      </c>
      <c r="C31">
        <v>0.98311203837609484</v>
      </c>
      <c r="D31">
        <v>41.800000000000004</v>
      </c>
      <c r="E31">
        <v>0.99772000000000005</v>
      </c>
      <c r="H31" t="s">
        <v>285</v>
      </c>
      <c r="I31" t="s">
        <v>257</v>
      </c>
      <c r="J31">
        <v>0.47683269063818606</v>
      </c>
      <c r="K31" t="s">
        <v>258</v>
      </c>
      <c r="L31" t="s">
        <v>257</v>
      </c>
      <c r="P31" t="s">
        <v>285</v>
      </c>
      <c r="Q31" t="s">
        <v>308</v>
      </c>
      <c r="R31" t="s">
        <v>301</v>
      </c>
      <c r="U31" t="s">
        <v>92</v>
      </c>
      <c r="V31" t="s">
        <v>342</v>
      </c>
      <c r="W31" t="s">
        <v>310</v>
      </c>
      <c r="X31" t="s">
        <v>314</v>
      </c>
      <c r="AA31" t="str">
        <f t="shared" si="1"/>
        <v>NI</v>
      </c>
      <c r="AB31" t="str">
        <f t="shared" si="2"/>
        <v>e_w93419960-220</v>
      </c>
      <c r="AC31" t="s">
        <v>724</v>
      </c>
      <c r="AD31" t="s">
        <v>723</v>
      </c>
      <c r="AE31" t="s">
        <v>301</v>
      </c>
      <c r="AM31" t="s">
        <v>618</v>
      </c>
      <c r="AN31" t="s">
        <v>597</v>
      </c>
      <c r="AO31" t="s">
        <v>585</v>
      </c>
      <c r="AP31" t="str">
        <f t="shared" si="0"/>
        <v>NI</v>
      </c>
    </row>
    <row r="32" spans="2:42" x14ac:dyDescent="0.45">
      <c r="B32" t="s">
        <v>124</v>
      </c>
      <c r="C32">
        <v>0.49155601918804742</v>
      </c>
      <c r="D32">
        <v>216.70000000000002</v>
      </c>
      <c r="E32">
        <v>0.98817999999999995</v>
      </c>
      <c r="H32" t="s">
        <v>286</v>
      </c>
      <c r="I32" t="s">
        <v>257</v>
      </c>
      <c r="J32">
        <v>6.6688786721083068E-2</v>
      </c>
      <c r="K32" t="s">
        <v>258</v>
      </c>
      <c r="L32" t="s">
        <v>257</v>
      </c>
      <c r="P32" t="s">
        <v>286</v>
      </c>
      <c r="Q32" t="s">
        <v>309</v>
      </c>
      <c r="R32" t="s">
        <v>301</v>
      </c>
      <c r="U32" t="s">
        <v>92</v>
      </c>
      <c r="V32" t="s">
        <v>343</v>
      </c>
      <c r="W32" t="s">
        <v>310</v>
      </c>
      <c r="X32" t="s">
        <v>314</v>
      </c>
      <c r="AA32" t="str">
        <f t="shared" si="1"/>
        <v>NI</v>
      </c>
      <c r="AB32" t="str">
        <f t="shared" si="2"/>
        <v>e_w93556808-220</v>
      </c>
      <c r="AC32" t="s">
        <v>724</v>
      </c>
      <c r="AD32" t="s">
        <v>723</v>
      </c>
      <c r="AE32" t="s">
        <v>301</v>
      </c>
      <c r="AM32" t="s">
        <v>619</v>
      </c>
      <c r="AN32" t="s">
        <v>597</v>
      </c>
      <c r="AO32" t="s">
        <v>581</v>
      </c>
      <c r="AP32" t="str">
        <f t="shared" si="0"/>
        <v>NI</v>
      </c>
    </row>
    <row r="33" spans="2:42" x14ac:dyDescent="0.45">
      <c r="B33" t="s">
        <v>125</v>
      </c>
      <c r="C33">
        <v>0.98311203837609484</v>
      </c>
      <c r="D33">
        <v>2.2000000000000002</v>
      </c>
      <c r="E33">
        <v>0.99987999999999999</v>
      </c>
      <c r="H33" t="s">
        <v>287</v>
      </c>
      <c r="I33" t="s">
        <v>257</v>
      </c>
      <c r="J33">
        <v>1.8682785511706303E-2</v>
      </c>
      <c r="K33" t="s">
        <v>258</v>
      </c>
      <c r="L33" t="s">
        <v>257</v>
      </c>
      <c r="P33" t="s">
        <v>287</v>
      </c>
      <c r="Q33" t="s">
        <v>310</v>
      </c>
      <c r="R33" t="s">
        <v>301</v>
      </c>
      <c r="U33" t="s">
        <v>92</v>
      </c>
      <c r="V33" t="s">
        <v>344</v>
      </c>
      <c r="W33" t="s">
        <v>310</v>
      </c>
      <c r="X33" t="s">
        <v>314</v>
      </c>
      <c r="AA33" t="str">
        <f t="shared" si="1"/>
        <v>NI</v>
      </c>
      <c r="AB33" t="str">
        <f t="shared" si="2"/>
        <v>e_w93713118-220</v>
      </c>
      <c r="AC33" t="s">
        <v>724</v>
      </c>
      <c r="AD33" t="s">
        <v>723</v>
      </c>
      <c r="AE33" t="s">
        <v>301</v>
      </c>
      <c r="AM33" t="s">
        <v>620</v>
      </c>
      <c r="AN33" t="s">
        <v>597</v>
      </c>
      <c r="AO33" t="s">
        <v>587</v>
      </c>
      <c r="AP33" t="str">
        <f t="shared" si="0"/>
        <v>NI</v>
      </c>
    </row>
    <row r="34" spans="2:42" x14ac:dyDescent="0.45">
      <c r="B34" t="s">
        <v>126</v>
      </c>
      <c r="C34">
        <v>0.49155601918804742</v>
      </c>
      <c r="D34">
        <v>3.3000000000000003</v>
      </c>
      <c r="E34">
        <v>0.99982000000000004</v>
      </c>
      <c r="H34" t="s">
        <v>288</v>
      </c>
      <c r="I34" t="s">
        <v>257</v>
      </c>
      <c r="J34">
        <v>6.4746879831177079E-2</v>
      </c>
      <c r="K34" t="s">
        <v>258</v>
      </c>
      <c r="L34" t="s">
        <v>257</v>
      </c>
      <c r="P34" t="s">
        <v>288</v>
      </c>
      <c r="Q34" t="s">
        <v>300</v>
      </c>
      <c r="R34" t="s">
        <v>301</v>
      </c>
      <c r="U34" t="s">
        <v>92</v>
      </c>
      <c r="V34" t="s">
        <v>345</v>
      </c>
      <c r="W34" t="s">
        <v>310</v>
      </c>
      <c r="X34" t="s">
        <v>314</v>
      </c>
      <c r="AA34" t="str">
        <f t="shared" si="1"/>
        <v>SI</v>
      </c>
      <c r="AB34" t="str">
        <f t="shared" si="2"/>
        <v>e_w93827784-220</v>
      </c>
      <c r="AC34" t="s">
        <v>724</v>
      </c>
      <c r="AD34" t="s">
        <v>723</v>
      </c>
      <c r="AE34" t="s">
        <v>301</v>
      </c>
      <c r="AM34" t="s">
        <v>621</v>
      </c>
      <c r="AN34" t="s">
        <v>597</v>
      </c>
      <c r="AO34" t="s">
        <v>580</v>
      </c>
      <c r="AP34" t="str">
        <f t="shared" si="0"/>
        <v>SI</v>
      </c>
    </row>
    <row r="35" spans="2:42" x14ac:dyDescent="0.45">
      <c r="B35" t="s">
        <v>127</v>
      </c>
      <c r="C35">
        <v>0.98311203837609484</v>
      </c>
      <c r="D35">
        <v>13.200000000000001</v>
      </c>
      <c r="E35">
        <v>0.99927999999999995</v>
      </c>
      <c r="H35" t="s">
        <v>289</v>
      </c>
      <c r="I35" t="s">
        <v>257</v>
      </c>
      <c r="J35">
        <v>6.120396201617069E-2</v>
      </c>
      <c r="K35" t="s">
        <v>258</v>
      </c>
      <c r="L35" t="s">
        <v>257</v>
      </c>
      <c r="P35" t="s">
        <v>289</v>
      </c>
      <c r="Q35" t="s">
        <v>302</v>
      </c>
      <c r="R35" t="s">
        <v>301</v>
      </c>
      <c r="U35" t="s">
        <v>92</v>
      </c>
      <c r="V35" t="s">
        <v>346</v>
      </c>
      <c r="W35" t="s">
        <v>310</v>
      </c>
      <c r="X35" t="s">
        <v>314</v>
      </c>
      <c r="AA35" t="str">
        <f t="shared" si="1"/>
        <v>NI</v>
      </c>
      <c r="AB35" t="str">
        <f t="shared" si="2"/>
        <v>e_w94053861-220</v>
      </c>
      <c r="AC35" t="s">
        <v>724</v>
      </c>
      <c r="AD35" t="s">
        <v>723</v>
      </c>
      <c r="AE35" t="s">
        <v>301</v>
      </c>
      <c r="AM35" t="s">
        <v>622</v>
      </c>
      <c r="AN35" t="s">
        <v>597</v>
      </c>
      <c r="AO35" t="s">
        <v>581</v>
      </c>
      <c r="AP35" t="str">
        <f t="shared" si="0"/>
        <v>NI</v>
      </c>
    </row>
    <row r="36" spans="2:42" x14ac:dyDescent="0.45">
      <c r="B36" t="s">
        <v>128</v>
      </c>
      <c r="C36">
        <v>0.98311203837609484</v>
      </c>
      <c r="D36">
        <v>11</v>
      </c>
      <c r="E36">
        <v>0.99939999999999996</v>
      </c>
      <c r="H36" t="s">
        <v>290</v>
      </c>
      <c r="I36" t="s">
        <v>257</v>
      </c>
      <c r="J36">
        <v>7.0125316451925546E-2</v>
      </c>
      <c r="K36" t="s">
        <v>258</v>
      </c>
      <c r="L36" t="s">
        <v>257</v>
      </c>
      <c r="P36" t="s">
        <v>290</v>
      </c>
      <c r="Q36" t="s">
        <v>303</v>
      </c>
      <c r="R36" t="s">
        <v>301</v>
      </c>
      <c r="U36" t="s">
        <v>92</v>
      </c>
      <c r="V36" t="s">
        <v>347</v>
      </c>
      <c r="W36" t="s">
        <v>310</v>
      </c>
      <c r="X36" t="s">
        <v>314</v>
      </c>
      <c r="AA36" t="str">
        <f t="shared" si="1"/>
        <v>SI</v>
      </c>
      <c r="AB36" t="str">
        <f t="shared" si="2"/>
        <v>e_w94840399-220</v>
      </c>
      <c r="AC36" t="s">
        <v>724</v>
      </c>
      <c r="AD36" t="s">
        <v>723</v>
      </c>
      <c r="AE36" t="s">
        <v>301</v>
      </c>
      <c r="AM36" t="s">
        <v>623</v>
      </c>
      <c r="AN36" t="s">
        <v>597</v>
      </c>
      <c r="AO36" t="s">
        <v>582</v>
      </c>
      <c r="AP36" t="str">
        <f t="shared" si="0"/>
        <v>SI</v>
      </c>
    </row>
    <row r="37" spans="2:42" x14ac:dyDescent="0.45">
      <c r="B37" t="s">
        <v>129</v>
      </c>
      <c r="C37">
        <v>0.98311203837609484</v>
      </c>
      <c r="D37">
        <v>19.8</v>
      </c>
      <c r="E37">
        <v>0.99892000000000003</v>
      </c>
      <c r="H37" t="s">
        <v>291</v>
      </c>
      <c r="I37" t="s">
        <v>257</v>
      </c>
      <c r="J37">
        <v>0.12429242027926862</v>
      </c>
      <c r="K37" t="s">
        <v>258</v>
      </c>
      <c r="L37" t="s">
        <v>257</v>
      </c>
      <c r="P37" t="s">
        <v>291</v>
      </c>
      <c r="Q37" t="s">
        <v>304</v>
      </c>
      <c r="R37" t="s">
        <v>301</v>
      </c>
      <c r="U37" t="s">
        <v>92</v>
      </c>
      <c r="V37" t="s">
        <v>348</v>
      </c>
      <c r="W37" t="s">
        <v>310</v>
      </c>
      <c r="X37" t="s">
        <v>314</v>
      </c>
      <c r="AA37" t="str">
        <f t="shared" si="1"/>
        <v>SI</v>
      </c>
      <c r="AB37" t="str">
        <f t="shared" si="2"/>
        <v>e_w95046918-220</v>
      </c>
      <c r="AC37" t="s">
        <v>724</v>
      </c>
      <c r="AD37" t="s">
        <v>723</v>
      </c>
      <c r="AE37" t="s">
        <v>301</v>
      </c>
      <c r="AM37" t="s">
        <v>624</v>
      </c>
      <c r="AN37" t="s">
        <v>597</v>
      </c>
      <c r="AO37" t="s">
        <v>580</v>
      </c>
      <c r="AP37" t="str">
        <f t="shared" si="0"/>
        <v>SI</v>
      </c>
    </row>
    <row r="38" spans="2:42" x14ac:dyDescent="0.45">
      <c r="B38" t="s">
        <v>130</v>
      </c>
      <c r="C38">
        <v>0.49155601918804742</v>
      </c>
      <c r="D38">
        <v>2.2000000000000002</v>
      </c>
      <c r="E38">
        <v>0.99987999999999999</v>
      </c>
      <c r="H38" t="s">
        <v>292</v>
      </c>
      <c r="I38" t="s">
        <v>257</v>
      </c>
      <c r="J38">
        <v>4.9074747359742522E-2</v>
      </c>
      <c r="K38" t="s">
        <v>258</v>
      </c>
      <c r="L38" t="s">
        <v>257</v>
      </c>
      <c r="P38" t="s">
        <v>292</v>
      </c>
      <c r="Q38" t="s">
        <v>305</v>
      </c>
      <c r="R38" t="s">
        <v>301</v>
      </c>
      <c r="U38" t="s">
        <v>92</v>
      </c>
      <c r="V38" t="s">
        <v>349</v>
      </c>
      <c r="W38" t="s">
        <v>310</v>
      </c>
      <c r="X38" t="s">
        <v>314</v>
      </c>
      <c r="AA38" t="str">
        <f t="shared" si="1"/>
        <v>SI</v>
      </c>
      <c r="AB38" t="str">
        <f t="shared" si="2"/>
        <v>e_w95048289-220</v>
      </c>
      <c r="AC38" t="s">
        <v>724</v>
      </c>
      <c r="AD38" t="s">
        <v>723</v>
      </c>
      <c r="AE38" t="s">
        <v>301</v>
      </c>
      <c r="AM38" t="s">
        <v>625</v>
      </c>
      <c r="AN38" t="s">
        <v>597</v>
      </c>
      <c r="AO38" t="s">
        <v>586</v>
      </c>
      <c r="AP38" t="str">
        <f t="shared" si="0"/>
        <v>SI</v>
      </c>
    </row>
    <row r="39" spans="2:42" x14ac:dyDescent="0.45">
      <c r="B39" t="s">
        <v>131</v>
      </c>
      <c r="C39">
        <v>0.98311203837609484</v>
      </c>
      <c r="D39">
        <v>224.4</v>
      </c>
      <c r="E39">
        <v>0.98775999999999997</v>
      </c>
      <c r="H39" t="s">
        <v>293</v>
      </c>
      <c r="I39" t="s">
        <v>257</v>
      </c>
      <c r="J39">
        <v>2.4727445074139667E-2</v>
      </c>
      <c r="K39" t="s">
        <v>258</v>
      </c>
      <c r="L39" t="s">
        <v>257</v>
      </c>
      <c r="P39" t="s">
        <v>293</v>
      </c>
      <c r="Q39" t="s">
        <v>306</v>
      </c>
      <c r="R39" t="s">
        <v>301</v>
      </c>
      <c r="U39" t="s">
        <v>92</v>
      </c>
      <c r="V39" t="s">
        <v>350</v>
      </c>
      <c r="W39" t="s">
        <v>310</v>
      </c>
      <c r="X39" t="s">
        <v>314</v>
      </c>
      <c r="AA39" t="str">
        <f t="shared" si="1"/>
        <v>NI</v>
      </c>
      <c r="AB39" t="str">
        <f t="shared" si="2"/>
        <v>e_w95343089-220</v>
      </c>
      <c r="AC39" t="s">
        <v>724</v>
      </c>
      <c r="AD39" t="s">
        <v>723</v>
      </c>
      <c r="AE39" t="s">
        <v>301</v>
      </c>
      <c r="AM39" t="s">
        <v>626</v>
      </c>
      <c r="AN39" t="s">
        <v>597</v>
      </c>
      <c r="AO39" t="s">
        <v>587</v>
      </c>
      <c r="AP39" t="str">
        <f t="shared" si="0"/>
        <v>NI</v>
      </c>
    </row>
    <row r="40" spans="2:42" x14ac:dyDescent="0.45">
      <c r="B40" t="s">
        <v>132</v>
      </c>
      <c r="C40">
        <v>0.98311203837609484</v>
      </c>
      <c r="D40">
        <v>97.9</v>
      </c>
      <c r="E40">
        <v>0.99465999999999999</v>
      </c>
      <c r="H40" t="s">
        <v>294</v>
      </c>
      <c r="I40" t="s">
        <v>257</v>
      </c>
      <c r="J40">
        <v>2.3624966116599904E-2</v>
      </c>
      <c r="K40" t="s">
        <v>258</v>
      </c>
      <c r="L40" t="s">
        <v>257</v>
      </c>
      <c r="P40" t="s">
        <v>294</v>
      </c>
      <c r="Q40" t="s">
        <v>307</v>
      </c>
      <c r="R40" t="s">
        <v>301</v>
      </c>
      <c r="U40" t="s">
        <v>92</v>
      </c>
      <c r="V40" t="s">
        <v>351</v>
      </c>
      <c r="W40" t="s">
        <v>310</v>
      </c>
      <c r="X40" t="s">
        <v>314</v>
      </c>
      <c r="AA40" t="str">
        <f t="shared" si="1"/>
        <v>NI</v>
      </c>
      <c r="AB40" t="str">
        <f t="shared" si="2"/>
        <v>e_w95344674-220</v>
      </c>
      <c r="AC40" t="s">
        <v>724</v>
      </c>
      <c r="AD40" t="s">
        <v>723</v>
      </c>
      <c r="AE40" t="s">
        <v>301</v>
      </c>
      <c r="AM40" t="s">
        <v>627</v>
      </c>
      <c r="AN40" t="s">
        <v>597</v>
      </c>
      <c r="AO40" t="s">
        <v>589</v>
      </c>
      <c r="AP40" t="str">
        <f t="shared" si="0"/>
        <v>NI</v>
      </c>
    </row>
    <row r="41" spans="2:42" x14ac:dyDescent="0.45">
      <c r="B41" t="s">
        <v>133</v>
      </c>
      <c r="C41">
        <v>0.98311203837609484</v>
      </c>
      <c r="D41">
        <v>369.6</v>
      </c>
      <c r="E41">
        <v>0.97984000000000004</v>
      </c>
      <c r="H41" t="s">
        <v>295</v>
      </c>
      <c r="I41" t="s">
        <v>257</v>
      </c>
      <c r="J41">
        <v>0.47683269063818606</v>
      </c>
      <c r="K41" t="s">
        <v>258</v>
      </c>
      <c r="L41" t="s">
        <v>257</v>
      </c>
      <c r="P41" t="s">
        <v>295</v>
      </c>
      <c r="Q41" t="s">
        <v>308</v>
      </c>
      <c r="R41" t="s">
        <v>301</v>
      </c>
      <c r="U41" t="s">
        <v>92</v>
      </c>
      <c r="V41" t="s">
        <v>352</v>
      </c>
      <c r="W41" t="s">
        <v>310</v>
      </c>
      <c r="X41" t="s">
        <v>314</v>
      </c>
      <c r="AA41" t="str">
        <f t="shared" si="1"/>
        <v>NI</v>
      </c>
      <c r="AB41" t="str">
        <f t="shared" si="2"/>
        <v>e_w95512216-220</v>
      </c>
      <c r="AC41" t="s">
        <v>724</v>
      </c>
      <c r="AD41" t="s">
        <v>723</v>
      </c>
      <c r="AE41" t="s">
        <v>301</v>
      </c>
      <c r="AM41" t="s">
        <v>628</v>
      </c>
      <c r="AN41" t="s">
        <v>597</v>
      </c>
      <c r="AO41" t="s">
        <v>585</v>
      </c>
      <c r="AP41" t="str">
        <f t="shared" si="0"/>
        <v>NI</v>
      </c>
    </row>
    <row r="42" spans="2:42" x14ac:dyDescent="0.45">
      <c r="B42" t="s">
        <v>134</v>
      </c>
      <c r="C42">
        <v>0.98311203837609484</v>
      </c>
      <c r="D42">
        <v>782.1</v>
      </c>
      <c r="E42">
        <v>0.95733999999999997</v>
      </c>
      <c r="H42" t="s">
        <v>296</v>
      </c>
      <c r="I42" t="s">
        <v>257</v>
      </c>
      <c r="J42">
        <v>6.6688786721083068E-2</v>
      </c>
      <c r="K42" t="s">
        <v>258</v>
      </c>
      <c r="L42" t="s">
        <v>257</v>
      </c>
      <c r="P42" t="s">
        <v>296</v>
      </c>
      <c r="Q42" t="s">
        <v>309</v>
      </c>
      <c r="R42" t="s">
        <v>301</v>
      </c>
      <c r="U42" t="s">
        <v>92</v>
      </c>
      <c r="V42" t="s">
        <v>353</v>
      </c>
      <c r="W42" t="s">
        <v>310</v>
      </c>
      <c r="X42" t="s">
        <v>314</v>
      </c>
      <c r="AA42" t="str">
        <f t="shared" si="1"/>
        <v>SI</v>
      </c>
      <c r="AB42" t="str">
        <f t="shared" si="2"/>
        <v>e_w100957314-220</v>
      </c>
      <c r="AC42" t="s">
        <v>724</v>
      </c>
      <c r="AD42" t="s">
        <v>723</v>
      </c>
      <c r="AE42" t="s">
        <v>301</v>
      </c>
      <c r="AM42" t="s">
        <v>629</v>
      </c>
      <c r="AN42" t="s">
        <v>597</v>
      </c>
      <c r="AO42" t="s">
        <v>580</v>
      </c>
      <c r="AP42" t="str">
        <f t="shared" ref="AP42:AP73" si="3">IFERROR(VLOOKUP(AO42,$AJ$10:$AK$18,2,FALSE),"NI")</f>
        <v>SI</v>
      </c>
    </row>
    <row r="43" spans="2:42" x14ac:dyDescent="0.45">
      <c r="B43" t="s">
        <v>135</v>
      </c>
      <c r="C43">
        <v>0.98311203837609484</v>
      </c>
      <c r="D43">
        <v>20.900000000000002</v>
      </c>
      <c r="E43">
        <v>0.99885999999999997</v>
      </c>
      <c r="H43" t="s">
        <v>297</v>
      </c>
      <c r="I43" t="s">
        <v>257</v>
      </c>
      <c r="J43">
        <v>1.8682785511706303E-2</v>
      </c>
      <c r="K43" t="s">
        <v>258</v>
      </c>
      <c r="L43" t="s">
        <v>257</v>
      </c>
      <c r="P43" t="s">
        <v>297</v>
      </c>
      <c r="Q43" t="s">
        <v>310</v>
      </c>
      <c r="R43" t="s">
        <v>301</v>
      </c>
      <c r="U43" t="s">
        <v>92</v>
      </c>
      <c r="V43" t="s">
        <v>354</v>
      </c>
      <c r="W43" t="s">
        <v>302</v>
      </c>
      <c r="X43" t="s">
        <v>314</v>
      </c>
      <c r="AA43" t="str">
        <f t="shared" si="1"/>
        <v>NI</v>
      </c>
      <c r="AB43" t="str">
        <f t="shared" si="2"/>
        <v>e_w119877500-220</v>
      </c>
      <c r="AC43" t="s">
        <v>724</v>
      </c>
      <c r="AD43" t="s">
        <v>723</v>
      </c>
      <c r="AE43" t="s">
        <v>301</v>
      </c>
      <c r="AM43" t="s">
        <v>630</v>
      </c>
      <c r="AN43" t="s">
        <v>597</v>
      </c>
      <c r="AO43" t="s">
        <v>591</v>
      </c>
      <c r="AP43" t="str">
        <f t="shared" si="3"/>
        <v>NI</v>
      </c>
    </row>
    <row r="44" spans="2:42" x14ac:dyDescent="0.45">
      <c r="B44" t="s">
        <v>136</v>
      </c>
      <c r="C44">
        <v>0.98311203837609484</v>
      </c>
      <c r="D44">
        <v>55.000000000000007</v>
      </c>
      <c r="E44">
        <v>0.997</v>
      </c>
      <c r="U44" t="s">
        <v>92</v>
      </c>
      <c r="V44" t="s">
        <v>355</v>
      </c>
      <c r="W44" t="s">
        <v>302</v>
      </c>
      <c r="X44" t="s">
        <v>314</v>
      </c>
      <c r="AA44" t="str">
        <f t="shared" si="1"/>
        <v>NI</v>
      </c>
      <c r="AB44" t="str">
        <f t="shared" si="2"/>
        <v>e_w148300699-220</v>
      </c>
      <c r="AC44" t="s">
        <v>724</v>
      </c>
      <c r="AD44" t="s">
        <v>723</v>
      </c>
      <c r="AE44" t="s">
        <v>301</v>
      </c>
      <c r="AM44" t="s">
        <v>631</v>
      </c>
      <c r="AN44" t="s">
        <v>597</v>
      </c>
      <c r="AO44" t="s">
        <v>591</v>
      </c>
      <c r="AP44" t="str">
        <f t="shared" si="3"/>
        <v>NI</v>
      </c>
    </row>
    <row r="45" spans="2:42" x14ac:dyDescent="0.45">
      <c r="B45" t="s">
        <v>137</v>
      </c>
      <c r="C45">
        <v>0.49155601918804742</v>
      </c>
      <c r="D45">
        <v>1.1000000000000001</v>
      </c>
      <c r="E45">
        <v>0.99994000000000005</v>
      </c>
      <c r="U45" t="s">
        <v>92</v>
      </c>
      <c r="V45" t="s">
        <v>356</v>
      </c>
      <c r="W45" t="s">
        <v>302</v>
      </c>
      <c r="X45" t="s">
        <v>314</v>
      </c>
      <c r="AA45" t="str">
        <f t="shared" si="1"/>
        <v>NI</v>
      </c>
      <c r="AB45" t="str">
        <f t="shared" si="2"/>
        <v>e_w156094589-220</v>
      </c>
      <c r="AC45" t="s">
        <v>724</v>
      </c>
      <c r="AD45" t="s">
        <v>723</v>
      </c>
      <c r="AE45" t="s">
        <v>301</v>
      </c>
      <c r="AM45" t="s">
        <v>632</v>
      </c>
      <c r="AN45" t="s">
        <v>597</v>
      </c>
      <c r="AO45" t="s">
        <v>579</v>
      </c>
      <c r="AP45" t="str">
        <f t="shared" si="3"/>
        <v>NI</v>
      </c>
    </row>
    <row r="46" spans="2:42" x14ac:dyDescent="0.45">
      <c r="B46" t="s">
        <v>138</v>
      </c>
      <c r="C46">
        <v>0.49155601918804742</v>
      </c>
      <c r="D46">
        <v>1.1000000000000001</v>
      </c>
      <c r="E46">
        <v>0.99994000000000005</v>
      </c>
      <c r="U46" t="s">
        <v>92</v>
      </c>
      <c r="V46" t="s">
        <v>357</v>
      </c>
      <c r="W46" t="s">
        <v>302</v>
      </c>
      <c r="X46" t="s">
        <v>314</v>
      </c>
      <c r="AA46" t="str">
        <f t="shared" si="1"/>
        <v>NI</v>
      </c>
      <c r="AB46" t="str">
        <f t="shared" si="2"/>
        <v>e_w161270797-220</v>
      </c>
      <c r="AC46" t="s">
        <v>724</v>
      </c>
      <c r="AD46" t="s">
        <v>723</v>
      </c>
      <c r="AE46" t="s">
        <v>301</v>
      </c>
      <c r="AM46" t="s">
        <v>633</v>
      </c>
      <c r="AN46" t="s">
        <v>597</v>
      </c>
      <c r="AO46" t="s">
        <v>579</v>
      </c>
      <c r="AP46" t="str">
        <f t="shared" si="3"/>
        <v>NI</v>
      </c>
    </row>
    <row r="47" spans="2:42" x14ac:dyDescent="0.45">
      <c r="B47" t="s">
        <v>139</v>
      </c>
      <c r="C47">
        <v>0.49155601918804742</v>
      </c>
      <c r="D47">
        <v>3.3000000000000003</v>
      </c>
      <c r="E47">
        <v>0.99982000000000004</v>
      </c>
      <c r="U47" t="s">
        <v>92</v>
      </c>
      <c r="V47" t="s">
        <v>358</v>
      </c>
      <c r="W47" t="s">
        <v>302</v>
      </c>
      <c r="X47" t="s">
        <v>314</v>
      </c>
      <c r="AA47" t="str">
        <f t="shared" si="1"/>
        <v>NI</v>
      </c>
      <c r="AB47" t="str">
        <f t="shared" si="2"/>
        <v>e_w167177413-220</v>
      </c>
      <c r="AC47" t="s">
        <v>724</v>
      </c>
      <c r="AD47" t="s">
        <v>723</v>
      </c>
      <c r="AE47" t="s">
        <v>301</v>
      </c>
      <c r="AM47" t="s">
        <v>634</v>
      </c>
      <c r="AN47" t="s">
        <v>597</v>
      </c>
      <c r="AO47" t="s">
        <v>581</v>
      </c>
      <c r="AP47" t="str">
        <f t="shared" si="3"/>
        <v>NI</v>
      </c>
    </row>
    <row r="48" spans="2:42" x14ac:dyDescent="0.45">
      <c r="B48" t="s">
        <v>140</v>
      </c>
      <c r="C48">
        <v>0.98311203837609484</v>
      </c>
      <c r="D48">
        <v>100.10000000000001</v>
      </c>
      <c r="E48">
        <v>0.99453999999999998</v>
      </c>
      <c r="U48" t="s">
        <v>92</v>
      </c>
      <c r="V48" t="s">
        <v>359</v>
      </c>
      <c r="W48" t="s">
        <v>302</v>
      </c>
      <c r="X48" t="s">
        <v>314</v>
      </c>
      <c r="AA48" t="str">
        <f t="shared" si="1"/>
        <v>NI</v>
      </c>
      <c r="AB48" t="str">
        <f t="shared" si="2"/>
        <v>e_w167283894-220</v>
      </c>
      <c r="AC48" t="s">
        <v>724</v>
      </c>
      <c r="AD48" t="s">
        <v>723</v>
      </c>
      <c r="AE48" t="s">
        <v>301</v>
      </c>
      <c r="AM48" t="s">
        <v>635</v>
      </c>
      <c r="AN48" t="s">
        <v>597</v>
      </c>
      <c r="AO48" t="s">
        <v>591</v>
      </c>
      <c r="AP48" t="str">
        <f t="shared" si="3"/>
        <v>NI</v>
      </c>
    </row>
    <row r="49" spans="2:42" x14ac:dyDescent="0.45">
      <c r="B49" t="s">
        <v>141</v>
      </c>
      <c r="C49">
        <v>0.98311203837609484</v>
      </c>
      <c r="D49">
        <v>103.4</v>
      </c>
      <c r="E49">
        <v>0.99436000000000002</v>
      </c>
      <c r="U49" t="s">
        <v>92</v>
      </c>
      <c r="V49" t="s">
        <v>360</v>
      </c>
      <c r="W49" t="s">
        <v>302</v>
      </c>
      <c r="X49" t="s">
        <v>314</v>
      </c>
      <c r="AA49" t="str">
        <f t="shared" si="1"/>
        <v>NI</v>
      </c>
      <c r="AB49" t="str">
        <f t="shared" si="2"/>
        <v>e_w167285260-220</v>
      </c>
      <c r="AC49" t="s">
        <v>724</v>
      </c>
      <c r="AD49" t="s">
        <v>723</v>
      </c>
      <c r="AE49" t="s">
        <v>301</v>
      </c>
      <c r="AM49" t="s">
        <v>636</v>
      </c>
      <c r="AN49" t="s">
        <v>597</v>
      </c>
      <c r="AO49" t="s">
        <v>581</v>
      </c>
      <c r="AP49" t="str">
        <f t="shared" si="3"/>
        <v>NI</v>
      </c>
    </row>
    <row r="50" spans="2:42" x14ac:dyDescent="0.45">
      <c r="B50" t="s">
        <v>142</v>
      </c>
      <c r="C50">
        <v>0.98311203837609484</v>
      </c>
      <c r="D50">
        <v>9.9</v>
      </c>
      <c r="E50">
        <v>0.99946000000000002</v>
      </c>
      <c r="U50" t="s">
        <v>92</v>
      </c>
      <c r="V50" t="s">
        <v>361</v>
      </c>
      <c r="W50" t="s">
        <v>302</v>
      </c>
      <c r="X50" t="s">
        <v>314</v>
      </c>
      <c r="AA50" t="str">
        <f t="shared" si="1"/>
        <v>NI</v>
      </c>
      <c r="AB50" t="str">
        <f t="shared" si="2"/>
        <v>e_w167285336-220</v>
      </c>
      <c r="AC50" t="s">
        <v>724</v>
      </c>
      <c r="AD50" t="s">
        <v>723</v>
      </c>
      <c r="AE50" t="s">
        <v>301</v>
      </c>
      <c r="AM50" t="s">
        <v>637</v>
      </c>
      <c r="AN50" t="s">
        <v>597</v>
      </c>
      <c r="AO50" t="s">
        <v>589</v>
      </c>
      <c r="AP50" t="str">
        <f t="shared" si="3"/>
        <v>NI</v>
      </c>
    </row>
    <row r="51" spans="2:42" x14ac:dyDescent="0.45">
      <c r="B51" t="s">
        <v>143</v>
      </c>
      <c r="C51">
        <v>0.98311203837609484</v>
      </c>
      <c r="D51">
        <v>756.80000000000007</v>
      </c>
      <c r="E51">
        <v>0.95872000000000002</v>
      </c>
      <c r="U51" t="s">
        <v>92</v>
      </c>
      <c r="V51" t="s">
        <v>362</v>
      </c>
      <c r="W51" t="s">
        <v>302</v>
      </c>
      <c r="X51" t="s">
        <v>314</v>
      </c>
      <c r="AA51" t="str">
        <f t="shared" si="1"/>
        <v>SI</v>
      </c>
      <c r="AB51" t="str">
        <f t="shared" si="2"/>
        <v>e_w167286837-220</v>
      </c>
      <c r="AC51" t="s">
        <v>724</v>
      </c>
      <c r="AD51" t="s">
        <v>723</v>
      </c>
      <c r="AE51" t="s">
        <v>301</v>
      </c>
      <c r="AM51" t="s">
        <v>638</v>
      </c>
      <c r="AN51" t="s">
        <v>597</v>
      </c>
      <c r="AO51" t="s">
        <v>580</v>
      </c>
      <c r="AP51" t="str">
        <f t="shared" si="3"/>
        <v>SI</v>
      </c>
    </row>
    <row r="52" spans="2:42" x14ac:dyDescent="0.45">
      <c r="B52" t="s">
        <v>144</v>
      </c>
      <c r="C52">
        <v>0.49155601918804742</v>
      </c>
      <c r="D52">
        <v>314.60000000000002</v>
      </c>
      <c r="E52">
        <v>0.98284000000000005</v>
      </c>
      <c r="U52" t="s">
        <v>92</v>
      </c>
      <c r="V52" t="s">
        <v>363</v>
      </c>
      <c r="W52" t="s">
        <v>302</v>
      </c>
      <c r="X52" t="s">
        <v>314</v>
      </c>
      <c r="AA52" t="str">
        <f t="shared" si="1"/>
        <v>NI</v>
      </c>
      <c r="AB52" t="str">
        <f t="shared" si="2"/>
        <v>e_w167293888-220</v>
      </c>
      <c r="AC52" t="s">
        <v>724</v>
      </c>
      <c r="AD52" t="s">
        <v>723</v>
      </c>
      <c r="AE52" t="s">
        <v>301</v>
      </c>
      <c r="AM52" t="s">
        <v>639</v>
      </c>
      <c r="AN52" t="s">
        <v>597</v>
      </c>
      <c r="AO52" t="s">
        <v>581</v>
      </c>
      <c r="AP52" t="str">
        <f t="shared" si="3"/>
        <v>NI</v>
      </c>
    </row>
    <row r="53" spans="2:42" x14ac:dyDescent="0.45">
      <c r="B53" t="s">
        <v>145</v>
      </c>
      <c r="C53">
        <v>0.98311203837609484</v>
      </c>
      <c r="D53">
        <v>122.10000000000001</v>
      </c>
      <c r="E53">
        <v>0.99334</v>
      </c>
      <c r="U53" t="s">
        <v>92</v>
      </c>
      <c r="V53" t="s">
        <v>364</v>
      </c>
      <c r="W53" t="s">
        <v>302</v>
      </c>
      <c r="X53" t="s">
        <v>314</v>
      </c>
      <c r="AA53" t="str">
        <f t="shared" si="1"/>
        <v>NI</v>
      </c>
      <c r="AB53" t="str">
        <f t="shared" si="2"/>
        <v>e_w167300914-220</v>
      </c>
      <c r="AC53" t="s">
        <v>724</v>
      </c>
      <c r="AD53" t="s">
        <v>723</v>
      </c>
      <c r="AE53" t="s">
        <v>301</v>
      </c>
      <c r="AM53" t="s">
        <v>640</v>
      </c>
      <c r="AN53" t="s">
        <v>597</v>
      </c>
      <c r="AO53" t="s">
        <v>589</v>
      </c>
      <c r="AP53" t="str">
        <f t="shared" si="3"/>
        <v>NI</v>
      </c>
    </row>
    <row r="54" spans="2:42" x14ac:dyDescent="0.45">
      <c r="B54" t="s">
        <v>146</v>
      </c>
      <c r="C54">
        <v>0.98311203837609484</v>
      </c>
      <c r="D54">
        <v>315.70000000000005</v>
      </c>
      <c r="E54">
        <v>0.98277999999999999</v>
      </c>
      <c r="U54" t="s">
        <v>92</v>
      </c>
      <c r="V54" t="s">
        <v>365</v>
      </c>
      <c r="W54" t="s">
        <v>302</v>
      </c>
      <c r="X54" t="s">
        <v>314</v>
      </c>
      <c r="AA54" t="str">
        <f t="shared" si="1"/>
        <v>NI</v>
      </c>
      <c r="AB54" t="str">
        <f t="shared" si="2"/>
        <v>e_w167427251-220</v>
      </c>
      <c r="AC54" t="s">
        <v>724</v>
      </c>
      <c r="AD54" t="s">
        <v>723</v>
      </c>
      <c r="AE54" t="s">
        <v>301</v>
      </c>
      <c r="AM54" t="s">
        <v>641</v>
      </c>
      <c r="AN54" t="s">
        <v>597</v>
      </c>
      <c r="AO54" t="s">
        <v>589</v>
      </c>
      <c r="AP54" t="str">
        <f t="shared" si="3"/>
        <v>NI</v>
      </c>
    </row>
    <row r="55" spans="2:42" x14ac:dyDescent="0.45">
      <c r="B55" t="s">
        <v>147</v>
      </c>
      <c r="C55">
        <v>0.98311203837609484</v>
      </c>
      <c r="D55">
        <v>27.500000000000004</v>
      </c>
      <c r="E55">
        <v>0.99850000000000005</v>
      </c>
      <c r="U55" t="s">
        <v>92</v>
      </c>
      <c r="V55" t="s">
        <v>366</v>
      </c>
      <c r="W55" t="s">
        <v>302</v>
      </c>
      <c r="X55" t="s">
        <v>314</v>
      </c>
      <c r="AA55" t="str">
        <f t="shared" si="1"/>
        <v>NI</v>
      </c>
      <c r="AB55" t="str">
        <f t="shared" si="2"/>
        <v>e_w167572576-220</v>
      </c>
      <c r="AC55" t="s">
        <v>724</v>
      </c>
      <c r="AD55" t="s">
        <v>723</v>
      </c>
      <c r="AE55" t="s">
        <v>301</v>
      </c>
      <c r="AM55" t="s">
        <v>642</v>
      </c>
      <c r="AN55" t="s">
        <v>597</v>
      </c>
      <c r="AO55" t="s">
        <v>589</v>
      </c>
      <c r="AP55" t="str">
        <f t="shared" si="3"/>
        <v>NI</v>
      </c>
    </row>
    <row r="56" spans="2:42" x14ac:dyDescent="0.45">
      <c r="B56" t="s">
        <v>148</v>
      </c>
      <c r="C56">
        <v>0.49155601918804742</v>
      </c>
      <c r="D56">
        <v>190.3</v>
      </c>
      <c r="E56">
        <v>0.98961999999999994</v>
      </c>
      <c r="U56" t="s">
        <v>92</v>
      </c>
      <c r="V56" t="s">
        <v>367</v>
      </c>
      <c r="W56" t="s">
        <v>368</v>
      </c>
      <c r="X56" t="s">
        <v>314</v>
      </c>
      <c r="AA56" t="str">
        <f t="shared" si="1"/>
        <v>SI</v>
      </c>
      <c r="AB56" t="str">
        <f t="shared" si="2"/>
        <v>e_w167705537-220</v>
      </c>
      <c r="AC56" t="s">
        <v>724</v>
      </c>
      <c r="AD56" t="s">
        <v>723</v>
      </c>
      <c r="AE56" t="s">
        <v>301</v>
      </c>
      <c r="AM56" t="s">
        <v>643</v>
      </c>
      <c r="AN56" t="s">
        <v>597</v>
      </c>
      <c r="AO56" t="s">
        <v>588</v>
      </c>
      <c r="AP56" t="str">
        <f t="shared" si="3"/>
        <v>SI</v>
      </c>
    </row>
    <row r="57" spans="2:42" x14ac:dyDescent="0.45">
      <c r="B57" t="s">
        <v>149</v>
      </c>
      <c r="C57">
        <v>0.98311203837609484</v>
      </c>
      <c r="D57">
        <v>46.2</v>
      </c>
      <c r="E57">
        <v>0.99748000000000003</v>
      </c>
      <c r="U57" t="s">
        <v>92</v>
      </c>
      <c r="V57" t="s">
        <v>369</v>
      </c>
      <c r="W57" t="s">
        <v>368</v>
      </c>
      <c r="X57" t="s">
        <v>314</v>
      </c>
      <c r="AA57" t="str">
        <f t="shared" si="1"/>
        <v>NI</v>
      </c>
      <c r="AB57" t="str">
        <f t="shared" si="2"/>
        <v>e_w169512273-220</v>
      </c>
      <c r="AC57" t="s">
        <v>724</v>
      </c>
      <c r="AD57" t="s">
        <v>723</v>
      </c>
      <c r="AE57" t="s">
        <v>301</v>
      </c>
      <c r="AM57" t="s">
        <v>644</v>
      </c>
      <c r="AN57" t="s">
        <v>597</v>
      </c>
      <c r="AO57" t="s">
        <v>581</v>
      </c>
      <c r="AP57" t="str">
        <f t="shared" si="3"/>
        <v>NI</v>
      </c>
    </row>
    <row r="58" spans="2:42" x14ac:dyDescent="0.45">
      <c r="B58" t="s">
        <v>150</v>
      </c>
      <c r="C58">
        <v>0.98311203837609484</v>
      </c>
      <c r="D58">
        <v>143</v>
      </c>
      <c r="E58">
        <v>0.99219999999999997</v>
      </c>
      <c r="U58" t="s">
        <v>92</v>
      </c>
      <c r="V58" t="s">
        <v>370</v>
      </c>
      <c r="W58" t="s">
        <v>368</v>
      </c>
      <c r="X58" t="s">
        <v>314</v>
      </c>
      <c r="AA58" t="str">
        <f t="shared" si="1"/>
        <v>SI</v>
      </c>
      <c r="AB58" t="str">
        <f t="shared" si="2"/>
        <v>e_w170300247-220</v>
      </c>
      <c r="AC58" t="s">
        <v>724</v>
      </c>
      <c r="AD58" t="s">
        <v>723</v>
      </c>
      <c r="AE58" t="s">
        <v>301</v>
      </c>
      <c r="AM58" t="s">
        <v>645</v>
      </c>
      <c r="AN58" t="s">
        <v>597</v>
      </c>
      <c r="AO58" t="s">
        <v>580</v>
      </c>
      <c r="AP58" t="str">
        <f t="shared" si="3"/>
        <v>SI</v>
      </c>
    </row>
    <row r="59" spans="2:42" x14ac:dyDescent="0.45">
      <c r="B59" t="s">
        <v>151</v>
      </c>
      <c r="C59">
        <v>0.49155601918804742</v>
      </c>
      <c r="D59">
        <v>17.600000000000001</v>
      </c>
      <c r="E59">
        <v>0.99904000000000004</v>
      </c>
      <c r="U59" t="s">
        <v>92</v>
      </c>
      <c r="V59" t="s">
        <v>371</v>
      </c>
      <c r="W59" t="s">
        <v>372</v>
      </c>
      <c r="X59" t="s">
        <v>314</v>
      </c>
      <c r="AA59" t="str">
        <f t="shared" si="1"/>
        <v>SI</v>
      </c>
      <c r="AB59" t="str">
        <f t="shared" si="2"/>
        <v>e_w180514007-220</v>
      </c>
      <c r="AC59" t="s">
        <v>724</v>
      </c>
      <c r="AD59" t="s">
        <v>723</v>
      </c>
      <c r="AE59" t="s">
        <v>301</v>
      </c>
      <c r="AM59" t="s">
        <v>646</v>
      </c>
      <c r="AN59" t="s">
        <v>597</v>
      </c>
      <c r="AO59" t="s">
        <v>582</v>
      </c>
      <c r="AP59" t="str">
        <f t="shared" si="3"/>
        <v>SI</v>
      </c>
    </row>
    <row r="60" spans="2:42" x14ac:dyDescent="0.45">
      <c r="B60" t="s">
        <v>152</v>
      </c>
      <c r="C60">
        <v>0.98311203837609484</v>
      </c>
      <c r="D60">
        <v>33</v>
      </c>
      <c r="E60">
        <v>0.99819999999999998</v>
      </c>
      <c r="U60" t="s">
        <v>92</v>
      </c>
      <c r="V60" t="s">
        <v>373</v>
      </c>
      <c r="W60" t="s">
        <v>372</v>
      </c>
      <c r="X60" t="s">
        <v>314</v>
      </c>
      <c r="AA60" t="str">
        <f t="shared" si="1"/>
        <v>SI</v>
      </c>
      <c r="AB60" t="str">
        <f t="shared" si="2"/>
        <v>e_w180519027-220</v>
      </c>
      <c r="AC60" t="s">
        <v>724</v>
      </c>
      <c r="AD60" t="s">
        <v>723</v>
      </c>
      <c r="AE60" t="s">
        <v>301</v>
      </c>
      <c r="AM60" t="s">
        <v>647</v>
      </c>
      <c r="AN60" t="s">
        <v>597</v>
      </c>
      <c r="AO60" t="s">
        <v>582</v>
      </c>
      <c r="AP60" t="str">
        <f t="shared" si="3"/>
        <v>SI</v>
      </c>
    </row>
    <row r="61" spans="2:42" x14ac:dyDescent="0.45">
      <c r="B61" t="s">
        <v>153</v>
      </c>
      <c r="C61">
        <v>0.49155601918804742</v>
      </c>
      <c r="D61">
        <v>23.1</v>
      </c>
      <c r="E61">
        <v>0.99873999999999996</v>
      </c>
      <c r="U61" t="s">
        <v>92</v>
      </c>
      <c r="V61" t="s">
        <v>374</v>
      </c>
      <c r="W61" t="s">
        <v>372</v>
      </c>
      <c r="X61" t="s">
        <v>314</v>
      </c>
      <c r="AA61" t="str">
        <f t="shared" si="1"/>
        <v>NI</v>
      </c>
      <c r="AB61" t="str">
        <f t="shared" si="2"/>
        <v>e_w187858674-220</v>
      </c>
      <c r="AC61" t="s">
        <v>724</v>
      </c>
      <c r="AD61" t="s">
        <v>723</v>
      </c>
      <c r="AE61" t="s">
        <v>301</v>
      </c>
      <c r="AM61" t="s">
        <v>648</v>
      </c>
      <c r="AN61" t="s">
        <v>597</v>
      </c>
      <c r="AO61" t="s">
        <v>581</v>
      </c>
      <c r="AP61" t="str">
        <f t="shared" si="3"/>
        <v>NI</v>
      </c>
    </row>
    <row r="62" spans="2:42" x14ac:dyDescent="0.45">
      <c r="B62" t="s">
        <v>154</v>
      </c>
      <c r="C62">
        <v>0.98311203837609484</v>
      </c>
      <c r="D62">
        <v>40.700000000000003</v>
      </c>
      <c r="E62">
        <v>0.99778</v>
      </c>
      <c r="U62" t="s">
        <v>92</v>
      </c>
      <c r="V62" t="s">
        <v>375</v>
      </c>
      <c r="W62" t="s">
        <v>376</v>
      </c>
      <c r="X62" t="s">
        <v>314</v>
      </c>
      <c r="AA62" t="str">
        <f t="shared" si="1"/>
        <v>NI</v>
      </c>
      <c r="AB62" t="str">
        <f t="shared" si="2"/>
        <v>e_w191346761-220</v>
      </c>
      <c r="AC62" t="s">
        <v>724</v>
      </c>
      <c r="AD62" t="s">
        <v>723</v>
      </c>
      <c r="AE62" t="s">
        <v>301</v>
      </c>
      <c r="AM62" t="s">
        <v>649</v>
      </c>
      <c r="AN62" t="s">
        <v>597</v>
      </c>
      <c r="AO62" t="s">
        <v>589</v>
      </c>
      <c r="AP62" t="str">
        <f t="shared" si="3"/>
        <v>NI</v>
      </c>
    </row>
    <row r="63" spans="2:42" x14ac:dyDescent="0.45">
      <c r="B63" t="s">
        <v>155</v>
      </c>
      <c r="C63">
        <v>0.49155601918804742</v>
      </c>
      <c r="D63">
        <v>3.3000000000000003</v>
      </c>
      <c r="E63">
        <v>0.99982000000000004</v>
      </c>
      <c r="U63" t="s">
        <v>92</v>
      </c>
      <c r="V63" t="s">
        <v>377</v>
      </c>
      <c r="W63" t="s">
        <v>376</v>
      </c>
      <c r="X63" t="s">
        <v>314</v>
      </c>
      <c r="AA63" t="str">
        <f t="shared" si="1"/>
        <v>NI</v>
      </c>
      <c r="AB63" t="str">
        <f t="shared" si="2"/>
        <v>e_w232382576-220</v>
      </c>
      <c r="AC63" t="s">
        <v>724</v>
      </c>
      <c r="AD63" t="s">
        <v>723</v>
      </c>
      <c r="AE63" t="s">
        <v>301</v>
      </c>
      <c r="AM63" t="s">
        <v>650</v>
      </c>
      <c r="AN63" t="s">
        <v>597</v>
      </c>
      <c r="AO63" t="s">
        <v>583</v>
      </c>
      <c r="AP63" t="str">
        <f t="shared" si="3"/>
        <v>NI</v>
      </c>
    </row>
    <row r="64" spans="2:42" x14ac:dyDescent="0.45">
      <c r="B64" t="s">
        <v>156</v>
      </c>
      <c r="C64">
        <v>0.98311203837609484</v>
      </c>
      <c r="D64">
        <v>2.2000000000000002</v>
      </c>
      <c r="E64">
        <v>0.99987999999999999</v>
      </c>
      <c r="U64" t="s">
        <v>92</v>
      </c>
      <c r="V64" t="s">
        <v>378</v>
      </c>
      <c r="W64" t="s">
        <v>376</v>
      </c>
      <c r="X64" t="s">
        <v>314</v>
      </c>
      <c r="AA64" t="str">
        <f t="shared" si="1"/>
        <v>NI</v>
      </c>
      <c r="AB64" t="str">
        <f t="shared" si="2"/>
        <v>e_w235066414-220</v>
      </c>
      <c r="AC64" t="s">
        <v>724</v>
      </c>
      <c r="AD64" t="s">
        <v>723</v>
      </c>
      <c r="AE64" t="s">
        <v>301</v>
      </c>
      <c r="AM64" t="s">
        <v>651</v>
      </c>
      <c r="AN64" t="s">
        <v>597</v>
      </c>
      <c r="AO64" t="s">
        <v>579</v>
      </c>
      <c r="AP64" t="str">
        <f t="shared" si="3"/>
        <v>NI</v>
      </c>
    </row>
    <row r="65" spans="2:42" x14ac:dyDescent="0.45">
      <c r="B65" t="s">
        <v>157</v>
      </c>
      <c r="C65">
        <v>0.98311203837609484</v>
      </c>
      <c r="D65">
        <v>27.500000000000004</v>
      </c>
      <c r="E65">
        <v>0.99850000000000005</v>
      </c>
      <c r="U65" t="s">
        <v>92</v>
      </c>
      <c r="V65" t="s">
        <v>379</v>
      </c>
      <c r="W65" t="s">
        <v>380</v>
      </c>
      <c r="X65" t="s">
        <v>314</v>
      </c>
      <c r="AA65" t="str">
        <f t="shared" si="1"/>
        <v>NI</v>
      </c>
      <c r="AB65" t="str">
        <f t="shared" si="2"/>
        <v>e_w255873374-220</v>
      </c>
      <c r="AC65" t="s">
        <v>724</v>
      </c>
      <c r="AD65" t="s">
        <v>723</v>
      </c>
      <c r="AE65" t="s">
        <v>301</v>
      </c>
      <c r="AM65" t="s">
        <v>652</v>
      </c>
      <c r="AN65" t="s">
        <v>597</v>
      </c>
      <c r="AO65" t="s">
        <v>581</v>
      </c>
      <c r="AP65" t="str">
        <f t="shared" si="3"/>
        <v>NI</v>
      </c>
    </row>
    <row r="66" spans="2:42" x14ac:dyDescent="0.45">
      <c r="B66" t="s">
        <v>158</v>
      </c>
      <c r="C66">
        <v>0.49155601918804742</v>
      </c>
      <c r="D66">
        <v>407.00000000000006</v>
      </c>
      <c r="E66">
        <v>0.9778</v>
      </c>
      <c r="U66" t="s">
        <v>92</v>
      </c>
      <c r="V66" t="s">
        <v>381</v>
      </c>
      <c r="W66" t="s">
        <v>380</v>
      </c>
      <c r="X66" t="s">
        <v>314</v>
      </c>
      <c r="AA66" t="str">
        <f t="shared" si="1"/>
        <v>SI</v>
      </c>
      <c r="AB66" t="str">
        <f t="shared" si="2"/>
        <v>e_w268826084-220</v>
      </c>
      <c r="AC66" t="s">
        <v>724</v>
      </c>
      <c r="AD66" t="s">
        <v>723</v>
      </c>
      <c r="AE66" t="s">
        <v>301</v>
      </c>
      <c r="AM66" t="s">
        <v>653</v>
      </c>
      <c r="AN66" t="s">
        <v>597</v>
      </c>
      <c r="AO66" t="s">
        <v>580</v>
      </c>
      <c r="AP66" t="str">
        <f t="shared" si="3"/>
        <v>SI</v>
      </c>
    </row>
    <row r="67" spans="2:42" x14ac:dyDescent="0.45">
      <c r="B67" t="s">
        <v>159</v>
      </c>
      <c r="C67">
        <v>0.49155601918804742</v>
      </c>
      <c r="D67">
        <v>26.400000000000002</v>
      </c>
      <c r="E67">
        <v>0.99856</v>
      </c>
      <c r="U67" t="s">
        <v>92</v>
      </c>
      <c r="V67" t="s">
        <v>382</v>
      </c>
      <c r="W67" t="s">
        <v>380</v>
      </c>
      <c r="X67" t="s">
        <v>314</v>
      </c>
      <c r="AA67" t="str">
        <f t="shared" si="1"/>
        <v>SI</v>
      </c>
      <c r="AB67" t="str">
        <f t="shared" si="2"/>
        <v>e_w268841395-220</v>
      </c>
      <c r="AC67" t="s">
        <v>724</v>
      </c>
      <c r="AD67" t="s">
        <v>723</v>
      </c>
      <c r="AE67" t="s">
        <v>301</v>
      </c>
      <c r="AM67" t="s">
        <v>654</v>
      </c>
      <c r="AN67" t="s">
        <v>597</v>
      </c>
      <c r="AO67" t="s">
        <v>584</v>
      </c>
      <c r="AP67" t="str">
        <f t="shared" si="3"/>
        <v>SI</v>
      </c>
    </row>
    <row r="68" spans="2:42" x14ac:dyDescent="0.45">
      <c r="B68" t="s">
        <v>160</v>
      </c>
      <c r="C68">
        <v>0.98311203837609484</v>
      </c>
      <c r="D68">
        <v>50.6</v>
      </c>
      <c r="E68">
        <v>0.99724000000000002</v>
      </c>
      <c r="U68" t="s">
        <v>92</v>
      </c>
      <c r="V68" t="s">
        <v>383</v>
      </c>
      <c r="W68" t="s">
        <v>384</v>
      </c>
      <c r="X68" t="s">
        <v>314</v>
      </c>
      <c r="AA68" t="str">
        <f t="shared" si="1"/>
        <v>SI</v>
      </c>
      <c r="AB68" t="str">
        <f t="shared" si="2"/>
        <v>e_w270012796-220</v>
      </c>
      <c r="AC68" t="s">
        <v>724</v>
      </c>
      <c r="AD68" t="s">
        <v>723</v>
      </c>
      <c r="AE68" t="s">
        <v>301</v>
      </c>
      <c r="AM68" t="s">
        <v>655</v>
      </c>
      <c r="AN68" t="s">
        <v>597</v>
      </c>
      <c r="AO68" t="s">
        <v>580</v>
      </c>
      <c r="AP68" t="str">
        <f t="shared" si="3"/>
        <v>SI</v>
      </c>
    </row>
    <row r="69" spans="2:42" x14ac:dyDescent="0.45">
      <c r="B69" t="s">
        <v>161</v>
      </c>
      <c r="C69">
        <v>0.49155601918804742</v>
      </c>
      <c r="D69">
        <v>812.90000000000009</v>
      </c>
      <c r="E69">
        <v>0.95565999999999995</v>
      </c>
      <c r="U69" t="s">
        <v>92</v>
      </c>
      <c r="V69" t="s">
        <v>385</v>
      </c>
      <c r="W69" t="s">
        <v>384</v>
      </c>
      <c r="X69" t="s">
        <v>314</v>
      </c>
      <c r="AA69" t="str">
        <f t="shared" si="1"/>
        <v>NI</v>
      </c>
      <c r="AB69" t="str">
        <f t="shared" si="2"/>
        <v>e_w270018358-220</v>
      </c>
      <c r="AC69" t="s">
        <v>724</v>
      </c>
      <c r="AD69" t="s">
        <v>723</v>
      </c>
      <c r="AE69" t="s">
        <v>301</v>
      </c>
      <c r="AM69" t="s">
        <v>656</v>
      </c>
      <c r="AN69" t="s">
        <v>597</v>
      </c>
      <c r="AO69" t="s">
        <v>581</v>
      </c>
      <c r="AP69" t="str">
        <f t="shared" si="3"/>
        <v>NI</v>
      </c>
    </row>
    <row r="70" spans="2:42" x14ac:dyDescent="0.45">
      <c r="B70" t="s">
        <v>162</v>
      </c>
      <c r="C70">
        <v>0.49155601918804742</v>
      </c>
      <c r="D70">
        <v>815.1</v>
      </c>
      <c r="E70">
        <v>0.95554000000000006</v>
      </c>
      <c r="U70" t="s">
        <v>92</v>
      </c>
      <c r="V70" t="s">
        <v>386</v>
      </c>
      <c r="W70" t="s">
        <v>384</v>
      </c>
      <c r="X70" t="s">
        <v>314</v>
      </c>
      <c r="AA70" t="str">
        <f t="shared" si="1"/>
        <v>NI</v>
      </c>
      <c r="AB70" t="str">
        <f t="shared" si="2"/>
        <v>e_w270022030-220</v>
      </c>
      <c r="AC70" t="s">
        <v>724</v>
      </c>
      <c r="AD70" t="s">
        <v>723</v>
      </c>
      <c r="AE70" t="s">
        <v>301</v>
      </c>
      <c r="AM70" t="s">
        <v>657</v>
      </c>
      <c r="AN70" t="s">
        <v>597</v>
      </c>
      <c r="AO70" t="s">
        <v>591</v>
      </c>
      <c r="AP70" t="str">
        <f t="shared" si="3"/>
        <v>NI</v>
      </c>
    </row>
    <row r="71" spans="2:42" x14ac:dyDescent="0.45">
      <c r="B71" t="s">
        <v>163</v>
      </c>
      <c r="C71">
        <v>0.49155601918804742</v>
      </c>
      <c r="D71">
        <v>524.70000000000005</v>
      </c>
      <c r="E71">
        <v>0.97138000000000002</v>
      </c>
      <c r="U71" t="s">
        <v>92</v>
      </c>
      <c r="V71" t="s">
        <v>387</v>
      </c>
      <c r="W71" t="s">
        <v>388</v>
      </c>
      <c r="X71" t="s">
        <v>314</v>
      </c>
      <c r="AA71" t="str">
        <f t="shared" si="1"/>
        <v>NI</v>
      </c>
      <c r="AB71" t="str">
        <f t="shared" si="2"/>
        <v>e_w270554679-220</v>
      </c>
      <c r="AC71" t="s">
        <v>724</v>
      </c>
      <c r="AD71" t="s">
        <v>723</v>
      </c>
      <c r="AE71" t="s">
        <v>301</v>
      </c>
      <c r="AM71" t="s">
        <v>658</v>
      </c>
      <c r="AN71" t="s">
        <v>597</v>
      </c>
      <c r="AO71" t="s">
        <v>581</v>
      </c>
      <c r="AP71" t="str">
        <f t="shared" si="3"/>
        <v>NI</v>
      </c>
    </row>
    <row r="72" spans="2:42" x14ac:dyDescent="0.45">
      <c r="B72" t="s">
        <v>164</v>
      </c>
      <c r="C72">
        <v>0.98311203837609484</v>
      </c>
      <c r="D72">
        <v>170.5</v>
      </c>
      <c r="E72">
        <v>0.99070000000000003</v>
      </c>
      <c r="U72" t="s">
        <v>92</v>
      </c>
      <c r="V72" t="s">
        <v>389</v>
      </c>
      <c r="W72" t="s">
        <v>388</v>
      </c>
      <c r="X72" t="s">
        <v>314</v>
      </c>
      <c r="AA72" t="str">
        <f t="shared" si="1"/>
        <v>NI</v>
      </c>
      <c r="AB72" t="str">
        <f t="shared" si="2"/>
        <v>e_w270556206-220</v>
      </c>
      <c r="AC72" t="s">
        <v>724</v>
      </c>
      <c r="AD72" t="s">
        <v>723</v>
      </c>
      <c r="AE72" t="s">
        <v>301</v>
      </c>
      <c r="AM72" t="s">
        <v>659</v>
      </c>
      <c r="AN72" t="s">
        <v>597</v>
      </c>
      <c r="AO72" t="s">
        <v>581</v>
      </c>
      <c r="AP72" t="str">
        <f t="shared" si="3"/>
        <v>NI</v>
      </c>
    </row>
    <row r="73" spans="2:42" x14ac:dyDescent="0.45">
      <c r="B73" t="s">
        <v>165</v>
      </c>
      <c r="C73">
        <v>0.98311203837609484</v>
      </c>
      <c r="D73">
        <v>2.2000000000000002</v>
      </c>
      <c r="E73">
        <v>0.99987999999999999</v>
      </c>
      <c r="U73" t="s">
        <v>92</v>
      </c>
      <c r="V73" t="s">
        <v>390</v>
      </c>
      <c r="W73" t="s">
        <v>388</v>
      </c>
      <c r="X73" t="s">
        <v>314</v>
      </c>
      <c r="AA73" t="str">
        <f t="shared" si="1"/>
        <v>SI</v>
      </c>
      <c r="AB73" t="str">
        <f t="shared" si="2"/>
        <v>e_w272195826-220</v>
      </c>
      <c r="AC73" t="s">
        <v>724</v>
      </c>
      <c r="AD73" t="s">
        <v>723</v>
      </c>
      <c r="AE73" t="s">
        <v>301</v>
      </c>
      <c r="AM73" t="s">
        <v>660</v>
      </c>
      <c r="AN73" t="s">
        <v>597</v>
      </c>
      <c r="AO73" t="s">
        <v>584</v>
      </c>
      <c r="AP73" t="str">
        <f t="shared" si="3"/>
        <v>SI</v>
      </c>
    </row>
    <row r="74" spans="2:42" x14ac:dyDescent="0.45">
      <c r="B74" t="s">
        <v>166</v>
      </c>
      <c r="C74">
        <v>0.98311203837609484</v>
      </c>
      <c r="D74">
        <v>22</v>
      </c>
      <c r="E74">
        <v>0.99880000000000002</v>
      </c>
      <c r="U74" t="s">
        <v>92</v>
      </c>
      <c r="V74" t="s">
        <v>391</v>
      </c>
      <c r="W74" t="s">
        <v>392</v>
      </c>
      <c r="X74" t="s">
        <v>314</v>
      </c>
      <c r="AA74" t="str">
        <f t="shared" si="1"/>
        <v>NI</v>
      </c>
      <c r="AB74" t="str">
        <f t="shared" si="2"/>
        <v>e_w272522517-220</v>
      </c>
      <c r="AC74" t="s">
        <v>724</v>
      </c>
      <c r="AD74" t="s">
        <v>723</v>
      </c>
      <c r="AE74" t="s">
        <v>301</v>
      </c>
      <c r="AM74" t="s">
        <v>661</v>
      </c>
      <c r="AN74" t="s">
        <v>597</v>
      </c>
      <c r="AO74" t="s">
        <v>581</v>
      </c>
      <c r="AP74" t="str">
        <f t="shared" ref="AP74:AP105" si="4">IFERROR(VLOOKUP(AO74,$AJ$10:$AK$18,2,FALSE),"NI")</f>
        <v>NI</v>
      </c>
    </row>
    <row r="75" spans="2:42" x14ac:dyDescent="0.45">
      <c r="B75" t="s">
        <v>167</v>
      </c>
      <c r="C75">
        <v>0.98311203837609484</v>
      </c>
      <c r="D75">
        <v>783.2</v>
      </c>
      <c r="E75">
        <v>0.95728000000000002</v>
      </c>
      <c r="U75" t="s">
        <v>92</v>
      </c>
      <c r="V75" t="s">
        <v>393</v>
      </c>
      <c r="W75" t="s">
        <v>392</v>
      </c>
      <c r="X75" t="s">
        <v>314</v>
      </c>
      <c r="AA75" t="str">
        <f t="shared" ref="AA75:AA133" si="5">AP75</f>
        <v>NI</v>
      </c>
      <c r="AB75" t="str">
        <f t="shared" ref="AB75:AB133" si="6">"e"&amp;MID(AM75,2,255)&amp;"-220"</f>
        <v>e_w275188676-220</v>
      </c>
      <c r="AC75" t="s">
        <v>724</v>
      </c>
      <c r="AD75" t="s">
        <v>723</v>
      </c>
      <c r="AE75" t="s">
        <v>301</v>
      </c>
      <c r="AM75" t="s">
        <v>662</v>
      </c>
      <c r="AN75" t="s">
        <v>597</v>
      </c>
      <c r="AO75" t="s">
        <v>581</v>
      </c>
      <c r="AP75" t="str">
        <f t="shared" si="4"/>
        <v>NI</v>
      </c>
    </row>
    <row r="76" spans="2:42" x14ac:dyDescent="0.45">
      <c r="B76" t="s">
        <v>168</v>
      </c>
      <c r="C76">
        <v>0.98311203837609484</v>
      </c>
      <c r="D76">
        <v>455.40000000000003</v>
      </c>
      <c r="E76">
        <v>0.97516000000000003</v>
      </c>
      <c r="U76" t="s">
        <v>92</v>
      </c>
      <c r="V76" t="s">
        <v>394</v>
      </c>
      <c r="W76" t="s">
        <v>392</v>
      </c>
      <c r="X76" t="s">
        <v>314</v>
      </c>
      <c r="AA76" t="str">
        <f t="shared" si="5"/>
        <v>NI</v>
      </c>
      <c r="AB76" t="str">
        <f t="shared" si="6"/>
        <v>e_w341099346-220</v>
      </c>
      <c r="AC76" t="s">
        <v>724</v>
      </c>
      <c r="AD76" t="s">
        <v>723</v>
      </c>
      <c r="AE76" t="s">
        <v>301</v>
      </c>
      <c r="AM76" t="s">
        <v>663</v>
      </c>
      <c r="AN76" t="s">
        <v>597</v>
      </c>
      <c r="AO76" t="s">
        <v>579</v>
      </c>
      <c r="AP76" t="str">
        <f t="shared" si="4"/>
        <v>NI</v>
      </c>
    </row>
    <row r="77" spans="2:42" x14ac:dyDescent="0.45">
      <c r="B77" t="s">
        <v>169</v>
      </c>
      <c r="C77">
        <v>0.49155601918804742</v>
      </c>
      <c r="D77">
        <v>38.5</v>
      </c>
      <c r="E77">
        <v>0.99790000000000001</v>
      </c>
      <c r="U77" t="s">
        <v>92</v>
      </c>
      <c r="V77" t="s">
        <v>395</v>
      </c>
      <c r="W77" t="s">
        <v>396</v>
      </c>
      <c r="X77" t="s">
        <v>314</v>
      </c>
      <c r="AA77" t="str">
        <f t="shared" si="5"/>
        <v>NI</v>
      </c>
      <c r="AB77" t="str">
        <f t="shared" si="6"/>
        <v>e_w359449581-220</v>
      </c>
      <c r="AC77" t="s">
        <v>724</v>
      </c>
      <c r="AD77" t="s">
        <v>723</v>
      </c>
      <c r="AE77" t="s">
        <v>301</v>
      </c>
      <c r="AM77" t="s">
        <v>664</v>
      </c>
      <c r="AN77" t="s">
        <v>597</v>
      </c>
      <c r="AO77" t="s">
        <v>579</v>
      </c>
      <c r="AP77" t="str">
        <f t="shared" si="4"/>
        <v>NI</v>
      </c>
    </row>
    <row r="78" spans="2:42" x14ac:dyDescent="0.45">
      <c r="B78" t="s">
        <v>170</v>
      </c>
      <c r="C78">
        <v>0.49155601918804742</v>
      </c>
      <c r="D78">
        <v>2.2000000000000002</v>
      </c>
      <c r="E78">
        <v>0.99987999999999999</v>
      </c>
      <c r="U78" t="s">
        <v>92</v>
      </c>
      <c r="V78" t="s">
        <v>397</v>
      </c>
      <c r="W78" t="s">
        <v>396</v>
      </c>
      <c r="X78" t="s">
        <v>314</v>
      </c>
      <c r="AA78" t="str">
        <f t="shared" si="5"/>
        <v>NI</v>
      </c>
      <c r="AB78" t="str">
        <f t="shared" si="6"/>
        <v>e_w409049317-220</v>
      </c>
      <c r="AC78" t="s">
        <v>724</v>
      </c>
      <c r="AD78" t="s">
        <v>723</v>
      </c>
      <c r="AE78" t="s">
        <v>301</v>
      </c>
      <c r="AM78" t="s">
        <v>665</v>
      </c>
      <c r="AN78" t="s">
        <v>597</v>
      </c>
      <c r="AO78" t="s">
        <v>585</v>
      </c>
      <c r="AP78" t="str">
        <f t="shared" si="4"/>
        <v>NI</v>
      </c>
    </row>
    <row r="79" spans="2:42" x14ac:dyDescent="0.45">
      <c r="B79" t="s">
        <v>171</v>
      </c>
      <c r="C79">
        <v>0.49155601918804742</v>
      </c>
      <c r="D79">
        <v>23.1</v>
      </c>
      <c r="E79">
        <v>0.99873999999999996</v>
      </c>
      <c r="U79" t="s">
        <v>92</v>
      </c>
      <c r="V79" t="s">
        <v>398</v>
      </c>
      <c r="W79" t="s">
        <v>396</v>
      </c>
      <c r="X79" t="s">
        <v>314</v>
      </c>
      <c r="AA79" t="str">
        <f t="shared" si="5"/>
        <v>SI</v>
      </c>
      <c r="AB79" t="str">
        <f t="shared" si="6"/>
        <v>e_w412589726-220</v>
      </c>
      <c r="AC79" t="s">
        <v>724</v>
      </c>
      <c r="AD79" t="s">
        <v>723</v>
      </c>
      <c r="AE79" t="s">
        <v>301</v>
      </c>
      <c r="AM79" t="s">
        <v>666</v>
      </c>
      <c r="AN79" t="s">
        <v>597</v>
      </c>
      <c r="AO79" t="s">
        <v>584</v>
      </c>
      <c r="AP79" t="str">
        <f t="shared" si="4"/>
        <v>SI</v>
      </c>
    </row>
    <row r="80" spans="2:42" x14ac:dyDescent="0.45">
      <c r="B80" t="s">
        <v>172</v>
      </c>
      <c r="C80">
        <v>0.98311203837609484</v>
      </c>
      <c r="D80">
        <v>437.8</v>
      </c>
      <c r="E80">
        <v>0.97611999999999999</v>
      </c>
      <c r="U80" t="s">
        <v>92</v>
      </c>
      <c r="V80" t="s">
        <v>399</v>
      </c>
      <c r="W80" t="s">
        <v>400</v>
      </c>
      <c r="X80" t="s">
        <v>314</v>
      </c>
      <c r="AA80" t="str">
        <f t="shared" si="5"/>
        <v>SI</v>
      </c>
      <c r="AB80" t="str">
        <f t="shared" si="6"/>
        <v>e_w414953388-220</v>
      </c>
      <c r="AC80" t="s">
        <v>724</v>
      </c>
      <c r="AD80" t="s">
        <v>723</v>
      </c>
      <c r="AE80" t="s">
        <v>301</v>
      </c>
      <c r="AM80" t="s">
        <v>667</v>
      </c>
      <c r="AN80" t="s">
        <v>597</v>
      </c>
      <c r="AO80" t="s">
        <v>582</v>
      </c>
      <c r="AP80" t="str">
        <f t="shared" si="4"/>
        <v>SI</v>
      </c>
    </row>
    <row r="81" spans="2:42" x14ac:dyDescent="0.45">
      <c r="B81" t="s">
        <v>173</v>
      </c>
      <c r="C81">
        <v>0.98311203837609484</v>
      </c>
      <c r="D81">
        <v>20.900000000000002</v>
      </c>
      <c r="E81">
        <v>0.99885999999999997</v>
      </c>
      <c r="U81" t="s">
        <v>92</v>
      </c>
      <c r="V81" t="s">
        <v>401</v>
      </c>
      <c r="W81" t="s">
        <v>400</v>
      </c>
      <c r="X81" t="s">
        <v>314</v>
      </c>
      <c r="AA81" t="str">
        <f t="shared" si="5"/>
        <v>NI</v>
      </c>
      <c r="AB81" t="str">
        <f t="shared" si="6"/>
        <v>e_w627162826-220</v>
      </c>
      <c r="AC81" t="s">
        <v>724</v>
      </c>
      <c r="AD81" t="s">
        <v>723</v>
      </c>
      <c r="AE81" t="s">
        <v>301</v>
      </c>
      <c r="AM81" t="s">
        <v>668</v>
      </c>
      <c r="AN81" t="s">
        <v>597</v>
      </c>
      <c r="AO81" t="s">
        <v>587</v>
      </c>
      <c r="AP81" t="str">
        <f t="shared" si="4"/>
        <v>NI</v>
      </c>
    </row>
    <row r="82" spans="2:42" x14ac:dyDescent="0.45">
      <c r="B82" t="s">
        <v>174</v>
      </c>
      <c r="C82">
        <v>0.98311203837609484</v>
      </c>
      <c r="D82">
        <v>1018.6000000000001</v>
      </c>
      <c r="E82">
        <v>0.94443999999999995</v>
      </c>
      <c r="U82" t="s">
        <v>92</v>
      </c>
      <c r="V82" t="s">
        <v>402</v>
      </c>
      <c r="W82" t="s">
        <v>400</v>
      </c>
      <c r="X82" t="s">
        <v>314</v>
      </c>
      <c r="AA82" t="str">
        <f t="shared" si="5"/>
        <v>NI</v>
      </c>
      <c r="AB82" t="str">
        <f t="shared" si="6"/>
        <v>e_w849110529-220</v>
      </c>
      <c r="AC82" t="s">
        <v>724</v>
      </c>
      <c r="AD82" t="s">
        <v>723</v>
      </c>
      <c r="AE82" t="s">
        <v>301</v>
      </c>
      <c r="AM82" t="s">
        <v>669</v>
      </c>
      <c r="AN82" t="s">
        <v>597</v>
      </c>
      <c r="AO82" t="s">
        <v>579</v>
      </c>
      <c r="AP82" t="str">
        <f t="shared" si="4"/>
        <v>NI</v>
      </c>
    </row>
    <row r="83" spans="2:42" x14ac:dyDescent="0.45">
      <c r="B83" t="s">
        <v>175</v>
      </c>
      <c r="C83">
        <v>0.98311203837609484</v>
      </c>
      <c r="D83">
        <v>205.70000000000002</v>
      </c>
      <c r="E83">
        <v>0.98877999999999999</v>
      </c>
      <c r="U83" t="s">
        <v>92</v>
      </c>
      <c r="V83" t="s">
        <v>403</v>
      </c>
      <c r="W83" t="s">
        <v>404</v>
      </c>
      <c r="X83" t="s">
        <v>314</v>
      </c>
      <c r="AA83" t="str">
        <f t="shared" si="5"/>
        <v>NI</v>
      </c>
      <c r="AB83" t="str">
        <f t="shared" si="6"/>
        <v>e_w907631032-220</v>
      </c>
      <c r="AC83" t="s">
        <v>724</v>
      </c>
      <c r="AD83" t="s">
        <v>723</v>
      </c>
      <c r="AE83" t="s">
        <v>301</v>
      </c>
      <c r="AM83" t="s">
        <v>670</v>
      </c>
      <c r="AN83" t="s">
        <v>597</v>
      </c>
      <c r="AO83" t="s">
        <v>579</v>
      </c>
      <c r="AP83" t="str">
        <f t="shared" si="4"/>
        <v>NI</v>
      </c>
    </row>
    <row r="84" spans="2:42" x14ac:dyDescent="0.45">
      <c r="B84" t="s">
        <v>176</v>
      </c>
      <c r="C84">
        <v>0.98311203837609484</v>
      </c>
      <c r="D84">
        <v>632.5</v>
      </c>
      <c r="E84">
        <v>0.96550000000000002</v>
      </c>
      <c r="U84" t="s">
        <v>92</v>
      </c>
      <c r="V84" t="s">
        <v>405</v>
      </c>
      <c r="W84" t="s">
        <v>404</v>
      </c>
      <c r="X84" t="s">
        <v>314</v>
      </c>
      <c r="AA84" t="str">
        <f t="shared" si="5"/>
        <v>NI</v>
      </c>
      <c r="AB84" t="str">
        <f t="shared" si="6"/>
        <v>e_w1018655038-220</v>
      </c>
      <c r="AC84" t="s">
        <v>724</v>
      </c>
      <c r="AD84" t="s">
        <v>723</v>
      </c>
      <c r="AE84" t="s">
        <v>301</v>
      </c>
      <c r="AM84" t="s">
        <v>671</v>
      </c>
      <c r="AN84" t="s">
        <v>597</v>
      </c>
      <c r="AO84" t="s">
        <v>579</v>
      </c>
      <c r="AP84" t="str">
        <f t="shared" si="4"/>
        <v>NI</v>
      </c>
    </row>
    <row r="85" spans="2:42" x14ac:dyDescent="0.45">
      <c r="B85" t="s">
        <v>177</v>
      </c>
      <c r="C85">
        <v>0.98311203837609484</v>
      </c>
      <c r="D85">
        <v>926.2</v>
      </c>
      <c r="E85">
        <v>0.94947999999999999</v>
      </c>
      <c r="U85" t="s">
        <v>92</v>
      </c>
      <c r="V85" t="s">
        <v>406</v>
      </c>
      <c r="W85" t="s">
        <v>404</v>
      </c>
      <c r="X85" t="s">
        <v>314</v>
      </c>
      <c r="AA85" t="str">
        <f t="shared" si="5"/>
        <v>NI</v>
      </c>
      <c r="AB85" t="str">
        <f t="shared" si="6"/>
        <v>e_w1026587442-220</v>
      </c>
      <c r="AC85" t="s">
        <v>724</v>
      </c>
      <c r="AD85" t="s">
        <v>723</v>
      </c>
      <c r="AE85" t="s">
        <v>301</v>
      </c>
      <c r="AM85" t="s">
        <v>672</v>
      </c>
      <c r="AN85" t="s">
        <v>597</v>
      </c>
      <c r="AO85" t="s">
        <v>589</v>
      </c>
      <c r="AP85" t="str">
        <f t="shared" si="4"/>
        <v>NI</v>
      </c>
    </row>
    <row r="86" spans="2:42" x14ac:dyDescent="0.45">
      <c r="B86" t="s">
        <v>178</v>
      </c>
      <c r="C86">
        <v>0.98311203837609484</v>
      </c>
      <c r="D86">
        <v>35.200000000000003</v>
      </c>
      <c r="E86">
        <v>0.99807999999999997</v>
      </c>
      <c r="U86" t="s">
        <v>92</v>
      </c>
      <c r="V86" t="s">
        <v>407</v>
      </c>
      <c r="W86" t="s">
        <v>408</v>
      </c>
      <c r="X86" t="s">
        <v>314</v>
      </c>
      <c r="AA86" t="str">
        <f t="shared" si="5"/>
        <v>NI</v>
      </c>
      <c r="AB86" t="str">
        <f t="shared" si="6"/>
        <v>e_w1034927052-220</v>
      </c>
      <c r="AC86" t="s">
        <v>724</v>
      </c>
      <c r="AD86" t="s">
        <v>723</v>
      </c>
      <c r="AE86" t="s">
        <v>301</v>
      </c>
      <c r="AM86" t="s">
        <v>673</v>
      </c>
      <c r="AN86" t="s">
        <v>597</v>
      </c>
      <c r="AO86" t="s">
        <v>581</v>
      </c>
      <c r="AP86" t="str">
        <f t="shared" si="4"/>
        <v>NI</v>
      </c>
    </row>
    <row r="87" spans="2:42" x14ac:dyDescent="0.45">
      <c r="B87" t="s">
        <v>179</v>
      </c>
      <c r="C87">
        <v>0.98311203837609484</v>
      </c>
      <c r="D87">
        <v>151.80000000000001</v>
      </c>
      <c r="E87">
        <v>0.99172000000000005</v>
      </c>
      <c r="U87" t="s">
        <v>92</v>
      </c>
      <c r="V87" t="s">
        <v>409</v>
      </c>
      <c r="W87" t="s">
        <v>408</v>
      </c>
      <c r="X87" t="s">
        <v>314</v>
      </c>
      <c r="AA87" t="str">
        <f t="shared" si="5"/>
        <v>SI</v>
      </c>
      <c r="AB87" t="str">
        <f t="shared" si="6"/>
        <v>e_w1099619174-220</v>
      </c>
      <c r="AC87" t="s">
        <v>724</v>
      </c>
      <c r="AD87" t="s">
        <v>723</v>
      </c>
      <c r="AE87" t="s">
        <v>301</v>
      </c>
      <c r="AM87" t="s">
        <v>674</v>
      </c>
      <c r="AN87" t="s">
        <v>597</v>
      </c>
      <c r="AO87" t="s">
        <v>580</v>
      </c>
      <c r="AP87" t="str">
        <f t="shared" si="4"/>
        <v>SI</v>
      </c>
    </row>
    <row r="88" spans="2:42" x14ac:dyDescent="0.45">
      <c r="B88" t="s">
        <v>180</v>
      </c>
      <c r="C88">
        <v>0.98311203837609484</v>
      </c>
      <c r="D88">
        <v>7.7000000000000011</v>
      </c>
      <c r="E88">
        <v>0.99958000000000002</v>
      </c>
      <c r="U88" t="s">
        <v>92</v>
      </c>
      <c r="V88" t="s">
        <v>410</v>
      </c>
      <c r="W88" t="s">
        <v>408</v>
      </c>
      <c r="X88" t="s">
        <v>314</v>
      </c>
      <c r="AA88" t="str">
        <f t="shared" si="5"/>
        <v>NI</v>
      </c>
      <c r="AB88" t="str">
        <f t="shared" si="6"/>
        <v>e_w1167708390-220</v>
      </c>
      <c r="AC88" t="s">
        <v>724</v>
      </c>
      <c r="AD88" t="s">
        <v>723</v>
      </c>
      <c r="AE88" t="s">
        <v>301</v>
      </c>
      <c r="AM88" t="s">
        <v>675</v>
      </c>
      <c r="AN88" t="s">
        <v>597</v>
      </c>
      <c r="AO88" t="s">
        <v>589</v>
      </c>
      <c r="AP88" t="str">
        <f t="shared" si="4"/>
        <v>NI</v>
      </c>
    </row>
    <row r="89" spans="2:42" x14ac:dyDescent="0.45">
      <c r="B89" t="s">
        <v>181</v>
      </c>
      <c r="C89">
        <v>0.98311203837609484</v>
      </c>
      <c r="D89">
        <v>100.10000000000001</v>
      </c>
      <c r="E89">
        <v>0.99453999999999998</v>
      </c>
      <c r="U89" t="s">
        <v>92</v>
      </c>
      <c r="V89" t="s">
        <v>411</v>
      </c>
      <c r="W89" t="s">
        <v>412</v>
      </c>
      <c r="X89" t="s">
        <v>314</v>
      </c>
      <c r="AA89" t="str">
        <f t="shared" si="5"/>
        <v>NI</v>
      </c>
      <c r="AB89" t="str">
        <f t="shared" si="6"/>
        <v>e_w1363994055-220</v>
      </c>
      <c r="AC89" t="s">
        <v>724</v>
      </c>
      <c r="AD89" t="s">
        <v>723</v>
      </c>
      <c r="AE89" t="s">
        <v>301</v>
      </c>
      <c r="AM89" t="s">
        <v>676</v>
      </c>
      <c r="AN89" t="s">
        <v>597</v>
      </c>
      <c r="AO89" t="s">
        <v>579</v>
      </c>
      <c r="AP89" t="str">
        <f t="shared" si="4"/>
        <v>NI</v>
      </c>
    </row>
    <row r="90" spans="2:42" x14ac:dyDescent="0.45">
      <c r="B90" t="s">
        <v>182</v>
      </c>
      <c r="C90">
        <v>0.98311203837609484</v>
      </c>
      <c r="D90">
        <v>23.1</v>
      </c>
      <c r="E90">
        <v>0.99873999999999996</v>
      </c>
      <c r="U90" t="s">
        <v>92</v>
      </c>
      <c r="V90" t="s">
        <v>413</v>
      </c>
      <c r="W90" t="s">
        <v>412</v>
      </c>
      <c r="X90" t="s">
        <v>314</v>
      </c>
      <c r="AA90" t="str">
        <f t="shared" si="5"/>
        <v>NI</v>
      </c>
      <c r="AB90" t="str">
        <f t="shared" si="6"/>
        <v>e_r17609399-220</v>
      </c>
      <c r="AC90" t="s">
        <v>724</v>
      </c>
      <c r="AD90" t="s">
        <v>723</v>
      </c>
      <c r="AE90" t="s">
        <v>301</v>
      </c>
      <c r="AM90" t="s">
        <v>677</v>
      </c>
      <c r="AN90" t="s">
        <v>597</v>
      </c>
      <c r="AO90" t="s">
        <v>593</v>
      </c>
      <c r="AP90" t="str">
        <f t="shared" si="4"/>
        <v>NI</v>
      </c>
    </row>
    <row r="91" spans="2:42" x14ac:dyDescent="0.45">
      <c r="B91" t="s">
        <v>183</v>
      </c>
      <c r="C91">
        <v>0.98311203837609484</v>
      </c>
      <c r="D91">
        <v>369.6</v>
      </c>
      <c r="E91">
        <v>0.97984000000000004</v>
      </c>
      <c r="U91" t="s">
        <v>92</v>
      </c>
      <c r="V91" t="s">
        <v>414</v>
      </c>
      <c r="W91" t="s">
        <v>412</v>
      </c>
      <c r="X91" t="s">
        <v>314</v>
      </c>
      <c r="AA91" t="str">
        <f t="shared" si="5"/>
        <v>NI</v>
      </c>
      <c r="AB91" t="str">
        <f t="shared" si="6"/>
        <v>e_NZ26-220</v>
      </c>
      <c r="AC91" t="s">
        <v>724</v>
      </c>
      <c r="AD91" t="s">
        <v>723</v>
      </c>
      <c r="AE91" t="s">
        <v>301</v>
      </c>
      <c r="AM91" t="s">
        <v>678</v>
      </c>
      <c r="AN91" t="s">
        <v>597</v>
      </c>
      <c r="AO91" t="s">
        <v>587</v>
      </c>
      <c r="AP91" t="str">
        <f t="shared" si="4"/>
        <v>NI</v>
      </c>
    </row>
    <row r="92" spans="2:42" x14ac:dyDescent="0.45">
      <c r="B92" t="s">
        <v>184</v>
      </c>
      <c r="C92">
        <v>0.98311203837609484</v>
      </c>
      <c r="D92">
        <v>319</v>
      </c>
      <c r="E92">
        <v>0.98260000000000003</v>
      </c>
      <c r="U92" t="s">
        <v>92</v>
      </c>
      <c r="V92" t="s">
        <v>415</v>
      </c>
      <c r="W92" t="s">
        <v>416</v>
      </c>
      <c r="X92" t="s">
        <v>314</v>
      </c>
      <c r="AA92" t="str">
        <f t="shared" si="5"/>
        <v>SI</v>
      </c>
      <c r="AB92" t="str">
        <f t="shared" si="6"/>
        <v>e_NZ28-220</v>
      </c>
      <c r="AC92" t="s">
        <v>724</v>
      </c>
      <c r="AD92" t="s">
        <v>723</v>
      </c>
      <c r="AE92" t="s">
        <v>301</v>
      </c>
      <c r="AM92" t="s">
        <v>679</v>
      </c>
      <c r="AN92" t="s">
        <v>597</v>
      </c>
      <c r="AO92" t="s">
        <v>580</v>
      </c>
      <c r="AP92" t="str">
        <f t="shared" si="4"/>
        <v>SI</v>
      </c>
    </row>
    <row r="93" spans="2:42" x14ac:dyDescent="0.45">
      <c r="B93" t="s">
        <v>185</v>
      </c>
      <c r="C93">
        <v>0.98311203837609484</v>
      </c>
      <c r="D93">
        <v>218.9</v>
      </c>
      <c r="E93">
        <v>0.98806000000000005</v>
      </c>
      <c r="U93" t="s">
        <v>92</v>
      </c>
      <c r="V93" t="s">
        <v>417</v>
      </c>
      <c r="W93" t="s">
        <v>416</v>
      </c>
      <c r="X93" t="s">
        <v>314</v>
      </c>
      <c r="AA93" t="str">
        <f t="shared" si="5"/>
        <v>NI</v>
      </c>
      <c r="AB93" t="str">
        <f t="shared" si="6"/>
        <v>e_NZ4-220</v>
      </c>
      <c r="AC93" t="s">
        <v>724</v>
      </c>
      <c r="AD93" t="s">
        <v>723</v>
      </c>
      <c r="AE93" t="s">
        <v>301</v>
      </c>
      <c r="AM93" t="s">
        <v>680</v>
      </c>
      <c r="AN93" t="s">
        <v>597</v>
      </c>
      <c r="AO93" t="s">
        <v>579</v>
      </c>
      <c r="AP93" t="str">
        <f t="shared" si="4"/>
        <v>NI</v>
      </c>
    </row>
    <row r="94" spans="2:42" x14ac:dyDescent="0.45">
      <c r="B94" t="s">
        <v>186</v>
      </c>
      <c r="C94">
        <v>0.98311203837609484</v>
      </c>
      <c r="D94">
        <v>2.2000000000000002</v>
      </c>
      <c r="E94">
        <v>0.99987999999999999</v>
      </c>
      <c r="U94" t="s">
        <v>92</v>
      </c>
      <c r="V94" t="s">
        <v>418</v>
      </c>
      <c r="W94" t="s">
        <v>416</v>
      </c>
      <c r="X94" t="s">
        <v>314</v>
      </c>
      <c r="AA94" t="str">
        <f t="shared" si="5"/>
        <v>NI</v>
      </c>
      <c r="AB94" t="str">
        <f t="shared" si="6"/>
        <v>e_NZ20-220</v>
      </c>
      <c r="AC94" t="s">
        <v>724</v>
      </c>
      <c r="AD94" t="s">
        <v>723</v>
      </c>
      <c r="AE94" t="s">
        <v>301</v>
      </c>
      <c r="AM94" t="s">
        <v>681</v>
      </c>
      <c r="AN94" t="s">
        <v>597</v>
      </c>
      <c r="AO94" t="s">
        <v>581</v>
      </c>
      <c r="AP94" t="str">
        <f t="shared" si="4"/>
        <v>NI</v>
      </c>
    </row>
    <row r="95" spans="2:42" x14ac:dyDescent="0.45">
      <c r="B95" t="s">
        <v>187</v>
      </c>
      <c r="C95">
        <v>0.98311203837609484</v>
      </c>
      <c r="D95">
        <v>4.4000000000000004</v>
      </c>
      <c r="E95">
        <v>0.99975999999999998</v>
      </c>
      <c r="U95" t="s">
        <v>92</v>
      </c>
      <c r="V95" t="s">
        <v>419</v>
      </c>
      <c r="W95" t="s">
        <v>420</v>
      </c>
      <c r="X95" t="s">
        <v>314</v>
      </c>
      <c r="AA95" t="str">
        <f t="shared" si="5"/>
        <v>NI</v>
      </c>
      <c r="AB95" t="str">
        <f t="shared" si="6"/>
        <v>e_NZ19-220</v>
      </c>
      <c r="AC95" t="s">
        <v>724</v>
      </c>
      <c r="AD95" t="s">
        <v>723</v>
      </c>
      <c r="AE95" t="s">
        <v>301</v>
      </c>
      <c r="AM95" t="s">
        <v>682</v>
      </c>
      <c r="AN95" t="s">
        <v>597</v>
      </c>
      <c r="AO95" t="s">
        <v>581</v>
      </c>
      <c r="AP95" t="str">
        <f t="shared" si="4"/>
        <v>NI</v>
      </c>
    </row>
    <row r="96" spans="2:42" x14ac:dyDescent="0.45">
      <c r="B96" t="s">
        <v>188</v>
      </c>
      <c r="C96">
        <v>0.98311203837609484</v>
      </c>
      <c r="D96">
        <v>418.00000000000006</v>
      </c>
      <c r="E96">
        <v>0.97719999999999996</v>
      </c>
      <c r="U96" t="s">
        <v>92</v>
      </c>
      <c r="V96" t="s">
        <v>421</v>
      </c>
      <c r="W96" t="s">
        <v>420</v>
      </c>
      <c r="X96" t="s">
        <v>314</v>
      </c>
      <c r="AA96" t="str">
        <f t="shared" si="5"/>
        <v>SI</v>
      </c>
      <c r="AB96" t="str">
        <f t="shared" si="6"/>
        <v>e_NZ37-220</v>
      </c>
      <c r="AC96" t="s">
        <v>724</v>
      </c>
      <c r="AD96" t="s">
        <v>723</v>
      </c>
      <c r="AE96" t="s">
        <v>301</v>
      </c>
      <c r="AM96" t="s">
        <v>683</v>
      </c>
      <c r="AN96" t="s">
        <v>597</v>
      </c>
      <c r="AO96" t="s">
        <v>580</v>
      </c>
      <c r="AP96" t="str">
        <f t="shared" si="4"/>
        <v>SI</v>
      </c>
    </row>
    <row r="97" spans="2:42" x14ac:dyDescent="0.45">
      <c r="B97" t="s">
        <v>189</v>
      </c>
      <c r="C97">
        <v>0.98311203837609484</v>
      </c>
      <c r="D97">
        <v>16.5</v>
      </c>
      <c r="E97">
        <v>0.99909999999999999</v>
      </c>
      <c r="U97" t="s">
        <v>92</v>
      </c>
      <c r="V97" t="s">
        <v>422</v>
      </c>
      <c r="W97" t="s">
        <v>420</v>
      </c>
      <c r="X97" t="s">
        <v>314</v>
      </c>
      <c r="AA97" t="str">
        <f t="shared" si="5"/>
        <v>SI</v>
      </c>
      <c r="AB97" t="str">
        <f t="shared" si="6"/>
        <v>e_NZ36-220</v>
      </c>
      <c r="AC97" t="s">
        <v>724</v>
      </c>
      <c r="AD97" t="s">
        <v>723</v>
      </c>
      <c r="AE97" t="s">
        <v>301</v>
      </c>
      <c r="AM97" t="s">
        <v>684</v>
      </c>
      <c r="AN97" t="s">
        <v>597</v>
      </c>
      <c r="AO97" t="s">
        <v>580</v>
      </c>
      <c r="AP97" t="str">
        <f t="shared" si="4"/>
        <v>SI</v>
      </c>
    </row>
    <row r="98" spans="2:42" x14ac:dyDescent="0.45">
      <c r="B98" t="s">
        <v>190</v>
      </c>
      <c r="C98">
        <v>0.49155601918804742</v>
      </c>
      <c r="D98">
        <v>36.300000000000004</v>
      </c>
      <c r="E98">
        <v>0.99802000000000002</v>
      </c>
      <c r="U98" t="s">
        <v>92</v>
      </c>
      <c r="V98" t="s">
        <v>423</v>
      </c>
      <c r="W98" t="s">
        <v>424</v>
      </c>
      <c r="X98" t="s">
        <v>314</v>
      </c>
      <c r="AA98" t="str">
        <f t="shared" si="5"/>
        <v>SI</v>
      </c>
      <c r="AB98" t="str">
        <f t="shared" si="6"/>
        <v>e_NZ34-220</v>
      </c>
      <c r="AC98" t="s">
        <v>724</v>
      </c>
      <c r="AD98" t="s">
        <v>723</v>
      </c>
      <c r="AE98" t="s">
        <v>301</v>
      </c>
      <c r="AM98" t="s">
        <v>685</v>
      </c>
      <c r="AN98" t="s">
        <v>597</v>
      </c>
      <c r="AO98" t="s">
        <v>580</v>
      </c>
      <c r="AP98" t="str">
        <f t="shared" si="4"/>
        <v>SI</v>
      </c>
    </row>
    <row r="99" spans="2:42" x14ac:dyDescent="0.45">
      <c r="B99" t="s">
        <v>191</v>
      </c>
      <c r="C99">
        <v>0.98311203837609484</v>
      </c>
      <c r="D99">
        <v>100.10000000000001</v>
      </c>
      <c r="E99">
        <v>0.99453999999999998</v>
      </c>
      <c r="U99" t="s">
        <v>92</v>
      </c>
      <c r="V99" t="s">
        <v>425</v>
      </c>
      <c r="W99" t="s">
        <v>424</v>
      </c>
      <c r="X99" t="s">
        <v>314</v>
      </c>
      <c r="AA99" t="str">
        <f t="shared" si="5"/>
        <v>SI</v>
      </c>
      <c r="AB99" t="str">
        <f t="shared" si="6"/>
        <v>e_NZ39-220</v>
      </c>
      <c r="AC99" t="s">
        <v>724</v>
      </c>
      <c r="AD99" t="s">
        <v>723</v>
      </c>
      <c r="AE99" t="s">
        <v>301</v>
      </c>
      <c r="AM99" t="s">
        <v>686</v>
      </c>
      <c r="AN99" t="s">
        <v>597</v>
      </c>
      <c r="AO99" t="s">
        <v>580</v>
      </c>
      <c r="AP99" t="str">
        <f t="shared" si="4"/>
        <v>SI</v>
      </c>
    </row>
    <row r="100" spans="2:42" x14ac:dyDescent="0.45">
      <c r="B100" t="s">
        <v>192</v>
      </c>
      <c r="C100">
        <v>0.98311203837609484</v>
      </c>
      <c r="D100">
        <v>59.400000000000006</v>
      </c>
      <c r="E100">
        <v>0.99675999999999998</v>
      </c>
      <c r="U100" t="s">
        <v>92</v>
      </c>
      <c r="V100" t="s">
        <v>426</v>
      </c>
      <c r="W100" t="s">
        <v>424</v>
      </c>
      <c r="X100" t="s">
        <v>314</v>
      </c>
      <c r="AA100" t="str">
        <f t="shared" si="5"/>
        <v>SI</v>
      </c>
      <c r="AB100" t="str">
        <f t="shared" si="6"/>
        <v>e_NZ29-220</v>
      </c>
      <c r="AC100" t="s">
        <v>724</v>
      </c>
      <c r="AD100" t="s">
        <v>723</v>
      </c>
      <c r="AE100" t="s">
        <v>301</v>
      </c>
      <c r="AM100" t="s">
        <v>687</v>
      </c>
      <c r="AN100" t="s">
        <v>597</v>
      </c>
      <c r="AO100" t="s">
        <v>580</v>
      </c>
      <c r="AP100" t="str">
        <f t="shared" si="4"/>
        <v>SI</v>
      </c>
    </row>
    <row r="101" spans="2:42" x14ac:dyDescent="0.45">
      <c r="B101" t="s">
        <v>193</v>
      </c>
      <c r="C101">
        <v>0.49155601918804742</v>
      </c>
      <c r="D101">
        <v>537.90000000000009</v>
      </c>
      <c r="E101">
        <v>0.97065999999999997</v>
      </c>
      <c r="U101" t="s">
        <v>92</v>
      </c>
      <c r="V101" t="s">
        <v>427</v>
      </c>
      <c r="W101" t="s">
        <v>428</v>
      </c>
      <c r="X101" t="s">
        <v>314</v>
      </c>
      <c r="AA101" t="str">
        <f t="shared" si="5"/>
        <v>SI</v>
      </c>
      <c r="AB101" t="str">
        <f t="shared" si="6"/>
        <v>e_NZ42-220</v>
      </c>
      <c r="AC101" t="s">
        <v>724</v>
      </c>
      <c r="AD101" t="s">
        <v>723</v>
      </c>
      <c r="AE101" t="s">
        <v>301</v>
      </c>
      <c r="AM101" t="s">
        <v>688</v>
      </c>
      <c r="AN101" t="s">
        <v>597</v>
      </c>
      <c r="AO101" t="s">
        <v>584</v>
      </c>
      <c r="AP101" t="str">
        <f t="shared" si="4"/>
        <v>SI</v>
      </c>
    </row>
    <row r="102" spans="2:42" x14ac:dyDescent="0.45">
      <c r="B102" t="s">
        <v>194</v>
      </c>
      <c r="C102">
        <v>0.49155601918804742</v>
      </c>
      <c r="D102">
        <v>92.4</v>
      </c>
      <c r="E102">
        <v>0.99495999999999996</v>
      </c>
      <c r="U102" t="s">
        <v>92</v>
      </c>
      <c r="V102" t="s">
        <v>429</v>
      </c>
      <c r="W102" t="s">
        <v>428</v>
      </c>
      <c r="X102" t="s">
        <v>314</v>
      </c>
      <c r="AA102" t="str">
        <f t="shared" si="5"/>
        <v>SI</v>
      </c>
      <c r="AB102" t="str">
        <f t="shared" si="6"/>
        <v>e_NZ41-220</v>
      </c>
      <c r="AC102" t="s">
        <v>724</v>
      </c>
      <c r="AD102" t="s">
        <v>723</v>
      </c>
      <c r="AE102" t="s">
        <v>301</v>
      </c>
      <c r="AM102" t="s">
        <v>689</v>
      </c>
      <c r="AN102" t="s">
        <v>597</v>
      </c>
      <c r="AO102" t="s">
        <v>584</v>
      </c>
      <c r="AP102" t="str">
        <f t="shared" si="4"/>
        <v>SI</v>
      </c>
    </row>
    <row r="103" spans="2:42" x14ac:dyDescent="0.45">
      <c r="B103" t="s">
        <v>195</v>
      </c>
      <c r="C103">
        <v>0.98311203837609484</v>
      </c>
      <c r="D103">
        <v>2.2000000000000002</v>
      </c>
      <c r="E103">
        <v>0.99987999999999999</v>
      </c>
      <c r="U103" t="s">
        <v>92</v>
      </c>
      <c r="V103" t="s">
        <v>430</v>
      </c>
      <c r="W103" t="s">
        <v>428</v>
      </c>
      <c r="X103" t="s">
        <v>314</v>
      </c>
      <c r="AA103" t="str">
        <f t="shared" si="5"/>
        <v>SI</v>
      </c>
      <c r="AB103" t="str">
        <f t="shared" si="6"/>
        <v>e_NZ43-220</v>
      </c>
      <c r="AC103" t="s">
        <v>724</v>
      </c>
      <c r="AD103" t="s">
        <v>723</v>
      </c>
      <c r="AE103" t="s">
        <v>301</v>
      </c>
      <c r="AM103" t="s">
        <v>690</v>
      </c>
      <c r="AN103" t="s">
        <v>597</v>
      </c>
      <c r="AO103" t="s">
        <v>584</v>
      </c>
      <c r="AP103" t="str">
        <f t="shared" si="4"/>
        <v>SI</v>
      </c>
    </row>
    <row r="104" spans="2:42" x14ac:dyDescent="0.45">
      <c r="B104" t="s">
        <v>196</v>
      </c>
      <c r="C104">
        <v>0.98311203837609484</v>
      </c>
      <c r="D104">
        <v>92.4</v>
      </c>
      <c r="E104">
        <v>0.99495999999999996</v>
      </c>
      <c r="U104" t="s">
        <v>92</v>
      </c>
      <c r="V104" t="s">
        <v>431</v>
      </c>
      <c r="W104" t="s">
        <v>432</v>
      </c>
      <c r="X104" t="s">
        <v>314</v>
      </c>
      <c r="AA104" t="str">
        <f t="shared" si="5"/>
        <v>NI</v>
      </c>
      <c r="AB104" t="str">
        <f t="shared" si="6"/>
        <v>e_NZ10-220</v>
      </c>
      <c r="AC104" t="s">
        <v>724</v>
      </c>
      <c r="AD104" t="s">
        <v>723</v>
      </c>
      <c r="AE104" t="s">
        <v>301</v>
      </c>
      <c r="AM104" t="s">
        <v>691</v>
      </c>
      <c r="AN104" t="s">
        <v>597</v>
      </c>
      <c r="AO104" t="s">
        <v>581</v>
      </c>
      <c r="AP104" t="str">
        <f t="shared" si="4"/>
        <v>NI</v>
      </c>
    </row>
    <row r="105" spans="2:42" x14ac:dyDescent="0.45">
      <c r="B105" t="s">
        <v>197</v>
      </c>
      <c r="C105">
        <v>0.98311203837609484</v>
      </c>
      <c r="D105">
        <v>29.700000000000003</v>
      </c>
      <c r="E105">
        <v>0.99838000000000005</v>
      </c>
      <c r="U105" t="s">
        <v>92</v>
      </c>
      <c r="V105" t="s">
        <v>433</v>
      </c>
      <c r="W105" t="s">
        <v>432</v>
      </c>
      <c r="X105" t="s">
        <v>314</v>
      </c>
      <c r="AA105" t="str">
        <f t="shared" si="5"/>
        <v>NI</v>
      </c>
      <c r="AB105" t="str">
        <f t="shared" si="6"/>
        <v>e_NZ21-220</v>
      </c>
      <c r="AC105" t="s">
        <v>724</v>
      </c>
      <c r="AD105" t="s">
        <v>723</v>
      </c>
      <c r="AE105" t="s">
        <v>301</v>
      </c>
      <c r="AM105" t="s">
        <v>692</v>
      </c>
      <c r="AN105" t="s">
        <v>597</v>
      </c>
      <c r="AO105" t="s">
        <v>581</v>
      </c>
      <c r="AP105" t="str">
        <f t="shared" si="4"/>
        <v>NI</v>
      </c>
    </row>
    <row r="106" spans="2:42" x14ac:dyDescent="0.45">
      <c r="B106" t="s">
        <v>198</v>
      </c>
      <c r="C106">
        <v>0.49155601918804742</v>
      </c>
      <c r="D106">
        <v>1427.8000000000002</v>
      </c>
      <c r="E106">
        <v>0.92212000000000005</v>
      </c>
      <c r="U106" t="s">
        <v>92</v>
      </c>
      <c r="V106" t="s">
        <v>434</v>
      </c>
      <c r="W106" t="s">
        <v>432</v>
      </c>
      <c r="X106" t="s">
        <v>314</v>
      </c>
      <c r="AA106" t="str">
        <f t="shared" si="5"/>
        <v>NI</v>
      </c>
      <c r="AB106" t="str">
        <f t="shared" si="6"/>
        <v>e_NZ16-220</v>
      </c>
      <c r="AC106" t="s">
        <v>724</v>
      </c>
      <c r="AD106" t="s">
        <v>723</v>
      </c>
      <c r="AE106" t="s">
        <v>301</v>
      </c>
      <c r="AM106" t="s">
        <v>693</v>
      </c>
      <c r="AN106" t="s">
        <v>597</v>
      </c>
      <c r="AO106" t="s">
        <v>581</v>
      </c>
      <c r="AP106" t="str">
        <f t="shared" ref="AP106:AP133" si="7">IFERROR(VLOOKUP(AO106,$AJ$10:$AK$18,2,FALSE),"NI")</f>
        <v>NI</v>
      </c>
    </row>
    <row r="107" spans="2:42" x14ac:dyDescent="0.45">
      <c r="B107" t="s">
        <v>199</v>
      </c>
      <c r="C107">
        <v>0.98311203837609484</v>
      </c>
      <c r="D107">
        <v>460.90000000000003</v>
      </c>
      <c r="E107">
        <v>0.97485999999999995</v>
      </c>
      <c r="U107" t="s">
        <v>92</v>
      </c>
      <c r="V107" t="s">
        <v>435</v>
      </c>
      <c r="W107" t="s">
        <v>436</v>
      </c>
      <c r="X107" t="s">
        <v>314</v>
      </c>
      <c r="AA107" t="str">
        <f t="shared" si="5"/>
        <v>SI</v>
      </c>
      <c r="AB107" t="str">
        <f t="shared" si="6"/>
        <v>e_NZ32-220</v>
      </c>
      <c r="AC107" t="s">
        <v>724</v>
      </c>
      <c r="AD107" t="s">
        <v>723</v>
      </c>
      <c r="AE107" t="s">
        <v>301</v>
      </c>
      <c r="AM107" t="s">
        <v>694</v>
      </c>
      <c r="AN107" t="s">
        <v>597</v>
      </c>
      <c r="AO107" t="s">
        <v>580</v>
      </c>
      <c r="AP107" t="str">
        <f t="shared" si="7"/>
        <v>SI</v>
      </c>
    </row>
    <row r="108" spans="2:42" x14ac:dyDescent="0.45">
      <c r="B108" t="s">
        <v>200</v>
      </c>
      <c r="C108">
        <v>0.49155601918804742</v>
      </c>
      <c r="D108">
        <v>1483.9</v>
      </c>
      <c r="E108">
        <v>0.91905999999999999</v>
      </c>
      <c r="U108" t="s">
        <v>92</v>
      </c>
      <c r="V108" t="s">
        <v>437</v>
      </c>
      <c r="W108" t="s">
        <v>436</v>
      </c>
      <c r="X108" t="s">
        <v>314</v>
      </c>
      <c r="AA108" t="str">
        <f t="shared" si="5"/>
        <v>NI</v>
      </c>
      <c r="AB108" t="str">
        <f t="shared" si="6"/>
        <v>e_NZ7-220</v>
      </c>
      <c r="AC108" t="s">
        <v>724</v>
      </c>
      <c r="AD108" t="s">
        <v>723</v>
      </c>
      <c r="AE108" t="s">
        <v>301</v>
      </c>
      <c r="AM108" t="s">
        <v>695</v>
      </c>
      <c r="AN108" t="s">
        <v>597</v>
      </c>
      <c r="AO108" t="s">
        <v>581</v>
      </c>
      <c r="AP108" t="str">
        <f t="shared" si="7"/>
        <v>NI</v>
      </c>
    </row>
    <row r="109" spans="2:42" x14ac:dyDescent="0.45">
      <c r="B109" t="s">
        <v>201</v>
      </c>
      <c r="C109">
        <v>0.98311203837609484</v>
      </c>
      <c r="D109">
        <v>14.3</v>
      </c>
      <c r="E109">
        <v>0.99922</v>
      </c>
      <c r="U109" t="s">
        <v>92</v>
      </c>
      <c r="V109" t="s">
        <v>438</v>
      </c>
      <c r="W109" t="s">
        <v>436</v>
      </c>
      <c r="X109" t="s">
        <v>314</v>
      </c>
      <c r="AA109" t="str">
        <f t="shared" si="5"/>
        <v>NI</v>
      </c>
      <c r="AB109" t="str">
        <f t="shared" si="6"/>
        <v>e_NZ25-220</v>
      </c>
      <c r="AC109" t="s">
        <v>724</v>
      </c>
      <c r="AD109" t="s">
        <v>723</v>
      </c>
      <c r="AE109" t="s">
        <v>301</v>
      </c>
      <c r="AM109" t="s">
        <v>696</v>
      </c>
      <c r="AN109" t="s">
        <v>597</v>
      </c>
      <c r="AO109" t="s">
        <v>589</v>
      </c>
      <c r="AP109" t="str">
        <f t="shared" si="7"/>
        <v>NI</v>
      </c>
    </row>
    <row r="110" spans="2:42" x14ac:dyDescent="0.45">
      <c r="B110" t="s">
        <v>202</v>
      </c>
      <c r="C110">
        <v>0.98311203837609484</v>
      </c>
      <c r="D110">
        <v>34.1</v>
      </c>
      <c r="E110">
        <v>0.99814000000000003</v>
      </c>
      <c r="U110" t="s">
        <v>92</v>
      </c>
      <c r="V110" t="s">
        <v>439</v>
      </c>
      <c r="W110" t="s">
        <v>440</v>
      </c>
      <c r="X110" t="s">
        <v>314</v>
      </c>
      <c r="AA110" t="str">
        <f t="shared" si="5"/>
        <v>NI</v>
      </c>
      <c r="AB110" t="str">
        <f t="shared" si="6"/>
        <v>e_NZ24-220</v>
      </c>
      <c r="AC110" t="s">
        <v>724</v>
      </c>
      <c r="AD110" t="s">
        <v>723</v>
      </c>
      <c r="AE110" t="s">
        <v>301</v>
      </c>
      <c r="AM110" t="s">
        <v>697</v>
      </c>
      <c r="AN110" t="s">
        <v>597</v>
      </c>
      <c r="AO110" t="s">
        <v>589</v>
      </c>
      <c r="AP110" t="str">
        <f t="shared" si="7"/>
        <v>NI</v>
      </c>
    </row>
    <row r="111" spans="2:42" x14ac:dyDescent="0.45">
      <c r="B111" t="s">
        <v>203</v>
      </c>
      <c r="C111">
        <v>0.49155601918804742</v>
      </c>
      <c r="D111">
        <v>40.700000000000003</v>
      </c>
      <c r="E111">
        <v>0.99778</v>
      </c>
      <c r="U111" t="s">
        <v>92</v>
      </c>
      <c r="V111" t="s">
        <v>441</v>
      </c>
      <c r="W111" t="s">
        <v>440</v>
      </c>
      <c r="X111" t="s">
        <v>314</v>
      </c>
      <c r="AA111" t="str">
        <f t="shared" si="5"/>
        <v>SI</v>
      </c>
      <c r="AB111" t="str">
        <f t="shared" si="6"/>
        <v>e_NZ40-220</v>
      </c>
      <c r="AC111" t="s">
        <v>724</v>
      </c>
      <c r="AD111" t="s">
        <v>723</v>
      </c>
      <c r="AE111" t="s">
        <v>301</v>
      </c>
      <c r="AM111" t="s">
        <v>698</v>
      </c>
      <c r="AN111" t="s">
        <v>597</v>
      </c>
      <c r="AO111" t="s">
        <v>582</v>
      </c>
      <c r="AP111" t="str">
        <f t="shared" si="7"/>
        <v>SI</v>
      </c>
    </row>
    <row r="112" spans="2:42" x14ac:dyDescent="0.45">
      <c r="B112" t="s">
        <v>204</v>
      </c>
      <c r="C112">
        <v>0.98311203837609484</v>
      </c>
      <c r="D112">
        <v>40.700000000000003</v>
      </c>
      <c r="E112">
        <v>0.99778</v>
      </c>
      <c r="U112" t="s">
        <v>92</v>
      </c>
      <c r="V112" t="s">
        <v>442</v>
      </c>
      <c r="W112" t="s">
        <v>440</v>
      </c>
      <c r="X112" t="s">
        <v>314</v>
      </c>
      <c r="AA112" t="str">
        <f t="shared" si="5"/>
        <v>NI</v>
      </c>
      <c r="AB112" t="str">
        <f t="shared" si="6"/>
        <v>e_NZ9-220</v>
      </c>
      <c r="AC112" t="s">
        <v>724</v>
      </c>
      <c r="AD112" t="s">
        <v>723</v>
      </c>
      <c r="AE112" t="s">
        <v>301</v>
      </c>
      <c r="AM112" t="s">
        <v>699</v>
      </c>
      <c r="AN112" t="s">
        <v>597</v>
      </c>
      <c r="AO112" t="s">
        <v>581</v>
      </c>
      <c r="AP112" t="str">
        <f t="shared" si="7"/>
        <v>NI</v>
      </c>
    </row>
    <row r="113" spans="2:42" x14ac:dyDescent="0.45">
      <c r="B113" t="s">
        <v>205</v>
      </c>
      <c r="C113">
        <v>0.98311203837609484</v>
      </c>
      <c r="D113">
        <v>20.900000000000002</v>
      </c>
      <c r="E113">
        <v>0.99885999999999997</v>
      </c>
      <c r="U113" t="s">
        <v>92</v>
      </c>
      <c r="V113" t="s">
        <v>443</v>
      </c>
      <c r="W113" t="s">
        <v>444</v>
      </c>
      <c r="X113" t="s">
        <v>314</v>
      </c>
      <c r="AA113" t="str">
        <f t="shared" si="5"/>
        <v>NI</v>
      </c>
      <c r="AB113" t="str">
        <f t="shared" si="6"/>
        <v>e_NZ11-220</v>
      </c>
      <c r="AC113" t="s">
        <v>724</v>
      </c>
      <c r="AD113" t="s">
        <v>723</v>
      </c>
      <c r="AE113" t="s">
        <v>301</v>
      </c>
      <c r="AM113" t="s">
        <v>700</v>
      </c>
      <c r="AN113" t="s">
        <v>597</v>
      </c>
      <c r="AO113" t="s">
        <v>581</v>
      </c>
      <c r="AP113" t="str">
        <f t="shared" si="7"/>
        <v>NI</v>
      </c>
    </row>
    <row r="114" spans="2:42" x14ac:dyDescent="0.45">
      <c r="B114" t="s">
        <v>206</v>
      </c>
      <c r="C114">
        <v>0.98311203837609484</v>
      </c>
      <c r="D114">
        <v>159.5</v>
      </c>
      <c r="E114">
        <v>0.99129999999999996</v>
      </c>
      <c r="U114" t="s">
        <v>92</v>
      </c>
      <c r="V114" t="s">
        <v>445</v>
      </c>
      <c r="W114" t="s">
        <v>444</v>
      </c>
      <c r="X114" t="s">
        <v>314</v>
      </c>
      <c r="AA114" t="str">
        <f t="shared" si="5"/>
        <v>NI</v>
      </c>
      <c r="AB114" t="str">
        <f t="shared" si="6"/>
        <v>e_NZ12-220</v>
      </c>
      <c r="AC114" t="s">
        <v>724</v>
      </c>
      <c r="AD114" t="s">
        <v>723</v>
      </c>
      <c r="AE114" t="s">
        <v>301</v>
      </c>
      <c r="AM114" t="s">
        <v>701</v>
      </c>
      <c r="AN114" t="s">
        <v>597</v>
      </c>
      <c r="AO114" t="s">
        <v>581</v>
      </c>
      <c r="AP114" t="str">
        <f t="shared" si="7"/>
        <v>NI</v>
      </c>
    </row>
    <row r="115" spans="2:42" x14ac:dyDescent="0.45">
      <c r="B115" t="s">
        <v>207</v>
      </c>
      <c r="C115">
        <v>1.9662240767521897</v>
      </c>
      <c r="D115">
        <v>5.5</v>
      </c>
      <c r="E115">
        <v>0.99970000000000003</v>
      </c>
      <c r="U115" t="s">
        <v>92</v>
      </c>
      <c r="V115" t="s">
        <v>446</v>
      </c>
      <c r="W115" t="s">
        <v>444</v>
      </c>
      <c r="X115" t="s">
        <v>314</v>
      </c>
      <c r="AA115" t="str">
        <f t="shared" si="5"/>
        <v>SI</v>
      </c>
      <c r="AB115" t="str">
        <f t="shared" si="6"/>
        <v>e_NZ27-220</v>
      </c>
      <c r="AC115" t="s">
        <v>724</v>
      </c>
      <c r="AD115" t="s">
        <v>723</v>
      </c>
      <c r="AE115" t="s">
        <v>301</v>
      </c>
      <c r="AM115" t="s">
        <v>702</v>
      </c>
      <c r="AN115" t="s">
        <v>597</v>
      </c>
      <c r="AO115" t="s">
        <v>588</v>
      </c>
      <c r="AP115" t="str">
        <f t="shared" si="7"/>
        <v>SI</v>
      </c>
    </row>
    <row r="116" spans="2:42" x14ac:dyDescent="0.45">
      <c r="B116" t="s">
        <v>208</v>
      </c>
      <c r="C116">
        <v>0.49155601918804742</v>
      </c>
      <c r="D116">
        <v>291.5</v>
      </c>
      <c r="E116">
        <v>0.98409999999999997</v>
      </c>
      <c r="U116" t="s">
        <v>92</v>
      </c>
      <c r="V116" t="s">
        <v>447</v>
      </c>
      <c r="W116" t="s">
        <v>448</v>
      </c>
      <c r="X116" t="s">
        <v>314</v>
      </c>
      <c r="AA116" t="str">
        <f t="shared" si="5"/>
        <v>NI</v>
      </c>
      <c r="AB116" t="str">
        <f t="shared" si="6"/>
        <v>e_NZ5-220</v>
      </c>
      <c r="AC116" t="s">
        <v>724</v>
      </c>
      <c r="AD116" t="s">
        <v>723</v>
      </c>
      <c r="AE116" t="s">
        <v>301</v>
      </c>
      <c r="AM116" t="s">
        <v>703</v>
      </c>
      <c r="AN116" t="s">
        <v>597</v>
      </c>
      <c r="AO116" t="s">
        <v>581</v>
      </c>
      <c r="AP116" t="str">
        <f t="shared" si="7"/>
        <v>NI</v>
      </c>
    </row>
    <row r="117" spans="2:42" x14ac:dyDescent="0.45">
      <c r="B117" t="s">
        <v>209</v>
      </c>
      <c r="C117">
        <v>0.98311203837609484</v>
      </c>
      <c r="D117">
        <v>2.2000000000000002</v>
      </c>
      <c r="E117">
        <v>0.99987999999999999</v>
      </c>
      <c r="U117" t="s">
        <v>92</v>
      </c>
      <c r="V117" t="s">
        <v>449</v>
      </c>
      <c r="W117" t="s">
        <v>448</v>
      </c>
      <c r="X117" t="s">
        <v>314</v>
      </c>
      <c r="AA117" t="str">
        <f t="shared" si="5"/>
        <v>NI</v>
      </c>
      <c r="AB117" t="str">
        <f t="shared" si="6"/>
        <v>e_NZ2-220</v>
      </c>
      <c r="AC117" t="s">
        <v>724</v>
      </c>
      <c r="AD117" t="s">
        <v>723</v>
      </c>
      <c r="AE117" t="s">
        <v>301</v>
      </c>
      <c r="AM117" t="s">
        <v>704</v>
      </c>
      <c r="AN117" t="s">
        <v>597</v>
      </c>
      <c r="AO117" t="s">
        <v>579</v>
      </c>
      <c r="AP117" t="str">
        <f t="shared" si="7"/>
        <v>NI</v>
      </c>
    </row>
    <row r="118" spans="2:42" x14ac:dyDescent="0.45">
      <c r="B118" t="s">
        <v>210</v>
      </c>
      <c r="C118">
        <v>0.98311203837609484</v>
      </c>
      <c r="D118">
        <v>85.800000000000011</v>
      </c>
      <c r="E118">
        <v>0.99531999999999998</v>
      </c>
      <c r="U118" t="s">
        <v>92</v>
      </c>
      <c r="V118" t="s">
        <v>450</v>
      </c>
      <c r="W118" t="s">
        <v>448</v>
      </c>
      <c r="X118" t="s">
        <v>314</v>
      </c>
      <c r="AA118" t="str">
        <f t="shared" si="5"/>
        <v>NI</v>
      </c>
      <c r="AB118" t="str">
        <f t="shared" si="6"/>
        <v>e_NZ3-220</v>
      </c>
      <c r="AC118" t="s">
        <v>724</v>
      </c>
      <c r="AD118" t="s">
        <v>723</v>
      </c>
      <c r="AE118" t="s">
        <v>301</v>
      </c>
      <c r="AM118" t="s">
        <v>705</v>
      </c>
      <c r="AN118" t="s">
        <v>597</v>
      </c>
      <c r="AO118" t="s">
        <v>579</v>
      </c>
      <c r="AP118" t="str">
        <f t="shared" si="7"/>
        <v>NI</v>
      </c>
    </row>
    <row r="119" spans="2:42" x14ac:dyDescent="0.45">
      <c r="B119" t="s">
        <v>211</v>
      </c>
      <c r="C119">
        <v>0.98311203837609484</v>
      </c>
      <c r="D119">
        <v>326.70000000000005</v>
      </c>
      <c r="E119">
        <v>0.98218000000000005</v>
      </c>
      <c r="U119" t="s">
        <v>92</v>
      </c>
      <c r="V119" t="s">
        <v>451</v>
      </c>
      <c r="W119" t="s">
        <v>452</v>
      </c>
      <c r="X119" t="s">
        <v>314</v>
      </c>
      <c r="AA119" t="str">
        <f t="shared" si="5"/>
        <v>NI</v>
      </c>
      <c r="AB119" t="str">
        <f t="shared" si="6"/>
        <v>e_NZ18-220</v>
      </c>
      <c r="AC119" t="s">
        <v>724</v>
      </c>
      <c r="AD119" t="s">
        <v>723</v>
      </c>
      <c r="AE119" t="s">
        <v>301</v>
      </c>
      <c r="AM119" t="s">
        <v>706</v>
      </c>
      <c r="AN119" t="s">
        <v>597</v>
      </c>
      <c r="AO119" t="s">
        <v>581</v>
      </c>
      <c r="AP119" t="str">
        <f t="shared" si="7"/>
        <v>NI</v>
      </c>
    </row>
    <row r="120" spans="2:42" x14ac:dyDescent="0.45">
      <c r="B120" t="s">
        <v>212</v>
      </c>
      <c r="C120">
        <v>0.98311203837609484</v>
      </c>
      <c r="D120">
        <v>5.5</v>
      </c>
      <c r="E120">
        <v>0.99970000000000003</v>
      </c>
      <c r="U120" t="s">
        <v>92</v>
      </c>
      <c r="V120" t="s">
        <v>453</v>
      </c>
      <c r="W120" t="s">
        <v>452</v>
      </c>
      <c r="X120" t="s">
        <v>314</v>
      </c>
      <c r="AA120" t="str">
        <f t="shared" si="5"/>
        <v>NI</v>
      </c>
      <c r="AB120" t="str">
        <f t="shared" si="6"/>
        <v>e_NZ6-220</v>
      </c>
      <c r="AC120" t="s">
        <v>724</v>
      </c>
      <c r="AD120" t="s">
        <v>723</v>
      </c>
      <c r="AE120" t="s">
        <v>301</v>
      </c>
      <c r="AM120" t="s">
        <v>707</v>
      </c>
      <c r="AN120" t="s">
        <v>597</v>
      </c>
      <c r="AO120" t="s">
        <v>581</v>
      </c>
      <c r="AP120" t="str">
        <f t="shared" si="7"/>
        <v>NI</v>
      </c>
    </row>
    <row r="121" spans="2:42" x14ac:dyDescent="0.45">
      <c r="B121" t="s">
        <v>213</v>
      </c>
      <c r="C121">
        <v>0.98311203837609484</v>
      </c>
      <c r="D121">
        <v>115.50000000000001</v>
      </c>
      <c r="E121">
        <v>0.99370000000000003</v>
      </c>
      <c r="U121" t="s">
        <v>92</v>
      </c>
      <c r="V121" t="s">
        <v>454</v>
      </c>
      <c r="W121" t="s">
        <v>452</v>
      </c>
      <c r="X121" t="s">
        <v>314</v>
      </c>
      <c r="AA121" t="str">
        <f t="shared" si="5"/>
        <v>SI</v>
      </c>
      <c r="AB121" t="str">
        <f t="shared" si="6"/>
        <v>e_NZ30-220</v>
      </c>
      <c r="AC121" t="s">
        <v>724</v>
      </c>
      <c r="AD121" t="s">
        <v>723</v>
      </c>
      <c r="AE121" t="s">
        <v>301</v>
      </c>
      <c r="AM121" t="s">
        <v>708</v>
      </c>
      <c r="AN121" t="s">
        <v>597</v>
      </c>
      <c r="AO121" t="s">
        <v>580</v>
      </c>
      <c r="AP121" t="str">
        <f t="shared" si="7"/>
        <v>SI</v>
      </c>
    </row>
    <row r="122" spans="2:42" x14ac:dyDescent="0.45">
      <c r="B122" t="s">
        <v>214</v>
      </c>
      <c r="C122">
        <v>0.98311203837609484</v>
      </c>
      <c r="D122">
        <v>17.600000000000001</v>
      </c>
      <c r="E122">
        <v>0.99904000000000004</v>
      </c>
      <c r="U122" t="s">
        <v>92</v>
      </c>
      <c r="V122" t="s">
        <v>455</v>
      </c>
      <c r="W122" t="s">
        <v>456</v>
      </c>
      <c r="X122" t="s">
        <v>314</v>
      </c>
      <c r="AA122" t="str">
        <f t="shared" si="5"/>
        <v>NI</v>
      </c>
      <c r="AB122" t="str">
        <f t="shared" si="6"/>
        <v>e_NZ1-220</v>
      </c>
      <c r="AC122" t="s">
        <v>724</v>
      </c>
      <c r="AD122" t="s">
        <v>723</v>
      </c>
      <c r="AE122" t="s">
        <v>301</v>
      </c>
      <c r="AM122" t="s">
        <v>709</v>
      </c>
      <c r="AN122" t="s">
        <v>597</v>
      </c>
      <c r="AO122" t="s">
        <v>579</v>
      </c>
      <c r="AP122" t="str">
        <f t="shared" si="7"/>
        <v>NI</v>
      </c>
    </row>
    <row r="123" spans="2:42" x14ac:dyDescent="0.45">
      <c r="B123" t="s">
        <v>215</v>
      </c>
      <c r="C123">
        <v>0.98311203837609484</v>
      </c>
      <c r="D123">
        <v>7.7000000000000011</v>
      </c>
      <c r="E123">
        <v>0.99958000000000002</v>
      </c>
      <c r="U123" t="s">
        <v>92</v>
      </c>
      <c r="V123" t="s">
        <v>457</v>
      </c>
      <c r="W123" t="s">
        <v>456</v>
      </c>
      <c r="X123" t="s">
        <v>314</v>
      </c>
      <c r="AA123" t="str">
        <f t="shared" si="5"/>
        <v>NI</v>
      </c>
      <c r="AB123" t="str">
        <f t="shared" si="6"/>
        <v>e_NZ17-220</v>
      </c>
      <c r="AC123" t="s">
        <v>724</v>
      </c>
      <c r="AD123" t="s">
        <v>723</v>
      </c>
      <c r="AE123" t="s">
        <v>301</v>
      </c>
      <c r="AM123" t="s">
        <v>710</v>
      </c>
      <c r="AN123" t="s">
        <v>597</v>
      </c>
      <c r="AO123" t="s">
        <v>581</v>
      </c>
      <c r="AP123" t="str">
        <f t="shared" si="7"/>
        <v>NI</v>
      </c>
    </row>
    <row r="124" spans="2:42" x14ac:dyDescent="0.45">
      <c r="B124" t="s">
        <v>216</v>
      </c>
      <c r="C124">
        <v>0.98311203837609484</v>
      </c>
      <c r="D124">
        <v>16.5</v>
      </c>
      <c r="E124">
        <v>0.99909999999999999</v>
      </c>
      <c r="U124" t="s">
        <v>92</v>
      </c>
      <c r="V124" t="s">
        <v>458</v>
      </c>
      <c r="W124" t="s">
        <v>456</v>
      </c>
      <c r="X124" t="s">
        <v>314</v>
      </c>
      <c r="AA124" t="str">
        <f t="shared" si="5"/>
        <v>NI</v>
      </c>
      <c r="AB124" t="str">
        <f t="shared" si="6"/>
        <v>e_NZ22-220</v>
      </c>
      <c r="AC124" t="s">
        <v>724</v>
      </c>
      <c r="AD124" t="s">
        <v>723</v>
      </c>
      <c r="AE124" t="s">
        <v>301</v>
      </c>
      <c r="AM124" t="s">
        <v>711</v>
      </c>
      <c r="AN124" t="s">
        <v>597</v>
      </c>
      <c r="AO124" t="s">
        <v>581</v>
      </c>
      <c r="AP124" t="str">
        <f t="shared" si="7"/>
        <v>NI</v>
      </c>
    </row>
    <row r="125" spans="2:42" x14ac:dyDescent="0.45">
      <c r="B125" t="s">
        <v>217</v>
      </c>
      <c r="C125">
        <v>0.98311203837609484</v>
      </c>
      <c r="D125">
        <v>135.30000000000001</v>
      </c>
      <c r="E125">
        <v>0.99261999999999995</v>
      </c>
      <c r="U125" t="s">
        <v>92</v>
      </c>
      <c r="V125" t="s">
        <v>459</v>
      </c>
      <c r="W125" t="s">
        <v>313</v>
      </c>
      <c r="X125" t="s">
        <v>314</v>
      </c>
      <c r="AA125" t="str">
        <f t="shared" si="5"/>
        <v>SI</v>
      </c>
      <c r="AB125" t="str">
        <f t="shared" si="6"/>
        <v>e_NZ31-220</v>
      </c>
      <c r="AC125" t="s">
        <v>724</v>
      </c>
      <c r="AD125" t="s">
        <v>723</v>
      </c>
      <c r="AE125" t="s">
        <v>301</v>
      </c>
      <c r="AM125" t="s">
        <v>712</v>
      </c>
      <c r="AN125" t="s">
        <v>597</v>
      </c>
      <c r="AO125" t="s">
        <v>580</v>
      </c>
      <c r="AP125" t="str">
        <f t="shared" si="7"/>
        <v>SI</v>
      </c>
    </row>
    <row r="126" spans="2:42" x14ac:dyDescent="0.45">
      <c r="B126" t="s">
        <v>218</v>
      </c>
      <c r="C126">
        <v>0.98311203837609484</v>
      </c>
      <c r="D126">
        <v>126.50000000000001</v>
      </c>
      <c r="E126">
        <v>0.99309999999999998</v>
      </c>
      <c r="U126" t="s">
        <v>92</v>
      </c>
      <c r="V126" t="s">
        <v>460</v>
      </c>
      <c r="W126" t="s">
        <v>313</v>
      </c>
      <c r="X126" t="s">
        <v>314</v>
      </c>
      <c r="AA126" t="str">
        <f t="shared" si="5"/>
        <v>NI</v>
      </c>
      <c r="AB126" t="str">
        <f t="shared" si="6"/>
        <v>e_NZ13-220</v>
      </c>
      <c r="AC126" t="s">
        <v>724</v>
      </c>
      <c r="AD126" t="s">
        <v>723</v>
      </c>
      <c r="AE126" t="s">
        <v>301</v>
      </c>
      <c r="AM126" t="s">
        <v>713</v>
      </c>
      <c r="AN126" t="s">
        <v>597</v>
      </c>
      <c r="AO126" t="s">
        <v>591</v>
      </c>
      <c r="AP126" t="str">
        <f t="shared" si="7"/>
        <v>NI</v>
      </c>
    </row>
    <row r="127" spans="2:42" x14ac:dyDescent="0.45">
      <c r="B127" t="s">
        <v>219</v>
      </c>
      <c r="C127">
        <v>1.9662240767521897</v>
      </c>
      <c r="D127">
        <v>4.4000000000000004</v>
      </c>
      <c r="E127">
        <v>0.99975999999999998</v>
      </c>
      <c r="U127" t="s">
        <v>92</v>
      </c>
      <c r="V127" t="s">
        <v>461</v>
      </c>
      <c r="W127" t="s">
        <v>328</v>
      </c>
      <c r="X127" t="s">
        <v>314</v>
      </c>
      <c r="AA127" t="str">
        <f t="shared" si="5"/>
        <v>NI</v>
      </c>
      <c r="AB127" t="str">
        <f t="shared" si="6"/>
        <v>e_NZ14-220</v>
      </c>
      <c r="AC127" t="s">
        <v>724</v>
      </c>
      <c r="AD127" t="s">
        <v>723</v>
      </c>
      <c r="AE127" t="s">
        <v>301</v>
      </c>
      <c r="AM127" t="s">
        <v>714</v>
      </c>
      <c r="AN127" t="s">
        <v>597</v>
      </c>
      <c r="AO127" t="s">
        <v>581</v>
      </c>
      <c r="AP127" t="str">
        <f t="shared" si="7"/>
        <v>NI</v>
      </c>
    </row>
    <row r="128" spans="2:42" x14ac:dyDescent="0.45">
      <c r="B128" t="s">
        <v>220</v>
      </c>
      <c r="C128">
        <v>0.49155601918804742</v>
      </c>
      <c r="D128">
        <v>278.3</v>
      </c>
      <c r="E128">
        <v>0.98482000000000003</v>
      </c>
      <c r="U128" t="s">
        <v>92</v>
      </c>
      <c r="V128" t="s">
        <v>462</v>
      </c>
      <c r="W128" t="s">
        <v>328</v>
      </c>
      <c r="X128" t="s">
        <v>314</v>
      </c>
      <c r="AA128" t="str">
        <f t="shared" si="5"/>
        <v>NI</v>
      </c>
      <c r="AB128" t="str">
        <f t="shared" si="6"/>
        <v>e_NZ23-220</v>
      </c>
      <c r="AC128" t="s">
        <v>724</v>
      </c>
      <c r="AD128" t="s">
        <v>723</v>
      </c>
      <c r="AE128" t="s">
        <v>301</v>
      </c>
      <c r="AM128" t="s">
        <v>715</v>
      </c>
      <c r="AN128" t="s">
        <v>597</v>
      </c>
      <c r="AO128" t="s">
        <v>589</v>
      </c>
      <c r="AP128" t="str">
        <f t="shared" si="7"/>
        <v>NI</v>
      </c>
    </row>
    <row r="129" spans="2:42" x14ac:dyDescent="0.45">
      <c r="B129" t="s">
        <v>221</v>
      </c>
      <c r="C129">
        <v>0.49155601918804742</v>
      </c>
      <c r="D129">
        <v>275</v>
      </c>
      <c r="E129">
        <v>0.98499999999999999</v>
      </c>
      <c r="U129" t="s">
        <v>92</v>
      </c>
      <c r="V129" t="s">
        <v>463</v>
      </c>
      <c r="W129" t="s">
        <v>310</v>
      </c>
      <c r="X129" t="s">
        <v>314</v>
      </c>
      <c r="AA129" t="str">
        <f t="shared" si="5"/>
        <v>SI</v>
      </c>
      <c r="AB129" t="str">
        <f t="shared" si="6"/>
        <v>e_NZ38-220</v>
      </c>
      <c r="AC129" t="s">
        <v>724</v>
      </c>
      <c r="AD129" t="s">
        <v>723</v>
      </c>
      <c r="AE129" t="s">
        <v>301</v>
      </c>
      <c r="AM129" t="s">
        <v>716</v>
      </c>
      <c r="AN129" t="s">
        <v>597</v>
      </c>
      <c r="AO129" t="s">
        <v>580</v>
      </c>
      <c r="AP129" t="str">
        <f t="shared" si="7"/>
        <v>SI</v>
      </c>
    </row>
    <row r="130" spans="2:42" x14ac:dyDescent="0.45">
      <c r="B130" t="s">
        <v>222</v>
      </c>
      <c r="C130">
        <v>0.49155601918804742</v>
      </c>
      <c r="D130">
        <v>144.10000000000002</v>
      </c>
      <c r="E130">
        <v>0.99214000000000002</v>
      </c>
      <c r="U130" t="s">
        <v>92</v>
      </c>
      <c r="V130" t="s">
        <v>464</v>
      </c>
      <c r="W130" t="s">
        <v>310</v>
      </c>
      <c r="X130" t="s">
        <v>314</v>
      </c>
      <c r="AA130" t="str">
        <f t="shared" si="5"/>
        <v>NI</v>
      </c>
      <c r="AB130" t="str">
        <f t="shared" si="6"/>
        <v>e_NZ8-220</v>
      </c>
      <c r="AC130" t="s">
        <v>724</v>
      </c>
      <c r="AD130" t="s">
        <v>723</v>
      </c>
      <c r="AE130" t="s">
        <v>301</v>
      </c>
      <c r="AM130" t="s">
        <v>717</v>
      </c>
      <c r="AN130" t="s">
        <v>597</v>
      </c>
      <c r="AO130" t="s">
        <v>581</v>
      </c>
      <c r="AP130" t="str">
        <f t="shared" si="7"/>
        <v>NI</v>
      </c>
    </row>
    <row r="131" spans="2:42" x14ac:dyDescent="0.45">
      <c r="B131" t="s">
        <v>223</v>
      </c>
      <c r="C131">
        <v>0.49155601918804742</v>
      </c>
      <c r="D131">
        <v>2.2000000000000002</v>
      </c>
      <c r="E131">
        <v>0.99987999999999999</v>
      </c>
      <c r="U131" t="s">
        <v>92</v>
      </c>
      <c r="V131" t="s">
        <v>465</v>
      </c>
      <c r="W131" t="s">
        <v>302</v>
      </c>
      <c r="X131" t="s">
        <v>314</v>
      </c>
      <c r="AA131" t="str">
        <f t="shared" si="5"/>
        <v>SI</v>
      </c>
      <c r="AB131" t="str">
        <f t="shared" si="6"/>
        <v>e_NZ35-220</v>
      </c>
      <c r="AC131" t="s">
        <v>724</v>
      </c>
      <c r="AD131" t="s">
        <v>723</v>
      </c>
      <c r="AE131" t="s">
        <v>301</v>
      </c>
      <c r="AM131" t="s">
        <v>718</v>
      </c>
      <c r="AN131" t="s">
        <v>597</v>
      </c>
      <c r="AO131" t="s">
        <v>580</v>
      </c>
      <c r="AP131" t="str">
        <f t="shared" si="7"/>
        <v>SI</v>
      </c>
    </row>
    <row r="132" spans="2:42" x14ac:dyDescent="0.45">
      <c r="B132" t="s">
        <v>224</v>
      </c>
      <c r="C132">
        <v>0.98311203837609484</v>
      </c>
      <c r="D132">
        <v>16.5</v>
      </c>
      <c r="E132">
        <v>0.99909999999999999</v>
      </c>
      <c r="U132" t="s">
        <v>92</v>
      </c>
      <c r="V132" t="s">
        <v>466</v>
      </c>
      <c r="W132" t="s">
        <v>302</v>
      </c>
      <c r="X132" t="s">
        <v>314</v>
      </c>
      <c r="AA132" t="str">
        <f t="shared" si="5"/>
        <v>SI</v>
      </c>
      <c r="AB132" t="str">
        <f t="shared" si="6"/>
        <v>e_NZ33-220</v>
      </c>
      <c r="AC132" t="s">
        <v>724</v>
      </c>
      <c r="AD132" t="s">
        <v>723</v>
      </c>
      <c r="AE132" t="s">
        <v>301</v>
      </c>
      <c r="AM132" t="s">
        <v>719</v>
      </c>
      <c r="AN132" t="s">
        <v>597</v>
      </c>
      <c r="AO132" t="s">
        <v>580</v>
      </c>
      <c r="AP132" t="str">
        <f t="shared" si="7"/>
        <v>SI</v>
      </c>
    </row>
    <row r="133" spans="2:42" x14ac:dyDescent="0.45">
      <c r="B133" t="s">
        <v>225</v>
      </c>
      <c r="C133">
        <v>0.98311203837609484</v>
      </c>
      <c r="D133">
        <v>16.5</v>
      </c>
      <c r="E133">
        <v>0.99909999999999999</v>
      </c>
      <c r="U133" t="s">
        <v>92</v>
      </c>
      <c r="V133" t="s">
        <v>467</v>
      </c>
      <c r="W133" t="s">
        <v>468</v>
      </c>
      <c r="X133" t="s">
        <v>314</v>
      </c>
      <c r="AA133" t="str">
        <f t="shared" si="5"/>
        <v>NI</v>
      </c>
      <c r="AB133" t="str">
        <f t="shared" si="6"/>
        <v>e_NZ15-220</v>
      </c>
      <c r="AC133" t="s">
        <v>724</v>
      </c>
      <c r="AD133" t="s">
        <v>723</v>
      </c>
      <c r="AE133" t="s">
        <v>301</v>
      </c>
      <c r="AM133" t="s">
        <v>720</v>
      </c>
      <c r="AN133" t="s">
        <v>597</v>
      </c>
      <c r="AO133" t="s">
        <v>581</v>
      </c>
      <c r="AP133" t="str">
        <f t="shared" si="7"/>
        <v>NI</v>
      </c>
    </row>
    <row r="134" spans="2:42" x14ac:dyDescent="0.45">
      <c r="B134" t="s">
        <v>226</v>
      </c>
      <c r="C134">
        <v>1.9662240767521897</v>
      </c>
      <c r="D134">
        <v>2.2000000000000002</v>
      </c>
      <c r="E134">
        <v>0.99987999999999999</v>
      </c>
      <c r="U134" t="s">
        <v>92</v>
      </c>
      <c r="V134" t="s">
        <v>469</v>
      </c>
      <c r="W134" t="s">
        <v>468</v>
      </c>
      <c r="X134" t="s">
        <v>314</v>
      </c>
    </row>
    <row r="135" spans="2:42" x14ac:dyDescent="0.45">
      <c r="B135" t="s">
        <v>227</v>
      </c>
      <c r="C135">
        <v>0.49155601918804742</v>
      </c>
      <c r="D135">
        <v>3.3000000000000003</v>
      </c>
      <c r="E135">
        <v>0.99982000000000004</v>
      </c>
      <c r="U135" t="s">
        <v>92</v>
      </c>
      <c r="V135" t="s">
        <v>470</v>
      </c>
      <c r="W135" t="s">
        <v>471</v>
      </c>
      <c r="X135" t="s">
        <v>314</v>
      </c>
    </row>
    <row r="136" spans="2:42" x14ac:dyDescent="0.45">
      <c r="B136" t="s">
        <v>228</v>
      </c>
      <c r="C136">
        <v>1.9662240767521897</v>
      </c>
      <c r="D136">
        <v>4.4000000000000004</v>
      </c>
      <c r="E136">
        <v>0.99975999999999998</v>
      </c>
      <c r="U136" t="s">
        <v>92</v>
      </c>
      <c r="V136" t="s">
        <v>472</v>
      </c>
      <c r="W136" t="s">
        <v>471</v>
      </c>
      <c r="X136" t="s">
        <v>314</v>
      </c>
    </row>
    <row r="137" spans="2:42" x14ac:dyDescent="0.45">
      <c r="B137" t="s">
        <v>229</v>
      </c>
      <c r="C137">
        <v>1.9662240767521897</v>
      </c>
      <c r="D137">
        <v>2.2000000000000002</v>
      </c>
      <c r="E137">
        <v>0.99987999999999999</v>
      </c>
      <c r="U137" t="s">
        <v>92</v>
      </c>
      <c r="V137" t="s">
        <v>473</v>
      </c>
      <c r="W137" t="s">
        <v>474</v>
      </c>
      <c r="X137" t="s">
        <v>314</v>
      </c>
    </row>
    <row r="138" spans="2:42" x14ac:dyDescent="0.45">
      <c r="B138" t="s">
        <v>230</v>
      </c>
      <c r="C138">
        <v>0.98311203837609484</v>
      </c>
      <c r="D138">
        <v>28.6</v>
      </c>
      <c r="E138">
        <v>0.99843999999999999</v>
      </c>
      <c r="U138" t="s">
        <v>92</v>
      </c>
      <c r="V138" t="s">
        <v>475</v>
      </c>
      <c r="W138" t="s">
        <v>474</v>
      </c>
      <c r="X138" t="s">
        <v>314</v>
      </c>
    </row>
    <row r="139" spans="2:42" x14ac:dyDescent="0.45">
      <c r="B139" t="s">
        <v>231</v>
      </c>
      <c r="C139">
        <v>0.98311203837609484</v>
      </c>
      <c r="D139">
        <v>34.1</v>
      </c>
      <c r="E139">
        <v>0.99814000000000003</v>
      </c>
      <c r="U139" t="s">
        <v>92</v>
      </c>
      <c r="V139" t="s">
        <v>476</v>
      </c>
      <c r="W139" t="s">
        <v>477</v>
      </c>
      <c r="X139" t="s">
        <v>314</v>
      </c>
    </row>
    <row r="140" spans="2:42" x14ac:dyDescent="0.45">
      <c r="B140" t="s">
        <v>232</v>
      </c>
      <c r="C140">
        <v>0.49155601918804742</v>
      </c>
      <c r="D140">
        <v>7.7000000000000011</v>
      </c>
      <c r="E140">
        <v>0.99958000000000002</v>
      </c>
      <c r="U140" t="s">
        <v>92</v>
      </c>
      <c r="V140" t="s">
        <v>478</v>
      </c>
      <c r="W140" t="s">
        <v>477</v>
      </c>
      <c r="X140" t="s">
        <v>314</v>
      </c>
    </row>
    <row r="141" spans="2:42" x14ac:dyDescent="0.45">
      <c r="B141" t="s">
        <v>233</v>
      </c>
      <c r="C141">
        <v>0.98311203837609484</v>
      </c>
      <c r="D141">
        <v>154</v>
      </c>
      <c r="E141">
        <v>0.99160000000000004</v>
      </c>
      <c r="U141" t="s">
        <v>92</v>
      </c>
      <c r="V141" t="s">
        <v>479</v>
      </c>
      <c r="W141" t="s">
        <v>424</v>
      </c>
      <c r="X141" t="s">
        <v>314</v>
      </c>
    </row>
    <row r="142" spans="2:42" x14ac:dyDescent="0.45">
      <c r="B142" t="s">
        <v>234</v>
      </c>
      <c r="C142">
        <v>0.98311203837609484</v>
      </c>
      <c r="D142">
        <v>4.4000000000000004</v>
      </c>
      <c r="E142">
        <v>0.99975999999999998</v>
      </c>
      <c r="U142" t="s">
        <v>92</v>
      </c>
      <c r="V142" t="s">
        <v>480</v>
      </c>
      <c r="W142" t="s">
        <v>424</v>
      </c>
      <c r="X142" t="s">
        <v>314</v>
      </c>
    </row>
    <row r="143" spans="2:42" x14ac:dyDescent="0.45">
      <c r="B143" t="s">
        <v>235</v>
      </c>
      <c r="C143">
        <v>0.98311203837609484</v>
      </c>
      <c r="D143">
        <v>16.5</v>
      </c>
      <c r="E143">
        <v>0.99909999999999999</v>
      </c>
      <c r="U143" t="s">
        <v>92</v>
      </c>
      <c r="V143" t="s">
        <v>481</v>
      </c>
      <c r="W143" t="s">
        <v>482</v>
      </c>
      <c r="X143" t="s">
        <v>314</v>
      </c>
    </row>
    <row r="144" spans="2:42" x14ac:dyDescent="0.45">
      <c r="B144" t="s">
        <v>236</v>
      </c>
      <c r="C144">
        <v>0.98311203837609484</v>
      </c>
      <c r="D144">
        <v>14.3</v>
      </c>
      <c r="E144">
        <v>0.99922</v>
      </c>
      <c r="U144" t="s">
        <v>92</v>
      </c>
      <c r="V144" t="s">
        <v>483</v>
      </c>
      <c r="W144" t="s">
        <v>482</v>
      </c>
      <c r="X144" t="s">
        <v>314</v>
      </c>
    </row>
    <row r="145" spans="2:24" x14ac:dyDescent="0.45">
      <c r="B145" t="s">
        <v>237</v>
      </c>
      <c r="C145">
        <v>0.98311203837609484</v>
      </c>
      <c r="D145">
        <v>113.30000000000001</v>
      </c>
      <c r="E145">
        <v>0.99382000000000004</v>
      </c>
      <c r="U145" t="s">
        <v>92</v>
      </c>
      <c r="V145" t="s">
        <v>484</v>
      </c>
      <c r="W145" t="s">
        <v>485</v>
      </c>
      <c r="X145" t="s">
        <v>314</v>
      </c>
    </row>
    <row r="146" spans="2:24" x14ac:dyDescent="0.45">
      <c r="B146" t="s">
        <v>238</v>
      </c>
      <c r="C146">
        <v>0.49155601918804742</v>
      </c>
      <c r="D146">
        <v>23.1</v>
      </c>
      <c r="E146">
        <v>0.99873999999999996</v>
      </c>
      <c r="U146" t="s">
        <v>92</v>
      </c>
      <c r="V146" t="s">
        <v>486</v>
      </c>
      <c r="W146" t="s">
        <v>485</v>
      </c>
      <c r="X146" t="s">
        <v>314</v>
      </c>
    </row>
    <row r="147" spans="2:24" x14ac:dyDescent="0.45">
      <c r="B147" t="s">
        <v>239</v>
      </c>
      <c r="C147">
        <v>0.98311203837609484</v>
      </c>
      <c r="D147">
        <v>239.8</v>
      </c>
      <c r="E147">
        <v>0.98692000000000002</v>
      </c>
      <c r="U147" t="s">
        <v>92</v>
      </c>
      <c r="V147" t="s">
        <v>487</v>
      </c>
      <c r="W147" t="s">
        <v>488</v>
      </c>
      <c r="X147" t="s">
        <v>314</v>
      </c>
    </row>
    <row r="148" spans="2:24" x14ac:dyDescent="0.45">
      <c r="B148" t="s">
        <v>240</v>
      </c>
      <c r="C148">
        <v>0.49155601918804742</v>
      </c>
      <c r="D148">
        <v>29.700000000000003</v>
      </c>
      <c r="E148">
        <v>0.99838000000000005</v>
      </c>
      <c r="U148" t="s">
        <v>92</v>
      </c>
      <c r="V148" t="s">
        <v>489</v>
      </c>
      <c r="W148" t="s">
        <v>488</v>
      </c>
      <c r="X148" t="s">
        <v>314</v>
      </c>
    </row>
    <row r="149" spans="2:24" x14ac:dyDescent="0.45">
      <c r="B149" t="s">
        <v>241</v>
      </c>
      <c r="C149">
        <v>0.98311203837609484</v>
      </c>
      <c r="D149">
        <v>154</v>
      </c>
      <c r="E149">
        <v>0.99160000000000004</v>
      </c>
      <c r="U149" t="s">
        <v>92</v>
      </c>
      <c r="V149" t="s">
        <v>490</v>
      </c>
      <c r="W149" t="s">
        <v>491</v>
      </c>
      <c r="X149" t="s">
        <v>314</v>
      </c>
    </row>
    <row r="150" spans="2:24" x14ac:dyDescent="0.45">
      <c r="B150" t="s">
        <v>242</v>
      </c>
      <c r="C150">
        <v>0.98311203837609484</v>
      </c>
      <c r="D150">
        <v>189.20000000000002</v>
      </c>
      <c r="E150">
        <v>0.98968</v>
      </c>
      <c r="U150" t="s">
        <v>92</v>
      </c>
      <c r="V150" t="s">
        <v>492</v>
      </c>
      <c r="W150" t="s">
        <v>491</v>
      </c>
      <c r="X150" t="s">
        <v>314</v>
      </c>
    </row>
    <row r="151" spans="2:24" x14ac:dyDescent="0.45">
      <c r="B151" t="s">
        <v>243</v>
      </c>
      <c r="C151">
        <v>0.98311203837609484</v>
      </c>
      <c r="D151">
        <v>37.400000000000006</v>
      </c>
      <c r="E151">
        <v>0.99795999999999996</v>
      </c>
      <c r="U151" t="s">
        <v>92</v>
      </c>
      <c r="V151" t="s">
        <v>493</v>
      </c>
      <c r="W151" t="s">
        <v>494</v>
      </c>
      <c r="X151" t="s">
        <v>314</v>
      </c>
    </row>
    <row r="152" spans="2:24" x14ac:dyDescent="0.45">
      <c r="B152" t="s">
        <v>244</v>
      </c>
      <c r="C152">
        <v>0.49155601918804742</v>
      </c>
      <c r="D152">
        <v>91.300000000000011</v>
      </c>
      <c r="E152">
        <v>0.99502000000000002</v>
      </c>
      <c r="U152" t="s">
        <v>92</v>
      </c>
      <c r="V152" t="s">
        <v>495</v>
      </c>
      <c r="W152" t="s">
        <v>494</v>
      </c>
      <c r="X152" t="s">
        <v>314</v>
      </c>
    </row>
    <row r="153" spans="2:24" x14ac:dyDescent="0.45">
      <c r="B153" t="s">
        <v>245</v>
      </c>
      <c r="C153">
        <v>0.49155601918804742</v>
      </c>
      <c r="D153">
        <v>1677.5000000000002</v>
      </c>
      <c r="E153">
        <v>0.90849999999999997</v>
      </c>
      <c r="U153" t="s">
        <v>92</v>
      </c>
      <c r="V153" t="s">
        <v>496</v>
      </c>
      <c r="W153" t="s">
        <v>497</v>
      </c>
      <c r="X153" t="s">
        <v>314</v>
      </c>
    </row>
    <row r="154" spans="2:24" x14ac:dyDescent="0.45">
      <c r="B154" t="s">
        <v>246</v>
      </c>
      <c r="C154">
        <v>0.98311203837609484</v>
      </c>
      <c r="D154">
        <v>286</v>
      </c>
      <c r="E154">
        <v>0.98440000000000005</v>
      </c>
      <c r="U154" t="s">
        <v>92</v>
      </c>
      <c r="V154" t="s">
        <v>498</v>
      </c>
      <c r="W154" t="s">
        <v>497</v>
      </c>
      <c r="X154" t="s">
        <v>314</v>
      </c>
    </row>
    <row r="155" spans="2:24" x14ac:dyDescent="0.45">
      <c r="B155" t="s">
        <v>247</v>
      </c>
      <c r="C155">
        <v>0.98311203837609484</v>
      </c>
      <c r="D155">
        <v>399.3</v>
      </c>
      <c r="E155">
        <v>0.97821999999999998</v>
      </c>
      <c r="U155" t="s">
        <v>92</v>
      </c>
      <c r="V155" t="s">
        <v>499</v>
      </c>
      <c r="W155" t="s">
        <v>500</v>
      </c>
      <c r="X155" t="s">
        <v>314</v>
      </c>
    </row>
    <row r="156" spans="2:24" x14ac:dyDescent="0.45">
      <c r="B156" t="s">
        <v>248</v>
      </c>
      <c r="C156">
        <v>0.98311203837609484</v>
      </c>
      <c r="D156">
        <v>772.2</v>
      </c>
      <c r="E156">
        <v>0.95787999999999995</v>
      </c>
      <c r="U156" t="s">
        <v>92</v>
      </c>
      <c r="V156" t="s">
        <v>501</v>
      </c>
      <c r="W156" t="s">
        <v>500</v>
      </c>
      <c r="X156" t="s">
        <v>314</v>
      </c>
    </row>
    <row r="157" spans="2:24" x14ac:dyDescent="0.45">
      <c r="B157" t="s">
        <v>249</v>
      </c>
      <c r="C157">
        <v>0.98311203837609484</v>
      </c>
      <c r="D157">
        <v>297</v>
      </c>
      <c r="E157">
        <v>0.98380000000000001</v>
      </c>
      <c r="U157" t="s">
        <v>92</v>
      </c>
      <c r="V157" t="s">
        <v>502</v>
      </c>
      <c r="W157" t="s">
        <v>503</v>
      </c>
      <c r="X157" t="s">
        <v>314</v>
      </c>
    </row>
    <row r="158" spans="2:24" x14ac:dyDescent="0.45">
      <c r="B158" t="s">
        <v>250</v>
      </c>
      <c r="C158">
        <v>0.98311203837609484</v>
      </c>
      <c r="D158">
        <v>220.00000000000003</v>
      </c>
      <c r="E158">
        <v>0.98799999999999999</v>
      </c>
      <c r="U158" t="s">
        <v>92</v>
      </c>
      <c r="V158" t="s">
        <v>504</v>
      </c>
      <c r="W158" t="s">
        <v>503</v>
      </c>
      <c r="X158" t="s">
        <v>314</v>
      </c>
    </row>
    <row r="159" spans="2:24" x14ac:dyDescent="0.45">
      <c r="B159" t="s">
        <v>251</v>
      </c>
      <c r="C159">
        <v>0.98311203837609484</v>
      </c>
      <c r="D159">
        <v>119.9</v>
      </c>
      <c r="E159">
        <v>0.99346000000000001</v>
      </c>
      <c r="U159" t="s">
        <v>92</v>
      </c>
      <c r="V159" t="s">
        <v>505</v>
      </c>
      <c r="W159" t="s">
        <v>506</v>
      </c>
      <c r="X159" t="s">
        <v>314</v>
      </c>
    </row>
    <row r="160" spans="2:24" x14ac:dyDescent="0.45">
      <c r="U160" t="s">
        <v>92</v>
      </c>
      <c r="V160" t="s">
        <v>507</v>
      </c>
      <c r="W160" t="s">
        <v>506</v>
      </c>
      <c r="X160" t="s">
        <v>314</v>
      </c>
    </row>
    <row r="161" spans="21:24" x14ac:dyDescent="0.45">
      <c r="U161" t="s">
        <v>92</v>
      </c>
      <c r="V161" t="s">
        <v>508</v>
      </c>
      <c r="W161" t="s">
        <v>509</v>
      </c>
      <c r="X161" t="s">
        <v>314</v>
      </c>
    </row>
    <row r="162" spans="21:24" x14ac:dyDescent="0.45">
      <c r="U162" t="s">
        <v>92</v>
      </c>
      <c r="V162" t="s">
        <v>510</v>
      </c>
      <c r="W162" t="s">
        <v>509</v>
      </c>
      <c r="X162" t="s">
        <v>314</v>
      </c>
    </row>
    <row r="163" spans="21:24" x14ac:dyDescent="0.45">
      <c r="U163" t="s">
        <v>92</v>
      </c>
      <c r="V163" t="s">
        <v>511</v>
      </c>
      <c r="W163" t="s">
        <v>512</v>
      </c>
      <c r="X163" t="s">
        <v>314</v>
      </c>
    </row>
    <row r="164" spans="21:24" x14ac:dyDescent="0.45">
      <c r="U164" t="s">
        <v>92</v>
      </c>
      <c r="V164" t="s">
        <v>513</v>
      </c>
      <c r="W164" t="s">
        <v>512</v>
      </c>
      <c r="X164" t="s">
        <v>314</v>
      </c>
    </row>
    <row r="165" spans="21:24" x14ac:dyDescent="0.45">
      <c r="U165" t="s">
        <v>92</v>
      </c>
      <c r="V165" t="s">
        <v>514</v>
      </c>
      <c r="W165" t="s">
        <v>515</v>
      </c>
      <c r="X165" t="s">
        <v>314</v>
      </c>
    </row>
    <row r="166" spans="21:24" x14ac:dyDescent="0.45">
      <c r="U166" t="s">
        <v>92</v>
      </c>
      <c r="V166" t="s">
        <v>516</v>
      </c>
      <c r="W166" t="s">
        <v>515</v>
      </c>
      <c r="X166" t="s">
        <v>314</v>
      </c>
    </row>
    <row r="167" spans="21:24" x14ac:dyDescent="0.45">
      <c r="U167" t="s">
        <v>92</v>
      </c>
      <c r="V167" t="s">
        <v>517</v>
      </c>
      <c r="W167" t="s">
        <v>518</v>
      </c>
      <c r="X167" t="s">
        <v>314</v>
      </c>
    </row>
    <row r="168" spans="21:24" x14ac:dyDescent="0.45">
      <c r="U168" t="s">
        <v>92</v>
      </c>
      <c r="V168" t="s">
        <v>519</v>
      </c>
      <c r="W168" t="s">
        <v>518</v>
      </c>
      <c r="X168" t="s">
        <v>314</v>
      </c>
    </row>
    <row r="169" spans="21:24" x14ac:dyDescent="0.45">
      <c r="U169" t="s">
        <v>92</v>
      </c>
      <c r="V169" t="s">
        <v>520</v>
      </c>
      <c r="W169" t="s">
        <v>521</v>
      </c>
      <c r="X169" t="s">
        <v>314</v>
      </c>
    </row>
    <row r="170" spans="21:24" x14ac:dyDescent="0.45">
      <c r="U170" t="s">
        <v>92</v>
      </c>
      <c r="V170" t="s">
        <v>522</v>
      </c>
      <c r="W170" t="s">
        <v>521</v>
      </c>
      <c r="X170" t="s">
        <v>314</v>
      </c>
    </row>
    <row r="171" spans="21:24" x14ac:dyDescent="0.45">
      <c r="U171" t="s">
        <v>92</v>
      </c>
      <c r="V171" t="s">
        <v>523</v>
      </c>
      <c r="W171" t="s">
        <v>368</v>
      </c>
      <c r="X171" t="s">
        <v>314</v>
      </c>
    </row>
    <row r="172" spans="21:24" x14ac:dyDescent="0.45">
      <c r="U172" t="s">
        <v>92</v>
      </c>
      <c r="V172" t="s">
        <v>524</v>
      </c>
      <c r="W172" t="s">
        <v>368</v>
      </c>
      <c r="X172" t="s">
        <v>314</v>
      </c>
    </row>
    <row r="173" spans="21:24" x14ac:dyDescent="0.45">
      <c r="U173" t="s">
        <v>92</v>
      </c>
      <c r="V173" t="s">
        <v>525</v>
      </c>
      <c r="W173" t="s">
        <v>372</v>
      </c>
      <c r="X173" t="s">
        <v>314</v>
      </c>
    </row>
    <row r="174" spans="21:24" x14ac:dyDescent="0.45">
      <c r="U174" t="s">
        <v>92</v>
      </c>
      <c r="V174" t="s">
        <v>526</v>
      </c>
      <c r="W174" t="s">
        <v>372</v>
      </c>
      <c r="X174" t="s">
        <v>314</v>
      </c>
    </row>
    <row r="175" spans="21:24" x14ac:dyDescent="0.45">
      <c r="U175" t="s">
        <v>92</v>
      </c>
      <c r="V175" t="s">
        <v>527</v>
      </c>
      <c r="W175" t="s">
        <v>376</v>
      </c>
      <c r="X175" t="s">
        <v>314</v>
      </c>
    </row>
    <row r="176" spans="21:24" x14ac:dyDescent="0.45">
      <c r="U176" t="s">
        <v>92</v>
      </c>
      <c r="V176" t="s">
        <v>528</v>
      </c>
      <c r="W176" t="s">
        <v>376</v>
      </c>
      <c r="X176" t="s">
        <v>314</v>
      </c>
    </row>
    <row r="177" spans="21:24" x14ac:dyDescent="0.45">
      <c r="U177" t="s">
        <v>92</v>
      </c>
      <c r="V177" t="s">
        <v>529</v>
      </c>
      <c r="W177" t="s">
        <v>380</v>
      </c>
      <c r="X177" t="s">
        <v>314</v>
      </c>
    </row>
    <row r="178" spans="21:24" x14ac:dyDescent="0.45">
      <c r="U178" t="s">
        <v>92</v>
      </c>
      <c r="V178" t="s">
        <v>530</v>
      </c>
      <c r="W178" t="s">
        <v>380</v>
      </c>
      <c r="X178" t="s">
        <v>314</v>
      </c>
    </row>
    <row r="179" spans="21:24" x14ac:dyDescent="0.45">
      <c r="U179" t="s">
        <v>92</v>
      </c>
      <c r="V179" t="s">
        <v>531</v>
      </c>
      <c r="W179" t="s">
        <v>384</v>
      </c>
      <c r="X179" t="s">
        <v>314</v>
      </c>
    </row>
    <row r="180" spans="21:24" x14ac:dyDescent="0.45">
      <c r="U180" t="s">
        <v>92</v>
      </c>
      <c r="V180" t="s">
        <v>532</v>
      </c>
      <c r="W180" t="s">
        <v>384</v>
      </c>
      <c r="X180" t="s">
        <v>314</v>
      </c>
    </row>
    <row r="181" spans="21:24" x14ac:dyDescent="0.45">
      <c r="U181" t="s">
        <v>92</v>
      </c>
      <c r="V181" t="s">
        <v>533</v>
      </c>
      <c r="W181" t="s">
        <v>388</v>
      </c>
      <c r="X181" t="s">
        <v>314</v>
      </c>
    </row>
    <row r="182" spans="21:24" x14ac:dyDescent="0.45">
      <c r="U182" t="s">
        <v>92</v>
      </c>
      <c r="V182" t="s">
        <v>534</v>
      </c>
      <c r="W182" t="s">
        <v>388</v>
      </c>
      <c r="X182" t="s">
        <v>314</v>
      </c>
    </row>
    <row r="183" spans="21:24" x14ac:dyDescent="0.45">
      <c r="U183" t="s">
        <v>92</v>
      </c>
      <c r="V183" t="s">
        <v>535</v>
      </c>
      <c r="W183" t="s">
        <v>392</v>
      </c>
      <c r="X183" t="s">
        <v>314</v>
      </c>
    </row>
    <row r="184" spans="21:24" x14ac:dyDescent="0.45">
      <c r="U184" t="s">
        <v>92</v>
      </c>
      <c r="V184" t="s">
        <v>536</v>
      </c>
      <c r="W184" t="s">
        <v>392</v>
      </c>
      <c r="X184" t="s">
        <v>314</v>
      </c>
    </row>
    <row r="185" spans="21:24" x14ac:dyDescent="0.45">
      <c r="U185" t="s">
        <v>92</v>
      </c>
      <c r="V185" t="s">
        <v>537</v>
      </c>
      <c r="W185" t="s">
        <v>396</v>
      </c>
      <c r="X185" t="s">
        <v>314</v>
      </c>
    </row>
    <row r="186" spans="21:24" x14ac:dyDescent="0.45">
      <c r="U186" t="s">
        <v>92</v>
      </c>
      <c r="V186" t="s">
        <v>538</v>
      </c>
      <c r="W186" t="s">
        <v>396</v>
      </c>
      <c r="X186" t="s">
        <v>314</v>
      </c>
    </row>
    <row r="187" spans="21:24" x14ac:dyDescent="0.45">
      <c r="U187" t="s">
        <v>92</v>
      </c>
      <c r="V187" t="s">
        <v>539</v>
      </c>
      <c r="W187" t="s">
        <v>400</v>
      </c>
      <c r="X187" t="s">
        <v>314</v>
      </c>
    </row>
    <row r="188" spans="21:24" x14ac:dyDescent="0.45">
      <c r="U188" t="s">
        <v>92</v>
      </c>
      <c r="V188" t="s">
        <v>540</v>
      </c>
      <c r="W188" t="s">
        <v>400</v>
      </c>
      <c r="X188" t="s">
        <v>314</v>
      </c>
    </row>
    <row r="189" spans="21:24" x14ac:dyDescent="0.45">
      <c r="U189" t="s">
        <v>92</v>
      </c>
      <c r="V189" t="s">
        <v>541</v>
      </c>
      <c r="W189" t="s">
        <v>404</v>
      </c>
      <c r="X189" t="s">
        <v>314</v>
      </c>
    </row>
    <row r="190" spans="21:24" x14ac:dyDescent="0.45">
      <c r="U190" t="s">
        <v>92</v>
      </c>
      <c r="V190" t="s">
        <v>542</v>
      </c>
      <c r="W190" t="s">
        <v>404</v>
      </c>
      <c r="X190" t="s">
        <v>314</v>
      </c>
    </row>
    <row r="191" spans="21:24" x14ac:dyDescent="0.45">
      <c r="U191" t="s">
        <v>92</v>
      </c>
      <c r="V191" t="s">
        <v>543</v>
      </c>
      <c r="W191" t="s">
        <v>408</v>
      </c>
      <c r="X191" t="s">
        <v>314</v>
      </c>
    </row>
    <row r="192" spans="21:24" x14ac:dyDescent="0.45">
      <c r="U192" t="s">
        <v>92</v>
      </c>
      <c r="V192" t="s">
        <v>544</v>
      </c>
      <c r="W192" t="s">
        <v>408</v>
      </c>
      <c r="X192" t="s">
        <v>314</v>
      </c>
    </row>
    <row r="193" spans="21:24" x14ac:dyDescent="0.45">
      <c r="U193" t="s">
        <v>92</v>
      </c>
      <c r="V193" t="s">
        <v>545</v>
      </c>
      <c r="W193" t="s">
        <v>412</v>
      </c>
      <c r="X193" t="s">
        <v>314</v>
      </c>
    </row>
    <row r="194" spans="21:24" x14ac:dyDescent="0.45">
      <c r="U194" t="s">
        <v>92</v>
      </c>
      <c r="V194" t="s">
        <v>546</v>
      </c>
      <c r="W194" t="s">
        <v>412</v>
      </c>
      <c r="X194" t="s">
        <v>314</v>
      </c>
    </row>
    <row r="195" spans="21:24" x14ac:dyDescent="0.45">
      <c r="U195" t="s">
        <v>92</v>
      </c>
      <c r="V195" t="s">
        <v>547</v>
      </c>
      <c r="W195" t="s">
        <v>416</v>
      </c>
      <c r="X195" t="s">
        <v>314</v>
      </c>
    </row>
    <row r="196" spans="21:24" x14ac:dyDescent="0.45">
      <c r="U196" t="s">
        <v>92</v>
      </c>
      <c r="V196" t="s">
        <v>548</v>
      </c>
      <c r="W196" t="s">
        <v>416</v>
      </c>
      <c r="X196" t="s">
        <v>314</v>
      </c>
    </row>
    <row r="197" spans="21:24" x14ac:dyDescent="0.45">
      <c r="U197" t="s">
        <v>92</v>
      </c>
      <c r="V197" t="s">
        <v>549</v>
      </c>
      <c r="W197" t="s">
        <v>420</v>
      </c>
      <c r="X197" t="s">
        <v>314</v>
      </c>
    </row>
    <row r="198" spans="21:24" x14ac:dyDescent="0.45">
      <c r="U198" t="s">
        <v>92</v>
      </c>
      <c r="V198" t="s">
        <v>550</v>
      </c>
      <c r="W198" t="s">
        <v>420</v>
      </c>
      <c r="X198" t="s">
        <v>314</v>
      </c>
    </row>
    <row r="199" spans="21:24" x14ac:dyDescent="0.45">
      <c r="U199" t="s">
        <v>92</v>
      </c>
      <c r="V199" t="s">
        <v>551</v>
      </c>
      <c r="W199" t="s">
        <v>428</v>
      </c>
      <c r="X199" t="s">
        <v>314</v>
      </c>
    </row>
    <row r="200" spans="21:24" x14ac:dyDescent="0.45">
      <c r="U200" t="s">
        <v>92</v>
      </c>
      <c r="V200" t="s">
        <v>552</v>
      </c>
      <c r="W200" t="s">
        <v>428</v>
      </c>
      <c r="X200" t="s">
        <v>314</v>
      </c>
    </row>
    <row r="201" spans="21:24" x14ac:dyDescent="0.45">
      <c r="U201" t="s">
        <v>92</v>
      </c>
      <c r="V201" t="s">
        <v>553</v>
      </c>
      <c r="W201" t="s">
        <v>432</v>
      </c>
      <c r="X201" t="s">
        <v>314</v>
      </c>
    </row>
    <row r="202" spans="21:24" x14ac:dyDescent="0.45">
      <c r="U202" t="s">
        <v>92</v>
      </c>
      <c r="V202" t="s">
        <v>554</v>
      </c>
      <c r="W202" t="s">
        <v>432</v>
      </c>
      <c r="X202" t="s">
        <v>314</v>
      </c>
    </row>
    <row r="203" spans="21:24" x14ac:dyDescent="0.45">
      <c r="U203" t="s">
        <v>92</v>
      </c>
      <c r="V203" t="s">
        <v>555</v>
      </c>
      <c r="W203" t="s">
        <v>436</v>
      </c>
      <c r="X203" t="s">
        <v>314</v>
      </c>
    </row>
    <row r="204" spans="21:24" x14ac:dyDescent="0.45">
      <c r="U204" t="s">
        <v>92</v>
      </c>
      <c r="V204" t="s">
        <v>556</v>
      </c>
      <c r="W204" t="s">
        <v>436</v>
      </c>
      <c r="X204" t="s">
        <v>314</v>
      </c>
    </row>
    <row r="205" spans="21:24" x14ac:dyDescent="0.45">
      <c r="U205" t="s">
        <v>92</v>
      </c>
      <c r="V205" t="s">
        <v>557</v>
      </c>
      <c r="W205" t="s">
        <v>440</v>
      </c>
      <c r="X205" t="s">
        <v>314</v>
      </c>
    </row>
    <row r="206" spans="21:24" x14ac:dyDescent="0.45">
      <c r="U206" t="s">
        <v>92</v>
      </c>
      <c r="V206" t="s">
        <v>558</v>
      </c>
      <c r="W206" t="s">
        <v>440</v>
      </c>
      <c r="X206" t="s">
        <v>314</v>
      </c>
    </row>
    <row r="207" spans="21:24" x14ac:dyDescent="0.45">
      <c r="U207" t="s">
        <v>92</v>
      </c>
      <c r="V207" t="s">
        <v>559</v>
      </c>
      <c r="W207" t="s">
        <v>444</v>
      </c>
      <c r="X207" t="s">
        <v>314</v>
      </c>
    </row>
    <row r="208" spans="21:24" x14ac:dyDescent="0.45">
      <c r="U208" t="s">
        <v>92</v>
      </c>
      <c r="V208" t="s">
        <v>560</v>
      </c>
      <c r="W208" t="s">
        <v>444</v>
      </c>
      <c r="X208" t="s">
        <v>314</v>
      </c>
    </row>
    <row r="209" spans="21:24" x14ac:dyDescent="0.45">
      <c r="U209" t="s">
        <v>92</v>
      </c>
      <c r="V209" t="s">
        <v>561</v>
      </c>
      <c r="W209" t="s">
        <v>448</v>
      </c>
      <c r="X209" t="s">
        <v>314</v>
      </c>
    </row>
    <row r="210" spans="21:24" x14ac:dyDescent="0.45">
      <c r="U210" t="s">
        <v>92</v>
      </c>
      <c r="V210" t="s">
        <v>562</v>
      </c>
      <c r="W210" t="s">
        <v>448</v>
      </c>
      <c r="X210" t="s">
        <v>314</v>
      </c>
    </row>
    <row r="211" spans="21:24" x14ac:dyDescent="0.45">
      <c r="U211" t="s">
        <v>92</v>
      </c>
      <c r="V211" t="s">
        <v>563</v>
      </c>
      <c r="W211" t="s">
        <v>452</v>
      </c>
      <c r="X211" t="s">
        <v>314</v>
      </c>
    </row>
    <row r="212" spans="21:24" x14ac:dyDescent="0.45">
      <c r="U212" t="s">
        <v>92</v>
      </c>
      <c r="V212" t="s">
        <v>564</v>
      </c>
      <c r="W212" t="s">
        <v>452</v>
      </c>
      <c r="X212" t="s">
        <v>314</v>
      </c>
    </row>
    <row r="213" spans="21:24" x14ac:dyDescent="0.45">
      <c r="U213" t="s">
        <v>92</v>
      </c>
      <c r="V213" t="s">
        <v>565</v>
      </c>
      <c r="W213" t="s">
        <v>456</v>
      </c>
      <c r="X213" t="s">
        <v>314</v>
      </c>
    </row>
    <row r="214" spans="21:24" x14ac:dyDescent="0.45">
      <c r="U214" t="s">
        <v>92</v>
      </c>
      <c r="V214" t="s">
        <v>566</v>
      </c>
      <c r="W214" t="s">
        <v>456</v>
      </c>
      <c r="X214" t="s">
        <v>314</v>
      </c>
    </row>
    <row r="215" spans="21:24" x14ac:dyDescent="0.45">
      <c r="U215" t="s">
        <v>92</v>
      </c>
      <c r="V215" t="s">
        <v>567</v>
      </c>
      <c r="W215" t="s">
        <v>568</v>
      </c>
      <c r="X215" t="s">
        <v>314</v>
      </c>
    </row>
    <row r="216" spans="21:24" x14ac:dyDescent="0.45">
      <c r="U216" t="s">
        <v>92</v>
      </c>
      <c r="V216" t="s">
        <v>569</v>
      </c>
      <c r="W216" t="s">
        <v>568</v>
      </c>
      <c r="X216" t="s">
        <v>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H30" sqref="H30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89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  <c r="H21" t="s">
        <v>725</v>
      </c>
    </row>
    <row r="22" spans="2:12" x14ac:dyDescent="0.45">
      <c r="B22" t="s">
        <v>32</v>
      </c>
      <c r="C22" t="s">
        <v>5</v>
      </c>
      <c r="D22" t="s">
        <v>33</v>
      </c>
      <c r="E22">
        <f>J22*3.6</f>
        <v>338.40000000000003</v>
      </c>
      <c r="J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J23*3.6</f>
        <v>198</v>
      </c>
      <c r="J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J24*3.6</f>
        <v>252</v>
      </c>
      <c r="J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  <c r="H29" t="str">
        <f>"-"&amp;B29</f>
        <v>-prc_capact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89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89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89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89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89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89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89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89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89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89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89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89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89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89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89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89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89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89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89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89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89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89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89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89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89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89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89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89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89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2025-09-27T18:11:18Z</dcterms:modified>
</cp:coreProperties>
</file>