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22A67770-60D0-49F3-A665-C455411E69E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S-EECA links" sheetId="6" r:id="rId2"/>
    <sheet name="Veda" sheetId="1" r:id="rId3"/>
    <sheet name="buildrates" sheetId="4" r:id="rId4"/>
    <sheet name="historical_data_long" sheetId="3" r:id="rId5"/>
  </sheets>
  <definedNames>
    <definedName name="_xlnm._FilterDatabase" localSheetId="0" hidden="1">grids!$AM$9:$AO$163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" i="6" l="1"/>
  <c r="U35" i="6"/>
  <c r="U36" i="6"/>
  <c r="U37" i="6"/>
  <c r="U38" i="6"/>
  <c r="U39" i="6"/>
  <c r="U40" i="6"/>
  <c r="U41" i="6"/>
  <c r="U42" i="6"/>
  <c r="U43" i="6"/>
  <c r="U44" i="6"/>
  <c r="U45" i="6"/>
  <c r="U47" i="6"/>
  <c r="U48" i="6"/>
  <c r="U49" i="6"/>
  <c r="U50" i="6"/>
  <c r="U51" i="6"/>
  <c r="U52" i="6"/>
  <c r="U53" i="6"/>
  <c r="U54" i="6"/>
  <c r="R54" i="6"/>
  <c r="Q54" i="6"/>
  <c r="R53" i="6"/>
  <c r="Q53" i="6"/>
  <c r="R52" i="6"/>
  <c r="Q52" i="6"/>
  <c r="R51" i="6"/>
  <c r="Q51" i="6"/>
  <c r="R50" i="6"/>
  <c r="Q50" i="6"/>
  <c r="R49" i="6"/>
  <c r="Q49" i="6"/>
  <c r="R48" i="6"/>
  <c r="Q48" i="6"/>
  <c r="R47" i="6"/>
  <c r="Q47" i="6"/>
  <c r="R46" i="6"/>
  <c r="Q46" i="6"/>
  <c r="R45" i="6"/>
  <c r="Q45" i="6"/>
  <c r="R44" i="6"/>
  <c r="Q44" i="6"/>
  <c r="R43" i="6"/>
  <c r="Q43" i="6"/>
  <c r="R42" i="6"/>
  <c r="Q42" i="6"/>
  <c r="R41" i="6"/>
  <c r="Q41" i="6"/>
  <c r="R40" i="6"/>
  <c r="Q40" i="6"/>
  <c r="R39" i="6"/>
  <c r="Q39" i="6"/>
  <c r="R38" i="6"/>
  <c r="Q38" i="6"/>
  <c r="R37" i="6"/>
  <c r="Q37" i="6"/>
  <c r="R36" i="6"/>
  <c r="Q36" i="6"/>
  <c r="R35" i="6"/>
  <c r="Q35" i="6"/>
  <c r="R34" i="6"/>
  <c r="Q34" i="6"/>
  <c r="R33" i="6"/>
  <c r="Q33" i="6"/>
  <c r="N47" i="6"/>
  <c r="N48" i="6"/>
  <c r="N49" i="6"/>
  <c r="N50" i="6"/>
  <c r="N51" i="6"/>
  <c r="N52" i="6"/>
  <c r="N53" i="6"/>
  <c r="N54" i="6"/>
  <c r="N34" i="6"/>
  <c r="N35" i="6"/>
  <c r="N36" i="6"/>
  <c r="N37" i="6"/>
  <c r="N38" i="6"/>
  <c r="N39" i="6"/>
  <c r="N40" i="6"/>
  <c r="N41" i="6"/>
  <c r="N42" i="6"/>
  <c r="N43" i="6"/>
  <c r="N44" i="6"/>
  <c r="N45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33" i="6"/>
  <c r="F34" i="6"/>
  <c r="F35" i="6"/>
  <c r="F36" i="6"/>
  <c r="F37" i="6"/>
  <c r="F38" i="6"/>
  <c r="F39" i="6"/>
  <c r="F40" i="6"/>
  <c r="F41" i="6"/>
  <c r="F42" i="6"/>
  <c r="F43" i="6"/>
  <c r="F44" i="6"/>
  <c r="F45" i="6"/>
  <c r="F47" i="6"/>
  <c r="F48" i="6"/>
  <c r="F49" i="6"/>
  <c r="F50" i="6"/>
  <c r="F51" i="6"/>
  <c r="F52" i="6"/>
  <c r="F53" i="6"/>
  <c r="F54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33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C5" i="6"/>
  <c r="B5" i="6"/>
  <c r="H29" i="1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0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0" i="5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<sst xmlns="http://schemas.openxmlformats.org/spreadsheetml/2006/main" count="3901" uniqueCount="761">
  <si>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</si>
  <si>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</si>
  <si>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</si>
  <si>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</si>
  <si>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</si>
  <si>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</si>
  <si>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</si>
  <si>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</si>
  <si>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</si>
  <si>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</si>
  <si>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</si>
  <si>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</si>
  <si>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</si>
  <si>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</si>
  <si>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</si>
  <si>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</si>
  <si>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</si>
  <si>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</si>
  <si>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</si>
  <si>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</si>
  <si>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</si>
  <si>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</si>
  <si>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</si>
  <si>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</si>
  <si>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</si>
  <si>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</si>
  <si>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</si>
  <si>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</si>
  <si>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</si>
  <si>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</si>
  <si>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</si>
  <si>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</si>
  <si>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</si>
  <si>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</si>
  <si>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</si>
  <si>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</si>
  <si>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</si>
  <si>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</si>
  <si>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</si>
  <si>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</si>
  <si>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</si>
  <si>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</si>
  <si>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</si>
  <si>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</si>
  <si>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</si>
  <si>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</si>
  <si>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</si>
  <si>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</si>
  <si>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</si>
  <si>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</si>
  <si>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</si>
  <si>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</si>
  <si>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</si>
  <si>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</si>
  <si>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</si>
  <si>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</si>
  <si>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</si>
  <si>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</si>
  <si>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</si>
  <si>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</si>
  <si>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</si>
  <si>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</si>
  <si>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</si>
  <si>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</si>
  <si>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</si>
  <si>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</si>
  <si>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</si>
  <si>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</si>
  <si>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</si>
  <si>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</si>
  <si>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</si>
  <si>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</si>
  <si>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</si>
  <si>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</si>
  <si>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</si>
  <si>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</si>
  <si>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</si>
  <si>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</si>
  <si>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</si>
  <si>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</si>
  <si>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</si>
  <si>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</si>
  <si>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</si>
  <si>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</si>
  <si>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</si>
  <si>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</si>
  <si>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</si>
  <si>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</si>
  <si>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</si>
  <si>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</si>
  <si>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</si>
  <si>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</si>
  <si>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</si>
  <si>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</si>
  <si>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</si>
  <si>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</si>
  <si>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</si>
  <si>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</si>
  <si>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</si>
  <si>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</si>
  <si>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</si>
  <si>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</si>
  <si>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</si>
  <si>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</si>
  <si>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</si>
  <si>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</si>
  <si>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</si>
  <si>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</si>
  <si>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</si>
  <si>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</si>
  <si>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</si>
  <si>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</si>
  <si>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</si>
  <si>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</si>
  <si>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</si>
  <si>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</si>
  <si>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</si>
  <si>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</si>
  <si>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</si>
  <si>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</si>
  <si>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</si>
  <si>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</si>
  <si>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</si>
  <si>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</si>
  <si>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</si>
  <si>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</si>
  <si>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</si>
  <si>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</si>
  <si>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</si>
  <si>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</si>
  <si>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</si>
  <si>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</si>
  <si>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</si>
  <si>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</si>
  <si>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</si>
  <si>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</si>
  <si>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</si>
  <si>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</si>
  <si>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</si>
  <si>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</si>
  <si>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</si>
  <si>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</si>
  <si>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</si>
  <si>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</si>
  <si>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</si>
  <si>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</si>
  <si>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</si>
  <si>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</si>
  <si>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</si>
  <si>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</si>
  <si>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</si>
  <si>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</si>
  <si>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</si>
  <si>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</si>
  <si>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</si>
  <si>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</si>
  <si>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</si>
  <si>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</si>
  <si>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</si>
  <si>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</si>
  <si>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</si>
  <si>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</si>
  <si>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</si>
  <si>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</si>
  <si>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</si>
  <si>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</si>
  <si>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</si>
  <si>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</si>
  <si>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</si>
  <si>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</si>
  <si>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</si>
  <si>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</si>
  <si>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</si>
  <si>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</si>
  <si>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</si>
  <si>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</si>
  <si>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</si>
  <si>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</si>
  <si>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</si>
  <si>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</si>
  <si>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</si>
  <si>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</si>
  <si>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</si>
  <si>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</si>
  <si>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</si>
  <si>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</si>
  <si>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</si>
  <si>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</si>
  <si>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</si>
  <si>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</si>
  <si>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</si>
  <si>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</si>
  <si>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</si>
  <si>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</si>
  <si>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</si>
  <si>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</si>
  <si>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</si>
  <si>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</si>
  <si>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</si>
  <si>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</si>
  <si>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</si>
  <si>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</si>
  <si>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</si>
  <si>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</si>
  <si>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</si>
  <si>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</si>
  <si>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</si>
  <si>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</si>
  <si>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</si>
  <si>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</si>
  <si>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</si>
  <si>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</si>
  <si>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</si>
  <si>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</si>
  <si>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</si>
  <si>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</si>
  <si>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</si>
  <si>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</si>
  <si>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</si>
  <si>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</si>
  <si>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</si>
  <si>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</si>
  <si>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</si>
  <si>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</si>
  <si>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</si>
  <si>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</si>
  <si>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</si>
  <si>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</si>
  <si>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</si>
  <si>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</si>
  <si>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</si>
  <si>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</si>
  <si>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</si>
  <si>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</si>
  <si>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</si>
  <si>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</si>
  <si>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</si>
  <si>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</si>
  <si>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</si>
  <si>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</si>
  <si>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</si>
  <si>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</si>
  <si>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</si>
  <si>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</si>
  <si>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</si>
  <si>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</si>
  <si>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</si>
  <si>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</si>
  <si>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</si>
  <si>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</si>
  <si>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</si>
  <si>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</si>
  <si>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</si>
  <si>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</si>
  <si>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</si>
  <si>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</si>
  <si>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</si>
  <si>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</si>
  <si>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</si>
  <si>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</si>
  <si>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</si>
  <si>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</si>
  <si>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</si>
  <si>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</si>
  <si>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</si>
  <si>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</si>
  <si>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</si>
  <si>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</si>
  <si>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</si>
  <si>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</si>
  <si>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</si>
  <si>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</si>
  <si>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</si>
  <si>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</si>
  <si>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</si>
  <si>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</si>
  <si>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</si>
  <si>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</si>
  <si>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</si>
  <si>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</si>
  <si>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</si>
  <si>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</si>
  <si>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</si>
  <si>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</si>
  <si>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</si>
  <si>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</si>
  <si>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</si>
  <si>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</si>
  <si>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</si>
  <si>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</si>
  <si>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</si>
  <si>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</si>
  <si>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</si>
  <si>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</si>
  <si>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</si>
  <si>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</si>
  <si>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</si>
  <si>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</si>
  <si>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</si>
  <si>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</si>
  <si>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</si>
  <si>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</si>
  <si>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</si>
  <si>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</si>
  <si>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</si>
  <si>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</si>
  <si>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</si>
  <si>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</si>
  <si>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</si>
  <si>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</si>
  <si>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</si>
  <si>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</si>
  <si>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</si>
  <si>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</si>
  <si>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</si>
  <si>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</si>
  <si>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</si>
  <si>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</si>
  <si>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</si>
  <si>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</si>
  <si>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</si>
  <si>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</si>
  <si>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</si>
  <si>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</si>
  <si>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</si>
  <si>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</si>
  <si>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</si>
  <si>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</si>
  <si>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</si>
  <si>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</si>
  <si>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</si>
  <si>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</si>
  <si>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</si>
  <si>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</si>
  <si>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</si>
  <si>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</si>
  <si>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</si>
  <si>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</si>
  <si>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</si>
  <si>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</si>
  <si>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</si>
  <si>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</si>
  <si>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</si>
  <si>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</si>
  <si>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</si>
  <si>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</si>
  <si>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</si>
  <si>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</si>
  <si>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</si>
  <si>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</si>
  <si>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</si>
  <si>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</si>
  <si>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</si>
  <si>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Bioenergy + CCUS_w94053861-220</t>
  </si>
  <si>
    <t>Bioenergy - Large scale unit_w94053861-220</t>
  </si>
  <si>
    <t>CCGT_w94053861-220</t>
  </si>
  <si>
    <t>CCGT + CCS_w94053861-220</t>
  </si>
  <si>
    <t>Coal + CCS_w94053861-220</t>
  </si>
  <si>
    <t>Gas turbine_w94053861-220</t>
  </si>
  <si>
    <t>IGCC_w94053861-220</t>
  </si>
  <si>
    <t>IGCC + CCS_w94053861-220</t>
  </si>
  <si>
    <t>Nuclear large_w94053861-220</t>
  </si>
  <si>
    <t>Oxyfuel + CCS_w94053861-220</t>
  </si>
  <si>
    <t>Steam Coal - SUBCRITICAL_w94053861-220</t>
  </si>
  <si>
    <t>Steam Coal - SUPERCRITICAL_w94053861-220</t>
  </si>
  <si>
    <t>Steam Coal - ULTRASUPERCRITICAL_w94053861-220</t>
  </si>
  <si>
    <t>EN_Hydro_NZL-1_NZ12-220</t>
  </si>
  <si>
    <t>e_NZ12-220</t>
  </si>
  <si>
    <t>EN_Hydro_NZL-2_NZ12-220</t>
  </si>
  <si>
    <t>EN_Hydro_NZL-3_NZ12-220</t>
  </si>
  <si>
    <t>EN_Hydro_NZL-1_w270018358-220</t>
  </si>
  <si>
    <t>e_w270018358-220</t>
  </si>
  <si>
    <t>EN_Hydro_NZL-2_w270018358-220</t>
  </si>
  <si>
    <t>EN_Hydro_NZL-3_w270018358-220</t>
  </si>
  <si>
    <t>EN_Hydro_NZL-1_w93556808-220</t>
  </si>
  <si>
    <t>e_w93556808-220</t>
  </si>
  <si>
    <t>EN_Hydro_NZL-2_w93556808-220</t>
  </si>
  <si>
    <t>EN_Hydro_NZL-3_w93556808-220</t>
  </si>
  <si>
    <t>EN_Hydro_NZL-1_w89637174-220</t>
  </si>
  <si>
    <t>e_w89637174-220</t>
  </si>
  <si>
    <t>EN_Hydro_NZL-2_w89637174-220</t>
  </si>
  <si>
    <t>EN_Hydro_NZL-3_w89637174-220</t>
  </si>
  <si>
    <t>EN_Hydro_NZL-1_w89664063-220</t>
  </si>
  <si>
    <t>e_w89664063-220</t>
  </si>
  <si>
    <t>EN_Hydro_NZL-2_w89664063-220</t>
  </si>
  <si>
    <t>EN_Hydro_NZL-3_w89664063-220</t>
  </si>
  <si>
    <t>EN_Hydro_NZL-1_NZ40-220</t>
  </si>
  <si>
    <t>e_NZ40-220</t>
  </si>
  <si>
    <t>EN_Hydro_NZL-2_NZ40-220</t>
  </si>
  <si>
    <t>EN_Hydro_NZL-3_NZ40-220</t>
  </si>
  <si>
    <t>EN_Hydro_NZL-1_NZ11-220</t>
  </si>
  <si>
    <t>e_NZ11-220</t>
  </si>
  <si>
    <t>EN_Hydro_NZL-2_NZ11-220</t>
  </si>
  <si>
    <t>EN_Hydro_NZL-3_NZ11-220</t>
  </si>
  <si>
    <t>EN_Hydro_NZL-1_w180514007-220</t>
  </si>
  <si>
    <t>e_w180514007-220</t>
  </si>
  <si>
    <t>EN_Hydro_NZL-2_w180514007-220</t>
  </si>
  <si>
    <t>EN_Hydro_NZL-3_w180514007-220</t>
  </si>
  <si>
    <t>EN_Hydro_NZL-1_w412589726-220</t>
  </si>
  <si>
    <t>e_w412589726-220</t>
  </si>
  <si>
    <t>EN_Hydro_NZL-2_w412589726-220</t>
  </si>
  <si>
    <t>EN_Hydro_NZL-3_w412589726-220</t>
  </si>
  <si>
    <t>EN_Hydro_NZL-1_w87928925-220</t>
  </si>
  <si>
    <t>e_w87928925-220</t>
  </si>
  <si>
    <t>EN_Hydro_NZL-2_w87928925-220</t>
  </si>
  <si>
    <t>EN_Hydro_NZL-3_w87928925-220</t>
  </si>
  <si>
    <t>EN_Hydro_NZL-1_NZ13-220</t>
  </si>
  <si>
    <t>e_NZ13-220</t>
  </si>
  <si>
    <t>EN_Hydro_NZL-2_NZ13-220</t>
  </si>
  <si>
    <t>EN_Hydro_NZL-3_NZ13-220</t>
  </si>
  <si>
    <t>EN_Hydro_NZL-1_w272522517-220</t>
  </si>
  <si>
    <t>e_w272522517-220</t>
  </si>
  <si>
    <t>EN_Hydro_NZL-2_w272522517-220</t>
  </si>
  <si>
    <t>EN_Hydro_NZL-3_w272522517-220</t>
  </si>
  <si>
    <t>EN_Hydro_NZL-1_NZ33-220</t>
  </si>
  <si>
    <t>e_NZ33-220</t>
  </si>
  <si>
    <t>EN_Hydro_NZL-2_NZ33-220</t>
  </si>
  <si>
    <t>EN_Hydro_NZL-3_NZ33-220</t>
  </si>
  <si>
    <t>EN_Hydro_NZL-1_NZ35-220</t>
  </si>
  <si>
    <t>e_NZ35-220</t>
  </si>
  <si>
    <t>EN_Hydro_NZL-2_NZ35-220</t>
  </si>
  <si>
    <t>EN_Hydro_NZL-3_NZ35-220</t>
  </si>
  <si>
    <t>EN_Hydro_NZL-1_w89636266-220</t>
  </si>
  <si>
    <t>e_w89636266-220</t>
  </si>
  <si>
    <t>EN_Hydro_NZL-2_w89636266-220</t>
  </si>
  <si>
    <t>EN_Hydro_NZL-3_w89636266-220</t>
  </si>
  <si>
    <t>EN_Hydro_NZL-1_NZ22-220</t>
  </si>
  <si>
    <t>e_NZ22-220</t>
  </si>
  <si>
    <t>EN_Hydro_NZL-2_NZ22-220</t>
  </si>
  <si>
    <t>EN_Hydro_NZL-3_NZ22-220</t>
  </si>
  <si>
    <t>EN_Hydro_NZL-1_NZ30-220</t>
  </si>
  <si>
    <t>e_NZ30-220</t>
  </si>
  <si>
    <t>EN_Hydro_NZL-2_NZ30-220</t>
  </si>
  <si>
    <t>EN_Hydro_NZL-3_NZ30-220</t>
  </si>
  <si>
    <t>EN_Hydro_NZL-1_w89411122-220</t>
  </si>
  <si>
    <t>e_w89411122-220</t>
  </si>
  <si>
    <t>EN_Hydro_NZL-2_w89411122-220</t>
  </si>
  <si>
    <t>EN_Hydro_NZL-3_w89411122-220</t>
  </si>
  <si>
    <t>EN_Hydro_NZL-1_w95512216-220</t>
  </si>
  <si>
    <t>e_w95512216-220</t>
  </si>
  <si>
    <t>EN_Hydro_NZL-2_w95512216-220</t>
  </si>
  <si>
    <t>EN_Hydro_NZL-3_w95512216-220</t>
  </si>
  <si>
    <t>EN_Hydro_NZL-1_w169512273-220</t>
  </si>
  <si>
    <t>e_w169512273-220</t>
  </si>
  <si>
    <t>EN_Hydro_NZL-2_w169512273-220</t>
  </si>
  <si>
    <t>EN_Hydro_NZL-3_w169512273-220</t>
  </si>
  <si>
    <t>EN_Hydro_NZL-1_w270521928-220</t>
  </si>
  <si>
    <t>e_w270521928-220</t>
  </si>
  <si>
    <t>EN_Hydro_NZL-2_w270521928-220</t>
  </si>
  <si>
    <t>EN_Hydro_NZL-3_w270521928-220</t>
  </si>
  <si>
    <t>EN_Hydro_NZL-1_w89637173-220</t>
  </si>
  <si>
    <t>e_w89637173-220</t>
  </si>
  <si>
    <t>EN_Hydro_NZL-2_w89637173-220</t>
  </si>
  <si>
    <t>EN_Hydro_NZL-3_w89637173-220</t>
  </si>
  <si>
    <t>EN_Hydro_NZL-1_NZ14-220</t>
  </si>
  <si>
    <t>e_NZ14-220</t>
  </si>
  <si>
    <t>EN_Hydro_NZL-2_NZ14-220</t>
  </si>
  <si>
    <t>EN_Hydro_NZL-3_NZ14-220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</si>
  <si>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</si>
  <si>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</si>
  <si>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</si>
  <si>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</si>
  <si>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</si>
  <si>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</si>
  <si>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EN_STG8hbNREL_w94053861-220</t>
  </si>
  <si>
    <t>EN_STG4hbNREL_w94053861-220</t>
  </si>
  <si>
    <t>EN_STG8hbNREL_w1026587442-220</t>
  </si>
  <si>
    <t>e_w1026587442-220</t>
  </si>
  <si>
    <t>EN_STG4hbNREL_w1026587442-220</t>
  </si>
  <si>
    <t>EN_STG8hbNREL_w167572576-220</t>
  </si>
  <si>
    <t>e_w167572576-220</t>
  </si>
  <si>
    <t>EN_STG4hbNREL_w167572576-220</t>
  </si>
  <si>
    <t>EN_STG8hbNREL_NZ42-220</t>
  </si>
  <si>
    <t>e_NZ42-220</t>
  </si>
  <si>
    <t>EN_STG4hbNREL_NZ42-220</t>
  </si>
  <si>
    <t>EN_STG8hbNREL_NZ23-220</t>
  </si>
  <si>
    <t>e_NZ23-220</t>
  </si>
  <si>
    <t>EN_STG4hbNREL_NZ23-220</t>
  </si>
  <si>
    <t>EN_STG8hbNREL_w89636266-220</t>
  </si>
  <si>
    <t>EN_STG4hbNREL_w89636266-220</t>
  </si>
  <si>
    <t>EN_STG8hbNREL_w414953388-220</t>
  </si>
  <si>
    <t>e_w414953388-220</t>
  </si>
  <si>
    <t>EN_STG4hbNREL_w414953388-220</t>
  </si>
  <si>
    <t>EN_STG8hbNREL_w89636510-220</t>
  </si>
  <si>
    <t>e_w89636510-220</t>
  </si>
  <si>
    <t>EN_STG4hbNREL_w89636510-220</t>
  </si>
  <si>
    <t>EN_STG8hbNREL_NZ31-220</t>
  </si>
  <si>
    <t>e_NZ31-220</t>
  </si>
  <si>
    <t>EN_STG4hbNREL_NZ31-220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</si>
  <si>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</si>
  <si>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</si>
  <si>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</si>
  <si>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</si>
  <si>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</si>
  <si>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</si>
  <si>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</si>
  <si>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</si>
  <si>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</si>
  <si>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</si>
  <si>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</si>
  <si>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</si>
  <si>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</si>
  <si>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</si>
  <si>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</si>
  <si>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</si>
  <si>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</si>
  <si>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</si>
  <si>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</si>
  <si>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</si>
  <si>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</si>
  <si>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EN_STG8hbNREL_w270022030-220</t>
  </si>
  <si>
    <t>e_w270022030-220</t>
  </si>
  <si>
    <t>EN_STG4hbNREL_w270022030-220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</si>
  <si>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</si>
  <si>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</si>
  <si>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</si>
  <si>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</si>
  <si>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</si>
  <si>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</si>
  <si>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</si>
  <si>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</si>
  <si>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</si>
  <si>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</si>
  <si>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</si>
  <si>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</si>
  <si>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</si>
  <si>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</si>
  <si>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</si>
  <si>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</si>
  <si>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</si>
  <si>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</si>
  <si>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</si>
  <si>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</si>
  <si>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</si>
  <si>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</si>
  <si>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</si>
  <si>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EN_STG8hbNREL_w180514007-220</t>
  </si>
  <si>
    <t>EN_STG4hbNREL_w180514007-220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</si>
  <si>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</si>
  <si>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</si>
  <si>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</si>
  <si>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</si>
  <si>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</si>
  <si>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</si>
  <si>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</si>
  <si>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</si>
  <si>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</si>
  <si>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</si>
  <si>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</si>
  <si>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</si>
  <si>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EN_STG8hbNREL_NZ22-220</t>
  </si>
  <si>
    <t>EN_STG4hbNREL_NZ22-220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</si>
  <si>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</si>
  <si>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</si>
  <si>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</si>
  <si>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</si>
  <si>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</si>
  <si>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</si>
  <si>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</si>
  <si>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</si>
  <si>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</si>
  <si>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</si>
  <si>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</si>
  <si>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</si>
  <si>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</si>
  <si>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</si>
  <si>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EN_STG8hbNREL_w94840399-220</t>
  </si>
  <si>
    <t>e_w94840399-220</t>
  </si>
  <si>
    <t>EN_STG4hbNREL_w94840399-220</t>
  </si>
  <si>
    <t>ELC</t>
  </si>
  <si>
    <t>limtype</t>
  </si>
  <si>
    <t>UP</t>
  </si>
  <si>
    <t>flo_bnd</t>
  </si>
  <si>
    <t>year</t>
  </si>
  <si>
    <t>pset_set</t>
  </si>
  <si>
    <t>ELE,DMD,PRE</t>
  </si>
  <si>
    <t>North Island (NI)</t>
  </si>
  <si>
    <t>South Island (SI)</t>
  </si>
  <si>
    <t>Auckland</t>
  </si>
  <si>
    <t>Canterbury</t>
  </si>
  <si>
    <t>Waikato</t>
  </si>
  <si>
    <t>Otago</t>
  </si>
  <si>
    <t>Northland</t>
  </si>
  <si>
    <t>Southland</t>
  </si>
  <si>
    <t>Hawke's Bay</t>
  </si>
  <si>
    <t>Tasman District</t>
  </si>
  <si>
    <t>Wellington</t>
  </si>
  <si>
    <t>Nelson City</t>
  </si>
  <si>
    <t>Manawatu-Wanganui</t>
  </si>
  <si>
    <t>West Coast</t>
  </si>
  <si>
    <t>Bay of Plenty</t>
  </si>
  <si>
    <t>Marlborough District</t>
  </si>
  <si>
    <t>Taranaki</t>
  </si>
  <si>
    <t>dimension</t>
  </si>
  <si>
    <t>description</t>
  </si>
  <si>
    <t>p_w26671244</t>
  </si>
  <si>
    <t>admin_1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</si>
  <si>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</si>
  <si>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</si>
  <si>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</si>
  <si>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</si>
  <si>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</si>
  <si>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</si>
  <si>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</si>
  <si>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</si>
  <si>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</si>
  <si>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</si>
  <si>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</si>
  <si>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</si>
  <si>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</si>
  <si>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</si>
  <si>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</si>
  <si>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</si>
  <si>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</si>
  <si>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</si>
  <si>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</si>
  <si>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</si>
  <si>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</si>
  <si>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</si>
  <si>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</si>
  <si>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</si>
  <si>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</si>
  <si>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</si>
  <si>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</si>
  <si>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</si>
  <si>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</si>
  <si>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</si>
  <si>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</si>
  <si>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</si>
  <si>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</si>
  <si>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</si>
  <si>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</si>
  <si>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</si>
  <si>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</si>
  <si>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</si>
  <si>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</si>
  <si>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</si>
  <si>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</si>
  <si>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</si>
  <si>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</si>
  <si>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</si>
  <si>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</si>
  <si>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</si>
  <si>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</si>
  <si>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</si>
  <si>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</si>
  <si>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</si>
  <si>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</si>
  <si>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</si>
  <si>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</si>
  <si>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</si>
  <si>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</si>
  <si>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</si>
  <si>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</si>
  <si>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</si>
  <si>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</si>
  <si>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</si>
  <si>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</si>
  <si>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</si>
  <si>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</si>
  <si>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</si>
  <si>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</si>
  <si>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</si>
  <si>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</si>
  <si>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</si>
  <si>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</si>
  <si>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</si>
  <si>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</si>
  <si>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</si>
  <si>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</si>
  <si>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</si>
  <si>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</si>
  <si>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</si>
  <si>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</si>
  <si>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</si>
  <si>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</si>
  <si>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</si>
  <si>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</si>
  <si>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</si>
  <si>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</si>
  <si>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</si>
  <si>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</si>
  <si>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</si>
  <si>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</si>
  <si>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</si>
  <si>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</si>
  <si>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</si>
  <si>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</si>
  <si>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</si>
  <si>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</si>
  <si>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</si>
  <si>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</si>
  <si>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</si>
  <si>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</si>
  <si>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</si>
  <si>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</si>
  <si>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</si>
  <si>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</si>
  <si>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</si>
  <si>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</si>
  <si>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</si>
  <si>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</si>
  <si>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</si>
  <si>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</si>
  <si>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</si>
  <si>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</si>
  <si>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</si>
  <si>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</si>
  <si>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</si>
  <si>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</si>
  <si>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</si>
  <si>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</si>
  <si>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</si>
  <si>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</si>
  <si>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</si>
  <si>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</si>
  <si>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</si>
  <si>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</si>
  <si>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</si>
  <si>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</si>
  <si>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SI</t>
  </si>
  <si>
    <t>~TFM_TOPINS</t>
  </si>
  <si>
    <t>G_*</t>
  </si>
  <si>
    <t>???ELC</t>
  </si>
  <si>
    <t>attrib_cond</t>
  </si>
  <si>
    <t>deact tfm_ins-at</t>
  </si>
  <si>
    <t>bus_id</t>
  </si>
  <si>
    <t>island</t>
  </si>
  <si>
    <t>NI</t>
  </si>
  <si>
    <t>NZ11-220</t>
  </si>
  <si>
    <t>NZ13-220</t>
  </si>
  <si>
    <t>NZ27-220</t>
  </si>
  <si>
    <t>w87928925-220</t>
  </si>
  <si>
    <t>w94053861-220</t>
  </si>
  <si>
    <t>w95344674-220</t>
  </si>
  <si>
    <t>w119877500-220</t>
  </si>
  <si>
    <t>w167285260-220</t>
  </si>
  <si>
    <t>w167285336-220</t>
  </si>
  <si>
    <t>w167300914-220</t>
  </si>
  <si>
    <t>w270022030-220</t>
  </si>
  <si>
    <t>w907631032-220</t>
  </si>
  <si>
    <t>w1167708390-220</t>
  </si>
  <si>
    <t>w1363994055-220</t>
  </si>
  <si>
    <t>w33795353-220</t>
  </si>
  <si>
    <t>w270521928-220</t>
  </si>
  <si>
    <t>w95343089-220</t>
  </si>
  <si>
    <t>w100957314-220</t>
  </si>
  <si>
    <t>w167286837-220</t>
  </si>
  <si>
    <t>w180519027-220</t>
  </si>
  <si>
    <t>w268826084-220</t>
  </si>
  <si>
    <t>w272195826-220</t>
  </si>
  <si>
    <t>RESELC</t>
  </si>
  <si>
    <t>COMELC</t>
  </si>
  <si>
    <t>TRAELC</t>
  </si>
  <si>
    <t>INDELC</t>
  </si>
  <si>
    <t>AGRELC</t>
  </si>
  <si>
    <t>RESELC,COMELC,TRAELC</t>
  </si>
  <si>
    <t>~TFM_INS-TS: attribute=FLO_SHAR</t>
  </si>
  <si>
    <t>AGRCO2,COMCO2,ELCCO2,GASCO2,INDCO2,REFCO2,RESCO2,TRACO2,co2</t>
  </si>
  <si>
    <t>g_inter-island_HVDC</t>
  </si>
  <si>
    <t>~TFM_INS-AT: curr=USD24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</si>
</sst>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0932-2571-42A8-A392-6BC0D2DAC0CD}">
  <dimension ref="B2:AP216"/>
  <sheetViews>
    <sheetView tabSelected="1" workbookViewId="0">
      <selection activeCell="B3" sqref="B3"/>
    </sheetView>
  </sheetViews>
  <sheetFormatPr defaultRowHeight="14.25" x14ac:dyDescent="0.45"/>
  <cols>
    <col min="28" max="28" width="13.796875" bestFit="1" customWidth="1"/>
  </cols>
  <sheetData>
    <row r="2" spans="2:42" x14ac:dyDescent="0.45">
      <c r="B2" t="s">
        <v>760</v>
      </c>
      <c r="H2" t="s">
        <v>251</v>
      </c>
      <c r="P2" t="s">
        <v>297</v>
      </c>
      <c r="U2" t="s">
        <v>297</v>
      </c>
    </row>
    <row r="3" spans="2:42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725</v>
      </c>
    </row>
    <row r="4" spans="2:42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570</v>
      </c>
      <c r="AC4" t="s">
        <v>572</v>
      </c>
      <c r="AD4" t="s">
        <v>573</v>
      </c>
      <c r="AE4" t="s">
        <v>574</v>
      </c>
    </row>
    <row r="5" spans="2:42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569</v>
      </c>
      <c r="AB5" t="s">
        <v>571</v>
      </c>
      <c r="AC5">
        <v>2</v>
      </c>
      <c r="AD5">
        <v>0</v>
      </c>
      <c r="AE5" t="s">
        <v>575</v>
      </c>
    </row>
    <row r="6" spans="2:42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42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42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  <c r="AA8" t="s">
        <v>721</v>
      </c>
    </row>
    <row r="9" spans="2:42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  <c r="AA9" t="s">
        <v>310</v>
      </c>
      <c r="AB9" t="s">
        <v>252</v>
      </c>
      <c r="AC9" t="s">
        <v>14</v>
      </c>
      <c r="AD9" t="s">
        <v>38</v>
      </c>
      <c r="AE9" t="s">
        <v>298</v>
      </c>
      <c r="AI9" t="s">
        <v>576</v>
      </c>
      <c r="AJ9" t="s">
        <v>577</v>
      </c>
      <c r="AM9" t="s">
        <v>574</v>
      </c>
      <c r="AN9" t="s">
        <v>593</v>
      </c>
      <c r="AO9" t="s">
        <v>594</v>
      </c>
    </row>
    <row r="10" spans="2:42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  <c r="AA10" t="str">
        <f>AP10</f>
        <v>NI</v>
      </c>
      <c r="AB10" t="str">
        <f>"e"&amp;MID(AM10,2,255)&amp;"-220"</f>
        <v>e_w26671244-220</v>
      </c>
      <c r="AC10" t="s">
        <v>723</v>
      </c>
      <c r="AD10" t="s">
        <v>722</v>
      </c>
      <c r="AE10" t="s">
        <v>300</v>
      </c>
      <c r="AI10" t="s">
        <v>578</v>
      </c>
      <c r="AJ10" t="s">
        <v>579</v>
      </c>
      <c r="AK10" t="s">
        <v>720</v>
      </c>
      <c r="AM10" t="s">
        <v>595</v>
      </c>
      <c r="AN10" t="s">
        <v>596</v>
      </c>
      <c r="AO10" t="s">
        <v>578</v>
      </c>
      <c r="AP10" t="str">
        <f t="shared" ref="AP10:AP41" si="0">IFERROR(VLOOKUP(AO10,$AJ$10:$AK$18,2,FALSE),"NI")</f>
        <v>NI</v>
      </c>
    </row>
    <row r="11" spans="2:42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  <c r="AA11" t="str">
        <f t="shared" ref="AA11:AA74" si="1">AP11</f>
        <v>SI</v>
      </c>
      <c r="AB11" t="str">
        <f t="shared" ref="AB11:AB74" si="2">"e"&amp;MID(AM11,2,255)&amp;"-220"</f>
        <v>e_w33795353-220</v>
      </c>
      <c r="AC11" t="s">
        <v>723</v>
      </c>
      <c r="AD11" t="s">
        <v>722</v>
      </c>
      <c r="AE11" t="s">
        <v>300</v>
      </c>
      <c r="AI11" t="s">
        <v>580</v>
      </c>
      <c r="AJ11" t="s">
        <v>581</v>
      </c>
      <c r="AK11" t="s">
        <v>720</v>
      </c>
      <c r="AM11" t="s">
        <v>597</v>
      </c>
      <c r="AN11" t="s">
        <v>596</v>
      </c>
      <c r="AO11" t="s">
        <v>579</v>
      </c>
      <c r="AP11" t="str">
        <f t="shared" si="0"/>
        <v>SI</v>
      </c>
    </row>
    <row r="12" spans="2:42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  <c r="AA12" t="str">
        <f t="shared" si="1"/>
        <v>NI</v>
      </c>
      <c r="AB12" t="str">
        <f t="shared" si="2"/>
        <v>e_w61455399-220</v>
      </c>
      <c r="AC12" t="s">
        <v>723</v>
      </c>
      <c r="AD12" t="s">
        <v>722</v>
      </c>
      <c r="AE12" t="s">
        <v>300</v>
      </c>
      <c r="AI12" t="s">
        <v>582</v>
      </c>
      <c r="AJ12" t="s">
        <v>583</v>
      </c>
      <c r="AK12" t="s">
        <v>720</v>
      </c>
      <c r="AM12" t="s">
        <v>598</v>
      </c>
      <c r="AN12" t="s">
        <v>596</v>
      </c>
      <c r="AO12" t="s">
        <v>578</v>
      </c>
      <c r="AP12" t="str">
        <f t="shared" si="0"/>
        <v>NI</v>
      </c>
    </row>
    <row r="13" spans="2:42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  <c r="AA13" t="str">
        <f t="shared" si="1"/>
        <v>NI</v>
      </c>
      <c r="AB13" t="str">
        <f t="shared" si="2"/>
        <v>e_w61853727-220</v>
      </c>
      <c r="AC13" t="s">
        <v>723</v>
      </c>
      <c r="AD13" t="s">
        <v>722</v>
      </c>
      <c r="AE13" t="s">
        <v>300</v>
      </c>
      <c r="AI13" t="s">
        <v>584</v>
      </c>
      <c r="AJ13" t="s">
        <v>585</v>
      </c>
      <c r="AK13" t="s">
        <v>720</v>
      </c>
      <c r="AM13" t="s">
        <v>599</v>
      </c>
      <c r="AN13" t="s">
        <v>596</v>
      </c>
      <c r="AO13" t="s">
        <v>578</v>
      </c>
      <c r="AP13" t="str">
        <f t="shared" si="0"/>
        <v>NI</v>
      </c>
    </row>
    <row r="14" spans="2:42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  <c r="AA14" t="str">
        <f t="shared" si="1"/>
        <v>NI</v>
      </c>
      <c r="AB14" t="str">
        <f t="shared" si="2"/>
        <v>e_w75609279-220</v>
      </c>
      <c r="AC14" t="s">
        <v>723</v>
      </c>
      <c r="AD14" t="s">
        <v>722</v>
      </c>
      <c r="AE14" t="s">
        <v>300</v>
      </c>
      <c r="AI14" t="s">
        <v>586</v>
      </c>
      <c r="AJ14" t="s">
        <v>587</v>
      </c>
      <c r="AK14" t="s">
        <v>720</v>
      </c>
      <c r="AM14" t="s">
        <v>600</v>
      </c>
      <c r="AN14" t="s">
        <v>596</v>
      </c>
      <c r="AO14" t="s">
        <v>578</v>
      </c>
      <c r="AP14" t="str">
        <f t="shared" si="0"/>
        <v>NI</v>
      </c>
    </row>
    <row r="15" spans="2:42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  <c r="AA15" t="str">
        <f t="shared" si="1"/>
        <v>NI</v>
      </c>
      <c r="AB15" t="str">
        <f t="shared" si="2"/>
        <v>e_w82881422-220</v>
      </c>
      <c r="AC15" t="s">
        <v>723</v>
      </c>
      <c r="AD15" t="s">
        <v>722</v>
      </c>
      <c r="AE15" t="s">
        <v>300</v>
      </c>
      <c r="AI15" t="s">
        <v>588</v>
      </c>
      <c r="AJ15" t="s">
        <v>589</v>
      </c>
      <c r="AK15" t="s">
        <v>720</v>
      </c>
      <c r="AM15" t="s">
        <v>601</v>
      </c>
      <c r="AN15" t="s">
        <v>596</v>
      </c>
      <c r="AO15" t="s">
        <v>578</v>
      </c>
      <c r="AP15" t="str">
        <f t="shared" si="0"/>
        <v>NI</v>
      </c>
    </row>
    <row r="16" spans="2:42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  <c r="AA16" t="str">
        <f t="shared" si="1"/>
        <v>NI</v>
      </c>
      <c r="AB16" t="str">
        <f t="shared" si="2"/>
        <v>e_w87837416-220</v>
      </c>
      <c r="AC16" t="s">
        <v>723</v>
      </c>
      <c r="AD16" t="s">
        <v>722</v>
      </c>
      <c r="AE16" t="s">
        <v>300</v>
      </c>
      <c r="AI16" t="s">
        <v>590</v>
      </c>
      <c r="AJ16" t="s">
        <v>591</v>
      </c>
      <c r="AK16" t="s">
        <v>720</v>
      </c>
      <c r="AM16" t="s">
        <v>602</v>
      </c>
      <c r="AN16" t="s">
        <v>596</v>
      </c>
      <c r="AO16" t="s">
        <v>580</v>
      </c>
      <c r="AP16" t="str">
        <f t="shared" si="0"/>
        <v>NI</v>
      </c>
    </row>
    <row r="17" spans="2:42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  <c r="AA17" t="str">
        <f t="shared" si="1"/>
        <v>NI</v>
      </c>
      <c r="AB17" t="str">
        <f t="shared" si="2"/>
        <v>e_w87897292-220</v>
      </c>
      <c r="AC17" t="s">
        <v>723</v>
      </c>
      <c r="AD17" t="s">
        <v>722</v>
      </c>
      <c r="AE17" t="s">
        <v>300</v>
      </c>
      <c r="AI17" t="s">
        <v>592</v>
      </c>
      <c r="AM17" t="s">
        <v>603</v>
      </c>
      <c r="AN17" t="s">
        <v>596</v>
      </c>
      <c r="AO17" t="s">
        <v>578</v>
      </c>
      <c r="AP17" t="str">
        <f t="shared" si="0"/>
        <v>NI</v>
      </c>
    </row>
    <row r="18" spans="2:42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  <c r="AA18" t="str">
        <f t="shared" si="1"/>
        <v>NI</v>
      </c>
      <c r="AB18" t="str">
        <f t="shared" si="2"/>
        <v>e_w87928925-220</v>
      </c>
      <c r="AC18" t="s">
        <v>723</v>
      </c>
      <c r="AD18" t="s">
        <v>722</v>
      </c>
      <c r="AE18" t="s">
        <v>300</v>
      </c>
      <c r="AM18" t="s">
        <v>604</v>
      </c>
      <c r="AN18" t="s">
        <v>596</v>
      </c>
      <c r="AO18" t="s">
        <v>580</v>
      </c>
      <c r="AP18" t="str">
        <f t="shared" si="0"/>
        <v>NI</v>
      </c>
    </row>
    <row r="19" spans="2:42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  <c r="AA19" t="str">
        <f t="shared" si="1"/>
        <v>NI</v>
      </c>
      <c r="AB19" t="str">
        <f t="shared" si="2"/>
        <v>e_w89411122-220</v>
      </c>
      <c r="AC19" t="s">
        <v>723</v>
      </c>
      <c r="AD19" t="s">
        <v>722</v>
      </c>
      <c r="AE19" t="s">
        <v>300</v>
      </c>
      <c r="AM19" t="s">
        <v>605</v>
      </c>
      <c r="AN19" t="s">
        <v>596</v>
      </c>
      <c r="AO19" t="s">
        <v>580</v>
      </c>
      <c r="AP19" t="str">
        <f t="shared" si="0"/>
        <v>NI</v>
      </c>
    </row>
    <row r="20" spans="2:42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  <c r="AA20" t="str">
        <f t="shared" si="1"/>
        <v>SI</v>
      </c>
      <c r="AB20" t="str">
        <f t="shared" si="2"/>
        <v>e_w89635947-220</v>
      </c>
      <c r="AC20" t="s">
        <v>723</v>
      </c>
      <c r="AD20" t="s">
        <v>722</v>
      </c>
      <c r="AE20" t="s">
        <v>300</v>
      </c>
      <c r="AM20" t="s">
        <v>606</v>
      </c>
      <c r="AN20" t="s">
        <v>596</v>
      </c>
      <c r="AO20" t="s">
        <v>579</v>
      </c>
      <c r="AP20" t="str">
        <f t="shared" si="0"/>
        <v>SI</v>
      </c>
    </row>
    <row r="21" spans="2:42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  <c r="AA21" t="str">
        <f t="shared" si="1"/>
        <v>SI</v>
      </c>
      <c r="AB21" t="str">
        <f t="shared" si="2"/>
        <v>e_w89636266-220</v>
      </c>
      <c r="AC21" t="s">
        <v>723</v>
      </c>
      <c r="AD21" t="s">
        <v>722</v>
      </c>
      <c r="AE21" t="s">
        <v>300</v>
      </c>
      <c r="AM21" t="s">
        <v>607</v>
      </c>
      <c r="AN21" t="s">
        <v>596</v>
      </c>
      <c r="AO21" t="s">
        <v>579</v>
      </c>
      <c r="AP21" t="str">
        <f t="shared" si="0"/>
        <v>SI</v>
      </c>
    </row>
    <row r="22" spans="2:42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  <c r="AA22" t="str">
        <f t="shared" si="1"/>
        <v>SI</v>
      </c>
      <c r="AB22" t="str">
        <f t="shared" si="2"/>
        <v>e_w89636510-220</v>
      </c>
      <c r="AC22" t="s">
        <v>723</v>
      </c>
      <c r="AD22" t="s">
        <v>722</v>
      </c>
      <c r="AE22" t="s">
        <v>300</v>
      </c>
      <c r="AM22" t="s">
        <v>608</v>
      </c>
      <c r="AN22" t="s">
        <v>596</v>
      </c>
      <c r="AO22" t="s">
        <v>579</v>
      </c>
      <c r="AP22" t="str">
        <f t="shared" si="0"/>
        <v>SI</v>
      </c>
    </row>
    <row r="23" spans="2:42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  <c r="AA23" t="str">
        <f t="shared" si="1"/>
        <v>SI</v>
      </c>
      <c r="AB23" t="str">
        <f t="shared" si="2"/>
        <v>e_w89637173-220</v>
      </c>
      <c r="AC23" t="s">
        <v>723</v>
      </c>
      <c r="AD23" t="s">
        <v>722</v>
      </c>
      <c r="AE23" t="s">
        <v>300</v>
      </c>
      <c r="AM23" t="s">
        <v>609</v>
      </c>
      <c r="AN23" t="s">
        <v>596</v>
      </c>
      <c r="AO23" t="s">
        <v>579</v>
      </c>
      <c r="AP23" t="str">
        <f t="shared" si="0"/>
        <v>SI</v>
      </c>
    </row>
    <row r="24" spans="2:42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  <c r="AA24" t="str">
        <f t="shared" si="1"/>
        <v>SI</v>
      </c>
      <c r="AB24" t="str">
        <f t="shared" si="2"/>
        <v>e_w89637174-220</v>
      </c>
      <c r="AC24" t="s">
        <v>723</v>
      </c>
      <c r="AD24" t="s">
        <v>722</v>
      </c>
      <c r="AE24" t="s">
        <v>300</v>
      </c>
      <c r="AM24" t="s">
        <v>610</v>
      </c>
      <c r="AN24" t="s">
        <v>596</v>
      </c>
      <c r="AO24" t="s">
        <v>579</v>
      </c>
      <c r="AP24" t="str">
        <f t="shared" si="0"/>
        <v>SI</v>
      </c>
    </row>
    <row r="25" spans="2:42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  <c r="AA25" t="str">
        <f t="shared" si="1"/>
        <v>SI</v>
      </c>
      <c r="AB25" t="str">
        <f t="shared" si="2"/>
        <v>e_w89637277-220</v>
      </c>
      <c r="AC25" t="s">
        <v>723</v>
      </c>
      <c r="AD25" t="s">
        <v>722</v>
      </c>
      <c r="AE25" t="s">
        <v>300</v>
      </c>
      <c r="AM25" t="s">
        <v>611</v>
      </c>
      <c r="AN25" t="s">
        <v>596</v>
      </c>
      <c r="AO25" t="s">
        <v>581</v>
      </c>
      <c r="AP25" t="str">
        <f t="shared" si="0"/>
        <v>SI</v>
      </c>
    </row>
    <row r="26" spans="2:42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  <c r="AA26" t="str">
        <f t="shared" si="1"/>
        <v>SI</v>
      </c>
      <c r="AB26" t="str">
        <f t="shared" si="2"/>
        <v>e_w270521928-220</v>
      </c>
      <c r="AC26" t="s">
        <v>723</v>
      </c>
      <c r="AD26" t="s">
        <v>722</v>
      </c>
      <c r="AE26" t="s">
        <v>300</v>
      </c>
      <c r="AM26" t="s">
        <v>612</v>
      </c>
      <c r="AN26" t="s">
        <v>596</v>
      </c>
      <c r="AO26" t="s">
        <v>581</v>
      </c>
      <c r="AP26" t="str">
        <f t="shared" si="0"/>
        <v>SI</v>
      </c>
    </row>
    <row r="27" spans="2:42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  <c r="AA27" t="str">
        <f t="shared" si="1"/>
        <v>SI</v>
      </c>
      <c r="AB27" t="str">
        <f t="shared" si="2"/>
        <v>e_w89664063-220</v>
      </c>
      <c r="AC27" t="s">
        <v>723</v>
      </c>
      <c r="AD27" t="s">
        <v>722</v>
      </c>
      <c r="AE27" t="s">
        <v>300</v>
      </c>
      <c r="AM27" t="s">
        <v>613</v>
      </c>
      <c r="AN27" t="s">
        <v>596</v>
      </c>
      <c r="AO27" t="s">
        <v>579</v>
      </c>
      <c r="AP27" t="str">
        <f t="shared" si="0"/>
        <v>SI</v>
      </c>
    </row>
    <row r="28" spans="2:42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  <c r="AA28" t="str">
        <f t="shared" si="1"/>
        <v>NI</v>
      </c>
      <c r="AB28" t="str">
        <f t="shared" si="2"/>
        <v>e_w89943957-220</v>
      </c>
      <c r="AC28" t="s">
        <v>723</v>
      </c>
      <c r="AD28" t="s">
        <v>722</v>
      </c>
      <c r="AE28" t="s">
        <v>300</v>
      </c>
      <c r="AM28" t="s">
        <v>614</v>
      </c>
      <c r="AN28" t="s">
        <v>596</v>
      </c>
      <c r="AO28" t="s">
        <v>582</v>
      </c>
      <c r="AP28" t="str">
        <f t="shared" si="0"/>
        <v>NI</v>
      </c>
    </row>
    <row r="29" spans="2:42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  <c r="AA29" t="str">
        <f t="shared" si="1"/>
        <v>SI</v>
      </c>
      <c r="AB29" t="str">
        <f t="shared" si="2"/>
        <v>e_w90092620-220</v>
      </c>
      <c r="AC29" t="s">
        <v>723</v>
      </c>
      <c r="AD29" t="s">
        <v>722</v>
      </c>
      <c r="AE29" t="s">
        <v>300</v>
      </c>
      <c r="AM29" t="s">
        <v>615</v>
      </c>
      <c r="AN29" t="s">
        <v>596</v>
      </c>
      <c r="AO29" t="s">
        <v>583</v>
      </c>
      <c r="AP29" t="str">
        <f t="shared" si="0"/>
        <v>SI</v>
      </c>
    </row>
    <row r="30" spans="2:42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  <c r="AA30" t="str">
        <f t="shared" si="1"/>
        <v>NI</v>
      </c>
      <c r="AB30" t="str">
        <f t="shared" si="2"/>
        <v>e_w90098853-220</v>
      </c>
      <c r="AC30" t="s">
        <v>723</v>
      </c>
      <c r="AD30" t="s">
        <v>722</v>
      </c>
      <c r="AE30" t="s">
        <v>300</v>
      </c>
      <c r="AM30" t="s">
        <v>616</v>
      </c>
      <c r="AN30" t="s">
        <v>596</v>
      </c>
      <c r="AO30" t="s">
        <v>578</v>
      </c>
      <c r="AP30" t="str">
        <f t="shared" si="0"/>
        <v>NI</v>
      </c>
    </row>
    <row r="31" spans="2:42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  <c r="AA31" t="str">
        <f t="shared" si="1"/>
        <v>NI</v>
      </c>
      <c r="AB31" t="str">
        <f t="shared" si="2"/>
        <v>e_w93419960-220</v>
      </c>
      <c r="AC31" t="s">
        <v>723</v>
      </c>
      <c r="AD31" t="s">
        <v>722</v>
      </c>
      <c r="AE31" t="s">
        <v>300</v>
      </c>
      <c r="AM31" t="s">
        <v>617</v>
      </c>
      <c r="AN31" t="s">
        <v>596</v>
      </c>
      <c r="AO31" t="s">
        <v>584</v>
      </c>
      <c r="AP31" t="str">
        <f t="shared" si="0"/>
        <v>NI</v>
      </c>
    </row>
    <row r="32" spans="2:42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  <c r="AA32" t="str">
        <f t="shared" si="1"/>
        <v>NI</v>
      </c>
      <c r="AB32" t="str">
        <f t="shared" si="2"/>
        <v>e_w93556808-220</v>
      </c>
      <c r="AC32" t="s">
        <v>723</v>
      </c>
      <c r="AD32" t="s">
        <v>722</v>
      </c>
      <c r="AE32" t="s">
        <v>300</v>
      </c>
      <c r="AM32" t="s">
        <v>618</v>
      </c>
      <c r="AN32" t="s">
        <v>596</v>
      </c>
      <c r="AO32" t="s">
        <v>580</v>
      </c>
      <c r="AP32" t="str">
        <f t="shared" si="0"/>
        <v>NI</v>
      </c>
    </row>
    <row r="33" spans="2:42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  <c r="AA33" t="str">
        <f t="shared" si="1"/>
        <v>NI</v>
      </c>
      <c r="AB33" t="str">
        <f t="shared" si="2"/>
        <v>e_w93713118-220</v>
      </c>
      <c r="AC33" t="s">
        <v>723</v>
      </c>
      <c r="AD33" t="s">
        <v>722</v>
      </c>
      <c r="AE33" t="s">
        <v>300</v>
      </c>
      <c r="AM33" t="s">
        <v>619</v>
      </c>
      <c r="AN33" t="s">
        <v>596</v>
      </c>
      <c r="AO33" t="s">
        <v>586</v>
      </c>
      <c r="AP33" t="str">
        <f t="shared" si="0"/>
        <v>NI</v>
      </c>
    </row>
    <row r="34" spans="2:42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  <c r="AA34" t="str">
        <f t="shared" si="1"/>
        <v>SI</v>
      </c>
      <c r="AB34" t="str">
        <f t="shared" si="2"/>
        <v>e_w93827784-220</v>
      </c>
      <c r="AC34" t="s">
        <v>723</v>
      </c>
      <c r="AD34" t="s">
        <v>722</v>
      </c>
      <c r="AE34" t="s">
        <v>300</v>
      </c>
      <c r="AM34" t="s">
        <v>620</v>
      </c>
      <c r="AN34" t="s">
        <v>596</v>
      </c>
      <c r="AO34" t="s">
        <v>579</v>
      </c>
      <c r="AP34" t="str">
        <f t="shared" si="0"/>
        <v>SI</v>
      </c>
    </row>
    <row r="35" spans="2:42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  <c r="AA35" t="str">
        <f t="shared" si="1"/>
        <v>NI</v>
      </c>
      <c r="AB35" t="str">
        <f t="shared" si="2"/>
        <v>e_w94053861-220</v>
      </c>
      <c r="AC35" t="s">
        <v>723</v>
      </c>
      <c r="AD35" t="s">
        <v>722</v>
      </c>
      <c r="AE35" t="s">
        <v>300</v>
      </c>
      <c r="AM35" t="s">
        <v>621</v>
      </c>
      <c r="AN35" t="s">
        <v>596</v>
      </c>
      <c r="AO35" t="s">
        <v>580</v>
      </c>
      <c r="AP35" t="str">
        <f t="shared" si="0"/>
        <v>NI</v>
      </c>
    </row>
    <row r="36" spans="2:42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  <c r="AA36" t="str">
        <f t="shared" si="1"/>
        <v>SI</v>
      </c>
      <c r="AB36" t="str">
        <f t="shared" si="2"/>
        <v>e_w94840399-220</v>
      </c>
      <c r="AC36" t="s">
        <v>723</v>
      </c>
      <c r="AD36" t="s">
        <v>722</v>
      </c>
      <c r="AE36" t="s">
        <v>300</v>
      </c>
      <c r="AM36" t="s">
        <v>622</v>
      </c>
      <c r="AN36" t="s">
        <v>596</v>
      </c>
      <c r="AO36" t="s">
        <v>581</v>
      </c>
      <c r="AP36" t="str">
        <f t="shared" si="0"/>
        <v>SI</v>
      </c>
    </row>
    <row r="37" spans="2:42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  <c r="AA37" t="str">
        <f t="shared" si="1"/>
        <v>SI</v>
      </c>
      <c r="AB37" t="str">
        <f t="shared" si="2"/>
        <v>e_w95046918-220</v>
      </c>
      <c r="AC37" t="s">
        <v>723</v>
      </c>
      <c r="AD37" t="s">
        <v>722</v>
      </c>
      <c r="AE37" t="s">
        <v>300</v>
      </c>
      <c r="AM37" t="s">
        <v>623</v>
      </c>
      <c r="AN37" t="s">
        <v>596</v>
      </c>
      <c r="AO37" t="s">
        <v>579</v>
      </c>
      <c r="AP37" t="str">
        <f t="shared" si="0"/>
        <v>SI</v>
      </c>
    </row>
    <row r="38" spans="2:42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  <c r="AA38" t="str">
        <f t="shared" si="1"/>
        <v>SI</v>
      </c>
      <c r="AB38" t="str">
        <f t="shared" si="2"/>
        <v>e_w95048289-220</v>
      </c>
      <c r="AC38" t="s">
        <v>723</v>
      </c>
      <c r="AD38" t="s">
        <v>722</v>
      </c>
      <c r="AE38" t="s">
        <v>300</v>
      </c>
      <c r="AM38" t="s">
        <v>624</v>
      </c>
      <c r="AN38" t="s">
        <v>596</v>
      </c>
      <c r="AO38" t="s">
        <v>585</v>
      </c>
      <c r="AP38" t="str">
        <f t="shared" si="0"/>
        <v>SI</v>
      </c>
    </row>
    <row r="39" spans="2:42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  <c r="AA39" t="str">
        <f t="shared" si="1"/>
        <v>NI</v>
      </c>
      <c r="AB39" t="str">
        <f t="shared" si="2"/>
        <v>e_w95343089-220</v>
      </c>
      <c r="AC39" t="s">
        <v>723</v>
      </c>
      <c r="AD39" t="s">
        <v>722</v>
      </c>
      <c r="AE39" t="s">
        <v>300</v>
      </c>
      <c r="AM39" t="s">
        <v>625</v>
      </c>
      <c r="AN39" t="s">
        <v>596</v>
      </c>
      <c r="AO39" t="s">
        <v>586</v>
      </c>
      <c r="AP39" t="str">
        <f t="shared" si="0"/>
        <v>NI</v>
      </c>
    </row>
    <row r="40" spans="2:42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  <c r="AA40" t="str">
        <f t="shared" si="1"/>
        <v>NI</v>
      </c>
      <c r="AB40" t="str">
        <f t="shared" si="2"/>
        <v>e_w95344674-220</v>
      </c>
      <c r="AC40" t="s">
        <v>723</v>
      </c>
      <c r="AD40" t="s">
        <v>722</v>
      </c>
      <c r="AE40" t="s">
        <v>300</v>
      </c>
      <c r="AM40" t="s">
        <v>626</v>
      </c>
      <c r="AN40" t="s">
        <v>596</v>
      </c>
      <c r="AO40" t="s">
        <v>588</v>
      </c>
      <c r="AP40" t="str">
        <f t="shared" si="0"/>
        <v>NI</v>
      </c>
    </row>
    <row r="41" spans="2:42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  <c r="AA41" t="str">
        <f t="shared" si="1"/>
        <v>NI</v>
      </c>
      <c r="AB41" t="str">
        <f t="shared" si="2"/>
        <v>e_w95512216-220</v>
      </c>
      <c r="AC41" t="s">
        <v>723</v>
      </c>
      <c r="AD41" t="s">
        <v>722</v>
      </c>
      <c r="AE41" t="s">
        <v>300</v>
      </c>
      <c r="AM41" t="s">
        <v>627</v>
      </c>
      <c r="AN41" t="s">
        <v>596</v>
      </c>
      <c r="AO41" t="s">
        <v>584</v>
      </c>
      <c r="AP41" t="str">
        <f t="shared" si="0"/>
        <v>NI</v>
      </c>
    </row>
    <row r="42" spans="2:42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  <c r="AA42" t="str">
        <f t="shared" si="1"/>
        <v>SI</v>
      </c>
      <c r="AB42" t="str">
        <f t="shared" si="2"/>
        <v>e_w100957314-220</v>
      </c>
      <c r="AC42" t="s">
        <v>723</v>
      </c>
      <c r="AD42" t="s">
        <v>722</v>
      </c>
      <c r="AE42" t="s">
        <v>300</v>
      </c>
      <c r="AM42" t="s">
        <v>628</v>
      </c>
      <c r="AN42" t="s">
        <v>596</v>
      </c>
      <c r="AO42" t="s">
        <v>579</v>
      </c>
      <c r="AP42" t="str">
        <f t="shared" ref="AP42:AP73" si="3">IFERROR(VLOOKUP(AO42,$AJ$10:$AK$18,2,FALSE),"NI")</f>
        <v>SI</v>
      </c>
    </row>
    <row r="43" spans="2:42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301</v>
      </c>
      <c r="X43" t="s">
        <v>313</v>
      </c>
      <c r="AA43" t="str">
        <f t="shared" si="1"/>
        <v>NI</v>
      </c>
      <c r="AB43" t="str">
        <f t="shared" si="2"/>
        <v>e_w119877500-220</v>
      </c>
      <c r="AC43" t="s">
        <v>723</v>
      </c>
      <c r="AD43" t="s">
        <v>722</v>
      </c>
      <c r="AE43" t="s">
        <v>300</v>
      </c>
      <c r="AM43" t="s">
        <v>629</v>
      </c>
      <c r="AN43" t="s">
        <v>596</v>
      </c>
      <c r="AO43" t="s">
        <v>590</v>
      </c>
      <c r="AP43" t="str">
        <f t="shared" si="3"/>
        <v>NI</v>
      </c>
    </row>
    <row r="44" spans="2:42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354</v>
      </c>
      <c r="W44" t="s">
        <v>301</v>
      </c>
      <c r="X44" t="s">
        <v>313</v>
      </c>
      <c r="AA44" t="str">
        <f t="shared" si="1"/>
        <v>NI</v>
      </c>
      <c r="AB44" t="str">
        <f t="shared" si="2"/>
        <v>e_w148300699-220</v>
      </c>
      <c r="AC44" t="s">
        <v>723</v>
      </c>
      <c r="AD44" t="s">
        <v>722</v>
      </c>
      <c r="AE44" t="s">
        <v>300</v>
      </c>
      <c r="AM44" t="s">
        <v>630</v>
      </c>
      <c r="AN44" t="s">
        <v>596</v>
      </c>
      <c r="AO44" t="s">
        <v>590</v>
      </c>
      <c r="AP44" t="str">
        <f t="shared" si="3"/>
        <v>NI</v>
      </c>
    </row>
    <row r="45" spans="2:42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355</v>
      </c>
      <c r="W45" t="s">
        <v>301</v>
      </c>
      <c r="X45" t="s">
        <v>313</v>
      </c>
      <c r="AA45" t="str">
        <f t="shared" si="1"/>
        <v>NI</v>
      </c>
      <c r="AB45" t="str">
        <f t="shared" si="2"/>
        <v>e_w156094589-220</v>
      </c>
      <c r="AC45" t="s">
        <v>723</v>
      </c>
      <c r="AD45" t="s">
        <v>722</v>
      </c>
      <c r="AE45" t="s">
        <v>300</v>
      </c>
      <c r="AM45" t="s">
        <v>631</v>
      </c>
      <c r="AN45" t="s">
        <v>596</v>
      </c>
      <c r="AO45" t="s">
        <v>578</v>
      </c>
      <c r="AP45" t="str">
        <f t="shared" si="3"/>
        <v>NI</v>
      </c>
    </row>
    <row r="46" spans="2:42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356</v>
      </c>
      <c r="W46" t="s">
        <v>301</v>
      </c>
      <c r="X46" t="s">
        <v>313</v>
      </c>
      <c r="AA46" t="str">
        <f t="shared" si="1"/>
        <v>NI</v>
      </c>
      <c r="AB46" t="str">
        <f t="shared" si="2"/>
        <v>e_w161270797-220</v>
      </c>
      <c r="AC46" t="s">
        <v>723</v>
      </c>
      <c r="AD46" t="s">
        <v>722</v>
      </c>
      <c r="AE46" t="s">
        <v>300</v>
      </c>
      <c r="AM46" t="s">
        <v>632</v>
      </c>
      <c r="AN46" t="s">
        <v>596</v>
      </c>
      <c r="AO46" t="s">
        <v>578</v>
      </c>
      <c r="AP46" t="str">
        <f t="shared" si="3"/>
        <v>NI</v>
      </c>
    </row>
    <row r="47" spans="2:42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357</v>
      </c>
      <c r="W47" t="s">
        <v>301</v>
      </c>
      <c r="X47" t="s">
        <v>313</v>
      </c>
      <c r="AA47" t="str">
        <f t="shared" si="1"/>
        <v>NI</v>
      </c>
      <c r="AB47" t="str">
        <f t="shared" si="2"/>
        <v>e_w167177413-220</v>
      </c>
      <c r="AC47" t="s">
        <v>723</v>
      </c>
      <c r="AD47" t="s">
        <v>722</v>
      </c>
      <c r="AE47" t="s">
        <v>300</v>
      </c>
      <c r="AM47" t="s">
        <v>633</v>
      </c>
      <c r="AN47" t="s">
        <v>596</v>
      </c>
      <c r="AO47" t="s">
        <v>580</v>
      </c>
      <c r="AP47" t="str">
        <f t="shared" si="3"/>
        <v>NI</v>
      </c>
    </row>
    <row r="48" spans="2:42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358</v>
      </c>
      <c r="W48" t="s">
        <v>301</v>
      </c>
      <c r="X48" t="s">
        <v>313</v>
      </c>
      <c r="AA48" t="str">
        <f t="shared" si="1"/>
        <v>NI</v>
      </c>
      <c r="AB48" t="str">
        <f t="shared" si="2"/>
        <v>e_w167283894-220</v>
      </c>
      <c r="AC48" t="s">
        <v>723</v>
      </c>
      <c r="AD48" t="s">
        <v>722</v>
      </c>
      <c r="AE48" t="s">
        <v>300</v>
      </c>
      <c r="AM48" t="s">
        <v>634</v>
      </c>
      <c r="AN48" t="s">
        <v>596</v>
      </c>
      <c r="AO48" t="s">
        <v>590</v>
      </c>
      <c r="AP48" t="str">
        <f t="shared" si="3"/>
        <v>NI</v>
      </c>
    </row>
    <row r="49" spans="2:42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359</v>
      </c>
      <c r="W49" t="s">
        <v>301</v>
      </c>
      <c r="X49" t="s">
        <v>313</v>
      </c>
      <c r="AA49" t="str">
        <f t="shared" si="1"/>
        <v>NI</v>
      </c>
      <c r="AB49" t="str">
        <f t="shared" si="2"/>
        <v>e_w167285260-220</v>
      </c>
      <c r="AC49" t="s">
        <v>723</v>
      </c>
      <c r="AD49" t="s">
        <v>722</v>
      </c>
      <c r="AE49" t="s">
        <v>300</v>
      </c>
      <c r="AM49" t="s">
        <v>635</v>
      </c>
      <c r="AN49" t="s">
        <v>596</v>
      </c>
      <c r="AO49" t="s">
        <v>580</v>
      </c>
      <c r="AP49" t="str">
        <f t="shared" si="3"/>
        <v>NI</v>
      </c>
    </row>
    <row r="50" spans="2:42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360</v>
      </c>
      <c r="W50" t="s">
        <v>301</v>
      </c>
      <c r="X50" t="s">
        <v>313</v>
      </c>
      <c r="AA50" t="str">
        <f t="shared" si="1"/>
        <v>NI</v>
      </c>
      <c r="AB50" t="str">
        <f t="shared" si="2"/>
        <v>e_w167285336-220</v>
      </c>
      <c r="AC50" t="s">
        <v>723</v>
      </c>
      <c r="AD50" t="s">
        <v>722</v>
      </c>
      <c r="AE50" t="s">
        <v>300</v>
      </c>
      <c r="AM50" t="s">
        <v>636</v>
      </c>
      <c r="AN50" t="s">
        <v>596</v>
      </c>
      <c r="AO50" t="s">
        <v>588</v>
      </c>
      <c r="AP50" t="str">
        <f t="shared" si="3"/>
        <v>NI</v>
      </c>
    </row>
    <row r="51" spans="2:42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361</v>
      </c>
      <c r="W51" t="s">
        <v>301</v>
      </c>
      <c r="X51" t="s">
        <v>313</v>
      </c>
      <c r="AA51" t="str">
        <f t="shared" si="1"/>
        <v>SI</v>
      </c>
      <c r="AB51" t="str">
        <f t="shared" si="2"/>
        <v>e_w167286837-220</v>
      </c>
      <c r="AC51" t="s">
        <v>723</v>
      </c>
      <c r="AD51" t="s">
        <v>722</v>
      </c>
      <c r="AE51" t="s">
        <v>300</v>
      </c>
      <c r="AM51" t="s">
        <v>637</v>
      </c>
      <c r="AN51" t="s">
        <v>596</v>
      </c>
      <c r="AO51" t="s">
        <v>579</v>
      </c>
      <c r="AP51" t="str">
        <f t="shared" si="3"/>
        <v>SI</v>
      </c>
    </row>
    <row r="52" spans="2:42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362</v>
      </c>
      <c r="W52" t="s">
        <v>301</v>
      </c>
      <c r="X52" t="s">
        <v>313</v>
      </c>
      <c r="AA52" t="str">
        <f t="shared" si="1"/>
        <v>NI</v>
      </c>
      <c r="AB52" t="str">
        <f t="shared" si="2"/>
        <v>e_w167293888-220</v>
      </c>
      <c r="AC52" t="s">
        <v>723</v>
      </c>
      <c r="AD52" t="s">
        <v>722</v>
      </c>
      <c r="AE52" t="s">
        <v>300</v>
      </c>
      <c r="AM52" t="s">
        <v>638</v>
      </c>
      <c r="AN52" t="s">
        <v>596</v>
      </c>
      <c r="AO52" t="s">
        <v>580</v>
      </c>
      <c r="AP52" t="str">
        <f t="shared" si="3"/>
        <v>NI</v>
      </c>
    </row>
    <row r="53" spans="2:42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363</v>
      </c>
      <c r="W53" t="s">
        <v>301</v>
      </c>
      <c r="X53" t="s">
        <v>313</v>
      </c>
      <c r="AA53" t="str">
        <f t="shared" si="1"/>
        <v>NI</v>
      </c>
      <c r="AB53" t="str">
        <f t="shared" si="2"/>
        <v>e_w167300914-220</v>
      </c>
      <c r="AC53" t="s">
        <v>723</v>
      </c>
      <c r="AD53" t="s">
        <v>722</v>
      </c>
      <c r="AE53" t="s">
        <v>300</v>
      </c>
      <c r="AM53" t="s">
        <v>639</v>
      </c>
      <c r="AN53" t="s">
        <v>596</v>
      </c>
      <c r="AO53" t="s">
        <v>588</v>
      </c>
      <c r="AP53" t="str">
        <f t="shared" si="3"/>
        <v>NI</v>
      </c>
    </row>
    <row r="54" spans="2:42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364</v>
      </c>
      <c r="W54" t="s">
        <v>301</v>
      </c>
      <c r="X54" t="s">
        <v>313</v>
      </c>
      <c r="AA54" t="str">
        <f t="shared" si="1"/>
        <v>NI</v>
      </c>
      <c r="AB54" t="str">
        <f t="shared" si="2"/>
        <v>e_w167427251-220</v>
      </c>
      <c r="AC54" t="s">
        <v>723</v>
      </c>
      <c r="AD54" t="s">
        <v>722</v>
      </c>
      <c r="AE54" t="s">
        <v>300</v>
      </c>
      <c r="AM54" t="s">
        <v>640</v>
      </c>
      <c r="AN54" t="s">
        <v>596</v>
      </c>
      <c r="AO54" t="s">
        <v>588</v>
      </c>
      <c r="AP54" t="str">
        <f t="shared" si="3"/>
        <v>NI</v>
      </c>
    </row>
    <row r="55" spans="2:42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365</v>
      </c>
      <c r="W55" t="s">
        <v>301</v>
      </c>
      <c r="X55" t="s">
        <v>313</v>
      </c>
      <c r="AA55" t="str">
        <f t="shared" si="1"/>
        <v>NI</v>
      </c>
      <c r="AB55" t="str">
        <f t="shared" si="2"/>
        <v>e_w167572576-220</v>
      </c>
      <c r="AC55" t="s">
        <v>723</v>
      </c>
      <c r="AD55" t="s">
        <v>722</v>
      </c>
      <c r="AE55" t="s">
        <v>300</v>
      </c>
      <c r="AM55" t="s">
        <v>641</v>
      </c>
      <c r="AN55" t="s">
        <v>596</v>
      </c>
      <c r="AO55" t="s">
        <v>588</v>
      </c>
      <c r="AP55" t="str">
        <f t="shared" si="3"/>
        <v>NI</v>
      </c>
    </row>
    <row r="56" spans="2:42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366</v>
      </c>
      <c r="W56" t="s">
        <v>367</v>
      </c>
      <c r="X56" t="s">
        <v>313</v>
      </c>
      <c r="AA56" t="str">
        <f t="shared" si="1"/>
        <v>SI</v>
      </c>
      <c r="AB56" t="str">
        <f t="shared" si="2"/>
        <v>e_w167705537-220</v>
      </c>
      <c r="AC56" t="s">
        <v>723</v>
      </c>
      <c r="AD56" t="s">
        <v>722</v>
      </c>
      <c r="AE56" t="s">
        <v>300</v>
      </c>
      <c r="AM56" t="s">
        <v>642</v>
      </c>
      <c r="AN56" t="s">
        <v>596</v>
      </c>
      <c r="AO56" t="s">
        <v>587</v>
      </c>
      <c r="AP56" t="str">
        <f t="shared" si="3"/>
        <v>SI</v>
      </c>
    </row>
    <row r="57" spans="2:42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368</v>
      </c>
      <c r="W57" t="s">
        <v>367</v>
      </c>
      <c r="X57" t="s">
        <v>313</v>
      </c>
      <c r="AA57" t="str">
        <f t="shared" si="1"/>
        <v>NI</v>
      </c>
      <c r="AB57" t="str">
        <f t="shared" si="2"/>
        <v>e_w169512273-220</v>
      </c>
      <c r="AC57" t="s">
        <v>723</v>
      </c>
      <c r="AD57" t="s">
        <v>722</v>
      </c>
      <c r="AE57" t="s">
        <v>300</v>
      </c>
      <c r="AM57" t="s">
        <v>643</v>
      </c>
      <c r="AN57" t="s">
        <v>596</v>
      </c>
      <c r="AO57" t="s">
        <v>580</v>
      </c>
      <c r="AP57" t="str">
        <f t="shared" si="3"/>
        <v>NI</v>
      </c>
    </row>
    <row r="58" spans="2:42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369</v>
      </c>
      <c r="W58" t="s">
        <v>367</v>
      </c>
      <c r="X58" t="s">
        <v>313</v>
      </c>
      <c r="AA58" t="str">
        <f t="shared" si="1"/>
        <v>SI</v>
      </c>
      <c r="AB58" t="str">
        <f t="shared" si="2"/>
        <v>e_w170300247-220</v>
      </c>
      <c r="AC58" t="s">
        <v>723</v>
      </c>
      <c r="AD58" t="s">
        <v>722</v>
      </c>
      <c r="AE58" t="s">
        <v>300</v>
      </c>
      <c r="AM58" t="s">
        <v>644</v>
      </c>
      <c r="AN58" t="s">
        <v>596</v>
      </c>
      <c r="AO58" t="s">
        <v>579</v>
      </c>
      <c r="AP58" t="str">
        <f t="shared" si="3"/>
        <v>SI</v>
      </c>
    </row>
    <row r="59" spans="2:42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370</v>
      </c>
      <c r="W59" t="s">
        <v>371</v>
      </c>
      <c r="X59" t="s">
        <v>313</v>
      </c>
      <c r="AA59" t="str">
        <f t="shared" si="1"/>
        <v>SI</v>
      </c>
      <c r="AB59" t="str">
        <f t="shared" si="2"/>
        <v>e_w180514007-220</v>
      </c>
      <c r="AC59" t="s">
        <v>723</v>
      </c>
      <c r="AD59" t="s">
        <v>722</v>
      </c>
      <c r="AE59" t="s">
        <v>300</v>
      </c>
      <c r="AM59" t="s">
        <v>645</v>
      </c>
      <c r="AN59" t="s">
        <v>596</v>
      </c>
      <c r="AO59" t="s">
        <v>581</v>
      </c>
      <c r="AP59" t="str">
        <f t="shared" si="3"/>
        <v>SI</v>
      </c>
    </row>
    <row r="60" spans="2:42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372</v>
      </c>
      <c r="W60" t="s">
        <v>371</v>
      </c>
      <c r="X60" t="s">
        <v>313</v>
      </c>
      <c r="AA60" t="str">
        <f t="shared" si="1"/>
        <v>SI</v>
      </c>
      <c r="AB60" t="str">
        <f t="shared" si="2"/>
        <v>e_w180519027-220</v>
      </c>
      <c r="AC60" t="s">
        <v>723</v>
      </c>
      <c r="AD60" t="s">
        <v>722</v>
      </c>
      <c r="AE60" t="s">
        <v>300</v>
      </c>
      <c r="AM60" t="s">
        <v>646</v>
      </c>
      <c r="AN60" t="s">
        <v>596</v>
      </c>
      <c r="AO60" t="s">
        <v>581</v>
      </c>
      <c r="AP60" t="str">
        <f t="shared" si="3"/>
        <v>SI</v>
      </c>
    </row>
    <row r="61" spans="2:42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373</v>
      </c>
      <c r="W61" t="s">
        <v>371</v>
      </c>
      <c r="X61" t="s">
        <v>313</v>
      </c>
      <c r="AA61" t="str">
        <f t="shared" si="1"/>
        <v>NI</v>
      </c>
      <c r="AB61" t="str">
        <f t="shared" si="2"/>
        <v>e_w187858674-220</v>
      </c>
      <c r="AC61" t="s">
        <v>723</v>
      </c>
      <c r="AD61" t="s">
        <v>722</v>
      </c>
      <c r="AE61" t="s">
        <v>300</v>
      </c>
      <c r="AM61" t="s">
        <v>647</v>
      </c>
      <c r="AN61" t="s">
        <v>596</v>
      </c>
      <c r="AO61" t="s">
        <v>580</v>
      </c>
      <c r="AP61" t="str">
        <f t="shared" si="3"/>
        <v>NI</v>
      </c>
    </row>
    <row r="62" spans="2:42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374</v>
      </c>
      <c r="W62" t="s">
        <v>375</v>
      </c>
      <c r="X62" t="s">
        <v>313</v>
      </c>
      <c r="AA62" t="str">
        <f t="shared" si="1"/>
        <v>NI</v>
      </c>
      <c r="AB62" t="str">
        <f t="shared" si="2"/>
        <v>e_w191346761-220</v>
      </c>
      <c r="AC62" t="s">
        <v>723</v>
      </c>
      <c r="AD62" t="s">
        <v>722</v>
      </c>
      <c r="AE62" t="s">
        <v>300</v>
      </c>
      <c r="AM62" t="s">
        <v>648</v>
      </c>
      <c r="AN62" t="s">
        <v>596</v>
      </c>
      <c r="AO62" t="s">
        <v>588</v>
      </c>
      <c r="AP62" t="str">
        <f t="shared" si="3"/>
        <v>NI</v>
      </c>
    </row>
    <row r="63" spans="2:42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376</v>
      </c>
      <c r="W63" t="s">
        <v>375</v>
      </c>
      <c r="X63" t="s">
        <v>313</v>
      </c>
      <c r="AA63" t="str">
        <f t="shared" si="1"/>
        <v>NI</v>
      </c>
      <c r="AB63" t="str">
        <f t="shared" si="2"/>
        <v>e_w232382576-220</v>
      </c>
      <c r="AC63" t="s">
        <v>723</v>
      </c>
      <c r="AD63" t="s">
        <v>722</v>
      </c>
      <c r="AE63" t="s">
        <v>300</v>
      </c>
      <c r="AM63" t="s">
        <v>649</v>
      </c>
      <c r="AN63" t="s">
        <v>596</v>
      </c>
      <c r="AO63" t="s">
        <v>582</v>
      </c>
      <c r="AP63" t="str">
        <f t="shared" si="3"/>
        <v>NI</v>
      </c>
    </row>
    <row r="64" spans="2:42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377</v>
      </c>
      <c r="W64" t="s">
        <v>375</v>
      </c>
      <c r="X64" t="s">
        <v>313</v>
      </c>
      <c r="AA64" t="str">
        <f t="shared" si="1"/>
        <v>NI</v>
      </c>
      <c r="AB64" t="str">
        <f t="shared" si="2"/>
        <v>e_w235066414-220</v>
      </c>
      <c r="AC64" t="s">
        <v>723</v>
      </c>
      <c r="AD64" t="s">
        <v>722</v>
      </c>
      <c r="AE64" t="s">
        <v>300</v>
      </c>
      <c r="AM64" t="s">
        <v>650</v>
      </c>
      <c r="AN64" t="s">
        <v>596</v>
      </c>
      <c r="AO64" t="s">
        <v>578</v>
      </c>
      <c r="AP64" t="str">
        <f t="shared" si="3"/>
        <v>NI</v>
      </c>
    </row>
    <row r="65" spans="2:42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378</v>
      </c>
      <c r="W65" t="s">
        <v>379</v>
      </c>
      <c r="X65" t="s">
        <v>313</v>
      </c>
      <c r="AA65" t="str">
        <f t="shared" si="1"/>
        <v>NI</v>
      </c>
      <c r="AB65" t="str">
        <f t="shared" si="2"/>
        <v>e_w255873374-220</v>
      </c>
      <c r="AC65" t="s">
        <v>723</v>
      </c>
      <c r="AD65" t="s">
        <v>722</v>
      </c>
      <c r="AE65" t="s">
        <v>300</v>
      </c>
      <c r="AM65" t="s">
        <v>651</v>
      </c>
      <c r="AN65" t="s">
        <v>596</v>
      </c>
      <c r="AO65" t="s">
        <v>580</v>
      </c>
      <c r="AP65" t="str">
        <f t="shared" si="3"/>
        <v>NI</v>
      </c>
    </row>
    <row r="66" spans="2:42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380</v>
      </c>
      <c r="W66" t="s">
        <v>379</v>
      </c>
      <c r="X66" t="s">
        <v>313</v>
      </c>
      <c r="AA66" t="str">
        <f t="shared" si="1"/>
        <v>SI</v>
      </c>
      <c r="AB66" t="str">
        <f t="shared" si="2"/>
        <v>e_w268826084-220</v>
      </c>
      <c r="AC66" t="s">
        <v>723</v>
      </c>
      <c r="AD66" t="s">
        <v>722</v>
      </c>
      <c r="AE66" t="s">
        <v>300</v>
      </c>
      <c r="AM66" t="s">
        <v>652</v>
      </c>
      <c r="AN66" t="s">
        <v>596</v>
      </c>
      <c r="AO66" t="s">
        <v>579</v>
      </c>
      <c r="AP66" t="str">
        <f t="shared" si="3"/>
        <v>SI</v>
      </c>
    </row>
    <row r="67" spans="2:42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381</v>
      </c>
      <c r="W67" t="s">
        <v>379</v>
      </c>
      <c r="X67" t="s">
        <v>313</v>
      </c>
      <c r="AA67" t="str">
        <f t="shared" si="1"/>
        <v>SI</v>
      </c>
      <c r="AB67" t="str">
        <f t="shared" si="2"/>
        <v>e_w268841395-220</v>
      </c>
      <c r="AC67" t="s">
        <v>723</v>
      </c>
      <c r="AD67" t="s">
        <v>722</v>
      </c>
      <c r="AE67" t="s">
        <v>300</v>
      </c>
      <c r="AM67" t="s">
        <v>653</v>
      </c>
      <c r="AN67" t="s">
        <v>596</v>
      </c>
      <c r="AO67" t="s">
        <v>583</v>
      </c>
      <c r="AP67" t="str">
        <f t="shared" si="3"/>
        <v>SI</v>
      </c>
    </row>
    <row r="68" spans="2:42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382</v>
      </c>
      <c r="W68" t="s">
        <v>383</v>
      </c>
      <c r="X68" t="s">
        <v>313</v>
      </c>
      <c r="AA68" t="str">
        <f t="shared" si="1"/>
        <v>SI</v>
      </c>
      <c r="AB68" t="str">
        <f t="shared" si="2"/>
        <v>e_w270012796-220</v>
      </c>
      <c r="AC68" t="s">
        <v>723</v>
      </c>
      <c r="AD68" t="s">
        <v>722</v>
      </c>
      <c r="AE68" t="s">
        <v>300</v>
      </c>
      <c r="AM68" t="s">
        <v>654</v>
      </c>
      <c r="AN68" t="s">
        <v>596</v>
      </c>
      <c r="AO68" t="s">
        <v>579</v>
      </c>
      <c r="AP68" t="str">
        <f t="shared" si="3"/>
        <v>SI</v>
      </c>
    </row>
    <row r="69" spans="2:42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384</v>
      </c>
      <c r="W69" t="s">
        <v>383</v>
      </c>
      <c r="X69" t="s">
        <v>313</v>
      </c>
      <c r="AA69" t="str">
        <f t="shared" si="1"/>
        <v>NI</v>
      </c>
      <c r="AB69" t="str">
        <f t="shared" si="2"/>
        <v>e_w270018358-220</v>
      </c>
      <c r="AC69" t="s">
        <v>723</v>
      </c>
      <c r="AD69" t="s">
        <v>722</v>
      </c>
      <c r="AE69" t="s">
        <v>300</v>
      </c>
      <c r="AM69" t="s">
        <v>655</v>
      </c>
      <c r="AN69" t="s">
        <v>596</v>
      </c>
      <c r="AO69" t="s">
        <v>580</v>
      </c>
      <c r="AP69" t="str">
        <f t="shared" si="3"/>
        <v>NI</v>
      </c>
    </row>
    <row r="70" spans="2:42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385</v>
      </c>
      <c r="W70" t="s">
        <v>383</v>
      </c>
      <c r="X70" t="s">
        <v>313</v>
      </c>
      <c r="AA70" t="str">
        <f t="shared" si="1"/>
        <v>NI</v>
      </c>
      <c r="AB70" t="str">
        <f t="shared" si="2"/>
        <v>e_w270022030-220</v>
      </c>
      <c r="AC70" t="s">
        <v>723</v>
      </c>
      <c r="AD70" t="s">
        <v>722</v>
      </c>
      <c r="AE70" t="s">
        <v>300</v>
      </c>
      <c r="AM70" t="s">
        <v>656</v>
      </c>
      <c r="AN70" t="s">
        <v>596</v>
      </c>
      <c r="AO70" t="s">
        <v>590</v>
      </c>
      <c r="AP70" t="str">
        <f t="shared" si="3"/>
        <v>NI</v>
      </c>
    </row>
    <row r="71" spans="2:42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386</v>
      </c>
      <c r="W71" t="s">
        <v>387</v>
      </c>
      <c r="X71" t="s">
        <v>313</v>
      </c>
      <c r="AA71" t="str">
        <f t="shared" si="1"/>
        <v>NI</v>
      </c>
      <c r="AB71" t="str">
        <f t="shared" si="2"/>
        <v>e_w270554679-220</v>
      </c>
      <c r="AC71" t="s">
        <v>723</v>
      </c>
      <c r="AD71" t="s">
        <v>722</v>
      </c>
      <c r="AE71" t="s">
        <v>300</v>
      </c>
      <c r="AM71" t="s">
        <v>657</v>
      </c>
      <c r="AN71" t="s">
        <v>596</v>
      </c>
      <c r="AO71" t="s">
        <v>580</v>
      </c>
      <c r="AP71" t="str">
        <f t="shared" si="3"/>
        <v>NI</v>
      </c>
    </row>
    <row r="72" spans="2:42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388</v>
      </c>
      <c r="W72" t="s">
        <v>387</v>
      </c>
      <c r="X72" t="s">
        <v>313</v>
      </c>
      <c r="AA72" t="str">
        <f t="shared" si="1"/>
        <v>NI</v>
      </c>
      <c r="AB72" t="str">
        <f t="shared" si="2"/>
        <v>e_w270556206-220</v>
      </c>
      <c r="AC72" t="s">
        <v>723</v>
      </c>
      <c r="AD72" t="s">
        <v>722</v>
      </c>
      <c r="AE72" t="s">
        <v>300</v>
      </c>
      <c r="AM72" t="s">
        <v>658</v>
      </c>
      <c r="AN72" t="s">
        <v>596</v>
      </c>
      <c r="AO72" t="s">
        <v>580</v>
      </c>
      <c r="AP72" t="str">
        <f t="shared" si="3"/>
        <v>NI</v>
      </c>
    </row>
    <row r="73" spans="2:42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389</v>
      </c>
      <c r="W73" t="s">
        <v>387</v>
      </c>
      <c r="X73" t="s">
        <v>313</v>
      </c>
      <c r="AA73" t="str">
        <f t="shared" si="1"/>
        <v>SI</v>
      </c>
      <c r="AB73" t="str">
        <f t="shared" si="2"/>
        <v>e_w272195826-220</v>
      </c>
      <c r="AC73" t="s">
        <v>723</v>
      </c>
      <c r="AD73" t="s">
        <v>722</v>
      </c>
      <c r="AE73" t="s">
        <v>300</v>
      </c>
      <c r="AM73" t="s">
        <v>659</v>
      </c>
      <c r="AN73" t="s">
        <v>596</v>
      </c>
      <c r="AO73" t="s">
        <v>583</v>
      </c>
      <c r="AP73" t="str">
        <f t="shared" si="3"/>
        <v>SI</v>
      </c>
    </row>
    <row r="74" spans="2:42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390</v>
      </c>
      <c r="W74" t="s">
        <v>391</v>
      </c>
      <c r="X74" t="s">
        <v>313</v>
      </c>
      <c r="AA74" t="str">
        <f t="shared" si="1"/>
        <v>NI</v>
      </c>
      <c r="AB74" t="str">
        <f t="shared" si="2"/>
        <v>e_w272522517-220</v>
      </c>
      <c r="AC74" t="s">
        <v>723</v>
      </c>
      <c r="AD74" t="s">
        <v>722</v>
      </c>
      <c r="AE74" t="s">
        <v>300</v>
      </c>
      <c r="AM74" t="s">
        <v>660</v>
      </c>
      <c r="AN74" t="s">
        <v>596</v>
      </c>
      <c r="AO74" t="s">
        <v>580</v>
      </c>
      <c r="AP74" t="str">
        <f t="shared" ref="AP74:AP105" si="4">IFERROR(VLOOKUP(AO74,$AJ$10:$AK$18,2,FALSE),"NI")</f>
        <v>NI</v>
      </c>
    </row>
    <row r="75" spans="2:42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392</v>
      </c>
      <c r="W75" t="s">
        <v>391</v>
      </c>
      <c r="X75" t="s">
        <v>313</v>
      </c>
      <c r="AA75" t="str">
        <f t="shared" ref="AA75:AA133" si="5">AP75</f>
        <v>NI</v>
      </c>
      <c r="AB75" t="str">
        <f t="shared" ref="AB75:AB133" si="6">"e"&amp;MID(AM75,2,255)&amp;"-220"</f>
        <v>e_w275188676-220</v>
      </c>
      <c r="AC75" t="s">
        <v>723</v>
      </c>
      <c r="AD75" t="s">
        <v>722</v>
      </c>
      <c r="AE75" t="s">
        <v>300</v>
      </c>
      <c r="AM75" t="s">
        <v>661</v>
      </c>
      <c r="AN75" t="s">
        <v>596</v>
      </c>
      <c r="AO75" t="s">
        <v>580</v>
      </c>
      <c r="AP75" t="str">
        <f t="shared" si="4"/>
        <v>NI</v>
      </c>
    </row>
    <row r="76" spans="2:42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393</v>
      </c>
      <c r="W76" t="s">
        <v>391</v>
      </c>
      <c r="X76" t="s">
        <v>313</v>
      </c>
      <c r="AA76" t="str">
        <f t="shared" si="5"/>
        <v>NI</v>
      </c>
      <c r="AB76" t="str">
        <f t="shared" si="6"/>
        <v>e_w341099346-220</v>
      </c>
      <c r="AC76" t="s">
        <v>723</v>
      </c>
      <c r="AD76" t="s">
        <v>722</v>
      </c>
      <c r="AE76" t="s">
        <v>300</v>
      </c>
      <c r="AM76" t="s">
        <v>662</v>
      </c>
      <c r="AN76" t="s">
        <v>596</v>
      </c>
      <c r="AO76" t="s">
        <v>578</v>
      </c>
      <c r="AP76" t="str">
        <f t="shared" si="4"/>
        <v>NI</v>
      </c>
    </row>
    <row r="77" spans="2:42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394</v>
      </c>
      <c r="W77" t="s">
        <v>395</v>
      </c>
      <c r="X77" t="s">
        <v>313</v>
      </c>
      <c r="AA77" t="str">
        <f t="shared" si="5"/>
        <v>NI</v>
      </c>
      <c r="AB77" t="str">
        <f t="shared" si="6"/>
        <v>e_w359449581-220</v>
      </c>
      <c r="AC77" t="s">
        <v>723</v>
      </c>
      <c r="AD77" t="s">
        <v>722</v>
      </c>
      <c r="AE77" t="s">
        <v>300</v>
      </c>
      <c r="AM77" t="s">
        <v>663</v>
      </c>
      <c r="AN77" t="s">
        <v>596</v>
      </c>
      <c r="AO77" t="s">
        <v>578</v>
      </c>
      <c r="AP77" t="str">
        <f t="shared" si="4"/>
        <v>NI</v>
      </c>
    </row>
    <row r="78" spans="2:42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396</v>
      </c>
      <c r="W78" t="s">
        <v>395</v>
      </c>
      <c r="X78" t="s">
        <v>313</v>
      </c>
      <c r="AA78" t="str">
        <f t="shared" si="5"/>
        <v>NI</v>
      </c>
      <c r="AB78" t="str">
        <f t="shared" si="6"/>
        <v>e_w409049317-220</v>
      </c>
      <c r="AC78" t="s">
        <v>723</v>
      </c>
      <c r="AD78" t="s">
        <v>722</v>
      </c>
      <c r="AE78" t="s">
        <v>300</v>
      </c>
      <c r="AM78" t="s">
        <v>664</v>
      </c>
      <c r="AN78" t="s">
        <v>596</v>
      </c>
      <c r="AO78" t="s">
        <v>584</v>
      </c>
      <c r="AP78" t="str">
        <f t="shared" si="4"/>
        <v>NI</v>
      </c>
    </row>
    <row r="79" spans="2:42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397</v>
      </c>
      <c r="W79" t="s">
        <v>395</v>
      </c>
      <c r="X79" t="s">
        <v>313</v>
      </c>
      <c r="AA79" t="str">
        <f t="shared" si="5"/>
        <v>SI</v>
      </c>
      <c r="AB79" t="str">
        <f t="shared" si="6"/>
        <v>e_w412589726-220</v>
      </c>
      <c r="AC79" t="s">
        <v>723</v>
      </c>
      <c r="AD79" t="s">
        <v>722</v>
      </c>
      <c r="AE79" t="s">
        <v>300</v>
      </c>
      <c r="AM79" t="s">
        <v>665</v>
      </c>
      <c r="AN79" t="s">
        <v>596</v>
      </c>
      <c r="AO79" t="s">
        <v>583</v>
      </c>
      <c r="AP79" t="str">
        <f t="shared" si="4"/>
        <v>SI</v>
      </c>
    </row>
    <row r="80" spans="2:42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398</v>
      </c>
      <c r="W80" t="s">
        <v>399</v>
      </c>
      <c r="X80" t="s">
        <v>313</v>
      </c>
      <c r="AA80" t="str">
        <f t="shared" si="5"/>
        <v>SI</v>
      </c>
      <c r="AB80" t="str">
        <f t="shared" si="6"/>
        <v>e_w414953388-220</v>
      </c>
      <c r="AC80" t="s">
        <v>723</v>
      </c>
      <c r="AD80" t="s">
        <v>722</v>
      </c>
      <c r="AE80" t="s">
        <v>300</v>
      </c>
      <c r="AM80" t="s">
        <v>666</v>
      </c>
      <c r="AN80" t="s">
        <v>596</v>
      </c>
      <c r="AO80" t="s">
        <v>581</v>
      </c>
      <c r="AP80" t="str">
        <f t="shared" si="4"/>
        <v>SI</v>
      </c>
    </row>
    <row r="81" spans="2:42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400</v>
      </c>
      <c r="W81" t="s">
        <v>399</v>
      </c>
      <c r="X81" t="s">
        <v>313</v>
      </c>
      <c r="AA81" t="str">
        <f t="shared" si="5"/>
        <v>NI</v>
      </c>
      <c r="AB81" t="str">
        <f t="shared" si="6"/>
        <v>e_w627162826-220</v>
      </c>
      <c r="AC81" t="s">
        <v>723</v>
      </c>
      <c r="AD81" t="s">
        <v>722</v>
      </c>
      <c r="AE81" t="s">
        <v>300</v>
      </c>
      <c r="AM81" t="s">
        <v>667</v>
      </c>
      <c r="AN81" t="s">
        <v>596</v>
      </c>
      <c r="AO81" t="s">
        <v>586</v>
      </c>
      <c r="AP81" t="str">
        <f t="shared" si="4"/>
        <v>NI</v>
      </c>
    </row>
    <row r="82" spans="2:42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401</v>
      </c>
      <c r="W82" t="s">
        <v>399</v>
      </c>
      <c r="X82" t="s">
        <v>313</v>
      </c>
      <c r="AA82" t="str">
        <f t="shared" si="5"/>
        <v>NI</v>
      </c>
      <c r="AB82" t="str">
        <f t="shared" si="6"/>
        <v>e_w849110529-220</v>
      </c>
      <c r="AC82" t="s">
        <v>723</v>
      </c>
      <c r="AD82" t="s">
        <v>722</v>
      </c>
      <c r="AE82" t="s">
        <v>300</v>
      </c>
      <c r="AM82" t="s">
        <v>668</v>
      </c>
      <c r="AN82" t="s">
        <v>596</v>
      </c>
      <c r="AO82" t="s">
        <v>578</v>
      </c>
      <c r="AP82" t="str">
        <f t="shared" si="4"/>
        <v>NI</v>
      </c>
    </row>
    <row r="83" spans="2:42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402</v>
      </c>
      <c r="W83" t="s">
        <v>403</v>
      </c>
      <c r="X83" t="s">
        <v>313</v>
      </c>
      <c r="AA83" t="str">
        <f t="shared" si="5"/>
        <v>NI</v>
      </c>
      <c r="AB83" t="str">
        <f t="shared" si="6"/>
        <v>e_w907631032-220</v>
      </c>
      <c r="AC83" t="s">
        <v>723</v>
      </c>
      <c r="AD83" t="s">
        <v>722</v>
      </c>
      <c r="AE83" t="s">
        <v>300</v>
      </c>
      <c r="AM83" t="s">
        <v>669</v>
      </c>
      <c r="AN83" t="s">
        <v>596</v>
      </c>
      <c r="AO83" t="s">
        <v>578</v>
      </c>
      <c r="AP83" t="str">
        <f t="shared" si="4"/>
        <v>NI</v>
      </c>
    </row>
    <row r="84" spans="2:42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404</v>
      </c>
      <c r="W84" t="s">
        <v>403</v>
      </c>
      <c r="X84" t="s">
        <v>313</v>
      </c>
      <c r="AA84" t="str">
        <f t="shared" si="5"/>
        <v>NI</v>
      </c>
      <c r="AB84" t="str">
        <f t="shared" si="6"/>
        <v>e_w1018655038-220</v>
      </c>
      <c r="AC84" t="s">
        <v>723</v>
      </c>
      <c r="AD84" t="s">
        <v>722</v>
      </c>
      <c r="AE84" t="s">
        <v>300</v>
      </c>
      <c r="AM84" t="s">
        <v>670</v>
      </c>
      <c r="AN84" t="s">
        <v>596</v>
      </c>
      <c r="AO84" t="s">
        <v>578</v>
      </c>
      <c r="AP84" t="str">
        <f t="shared" si="4"/>
        <v>NI</v>
      </c>
    </row>
    <row r="85" spans="2:42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405</v>
      </c>
      <c r="W85" t="s">
        <v>403</v>
      </c>
      <c r="X85" t="s">
        <v>313</v>
      </c>
      <c r="AA85" t="str">
        <f t="shared" si="5"/>
        <v>NI</v>
      </c>
      <c r="AB85" t="str">
        <f t="shared" si="6"/>
        <v>e_w1026587442-220</v>
      </c>
      <c r="AC85" t="s">
        <v>723</v>
      </c>
      <c r="AD85" t="s">
        <v>722</v>
      </c>
      <c r="AE85" t="s">
        <v>300</v>
      </c>
      <c r="AM85" t="s">
        <v>671</v>
      </c>
      <c r="AN85" t="s">
        <v>596</v>
      </c>
      <c r="AO85" t="s">
        <v>588</v>
      </c>
      <c r="AP85" t="str">
        <f t="shared" si="4"/>
        <v>NI</v>
      </c>
    </row>
    <row r="86" spans="2:42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406</v>
      </c>
      <c r="W86" t="s">
        <v>407</v>
      </c>
      <c r="X86" t="s">
        <v>313</v>
      </c>
      <c r="AA86" t="str">
        <f t="shared" si="5"/>
        <v>NI</v>
      </c>
      <c r="AB86" t="str">
        <f t="shared" si="6"/>
        <v>e_w1034927052-220</v>
      </c>
      <c r="AC86" t="s">
        <v>723</v>
      </c>
      <c r="AD86" t="s">
        <v>722</v>
      </c>
      <c r="AE86" t="s">
        <v>300</v>
      </c>
      <c r="AM86" t="s">
        <v>672</v>
      </c>
      <c r="AN86" t="s">
        <v>596</v>
      </c>
      <c r="AO86" t="s">
        <v>580</v>
      </c>
      <c r="AP86" t="str">
        <f t="shared" si="4"/>
        <v>NI</v>
      </c>
    </row>
    <row r="87" spans="2:42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408</v>
      </c>
      <c r="W87" t="s">
        <v>407</v>
      </c>
      <c r="X87" t="s">
        <v>313</v>
      </c>
      <c r="AA87" t="str">
        <f t="shared" si="5"/>
        <v>SI</v>
      </c>
      <c r="AB87" t="str">
        <f t="shared" si="6"/>
        <v>e_w1099619174-220</v>
      </c>
      <c r="AC87" t="s">
        <v>723</v>
      </c>
      <c r="AD87" t="s">
        <v>722</v>
      </c>
      <c r="AE87" t="s">
        <v>300</v>
      </c>
      <c r="AM87" t="s">
        <v>673</v>
      </c>
      <c r="AN87" t="s">
        <v>596</v>
      </c>
      <c r="AO87" t="s">
        <v>579</v>
      </c>
      <c r="AP87" t="str">
        <f t="shared" si="4"/>
        <v>SI</v>
      </c>
    </row>
    <row r="88" spans="2:42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409</v>
      </c>
      <c r="W88" t="s">
        <v>407</v>
      </c>
      <c r="X88" t="s">
        <v>313</v>
      </c>
      <c r="AA88" t="str">
        <f t="shared" si="5"/>
        <v>NI</v>
      </c>
      <c r="AB88" t="str">
        <f t="shared" si="6"/>
        <v>e_w1167708390-220</v>
      </c>
      <c r="AC88" t="s">
        <v>723</v>
      </c>
      <c r="AD88" t="s">
        <v>722</v>
      </c>
      <c r="AE88" t="s">
        <v>300</v>
      </c>
      <c r="AM88" t="s">
        <v>674</v>
      </c>
      <c r="AN88" t="s">
        <v>596</v>
      </c>
      <c r="AO88" t="s">
        <v>588</v>
      </c>
      <c r="AP88" t="str">
        <f t="shared" si="4"/>
        <v>NI</v>
      </c>
    </row>
    <row r="89" spans="2:42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410</v>
      </c>
      <c r="W89" t="s">
        <v>411</v>
      </c>
      <c r="X89" t="s">
        <v>313</v>
      </c>
      <c r="AA89" t="str">
        <f t="shared" si="5"/>
        <v>NI</v>
      </c>
      <c r="AB89" t="str">
        <f t="shared" si="6"/>
        <v>e_w1363994055-220</v>
      </c>
      <c r="AC89" t="s">
        <v>723</v>
      </c>
      <c r="AD89" t="s">
        <v>722</v>
      </c>
      <c r="AE89" t="s">
        <v>300</v>
      </c>
      <c r="AM89" t="s">
        <v>675</v>
      </c>
      <c r="AN89" t="s">
        <v>596</v>
      </c>
      <c r="AO89" t="s">
        <v>578</v>
      </c>
      <c r="AP89" t="str">
        <f t="shared" si="4"/>
        <v>NI</v>
      </c>
    </row>
    <row r="90" spans="2:42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412</v>
      </c>
      <c r="W90" t="s">
        <v>411</v>
      </c>
      <c r="X90" t="s">
        <v>313</v>
      </c>
      <c r="AA90" t="str">
        <f t="shared" si="5"/>
        <v>NI</v>
      </c>
      <c r="AB90" t="str">
        <f t="shared" si="6"/>
        <v>e_r17609399-220</v>
      </c>
      <c r="AC90" t="s">
        <v>723</v>
      </c>
      <c r="AD90" t="s">
        <v>722</v>
      </c>
      <c r="AE90" t="s">
        <v>300</v>
      </c>
      <c r="AM90" t="s">
        <v>676</v>
      </c>
      <c r="AN90" t="s">
        <v>596</v>
      </c>
      <c r="AO90" t="s">
        <v>592</v>
      </c>
      <c r="AP90" t="str">
        <f t="shared" si="4"/>
        <v>NI</v>
      </c>
    </row>
    <row r="91" spans="2:42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413</v>
      </c>
      <c r="W91" t="s">
        <v>411</v>
      </c>
      <c r="X91" t="s">
        <v>313</v>
      </c>
      <c r="AA91" t="str">
        <f t="shared" si="5"/>
        <v>NI</v>
      </c>
      <c r="AB91" t="str">
        <f t="shared" si="6"/>
        <v>e_NZ26-220</v>
      </c>
      <c r="AC91" t="s">
        <v>723</v>
      </c>
      <c r="AD91" t="s">
        <v>722</v>
      </c>
      <c r="AE91" t="s">
        <v>300</v>
      </c>
      <c r="AM91" t="s">
        <v>677</v>
      </c>
      <c r="AN91" t="s">
        <v>596</v>
      </c>
      <c r="AO91" t="s">
        <v>586</v>
      </c>
      <c r="AP91" t="str">
        <f t="shared" si="4"/>
        <v>NI</v>
      </c>
    </row>
    <row r="92" spans="2:42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414</v>
      </c>
      <c r="W92" t="s">
        <v>415</v>
      </c>
      <c r="X92" t="s">
        <v>313</v>
      </c>
      <c r="AA92" t="str">
        <f t="shared" si="5"/>
        <v>SI</v>
      </c>
      <c r="AB92" t="str">
        <f t="shared" si="6"/>
        <v>e_NZ28-220</v>
      </c>
      <c r="AC92" t="s">
        <v>723</v>
      </c>
      <c r="AD92" t="s">
        <v>722</v>
      </c>
      <c r="AE92" t="s">
        <v>300</v>
      </c>
      <c r="AM92" t="s">
        <v>678</v>
      </c>
      <c r="AN92" t="s">
        <v>596</v>
      </c>
      <c r="AO92" t="s">
        <v>579</v>
      </c>
      <c r="AP92" t="str">
        <f t="shared" si="4"/>
        <v>SI</v>
      </c>
    </row>
    <row r="93" spans="2:42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416</v>
      </c>
      <c r="W93" t="s">
        <v>415</v>
      </c>
      <c r="X93" t="s">
        <v>313</v>
      </c>
      <c r="AA93" t="str">
        <f t="shared" si="5"/>
        <v>NI</v>
      </c>
      <c r="AB93" t="str">
        <f t="shared" si="6"/>
        <v>e_NZ4-220</v>
      </c>
      <c r="AC93" t="s">
        <v>723</v>
      </c>
      <c r="AD93" t="s">
        <v>722</v>
      </c>
      <c r="AE93" t="s">
        <v>300</v>
      </c>
      <c r="AM93" t="s">
        <v>679</v>
      </c>
      <c r="AN93" t="s">
        <v>596</v>
      </c>
      <c r="AO93" t="s">
        <v>578</v>
      </c>
      <c r="AP93" t="str">
        <f t="shared" si="4"/>
        <v>NI</v>
      </c>
    </row>
    <row r="94" spans="2:42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417</v>
      </c>
      <c r="W94" t="s">
        <v>415</v>
      </c>
      <c r="X94" t="s">
        <v>313</v>
      </c>
      <c r="AA94" t="str">
        <f t="shared" si="5"/>
        <v>NI</v>
      </c>
      <c r="AB94" t="str">
        <f t="shared" si="6"/>
        <v>e_NZ20-220</v>
      </c>
      <c r="AC94" t="s">
        <v>723</v>
      </c>
      <c r="AD94" t="s">
        <v>722</v>
      </c>
      <c r="AE94" t="s">
        <v>300</v>
      </c>
      <c r="AM94" t="s">
        <v>680</v>
      </c>
      <c r="AN94" t="s">
        <v>596</v>
      </c>
      <c r="AO94" t="s">
        <v>580</v>
      </c>
      <c r="AP94" t="str">
        <f t="shared" si="4"/>
        <v>NI</v>
      </c>
    </row>
    <row r="95" spans="2:42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418</v>
      </c>
      <c r="W95" t="s">
        <v>419</v>
      </c>
      <c r="X95" t="s">
        <v>313</v>
      </c>
      <c r="AA95" t="str">
        <f t="shared" si="5"/>
        <v>NI</v>
      </c>
      <c r="AB95" t="str">
        <f t="shared" si="6"/>
        <v>e_NZ19-220</v>
      </c>
      <c r="AC95" t="s">
        <v>723</v>
      </c>
      <c r="AD95" t="s">
        <v>722</v>
      </c>
      <c r="AE95" t="s">
        <v>300</v>
      </c>
      <c r="AM95" t="s">
        <v>681</v>
      </c>
      <c r="AN95" t="s">
        <v>596</v>
      </c>
      <c r="AO95" t="s">
        <v>580</v>
      </c>
      <c r="AP95" t="str">
        <f t="shared" si="4"/>
        <v>NI</v>
      </c>
    </row>
    <row r="96" spans="2:42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420</v>
      </c>
      <c r="W96" t="s">
        <v>419</v>
      </c>
      <c r="X96" t="s">
        <v>313</v>
      </c>
      <c r="AA96" t="str">
        <f t="shared" si="5"/>
        <v>SI</v>
      </c>
      <c r="AB96" t="str">
        <f t="shared" si="6"/>
        <v>e_NZ37-220</v>
      </c>
      <c r="AC96" t="s">
        <v>723</v>
      </c>
      <c r="AD96" t="s">
        <v>722</v>
      </c>
      <c r="AE96" t="s">
        <v>300</v>
      </c>
      <c r="AM96" t="s">
        <v>682</v>
      </c>
      <c r="AN96" t="s">
        <v>596</v>
      </c>
      <c r="AO96" t="s">
        <v>579</v>
      </c>
      <c r="AP96" t="str">
        <f t="shared" si="4"/>
        <v>SI</v>
      </c>
    </row>
    <row r="97" spans="2:42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421</v>
      </c>
      <c r="W97" t="s">
        <v>419</v>
      </c>
      <c r="X97" t="s">
        <v>313</v>
      </c>
      <c r="AA97" t="str">
        <f t="shared" si="5"/>
        <v>SI</v>
      </c>
      <c r="AB97" t="str">
        <f t="shared" si="6"/>
        <v>e_NZ36-220</v>
      </c>
      <c r="AC97" t="s">
        <v>723</v>
      </c>
      <c r="AD97" t="s">
        <v>722</v>
      </c>
      <c r="AE97" t="s">
        <v>300</v>
      </c>
      <c r="AM97" t="s">
        <v>683</v>
      </c>
      <c r="AN97" t="s">
        <v>596</v>
      </c>
      <c r="AO97" t="s">
        <v>579</v>
      </c>
      <c r="AP97" t="str">
        <f t="shared" si="4"/>
        <v>SI</v>
      </c>
    </row>
    <row r="98" spans="2:42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422</v>
      </c>
      <c r="W98" t="s">
        <v>423</v>
      </c>
      <c r="X98" t="s">
        <v>313</v>
      </c>
      <c r="AA98" t="str">
        <f t="shared" si="5"/>
        <v>SI</v>
      </c>
      <c r="AB98" t="str">
        <f t="shared" si="6"/>
        <v>e_NZ34-220</v>
      </c>
      <c r="AC98" t="s">
        <v>723</v>
      </c>
      <c r="AD98" t="s">
        <v>722</v>
      </c>
      <c r="AE98" t="s">
        <v>300</v>
      </c>
      <c r="AM98" t="s">
        <v>684</v>
      </c>
      <c r="AN98" t="s">
        <v>596</v>
      </c>
      <c r="AO98" t="s">
        <v>579</v>
      </c>
      <c r="AP98" t="str">
        <f t="shared" si="4"/>
        <v>SI</v>
      </c>
    </row>
    <row r="99" spans="2:42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424</v>
      </c>
      <c r="W99" t="s">
        <v>423</v>
      </c>
      <c r="X99" t="s">
        <v>313</v>
      </c>
      <c r="AA99" t="str">
        <f t="shared" si="5"/>
        <v>SI</v>
      </c>
      <c r="AB99" t="str">
        <f t="shared" si="6"/>
        <v>e_NZ39-220</v>
      </c>
      <c r="AC99" t="s">
        <v>723</v>
      </c>
      <c r="AD99" t="s">
        <v>722</v>
      </c>
      <c r="AE99" t="s">
        <v>300</v>
      </c>
      <c r="AM99" t="s">
        <v>685</v>
      </c>
      <c r="AN99" t="s">
        <v>596</v>
      </c>
      <c r="AO99" t="s">
        <v>579</v>
      </c>
      <c r="AP99" t="str">
        <f t="shared" si="4"/>
        <v>SI</v>
      </c>
    </row>
    <row r="100" spans="2:42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425</v>
      </c>
      <c r="W100" t="s">
        <v>423</v>
      </c>
      <c r="X100" t="s">
        <v>313</v>
      </c>
      <c r="AA100" t="str">
        <f t="shared" si="5"/>
        <v>SI</v>
      </c>
      <c r="AB100" t="str">
        <f t="shared" si="6"/>
        <v>e_NZ29-220</v>
      </c>
      <c r="AC100" t="s">
        <v>723</v>
      </c>
      <c r="AD100" t="s">
        <v>722</v>
      </c>
      <c r="AE100" t="s">
        <v>300</v>
      </c>
      <c r="AM100" t="s">
        <v>686</v>
      </c>
      <c r="AN100" t="s">
        <v>596</v>
      </c>
      <c r="AO100" t="s">
        <v>579</v>
      </c>
      <c r="AP100" t="str">
        <f t="shared" si="4"/>
        <v>SI</v>
      </c>
    </row>
    <row r="101" spans="2:42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426</v>
      </c>
      <c r="W101" t="s">
        <v>427</v>
      </c>
      <c r="X101" t="s">
        <v>313</v>
      </c>
      <c r="AA101" t="str">
        <f t="shared" si="5"/>
        <v>SI</v>
      </c>
      <c r="AB101" t="str">
        <f t="shared" si="6"/>
        <v>e_NZ42-220</v>
      </c>
      <c r="AC101" t="s">
        <v>723</v>
      </c>
      <c r="AD101" t="s">
        <v>722</v>
      </c>
      <c r="AE101" t="s">
        <v>300</v>
      </c>
      <c r="AM101" t="s">
        <v>687</v>
      </c>
      <c r="AN101" t="s">
        <v>596</v>
      </c>
      <c r="AO101" t="s">
        <v>583</v>
      </c>
      <c r="AP101" t="str">
        <f t="shared" si="4"/>
        <v>SI</v>
      </c>
    </row>
    <row r="102" spans="2:42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428</v>
      </c>
      <c r="W102" t="s">
        <v>427</v>
      </c>
      <c r="X102" t="s">
        <v>313</v>
      </c>
      <c r="AA102" t="str">
        <f t="shared" si="5"/>
        <v>SI</v>
      </c>
      <c r="AB102" t="str">
        <f t="shared" si="6"/>
        <v>e_NZ41-220</v>
      </c>
      <c r="AC102" t="s">
        <v>723</v>
      </c>
      <c r="AD102" t="s">
        <v>722</v>
      </c>
      <c r="AE102" t="s">
        <v>300</v>
      </c>
      <c r="AM102" t="s">
        <v>688</v>
      </c>
      <c r="AN102" t="s">
        <v>596</v>
      </c>
      <c r="AO102" t="s">
        <v>583</v>
      </c>
      <c r="AP102" t="str">
        <f t="shared" si="4"/>
        <v>SI</v>
      </c>
    </row>
    <row r="103" spans="2:42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429</v>
      </c>
      <c r="W103" t="s">
        <v>427</v>
      </c>
      <c r="X103" t="s">
        <v>313</v>
      </c>
      <c r="AA103" t="str">
        <f t="shared" si="5"/>
        <v>SI</v>
      </c>
      <c r="AB103" t="str">
        <f t="shared" si="6"/>
        <v>e_NZ43-220</v>
      </c>
      <c r="AC103" t="s">
        <v>723</v>
      </c>
      <c r="AD103" t="s">
        <v>722</v>
      </c>
      <c r="AE103" t="s">
        <v>300</v>
      </c>
      <c r="AM103" t="s">
        <v>689</v>
      </c>
      <c r="AN103" t="s">
        <v>596</v>
      </c>
      <c r="AO103" t="s">
        <v>583</v>
      </c>
      <c r="AP103" t="str">
        <f t="shared" si="4"/>
        <v>SI</v>
      </c>
    </row>
    <row r="104" spans="2:42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430</v>
      </c>
      <c r="W104" t="s">
        <v>431</v>
      </c>
      <c r="X104" t="s">
        <v>313</v>
      </c>
      <c r="AA104" t="str">
        <f t="shared" si="5"/>
        <v>NI</v>
      </c>
      <c r="AB104" t="str">
        <f t="shared" si="6"/>
        <v>e_NZ10-220</v>
      </c>
      <c r="AC104" t="s">
        <v>723</v>
      </c>
      <c r="AD104" t="s">
        <v>722</v>
      </c>
      <c r="AE104" t="s">
        <v>300</v>
      </c>
      <c r="AM104" t="s">
        <v>690</v>
      </c>
      <c r="AN104" t="s">
        <v>596</v>
      </c>
      <c r="AO104" t="s">
        <v>580</v>
      </c>
      <c r="AP104" t="str">
        <f t="shared" si="4"/>
        <v>NI</v>
      </c>
    </row>
    <row r="105" spans="2:42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432</v>
      </c>
      <c r="W105" t="s">
        <v>431</v>
      </c>
      <c r="X105" t="s">
        <v>313</v>
      </c>
      <c r="AA105" t="str">
        <f t="shared" si="5"/>
        <v>NI</v>
      </c>
      <c r="AB105" t="str">
        <f t="shared" si="6"/>
        <v>e_NZ21-220</v>
      </c>
      <c r="AC105" t="s">
        <v>723</v>
      </c>
      <c r="AD105" t="s">
        <v>722</v>
      </c>
      <c r="AE105" t="s">
        <v>300</v>
      </c>
      <c r="AM105" t="s">
        <v>691</v>
      </c>
      <c r="AN105" t="s">
        <v>596</v>
      </c>
      <c r="AO105" t="s">
        <v>580</v>
      </c>
      <c r="AP105" t="str">
        <f t="shared" si="4"/>
        <v>NI</v>
      </c>
    </row>
    <row r="106" spans="2:42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433</v>
      </c>
      <c r="W106" t="s">
        <v>431</v>
      </c>
      <c r="X106" t="s">
        <v>313</v>
      </c>
      <c r="AA106" t="str">
        <f t="shared" si="5"/>
        <v>NI</v>
      </c>
      <c r="AB106" t="str">
        <f t="shared" si="6"/>
        <v>e_NZ16-220</v>
      </c>
      <c r="AC106" t="s">
        <v>723</v>
      </c>
      <c r="AD106" t="s">
        <v>722</v>
      </c>
      <c r="AE106" t="s">
        <v>300</v>
      </c>
      <c r="AM106" t="s">
        <v>692</v>
      </c>
      <c r="AN106" t="s">
        <v>596</v>
      </c>
      <c r="AO106" t="s">
        <v>580</v>
      </c>
      <c r="AP106" t="str">
        <f t="shared" ref="AP106:AP133" si="7">IFERROR(VLOOKUP(AO106,$AJ$10:$AK$18,2,FALSE),"NI")</f>
        <v>NI</v>
      </c>
    </row>
    <row r="107" spans="2:42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434</v>
      </c>
      <c r="W107" t="s">
        <v>435</v>
      </c>
      <c r="X107" t="s">
        <v>313</v>
      </c>
      <c r="AA107" t="str">
        <f t="shared" si="5"/>
        <v>SI</v>
      </c>
      <c r="AB107" t="str">
        <f t="shared" si="6"/>
        <v>e_NZ32-220</v>
      </c>
      <c r="AC107" t="s">
        <v>723</v>
      </c>
      <c r="AD107" t="s">
        <v>722</v>
      </c>
      <c r="AE107" t="s">
        <v>300</v>
      </c>
      <c r="AM107" t="s">
        <v>693</v>
      </c>
      <c r="AN107" t="s">
        <v>596</v>
      </c>
      <c r="AO107" t="s">
        <v>579</v>
      </c>
      <c r="AP107" t="str">
        <f t="shared" si="7"/>
        <v>SI</v>
      </c>
    </row>
    <row r="108" spans="2:42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436</v>
      </c>
      <c r="W108" t="s">
        <v>435</v>
      </c>
      <c r="X108" t="s">
        <v>313</v>
      </c>
      <c r="AA108" t="str">
        <f t="shared" si="5"/>
        <v>NI</v>
      </c>
      <c r="AB108" t="str">
        <f t="shared" si="6"/>
        <v>e_NZ7-220</v>
      </c>
      <c r="AC108" t="s">
        <v>723</v>
      </c>
      <c r="AD108" t="s">
        <v>722</v>
      </c>
      <c r="AE108" t="s">
        <v>300</v>
      </c>
      <c r="AM108" t="s">
        <v>694</v>
      </c>
      <c r="AN108" t="s">
        <v>596</v>
      </c>
      <c r="AO108" t="s">
        <v>580</v>
      </c>
      <c r="AP108" t="str">
        <f t="shared" si="7"/>
        <v>NI</v>
      </c>
    </row>
    <row r="109" spans="2:42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437</v>
      </c>
      <c r="W109" t="s">
        <v>435</v>
      </c>
      <c r="X109" t="s">
        <v>313</v>
      </c>
      <c r="AA109" t="str">
        <f t="shared" si="5"/>
        <v>NI</v>
      </c>
      <c r="AB109" t="str">
        <f t="shared" si="6"/>
        <v>e_NZ25-220</v>
      </c>
      <c r="AC109" t="s">
        <v>723</v>
      </c>
      <c r="AD109" t="s">
        <v>722</v>
      </c>
      <c r="AE109" t="s">
        <v>300</v>
      </c>
      <c r="AM109" t="s">
        <v>695</v>
      </c>
      <c r="AN109" t="s">
        <v>596</v>
      </c>
      <c r="AO109" t="s">
        <v>588</v>
      </c>
      <c r="AP109" t="str">
        <f t="shared" si="7"/>
        <v>NI</v>
      </c>
    </row>
    <row r="110" spans="2:42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438</v>
      </c>
      <c r="W110" t="s">
        <v>439</v>
      </c>
      <c r="X110" t="s">
        <v>313</v>
      </c>
      <c r="AA110" t="str">
        <f t="shared" si="5"/>
        <v>NI</v>
      </c>
      <c r="AB110" t="str">
        <f t="shared" si="6"/>
        <v>e_NZ24-220</v>
      </c>
      <c r="AC110" t="s">
        <v>723</v>
      </c>
      <c r="AD110" t="s">
        <v>722</v>
      </c>
      <c r="AE110" t="s">
        <v>300</v>
      </c>
      <c r="AM110" t="s">
        <v>696</v>
      </c>
      <c r="AN110" t="s">
        <v>596</v>
      </c>
      <c r="AO110" t="s">
        <v>588</v>
      </c>
      <c r="AP110" t="str">
        <f t="shared" si="7"/>
        <v>NI</v>
      </c>
    </row>
    <row r="111" spans="2:42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440</v>
      </c>
      <c r="W111" t="s">
        <v>439</v>
      </c>
      <c r="X111" t="s">
        <v>313</v>
      </c>
      <c r="AA111" t="str">
        <f t="shared" si="5"/>
        <v>SI</v>
      </c>
      <c r="AB111" t="str">
        <f t="shared" si="6"/>
        <v>e_NZ40-220</v>
      </c>
      <c r="AC111" t="s">
        <v>723</v>
      </c>
      <c r="AD111" t="s">
        <v>722</v>
      </c>
      <c r="AE111" t="s">
        <v>300</v>
      </c>
      <c r="AM111" t="s">
        <v>697</v>
      </c>
      <c r="AN111" t="s">
        <v>596</v>
      </c>
      <c r="AO111" t="s">
        <v>581</v>
      </c>
      <c r="AP111" t="str">
        <f t="shared" si="7"/>
        <v>SI</v>
      </c>
    </row>
    <row r="112" spans="2:42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441</v>
      </c>
      <c r="W112" t="s">
        <v>439</v>
      </c>
      <c r="X112" t="s">
        <v>313</v>
      </c>
      <c r="AA112" t="str">
        <f t="shared" si="5"/>
        <v>NI</v>
      </c>
      <c r="AB112" t="str">
        <f t="shared" si="6"/>
        <v>e_NZ9-220</v>
      </c>
      <c r="AC112" t="s">
        <v>723</v>
      </c>
      <c r="AD112" t="s">
        <v>722</v>
      </c>
      <c r="AE112" t="s">
        <v>300</v>
      </c>
      <c r="AM112" t="s">
        <v>698</v>
      </c>
      <c r="AN112" t="s">
        <v>596</v>
      </c>
      <c r="AO112" t="s">
        <v>580</v>
      </c>
      <c r="AP112" t="str">
        <f t="shared" si="7"/>
        <v>NI</v>
      </c>
    </row>
    <row r="113" spans="2:42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442</v>
      </c>
      <c r="W113" t="s">
        <v>443</v>
      </c>
      <c r="X113" t="s">
        <v>313</v>
      </c>
      <c r="AA113" t="str">
        <f t="shared" si="5"/>
        <v>NI</v>
      </c>
      <c r="AB113" t="str">
        <f t="shared" si="6"/>
        <v>e_NZ11-220</v>
      </c>
      <c r="AC113" t="s">
        <v>723</v>
      </c>
      <c r="AD113" t="s">
        <v>722</v>
      </c>
      <c r="AE113" t="s">
        <v>300</v>
      </c>
      <c r="AM113" t="s">
        <v>699</v>
      </c>
      <c r="AN113" t="s">
        <v>596</v>
      </c>
      <c r="AO113" t="s">
        <v>580</v>
      </c>
      <c r="AP113" t="str">
        <f t="shared" si="7"/>
        <v>NI</v>
      </c>
    </row>
    <row r="114" spans="2:42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444</v>
      </c>
      <c r="W114" t="s">
        <v>443</v>
      </c>
      <c r="X114" t="s">
        <v>313</v>
      </c>
      <c r="AA114" t="str">
        <f t="shared" si="5"/>
        <v>NI</v>
      </c>
      <c r="AB114" t="str">
        <f t="shared" si="6"/>
        <v>e_NZ12-220</v>
      </c>
      <c r="AC114" t="s">
        <v>723</v>
      </c>
      <c r="AD114" t="s">
        <v>722</v>
      </c>
      <c r="AE114" t="s">
        <v>300</v>
      </c>
      <c r="AM114" t="s">
        <v>700</v>
      </c>
      <c r="AN114" t="s">
        <v>596</v>
      </c>
      <c r="AO114" t="s">
        <v>580</v>
      </c>
      <c r="AP114" t="str">
        <f t="shared" si="7"/>
        <v>NI</v>
      </c>
    </row>
    <row r="115" spans="2:42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445</v>
      </c>
      <c r="W115" t="s">
        <v>443</v>
      </c>
      <c r="X115" t="s">
        <v>313</v>
      </c>
      <c r="AA115" t="str">
        <f t="shared" si="5"/>
        <v>SI</v>
      </c>
      <c r="AB115" t="str">
        <f t="shared" si="6"/>
        <v>e_NZ27-220</v>
      </c>
      <c r="AC115" t="s">
        <v>723</v>
      </c>
      <c r="AD115" t="s">
        <v>722</v>
      </c>
      <c r="AE115" t="s">
        <v>300</v>
      </c>
      <c r="AM115" t="s">
        <v>701</v>
      </c>
      <c r="AN115" t="s">
        <v>596</v>
      </c>
      <c r="AO115" t="s">
        <v>587</v>
      </c>
      <c r="AP115" t="str">
        <f t="shared" si="7"/>
        <v>SI</v>
      </c>
    </row>
    <row r="116" spans="2:42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446</v>
      </c>
      <c r="W116" t="s">
        <v>447</v>
      </c>
      <c r="X116" t="s">
        <v>313</v>
      </c>
      <c r="AA116" t="str">
        <f t="shared" si="5"/>
        <v>NI</v>
      </c>
      <c r="AB116" t="str">
        <f t="shared" si="6"/>
        <v>e_NZ5-220</v>
      </c>
      <c r="AC116" t="s">
        <v>723</v>
      </c>
      <c r="AD116" t="s">
        <v>722</v>
      </c>
      <c r="AE116" t="s">
        <v>300</v>
      </c>
      <c r="AM116" t="s">
        <v>702</v>
      </c>
      <c r="AN116" t="s">
        <v>596</v>
      </c>
      <c r="AO116" t="s">
        <v>580</v>
      </c>
      <c r="AP116" t="str">
        <f t="shared" si="7"/>
        <v>NI</v>
      </c>
    </row>
    <row r="117" spans="2:42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448</v>
      </c>
      <c r="W117" t="s">
        <v>447</v>
      </c>
      <c r="X117" t="s">
        <v>313</v>
      </c>
      <c r="AA117" t="str">
        <f t="shared" si="5"/>
        <v>NI</v>
      </c>
      <c r="AB117" t="str">
        <f t="shared" si="6"/>
        <v>e_NZ2-220</v>
      </c>
      <c r="AC117" t="s">
        <v>723</v>
      </c>
      <c r="AD117" t="s">
        <v>722</v>
      </c>
      <c r="AE117" t="s">
        <v>300</v>
      </c>
      <c r="AM117" t="s">
        <v>703</v>
      </c>
      <c r="AN117" t="s">
        <v>596</v>
      </c>
      <c r="AO117" t="s">
        <v>578</v>
      </c>
      <c r="AP117" t="str">
        <f t="shared" si="7"/>
        <v>NI</v>
      </c>
    </row>
    <row r="118" spans="2:42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449</v>
      </c>
      <c r="W118" t="s">
        <v>447</v>
      </c>
      <c r="X118" t="s">
        <v>313</v>
      </c>
      <c r="AA118" t="str">
        <f t="shared" si="5"/>
        <v>NI</v>
      </c>
      <c r="AB118" t="str">
        <f t="shared" si="6"/>
        <v>e_NZ3-220</v>
      </c>
      <c r="AC118" t="s">
        <v>723</v>
      </c>
      <c r="AD118" t="s">
        <v>722</v>
      </c>
      <c r="AE118" t="s">
        <v>300</v>
      </c>
      <c r="AM118" t="s">
        <v>704</v>
      </c>
      <c r="AN118" t="s">
        <v>596</v>
      </c>
      <c r="AO118" t="s">
        <v>578</v>
      </c>
      <c r="AP118" t="str">
        <f t="shared" si="7"/>
        <v>NI</v>
      </c>
    </row>
    <row r="119" spans="2:42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450</v>
      </c>
      <c r="W119" t="s">
        <v>451</v>
      </c>
      <c r="X119" t="s">
        <v>313</v>
      </c>
      <c r="AA119" t="str">
        <f t="shared" si="5"/>
        <v>NI</v>
      </c>
      <c r="AB119" t="str">
        <f t="shared" si="6"/>
        <v>e_NZ18-220</v>
      </c>
      <c r="AC119" t="s">
        <v>723</v>
      </c>
      <c r="AD119" t="s">
        <v>722</v>
      </c>
      <c r="AE119" t="s">
        <v>300</v>
      </c>
      <c r="AM119" t="s">
        <v>705</v>
      </c>
      <c r="AN119" t="s">
        <v>596</v>
      </c>
      <c r="AO119" t="s">
        <v>580</v>
      </c>
      <c r="AP119" t="str">
        <f t="shared" si="7"/>
        <v>NI</v>
      </c>
    </row>
    <row r="120" spans="2:42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452</v>
      </c>
      <c r="W120" t="s">
        <v>451</v>
      </c>
      <c r="X120" t="s">
        <v>313</v>
      </c>
      <c r="AA120" t="str">
        <f t="shared" si="5"/>
        <v>NI</v>
      </c>
      <c r="AB120" t="str">
        <f t="shared" si="6"/>
        <v>e_NZ6-220</v>
      </c>
      <c r="AC120" t="s">
        <v>723</v>
      </c>
      <c r="AD120" t="s">
        <v>722</v>
      </c>
      <c r="AE120" t="s">
        <v>300</v>
      </c>
      <c r="AM120" t="s">
        <v>706</v>
      </c>
      <c r="AN120" t="s">
        <v>596</v>
      </c>
      <c r="AO120" t="s">
        <v>580</v>
      </c>
      <c r="AP120" t="str">
        <f t="shared" si="7"/>
        <v>NI</v>
      </c>
    </row>
    <row r="121" spans="2:42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453</v>
      </c>
      <c r="W121" t="s">
        <v>451</v>
      </c>
      <c r="X121" t="s">
        <v>313</v>
      </c>
      <c r="AA121" t="str">
        <f t="shared" si="5"/>
        <v>SI</v>
      </c>
      <c r="AB121" t="str">
        <f t="shared" si="6"/>
        <v>e_NZ30-220</v>
      </c>
      <c r="AC121" t="s">
        <v>723</v>
      </c>
      <c r="AD121" t="s">
        <v>722</v>
      </c>
      <c r="AE121" t="s">
        <v>300</v>
      </c>
      <c r="AM121" t="s">
        <v>707</v>
      </c>
      <c r="AN121" t="s">
        <v>596</v>
      </c>
      <c r="AO121" t="s">
        <v>579</v>
      </c>
      <c r="AP121" t="str">
        <f t="shared" si="7"/>
        <v>SI</v>
      </c>
    </row>
    <row r="122" spans="2:42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454</v>
      </c>
      <c r="W122" t="s">
        <v>455</v>
      </c>
      <c r="X122" t="s">
        <v>313</v>
      </c>
      <c r="AA122" t="str">
        <f t="shared" si="5"/>
        <v>NI</v>
      </c>
      <c r="AB122" t="str">
        <f t="shared" si="6"/>
        <v>e_NZ1-220</v>
      </c>
      <c r="AC122" t="s">
        <v>723</v>
      </c>
      <c r="AD122" t="s">
        <v>722</v>
      </c>
      <c r="AE122" t="s">
        <v>300</v>
      </c>
      <c r="AM122" t="s">
        <v>708</v>
      </c>
      <c r="AN122" t="s">
        <v>596</v>
      </c>
      <c r="AO122" t="s">
        <v>578</v>
      </c>
      <c r="AP122" t="str">
        <f t="shared" si="7"/>
        <v>NI</v>
      </c>
    </row>
    <row r="123" spans="2:42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456</v>
      </c>
      <c r="W123" t="s">
        <v>455</v>
      </c>
      <c r="X123" t="s">
        <v>313</v>
      </c>
      <c r="AA123" t="str">
        <f t="shared" si="5"/>
        <v>NI</v>
      </c>
      <c r="AB123" t="str">
        <f t="shared" si="6"/>
        <v>e_NZ17-220</v>
      </c>
      <c r="AC123" t="s">
        <v>723</v>
      </c>
      <c r="AD123" t="s">
        <v>722</v>
      </c>
      <c r="AE123" t="s">
        <v>300</v>
      </c>
      <c r="AM123" t="s">
        <v>709</v>
      </c>
      <c r="AN123" t="s">
        <v>596</v>
      </c>
      <c r="AO123" t="s">
        <v>580</v>
      </c>
      <c r="AP123" t="str">
        <f t="shared" si="7"/>
        <v>NI</v>
      </c>
    </row>
    <row r="124" spans="2:42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457</v>
      </c>
      <c r="W124" t="s">
        <v>455</v>
      </c>
      <c r="X124" t="s">
        <v>313</v>
      </c>
      <c r="AA124" t="str">
        <f t="shared" si="5"/>
        <v>NI</v>
      </c>
      <c r="AB124" t="str">
        <f t="shared" si="6"/>
        <v>e_NZ22-220</v>
      </c>
      <c r="AC124" t="s">
        <v>723</v>
      </c>
      <c r="AD124" t="s">
        <v>722</v>
      </c>
      <c r="AE124" t="s">
        <v>300</v>
      </c>
      <c r="AM124" t="s">
        <v>710</v>
      </c>
      <c r="AN124" t="s">
        <v>596</v>
      </c>
      <c r="AO124" t="s">
        <v>580</v>
      </c>
      <c r="AP124" t="str">
        <f t="shared" si="7"/>
        <v>NI</v>
      </c>
    </row>
    <row r="125" spans="2:42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458</v>
      </c>
      <c r="W125" t="s">
        <v>312</v>
      </c>
      <c r="X125" t="s">
        <v>313</v>
      </c>
      <c r="AA125" t="str">
        <f t="shared" si="5"/>
        <v>SI</v>
      </c>
      <c r="AB125" t="str">
        <f t="shared" si="6"/>
        <v>e_NZ31-220</v>
      </c>
      <c r="AC125" t="s">
        <v>723</v>
      </c>
      <c r="AD125" t="s">
        <v>722</v>
      </c>
      <c r="AE125" t="s">
        <v>300</v>
      </c>
      <c r="AM125" t="s">
        <v>711</v>
      </c>
      <c r="AN125" t="s">
        <v>596</v>
      </c>
      <c r="AO125" t="s">
        <v>579</v>
      </c>
      <c r="AP125" t="str">
        <f t="shared" si="7"/>
        <v>SI</v>
      </c>
    </row>
    <row r="126" spans="2:42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459</v>
      </c>
      <c r="W126" t="s">
        <v>312</v>
      </c>
      <c r="X126" t="s">
        <v>313</v>
      </c>
      <c r="AA126" t="str">
        <f t="shared" si="5"/>
        <v>NI</v>
      </c>
      <c r="AB126" t="str">
        <f t="shared" si="6"/>
        <v>e_NZ13-220</v>
      </c>
      <c r="AC126" t="s">
        <v>723</v>
      </c>
      <c r="AD126" t="s">
        <v>722</v>
      </c>
      <c r="AE126" t="s">
        <v>300</v>
      </c>
      <c r="AM126" t="s">
        <v>712</v>
      </c>
      <c r="AN126" t="s">
        <v>596</v>
      </c>
      <c r="AO126" t="s">
        <v>590</v>
      </c>
      <c r="AP126" t="str">
        <f t="shared" si="7"/>
        <v>NI</v>
      </c>
    </row>
    <row r="127" spans="2:42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460</v>
      </c>
      <c r="W127" t="s">
        <v>327</v>
      </c>
      <c r="X127" t="s">
        <v>313</v>
      </c>
      <c r="AA127" t="str">
        <f t="shared" si="5"/>
        <v>NI</v>
      </c>
      <c r="AB127" t="str">
        <f t="shared" si="6"/>
        <v>e_NZ14-220</v>
      </c>
      <c r="AC127" t="s">
        <v>723</v>
      </c>
      <c r="AD127" t="s">
        <v>722</v>
      </c>
      <c r="AE127" t="s">
        <v>300</v>
      </c>
      <c r="AM127" t="s">
        <v>713</v>
      </c>
      <c r="AN127" t="s">
        <v>596</v>
      </c>
      <c r="AO127" t="s">
        <v>580</v>
      </c>
      <c r="AP127" t="str">
        <f t="shared" si="7"/>
        <v>NI</v>
      </c>
    </row>
    <row r="128" spans="2:42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461</v>
      </c>
      <c r="W128" t="s">
        <v>327</v>
      </c>
      <c r="X128" t="s">
        <v>313</v>
      </c>
      <c r="AA128" t="str">
        <f t="shared" si="5"/>
        <v>NI</v>
      </c>
      <c r="AB128" t="str">
        <f t="shared" si="6"/>
        <v>e_NZ23-220</v>
      </c>
      <c r="AC128" t="s">
        <v>723</v>
      </c>
      <c r="AD128" t="s">
        <v>722</v>
      </c>
      <c r="AE128" t="s">
        <v>300</v>
      </c>
      <c r="AM128" t="s">
        <v>714</v>
      </c>
      <c r="AN128" t="s">
        <v>596</v>
      </c>
      <c r="AO128" t="s">
        <v>588</v>
      </c>
      <c r="AP128" t="str">
        <f t="shared" si="7"/>
        <v>NI</v>
      </c>
    </row>
    <row r="129" spans="2:42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462</v>
      </c>
      <c r="W129" t="s">
        <v>309</v>
      </c>
      <c r="X129" t="s">
        <v>313</v>
      </c>
      <c r="AA129" t="str">
        <f t="shared" si="5"/>
        <v>SI</v>
      </c>
      <c r="AB129" t="str">
        <f t="shared" si="6"/>
        <v>e_NZ38-220</v>
      </c>
      <c r="AC129" t="s">
        <v>723</v>
      </c>
      <c r="AD129" t="s">
        <v>722</v>
      </c>
      <c r="AE129" t="s">
        <v>300</v>
      </c>
      <c r="AM129" t="s">
        <v>715</v>
      </c>
      <c r="AN129" t="s">
        <v>596</v>
      </c>
      <c r="AO129" t="s">
        <v>579</v>
      </c>
      <c r="AP129" t="str">
        <f t="shared" si="7"/>
        <v>SI</v>
      </c>
    </row>
    <row r="130" spans="2:42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463</v>
      </c>
      <c r="W130" t="s">
        <v>309</v>
      </c>
      <c r="X130" t="s">
        <v>313</v>
      </c>
      <c r="AA130" t="str">
        <f t="shared" si="5"/>
        <v>NI</v>
      </c>
      <c r="AB130" t="str">
        <f t="shared" si="6"/>
        <v>e_NZ8-220</v>
      </c>
      <c r="AC130" t="s">
        <v>723</v>
      </c>
      <c r="AD130" t="s">
        <v>722</v>
      </c>
      <c r="AE130" t="s">
        <v>300</v>
      </c>
      <c r="AM130" t="s">
        <v>716</v>
      </c>
      <c r="AN130" t="s">
        <v>596</v>
      </c>
      <c r="AO130" t="s">
        <v>580</v>
      </c>
      <c r="AP130" t="str">
        <f t="shared" si="7"/>
        <v>NI</v>
      </c>
    </row>
    <row r="131" spans="2:42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464</v>
      </c>
      <c r="W131" t="s">
        <v>301</v>
      </c>
      <c r="X131" t="s">
        <v>313</v>
      </c>
      <c r="AA131" t="str">
        <f t="shared" si="5"/>
        <v>SI</v>
      </c>
      <c r="AB131" t="str">
        <f t="shared" si="6"/>
        <v>e_NZ35-220</v>
      </c>
      <c r="AC131" t="s">
        <v>723</v>
      </c>
      <c r="AD131" t="s">
        <v>722</v>
      </c>
      <c r="AE131" t="s">
        <v>300</v>
      </c>
      <c r="AM131" t="s">
        <v>717</v>
      </c>
      <c r="AN131" t="s">
        <v>596</v>
      </c>
      <c r="AO131" t="s">
        <v>579</v>
      </c>
      <c r="AP131" t="str">
        <f t="shared" si="7"/>
        <v>SI</v>
      </c>
    </row>
    <row r="132" spans="2:42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465</v>
      </c>
      <c r="W132" t="s">
        <v>301</v>
      </c>
      <c r="X132" t="s">
        <v>313</v>
      </c>
      <c r="AA132" t="str">
        <f t="shared" si="5"/>
        <v>SI</v>
      </c>
      <c r="AB132" t="str">
        <f t="shared" si="6"/>
        <v>e_NZ33-220</v>
      </c>
      <c r="AC132" t="s">
        <v>723</v>
      </c>
      <c r="AD132" t="s">
        <v>722</v>
      </c>
      <c r="AE132" t="s">
        <v>300</v>
      </c>
      <c r="AM132" t="s">
        <v>718</v>
      </c>
      <c r="AN132" t="s">
        <v>596</v>
      </c>
      <c r="AO132" t="s">
        <v>579</v>
      </c>
      <c r="AP132" t="str">
        <f t="shared" si="7"/>
        <v>SI</v>
      </c>
    </row>
    <row r="133" spans="2:42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466</v>
      </c>
      <c r="W133" t="s">
        <v>467</v>
      </c>
      <c r="X133" t="s">
        <v>313</v>
      </c>
      <c r="AA133" t="str">
        <f t="shared" si="5"/>
        <v>NI</v>
      </c>
      <c r="AB133" t="str">
        <f t="shared" si="6"/>
        <v>e_NZ15-220</v>
      </c>
      <c r="AC133" t="s">
        <v>723</v>
      </c>
      <c r="AD133" t="s">
        <v>722</v>
      </c>
      <c r="AE133" t="s">
        <v>300</v>
      </c>
      <c r="AM133" t="s">
        <v>719</v>
      </c>
      <c r="AN133" t="s">
        <v>596</v>
      </c>
      <c r="AO133" t="s">
        <v>580</v>
      </c>
      <c r="AP133" t="str">
        <f t="shared" si="7"/>
        <v>NI</v>
      </c>
    </row>
    <row r="134" spans="2:42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468</v>
      </c>
      <c r="W134" t="s">
        <v>467</v>
      </c>
      <c r="X134" t="s">
        <v>313</v>
      </c>
    </row>
    <row r="135" spans="2:42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469</v>
      </c>
      <c r="W135" t="s">
        <v>470</v>
      </c>
      <c r="X135" t="s">
        <v>313</v>
      </c>
    </row>
    <row r="136" spans="2:42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471</v>
      </c>
      <c r="W136" t="s">
        <v>470</v>
      </c>
      <c r="X136" t="s">
        <v>313</v>
      </c>
    </row>
    <row r="137" spans="2:42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472</v>
      </c>
      <c r="W137" t="s">
        <v>473</v>
      </c>
      <c r="X137" t="s">
        <v>313</v>
      </c>
    </row>
    <row r="138" spans="2:42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474</v>
      </c>
      <c r="W138" t="s">
        <v>473</v>
      </c>
      <c r="X138" t="s">
        <v>313</v>
      </c>
    </row>
    <row r="139" spans="2:42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475</v>
      </c>
      <c r="W139" t="s">
        <v>476</v>
      </c>
      <c r="X139" t="s">
        <v>313</v>
      </c>
    </row>
    <row r="140" spans="2:42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477</v>
      </c>
      <c r="W140" t="s">
        <v>476</v>
      </c>
      <c r="X140" t="s">
        <v>313</v>
      </c>
    </row>
    <row r="141" spans="2:42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478</v>
      </c>
      <c r="W141" t="s">
        <v>423</v>
      </c>
      <c r="X141" t="s">
        <v>313</v>
      </c>
    </row>
    <row r="142" spans="2:42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479</v>
      </c>
      <c r="W142" t="s">
        <v>423</v>
      </c>
      <c r="X142" t="s">
        <v>313</v>
      </c>
    </row>
    <row r="143" spans="2:42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480</v>
      </c>
      <c r="W143" t="s">
        <v>481</v>
      </c>
      <c r="X143" t="s">
        <v>313</v>
      </c>
    </row>
    <row r="144" spans="2:42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482</v>
      </c>
      <c r="W144" t="s">
        <v>481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483</v>
      </c>
      <c r="W145" t="s">
        <v>484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485</v>
      </c>
      <c r="W146" t="s">
        <v>484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486</v>
      </c>
      <c r="W147" t="s">
        <v>487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488</v>
      </c>
      <c r="W148" t="s">
        <v>487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489</v>
      </c>
      <c r="W149" t="s">
        <v>490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491</v>
      </c>
      <c r="W150" t="s">
        <v>490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492</v>
      </c>
      <c r="W151" t="s">
        <v>493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494</v>
      </c>
      <c r="W152" t="s">
        <v>493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495</v>
      </c>
      <c r="W153" t="s">
        <v>496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497</v>
      </c>
      <c r="W154" t="s">
        <v>496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498</v>
      </c>
      <c r="W155" t="s">
        <v>499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500</v>
      </c>
      <c r="W156" t="s">
        <v>499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501</v>
      </c>
      <c r="W157" t="s">
        <v>502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503</v>
      </c>
      <c r="W158" t="s">
        <v>502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504</v>
      </c>
      <c r="W159" t="s">
        <v>505</v>
      </c>
      <c r="X159" t="s">
        <v>313</v>
      </c>
    </row>
    <row r="160" spans="2:24" x14ac:dyDescent="0.45">
      <c r="B160" t="s">
        <v>759</v>
      </c>
      <c r="C160">
        <v>1.6</v>
      </c>
      <c r="D160">
        <v>480</v>
      </c>
      <c r="E160">
        <v>0.99</v>
      </c>
      <c r="U160" t="s">
        <v>91</v>
      </c>
      <c r="V160" t="s">
        <v>506</v>
      </c>
      <c r="W160" t="s">
        <v>505</v>
      </c>
      <c r="X160" t="s">
        <v>313</v>
      </c>
    </row>
    <row r="161" spans="21:24" x14ac:dyDescent="0.45">
      <c r="U161" t="s">
        <v>91</v>
      </c>
      <c r="V161" t="s">
        <v>507</v>
      </c>
      <c r="W161" t="s">
        <v>508</v>
      </c>
      <c r="X161" t="s">
        <v>313</v>
      </c>
    </row>
    <row r="162" spans="21:24" x14ac:dyDescent="0.45">
      <c r="U162" t="s">
        <v>91</v>
      </c>
      <c r="V162" t="s">
        <v>509</v>
      </c>
      <c r="W162" t="s">
        <v>508</v>
      </c>
      <c r="X162" t="s">
        <v>313</v>
      </c>
    </row>
    <row r="163" spans="21:24" x14ac:dyDescent="0.45">
      <c r="U163" t="s">
        <v>91</v>
      </c>
      <c r="V163" t="s">
        <v>510</v>
      </c>
      <c r="W163" t="s">
        <v>511</v>
      </c>
      <c r="X163" t="s">
        <v>313</v>
      </c>
    </row>
    <row r="164" spans="21:24" x14ac:dyDescent="0.45">
      <c r="U164" t="s">
        <v>91</v>
      </c>
      <c r="V164" t="s">
        <v>512</v>
      </c>
      <c r="W164" t="s">
        <v>511</v>
      </c>
      <c r="X164" t="s">
        <v>313</v>
      </c>
    </row>
    <row r="165" spans="21:24" x14ac:dyDescent="0.45">
      <c r="U165" t="s">
        <v>91</v>
      </c>
      <c r="V165" t="s">
        <v>513</v>
      </c>
      <c r="W165" t="s">
        <v>514</v>
      </c>
      <c r="X165" t="s">
        <v>313</v>
      </c>
    </row>
    <row r="166" spans="21:24" x14ac:dyDescent="0.45">
      <c r="U166" t="s">
        <v>91</v>
      </c>
      <c r="V166" t="s">
        <v>515</v>
      </c>
      <c r="W166" t="s">
        <v>514</v>
      </c>
      <c r="X166" t="s">
        <v>313</v>
      </c>
    </row>
    <row r="167" spans="21:24" x14ac:dyDescent="0.45">
      <c r="U167" t="s">
        <v>91</v>
      </c>
      <c r="V167" t="s">
        <v>516</v>
      </c>
      <c r="W167" t="s">
        <v>517</v>
      </c>
      <c r="X167" t="s">
        <v>313</v>
      </c>
    </row>
    <row r="168" spans="21:24" x14ac:dyDescent="0.45">
      <c r="U168" t="s">
        <v>91</v>
      </c>
      <c r="V168" t="s">
        <v>518</v>
      </c>
      <c r="W168" t="s">
        <v>517</v>
      </c>
      <c r="X168" t="s">
        <v>313</v>
      </c>
    </row>
    <row r="169" spans="21:24" x14ac:dyDescent="0.45">
      <c r="U169" t="s">
        <v>91</v>
      </c>
      <c r="V169" t="s">
        <v>519</v>
      </c>
      <c r="W169" t="s">
        <v>520</v>
      </c>
      <c r="X169" t="s">
        <v>313</v>
      </c>
    </row>
    <row r="170" spans="21:24" x14ac:dyDescent="0.45">
      <c r="U170" t="s">
        <v>91</v>
      </c>
      <c r="V170" t="s">
        <v>521</v>
      </c>
      <c r="W170" t="s">
        <v>520</v>
      </c>
      <c r="X170" t="s">
        <v>313</v>
      </c>
    </row>
    <row r="171" spans="21:24" x14ac:dyDescent="0.45">
      <c r="U171" t="s">
        <v>91</v>
      </c>
      <c r="V171" t="s">
        <v>522</v>
      </c>
      <c r="W171" t="s">
        <v>367</v>
      </c>
      <c r="X171" t="s">
        <v>313</v>
      </c>
    </row>
    <row r="172" spans="21:24" x14ac:dyDescent="0.45">
      <c r="U172" t="s">
        <v>91</v>
      </c>
      <c r="V172" t="s">
        <v>523</v>
      </c>
      <c r="W172" t="s">
        <v>367</v>
      </c>
      <c r="X172" t="s">
        <v>313</v>
      </c>
    </row>
    <row r="173" spans="21:24" x14ac:dyDescent="0.45">
      <c r="U173" t="s">
        <v>91</v>
      </c>
      <c r="V173" t="s">
        <v>524</v>
      </c>
      <c r="W173" t="s">
        <v>371</v>
      </c>
      <c r="X173" t="s">
        <v>313</v>
      </c>
    </row>
    <row r="174" spans="21:24" x14ac:dyDescent="0.45">
      <c r="U174" t="s">
        <v>91</v>
      </c>
      <c r="V174" t="s">
        <v>525</v>
      </c>
      <c r="W174" t="s">
        <v>371</v>
      </c>
      <c r="X174" t="s">
        <v>313</v>
      </c>
    </row>
    <row r="175" spans="21:24" x14ac:dyDescent="0.45">
      <c r="U175" t="s">
        <v>91</v>
      </c>
      <c r="V175" t="s">
        <v>526</v>
      </c>
      <c r="W175" t="s">
        <v>375</v>
      </c>
      <c r="X175" t="s">
        <v>313</v>
      </c>
    </row>
    <row r="176" spans="21:24" x14ac:dyDescent="0.45">
      <c r="U176" t="s">
        <v>91</v>
      </c>
      <c r="V176" t="s">
        <v>527</v>
      </c>
      <c r="W176" t="s">
        <v>375</v>
      </c>
      <c r="X176" t="s">
        <v>313</v>
      </c>
    </row>
    <row r="177" spans="21:24" x14ac:dyDescent="0.45">
      <c r="U177" t="s">
        <v>91</v>
      </c>
      <c r="V177" t="s">
        <v>528</v>
      </c>
      <c r="W177" t="s">
        <v>379</v>
      </c>
      <c r="X177" t="s">
        <v>313</v>
      </c>
    </row>
    <row r="178" spans="21:24" x14ac:dyDescent="0.45">
      <c r="U178" t="s">
        <v>91</v>
      </c>
      <c r="V178" t="s">
        <v>529</v>
      </c>
      <c r="W178" t="s">
        <v>379</v>
      </c>
      <c r="X178" t="s">
        <v>313</v>
      </c>
    </row>
    <row r="179" spans="21:24" x14ac:dyDescent="0.45">
      <c r="U179" t="s">
        <v>91</v>
      </c>
      <c r="V179" t="s">
        <v>530</v>
      </c>
      <c r="W179" t="s">
        <v>383</v>
      </c>
      <c r="X179" t="s">
        <v>313</v>
      </c>
    </row>
    <row r="180" spans="21:24" x14ac:dyDescent="0.45">
      <c r="U180" t="s">
        <v>91</v>
      </c>
      <c r="V180" t="s">
        <v>531</v>
      </c>
      <c r="W180" t="s">
        <v>383</v>
      </c>
      <c r="X180" t="s">
        <v>313</v>
      </c>
    </row>
    <row r="181" spans="21:24" x14ac:dyDescent="0.45">
      <c r="U181" t="s">
        <v>91</v>
      </c>
      <c r="V181" t="s">
        <v>532</v>
      </c>
      <c r="W181" t="s">
        <v>387</v>
      </c>
      <c r="X181" t="s">
        <v>313</v>
      </c>
    </row>
    <row r="182" spans="21:24" x14ac:dyDescent="0.45">
      <c r="U182" t="s">
        <v>91</v>
      </c>
      <c r="V182" t="s">
        <v>533</v>
      </c>
      <c r="W182" t="s">
        <v>387</v>
      </c>
      <c r="X182" t="s">
        <v>313</v>
      </c>
    </row>
    <row r="183" spans="21:24" x14ac:dyDescent="0.45">
      <c r="U183" t="s">
        <v>91</v>
      </c>
      <c r="V183" t="s">
        <v>534</v>
      </c>
      <c r="W183" t="s">
        <v>391</v>
      </c>
      <c r="X183" t="s">
        <v>313</v>
      </c>
    </row>
    <row r="184" spans="21:24" x14ac:dyDescent="0.45">
      <c r="U184" t="s">
        <v>91</v>
      </c>
      <c r="V184" t="s">
        <v>535</v>
      </c>
      <c r="W184" t="s">
        <v>391</v>
      </c>
      <c r="X184" t="s">
        <v>313</v>
      </c>
    </row>
    <row r="185" spans="21:24" x14ac:dyDescent="0.45">
      <c r="U185" t="s">
        <v>91</v>
      </c>
      <c r="V185" t="s">
        <v>536</v>
      </c>
      <c r="W185" t="s">
        <v>395</v>
      </c>
      <c r="X185" t="s">
        <v>313</v>
      </c>
    </row>
    <row r="186" spans="21:24" x14ac:dyDescent="0.45">
      <c r="U186" t="s">
        <v>91</v>
      </c>
      <c r="V186" t="s">
        <v>537</v>
      </c>
      <c r="W186" t="s">
        <v>395</v>
      </c>
      <c r="X186" t="s">
        <v>313</v>
      </c>
    </row>
    <row r="187" spans="21:24" x14ac:dyDescent="0.45">
      <c r="U187" t="s">
        <v>91</v>
      </c>
      <c r="V187" t="s">
        <v>538</v>
      </c>
      <c r="W187" t="s">
        <v>399</v>
      </c>
      <c r="X187" t="s">
        <v>313</v>
      </c>
    </row>
    <row r="188" spans="21:24" x14ac:dyDescent="0.45">
      <c r="U188" t="s">
        <v>91</v>
      </c>
      <c r="V188" t="s">
        <v>539</v>
      </c>
      <c r="W188" t="s">
        <v>399</v>
      </c>
      <c r="X188" t="s">
        <v>313</v>
      </c>
    </row>
    <row r="189" spans="21:24" x14ac:dyDescent="0.45">
      <c r="U189" t="s">
        <v>91</v>
      </c>
      <c r="V189" t="s">
        <v>540</v>
      </c>
      <c r="W189" t="s">
        <v>403</v>
      </c>
      <c r="X189" t="s">
        <v>313</v>
      </c>
    </row>
    <row r="190" spans="21:24" x14ac:dyDescent="0.45">
      <c r="U190" t="s">
        <v>91</v>
      </c>
      <c r="V190" t="s">
        <v>541</v>
      </c>
      <c r="W190" t="s">
        <v>403</v>
      </c>
      <c r="X190" t="s">
        <v>313</v>
      </c>
    </row>
    <row r="191" spans="21:24" x14ac:dyDescent="0.45">
      <c r="U191" t="s">
        <v>91</v>
      </c>
      <c r="V191" t="s">
        <v>542</v>
      </c>
      <c r="W191" t="s">
        <v>407</v>
      </c>
      <c r="X191" t="s">
        <v>313</v>
      </c>
    </row>
    <row r="192" spans="21:24" x14ac:dyDescent="0.45">
      <c r="U192" t="s">
        <v>91</v>
      </c>
      <c r="V192" t="s">
        <v>543</v>
      </c>
      <c r="W192" t="s">
        <v>407</v>
      </c>
      <c r="X192" t="s">
        <v>313</v>
      </c>
    </row>
    <row r="193" spans="21:24" x14ac:dyDescent="0.45">
      <c r="U193" t="s">
        <v>91</v>
      </c>
      <c r="V193" t="s">
        <v>544</v>
      </c>
      <c r="W193" t="s">
        <v>411</v>
      </c>
      <c r="X193" t="s">
        <v>313</v>
      </c>
    </row>
    <row r="194" spans="21:24" x14ac:dyDescent="0.45">
      <c r="U194" t="s">
        <v>91</v>
      </c>
      <c r="V194" t="s">
        <v>545</v>
      </c>
      <c r="W194" t="s">
        <v>411</v>
      </c>
      <c r="X194" t="s">
        <v>313</v>
      </c>
    </row>
    <row r="195" spans="21:24" x14ac:dyDescent="0.45">
      <c r="U195" t="s">
        <v>91</v>
      </c>
      <c r="V195" t="s">
        <v>546</v>
      </c>
      <c r="W195" t="s">
        <v>415</v>
      </c>
      <c r="X195" t="s">
        <v>313</v>
      </c>
    </row>
    <row r="196" spans="21:24" x14ac:dyDescent="0.45">
      <c r="U196" t="s">
        <v>91</v>
      </c>
      <c r="V196" t="s">
        <v>547</v>
      </c>
      <c r="W196" t="s">
        <v>415</v>
      </c>
      <c r="X196" t="s">
        <v>313</v>
      </c>
    </row>
    <row r="197" spans="21:24" x14ac:dyDescent="0.45">
      <c r="U197" t="s">
        <v>91</v>
      </c>
      <c r="V197" t="s">
        <v>548</v>
      </c>
      <c r="W197" t="s">
        <v>419</v>
      </c>
      <c r="X197" t="s">
        <v>313</v>
      </c>
    </row>
    <row r="198" spans="21:24" x14ac:dyDescent="0.45">
      <c r="U198" t="s">
        <v>91</v>
      </c>
      <c r="V198" t="s">
        <v>549</v>
      </c>
      <c r="W198" t="s">
        <v>419</v>
      </c>
      <c r="X198" t="s">
        <v>313</v>
      </c>
    </row>
    <row r="199" spans="21:24" x14ac:dyDescent="0.45">
      <c r="U199" t="s">
        <v>91</v>
      </c>
      <c r="V199" t="s">
        <v>550</v>
      </c>
      <c r="W199" t="s">
        <v>427</v>
      </c>
      <c r="X199" t="s">
        <v>313</v>
      </c>
    </row>
    <row r="200" spans="21:24" x14ac:dyDescent="0.45">
      <c r="U200" t="s">
        <v>91</v>
      </c>
      <c r="V200" t="s">
        <v>551</v>
      </c>
      <c r="W200" t="s">
        <v>427</v>
      </c>
      <c r="X200" t="s">
        <v>313</v>
      </c>
    </row>
    <row r="201" spans="21:24" x14ac:dyDescent="0.45">
      <c r="U201" t="s">
        <v>91</v>
      </c>
      <c r="V201" t="s">
        <v>552</v>
      </c>
      <c r="W201" t="s">
        <v>431</v>
      </c>
      <c r="X201" t="s">
        <v>313</v>
      </c>
    </row>
    <row r="202" spans="21:24" x14ac:dyDescent="0.45">
      <c r="U202" t="s">
        <v>91</v>
      </c>
      <c r="V202" t="s">
        <v>553</v>
      </c>
      <c r="W202" t="s">
        <v>431</v>
      </c>
      <c r="X202" t="s">
        <v>313</v>
      </c>
    </row>
    <row r="203" spans="21:24" x14ac:dyDescent="0.45">
      <c r="U203" t="s">
        <v>91</v>
      </c>
      <c r="V203" t="s">
        <v>554</v>
      </c>
      <c r="W203" t="s">
        <v>435</v>
      </c>
      <c r="X203" t="s">
        <v>313</v>
      </c>
    </row>
    <row r="204" spans="21:24" x14ac:dyDescent="0.45">
      <c r="U204" t="s">
        <v>91</v>
      </c>
      <c r="V204" t="s">
        <v>555</v>
      </c>
      <c r="W204" t="s">
        <v>435</v>
      </c>
      <c r="X204" t="s">
        <v>313</v>
      </c>
    </row>
    <row r="205" spans="21:24" x14ac:dyDescent="0.45">
      <c r="U205" t="s">
        <v>91</v>
      </c>
      <c r="V205" t="s">
        <v>556</v>
      </c>
      <c r="W205" t="s">
        <v>439</v>
      </c>
      <c r="X205" t="s">
        <v>313</v>
      </c>
    </row>
    <row r="206" spans="21:24" x14ac:dyDescent="0.45">
      <c r="U206" t="s">
        <v>91</v>
      </c>
      <c r="V206" t="s">
        <v>557</v>
      </c>
      <c r="W206" t="s">
        <v>439</v>
      </c>
      <c r="X206" t="s">
        <v>313</v>
      </c>
    </row>
    <row r="207" spans="21:24" x14ac:dyDescent="0.45">
      <c r="U207" t="s">
        <v>91</v>
      </c>
      <c r="V207" t="s">
        <v>558</v>
      </c>
      <c r="W207" t="s">
        <v>443</v>
      </c>
      <c r="X207" t="s">
        <v>313</v>
      </c>
    </row>
    <row r="208" spans="21:24" x14ac:dyDescent="0.45">
      <c r="U208" t="s">
        <v>91</v>
      </c>
      <c r="V208" t="s">
        <v>559</v>
      </c>
      <c r="W208" t="s">
        <v>443</v>
      </c>
      <c r="X208" t="s">
        <v>313</v>
      </c>
    </row>
    <row r="209" spans="21:24" x14ac:dyDescent="0.45">
      <c r="U209" t="s">
        <v>91</v>
      </c>
      <c r="V209" t="s">
        <v>560</v>
      </c>
      <c r="W209" t="s">
        <v>447</v>
      </c>
      <c r="X209" t="s">
        <v>313</v>
      </c>
    </row>
    <row r="210" spans="21:24" x14ac:dyDescent="0.45">
      <c r="U210" t="s">
        <v>91</v>
      </c>
      <c r="V210" t="s">
        <v>561</v>
      </c>
      <c r="W210" t="s">
        <v>447</v>
      </c>
      <c r="X210" t="s">
        <v>313</v>
      </c>
    </row>
    <row r="211" spans="21:24" x14ac:dyDescent="0.45">
      <c r="U211" t="s">
        <v>91</v>
      </c>
      <c r="V211" t="s">
        <v>562</v>
      </c>
      <c r="W211" t="s">
        <v>451</v>
      </c>
      <c r="X211" t="s">
        <v>313</v>
      </c>
    </row>
    <row r="212" spans="21:24" x14ac:dyDescent="0.45">
      <c r="U212" t="s">
        <v>91</v>
      </c>
      <c r="V212" t="s">
        <v>563</v>
      </c>
      <c r="W212" t="s">
        <v>451</v>
      </c>
      <c r="X212" t="s">
        <v>313</v>
      </c>
    </row>
    <row r="213" spans="21:24" x14ac:dyDescent="0.45">
      <c r="U213" t="s">
        <v>91</v>
      </c>
      <c r="V213" t="s">
        <v>564</v>
      </c>
      <c r="W213" t="s">
        <v>455</v>
      </c>
      <c r="X213" t="s">
        <v>313</v>
      </c>
    </row>
    <row r="214" spans="21:24" x14ac:dyDescent="0.45">
      <c r="U214" t="s">
        <v>91</v>
      </c>
      <c r="V214" t="s">
        <v>565</v>
      </c>
      <c r="W214" t="s">
        <v>455</v>
      </c>
      <c r="X214" t="s">
        <v>313</v>
      </c>
    </row>
    <row r="215" spans="21:24" x14ac:dyDescent="0.45">
      <c r="U215" t="s">
        <v>91</v>
      </c>
      <c r="V215" t="s">
        <v>566</v>
      </c>
      <c r="W215" t="s">
        <v>567</v>
      </c>
      <c r="X215" t="s">
        <v>313</v>
      </c>
    </row>
    <row r="216" spans="21:24" x14ac:dyDescent="0.45">
      <c r="U216" t="s">
        <v>91</v>
      </c>
      <c r="V216" t="s">
        <v>568</v>
      </c>
      <c r="W216" t="s">
        <v>567</v>
      </c>
      <c r="X216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EC81-2889-429D-9E2D-D5BB4326DD32}">
  <dimension ref="B2:V54"/>
  <sheetViews>
    <sheetView workbookViewId="0"/>
  </sheetViews>
  <sheetFormatPr defaultRowHeight="14.25" x14ac:dyDescent="0.45"/>
  <cols>
    <col min="2" max="2" width="11.59765625" bestFit="1" customWidth="1"/>
    <col min="3" max="3" width="17.46484375" bestFit="1" customWidth="1"/>
    <col min="4" max="4" width="6.86328125" bestFit="1" customWidth="1"/>
    <col min="5" max="5" width="6.9296875" bestFit="1" customWidth="1"/>
    <col min="6" max="6" width="4.73046875" bestFit="1" customWidth="1"/>
    <col min="12" max="12" width="15.6640625" bestFit="1" customWidth="1"/>
    <col min="13" max="13" width="5.46484375" bestFit="1" customWidth="1"/>
    <col min="14" max="14" width="12" bestFit="1" customWidth="1"/>
    <col min="15" max="15" width="12.86328125" bestFit="1" customWidth="1"/>
    <col min="16" max="17" width="11.86328125" bestFit="1" customWidth="1"/>
    <col min="18" max="18" width="12.265625" bestFit="1" customWidth="1"/>
  </cols>
  <sheetData>
    <row r="2" spans="2:18" x14ac:dyDescent="0.45">
      <c r="L2" t="s">
        <v>726</v>
      </c>
      <c r="M2" t="s">
        <v>727</v>
      </c>
      <c r="N2" t="s">
        <v>751</v>
      </c>
      <c r="O2" t="s">
        <v>752</v>
      </c>
      <c r="P2" t="s">
        <v>753</v>
      </c>
      <c r="Q2" t="s">
        <v>754</v>
      </c>
      <c r="R2" t="s">
        <v>755</v>
      </c>
    </row>
    <row r="3" spans="2:18" x14ac:dyDescent="0.45">
      <c r="B3" t="s">
        <v>721</v>
      </c>
      <c r="L3" t="s">
        <v>732</v>
      </c>
      <c r="M3" t="s">
        <v>728</v>
      </c>
      <c r="N3" s="2">
        <v>5.86636006449012E-3</v>
      </c>
      <c r="O3" s="2">
        <v>5.8663600644901E-3</v>
      </c>
      <c r="P3" s="2">
        <v>5.8663600644900896E-3</v>
      </c>
      <c r="Q3" s="2">
        <v>2.0049350726642299E-2</v>
      </c>
      <c r="R3" s="2">
        <v>7.0394854969028198E-2</v>
      </c>
    </row>
    <row r="4" spans="2:18" x14ac:dyDescent="0.45">
      <c r="B4" t="s">
        <v>310</v>
      </c>
      <c r="C4" t="s">
        <v>252</v>
      </c>
      <c r="D4" t="s">
        <v>14</v>
      </c>
      <c r="E4" t="s">
        <v>38</v>
      </c>
      <c r="F4" t="s">
        <v>298</v>
      </c>
      <c r="L4" t="s">
        <v>733</v>
      </c>
      <c r="M4" t="s">
        <v>728</v>
      </c>
      <c r="N4" s="2">
        <v>8.1561509900455104E-2</v>
      </c>
      <c r="O4" s="2">
        <v>8.1561509900455104E-2</v>
      </c>
      <c r="P4" s="2">
        <v>8.1561509900455104E-2</v>
      </c>
      <c r="Q4" s="2">
        <v>8.06356741102075E-2</v>
      </c>
      <c r="R4" s="2">
        <v>6.8580675281546405E-2</v>
      </c>
    </row>
    <row r="5" spans="2:18" x14ac:dyDescent="0.45">
      <c r="B5" t="str">
        <f>M3</f>
        <v>NI</v>
      </c>
      <c r="C5" t="str">
        <f>"e_"&amp;L3</f>
        <v>e_w87928925-220</v>
      </c>
      <c r="D5" t="s">
        <v>723</v>
      </c>
      <c r="E5" t="s">
        <v>722</v>
      </c>
      <c r="F5" t="s">
        <v>300</v>
      </c>
      <c r="L5" t="s">
        <v>734</v>
      </c>
      <c r="M5" t="s">
        <v>728</v>
      </c>
      <c r="N5" s="2">
        <v>1.7030252471331601E-2</v>
      </c>
      <c r="O5" s="2">
        <v>1.7030252471331601E-2</v>
      </c>
      <c r="P5" s="2">
        <v>1.7030252471331601E-2</v>
      </c>
      <c r="Q5" s="2">
        <v>2.8984919214794801E-2</v>
      </c>
      <c r="R5" s="2">
        <v>0.12292330838603201</v>
      </c>
    </row>
    <row r="6" spans="2:18" x14ac:dyDescent="0.45">
      <c r="B6" t="str">
        <f t="shared" ref="B6:B26" si="0">M4</f>
        <v>NI</v>
      </c>
      <c r="C6" t="str">
        <f t="shared" ref="C6:C26" si="1">"e_"&amp;L4</f>
        <v>e_w94053861-220</v>
      </c>
      <c r="D6" t="s">
        <v>723</v>
      </c>
      <c r="E6" t="s">
        <v>722</v>
      </c>
      <c r="F6" t="s">
        <v>300</v>
      </c>
      <c r="L6" t="s">
        <v>735</v>
      </c>
      <c r="M6" t="s">
        <v>728</v>
      </c>
      <c r="N6" s="2">
        <v>6.5397898449555403E-2</v>
      </c>
      <c r="O6" s="2">
        <v>6.5397898449555403E-2</v>
      </c>
      <c r="P6" s="2">
        <v>6.5397898449555403E-2</v>
      </c>
      <c r="Q6" s="2">
        <v>6.7698335422951006E-2</v>
      </c>
      <c r="R6" s="2">
        <v>3.9503551970168603E-2</v>
      </c>
    </row>
    <row r="7" spans="2:18" x14ac:dyDescent="0.45">
      <c r="B7" t="str">
        <f t="shared" si="0"/>
        <v>NI</v>
      </c>
      <c r="C7" t="str">
        <f t="shared" si="1"/>
        <v>e_w95344674-220</v>
      </c>
      <c r="D7" t="s">
        <v>723</v>
      </c>
      <c r="E7" t="s">
        <v>722</v>
      </c>
      <c r="F7" t="s">
        <v>300</v>
      </c>
      <c r="L7" t="s">
        <v>736</v>
      </c>
      <c r="M7" t="s">
        <v>728</v>
      </c>
      <c r="N7" s="2">
        <v>1.0210371164411E-2</v>
      </c>
      <c r="O7" s="2">
        <v>1.0210371164411E-2</v>
      </c>
      <c r="P7" s="2">
        <v>1.0210371164410899E-2</v>
      </c>
      <c r="Q7" s="2">
        <v>2.3526292933004799E-2</v>
      </c>
      <c r="R7" s="2">
        <v>0.11850700547946599</v>
      </c>
    </row>
    <row r="8" spans="2:18" x14ac:dyDescent="0.45">
      <c r="B8" t="str">
        <f t="shared" si="0"/>
        <v>NI</v>
      </c>
      <c r="C8" t="str">
        <f t="shared" si="1"/>
        <v>e_w119877500-220</v>
      </c>
      <c r="D8" t="s">
        <v>723</v>
      </c>
      <c r="E8" t="s">
        <v>722</v>
      </c>
      <c r="F8" t="s">
        <v>300</v>
      </c>
      <c r="L8" t="s">
        <v>737</v>
      </c>
      <c r="M8" t="s">
        <v>728</v>
      </c>
      <c r="N8" s="2">
        <v>7.6938704058300096E-3</v>
      </c>
      <c r="O8" s="2">
        <v>7.69387040583E-3</v>
      </c>
      <c r="P8" s="2">
        <v>7.69387040583E-3</v>
      </c>
      <c r="Q8" s="2">
        <v>2.1512088204104898E-2</v>
      </c>
      <c r="R8" s="2">
        <v>0.11113019841467001</v>
      </c>
    </row>
    <row r="9" spans="2:18" x14ac:dyDescent="0.45">
      <c r="B9" t="str">
        <f t="shared" si="0"/>
        <v>NI</v>
      </c>
      <c r="C9" t="str">
        <f t="shared" si="1"/>
        <v>e_w167285260-220</v>
      </c>
      <c r="D9" t="s">
        <v>723</v>
      </c>
      <c r="E9" t="s">
        <v>722</v>
      </c>
      <c r="F9" t="s">
        <v>300</v>
      </c>
      <c r="L9" t="s">
        <v>738</v>
      </c>
      <c r="M9" t="s">
        <v>728</v>
      </c>
      <c r="N9" s="2">
        <v>3.2952241812295398E-2</v>
      </c>
      <c r="O9" s="2">
        <v>3.2952241812295398E-2</v>
      </c>
      <c r="P9" s="2">
        <v>3.2952241812295398E-2</v>
      </c>
      <c r="Q9" s="2">
        <v>4.1728863803209698E-2</v>
      </c>
      <c r="R9" s="2">
        <v>0.125235778416185</v>
      </c>
    </row>
    <row r="10" spans="2:18" x14ac:dyDescent="0.45">
      <c r="B10" t="str">
        <f t="shared" si="0"/>
        <v>NI</v>
      </c>
      <c r="C10" t="str">
        <f t="shared" si="1"/>
        <v>e_w167285336-220</v>
      </c>
      <c r="D10" t="s">
        <v>723</v>
      </c>
      <c r="E10" t="s">
        <v>722</v>
      </c>
      <c r="F10" t="s">
        <v>300</v>
      </c>
      <c r="L10" t="s">
        <v>739</v>
      </c>
      <c r="M10" t="s">
        <v>728</v>
      </c>
      <c r="N10" s="2">
        <v>2.34291321054837E-2</v>
      </c>
      <c r="O10" s="2">
        <v>2.3429132105483801E-2</v>
      </c>
      <c r="P10" s="2">
        <v>2.3429132105483801E-2</v>
      </c>
      <c r="Q10" s="2">
        <v>3.4106576172306398E-2</v>
      </c>
      <c r="R10" s="2">
        <v>9.4538907932051705E-2</v>
      </c>
    </row>
    <row r="11" spans="2:18" x14ac:dyDescent="0.45">
      <c r="B11" t="str">
        <f t="shared" si="0"/>
        <v>NI</v>
      </c>
      <c r="C11" t="str">
        <f t="shared" si="1"/>
        <v>e_w167300914-220</v>
      </c>
      <c r="D11" t="s">
        <v>723</v>
      </c>
      <c r="E11" t="s">
        <v>722</v>
      </c>
      <c r="F11" t="s">
        <v>300</v>
      </c>
      <c r="L11" t="s">
        <v>740</v>
      </c>
      <c r="M11" t="s">
        <v>728</v>
      </c>
      <c r="N11" s="2">
        <v>0.63543589233768305</v>
      </c>
      <c r="O11" s="2">
        <v>0.63543589233768305</v>
      </c>
      <c r="P11" s="2">
        <v>0.63543589233768305</v>
      </c>
      <c r="Q11" s="2">
        <v>0.52395618435339197</v>
      </c>
      <c r="R11" s="2">
        <v>4.2286542778396897E-3</v>
      </c>
    </row>
    <row r="12" spans="2:18" x14ac:dyDescent="0.45">
      <c r="B12" t="str">
        <f t="shared" si="0"/>
        <v>NI</v>
      </c>
      <c r="C12" t="str">
        <f t="shared" si="1"/>
        <v>e_w270022030-220</v>
      </c>
      <c r="D12" t="s">
        <v>723</v>
      </c>
      <c r="E12" t="s">
        <v>722</v>
      </c>
      <c r="F12" t="s">
        <v>300</v>
      </c>
      <c r="L12" t="s">
        <v>741</v>
      </c>
      <c r="M12" t="s">
        <v>728</v>
      </c>
      <c r="N12" s="2">
        <v>8.5661305450976596E-3</v>
      </c>
      <c r="O12" s="2">
        <v>8.5661305450976995E-3</v>
      </c>
      <c r="P12" s="2">
        <v>8.5661305450976891E-3</v>
      </c>
      <c r="Q12" s="2">
        <v>2.2210244360566699E-2</v>
      </c>
      <c r="R12" s="2">
        <v>9.8552632363159004E-2</v>
      </c>
    </row>
    <row r="13" spans="2:18" x14ac:dyDescent="0.45">
      <c r="B13" t="str">
        <f t="shared" si="0"/>
        <v>NI</v>
      </c>
      <c r="C13" t="str">
        <f t="shared" si="1"/>
        <v>e_w907631032-220</v>
      </c>
      <c r="D13" t="s">
        <v>723</v>
      </c>
      <c r="E13" t="s">
        <v>722</v>
      </c>
      <c r="F13" t="s">
        <v>300</v>
      </c>
      <c r="L13" t="s">
        <v>742</v>
      </c>
      <c r="M13" t="s">
        <v>728</v>
      </c>
      <c r="N13" s="2">
        <v>8.8870686785993705E-2</v>
      </c>
      <c r="O13" s="2">
        <v>8.8870686785993594E-2</v>
      </c>
      <c r="P13" s="2">
        <v>8.8870686785993594E-2</v>
      </c>
      <c r="Q13" s="2">
        <v>8.6485932091261195E-2</v>
      </c>
      <c r="R13" s="2">
        <v>4.8221286775162204E-3</v>
      </c>
    </row>
    <row r="14" spans="2:18" x14ac:dyDescent="0.45">
      <c r="B14" t="str">
        <f t="shared" si="0"/>
        <v>NI</v>
      </c>
      <c r="C14" t="str">
        <f t="shared" si="1"/>
        <v>e_w1167708390-220</v>
      </c>
      <c r="D14" t="s">
        <v>723</v>
      </c>
      <c r="E14" t="s">
        <v>722</v>
      </c>
      <c r="F14" t="s">
        <v>300</v>
      </c>
      <c r="L14" t="s">
        <v>729</v>
      </c>
      <c r="M14" t="s">
        <v>728</v>
      </c>
      <c r="N14" s="2">
        <v>8.0617065696143696E-3</v>
      </c>
      <c r="O14" s="2">
        <v>8.0617065696143003E-3</v>
      </c>
      <c r="P14" s="2">
        <v>8.0617065696143003E-3</v>
      </c>
      <c r="Q14" s="2">
        <v>2.18065039073502E-2</v>
      </c>
      <c r="R14" s="2">
        <v>8.1145533401035905E-2</v>
      </c>
    </row>
    <row r="15" spans="2:18" x14ac:dyDescent="0.45">
      <c r="B15" t="str">
        <f t="shared" si="0"/>
        <v>NI</v>
      </c>
      <c r="C15" t="str">
        <f t="shared" si="1"/>
        <v>e_w1363994055-220</v>
      </c>
      <c r="D15" t="s">
        <v>723</v>
      </c>
      <c r="E15" t="s">
        <v>722</v>
      </c>
      <c r="F15" t="s">
        <v>300</v>
      </c>
      <c r="L15" t="s">
        <v>730</v>
      </c>
      <c r="M15" t="s">
        <v>728</v>
      </c>
      <c r="N15" s="2">
        <v>1.4923947387757999E-2</v>
      </c>
      <c r="O15" s="2">
        <v>1.49239473877581E-2</v>
      </c>
      <c r="P15" s="2">
        <v>1.49239473877581E-2</v>
      </c>
      <c r="Q15" s="2">
        <v>2.7299034700207302E-2</v>
      </c>
      <c r="R15" s="2">
        <v>6.04367704312977E-2</v>
      </c>
    </row>
    <row r="16" spans="2:18" x14ac:dyDescent="0.45">
      <c r="B16" t="str">
        <f t="shared" si="0"/>
        <v>NI</v>
      </c>
      <c r="C16" t="str">
        <f t="shared" si="1"/>
        <v>e_NZ11-220</v>
      </c>
      <c r="D16" t="s">
        <v>723</v>
      </c>
      <c r="E16" t="s">
        <v>722</v>
      </c>
      <c r="F16" t="s">
        <v>300</v>
      </c>
      <c r="L16" t="s">
        <v>743</v>
      </c>
      <c r="M16" t="s">
        <v>720</v>
      </c>
      <c r="N16" s="2">
        <v>2.1443297887408799E-2</v>
      </c>
      <c r="O16" s="2">
        <v>2.1696550845568201E-2</v>
      </c>
      <c r="P16" s="2">
        <v>2.1696550845568201E-2</v>
      </c>
      <c r="Q16" s="2">
        <v>4.2007495042417201E-2</v>
      </c>
      <c r="R16" s="2">
        <v>6.3638923649862705E-2</v>
      </c>
    </row>
    <row r="17" spans="2:22" x14ac:dyDescent="0.45">
      <c r="B17" t="str">
        <f t="shared" si="0"/>
        <v>NI</v>
      </c>
      <c r="C17" t="str">
        <f t="shared" si="1"/>
        <v>e_NZ13-220</v>
      </c>
      <c r="D17" t="s">
        <v>723</v>
      </c>
      <c r="E17" t="s">
        <v>722</v>
      </c>
      <c r="F17" t="s">
        <v>300</v>
      </c>
      <c r="L17" t="s">
        <v>744</v>
      </c>
      <c r="M17" t="s">
        <v>720</v>
      </c>
      <c r="N17" s="2">
        <v>1.7574323650842699E-2</v>
      </c>
      <c r="O17" s="2">
        <v>1.7781882650190501E-2</v>
      </c>
      <c r="P17" s="2">
        <v>1.77818826501904E-2</v>
      </c>
      <c r="Q17" s="2">
        <v>3.9025821902286997E-2</v>
      </c>
      <c r="R17" s="2">
        <v>0.142535486755099</v>
      </c>
    </row>
    <row r="18" spans="2:22" x14ac:dyDescent="0.45">
      <c r="B18" t="str">
        <f t="shared" si="0"/>
        <v>SI</v>
      </c>
      <c r="C18" t="str">
        <f t="shared" si="1"/>
        <v>e_w33795353-220</v>
      </c>
      <c r="D18" t="s">
        <v>723</v>
      </c>
      <c r="E18" t="s">
        <v>722</v>
      </c>
      <c r="F18" t="s">
        <v>300</v>
      </c>
      <c r="L18" t="s">
        <v>745</v>
      </c>
      <c r="M18" t="s">
        <v>720</v>
      </c>
      <c r="N18" s="2">
        <v>0.28354990845613498</v>
      </c>
      <c r="O18" s="2">
        <v>0.28689873350531298</v>
      </c>
      <c r="P18" s="2">
        <v>0.28689873350531298</v>
      </c>
      <c r="Q18" s="2">
        <v>0.244003216078024</v>
      </c>
      <c r="R18" s="2">
        <v>3.1587285738253097E-2</v>
      </c>
    </row>
    <row r="19" spans="2:22" x14ac:dyDescent="0.45">
      <c r="B19" t="str">
        <f t="shared" si="0"/>
        <v>SI</v>
      </c>
      <c r="C19" t="str">
        <f t="shared" si="1"/>
        <v>e_w270521928-220</v>
      </c>
      <c r="D19" t="s">
        <v>723</v>
      </c>
      <c r="E19" t="s">
        <v>722</v>
      </c>
      <c r="F19" t="s">
        <v>300</v>
      </c>
      <c r="L19" t="s">
        <v>746</v>
      </c>
      <c r="M19" t="s">
        <v>720</v>
      </c>
      <c r="N19" s="2">
        <v>0.50257319574648895</v>
      </c>
      <c r="O19" s="2">
        <v>0.50850876354873298</v>
      </c>
      <c r="P19" s="2">
        <v>0.50850876354873298</v>
      </c>
      <c r="Q19" s="2">
        <v>0.41279623790913</v>
      </c>
      <c r="R19" s="2">
        <v>3.2834920354623598E-2</v>
      </c>
    </row>
    <row r="20" spans="2:22" x14ac:dyDescent="0.45">
      <c r="B20" t="str">
        <f t="shared" si="0"/>
        <v>SI</v>
      </c>
      <c r="C20" t="str">
        <f t="shared" si="1"/>
        <v>e_w95343089-220</v>
      </c>
      <c r="D20" t="s">
        <v>723</v>
      </c>
      <c r="E20" t="s">
        <v>722</v>
      </c>
      <c r="F20" t="s">
        <v>300</v>
      </c>
      <c r="L20" t="s">
        <v>747</v>
      </c>
      <c r="M20" t="s">
        <v>720</v>
      </c>
      <c r="N20" s="2">
        <v>3.60680205016288E-2</v>
      </c>
      <c r="O20" s="2">
        <v>3.6493996624096303E-2</v>
      </c>
      <c r="P20" s="2">
        <v>3.6493996624096199E-2</v>
      </c>
      <c r="Q20" s="2">
        <v>5.3278219512109801E-2</v>
      </c>
      <c r="R20" s="2">
        <v>0.191013906423359</v>
      </c>
    </row>
    <row r="21" spans="2:22" x14ac:dyDescent="0.45">
      <c r="B21" t="str">
        <f t="shared" si="0"/>
        <v>SI</v>
      </c>
      <c r="C21" t="str">
        <f t="shared" si="1"/>
        <v>e_w100957314-220</v>
      </c>
      <c r="D21" t="s">
        <v>723</v>
      </c>
      <c r="E21" t="s">
        <v>722</v>
      </c>
      <c r="F21" t="s">
        <v>300</v>
      </c>
      <c r="L21" t="s">
        <v>748</v>
      </c>
      <c r="M21" t="s">
        <v>720</v>
      </c>
      <c r="N21" s="2">
        <v>3.34436756042156E-2</v>
      </c>
      <c r="O21" s="2">
        <v>2.2028302387549499E-2</v>
      </c>
      <c r="P21" s="2">
        <v>2.2028302387549398E-2</v>
      </c>
      <c r="Q21" s="2">
        <v>5.1255735460109399E-2</v>
      </c>
      <c r="R21" s="2">
        <v>4.7306892983382899E-2</v>
      </c>
    </row>
    <row r="22" spans="2:22" x14ac:dyDescent="0.45">
      <c r="B22" t="str">
        <f t="shared" si="0"/>
        <v>SI</v>
      </c>
      <c r="C22" t="str">
        <f t="shared" si="1"/>
        <v>e_w167286837-220</v>
      </c>
      <c r="D22" t="s">
        <v>723</v>
      </c>
      <c r="E22" t="s">
        <v>722</v>
      </c>
      <c r="F22" t="s">
        <v>300</v>
      </c>
      <c r="L22" t="s">
        <v>749</v>
      </c>
      <c r="M22" t="s">
        <v>720</v>
      </c>
      <c r="N22" s="2">
        <v>2.3213845419396702E-2</v>
      </c>
      <c r="O22" s="2">
        <v>2.34880091722665E-2</v>
      </c>
      <c r="P22" s="2">
        <v>2.3488009172266601E-2</v>
      </c>
      <c r="Q22" s="2">
        <v>4.3371989530273498E-2</v>
      </c>
      <c r="R22" s="2">
        <v>0.12562350163285799</v>
      </c>
    </row>
    <row r="23" spans="2:22" x14ac:dyDescent="0.45">
      <c r="B23" t="str">
        <f t="shared" si="0"/>
        <v>SI</v>
      </c>
      <c r="C23" t="str">
        <f t="shared" si="1"/>
        <v>e_w180519027-220</v>
      </c>
      <c r="D23" t="s">
        <v>723</v>
      </c>
      <c r="E23" t="s">
        <v>722</v>
      </c>
      <c r="F23" t="s">
        <v>300</v>
      </c>
      <c r="L23" t="s">
        <v>750</v>
      </c>
      <c r="M23" t="s">
        <v>720</v>
      </c>
      <c r="N23" s="2">
        <v>6.2460982378461698E-2</v>
      </c>
      <c r="O23" s="2">
        <v>6.3198668747412298E-2</v>
      </c>
      <c r="P23" s="2">
        <v>6.3198668747412298E-2</v>
      </c>
      <c r="Q23" s="2">
        <v>7.3618284011086901E-2</v>
      </c>
      <c r="R23" s="2">
        <v>0.16693725652546401</v>
      </c>
    </row>
    <row r="24" spans="2:22" x14ac:dyDescent="0.45">
      <c r="B24" t="str">
        <f t="shared" si="0"/>
        <v>SI</v>
      </c>
      <c r="C24" t="str">
        <f t="shared" si="1"/>
        <v>e_w268826084-220</v>
      </c>
      <c r="D24" t="s">
        <v>723</v>
      </c>
      <c r="E24" t="s">
        <v>722</v>
      </c>
      <c r="F24" t="s">
        <v>300</v>
      </c>
      <c r="L24" t="s">
        <v>731</v>
      </c>
      <c r="M24" t="s">
        <v>720</v>
      </c>
      <c r="N24" s="2">
        <v>1.9672750355421001E-2</v>
      </c>
      <c r="O24" s="2">
        <v>1.9905092518869998E-2</v>
      </c>
      <c r="P24" s="2">
        <v>1.9905092518869901E-2</v>
      </c>
      <c r="Q24" s="2">
        <v>4.0643000554560903E-2</v>
      </c>
      <c r="R24" s="2">
        <v>0.198521825937094</v>
      </c>
    </row>
    <row r="25" spans="2:22" x14ac:dyDescent="0.45">
      <c r="B25" t="str">
        <f t="shared" si="0"/>
        <v>SI</v>
      </c>
      <c r="C25" t="str">
        <f t="shared" si="1"/>
        <v>e_w272195826-220</v>
      </c>
      <c r="D25" t="s">
        <v>723</v>
      </c>
      <c r="E25" t="s">
        <v>722</v>
      </c>
      <c r="F25" t="s">
        <v>300</v>
      </c>
    </row>
    <row r="26" spans="2:22" x14ac:dyDescent="0.45">
      <c r="B26" t="str">
        <f t="shared" si="0"/>
        <v>SI</v>
      </c>
      <c r="C26" t="str">
        <f t="shared" si="1"/>
        <v>e_NZ27-220</v>
      </c>
      <c r="D26" t="s">
        <v>723</v>
      </c>
      <c r="E26" t="s">
        <v>722</v>
      </c>
      <c r="F26" t="s">
        <v>300</v>
      </c>
    </row>
    <row r="31" spans="2:22" x14ac:dyDescent="0.45">
      <c r="B31" t="s">
        <v>757</v>
      </c>
      <c r="J31" t="s">
        <v>757</v>
      </c>
      <c r="Q31" t="s">
        <v>757</v>
      </c>
    </row>
    <row r="32" spans="2:22" x14ac:dyDescent="0.45">
      <c r="B32" t="s">
        <v>310</v>
      </c>
      <c r="C32" t="s">
        <v>252</v>
      </c>
      <c r="D32" t="s">
        <v>14</v>
      </c>
      <c r="E32" t="s">
        <v>38</v>
      </c>
      <c r="F32">
        <v>2020</v>
      </c>
      <c r="G32">
        <v>0</v>
      </c>
      <c r="J32" t="s">
        <v>310</v>
      </c>
      <c r="K32" t="s">
        <v>252</v>
      </c>
      <c r="L32" t="s">
        <v>14</v>
      </c>
      <c r="M32" t="s">
        <v>38</v>
      </c>
      <c r="N32">
        <v>2020</v>
      </c>
      <c r="O32">
        <v>0</v>
      </c>
      <c r="Q32" t="s">
        <v>310</v>
      </c>
      <c r="R32" t="s">
        <v>252</v>
      </c>
      <c r="S32" t="s">
        <v>14</v>
      </c>
      <c r="T32" t="s">
        <v>38</v>
      </c>
      <c r="U32">
        <v>2020</v>
      </c>
      <c r="V32">
        <v>0</v>
      </c>
    </row>
    <row r="33" spans="2:22" x14ac:dyDescent="0.45">
      <c r="B33" t="str">
        <f>B5</f>
        <v>NI</v>
      </c>
      <c r="C33" t="str">
        <f>C5</f>
        <v>e_w87928925-220</v>
      </c>
      <c r="D33" t="s">
        <v>756</v>
      </c>
      <c r="E33" t="s">
        <v>722</v>
      </c>
      <c r="F33" s="2"/>
      <c r="G33">
        <v>3</v>
      </c>
      <c r="J33" t="str">
        <f>$B33</f>
        <v>NI</v>
      </c>
      <c r="K33" t="str">
        <f>$C33</f>
        <v>e_w87928925-220</v>
      </c>
      <c r="L33" t="s">
        <v>755</v>
      </c>
      <c r="M33" t="s">
        <v>722</v>
      </c>
      <c r="N33" s="2"/>
      <c r="O33">
        <v>3</v>
      </c>
      <c r="Q33" t="str">
        <f>$B33</f>
        <v>NI</v>
      </c>
      <c r="R33" t="str">
        <f>$C33</f>
        <v>e_w87928925-220</v>
      </c>
      <c r="S33" t="s">
        <v>754</v>
      </c>
      <c r="T33" t="s">
        <v>722</v>
      </c>
      <c r="U33" s="2"/>
      <c r="V33">
        <v>3</v>
      </c>
    </row>
    <row r="34" spans="2:22" x14ac:dyDescent="0.45">
      <c r="B34" t="str">
        <f t="shared" ref="B34:C54" si="2">B6</f>
        <v>NI</v>
      </c>
      <c r="C34" t="str">
        <f t="shared" si="2"/>
        <v>e_w94053861-220</v>
      </c>
      <c r="D34" t="s">
        <v>756</v>
      </c>
      <c r="E34" t="s">
        <v>722</v>
      </c>
      <c r="F34" s="2">
        <f t="shared" ref="F34:F54" si="3">N4</f>
        <v>8.1561509900455104E-2</v>
      </c>
      <c r="G34">
        <v>3</v>
      </c>
      <c r="J34" t="str">
        <f t="shared" ref="J34:J54" si="4">$B34</f>
        <v>NI</v>
      </c>
      <c r="K34" t="str">
        <f t="shared" ref="K34:K54" si="5">$C34</f>
        <v>e_w94053861-220</v>
      </c>
      <c r="L34" t="s">
        <v>755</v>
      </c>
      <c r="M34" t="s">
        <v>722</v>
      </c>
      <c r="N34" s="2">
        <f t="shared" ref="N34:N45" si="6">R4</f>
        <v>6.8580675281546405E-2</v>
      </c>
      <c r="O34">
        <v>3</v>
      </c>
      <c r="Q34" t="str">
        <f t="shared" ref="Q34:Q54" si="7">$B34</f>
        <v>NI</v>
      </c>
      <c r="R34" t="str">
        <f t="shared" ref="R34:R54" si="8">$C34</f>
        <v>e_w94053861-220</v>
      </c>
      <c r="S34" t="s">
        <v>754</v>
      </c>
      <c r="T34" t="s">
        <v>722</v>
      </c>
      <c r="U34" s="2">
        <f t="shared" ref="U34:U54" si="9">Q4</f>
        <v>8.06356741102075E-2</v>
      </c>
      <c r="V34">
        <v>3</v>
      </c>
    </row>
    <row r="35" spans="2:22" x14ac:dyDescent="0.45">
      <c r="B35" t="str">
        <f t="shared" si="2"/>
        <v>NI</v>
      </c>
      <c r="C35" t="str">
        <f t="shared" si="2"/>
        <v>e_w95344674-220</v>
      </c>
      <c r="D35" t="s">
        <v>756</v>
      </c>
      <c r="E35" t="s">
        <v>722</v>
      </c>
      <c r="F35" s="2">
        <f t="shared" si="3"/>
        <v>1.7030252471331601E-2</v>
      </c>
      <c r="G35">
        <v>3</v>
      </c>
      <c r="J35" t="str">
        <f t="shared" si="4"/>
        <v>NI</v>
      </c>
      <c r="K35" t="str">
        <f t="shared" si="5"/>
        <v>e_w95344674-220</v>
      </c>
      <c r="L35" t="s">
        <v>755</v>
      </c>
      <c r="M35" t="s">
        <v>722</v>
      </c>
      <c r="N35" s="2">
        <f t="shared" si="6"/>
        <v>0.12292330838603201</v>
      </c>
      <c r="O35">
        <v>3</v>
      </c>
      <c r="Q35" t="str">
        <f t="shared" si="7"/>
        <v>NI</v>
      </c>
      <c r="R35" t="str">
        <f t="shared" si="8"/>
        <v>e_w95344674-220</v>
      </c>
      <c r="S35" t="s">
        <v>754</v>
      </c>
      <c r="T35" t="s">
        <v>722</v>
      </c>
      <c r="U35" s="2">
        <f t="shared" si="9"/>
        <v>2.8984919214794801E-2</v>
      </c>
      <c r="V35">
        <v>3</v>
      </c>
    </row>
    <row r="36" spans="2:22" x14ac:dyDescent="0.45">
      <c r="B36" t="str">
        <f t="shared" si="2"/>
        <v>NI</v>
      </c>
      <c r="C36" t="str">
        <f t="shared" si="2"/>
        <v>e_w119877500-220</v>
      </c>
      <c r="D36" t="s">
        <v>756</v>
      </c>
      <c r="E36" t="s">
        <v>722</v>
      </c>
      <c r="F36" s="2">
        <f t="shared" si="3"/>
        <v>6.5397898449555403E-2</v>
      </c>
      <c r="G36">
        <v>3</v>
      </c>
      <c r="J36" t="str">
        <f t="shared" si="4"/>
        <v>NI</v>
      </c>
      <c r="K36" t="str">
        <f t="shared" si="5"/>
        <v>e_w119877500-220</v>
      </c>
      <c r="L36" t="s">
        <v>755</v>
      </c>
      <c r="M36" t="s">
        <v>722</v>
      </c>
      <c r="N36" s="2">
        <f t="shared" si="6"/>
        <v>3.9503551970168603E-2</v>
      </c>
      <c r="O36">
        <v>3</v>
      </c>
      <c r="Q36" t="str">
        <f t="shared" si="7"/>
        <v>NI</v>
      </c>
      <c r="R36" t="str">
        <f t="shared" si="8"/>
        <v>e_w119877500-220</v>
      </c>
      <c r="S36" t="s">
        <v>754</v>
      </c>
      <c r="T36" t="s">
        <v>722</v>
      </c>
      <c r="U36" s="2">
        <f t="shared" si="9"/>
        <v>6.7698335422951006E-2</v>
      </c>
      <c r="V36">
        <v>3</v>
      </c>
    </row>
    <row r="37" spans="2:22" x14ac:dyDescent="0.45">
      <c r="B37" t="str">
        <f t="shared" si="2"/>
        <v>NI</v>
      </c>
      <c r="C37" t="str">
        <f t="shared" si="2"/>
        <v>e_w167285260-220</v>
      </c>
      <c r="D37" t="s">
        <v>756</v>
      </c>
      <c r="E37" t="s">
        <v>722</v>
      </c>
      <c r="F37" s="2">
        <f t="shared" si="3"/>
        <v>1.0210371164411E-2</v>
      </c>
      <c r="G37">
        <v>3</v>
      </c>
      <c r="J37" t="str">
        <f t="shared" si="4"/>
        <v>NI</v>
      </c>
      <c r="K37" t="str">
        <f t="shared" si="5"/>
        <v>e_w167285260-220</v>
      </c>
      <c r="L37" t="s">
        <v>755</v>
      </c>
      <c r="M37" t="s">
        <v>722</v>
      </c>
      <c r="N37" s="2">
        <f t="shared" si="6"/>
        <v>0.11850700547946599</v>
      </c>
      <c r="O37">
        <v>3</v>
      </c>
      <c r="Q37" t="str">
        <f t="shared" si="7"/>
        <v>NI</v>
      </c>
      <c r="R37" t="str">
        <f t="shared" si="8"/>
        <v>e_w167285260-220</v>
      </c>
      <c r="S37" t="s">
        <v>754</v>
      </c>
      <c r="T37" t="s">
        <v>722</v>
      </c>
      <c r="U37" s="2">
        <f t="shared" si="9"/>
        <v>2.3526292933004799E-2</v>
      </c>
      <c r="V37">
        <v>3</v>
      </c>
    </row>
    <row r="38" spans="2:22" x14ac:dyDescent="0.45">
      <c r="B38" t="str">
        <f t="shared" si="2"/>
        <v>NI</v>
      </c>
      <c r="C38" t="str">
        <f t="shared" si="2"/>
        <v>e_w167285336-220</v>
      </c>
      <c r="D38" t="s">
        <v>756</v>
      </c>
      <c r="E38" t="s">
        <v>722</v>
      </c>
      <c r="F38" s="2">
        <f t="shared" si="3"/>
        <v>7.6938704058300096E-3</v>
      </c>
      <c r="G38">
        <v>3</v>
      </c>
      <c r="J38" t="str">
        <f t="shared" si="4"/>
        <v>NI</v>
      </c>
      <c r="K38" t="str">
        <f t="shared" si="5"/>
        <v>e_w167285336-220</v>
      </c>
      <c r="L38" t="s">
        <v>755</v>
      </c>
      <c r="M38" t="s">
        <v>722</v>
      </c>
      <c r="N38" s="2">
        <f t="shared" si="6"/>
        <v>0.11113019841467001</v>
      </c>
      <c r="O38">
        <v>3</v>
      </c>
      <c r="Q38" t="str">
        <f t="shared" si="7"/>
        <v>NI</v>
      </c>
      <c r="R38" t="str">
        <f t="shared" si="8"/>
        <v>e_w167285336-220</v>
      </c>
      <c r="S38" t="s">
        <v>754</v>
      </c>
      <c r="T38" t="s">
        <v>722</v>
      </c>
      <c r="U38" s="2">
        <f t="shared" si="9"/>
        <v>2.1512088204104898E-2</v>
      </c>
      <c r="V38">
        <v>3</v>
      </c>
    </row>
    <row r="39" spans="2:22" x14ac:dyDescent="0.45">
      <c r="B39" t="str">
        <f t="shared" si="2"/>
        <v>NI</v>
      </c>
      <c r="C39" t="str">
        <f t="shared" si="2"/>
        <v>e_w167300914-220</v>
      </c>
      <c r="D39" t="s">
        <v>756</v>
      </c>
      <c r="E39" t="s">
        <v>722</v>
      </c>
      <c r="F39" s="2">
        <f t="shared" si="3"/>
        <v>3.2952241812295398E-2</v>
      </c>
      <c r="G39">
        <v>3</v>
      </c>
      <c r="J39" t="str">
        <f t="shared" si="4"/>
        <v>NI</v>
      </c>
      <c r="K39" t="str">
        <f t="shared" si="5"/>
        <v>e_w167300914-220</v>
      </c>
      <c r="L39" t="s">
        <v>755</v>
      </c>
      <c r="M39" t="s">
        <v>722</v>
      </c>
      <c r="N39" s="2">
        <f t="shared" si="6"/>
        <v>0.125235778416185</v>
      </c>
      <c r="O39">
        <v>3</v>
      </c>
      <c r="Q39" t="str">
        <f t="shared" si="7"/>
        <v>NI</v>
      </c>
      <c r="R39" t="str">
        <f t="shared" si="8"/>
        <v>e_w167300914-220</v>
      </c>
      <c r="S39" t="s">
        <v>754</v>
      </c>
      <c r="T39" t="s">
        <v>722</v>
      </c>
      <c r="U39" s="2">
        <f t="shared" si="9"/>
        <v>4.1728863803209698E-2</v>
      </c>
      <c r="V39">
        <v>3</v>
      </c>
    </row>
    <row r="40" spans="2:22" x14ac:dyDescent="0.45">
      <c r="B40" t="str">
        <f t="shared" si="2"/>
        <v>NI</v>
      </c>
      <c r="C40" t="str">
        <f t="shared" si="2"/>
        <v>e_w270022030-220</v>
      </c>
      <c r="D40" t="s">
        <v>756</v>
      </c>
      <c r="E40" t="s">
        <v>722</v>
      </c>
      <c r="F40" s="2">
        <f t="shared" si="3"/>
        <v>2.34291321054837E-2</v>
      </c>
      <c r="G40">
        <v>3</v>
      </c>
      <c r="J40" t="str">
        <f t="shared" si="4"/>
        <v>NI</v>
      </c>
      <c r="K40" t="str">
        <f t="shared" si="5"/>
        <v>e_w270022030-220</v>
      </c>
      <c r="L40" t="s">
        <v>755</v>
      </c>
      <c r="M40" t="s">
        <v>722</v>
      </c>
      <c r="N40" s="2">
        <f t="shared" si="6"/>
        <v>9.4538907932051705E-2</v>
      </c>
      <c r="O40">
        <v>3</v>
      </c>
      <c r="Q40" t="str">
        <f t="shared" si="7"/>
        <v>NI</v>
      </c>
      <c r="R40" t="str">
        <f t="shared" si="8"/>
        <v>e_w270022030-220</v>
      </c>
      <c r="S40" t="s">
        <v>754</v>
      </c>
      <c r="T40" t="s">
        <v>722</v>
      </c>
      <c r="U40" s="2">
        <f t="shared" si="9"/>
        <v>3.4106576172306398E-2</v>
      </c>
      <c r="V40">
        <v>3</v>
      </c>
    </row>
    <row r="41" spans="2:22" x14ac:dyDescent="0.45">
      <c r="B41" t="str">
        <f t="shared" si="2"/>
        <v>NI</v>
      </c>
      <c r="C41" t="str">
        <f t="shared" si="2"/>
        <v>e_w907631032-220</v>
      </c>
      <c r="D41" t="s">
        <v>756</v>
      </c>
      <c r="E41" t="s">
        <v>722</v>
      </c>
      <c r="F41" s="2">
        <f t="shared" si="3"/>
        <v>0.63543589233768305</v>
      </c>
      <c r="G41">
        <v>3</v>
      </c>
      <c r="J41" t="str">
        <f t="shared" si="4"/>
        <v>NI</v>
      </c>
      <c r="K41" t="str">
        <f t="shared" si="5"/>
        <v>e_w907631032-220</v>
      </c>
      <c r="L41" t="s">
        <v>755</v>
      </c>
      <c r="M41" t="s">
        <v>722</v>
      </c>
      <c r="N41" s="2">
        <f t="shared" si="6"/>
        <v>4.2286542778396897E-3</v>
      </c>
      <c r="O41">
        <v>3</v>
      </c>
      <c r="Q41" t="str">
        <f t="shared" si="7"/>
        <v>NI</v>
      </c>
      <c r="R41" t="str">
        <f t="shared" si="8"/>
        <v>e_w907631032-220</v>
      </c>
      <c r="S41" t="s">
        <v>754</v>
      </c>
      <c r="T41" t="s">
        <v>722</v>
      </c>
      <c r="U41" s="2">
        <f t="shared" si="9"/>
        <v>0.52395618435339197</v>
      </c>
      <c r="V41">
        <v>3</v>
      </c>
    </row>
    <row r="42" spans="2:22" x14ac:dyDescent="0.45">
      <c r="B42" t="str">
        <f t="shared" si="2"/>
        <v>NI</v>
      </c>
      <c r="C42" t="str">
        <f t="shared" si="2"/>
        <v>e_w1167708390-220</v>
      </c>
      <c r="D42" t="s">
        <v>756</v>
      </c>
      <c r="E42" t="s">
        <v>722</v>
      </c>
      <c r="F42" s="2">
        <f t="shared" si="3"/>
        <v>8.5661305450976596E-3</v>
      </c>
      <c r="G42">
        <v>3</v>
      </c>
      <c r="J42" t="str">
        <f t="shared" si="4"/>
        <v>NI</v>
      </c>
      <c r="K42" t="str">
        <f t="shared" si="5"/>
        <v>e_w1167708390-220</v>
      </c>
      <c r="L42" t="s">
        <v>755</v>
      </c>
      <c r="M42" t="s">
        <v>722</v>
      </c>
      <c r="N42" s="2">
        <f t="shared" si="6"/>
        <v>9.8552632363159004E-2</v>
      </c>
      <c r="O42">
        <v>3</v>
      </c>
      <c r="Q42" t="str">
        <f t="shared" si="7"/>
        <v>NI</v>
      </c>
      <c r="R42" t="str">
        <f t="shared" si="8"/>
        <v>e_w1167708390-220</v>
      </c>
      <c r="S42" t="s">
        <v>754</v>
      </c>
      <c r="T42" t="s">
        <v>722</v>
      </c>
      <c r="U42" s="2">
        <f t="shared" si="9"/>
        <v>2.2210244360566699E-2</v>
      </c>
      <c r="V42">
        <v>3</v>
      </c>
    </row>
    <row r="43" spans="2:22" x14ac:dyDescent="0.45">
      <c r="B43" t="str">
        <f t="shared" si="2"/>
        <v>NI</v>
      </c>
      <c r="C43" t="str">
        <f t="shared" si="2"/>
        <v>e_w1363994055-220</v>
      </c>
      <c r="D43" t="s">
        <v>756</v>
      </c>
      <c r="E43" t="s">
        <v>722</v>
      </c>
      <c r="F43" s="2">
        <f t="shared" si="3"/>
        <v>8.8870686785993705E-2</v>
      </c>
      <c r="G43">
        <v>3</v>
      </c>
      <c r="J43" t="str">
        <f t="shared" si="4"/>
        <v>NI</v>
      </c>
      <c r="K43" t="str">
        <f t="shared" si="5"/>
        <v>e_w1363994055-220</v>
      </c>
      <c r="L43" t="s">
        <v>755</v>
      </c>
      <c r="M43" t="s">
        <v>722</v>
      </c>
      <c r="N43" s="2">
        <f t="shared" si="6"/>
        <v>4.8221286775162204E-3</v>
      </c>
      <c r="O43">
        <v>3</v>
      </c>
      <c r="Q43" t="str">
        <f t="shared" si="7"/>
        <v>NI</v>
      </c>
      <c r="R43" t="str">
        <f t="shared" si="8"/>
        <v>e_w1363994055-220</v>
      </c>
      <c r="S43" t="s">
        <v>754</v>
      </c>
      <c r="T43" t="s">
        <v>722</v>
      </c>
      <c r="U43" s="2">
        <f t="shared" si="9"/>
        <v>8.6485932091261195E-2</v>
      </c>
      <c r="V43">
        <v>3</v>
      </c>
    </row>
    <row r="44" spans="2:22" x14ac:dyDescent="0.45">
      <c r="B44" t="str">
        <f t="shared" si="2"/>
        <v>NI</v>
      </c>
      <c r="C44" t="str">
        <f t="shared" si="2"/>
        <v>e_NZ11-220</v>
      </c>
      <c r="D44" t="s">
        <v>756</v>
      </c>
      <c r="E44" t="s">
        <v>722</v>
      </c>
      <c r="F44" s="2">
        <f t="shared" si="3"/>
        <v>8.0617065696143696E-3</v>
      </c>
      <c r="G44">
        <v>3</v>
      </c>
      <c r="J44" t="str">
        <f t="shared" si="4"/>
        <v>NI</v>
      </c>
      <c r="K44" t="str">
        <f t="shared" si="5"/>
        <v>e_NZ11-220</v>
      </c>
      <c r="L44" t="s">
        <v>755</v>
      </c>
      <c r="M44" t="s">
        <v>722</v>
      </c>
      <c r="N44" s="2">
        <f t="shared" si="6"/>
        <v>8.1145533401035905E-2</v>
      </c>
      <c r="O44">
        <v>3</v>
      </c>
      <c r="Q44" t="str">
        <f t="shared" si="7"/>
        <v>NI</v>
      </c>
      <c r="R44" t="str">
        <f t="shared" si="8"/>
        <v>e_NZ11-220</v>
      </c>
      <c r="S44" t="s">
        <v>754</v>
      </c>
      <c r="T44" t="s">
        <v>722</v>
      </c>
      <c r="U44" s="2">
        <f t="shared" si="9"/>
        <v>2.18065039073502E-2</v>
      </c>
      <c r="V44">
        <v>3</v>
      </c>
    </row>
    <row r="45" spans="2:22" x14ac:dyDescent="0.45">
      <c r="B45" t="str">
        <f t="shared" si="2"/>
        <v>NI</v>
      </c>
      <c r="C45" t="str">
        <f t="shared" si="2"/>
        <v>e_NZ13-220</v>
      </c>
      <c r="D45" t="s">
        <v>756</v>
      </c>
      <c r="E45" t="s">
        <v>722</v>
      </c>
      <c r="F45" s="2">
        <f t="shared" si="3"/>
        <v>1.4923947387757999E-2</v>
      </c>
      <c r="G45">
        <v>3</v>
      </c>
      <c r="J45" t="str">
        <f t="shared" si="4"/>
        <v>NI</v>
      </c>
      <c r="K45" t="str">
        <f t="shared" si="5"/>
        <v>e_NZ13-220</v>
      </c>
      <c r="L45" t="s">
        <v>755</v>
      </c>
      <c r="M45" t="s">
        <v>722</v>
      </c>
      <c r="N45" s="2">
        <f t="shared" si="6"/>
        <v>6.04367704312977E-2</v>
      </c>
      <c r="O45">
        <v>3</v>
      </c>
      <c r="Q45" t="str">
        <f t="shared" si="7"/>
        <v>NI</v>
      </c>
      <c r="R45" t="str">
        <f t="shared" si="8"/>
        <v>e_NZ13-220</v>
      </c>
      <c r="S45" t="s">
        <v>754</v>
      </c>
      <c r="T45" t="s">
        <v>722</v>
      </c>
      <c r="U45" s="2">
        <f t="shared" si="9"/>
        <v>2.7299034700207302E-2</v>
      </c>
      <c r="V45">
        <v>3</v>
      </c>
    </row>
    <row r="46" spans="2:22" x14ac:dyDescent="0.45">
      <c r="B46" t="str">
        <f t="shared" si="2"/>
        <v>SI</v>
      </c>
      <c r="C46" t="str">
        <f t="shared" si="2"/>
        <v>e_w33795353-220</v>
      </c>
      <c r="D46" t="s">
        <v>756</v>
      </c>
      <c r="E46" t="s">
        <v>722</v>
      </c>
      <c r="F46" s="2"/>
      <c r="G46">
        <v>3</v>
      </c>
      <c r="J46" t="str">
        <f t="shared" si="4"/>
        <v>SI</v>
      </c>
      <c r="K46" t="str">
        <f t="shared" si="5"/>
        <v>e_w33795353-220</v>
      </c>
      <c r="L46" t="s">
        <v>755</v>
      </c>
      <c r="M46" t="s">
        <v>722</v>
      </c>
      <c r="N46" s="2"/>
      <c r="O46">
        <v>3</v>
      </c>
      <c r="Q46" t="str">
        <f t="shared" si="7"/>
        <v>SI</v>
      </c>
      <c r="R46" t="str">
        <f t="shared" si="8"/>
        <v>e_w33795353-220</v>
      </c>
      <c r="S46" t="s">
        <v>754</v>
      </c>
      <c r="T46" t="s">
        <v>722</v>
      </c>
      <c r="U46" s="2"/>
      <c r="V46">
        <v>3</v>
      </c>
    </row>
    <row r="47" spans="2:22" x14ac:dyDescent="0.45">
      <c r="B47" t="str">
        <f t="shared" si="2"/>
        <v>SI</v>
      </c>
      <c r="C47" t="str">
        <f t="shared" si="2"/>
        <v>e_w270521928-220</v>
      </c>
      <c r="D47" t="s">
        <v>756</v>
      </c>
      <c r="E47" t="s">
        <v>722</v>
      </c>
      <c r="F47" s="2">
        <f t="shared" si="3"/>
        <v>1.7574323650842699E-2</v>
      </c>
      <c r="G47">
        <v>3</v>
      </c>
      <c r="J47" t="str">
        <f t="shared" si="4"/>
        <v>SI</v>
      </c>
      <c r="K47" t="str">
        <f t="shared" si="5"/>
        <v>e_w270521928-220</v>
      </c>
      <c r="L47" t="s">
        <v>755</v>
      </c>
      <c r="M47" t="s">
        <v>722</v>
      </c>
      <c r="N47" s="2">
        <f>R17</f>
        <v>0.142535486755099</v>
      </c>
      <c r="O47">
        <v>3</v>
      </c>
      <c r="Q47" t="str">
        <f t="shared" si="7"/>
        <v>SI</v>
      </c>
      <c r="R47" t="str">
        <f t="shared" si="8"/>
        <v>e_w270521928-220</v>
      </c>
      <c r="S47" t="s">
        <v>754</v>
      </c>
      <c r="T47" t="s">
        <v>722</v>
      </c>
      <c r="U47" s="2">
        <f t="shared" si="9"/>
        <v>3.9025821902286997E-2</v>
      </c>
      <c r="V47">
        <v>3</v>
      </c>
    </row>
    <row r="48" spans="2:22" x14ac:dyDescent="0.45">
      <c r="B48" t="str">
        <f t="shared" si="2"/>
        <v>SI</v>
      </c>
      <c r="C48" t="str">
        <f t="shared" si="2"/>
        <v>e_w95343089-220</v>
      </c>
      <c r="D48" t="s">
        <v>756</v>
      </c>
      <c r="E48" t="s">
        <v>722</v>
      </c>
      <c r="F48" s="2">
        <f t="shared" si="3"/>
        <v>0.28354990845613498</v>
      </c>
      <c r="G48">
        <v>3</v>
      </c>
      <c r="J48" t="str">
        <f t="shared" si="4"/>
        <v>SI</v>
      </c>
      <c r="K48" t="str">
        <f t="shared" si="5"/>
        <v>e_w95343089-220</v>
      </c>
      <c r="L48" t="s">
        <v>755</v>
      </c>
      <c r="M48" t="s">
        <v>722</v>
      </c>
      <c r="N48" s="2">
        <f t="shared" ref="N48:N54" si="10">R18</f>
        <v>3.1587285738253097E-2</v>
      </c>
      <c r="O48">
        <v>3</v>
      </c>
      <c r="Q48" t="str">
        <f t="shared" si="7"/>
        <v>SI</v>
      </c>
      <c r="R48" t="str">
        <f t="shared" si="8"/>
        <v>e_w95343089-220</v>
      </c>
      <c r="S48" t="s">
        <v>754</v>
      </c>
      <c r="T48" t="s">
        <v>722</v>
      </c>
      <c r="U48" s="2">
        <f t="shared" si="9"/>
        <v>0.244003216078024</v>
      </c>
      <c r="V48">
        <v>3</v>
      </c>
    </row>
    <row r="49" spans="2:22" x14ac:dyDescent="0.45">
      <c r="B49" t="str">
        <f t="shared" si="2"/>
        <v>SI</v>
      </c>
      <c r="C49" t="str">
        <f t="shared" si="2"/>
        <v>e_w100957314-220</v>
      </c>
      <c r="D49" t="s">
        <v>756</v>
      </c>
      <c r="E49" t="s">
        <v>722</v>
      </c>
      <c r="F49" s="2">
        <f t="shared" si="3"/>
        <v>0.50257319574648895</v>
      </c>
      <c r="G49">
        <v>3</v>
      </c>
      <c r="J49" t="str">
        <f t="shared" si="4"/>
        <v>SI</v>
      </c>
      <c r="K49" t="str">
        <f t="shared" si="5"/>
        <v>e_w100957314-220</v>
      </c>
      <c r="L49" t="s">
        <v>755</v>
      </c>
      <c r="M49" t="s">
        <v>722</v>
      </c>
      <c r="N49" s="2">
        <f t="shared" si="10"/>
        <v>3.2834920354623598E-2</v>
      </c>
      <c r="O49">
        <v>3</v>
      </c>
      <c r="Q49" t="str">
        <f t="shared" si="7"/>
        <v>SI</v>
      </c>
      <c r="R49" t="str">
        <f t="shared" si="8"/>
        <v>e_w100957314-220</v>
      </c>
      <c r="S49" t="s">
        <v>754</v>
      </c>
      <c r="T49" t="s">
        <v>722</v>
      </c>
      <c r="U49" s="2">
        <f t="shared" si="9"/>
        <v>0.41279623790913</v>
      </c>
      <c r="V49">
        <v>3</v>
      </c>
    </row>
    <row r="50" spans="2:22" x14ac:dyDescent="0.45">
      <c r="B50" t="str">
        <f t="shared" si="2"/>
        <v>SI</v>
      </c>
      <c r="C50" t="str">
        <f t="shared" si="2"/>
        <v>e_w167286837-220</v>
      </c>
      <c r="D50" t="s">
        <v>756</v>
      </c>
      <c r="E50" t="s">
        <v>722</v>
      </c>
      <c r="F50" s="2">
        <f t="shared" si="3"/>
        <v>3.60680205016288E-2</v>
      </c>
      <c r="G50">
        <v>3</v>
      </c>
      <c r="J50" t="str">
        <f t="shared" si="4"/>
        <v>SI</v>
      </c>
      <c r="K50" t="str">
        <f t="shared" si="5"/>
        <v>e_w167286837-220</v>
      </c>
      <c r="L50" t="s">
        <v>755</v>
      </c>
      <c r="M50" t="s">
        <v>722</v>
      </c>
      <c r="N50" s="2">
        <f t="shared" si="10"/>
        <v>0.191013906423359</v>
      </c>
      <c r="O50">
        <v>3</v>
      </c>
      <c r="Q50" t="str">
        <f t="shared" si="7"/>
        <v>SI</v>
      </c>
      <c r="R50" t="str">
        <f t="shared" si="8"/>
        <v>e_w167286837-220</v>
      </c>
      <c r="S50" t="s">
        <v>754</v>
      </c>
      <c r="T50" t="s">
        <v>722</v>
      </c>
      <c r="U50" s="2">
        <f t="shared" si="9"/>
        <v>5.3278219512109801E-2</v>
      </c>
      <c r="V50">
        <v>3</v>
      </c>
    </row>
    <row r="51" spans="2:22" x14ac:dyDescent="0.45">
      <c r="B51" t="str">
        <f t="shared" si="2"/>
        <v>SI</v>
      </c>
      <c r="C51" t="str">
        <f t="shared" si="2"/>
        <v>e_w180519027-220</v>
      </c>
      <c r="D51" t="s">
        <v>756</v>
      </c>
      <c r="E51" t="s">
        <v>722</v>
      </c>
      <c r="F51" s="2">
        <f t="shared" si="3"/>
        <v>3.34436756042156E-2</v>
      </c>
      <c r="G51">
        <v>3</v>
      </c>
      <c r="J51" t="str">
        <f t="shared" si="4"/>
        <v>SI</v>
      </c>
      <c r="K51" t="str">
        <f t="shared" si="5"/>
        <v>e_w180519027-220</v>
      </c>
      <c r="L51" t="s">
        <v>755</v>
      </c>
      <c r="M51" t="s">
        <v>722</v>
      </c>
      <c r="N51" s="2">
        <f t="shared" si="10"/>
        <v>4.7306892983382899E-2</v>
      </c>
      <c r="O51">
        <v>3</v>
      </c>
      <c r="Q51" t="str">
        <f t="shared" si="7"/>
        <v>SI</v>
      </c>
      <c r="R51" t="str">
        <f t="shared" si="8"/>
        <v>e_w180519027-220</v>
      </c>
      <c r="S51" t="s">
        <v>754</v>
      </c>
      <c r="T51" t="s">
        <v>722</v>
      </c>
      <c r="U51" s="2">
        <f t="shared" si="9"/>
        <v>5.1255735460109399E-2</v>
      </c>
      <c r="V51">
        <v>3</v>
      </c>
    </row>
    <row r="52" spans="2:22" x14ac:dyDescent="0.45">
      <c r="B52" t="str">
        <f t="shared" si="2"/>
        <v>SI</v>
      </c>
      <c r="C52" t="str">
        <f t="shared" si="2"/>
        <v>e_w268826084-220</v>
      </c>
      <c r="D52" t="s">
        <v>756</v>
      </c>
      <c r="E52" t="s">
        <v>722</v>
      </c>
      <c r="F52" s="2">
        <f t="shared" si="3"/>
        <v>2.3213845419396702E-2</v>
      </c>
      <c r="G52">
        <v>3</v>
      </c>
      <c r="J52" t="str">
        <f t="shared" si="4"/>
        <v>SI</v>
      </c>
      <c r="K52" t="str">
        <f t="shared" si="5"/>
        <v>e_w268826084-220</v>
      </c>
      <c r="L52" t="s">
        <v>755</v>
      </c>
      <c r="M52" t="s">
        <v>722</v>
      </c>
      <c r="N52" s="2">
        <f t="shared" si="10"/>
        <v>0.12562350163285799</v>
      </c>
      <c r="O52">
        <v>3</v>
      </c>
      <c r="Q52" t="str">
        <f t="shared" si="7"/>
        <v>SI</v>
      </c>
      <c r="R52" t="str">
        <f t="shared" si="8"/>
        <v>e_w268826084-220</v>
      </c>
      <c r="S52" t="s">
        <v>754</v>
      </c>
      <c r="T52" t="s">
        <v>722</v>
      </c>
      <c r="U52" s="2">
        <f t="shared" si="9"/>
        <v>4.3371989530273498E-2</v>
      </c>
      <c r="V52">
        <v>3</v>
      </c>
    </row>
    <row r="53" spans="2:22" x14ac:dyDescent="0.45">
      <c r="B53" t="str">
        <f t="shared" si="2"/>
        <v>SI</v>
      </c>
      <c r="C53" t="str">
        <f t="shared" si="2"/>
        <v>e_w272195826-220</v>
      </c>
      <c r="D53" t="s">
        <v>756</v>
      </c>
      <c r="E53" t="s">
        <v>722</v>
      </c>
      <c r="F53" s="2">
        <f t="shared" si="3"/>
        <v>6.2460982378461698E-2</v>
      </c>
      <c r="G53">
        <v>3</v>
      </c>
      <c r="J53" t="str">
        <f t="shared" si="4"/>
        <v>SI</v>
      </c>
      <c r="K53" t="str">
        <f t="shared" si="5"/>
        <v>e_w272195826-220</v>
      </c>
      <c r="L53" t="s">
        <v>755</v>
      </c>
      <c r="M53" t="s">
        <v>722</v>
      </c>
      <c r="N53" s="2">
        <f t="shared" si="10"/>
        <v>0.16693725652546401</v>
      </c>
      <c r="O53">
        <v>3</v>
      </c>
      <c r="Q53" t="str">
        <f t="shared" si="7"/>
        <v>SI</v>
      </c>
      <c r="R53" t="str">
        <f t="shared" si="8"/>
        <v>e_w272195826-220</v>
      </c>
      <c r="S53" t="s">
        <v>754</v>
      </c>
      <c r="T53" t="s">
        <v>722</v>
      </c>
      <c r="U53" s="2">
        <f t="shared" si="9"/>
        <v>7.3618284011086901E-2</v>
      </c>
      <c r="V53">
        <v>3</v>
      </c>
    </row>
    <row r="54" spans="2:22" x14ac:dyDescent="0.45">
      <c r="B54" t="str">
        <f t="shared" si="2"/>
        <v>SI</v>
      </c>
      <c r="C54" t="str">
        <f t="shared" si="2"/>
        <v>e_NZ27-220</v>
      </c>
      <c r="D54" t="s">
        <v>756</v>
      </c>
      <c r="E54" t="s">
        <v>722</v>
      </c>
      <c r="F54" s="2">
        <f t="shared" si="3"/>
        <v>1.9672750355421001E-2</v>
      </c>
      <c r="G54">
        <v>3</v>
      </c>
      <c r="J54" t="str">
        <f t="shared" si="4"/>
        <v>SI</v>
      </c>
      <c r="K54" t="str">
        <f t="shared" si="5"/>
        <v>e_NZ27-220</v>
      </c>
      <c r="L54" t="s">
        <v>755</v>
      </c>
      <c r="M54" t="s">
        <v>722</v>
      </c>
      <c r="N54" s="2">
        <f t="shared" si="10"/>
        <v>0.198521825937094</v>
      </c>
      <c r="O54">
        <v>3</v>
      </c>
      <c r="Q54" t="str">
        <f t="shared" si="7"/>
        <v>SI</v>
      </c>
      <c r="R54" t="str">
        <f t="shared" si="8"/>
        <v>e_NZ27-220</v>
      </c>
      <c r="S54" t="s">
        <v>754</v>
      </c>
      <c r="T54" t="s">
        <v>722</v>
      </c>
      <c r="U54" s="2">
        <f t="shared" si="9"/>
        <v>4.0643000554560903E-2</v>
      </c>
      <c r="V5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M25" sqref="M2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49</v>
      </c>
      <c r="G2" s="6" t="s">
        <v>50</v>
      </c>
      <c r="H2" s="6" t="s">
        <v>51</v>
      </c>
      <c r="I2" s="6" t="s">
        <v>52</v>
      </c>
      <c r="J2" s="6" t="s">
        <v>53</v>
      </c>
    </row>
    <row r="3" spans="1:38" x14ac:dyDescent="0.45">
      <c r="B3" t="s">
        <v>0</v>
      </c>
      <c r="F3" t="s">
        <v>54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47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86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81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82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84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67</v>
      </c>
      <c r="U15" t="s">
        <v>63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85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  <c r="H21" t="s">
        <v>724</v>
      </c>
    </row>
    <row r="22" spans="2:12" x14ac:dyDescent="0.45">
      <c r="B22" t="s">
        <v>32</v>
      </c>
      <c r="C22" t="s">
        <v>5</v>
      </c>
      <c r="D22" t="s">
        <v>33</v>
      </c>
      <c r="E22">
        <f>J22*3.6</f>
        <v>338.40000000000003</v>
      </c>
      <c r="J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J23*3.6</f>
        <v>198</v>
      </c>
      <c r="J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J24*3.6</f>
        <v>252</v>
      </c>
      <c r="J24">
        <v>70</v>
      </c>
    </row>
    <row r="25" spans="2:12" x14ac:dyDescent="0.45">
      <c r="B25" t="s">
        <v>44</v>
      </c>
      <c r="C25" t="s">
        <v>758</v>
      </c>
      <c r="D25" t="s">
        <v>45</v>
      </c>
      <c r="E25">
        <v>1</v>
      </c>
    </row>
    <row r="26" spans="2:12" x14ac:dyDescent="0.45">
      <c r="B26" t="s">
        <v>44</v>
      </c>
      <c r="C26" t="s">
        <v>46</v>
      </c>
      <c r="D26" t="s">
        <v>45</v>
      </c>
      <c r="E26">
        <v>-1</v>
      </c>
    </row>
    <row r="27" spans="2:12" x14ac:dyDescent="0.45">
      <c r="B27" t="s">
        <v>48</v>
      </c>
      <c r="C27" t="s">
        <v>46</v>
      </c>
      <c r="E27">
        <v>0.03</v>
      </c>
      <c r="F27" t="str">
        <f>C27</f>
        <v>co2captured</v>
      </c>
    </row>
    <row r="28" spans="2:12" x14ac:dyDescent="0.45">
      <c r="B28" t="s">
        <v>64</v>
      </c>
      <c r="E28">
        <v>50</v>
      </c>
      <c r="G28" t="s">
        <v>65</v>
      </c>
    </row>
    <row r="29" spans="2:12" x14ac:dyDescent="0.45">
      <c r="B29" t="s">
        <v>66</v>
      </c>
      <c r="E29">
        <v>8.76</v>
      </c>
      <c r="G29" t="s">
        <v>65</v>
      </c>
      <c r="H29" t="str">
        <f>"-"&amp;B29</f>
        <v>-prc_capact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83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68</v>
      </c>
      <c r="D10" t="s">
        <v>69</v>
      </c>
      <c r="E10" t="s">
        <v>70</v>
      </c>
      <c r="F10" t="s">
        <v>71</v>
      </c>
      <c r="G10" t="s">
        <v>72</v>
      </c>
      <c r="H10" t="s">
        <v>73</v>
      </c>
      <c r="I10" t="s">
        <v>74</v>
      </c>
      <c r="J10" t="s">
        <v>75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80</v>
      </c>
    </row>
    <row r="19" spans="1:8" ht="15" thickTop="1" thickBot="1" x14ac:dyDescent="0.5">
      <c r="A19" s="8" t="s">
        <v>47</v>
      </c>
      <c r="B19" s="8" t="s">
        <v>76</v>
      </c>
      <c r="C19" s="8" t="s">
        <v>2</v>
      </c>
      <c r="D19" s="8" t="s">
        <v>77</v>
      </c>
      <c r="E19" s="8" t="s">
        <v>78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79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79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79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79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49</v>
      </c>
      <c r="B1" t="s">
        <v>55</v>
      </c>
      <c r="C1" t="s">
        <v>56</v>
      </c>
      <c r="D1" t="s">
        <v>57</v>
      </c>
    </row>
    <row r="2" spans="1:4" x14ac:dyDescent="0.45">
      <c r="A2" t="s">
        <v>54</v>
      </c>
      <c r="B2">
        <v>2000</v>
      </c>
      <c r="C2" t="s">
        <v>58</v>
      </c>
      <c r="D2">
        <v>0.85</v>
      </c>
    </row>
    <row r="3" spans="1:4" x14ac:dyDescent="0.45">
      <c r="A3" t="s">
        <v>5</v>
      </c>
      <c r="B3">
        <v>2000</v>
      </c>
      <c r="C3" t="s">
        <v>58</v>
      </c>
      <c r="D3">
        <v>1</v>
      </c>
    </row>
    <row r="4" spans="1:4" x14ac:dyDescent="0.45">
      <c r="A4" t="s">
        <v>8</v>
      </c>
      <c r="B4">
        <v>2000</v>
      </c>
      <c r="C4" t="s">
        <v>58</v>
      </c>
      <c r="D4">
        <v>9.4499999999999993</v>
      </c>
    </row>
    <row r="5" spans="1:4" x14ac:dyDescent="0.45">
      <c r="A5" t="s">
        <v>6</v>
      </c>
      <c r="B5">
        <v>2000</v>
      </c>
      <c r="C5" t="s">
        <v>58</v>
      </c>
      <c r="D5">
        <v>24.19</v>
      </c>
    </row>
    <row r="6" spans="1:4" x14ac:dyDescent="0.45">
      <c r="A6" t="s">
        <v>19</v>
      </c>
      <c r="B6">
        <v>2000</v>
      </c>
      <c r="C6" t="s">
        <v>58</v>
      </c>
      <c r="D6">
        <v>0</v>
      </c>
    </row>
    <row r="7" spans="1:4" x14ac:dyDescent="0.45">
      <c r="A7" t="s">
        <v>23</v>
      </c>
      <c r="B7">
        <v>2000</v>
      </c>
      <c r="C7" t="s">
        <v>58</v>
      </c>
      <c r="D7">
        <v>0.54</v>
      </c>
    </row>
    <row r="8" spans="1:4" x14ac:dyDescent="0.45">
      <c r="A8" t="s">
        <v>54</v>
      </c>
      <c r="B8">
        <v>2000</v>
      </c>
      <c r="C8" t="s">
        <v>58</v>
      </c>
      <c r="D8">
        <v>2.76</v>
      </c>
    </row>
    <row r="9" spans="1:4" x14ac:dyDescent="0.45">
      <c r="A9" t="s">
        <v>9</v>
      </c>
      <c r="B9">
        <v>2000</v>
      </c>
      <c r="C9" t="s">
        <v>58</v>
      </c>
      <c r="D9">
        <v>0</v>
      </c>
    </row>
    <row r="10" spans="1:4" x14ac:dyDescent="0.45">
      <c r="A10" t="s">
        <v>88</v>
      </c>
      <c r="B10">
        <v>2000</v>
      </c>
      <c r="C10" t="s">
        <v>58</v>
      </c>
      <c r="D10">
        <v>0.12</v>
      </c>
    </row>
    <row r="11" spans="1:4" x14ac:dyDescent="0.45">
      <c r="A11" t="s">
        <v>54</v>
      </c>
      <c r="B11">
        <v>2001</v>
      </c>
      <c r="C11" t="s">
        <v>58</v>
      </c>
      <c r="D11">
        <v>0.72</v>
      </c>
    </row>
    <row r="12" spans="1:4" x14ac:dyDescent="0.45">
      <c r="A12" t="s">
        <v>5</v>
      </c>
      <c r="B12">
        <v>2001</v>
      </c>
      <c r="C12" t="s">
        <v>58</v>
      </c>
      <c r="D12">
        <v>1.53</v>
      </c>
    </row>
    <row r="13" spans="1:4" x14ac:dyDescent="0.45">
      <c r="A13" t="s">
        <v>8</v>
      </c>
      <c r="B13">
        <v>2001</v>
      </c>
      <c r="C13" t="s">
        <v>58</v>
      </c>
      <c r="D13">
        <v>12.16</v>
      </c>
    </row>
    <row r="14" spans="1:4" x14ac:dyDescent="0.45">
      <c r="A14" t="s">
        <v>6</v>
      </c>
      <c r="B14">
        <v>2001</v>
      </c>
      <c r="C14" t="s">
        <v>58</v>
      </c>
      <c r="D14">
        <v>21.46</v>
      </c>
    </row>
    <row r="15" spans="1:4" x14ac:dyDescent="0.45">
      <c r="A15" t="s">
        <v>19</v>
      </c>
      <c r="B15">
        <v>2001</v>
      </c>
      <c r="C15" t="s">
        <v>58</v>
      </c>
      <c r="D15">
        <v>0</v>
      </c>
    </row>
    <row r="16" spans="1:4" x14ac:dyDescent="0.45">
      <c r="A16" t="s">
        <v>23</v>
      </c>
      <c r="B16">
        <v>2001</v>
      </c>
      <c r="C16" t="s">
        <v>58</v>
      </c>
      <c r="D16">
        <v>0.59</v>
      </c>
    </row>
    <row r="17" spans="1:4" x14ac:dyDescent="0.45">
      <c r="A17" t="s">
        <v>54</v>
      </c>
      <c r="B17">
        <v>2001</v>
      </c>
      <c r="C17" t="s">
        <v>58</v>
      </c>
      <c r="D17">
        <v>2.68</v>
      </c>
    </row>
    <row r="18" spans="1:4" x14ac:dyDescent="0.45">
      <c r="A18" t="s">
        <v>9</v>
      </c>
      <c r="B18">
        <v>2001</v>
      </c>
      <c r="C18" t="s">
        <v>58</v>
      </c>
      <c r="D18">
        <v>0</v>
      </c>
    </row>
    <row r="19" spans="1:4" x14ac:dyDescent="0.45">
      <c r="A19" t="s">
        <v>88</v>
      </c>
      <c r="B19">
        <v>2001</v>
      </c>
      <c r="C19" t="s">
        <v>58</v>
      </c>
      <c r="D19">
        <v>0.14000000000000001</v>
      </c>
    </row>
    <row r="20" spans="1:4" x14ac:dyDescent="0.45">
      <c r="A20" t="s">
        <v>54</v>
      </c>
      <c r="B20">
        <v>2002</v>
      </c>
      <c r="C20" t="s">
        <v>58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58</v>
      </c>
      <c r="D21">
        <v>1.5</v>
      </c>
    </row>
    <row r="22" spans="1:4" x14ac:dyDescent="0.45">
      <c r="A22" t="s">
        <v>8</v>
      </c>
      <c r="B22">
        <v>2002</v>
      </c>
      <c r="C22" t="s">
        <v>58</v>
      </c>
      <c r="D22">
        <v>10.15</v>
      </c>
    </row>
    <row r="23" spans="1:4" x14ac:dyDescent="0.45">
      <c r="A23" t="s">
        <v>6</v>
      </c>
      <c r="B23">
        <v>2002</v>
      </c>
      <c r="C23" t="s">
        <v>58</v>
      </c>
      <c r="D23">
        <v>24.62</v>
      </c>
    </row>
    <row r="24" spans="1:4" x14ac:dyDescent="0.45">
      <c r="A24" t="s">
        <v>19</v>
      </c>
      <c r="B24">
        <v>2002</v>
      </c>
      <c r="C24" t="s">
        <v>58</v>
      </c>
      <c r="D24">
        <v>0</v>
      </c>
    </row>
    <row r="25" spans="1:4" x14ac:dyDescent="0.45">
      <c r="A25" t="s">
        <v>23</v>
      </c>
      <c r="B25">
        <v>2002</v>
      </c>
      <c r="C25" t="s">
        <v>58</v>
      </c>
      <c r="D25">
        <v>0.56000000000000005</v>
      </c>
    </row>
    <row r="26" spans="1:4" x14ac:dyDescent="0.45">
      <c r="A26" t="s">
        <v>54</v>
      </c>
      <c r="B26">
        <v>2002</v>
      </c>
      <c r="C26" t="s">
        <v>58</v>
      </c>
      <c r="D26">
        <v>2.65</v>
      </c>
    </row>
    <row r="27" spans="1:4" x14ac:dyDescent="0.45">
      <c r="A27" t="s">
        <v>9</v>
      </c>
      <c r="B27">
        <v>2002</v>
      </c>
      <c r="C27" t="s">
        <v>58</v>
      </c>
      <c r="D27">
        <v>0</v>
      </c>
    </row>
    <row r="28" spans="1:4" x14ac:dyDescent="0.45">
      <c r="A28" t="s">
        <v>88</v>
      </c>
      <c r="B28">
        <v>2002</v>
      </c>
      <c r="C28" t="s">
        <v>58</v>
      </c>
      <c r="D28">
        <v>0.15</v>
      </c>
    </row>
    <row r="29" spans="1:4" x14ac:dyDescent="0.45">
      <c r="A29" t="s">
        <v>54</v>
      </c>
      <c r="B29">
        <v>2003</v>
      </c>
      <c r="C29" t="s">
        <v>58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58</v>
      </c>
      <c r="D30">
        <v>3.29</v>
      </c>
    </row>
    <row r="31" spans="1:4" x14ac:dyDescent="0.45">
      <c r="A31" t="s">
        <v>8</v>
      </c>
      <c r="B31">
        <v>2003</v>
      </c>
      <c r="C31" t="s">
        <v>58</v>
      </c>
      <c r="D31">
        <v>9.7100000000000009</v>
      </c>
    </row>
    <row r="32" spans="1:4" x14ac:dyDescent="0.45">
      <c r="A32" t="s">
        <v>6</v>
      </c>
      <c r="B32">
        <v>2003</v>
      </c>
      <c r="C32" t="s">
        <v>58</v>
      </c>
      <c r="D32">
        <v>23.39</v>
      </c>
    </row>
    <row r="33" spans="1:4" x14ac:dyDescent="0.45">
      <c r="A33" t="s">
        <v>19</v>
      </c>
      <c r="B33">
        <v>2003</v>
      </c>
      <c r="C33" t="s">
        <v>58</v>
      </c>
      <c r="D33">
        <v>0</v>
      </c>
    </row>
    <row r="34" spans="1:4" x14ac:dyDescent="0.45">
      <c r="A34" t="s">
        <v>23</v>
      </c>
      <c r="B34">
        <v>2003</v>
      </c>
      <c r="C34" t="s">
        <v>58</v>
      </c>
      <c r="D34">
        <v>0.69</v>
      </c>
    </row>
    <row r="35" spans="1:4" x14ac:dyDescent="0.45">
      <c r="A35" t="s">
        <v>54</v>
      </c>
      <c r="B35">
        <v>2003</v>
      </c>
      <c r="C35" t="s">
        <v>58</v>
      </c>
      <c r="D35">
        <v>2.59</v>
      </c>
    </row>
    <row r="36" spans="1:4" x14ac:dyDescent="0.45">
      <c r="A36" t="s">
        <v>9</v>
      </c>
      <c r="B36">
        <v>2003</v>
      </c>
      <c r="C36" t="s">
        <v>58</v>
      </c>
      <c r="D36">
        <v>0</v>
      </c>
    </row>
    <row r="37" spans="1:4" x14ac:dyDescent="0.45">
      <c r="A37" t="s">
        <v>88</v>
      </c>
      <c r="B37">
        <v>2003</v>
      </c>
      <c r="C37" t="s">
        <v>58</v>
      </c>
      <c r="D37">
        <v>0.15</v>
      </c>
    </row>
    <row r="38" spans="1:4" x14ac:dyDescent="0.45">
      <c r="A38" t="s">
        <v>54</v>
      </c>
      <c r="B38">
        <v>2004</v>
      </c>
      <c r="C38" t="s">
        <v>58</v>
      </c>
      <c r="D38">
        <v>0.64</v>
      </c>
    </row>
    <row r="39" spans="1:4" x14ac:dyDescent="0.45">
      <c r="A39" t="s">
        <v>5</v>
      </c>
      <c r="B39">
        <v>2004</v>
      </c>
      <c r="C39" t="s">
        <v>58</v>
      </c>
      <c r="D39">
        <v>4.13</v>
      </c>
    </row>
    <row r="40" spans="1:4" x14ac:dyDescent="0.45">
      <c r="A40" t="s">
        <v>8</v>
      </c>
      <c r="B40">
        <v>2004</v>
      </c>
      <c r="C40" t="s">
        <v>58</v>
      </c>
      <c r="D40">
        <v>6.86</v>
      </c>
    </row>
    <row r="41" spans="1:4" x14ac:dyDescent="0.45">
      <c r="A41" t="s">
        <v>6</v>
      </c>
      <c r="B41">
        <v>2004</v>
      </c>
      <c r="C41" t="s">
        <v>58</v>
      </c>
      <c r="D41">
        <v>26.97</v>
      </c>
    </row>
    <row r="42" spans="1:4" x14ac:dyDescent="0.45">
      <c r="A42" t="s">
        <v>19</v>
      </c>
      <c r="B42">
        <v>2004</v>
      </c>
      <c r="C42" t="s">
        <v>58</v>
      </c>
      <c r="D42">
        <v>0</v>
      </c>
    </row>
    <row r="43" spans="1:4" x14ac:dyDescent="0.45">
      <c r="A43" t="s">
        <v>23</v>
      </c>
      <c r="B43">
        <v>2004</v>
      </c>
      <c r="C43" t="s">
        <v>58</v>
      </c>
      <c r="D43">
        <v>0.68</v>
      </c>
    </row>
    <row r="44" spans="1:4" x14ac:dyDescent="0.45">
      <c r="A44" t="s">
        <v>54</v>
      </c>
      <c r="B44">
        <v>2004</v>
      </c>
      <c r="C44" t="s">
        <v>58</v>
      </c>
      <c r="D44">
        <v>2.63</v>
      </c>
    </row>
    <row r="45" spans="1:4" x14ac:dyDescent="0.45">
      <c r="A45" t="s">
        <v>9</v>
      </c>
      <c r="B45">
        <v>2004</v>
      </c>
      <c r="C45" t="s">
        <v>58</v>
      </c>
      <c r="D45">
        <v>0</v>
      </c>
    </row>
    <row r="46" spans="1:4" x14ac:dyDescent="0.45">
      <c r="A46" t="s">
        <v>88</v>
      </c>
      <c r="B46">
        <v>2004</v>
      </c>
      <c r="C46" t="s">
        <v>58</v>
      </c>
      <c r="D46">
        <v>0.36</v>
      </c>
    </row>
    <row r="47" spans="1:4" x14ac:dyDescent="0.45">
      <c r="A47" t="s">
        <v>54</v>
      </c>
      <c r="B47">
        <v>2005</v>
      </c>
      <c r="C47" t="s">
        <v>58</v>
      </c>
      <c r="D47">
        <v>0.68</v>
      </c>
    </row>
    <row r="48" spans="1:4" x14ac:dyDescent="0.45">
      <c r="A48" t="s">
        <v>5</v>
      </c>
      <c r="B48">
        <v>2005</v>
      </c>
      <c r="C48" t="s">
        <v>58</v>
      </c>
      <c r="D48">
        <v>5.25</v>
      </c>
    </row>
    <row r="49" spans="1:4" x14ac:dyDescent="0.45">
      <c r="A49" t="s">
        <v>8</v>
      </c>
      <c r="B49">
        <v>2005</v>
      </c>
      <c r="C49" t="s">
        <v>58</v>
      </c>
      <c r="D49">
        <v>9.26</v>
      </c>
    </row>
    <row r="50" spans="1:4" x14ac:dyDescent="0.45">
      <c r="A50" t="s">
        <v>6</v>
      </c>
      <c r="B50">
        <v>2005</v>
      </c>
      <c r="C50" t="s">
        <v>58</v>
      </c>
      <c r="D50">
        <v>23.09</v>
      </c>
    </row>
    <row r="51" spans="1:4" x14ac:dyDescent="0.45">
      <c r="A51" t="s">
        <v>19</v>
      </c>
      <c r="B51">
        <v>2005</v>
      </c>
      <c r="C51" t="s">
        <v>58</v>
      </c>
      <c r="D51">
        <v>0</v>
      </c>
    </row>
    <row r="52" spans="1:4" x14ac:dyDescent="0.45">
      <c r="A52" t="s">
        <v>23</v>
      </c>
      <c r="B52">
        <v>2005</v>
      </c>
      <c r="C52" t="s">
        <v>58</v>
      </c>
      <c r="D52">
        <v>0.61</v>
      </c>
    </row>
    <row r="53" spans="1:4" x14ac:dyDescent="0.45">
      <c r="A53" t="s">
        <v>54</v>
      </c>
      <c r="B53">
        <v>2005</v>
      </c>
      <c r="C53" t="s">
        <v>58</v>
      </c>
      <c r="D53">
        <v>2.98</v>
      </c>
    </row>
    <row r="54" spans="1:4" x14ac:dyDescent="0.45">
      <c r="A54" t="s">
        <v>9</v>
      </c>
      <c r="B54">
        <v>2005</v>
      </c>
      <c r="C54" t="s">
        <v>58</v>
      </c>
      <c r="D54">
        <v>0</v>
      </c>
    </row>
    <row r="55" spans="1:4" x14ac:dyDescent="0.45">
      <c r="A55" t="s">
        <v>88</v>
      </c>
      <c r="B55">
        <v>2005</v>
      </c>
      <c r="C55" t="s">
        <v>58</v>
      </c>
      <c r="D55">
        <v>0.61</v>
      </c>
    </row>
    <row r="56" spans="1:4" x14ac:dyDescent="0.45">
      <c r="A56" t="s">
        <v>54</v>
      </c>
      <c r="B56">
        <v>2006</v>
      </c>
      <c r="C56" t="s">
        <v>58</v>
      </c>
      <c r="D56">
        <v>0.74</v>
      </c>
    </row>
    <row r="57" spans="1:4" x14ac:dyDescent="0.45">
      <c r="A57" t="s">
        <v>5</v>
      </c>
      <c r="B57">
        <v>2006</v>
      </c>
      <c r="C57" t="s">
        <v>58</v>
      </c>
      <c r="D57">
        <v>4.8899999999999997</v>
      </c>
    </row>
    <row r="58" spans="1:4" x14ac:dyDescent="0.45">
      <c r="A58" t="s">
        <v>8</v>
      </c>
      <c r="B58">
        <v>2006</v>
      </c>
      <c r="C58" t="s">
        <v>58</v>
      </c>
      <c r="D58">
        <v>9.61</v>
      </c>
    </row>
    <row r="59" spans="1:4" x14ac:dyDescent="0.45">
      <c r="A59" t="s">
        <v>6</v>
      </c>
      <c r="B59">
        <v>2006</v>
      </c>
      <c r="C59" t="s">
        <v>58</v>
      </c>
      <c r="D59">
        <v>23.34</v>
      </c>
    </row>
    <row r="60" spans="1:4" x14ac:dyDescent="0.45">
      <c r="A60" t="s">
        <v>19</v>
      </c>
      <c r="B60">
        <v>2006</v>
      </c>
      <c r="C60" t="s">
        <v>58</v>
      </c>
      <c r="D60">
        <v>0</v>
      </c>
    </row>
    <row r="61" spans="1:4" x14ac:dyDescent="0.45">
      <c r="A61" t="s">
        <v>23</v>
      </c>
      <c r="B61">
        <v>2006</v>
      </c>
      <c r="C61" t="s">
        <v>58</v>
      </c>
      <c r="D61">
        <v>0.66</v>
      </c>
    </row>
    <row r="62" spans="1:4" x14ac:dyDescent="0.45">
      <c r="A62" t="s">
        <v>54</v>
      </c>
      <c r="B62">
        <v>2006</v>
      </c>
      <c r="C62" t="s">
        <v>58</v>
      </c>
      <c r="D62">
        <v>3.18</v>
      </c>
    </row>
    <row r="63" spans="1:4" x14ac:dyDescent="0.45">
      <c r="A63" t="s">
        <v>9</v>
      </c>
      <c r="B63">
        <v>2006</v>
      </c>
      <c r="C63" t="s">
        <v>58</v>
      </c>
      <c r="D63">
        <v>0</v>
      </c>
    </row>
    <row r="64" spans="1:4" x14ac:dyDescent="0.45">
      <c r="A64" t="s">
        <v>88</v>
      </c>
      <c r="B64">
        <v>2006</v>
      </c>
      <c r="C64" t="s">
        <v>58</v>
      </c>
      <c r="D64">
        <v>0.62</v>
      </c>
    </row>
    <row r="65" spans="1:4" x14ac:dyDescent="0.45">
      <c r="A65" t="s">
        <v>54</v>
      </c>
      <c r="B65">
        <v>2007</v>
      </c>
      <c r="C65" t="s">
        <v>58</v>
      </c>
      <c r="D65">
        <v>0.74</v>
      </c>
    </row>
    <row r="66" spans="1:4" x14ac:dyDescent="0.45">
      <c r="A66" t="s">
        <v>5</v>
      </c>
      <c r="B66">
        <v>2007</v>
      </c>
      <c r="C66" t="s">
        <v>58</v>
      </c>
      <c r="D66">
        <v>2.5499999999999998</v>
      </c>
    </row>
    <row r="67" spans="1:4" x14ac:dyDescent="0.45">
      <c r="A67" t="s">
        <v>8</v>
      </c>
      <c r="B67">
        <v>2007</v>
      </c>
      <c r="C67" t="s">
        <v>58</v>
      </c>
      <c r="D67">
        <v>11.81</v>
      </c>
    </row>
    <row r="68" spans="1:4" x14ac:dyDescent="0.45">
      <c r="A68" t="s">
        <v>6</v>
      </c>
      <c r="B68">
        <v>2007</v>
      </c>
      <c r="C68" t="s">
        <v>58</v>
      </c>
      <c r="D68">
        <v>23.4</v>
      </c>
    </row>
    <row r="69" spans="1:4" x14ac:dyDescent="0.45">
      <c r="A69" t="s">
        <v>19</v>
      </c>
      <c r="B69">
        <v>2007</v>
      </c>
      <c r="C69" t="s">
        <v>58</v>
      </c>
      <c r="D69">
        <v>0</v>
      </c>
    </row>
    <row r="70" spans="1:4" x14ac:dyDescent="0.45">
      <c r="A70" t="s">
        <v>23</v>
      </c>
      <c r="B70">
        <v>2007</v>
      </c>
      <c r="C70" t="s">
        <v>58</v>
      </c>
      <c r="D70">
        <v>0.61</v>
      </c>
    </row>
    <row r="71" spans="1:4" x14ac:dyDescent="0.45">
      <c r="A71" t="s">
        <v>54</v>
      </c>
      <c r="B71">
        <v>2007</v>
      </c>
      <c r="C71" t="s">
        <v>58</v>
      </c>
      <c r="D71">
        <v>3.35</v>
      </c>
    </row>
    <row r="72" spans="1:4" x14ac:dyDescent="0.45">
      <c r="A72" t="s">
        <v>9</v>
      </c>
      <c r="B72">
        <v>2007</v>
      </c>
      <c r="C72" t="s">
        <v>58</v>
      </c>
      <c r="D72">
        <v>0</v>
      </c>
    </row>
    <row r="73" spans="1:4" x14ac:dyDescent="0.45">
      <c r="A73" t="s">
        <v>88</v>
      </c>
      <c r="B73">
        <v>2007</v>
      </c>
      <c r="C73" t="s">
        <v>58</v>
      </c>
      <c r="D73">
        <v>0.92</v>
      </c>
    </row>
    <row r="74" spans="1:4" x14ac:dyDescent="0.45">
      <c r="A74" t="s">
        <v>54</v>
      </c>
      <c r="B74">
        <v>2008</v>
      </c>
      <c r="C74" t="s">
        <v>58</v>
      </c>
      <c r="D74">
        <v>0.73</v>
      </c>
    </row>
    <row r="75" spans="1:4" x14ac:dyDescent="0.45">
      <c r="A75" t="s">
        <v>5</v>
      </c>
      <c r="B75">
        <v>2008</v>
      </c>
      <c r="C75" t="s">
        <v>58</v>
      </c>
      <c r="D75">
        <v>4.24</v>
      </c>
    </row>
    <row r="76" spans="1:4" x14ac:dyDescent="0.45">
      <c r="A76" t="s">
        <v>8</v>
      </c>
      <c r="B76">
        <v>2008</v>
      </c>
      <c r="C76" t="s">
        <v>58</v>
      </c>
      <c r="D76">
        <v>10.56</v>
      </c>
    </row>
    <row r="77" spans="1:4" x14ac:dyDescent="0.45">
      <c r="A77" t="s">
        <v>6</v>
      </c>
      <c r="B77">
        <v>2008</v>
      </c>
      <c r="C77" t="s">
        <v>58</v>
      </c>
      <c r="D77">
        <v>22.12</v>
      </c>
    </row>
    <row r="78" spans="1:4" x14ac:dyDescent="0.45">
      <c r="A78" t="s">
        <v>19</v>
      </c>
      <c r="B78">
        <v>2008</v>
      </c>
      <c r="C78" t="s">
        <v>58</v>
      </c>
      <c r="D78">
        <v>0</v>
      </c>
    </row>
    <row r="79" spans="1:4" x14ac:dyDescent="0.45">
      <c r="A79" t="s">
        <v>23</v>
      </c>
      <c r="B79">
        <v>2008</v>
      </c>
      <c r="C79" t="s">
        <v>58</v>
      </c>
      <c r="D79">
        <v>0.72</v>
      </c>
    </row>
    <row r="80" spans="1:4" x14ac:dyDescent="0.45">
      <c r="A80" t="s">
        <v>54</v>
      </c>
      <c r="B80">
        <v>2008</v>
      </c>
      <c r="C80" t="s">
        <v>58</v>
      </c>
      <c r="D80">
        <v>3.97</v>
      </c>
    </row>
    <row r="81" spans="1:4" x14ac:dyDescent="0.45">
      <c r="A81" t="s">
        <v>9</v>
      </c>
      <c r="B81">
        <v>2008</v>
      </c>
      <c r="C81" t="s">
        <v>58</v>
      </c>
      <c r="D81">
        <v>0</v>
      </c>
    </row>
    <row r="82" spans="1:4" x14ac:dyDescent="0.45">
      <c r="A82" t="s">
        <v>88</v>
      </c>
      <c r="B82">
        <v>2008</v>
      </c>
      <c r="C82" t="s">
        <v>58</v>
      </c>
      <c r="D82">
        <v>1.05</v>
      </c>
    </row>
    <row r="83" spans="1:4" x14ac:dyDescent="0.45">
      <c r="A83" t="s">
        <v>54</v>
      </c>
      <c r="B83">
        <v>2009</v>
      </c>
      <c r="C83" t="s">
        <v>58</v>
      </c>
      <c r="D83">
        <v>0.76</v>
      </c>
    </row>
    <row r="84" spans="1:4" x14ac:dyDescent="0.45">
      <c r="A84" t="s">
        <v>5</v>
      </c>
      <c r="B84">
        <v>2009</v>
      </c>
      <c r="C84" t="s">
        <v>58</v>
      </c>
      <c r="D84">
        <v>2.73</v>
      </c>
    </row>
    <row r="85" spans="1:4" x14ac:dyDescent="0.45">
      <c r="A85" t="s">
        <v>8</v>
      </c>
      <c r="B85">
        <v>2009</v>
      </c>
      <c r="C85" t="s">
        <v>58</v>
      </c>
      <c r="D85">
        <v>8.86</v>
      </c>
    </row>
    <row r="86" spans="1:4" x14ac:dyDescent="0.45">
      <c r="A86" t="s">
        <v>6</v>
      </c>
      <c r="B86">
        <v>2009</v>
      </c>
      <c r="C86" t="s">
        <v>58</v>
      </c>
      <c r="D86">
        <v>23.98</v>
      </c>
    </row>
    <row r="87" spans="1:4" x14ac:dyDescent="0.45">
      <c r="A87" t="s">
        <v>19</v>
      </c>
      <c r="B87">
        <v>2009</v>
      </c>
      <c r="C87" t="s">
        <v>58</v>
      </c>
      <c r="D87">
        <v>0</v>
      </c>
    </row>
    <row r="88" spans="1:4" x14ac:dyDescent="0.45">
      <c r="A88" t="s">
        <v>23</v>
      </c>
      <c r="B88">
        <v>2009</v>
      </c>
      <c r="C88" t="s">
        <v>58</v>
      </c>
      <c r="D88">
        <v>0.56999999999999995</v>
      </c>
    </row>
    <row r="89" spans="1:4" x14ac:dyDescent="0.45">
      <c r="A89" t="s">
        <v>54</v>
      </c>
      <c r="B89">
        <v>2009</v>
      </c>
      <c r="C89" t="s">
        <v>58</v>
      </c>
      <c r="D89">
        <v>4.59</v>
      </c>
    </row>
    <row r="90" spans="1:4" x14ac:dyDescent="0.45">
      <c r="A90" t="s">
        <v>9</v>
      </c>
      <c r="B90">
        <v>2009</v>
      </c>
      <c r="C90" t="s">
        <v>58</v>
      </c>
      <c r="D90">
        <v>0</v>
      </c>
    </row>
    <row r="91" spans="1:4" x14ac:dyDescent="0.45">
      <c r="A91" t="s">
        <v>88</v>
      </c>
      <c r="B91">
        <v>2009</v>
      </c>
      <c r="C91" t="s">
        <v>58</v>
      </c>
      <c r="D91">
        <v>1.46</v>
      </c>
    </row>
    <row r="92" spans="1:4" x14ac:dyDescent="0.45">
      <c r="A92" t="s">
        <v>54</v>
      </c>
      <c r="B92">
        <v>2010</v>
      </c>
      <c r="C92" t="s">
        <v>58</v>
      </c>
      <c r="D92">
        <v>0.77</v>
      </c>
    </row>
    <row r="93" spans="1:4" x14ac:dyDescent="0.45">
      <c r="A93" t="s">
        <v>5</v>
      </c>
      <c r="B93">
        <v>2010</v>
      </c>
      <c r="C93" t="s">
        <v>58</v>
      </c>
      <c r="D93">
        <v>1.42</v>
      </c>
    </row>
    <row r="94" spans="1:4" x14ac:dyDescent="0.45">
      <c r="A94" t="s">
        <v>8</v>
      </c>
      <c r="B94">
        <v>2010</v>
      </c>
      <c r="C94" t="s">
        <v>58</v>
      </c>
      <c r="D94">
        <v>9.84</v>
      </c>
    </row>
    <row r="95" spans="1:4" x14ac:dyDescent="0.45">
      <c r="A95" t="s">
        <v>6</v>
      </c>
      <c r="B95">
        <v>2010</v>
      </c>
      <c r="C95" t="s">
        <v>58</v>
      </c>
      <c r="D95">
        <v>24.48</v>
      </c>
    </row>
    <row r="96" spans="1:4" x14ac:dyDescent="0.45">
      <c r="A96" t="s">
        <v>19</v>
      </c>
      <c r="B96">
        <v>2010</v>
      </c>
      <c r="C96" t="s">
        <v>58</v>
      </c>
      <c r="D96">
        <v>0</v>
      </c>
    </row>
    <row r="97" spans="1:4" x14ac:dyDescent="0.45">
      <c r="A97" t="s">
        <v>23</v>
      </c>
      <c r="B97">
        <v>2010</v>
      </c>
      <c r="C97" t="s">
        <v>58</v>
      </c>
      <c r="D97">
        <v>0.65</v>
      </c>
    </row>
    <row r="98" spans="1:4" x14ac:dyDescent="0.45">
      <c r="A98" t="s">
        <v>54</v>
      </c>
      <c r="B98">
        <v>2010</v>
      </c>
      <c r="C98" t="s">
        <v>58</v>
      </c>
      <c r="D98">
        <v>5.53</v>
      </c>
    </row>
    <row r="99" spans="1:4" x14ac:dyDescent="0.45">
      <c r="A99" t="s">
        <v>9</v>
      </c>
      <c r="B99">
        <v>2010</v>
      </c>
      <c r="C99" t="s">
        <v>58</v>
      </c>
      <c r="D99">
        <v>0</v>
      </c>
    </row>
    <row r="100" spans="1:4" x14ac:dyDescent="0.45">
      <c r="A100" t="s">
        <v>88</v>
      </c>
      <c r="B100">
        <v>2010</v>
      </c>
      <c r="C100" t="s">
        <v>58</v>
      </c>
      <c r="D100">
        <v>1.62</v>
      </c>
    </row>
    <row r="101" spans="1:4" x14ac:dyDescent="0.45">
      <c r="A101" t="s">
        <v>54</v>
      </c>
      <c r="B101">
        <v>2011</v>
      </c>
      <c r="C101" t="s">
        <v>58</v>
      </c>
      <c r="D101">
        <v>0.76</v>
      </c>
    </row>
    <row r="102" spans="1:4" x14ac:dyDescent="0.45">
      <c r="A102" t="s">
        <v>5</v>
      </c>
      <c r="B102">
        <v>2011</v>
      </c>
      <c r="C102" t="s">
        <v>58</v>
      </c>
      <c r="D102">
        <v>1.61</v>
      </c>
    </row>
    <row r="103" spans="1:4" x14ac:dyDescent="0.45">
      <c r="A103" t="s">
        <v>8</v>
      </c>
      <c r="B103">
        <v>2011</v>
      </c>
      <c r="C103" t="s">
        <v>58</v>
      </c>
      <c r="D103">
        <v>8.35</v>
      </c>
    </row>
    <row r="104" spans="1:4" x14ac:dyDescent="0.45">
      <c r="A104" t="s">
        <v>6</v>
      </c>
      <c r="B104">
        <v>2011</v>
      </c>
      <c r="C104" t="s">
        <v>58</v>
      </c>
      <c r="D104">
        <v>24.86</v>
      </c>
    </row>
    <row r="105" spans="1:4" x14ac:dyDescent="0.45">
      <c r="A105" t="s">
        <v>19</v>
      </c>
      <c r="B105">
        <v>2011</v>
      </c>
      <c r="C105" t="s">
        <v>58</v>
      </c>
      <c r="D105">
        <v>0</v>
      </c>
    </row>
    <row r="106" spans="1:4" x14ac:dyDescent="0.45">
      <c r="A106" t="s">
        <v>23</v>
      </c>
      <c r="B106">
        <v>2011</v>
      </c>
      <c r="C106" t="s">
        <v>58</v>
      </c>
      <c r="D106">
        <v>0.56999999999999995</v>
      </c>
    </row>
    <row r="107" spans="1:4" x14ac:dyDescent="0.45">
      <c r="A107" t="s">
        <v>54</v>
      </c>
      <c r="B107">
        <v>2011</v>
      </c>
      <c r="C107" t="s">
        <v>58</v>
      </c>
      <c r="D107">
        <v>5.77</v>
      </c>
    </row>
    <row r="108" spans="1:4" x14ac:dyDescent="0.45">
      <c r="A108" t="s">
        <v>9</v>
      </c>
      <c r="B108">
        <v>2011</v>
      </c>
      <c r="C108" t="s">
        <v>58</v>
      </c>
      <c r="D108">
        <v>0</v>
      </c>
    </row>
    <row r="109" spans="1:4" x14ac:dyDescent="0.45">
      <c r="A109" t="s">
        <v>88</v>
      </c>
      <c r="B109">
        <v>2011</v>
      </c>
      <c r="C109" t="s">
        <v>58</v>
      </c>
      <c r="D109">
        <v>1.94</v>
      </c>
    </row>
    <row r="110" spans="1:4" x14ac:dyDescent="0.45">
      <c r="A110" t="s">
        <v>54</v>
      </c>
      <c r="B110">
        <v>2012</v>
      </c>
      <c r="C110" t="s">
        <v>58</v>
      </c>
      <c r="D110">
        <v>0.8</v>
      </c>
    </row>
    <row r="111" spans="1:4" x14ac:dyDescent="0.45">
      <c r="A111" t="s">
        <v>5</v>
      </c>
      <c r="B111">
        <v>2012</v>
      </c>
      <c r="C111" t="s">
        <v>58</v>
      </c>
      <c r="D111">
        <v>2.94</v>
      </c>
    </row>
    <row r="112" spans="1:4" x14ac:dyDescent="0.45">
      <c r="A112" t="s">
        <v>8</v>
      </c>
      <c r="B112">
        <v>2012</v>
      </c>
      <c r="C112" t="s">
        <v>58</v>
      </c>
      <c r="D112">
        <v>8.81</v>
      </c>
    </row>
    <row r="113" spans="1:4" x14ac:dyDescent="0.45">
      <c r="A113" t="s">
        <v>6</v>
      </c>
      <c r="B113">
        <v>2012</v>
      </c>
      <c r="C113" t="s">
        <v>58</v>
      </c>
      <c r="D113">
        <v>22.67</v>
      </c>
    </row>
    <row r="114" spans="1:4" x14ac:dyDescent="0.45">
      <c r="A114" t="s">
        <v>19</v>
      </c>
      <c r="B114">
        <v>2012</v>
      </c>
      <c r="C114" t="s">
        <v>58</v>
      </c>
      <c r="D114">
        <v>0</v>
      </c>
    </row>
    <row r="115" spans="1:4" x14ac:dyDescent="0.45">
      <c r="A115" t="s">
        <v>23</v>
      </c>
      <c r="B115">
        <v>2012</v>
      </c>
      <c r="C115" t="s">
        <v>58</v>
      </c>
      <c r="D115">
        <v>0.62</v>
      </c>
    </row>
    <row r="116" spans="1:4" x14ac:dyDescent="0.45">
      <c r="A116" t="s">
        <v>54</v>
      </c>
      <c r="B116">
        <v>2012</v>
      </c>
      <c r="C116" t="s">
        <v>58</v>
      </c>
      <c r="D116">
        <v>5.85</v>
      </c>
    </row>
    <row r="117" spans="1:4" x14ac:dyDescent="0.45">
      <c r="A117" t="s">
        <v>9</v>
      </c>
      <c r="B117">
        <v>2012</v>
      </c>
      <c r="C117" t="s">
        <v>58</v>
      </c>
      <c r="D117">
        <v>0</v>
      </c>
    </row>
    <row r="118" spans="1:4" x14ac:dyDescent="0.45">
      <c r="A118" t="s">
        <v>88</v>
      </c>
      <c r="B118">
        <v>2012</v>
      </c>
      <c r="C118" t="s">
        <v>58</v>
      </c>
      <c r="D118">
        <v>2.06</v>
      </c>
    </row>
    <row r="119" spans="1:4" x14ac:dyDescent="0.45">
      <c r="A119" t="s">
        <v>54</v>
      </c>
      <c r="B119">
        <v>2013</v>
      </c>
      <c r="C119" t="s">
        <v>58</v>
      </c>
      <c r="D119">
        <v>0.8</v>
      </c>
    </row>
    <row r="120" spans="1:4" x14ac:dyDescent="0.45">
      <c r="A120" t="s">
        <v>5</v>
      </c>
      <c r="B120">
        <v>2013</v>
      </c>
      <c r="C120" t="s">
        <v>58</v>
      </c>
      <c r="D120">
        <v>1.75</v>
      </c>
    </row>
    <row r="121" spans="1:4" x14ac:dyDescent="0.45">
      <c r="A121" t="s">
        <v>8</v>
      </c>
      <c r="B121">
        <v>2013</v>
      </c>
      <c r="C121" t="s">
        <v>58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58</v>
      </c>
      <c r="D122">
        <v>22.8</v>
      </c>
    </row>
    <row r="123" spans="1:4" x14ac:dyDescent="0.45">
      <c r="A123" t="s">
        <v>19</v>
      </c>
      <c r="B123">
        <v>2013</v>
      </c>
      <c r="C123" t="s">
        <v>58</v>
      </c>
      <c r="D123">
        <v>0</v>
      </c>
    </row>
    <row r="124" spans="1:4" x14ac:dyDescent="0.45">
      <c r="A124" t="s">
        <v>23</v>
      </c>
      <c r="B124">
        <v>2013</v>
      </c>
      <c r="C124" t="s">
        <v>58</v>
      </c>
      <c r="D124">
        <v>0.64</v>
      </c>
    </row>
    <row r="125" spans="1:4" x14ac:dyDescent="0.45">
      <c r="A125" t="s">
        <v>54</v>
      </c>
      <c r="B125">
        <v>2013</v>
      </c>
      <c r="C125" t="s">
        <v>58</v>
      </c>
      <c r="D125">
        <v>6.07</v>
      </c>
    </row>
    <row r="126" spans="1:4" x14ac:dyDescent="0.45">
      <c r="A126" t="s">
        <v>9</v>
      </c>
      <c r="B126">
        <v>2013</v>
      </c>
      <c r="C126" t="s">
        <v>58</v>
      </c>
      <c r="D126">
        <v>0.01</v>
      </c>
    </row>
    <row r="127" spans="1:4" x14ac:dyDescent="0.45">
      <c r="A127" t="s">
        <v>88</v>
      </c>
      <c r="B127">
        <v>2013</v>
      </c>
      <c r="C127" t="s">
        <v>58</v>
      </c>
      <c r="D127">
        <v>2</v>
      </c>
    </row>
    <row r="128" spans="1:4" x14ac:dyDescent="0.45">
      <c r="A128" t="s">
        <v>54</v>
      </c>
      <c r="B128">
        <v>2014</v>
      </c>
      <c r="C128" t="s">
        <v>58</v>
      </c>
      <c r="D128">
        <v>0.8</v>
      </c>
    </row>
    <row r="129" spans="1:4" x14ac:dyDescent="0.45">
      <c r="A129" t="s">
        <v>5</v>
      </c>
      <c r="B129">
        <v>2014</v>
      </c>
      <c r="C129" t="s">
        <v>58</v>
      </c>
      <c r="D129">
        <v>1.34</v>
      </c>
    </row>
    <row r="130" spans="1:4" x14ac:dyDescent="0.45">
      <c r="A130" t="s">
        <v>8</v>
      </c>
      <c r="B130">
        <v>2014</v>
      </c>
      <c r="C130" t="s">
        <v>58</v>
      </c>
      <c r="D130">
        <v>7</v>
      </c>
    </row>
    <row r="131" spans="1:4" x14ac:dyDescent="0.45">
      <c r="A131" t="s">
        <v>6</v>
      </c>
      <c r="B131">
        <v>2014</v>
      </c>
      <c r="C131" t="s">
        <v>58</v>
      </c>
      <c r="D131">
        <v>24.07</v>
      </c>
    </row>
    <row r="132" spans="1:4" x14ac:dyDescent="0.45">
      <c r="A132" t="s">
        <v>19</v>
      </c>
      <c r="B132">
        <v>2014</v>
      </c>
      <c r="C132" t="s">
        <v>58</v>
      </c>
      <c r="D132">
        <v>0</v>
      </c>
    </row>
    <row r="133" spans="1:4" x14ac:dyDescent="0.45">
      <c r="A133" t="s">
        <v>23</v>
      </c>
      <c r="B133">
        <v>2014</v>
      </c>
      <c r="C133" t="s">
        <v>58</v>
      </c>
      <c r="D133">
        <v>0.63</v>
      </c>
    </row>
    <row r="134" spans="1:4" x14ac:dyDescent="0.45">
      <c r="A134" t="s">
        <v>54</v>
      </c>
      <c r="B134">
        <v>2014</v>
      </c>
      <c r="C134" t="s">
        <v>58</v>
      </c>
      <c r="D134">
        <v>6.87</v>
      </c>
    </row>
    <row r="135" spans="1:4" x14ac:dyDescent="0.45">
      <c r="A135" t="s">
        <v>9</v>
      </c>
      <c r="B135">
        <v>2014</v>
      </c>
      <c r="C135" t="s">
        <v>58</v>
      </c>
      <c r="D135">
        <v>0.02</v>
      </c>
    </row>
    <row r="136" spans="1:4" x14ac:dyDescent="0.45">
      <c r="A136" t="s">
        <v>88</v>
      </c>
      <c r="B136">
        <v>2014</v>
      </c>
      <c r="C136" t="s">
        <v>58</v>
      </c>
      <c r="D136">
        <v>2.19</v>
      </c>
    </row>
    <row r="137" spans="1:4" x14ac:dyDescent="0.45">
      <c r="A137" t="s">
        <v>54</v>
      </c>
      <c r="B137">
        <v>2015</v>
      </c>
      <c r="C137" t="s">
        <v>58</v>
      </c>
      <c r="D137">
        <v>0.82</v>
      </c>
    </row>
    <row r="138" spans="1:4" x14ac:dyDescent="0.45">
      <c r="A138" t="s">
        <v>5</v>
      </c>
      <c r="B138">
        <v>2015</v>
      </c>
      <c r="C138" t="s">
        <v>58</v>
      </c>
      <c r="D138">
        <v>1.23</v>
      </c>
    </row>
    <row r="139" spans="1:4" x14ac:dyDescent="0.45">
      <c r="A139" t="s">
        <v>8</v>
      </c>
      <c r="B139">
        <v>2015</v>
      </c>
      <c r="C139" t="s">
        <v>58</v>
      </c>
      <c r="D139">
        <v>6.8</v>
      </c>
    </row>
    <row r="140" spans="1:4" x14ac:dyDescent="0.45">
      <c r="A140" t="s">
        <v>6</v>
      </c>
      <c r="B140">
        <v>2015</v>
      </c>
      <c r="C140" t="s">
        <v>58</v>
      </c>
      <c r="D140">
        <v>24.28</v>
      </c>
    </row>
    <row r="141" spans="1:4" x14ac:dyDescent="0.45">
      <c r="A141" t="s">
        <v>19</v>
      </c>
      <c r="B141">
        <v>2015</v>
      </c>
      <c r="C141" t="s">
        <v>58</v>
      </c>
      <c r="D141">
        <v>0</v>
      </c>
    </row>
    <row r="142" spans="1:4" x14ac:dyDescent="0.45">
      <c r="A142" t="s">
        <v>23</v>
      </c>
      <c r="B142">
        <v>2015</v>
      </c>
      <c r="C142" t="s">
        <v>58</v>
      </c>
      <c r="D142">
        <v>0.65</v>
      </c>
    </row>
    <row r="143" spans="1:4" x14ac:dyDescent="0.45">
      <c r="A143" t="s">
        <v>54</v>
      </c>
      <c r="B143">
        <v>2015</v>
      </c>
      <c r="C143" t="s">
        <v>58</v>
      </c>
      <c r="D143">
        <v>7.41</v>
      </c>
    </row>
    <row r="144" spans="1:4" x14ac:dyDescent="0.45">
      <c r="A144" t="s">
        <v>9</v>
      </c>
      <c r="B144">
        <v>2015</v>
      </c>
      <c r="C144" t="s">
        <v>58</v>
      </c>
      <c r="D144">
        <v>0.04</v>
      </c>
    </row>
    <row r="145" spans="1:4" x14ac:dyDescent="0.45">
      <c r="A145" t="s">
        <v>88</v>
      </c>
      <c r="B145">
        <v>2015</v>
      </c>
      <c r="C145" t="s">
        <v>58</v>
      </c>
      <c r="D145">
        <v>2.34</v>
      </c>
    </row>
    <row r="146" spans="1:4" x14ac:dyDescent="0.45">
      <c r="A146" t="s">
        <v>54</v>
      </c>
      <c r="B146">
        <v>2016</v>
      </c>
      <c r="C146" t="s">
        <v>58</v>
      </c>
      <c r="D146">
        <v>0.81</v>
      </c>
    </row>
    <row r="147" spans="1:4" x14ac:dyDescent="0.45">
      <c r="A147" t="s">
        <v>5</v>
      </c>
      <c r="B147">
        <v>2016</v>
      </c>
      <c r="C147" t="s">
        <v>58</v>
      </c>
      <c r="D147">
        <v>0.44</v>
      </c>
    </row>
    <row r="148" spans="1:4" x14ac:dyDescent="0.45">
      <c r="A148" t="s">
        <v>8</v>
      </c>
      <c r="B148">
        <v>2016</v>
      </c>
      <c r="C148" t="s">
        <v>58</v>
      </c>
      <c r="D148">
        <v>5.71</v>
      </c>
    </row>
    <row r="149" spans="1:4" x14ac:dyDescent="0.45">
      <c r="A149" t="s">
        <v>6</v>
      </c>
      <c r="B149">
        <v>2016</v>
      </c>
      <c r="C149" t="s">
        <v>58</v>
      </c>
      <c r="D149">
        <v>25.66</v>
      </c>
    </row>
    <row r="150" spans="1:4" x14ac:dyDescent="0.45">
      <c r="A150" t="s">
        <v>19</v>
      </c>
      <c r="B150">
        <v>2016</v>
      </c>
      <c r="C150" t="s">
        <v>58</v>
      </c>
      <c r="D150">
        <v>0</v>
      </c>
    </row>
    <row r="151" spans="1:4" x14ac:dyDescent="0.45">
      <c r="A151" t="s">
        <v>23</v>
      </c>
      <c r="B151">
        <v>2016</v>
      </c>
      <c r="C151" t="s">
        <v>58</v>
      </c>
      <c r="D151">
        <v>0.61</v>
      </c>
    </row>
    <row r="152" spans="1:4" x14ac:dyDescent="0.45">
      <c r="A152" t="s">
        <v>54</v>
      </c>
      <c r="B152">
        <v>2016</v>
      </c>
      <c r="C152" t="s">
        <v>58</v>
      </c>
      <c r="D152">
        <v>7.54</v>
      </c>
    </row>
    <row r="153" spans="1:4" x14ac:dyDescent="0.45">
      <c r="A153" t="s">
        <v>9</v>
      </c>
      <c r="B153">
        <v>2016</v>
      </c>
      <c r="C153" t="s">
        <v>58</v>
      </c>
      <c r="D153">
        <v>0.06</v>
      </c>
    </row>
    <row r="154" spans="1:4" x14ac:dyDescent="0.45">
      <c r="A154" t="s">
        <v>88</v>
      </c>
      <c r="B154">
        <v>2016</v>
      </c>
      <c r="C154" t="s">
        <v>58</v>
      </c>
      <c r="D154">
        <v>2.3199999999999998</v>
      </c>
    </row>
    <row r="155" spans="1:4" x14ac:dyDescent="0.45">
      <c r="A155" t="s">
        <v>54</v>
      </c>
      <c r="B155">
        <v>2017</v>
      </c>
      <c r="C155" t="s">
        <v>58</v>
      </c>
      <c r="D155">
        <v>0.8</v>
      </c>
    </row>
    <row r="156" spans="1:4" x14ac:dyDescent="0.45">
      <c r="A156" t="s">
        <v>5</v>
      </c>
      <c r="B156">
        <v>2017</v>
      </c>
      <c r="C156" t="s">
        <v>58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58</v>
      </c>
      <c r="D157">
        <v>6.98</v>
      </c>
    </row>
    <row r="158" spans="1:4" x14ac:dyDescent="0.45">
      <c r="A158" t="s">
        <v>6</v>
      </c>
      <c r="B158">
        <v>2017</v>
      </c>
      <c r="C158" t="s">
        <v>58</v>
      </c>
      <c r="D158">
        <v>24.93</v>
      </c>
    </row>
    <row r="159" spans="1:4" x14ac:dyDescent="0.45">
      <c r="A159" t="s">
        <v>19</v>
      </c>
      <c r="B159">
        <v>2017</v>
      </c>
      <c r="C159" t="s">
        <v>58</v>
      </c>
      <c r="D159">
        <v>0</v>
      </c>
    </row>
    <row r="160" spans="1:4" x14ac:dyDescent="0.45">
      <c r="A160" t="s">
        <v>23</v>
      </c>
      <c r="B160">
        <v>2017</v>
      </c>
      <c r="C160" t="s">
        <v>58</v>
      </c>
      <c r="D160">
        <v>0.64</v>
      </c>
    </row>
    <row r="161" spans="1:4" x14ac:dyDescent="0.45">
      <c r="A161" t="s">
        <v>54</v>
      </c>
      <c r="B161">
        <v>2017</v>
      </c>
      <c r="C161" t="s">
        <v>58</v>
      </c>
      <c r="D161">
        <v>7.58</v>
      </c>
    </row>
    <row r="162" spans="1:4" x14ac:dyDescent="0.45">
      <c r="A162" t="s">
        <v>9</v>
      </c>
      <c r="B162">
        <v>2017</v>
      </c>
      <c r="C162" t="s">
        <v>58</v>
      </c>
      <c r="D162">
        <v>0.08</v>
      </c>
    </row>
    <row r="163" spans="1:4" x14ac:dyDescent="0.45">
      <c r="A163" t="s">
        <v>88</v>
      </c>
      <c r="B163">
        <v>2017</v>
      </c>
      <c r="C163" t="s">
        <v>58</v>
      </c>
      <c r="D163">
        <v>2.0699999999999998</v>
      </c>
    </row>
    <row r="164" spans="1:4" x14ac:dyDescent="0.45">
      <c r="A164" t="s">
        <v>54</v>
      </c>
      <c r="B164">
        <v>2018</v>
      </c>
      <c r="C164" t="s">
        <v>58</v>
      </c>
      <c r="D164">
        <v>0.77</v>
      </c>
    </row>
    <row r="165" spans="1:4" x14ac:dyDescent="0.45">
      <c r="A165" t="s">
        <v>5</v>
      </c>
      <c r="B165">
        <v>2018</v>
      </c>
      <c r="C165" t="s">
        <v>58</v>
      </c>
      <c r="D165">
        <v>0.98</v>
      </c>
    </row>
    <row r="166" spans="1:4" x14ac:dyDescent="0.45">
      <c r="A166" t="s">
        <v>8</v>
      </c>
      <c r="B166">
        <v>2018</v>
      </c>
      <c r="C166" t="s">
        <v>58</v>
      </c>
      <c r="D166">
        <v>5.66</v>
      </c>
    </row>
    <row r="167" spans="1:4" x14ac:dyDescent="0.45">
      <c r="A167" t="s">
        <v>6</v>
      </c>
      <c r="B167">
        <v>2018</v>
      </c>
      <c r="C167" t="s">
        <v>58</v>
      </c>
      <c r="D167">
        <v>26.03</v>
      </c>
    </row>
    <row r="168" spans="1:4" x14ac:dyDescent="0.45">
      <c r="A168" t="s">
        <v>19</v>
      </c>
      <c r="B168">
        <v>2018</v>
      </c>
      <c r="C168" t="s">
        <v>58</v>
      </c>
      <c r="D168">
        <v>0</v>
      </c>
    </row>
    <row r="169" spans="1:4" x14ac:dyDescent="0.45">
      <c r="A169" t="s">
        <v>23</v>
      </c>
      <c r="B169">
        <v>2018</v>
      </c>
      <c r="C169" t="s">
        <v>58</v>
      </c>
      <c r="D169">
        <v>0.62</v>
      </c>
    </row>
    <row r="170" spans="1:4" x14ac:dyDescent="0.45">
      <c r="A170" t="s">
        <v>54</v>
      </c>
      <c r="B170">
        <v>2018</v>
      </c>
      <c r="C170" t="s">
        <v>58</v>
      </c>
      <c r="D170">
        <v>7.52</v>
      </c>
    </row>
    <row r="171" spans="1:4" x14ac:dyDescent="0.45">
      <c r="A171" t="s">
        <v>9</v>
      </c>
      <c r="B171">
        <v>2018</v>
      </c>
      <c r="C171" t="s">
        <v>58</v>
      </c>
      <c r="D171">
        <v>0.1</v>
      </c>
    </row>
    <row r="172" spans="1:4" x14ac:dyDescent="0.45">
      <c r="A172" t="s">
        <v>88</v>
      </c>
      <c r="B172">
        <v>2018</v>
      </c>
      <c r="C172" t="s">
        <v>58</v>
      </c>
      <c r="D172">
        <v>2.0499999999999998</v>
      </c>
    </row>
    <row r="173" spans="1:4" x14ac:dyDescent="0.45">
      <c r="A173" t="s">
        <v>54</v>
      </c>
      <c r="B173">
        <v>2019</v>
      </c>
      <c r="C173" t="s">
        <v>58</v>
      </c>
      <c r="D173">
        <v>0.79</v>
      </c>
    </row>
    <row r="174" spans="1:4" x14ac:dyDescent="0.45">
      <c r="A174" t="s">
        <v>5</v>
      </c>
      <c r="B174">
        <v>2019</v>
      </c>
      <c r="C174" t="s">
        <v>58</v>
      </c>
      <c r="D174">
        <v>1.59</v>
      </c>
    </row>
    <row r="175" spans="1:4" x14ac:dyDescent="0.45">
      <c r="A175" t="s">
        <v>8</v>
      </c>
      <c r="B175">
        <v>2019</v>
      </c>
      <c r="C175" t="s">
        <v>58</v>
      </c>
      <c r="D175">
        <v>5.42</v>
      </c>
    </row>
    <row r="176" spans="1:4" x14ac:dyDescent="0.45">
      <c r="A176" t="s">
        <v>6</v>
      </c>
      <c r="B176">
        <v>2019</v>
      </c>
      <c r="C176" t="s">
        <v>58</v>
      </c>
      <c r="D176">
        <v>25.32</v>
      </c>
    </row>
    <row r="177" spans="1:4" x14ac:dyDescent="0.45">
      <c r="A177" t="s">
        <v>19</v>
      </c>
      <c r="B177">
        <v>2019</v>
      </c>
      <c r="C177" t="s">
        <v>58</v>
      </c>
      <c r="D177">
        <v>0</v>
      </c>
    </row>
    <row r="178" spans="1:4" x14ac:dyDescent="0.45">
      <c r="A178" t="s">
        <v>23</v>
      </c>
      <c r="B178">
        <v>2019</v>
      </c>
      <c r="C178" t="s">
        <v>58</v>
      </c>
      <c r="D178">
        <v>0.68</v>
      </c>
    </row>
    <row r="179" spans="1:4" x14ac:dyDescent="0.45">
      <c r="A179" t="s">
        <v>54</v>
      </c>
      <c r="B179">
        <v>2019</v>
      </c>
      <c r="C179" t="s">
        <v>58</v>
      </c>
      <c r="D179">
        <v>7.59</v>
      </c>
    </row>
    <row r="180" spans="1:4" x14ac:dyDescent="0.45">
      <c r="A180" t="s">
        <v>9</v>
      </c>
      <c r="B180">
        <v>2019</v>
      </c>
      <c r="C180" t="s">
        <v>58</v>
      </c>
      <c r="D180">
        <v>0.13</v>
      </c>
    </row>
    <row r="181" spans="1:4" x14ac:dyDescent="0.45">
      <c r="A181" t="s">
        <v>88</v>
      </c>
      <c r="B181">
        <v>2019</v>
      </c>
      <c r="C181" t="s">
        <v>58</v>
      </c>
      <c r="D181">
        <v>2.23</v>
      </c>
    </row>
    <row r="182" spans="1:4" x14ac:dyDescent="0.45">
      <c r="A182" t="s">
        <v>54</v>
      </c>
      <c r="B182">
        <v>2020</v>
      </c>
      <c r="C182" t="s">
        <v>58</v>
      </c>
      <c r="D182">
        <v>0.78</v>
      </c>
    </row>
    <row r="183" spans="1:4" x14ac:dyDescent="0.45">
      <c r="A183" t="s">
        <v>5</v>
      </c>
      <c r="B183">
        <v>2020</v>
      </c>
      <c r="C183" t="s">
        <v>58</v>
      </c>
      <c r="D183">
        <v>1.7</v>
      </c>
    </row>
    <row r="184" spans="1:4" x14ac:dyDescent="0.45">
      <c r="A184" t="s">
        <v>8</v>
      </c>
      <c r="B184">
        <v>2020</v>
      </c>
      <c r="C184" t="s">
        <v>58</v>
      </c>
      <c r="D184">
        <v>5.94</v>
      </c>
    </row>
    <row r="185" spans="1:4" x14ac:dyDescent="0.45">
      <c r="A185" t="s">
        <v>6</v>
      </c>
      <c r="B185">
        <v>2020</v>
      </c>
      <c r="C185" t="s">
        <v>58</v>
      </c>
      <c r="D185">
        <v>24.03</v>
      </c>
    </row>
    <row r="186" spans="1:4" x14ac:dyDescent="0.45">
      <c r="A186" t="s">
        <v>19</v>
      </c>
      <c r="B186">
        <v>2020</v>
      </c>
      <c r="C186" t="s">
        <v>58</v>
      </c>
      <c r="D186">
        <v>0</v>
      </c>
    </row>
    <row r="187" spans="1:4" x14ac:dyDescent="0.45">
      <c r="A187" t="s">
        <v>23</v>
      </c>
      <c r="B187">
        <v>2020</v>
      </c>
      <c r="C187" t="s">
        <v>58</v>
      </c>
      <c r="D187">
        <v>0.63</v>
      </c>
    </row>
    <row r="188" spans="1:4" x14ac:dyDescent="0.45">
      <c r="A188" t="s">
        <v>54</v>
      </c>
      <c r="B188">
        <v>2020</v>
      </c>
      <c r="C188" t="s">
        <v>58</v>
      </c>
      <c r="D188">
        <v>7.83</v>
      </c>
    </row>
    <row r="189" spans="1:4" x14ac:dyDescent="0.45">
      <c r="A189" t="s">
        <v>9</v>
      </c>
      <c r="B189">
        <v>2020</v>
      </c>
      <c r="C189" t="s">
        <v>58</v>
      </c>
      <c r="D189">
        <v>0.16</v>
      </c>
    </row>
    <row r="190" spans="1:4" x14ac:dyDescent="0.45">
      <c r="A190" t="s">
        <v>88</v>
      </c>
      <c r="B190">
        <v>2020</v>
      </c>
      <c r="C190" t="s">
        <v>58</v>
      </c>
      <c r="D190">
        <v>2.2799999999999998</v>
      </c>
    </row>
    <row r="191" spans="1:4" x14ac:dyDescent="0.45">
      <c r="A191" t="s">
        <v>54</v>
      </c>
      <c r="B191">
        <v>2021</v>
      </c>
      <c r="C191" t="s">
        <v>58</v>
      </c>
      <c r="D191">
        <v>1.73</v>
      </c>
    </row>
    <row r="192" spans="1:4" x14ac:dyDescent="0.45">
      <c r="A192" t="s">
        <v>5</v>
      </c>
      <c r="B192">
        <v>2021</v>
      </c>
      <c r="C192" t="s">
        <v>58</v>
      </c>
      <c r="D192">
        <v>2.6</v>
      </c>
    </row>
    <row r="193" spans="1:4" x14ac:dyDescent="0.45">
      <c r="A193" t="s">
        <v>8</v>
      </c>
      <c r="B193">
        <v>2021</v>
      </c>
      <c r="C193" t="s">
        <v>58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58</v>
      </c>
      <c r="D194">
        <v>23.99</v>
      </c>
    </row>
    <row r="195" spans="1:4" x14ac:dyDescent="0.45">
      <c r="A195" t="s">
        <v>19</v>
      </c>
      <c r="B195">
        <v>2021</v>
      </c>
      <c r="C195" t="s">
        <v>58</v>
      </c>
      <c r="D195">
        <v>0</v>
      </c>
    </row>
    <row r="196" spans="1:4" x14ac:dyDescent="0.45">
      <c r="A196" t="s">
        <v>23</v>
      </c>
      <c r="B196">
        <v>2021</v>
      </c>
      <c r="C196" t="s">
        <v>58</v>
      </c>
      <c r="D196">
        <v>0.71</v>
      </c>
    </row>
    <row r="197" spans="1:4" x14ac:dyDescent="0.45">
      <c r="A197" t="s">
        <v>54</v>
      </c>
      <c r="B197">
        <v>2021</v>
      </c>
      <c r="C197" t="s">
        <v>58</v>
      </c>
      <c r="D197">
        <v>7.97</v>
      </c>
    </row>
    <row r="198" spans="1:4" x14ac:dyDescent="0.45">
      <c r="A198" t="s">
        <v>9</v>
      </c>
      <c r="B198">
        <v>2021</v>
      </c>
      <c r="C198" t="s">
        <v>58</v>
      </c>
      <c r="D198">
        <v>0.21</v>
      </c>
    </row>
    <row r="199" spans="1:4" x14ac:dyDescent="0.45">
      <c r="A199" t="s">
        <v>88</v>
      </c>
      <c r="B199">
        <v>2021</v>
      </c>
      <c r="C199" t="s">
        <v>58</v>
      </c>
      <c r="D199">
        <v>2.62</v>
      </c>
    </row>
    <row r="200" spans="1:4" x14ac:dyDescent="0.45">
      <c r="A200" t="s">
        <v>54</v>
      </c>
      <c r="B200">
        <v>2022</v>
      </c>
      <c r="C200" t="s">
        <v>58</v>
      </c>
      <c r="D200">
        <v>1.57</v>
      </c>
    </row>
    <row r="201" spans="1:4" x14ac:dyDescent="0.45">
      <c r="A201" t="s">
        <v>5</v>
      </c>
      <c r="B201">
        <v>2022</v>
      </c>
      <c r="C201" t="s">
        <v>58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58</v>
      </c>
      <c r="D202">
        <v>4.08</v>
      </c>
    </row>
    <row r="203" spans="1:4" x14ac:dyDescent="0.45">
      <c r="A203" t="s">
        <v>6</v>
      </c>
      <c r="B203">
        <v>2022</v>
      </c>
      <c r="C203" t="s">
        <v>58</v>
      </c>
      <c r="D203">
        <v>25.86</v>
      </c>
    </row>
    <row r="204" spans="1:4" x14ac:dyDescent="0.45">
      <c r="A204" t="s">
        <v>19</v>
      </c>
      <c r="B204">
        <v>2022</v>
      </c>
      <c r="C204" t="s">
        <v>58</v>
      </c>
      <c r="D204">
        <v>0</v>
      </c>
    </row>
    <row r="205" spans="1:4" x14ac:dyDescent="0.45">
      <c r="A205" t="s">
        <v>23</v>
      </c>
      <c r="B205">
        <v>2022</v>
      </c>
      <c r="C205" t="s">
        <v>58</v>
      </c>
      <c r="D205">
        <v>0.62</v>
      </c>
    </row>
    <row r="206" spans="1:4" x14ac:dyDescent="0.45">
      <c r="A206" t="s">
        <v>54</v>
      </c>
      <c r="B206">
        <v>2022</v>
      </c>
      <c r="C206" t="s">
        <v>58</v>
      </c>
      <c r="D206">
        <v>7.82</v>
      </c>
    </row>
    <row r="207" spans="1:4" x14ac:dyDescent="0.45">
      <c r="A207" t="s">
        <v>9</v>
      </c>
      <c r="B207">
        <v>2022</v>
      </c>
      <c r="C207" t="s">
        <v>58</v>
      </c>
      <c r="D207">
        <v>0.21</v>
      </c>
    </row>
    <row r="208" spans="1:4" x14ac:dyDescent="0.45">
      <c r="A208" t="s">
        <v>88</v>
      </c>
      <c r="B208">
        <v>2022</v>
      </c>
      <c r="C208" t="s">
        <v>58</v>
      </c>
      <c r="D208">
        <v>2.89</v>
      </c>
    </row>
    <row r="209" spans="1:4" x14ac:dyDescent="0.45">
      <c r="A209" t="s">
        <v>54</v>
      </c>
      <c r="B209">
        <v>2023</v>
      </c>
      <c r="C209" t="s">
        <v>58</v>
      </c>
      <c r="D209">
        <v>1.55</v>
      </c>
    </row>
    <row r="210" spans="1:4" x14ac:dyDescent="0.45">
      <c r="A210" t="s">
        <v>5</v>
      </c>
      <c r="B210">
        <v>2023</v>
      </c>
      <c r="C210" t="s">
        <v>58</v>
      </c>
      <c r="D210">
        <v>1.77</v>
      </c>
    </row>
    <row r="211" spans="1:4" x14ac:dyDescent="0.45">
      <c r="A211" t="s">
        <v>8</v>
      </c>
      <c r="B211">
        <v>2023</v>
      </c>
      <c r="C211" t="s">
        <v>58</v>
      </c>
      <c r="D211">
        <v>3.25</v>
      </c>
    </row>
    <row r="212" spans="1:4" x14ac:dyDescent="0.45">
      <c r="A212" t="s">
        <v>6</v>
      </c>
      <c r="B212">
        <v>2023</v>
      </c>
      <c r="C212" t="s">
        <v>58</v>
      </c>
      <c r="D212">
        <v>26.04</v>
      </c>
    </row>
    <row r="213" spans="1:4" x14ac:dyDescent="0.45">
      <c r="A213" t="s">
        <v>19</v>
      </c>
      <c r="B213">
        <v>2023</v>
      </c>
      <c r="C213" t="s">
        <v>58</v>
      </c>
      <c r="D213">
        <v>0</v>
      </c>
    </row>
    <row r="214" spans="1:4" x14ac:dyDescent="0.45">
      <c r="A214" t="s">
        <v>23</v>
      </c>
      <c r="B214">
        <v>2023</v>
      </c>
      <c r="C214" t="s">
        <v>58</v>
      </c>
      <c r="D214">
        <v>0.62</v>
      </c>
    </row>
    <row r="215" spans="1:4" x14ac:dyDescent="0.45">
      <c r="A215" t="s">
        <v>54</v>
      </c>
      <c r="B215">
        <v>2023</v>
      </c>
      <c r="C215" t="s">
        <v>58</v>
      </c>
      <c r="D215">
        <v>7.61</v>
      </c>
    </row>
    <row r="216" spans="1:4" x14ac:dyDescent="0.45">
      <c r="A216" t="s">
        <v>9</v>
      </c>
      <c r="B216">
        <v>2023</v>
      </c>
      <c r="C216" t="s">
        <v>58</v>
      </c>
      <c r="D216">
        <v>0.21</v>
      </c>
    </row>
    <row r="217" spans="1:4" x14ac:dyDescent="0.45">
      <c r="A217" t="s">
        <v>88</v>
      </c>
      <c r="B217">
        <v>2023</v>
      </c>
      <c r="C217" t="s">
        <v>58</v>
      </c>
      <c r="D217">
        <v>3.47</v>
      </c>
    </row>
    <row r="218" spans="1:4" x14ac:dyDescent="0.45">
      <c r="A218" t="s">
        <v>54</v>
      </c>
      <c r="B218">
        <v>2000</v>
      </c>
      <c r="C218" t="s">
        <v>59</v>
      </c>
      <c r="D218">
        <v>0.09</v>
      </c>
    </row>
    <row r="219" spans="1:4" x14ac:dyDescent="0.45">
      <c r="A219" t="s">
        <v>5</v>
      </c>
      <c r="B219">
        <v>2000</v>
      </c>
      <c r="C219" t="s">
        <v>59</v>
      </c>
      <c r="D219">
        <v>1</v>
      </c>
    </row>
    <row r="220" spans="1:4" x14ac:dyDescent="0.45">
      <c r="A220" t="s">
        <v>8</v>
      </c>
      <c r="B220">
        <v>2000</v>
      </c>
      <c r="C220" t="s">
        <v>59</v>
      </c>
      <c r="D220">
        <v>1.06</v>
      </c>
    </row>
    <row r="221" spans="1:4" x14ac:dyDescent="0.45">
      <c r="A221" t="s">
        <v>6</v>
      </c>
      <c r="B221">
        <v>2000</v>
      </c>
      <c r="C221" t="s">
        <v>59</v>
      </c>
      <c r="D221">
        <v>5.19</v>
      </c>
    </row>
    <row r="222" spans="1:4" x14ac:dyDescent="0.45">
      <c r="A222" t="s">
        <v>19</v>
      </c>
      <c r="B222">
        <v>2000</v>
      </c>
      <c r="C222" t="s">
        <v>59</v>
      </c>
    </row>
    <row r="223" spans="1:4" x14ac:dyDescent="0.45">
      <c r="A223" t="s">
        <v>23</v>
      </c>
      <c r="B223">
        <v>2000</v>
      </c>
      <c r="C223" t="s">
        <v>59</v>
      </c>
    </row>
    <row r="224" spans="1:4" x14ac:dyDescent="0.45">
      <c r="A224" t="s">
        <v>54</v>
      </c>
      <c r="B224">
        <v>2000</v>
      </c>
      <c r="C224" t="s">
        <v>59</v>
      </c>
      <c r="D224">
        <v>0.42</v>
      </c>
    </row>
    <row r="225" spans="1:4" x14ac:dyDescent="0.45">
      <c r="A225" t="s">
        <v>9</v>
      </c>
      <c r="B225">
        <v>2000</v>
      </c>
      <c r="C225" t="s">
        <v>59</v>
      </c>
      <c r="D225">
        <v>0</v>
      </c>
    </row>
    <row r="226" spans="1:4" x14ac:dyDescent="0.45">
      <c r="A226" t="s">
        <v>88</v>
      </c>
      <c r="B226">
        <v>2000</v>
      </c>
      <c r="C226" t="s">
        <v>59</v>
      </c>
      <c r="D226">
        <v>0.04</v>
      </c>
    </row>
    <row r="227" spans="1:4" x14ac:dyDescent="0.45">
      <c r="A227" t="s">
        <v>54</v>
      </c>
      <c r="B227">
        <v>2001</v>
      </c>
      <c r="C227" t="s">
        <v>59</v>
      </c>
      <c r="D227">
        <v>0.09</v>
      </c>
    </row>
    <row r="228" spans="1:4" x14ac:dyDescent="0.45">
      <c r="A228" t="s">
        <v>5</v>
      </c>
      <c r="B228">
        <v>2001</v>
      </c>
      <c r="C228" t="s">
        <v>59</v>
      </c>
      <c r="D228">
        <v>1</v>
      </c>
    </row>
    <row r="229" spans="1:4" x14ac:dyDescent="0.45">
      <c r="A229" t="s">
        <v>8</v>
      </c>
      <c r="B229">
        <v>2001</v>
      </c>
      <c r="C229" t="s">
        <v>59</v>
      </c>
      <c r="D229">
        <v>1.06</v>
      </c>
    </row>
    <row r="230" spans="1:4" x14ac:dyDescent="0.45">
      <c r="A230" t="s">
        <v>6</v>
      </c>
      <c r="B230">
        <v>2001</v>
      </c>
      <c r="C230" t="s">
        <v>59</v>
      </c>
      <c r="D230">
        <v>5.26</v>
      </c>
    </row>
    <row r="231" spans="1:4" x14ac:dyDescent="0.45">
      <c r="A231" t="s">
        <v>19</v>
      </c>
      <c r="B231">
        <v>2001</v>
      </c>
      <c r="C231" t="s">
        <v>59</v>
      </c>
    </row>
    <row r="232" spans="1:4" x14ac:dyDescent="0.45">
      <c r="A232" t="s">
        <v>23</v>
      </c>
      <c r="B232">
        <v>2001</v>
      </c>
      <c r="C232" t="s">
        <v>59</v>
      </c>
    </row>
    <row r="233" spans="1:4" x14ac:dyDescent="0.45">
      <c r="A233" t="s">
        <v>54</v>
      </c>
      <c r="B233">
        <v>2001</v>
      </c>
      <c r="C233" t="s">
        <v>59</v>
      </c>
      <c r="D233">
        <v>0.42</v>
      </c>
    </row>
    <row r="234" spans="1:4" x14ac:dyDescent="0.45">
      <c r="A234" t="s">
        <v>9</v>
      </c>
      <c r="B234">
        <v>2001</v>
      </c>
      <c r="C234" t="s">
        <v>59</v>
      </c>
      <c r="D234">
        <v>0</v>
      </c>
    </row>
    <row r="235" spans="1:4" x14ac:dyDescent="0.45">
      <c r="A235" t="s">
        <v>88</v>
      </c>
      <c r="B235">
        <v>2001</v>
      </c>
      <c r="C235" t="s">
        <v>59</v>
      </c>
      <c r="D235">
        <v>0.04</v>
      </c>
    </row>
    <row r="236" spans="1:4" x14ac:dyDescent="0.45">
      <c r="A236" t="s">
        <v>54</v>
      </c>
      <c r="B236">
        <v>2002</v>
      </c>
      <c r="C236" t="s">
        <v>59</v>
      </c>
      <c r="D236">
        <v>0.12</v>
      </c>
    </row>
    <row r="237" spans="1:4" x14ac:dyDescent="0.45">
      <c r="A237" t="s">
        <v>5</v>
      </c>
      <c r="B237">
        <v>2002</v>
      </c>
      <c r="C237" t="s">
        <v>59</v>
      </c>
      <c r="D237">
        <v>1</v>
      </c>
    </row>
    <row r="238" spans="1:4" x14ac:dyDescent="0.45">
      <c r="A238" t="s">
        <v>8</v>
      </c>
      <c r="B238">
        <v>2002</v>
      </c>
      <c r="C238" t="s">
        <v>59</v>
      </c>
      <c r="D238">
        <v>1.06</v>
      </c>
    </row>
    <row r="239" spans="1:4" x14ac:dyDescent="0.45">
      <c r="A239" t="s">
        <v>6</v>
      </c>
      <c r="B239">
        <v>2002</v>
      </c>
      <c r="C239" t="s">
        <v>59</v>
      </c>
      <c r="D239">
        <v>5.36</v>
      </c>
    </row>
    <row r="240" spans="1:4" x14ac:dyDescent="0.45">
      <c r="A240" t="s">
        <v>19</v>
      </c>
      <c r="B240">
        <v>2002</v>
      </c>
      <c r="C240" t="s">
        <v>59</v>
      </c>
    </row>
    <row r="241" spans="1:4" x14ac:dyDescent="0.45">
      <c r="A241" t="s">
        <v>23</v>
      </c>
      <c r="B241">
        <v>2002</v>
      </c>
      <c r="C241" t="s">
        <v>59</v>
      </c>
    </row>
    <row r="242" spans="1:4" x14ac:dyDescent="0.45">
      <c r="A242" t="s">
        <v>54</v>
      </c>
      <c r="B242">
        <v>2002</v>
      </c>
      <c r="C242" t="s">
        <v>59</v>
      </c>
      <c r="D242">
        <v>0.37</v>
      </c>
    </row>
    <row r="243" spans="1:4" x14ac:dyDescent="0.45">
      <c r="A243" t="s">
        <v>9</v>
      </c>
      <c r="B243">
        <v>2002</v>
      </c>
      <c r="C243" t="s">
        <v>59</v>
      </c>
      <c r="D243">
        <v>0</v>
      </c>
    </row>
    <row r="244" spans="1:4" x14ac:dyDescent="0.45">
      <c r="A244" t="s">
        <v>88</v>
      </c>
      <c r="B244">
        <v>2002</v>
      </c>
      <c r="C244" t="s">
        <v>59</v>
      </c>
      <c r="D244">
        <v>0.05</v>
      </c>
    </row>
    <row r="245" spans="1:4" x14ac:dyDescent="0.45">
      <c r="A245" t="s">
        <v>54</v>
      </c>
      <c r="B245">
        <v>2003</v>
      </c>
      <c r="C245" t="s">
        <v>59</v>
      </c>
      <c r="D245">
        <v>0.13</v>
      </c>
    </row>
    <row r="246" spans="1:4" x14ac:dyDescent="0.45">
      <c r="A246" t="s">
        <v>5</v>
      </c>
      <c r="B246">
        <v>2003</v>
      </c>
      <c r="C246" t="s">
        <v>59</v>
      </c>
      <c r="D246">
        <v>1</v>
      </c>
    </row>
    <row r="247" spans="1:4" x14ac:dyDescent="0.45">
      <c r="A247" t="s">
        <v>8</v>
      </c>
      <c r="B247">
        <v>2003</v>
      </c>
      <c r="C247" t="s">
        <v>59</v>
      </c>
      <c r="D247">
        <v>1.06</v>
      </c>
    </row>
    <row r="248" spans="1:4" x14ac:dyDescent="0.45">
      <c r="A248" t="s">
        <v>6</v>
      </c>
      <c r="B248">
        <v>2003</v>
      </c>
      <c r="C248" t="s">
        <v>59</v>
      </c>
      <c r="D248">
        <v>5.36</v>
      </c>
    </row>
    <row r="249" spans="1:4" x14ac:dyDescent="0.45">
      <c r="A249" t="s">
        <v>19</v>
      </c>
      <c r="B249">
        <v>2003</v>
      </c>
      <c r="C249" t="s">
        <v>59</v>
      </c>
    </row>
    <row r="250" spans="1:4" x14ac:dyDescent="0.45">
      <c r="A250" t="s">
        <v>23</v>
      </c>
      <c r="B250">
        <v>2003</v>
      </c>
      <c r="C250" t="s">
        <v>59</v>
      </c>
    </row>
    <row r="251" spans="1:4" x14ac:dyDescent="0.45">
      <c r="A251" t="s">
        <v>54</v>
      </c>
      <c r="B251">
        <v>2003</v>
      </c>
      <c r="C251" t="s">
        <v>59</v>
      </c>
      <c r="D251">
        <v>0.38</v>
      </c>
    </row>
    <row r="252" spans="1:4" x14ac:dyDescent="0.45">
      <c r="A252" t="s">
        <v>9</v>
      </c>
      <c r="B252">
        <v>2003</v>
      </c>
      <c r="C252" t="s">
        <v>59</v>
      </c>
      <c r="D252">
        <v>0</v>
      </c>
    </row>
    <row r="253" spans="1:4" x14ac:dyDescent="0.45">
      <c r="A253" t="s">
        <v>88</v>
      </c>
      <c r="B253">
        <v>2003</v>
      </c>
      <c r="C253" t="s">
        <v>59</v>
      </c>
      <c r="D253">
        <v>7.0000000000000007E-2</v>
      </c>
    </row>
    <row r="254" spans="1:4" x14ac:dyDescent="0.45">
      <c r="A254" t="s">
        <v>54</v>
      </c>
      <c r="B254">
        <v>2004</v>
      </c>
      <c r="C254" t="s">
        <v>59</v>
      </c>
      <c r="D254">
        <v>0.13</v>
      </c>
    </row>
    <row r="255" spans="1:4" x14ac:dyDescent="0.45">
      <c r="A255" t="s">
        <v>5</v>
      </c>
      <c r="B255">
        <v>2004</v>
      </c>
      <c r="C255" t="s">
        <v>59</v>
      </c>
      <c r="D255">
        <v>1</v>
      </c>
    </row>
    <row r="256" spans="1:4" x14ac:dyDescent="0.45">
      <c r="A256" t="s">
        <v>8</v>
      </c>
      <c r="B256">
        <v>2004</v>
      </c>
      <c r="C256" t="s">
        <v>59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59</v>
      </c>
      <c r="D257">
        <v>5.37</v>
      </c>
    </row>
    <row r="258" spans="1:4" x14ac:dyDescent="0.45">
      <c r="A258" t="s">
        <v>19</v>
      </c>
      <c r="B258">
        <v>2004</v>
      </c>
      <c r="C258" t="s">
        <v>59</v>
      </c>
    </row>
    <row r="259" spans="1:4" x14ac:dyDescent="0.45">
      <c r="A259" t="s">
        <v>23</v>
      </c>
      <c r="B259">
        <v>2004</v>
      </c>
      <c r="C259" t="s">
        <v>59</v>
      </c>
    </row>
    <row r="260" spans="1:4" x14ac:dyDescent="0.45">
      <c r="A260" t="s">
        <v>54</v>
      </c>
      <c r="B260">
        <v>2004</v>
      </c>
      <c r="C260" t="s">
        <v>59</v>
      </c>
      <c r="D260">
        <v>0.38</v>
      </c>
    </row>
    <row r="261" spans="1:4" x14ac:dyDescent="0.45">
      <c r="A261" t="s">
        <v>9</v>
      </c>
      <c r="B261">
        <v>2004</v>
      </c>
      <c r="C261" t="s">
        <v>59</v>
      </c>
      <c r="D261">
        <v>0</v>
      </c>
    </row>
    <row r="262" spans="1:4" x14ac:dyDescent="0.45">
      <c r="A262" t="s">
        <v>88</v>
      </c>
      <c r="B262">
        <v>2004</v>
      </c>
      <c r="C262" t="s">
        <v>59</v>
      </c>
      <c r="D262">
        <v>0.17</v>
      </c>
    </row>
    <row r="263" spans="1:4" x14ac:dyDescent="0.45">
      <c r="A263" t="s">
        <v>54</v>
      </c>
      <c r="B263">
        <v>2005</v>
      </c>
      <c r="C263" t="s">
        <v>59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59</v>
      </c>
      <c r="D264">
        <v>1</v>
      </c>
    </row>
    <row r="265" spans="1:4" x14ac:dyDescent="0.45">
      <c r="A265" t="s">
        <v>8</v>
      </c>
      <c r="B265">
        <v>2005</v>
      </c>
      <c r="C265" t="s">
        <v>59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59</v>
      </c>
      <c r="D266">
        <v>5.37</v>
      </c>
    </row>
    <row r="267" spans="1:4" x14ac:dyDescent="0.45">
      <c r="A267" t="s">
        <v>19</v>
      </c>
      <c r="B267">
        <v>2005</v>
      </c>
      <c r="C267" t="s">
        <v>59</v>
      </c>
    </row>
    <row r="268" spans="1:4" x14ac:dyDescent="0.45">
      <c r="A268" t="s">
        <v>23</v>
      </c>
      <c r="B268">
        <v>2005</v>
      </c>
      <c r="C268" t="s">
        <v>59</v>
      </c>
    </row>
    <row r="269" spans="1:4" x14ac:dyDescent="0.45">
      <c r="A269" t="s">
        <v>54</v>
      </c>
      <c r="B269">
        <v>2005</v>
      </c>
      <c r="C269" t="s">
        <v>59</v>
      </c>
      <c r="D269">
        <v>0.44</v>
      </c>
    </row>
    <row r="270" spans="1:4" x14ac:dyDescent="0.45">
      <c r="A270" t="s">
        <v>9</v>
      </c>
      <c r="B270">
        <v>2005</v>
      </c>
      <c r="C270" t="s">
        <v>59</v>
      </c>
      <c r="D270">
        <v>0</v>
      </c>
    </row>
    <row r="271" spans="1:4" x14ac:dyDescent="0.45">
      <c r="A271" t="s">
        <v>88</v>
      </c>
      <c r="B271">
        <v>2005</v>
      </c>
      <c r="C271" t="s">
        <v>59</v>
      </c>
      <c r="D271">
        <v>0.17</v>
      </c>
    </row>
    <row r="272" spans="1:4" x14ac:dyDescent="0.45">
      <c r="A272" t="s">
        <v>54</v>
      </c>
      <c r="B272">
        <v>2006</v>
      </c>
      <c r="C272" t="s">
        <v>59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59</v>
      </c>
      <c r="D273">
        <v>1</v>
      </c>
    </row>
    <row r="274" spans="1:4" x14ac:dyDescent="0.45">
      <c r="A274" t="s">
        <v>8</v>
      </c>
      <c r="B274">
        <v>2006</v>
      </c>
      <c r="C274" t="s">
        <v>59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59</v>
      </c>
      <c r="D275">
        <v>5.37</v>
      </c>
    </row>
    <row r="276" spans="1:4" x14ac:dyDescent="0.45">
      <c r="A276" t="s">
        <v>19</v>
      </c>
      <c r="B276">
        <v>2006</v>
      </c>
      <c r="C276" t="s">
        <v>59</v>
      </c>
    </row>
    <row r="277" spans="1:4" x14ac:dyDescent="0.45">
      <c r="A277" t="s">
        <v>23</v>
      </c>
      <c r="B277">
        <v>2006</v>
      </c>
      <c r="C277" t="s">
        <v>59</v>
      </c>
    </row>
    <row r="278" spans="1:4" x14ac:dyDescent="0.45">
      <c r="A278" t="s">
        <v>54</v>
      </c>
      <c r="B278">
        <v>2006</v>
      </c>
      <c r="C278" t="s">
        <v>59</v>
      </c>
      <c r="D278">
        <v>0.44</v>
      </c>
    </row>
    <row r="279" spans="1:4" x14ac:dyDescent="0.45">
      <c r="A279" t="s">
        <v>9</v>
      </c>
      <c r="B279">
        <v>2006</v>
      </c>
      <c r="C279" t="s">
        <v>59</v>
      </c>
      <c r="D279">
        <v>0</v>
      </c>
    </row>
    <row r="280" spans="1:4" x14ac:dyDescent="0.45">
      <c r="A280" t="s">
        <v>88</v>
      </c>
      <c r="B280">
        <v>2006</v>
      </c>
      <c r="C280" t="s">
        <v>59</v>
      </c>
      <c r="D280">
        <v>0.17</v>
      </c>
    </row>
    <row r="281" spans="1:4" x14ac:dyDescent="0.45">
      <c r="A281" t="s">
        <v>54</v>
      </c>
      <c r="B281">
        <v>2007</v>
      </c>
      <c r="C281" t="s">
        <v>59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59</v>
      </c>
      <c r="D282">
        <v>1</v>
      </c>
    </row>
    <row r="283" spans="1:4" x14ac:dyDescent="0.45">
      <c r="A283" t="s">
        <v>8</v>
      </c>
      <c r="B283">
        <v>2007</v>
      </c>
      <c r="C283" t="s">
        <v>59</v>
      </c>
      <c r="D283">
        <v>1.51</v>
      </c>
    </row>
    <row r="284" spans="1:4" x14ac:dyDescent="0.45">
      <c r="A284" t="s">
        <v>6</v>
      </c>
      <c r="B284">
        <v>2007</v>
      </c>
      <c r="C284" t="s">
        <v>59</v>
      </c>
      <c r="D284">
        <v>5.37</v>
      </c>
    </row>
    <row r="285" spans="1:4" x14ac:dyDescent="0.45">
      <c r="A285" t="s">
        <v>19</v>
      </c>
      <c r="B285">
        <v>2007</v>
      </c>
      <c r="C285" t="s">
        <v>59</v>
      </c>
    </row>
    <row r="286" spans="1:4" x14ac:dyDescent="0.45">
      <c r="A286" t="s">
        <v>23</v>
      </c>
      <c r="B286">
        <v>2007</v>
      </c>
      <c r="C286" t="s">
        <v>59</v>
      </c>
    </row>
    <row r="287" spans="1:4" x14ac:dyDescent="0.45">
      <c r="A287" t="s">
        <v>54</v>
      </c>
      <c r="B287">
        <v>2007</v>
      </c>
      <c r="C287" t="s">
        <v>59</v>
      </c>
      <c r="D287">
        <v>0.46</v>
      </c>
    </row>
    <row r="288" spans="1:4" x14ac:dyDescent="0.45">
      <c r="A288" t="s">
        <v>9</v>
      </c>
      <c r="B288">
        <v>2007</v>
      </c>
      <c r="C288" t="s">
        <v>59</v>
      </c>
      <c r="D288">
        <v>0</v>
      </c>
    </row>
    <row r="289" spans="1:4" x14ac:dyDescent="0.45">
      <c r="A289" t="s">
        <v>88</v>
      </c>
      <c r="B289">
        <v>2007</v>
      </c>
      <c r="C289" t="s">
        <v>59</v>
      </c>
      <c r="D289">
        <v>0.32</v>
      </c>
    </row>
    <row r="290" spans="1:4" x14ac:dyDescent="0.45">
      <c r="A290" t="s">
        <v>54</v>
      </c>
      <c r="B290">
        <v>2008</v>
      </c>
      <c r="C290" t="s">
        <v>59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59</v>
      </c>
      <c r="D291">
        <v>1</v>
      </c>
    </row>
    <row r="292" spans="1:4" x14ac:dyDescent="0.45">
      <c r="A292" t="s">
        <v>8</v>
      </c>
      <c r="B292">
        <v>2008</v>
      </c>
      <c r="C292" t="s">
        <v>59</v>
      </c>
      <c r="D292">
        <v>1.51</v>
      </c>
    </row>
    <row r="293" spans="1:4" x14ac:dyDescent="0.45">
      <c r="A293" t="s">
        <v>6</v>
      </c>
      <c r="B293">
        <v>2008</v>
      </c>
      <c r="C293" t="s">
        <v>59</v>
      </c>
      <c r="D293">
        <v>5.39</v>
      </c>
    </row>
    <row r="294" spans="1:4" x14ac:dyDescent="0.45">
      <c r="A294" t="s">
        <v>19</v>
      </c>
      <c r="B294">
        <v>2008</v>
      </c>
      <c r="C294" t="s">
        <v>59</v>
      </c>
    </row>
    <row r="295" spans="1:4" x14ac:dyDescent="0.45">
      <c r="A295" t="s">
        <v>23</v>
      </c>
      <c r="B295">
        <v>2008</v>
      </c>
      <c r="C295" t="s">
        <v>59</v>
      </c>
    </row>
    <row r="296" spans="1:4" x14ac:dyDescent="0.45">
      <c r="A296" t="s">
        <v>54</v>
      </c>
      <c r="B296">
        <v>2008</v>
      </c>
      <c r="C296" t="s">
        <v>59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59</v>
      </c>
      <c r="D297">
        <v>0</v>
      </c>
    </row>
    <row r="298" spans="1:4" x14ac:dyDescent="0.45">
      <c r="A298" t="s">
        <v>88</v>
      </c>
      <c r="B298">
        <v>2008</v>
      </c>
      <c r="C298" t="s">
        <v>59</v>
      </c>
      <c r="D298">
        <v>0.32</v>
      </c>
    </row>
    <row r="299" spans="1:4" x14ac:dyDescent="0.45">
      <c r="A299" t="s">
        <v>54</v>
      </c>
      <c r="B299">
        <v>2009</v>
      </c>
      <c r="C299" t="s">
        <v>59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59</v>
      </c>
      <c r="D300">
        <v>1</v>
      </c>
    </row>
    <row r="301" spans="1:4" x14ac:dyDescent="0.45">
      <c r="A301" t="s">
        <v>8</v>
      </c>
      <c r="B301">
        <v>2009</v>
      </c>
      <c r="C301" t="s">
        <v>59</v>
      </c>
      <c r="D301">
        <v>1.51</v>
      </c>
    </row>
    <row r="302" spans="1:4" x14ac:dyDescent="0.45">
      <c r="A302" t="s">
        <v>6</v>
      </c>
      <c r="B302">
        <v>2009</v>
      </c>
      <c r="C302" t="s">
        <v>59</v>
      </c>
      <c r="D302">
        <v>5.34</v>
      </c>
    </row>
    <row r="303" spans="1:4" x14ac:dyDescent="0.45">
      <c r="A303" t="s">
        <v>19</v>
      </c>
      <c r="B303">
        <v>2009</v>
      </c>
      <c r="C303" t="s">
        <v>59</v>
      </c>
    </row>
    <row r="304" spans="1:4" x14ac:dyDescent="0.45">
      <c r="A304" t="s">
        <v>23</v>
      </c>
      <c r="B304">
        <v>2009</v>
      </c>
      <c r="C304" t="s">
        <v>59</v>
      </c>
    </row>
    <row r="305" spans="1:4" x14ac:dyDescent="0.45">
      <c r="A305" t="s">
        <v>54</v>
      </c>
      <c r="B305">
        <v>2009</v>
      </c>
      <c r="C305" t="s">
        <v>59</v>
      </c>
      <c r="D305">
        <v>0.62</v>
      </c>
    </row>
    <row r="306" spans="1:4" x14ac:dyDescent="0.45">
      <c r="A306" t="s">
        <v>9</v>
      </c>
      <c r="B306">
        <v>2009</v>
      </c>
      <c r="C306" t="s">
        <v>59</v>
      </c>
      <c r="D306">
        <v>0</v>
      </c>
    </row>
    <row r="307" spans="1:4" x14ac:dyDescent="0.45">
      <c r="A307" t="s">
        <v>88</v>
      </c>
      <c r="B307">
        <v>2009</v>
      </c>
      <c r="C307" t="s">
        <v>59</v>
      </c>
      <c r="D307">
        <v>0.51</v>
      </c>
    </row>
    <row r="308" spans="1:4" x14ac:dyDescent="0.45">
      <c r="A308" t="s">
        <v>54</v>
      </c>
      <c r="B308">
        <v>2010</v>
      </c>
      <c r="C308" t="s">
        <v>59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59</v>
      </c>
      <c r="D309">
        <v>1</v>
      </c>
    </row>
    <row r="310" spans="1:4" x14ac:dyDescent="0.45">
      <c r="A310" t="s">
        <v>8</v>
      </c>
      <c r="B310">
        <v>2010</v>
      </c>
      <c r="C310" t="s">
        <v>59</v>
      </c>
      <c r="D310">
        <v>1.51</v>
      </c>
    </row>
    <row r="311" spans="1:4" x14ac:dyDescent="0.45">
      <c r="A311" t="s">
        <v>6</v>
      </c>
      <c r="B311">
        <v>2010</v>
      </c>
      <c r="C311" t="s">
        <v>59</v>
      </c>
      <c r="D311">
        <v>5.33</v>
      </c>
    </row>
    <row r="312" spans="1:4" x14ac:dyDescent="0.45">
      <c r="A312" t="s">
        <v>19</v>
      </c>
      <c r="B312">
        <v>2010</v>
      </c>
      <c r="C312" t="s">
        <v>59</v>
      </c>
    </row>
    <row r="313" spans="1:4" x14ac:dyDescent="0.45">
      <c r="A313" t="s">
        <v>23</v>
      </c>
      <c r="B313">
        <v>2010</v>
      </c>
      <c r="C313" t="s">
        <v>59</v>
      </c>
    </row>
    <row r="314" spans="1:4" x14ac:dyDescent="0.45">
      <c r="A314" t="s">
        <v>54</v>
      </c>
      <c r="B314">
        <v>2010</v>
      </c>
      <c r="C314" t="s">
        <v>59</v>
      </c>
      <c r="D314">
        <v>0.74</v>
      </c>
    </row>
    <row r="315" spans="1:4" x14ac:dyDescent="0.45">
      <c r="A315" t="s">
        <v>9</v>
      </c>
      <c r="B315">
        <v>2010</v>
      </c>
      <c r="C315" t="s">
        <v>59</v>
      </c>
      <c r="D315">
        <v>0</v>
      </c>
    </row>
    <row r="316" spans="1:4" x14ac:dyDescent="0.45">
      <c r="A316" t="s">
        <v>88</v>
      </c>
      <c r="B316">
        <v>2010</v>
      </c>
      <c r="C316" t="s">
        <v>59</v>
      </c>
      <c r="D316">
        <v>0.54</v>
      </c>
    </row>
    <row r="317" spans="1:4" x14ac:dyDescent="0.45">
      <c r="A317" t="s">
        <v>54</v>
      </c>
      <c r="B317">
        <v>2011</v>
      </c>
      <c r="C317" t="s">
        <v>59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59</v>
      </c>
      <c r="D318">
        <v>1</v>
      </c>
    </row>
    <row r="319" spans="1:4" x14ac:dyDescent="0.45">
      <c r="A319" t="s">
        <v>8</v>
      </c>
      <c r="B319">
        <v>2011</v>
      </c>
      <c r="C319" t="s">
        <v>59</v>
      </c>
      <c r="D319">
        <v>1.72</v>
      </c>
    </row>
    <row r="320" spans="1:4" x14ac:dyDescent="0.45">
      <c r="A320" t="s">
        <v>6</v>
      </c>
      <c r="B320">
        <v>2011</v>
      </c>
      <c r="C320" t="s">
        <v>59</v>
      </c>
      <c r="D320">
        <v>5.41</v>
      </c>
    </row>
    <row r="321" spans="1:4" x14ac:dyDescent="0.45">
      <c r="A321" t="s">
        <v>19</v>
      </c>
      <c r="B321">
        <v>2011</v>
      </c>
      <c r="C321" t="s">
        <v>59</v>
      </c>
    </row>
    <row r="322" spans="1:4" x14ac:dyDescent="0.45">
      <c r="A322" t="s">
        <v>23</v>
      </c>
      <c r="B322">
        <v>2011</v>
      </c>
      <c r="C322" t="s">
        <v>59</v>
      </c>
    </row>
    <row r="323" spans="1:4" x14ac:dyDescent="0.45">
      <c r="A323" t="s">
        <v>54</v>
      </c>
      <c r="B323">
        <v>2011</v>
      </c>
      <c r="C323" t="s">
        <v>59</v>
      </c>
      <c r="D323">
        <v>0.74</v>
      </c>
    </row>
    <row r="324" spans="1:4" x14ac:dyDescent="0.45">
      <c r="A324" t="s">
        <v>9</v>
      </c>
      <c r="B324">
        <v>2011</v>
      </c>
      <c r="C324" t="s">
        <v>59</v>
      </c>
      <c r="D324">
        <v>0</v>
      </c>
    </row>
    <row r="325" spans="1:4" x14ac:dyDescent="0.45">
      <c r="A325" t="s">
        <v>88</v>
      </c>
      <c r="B325">
        <v>2011</v>
      </c>
      <c r="C325" t="s">
        <v>59</v>
      </c>
      <c r="D325">
        <v>0.62</v>
      </c>
    </row>
    <row r="326" spans="1:4" x14ac:dyDescent="0.45">
      <c r="A326" t="s">
        <v>54</v>
      </c>
      <c r="B326">
        <v>2012</v>
      </c>
      <c r="C326" t="s">
        <v>59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59</v>
      </c>
      <c r="D327">
        <v>0.75</v>
      </c>
    </row>
    <row r="328" spans="1:4" x14ac:dyDescent="0.45">
      <c r="A328" t="s">
        <v>8</v>
      </c>
      <c r="B328">
        <v>2012</v>
      </c>
      <c r="C328" t="s">
        <v>59</v>
      </c>
      <c r="D328">
        <v>1.72</v>
      </c>
    </row>
    <row r="329" spans="1:4" x14ac:dyDescent="0.45">
      <c r="A329" t="s">
        <v>6</v>
      </c>
      <c r="B329">
        <v>2012</v>
      </c>
      <c r="C329" t="s">
        <v>59</v>
      </c>
      <c r="D329">
        <v>5.42</v>
      </c>
    </row>
    <row r="330" spans="1:4" x14ac:dyDescent="0.45">
      <c r="A330" t="s">
        <v>19</v>
      </c>
      <c r="B330">
        <v>2012</v>
      </c>
      <c r="C330" t="s">
        <v>59</v>
      </c>
    </row>
    <row r="331" spans="1:4" x14ac:dyDescent="0.45">
      <c r="A331" t="s">
        <v>23</v>
      </c>
      <c r="B331">
        <v>2012</v>
      </c>
      <c r="C331" t="s">
        <v>59</v>
      </c>
    </row>
    <row r="332" spans="1:4" x14ac:dyDescent="0.45">
      <c r="A332" t="s">
        <v>54</v>
      </c>
      <c r="B332">
        <v>2012</v>
      </c>
      <c r="C332" t="s">
        <v>59</v>
      </c>
      <c r="D332">
        <v>0.77</v>
      </c>
    </row>
    <row r="333" spans="1:4" x14ac:dyDescent="0.45">
      <c r="A333" t="s">
        <v>9</v>
      </c>
      <c r="B333">
        <v>2012</v>
      </c>
      <c r="C333" t="s">
        <v>59</v>
      </c>
      <c r="D333">
        <v>0</v>
      </c>
    </row>
    <row r="334" spans="1:4" x14ac:dyDescent="0.45">
      <c r="A334" t="s">
        <v>88</v>
      </c>
      <c r="B334">
        <v>2012</v>
      </c>
      <c r="C334" t="s">
        <v>59</v>
      </c>
      <c r="D334">
        <v>0.62</v>
      </c>
    </row>
    <row r="335" spans="1:4" x14ac:dyDescent="0.45">
      <c r="A335" t="s">
        <v>54</v>
      </c>
      <c r="B335">
        <v>2013</v>
      </c>
      <c r="C335" t="s">
        <v>59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59</v>
      </c>
      <c r="D336">
        <v>0.5</v>
      </c>
    </row>
    <row r="337" spans="1:4" x14ac:dyDescent="0.45">
      <c r="A337" t="s">
        <v>8</v>
      </c>
      <c r="B337">
        <v>2013</v>
      </c>
      <c r="C337" t="s">
        <v>59</v>
      </c>
      <c r="D337">
        <v>1.82</v>
      </c>
    </row>
    <row r="338" spans="1:4" x14ac:dyDescent="0.45">
      <c r="A338" t="s">
        <v>6</v>
      </c>
      <c r="B338">
        <v>2013</v>
      </c>
      <c r="C338" t="s">
        <v>59</v>
      </c>
      <c r="D338">
        <v>5.44</v>
      </c>
    </row>
    <row r="339" spans="1:4" x14ac:dyDescent="0.45">
      <c r="A339" t="s">
        <v>19</v>
      </c>
      <c r="B339">
        <v>2013</v>
      </c>
      <c r="C339" t="s">
        <v>59</v>
      </c>
    </row>
    <row r="340" spans="1:4" x14ac:dyDescent="0.45">
      <c r="A340" t="s">
        <v>23</v>
      </c>
      <c r="B340">
        <v>2013</v>
      </c>
      <c r="C340" t="s">
        <v>59</v>
      </c>
    </row>
    <row r="341" spans="1:4" x14ac:dyDescent="0.45">
      <c r="A341" t="s">
        <v>54</v>
      </c>
      <c r="B341">
        <v>2013</v>
      </c>
      <c r="C341" t="s">
        <v>59</v>
      </c>
      <c r="D341">
        <v>0.84</v>
      </c>
    </row>
    <row r="342" spans="1:4" x14ac:dyDescent="0.45">
      <c r="A342" t="s">
        <v>9</v>
      </c>
      <c r="B342">
        <v>2013</v>
      </c>
      <c r="C342" t="s">
        <v>59</v>
      </c>
      <c r="D342">
        <v>0.01</v>
      </c>
    </row>
    <row r="343" spans="1:4" x14ac:dyDescent="0.45">
      <c r="A343" t="s">
        <v>88</v>
      </c>
      <c r="B343">
        <v>2013</v>
      </c>
      <c r="C343" t="s">
        <v>59</v>
      </c>
      <c r="D343">
        <v>0.62</v>
      </c>
    </row>
    <row r="344" spans="1:4" x14ac:dyDescent="0.45">
      <c r="A344" t="s">
        <v>54</v>
      </c>
      <c r="B344">
        <v>2014</v>
      </c>
      <c r="C344" t="s">
        <v>59</v>
      </c>
      <c r="D344">
        <v>0.15</v>
      </c>
    </row>
    <row r="345" spans="1:4" x14ac:dyDescent="0.45">
      <c r="A345" t="s">
        <v>5</v>
      </c>
      <c r="B345">
        <v>2014</v>
      </c>
      <c r="C345" t="s">
        <v>59</v>
      </c>
      <c r="D345">
        <v>0.5</v>
      </c>
    </row>
    <row r="346" spans="1:4" x14ac:dyDescent="0.45">
      <c r="A346" t="s">
        <v>8</v>
      </c>
      <c r="B346">
        <v>2014</v>
      </c>
      <c r="C346" t="s">
        <v>59</v>
      </c>
      <c r="D346">
        <v>1.82</v>
      </c>
    </row>
    <row r="347" spans="1:4" x14ac:dyDescent="0.45">
      <c r="A347" t="s">
        <v>6</v>
      </c>
      <c r="B347">
        <v>2014</v>
      </c>
      <c r="C347" t="s">
        <v>59</v>
      </c>
      <c r="D347">
        <v>5.43</v>
      </c>
    </row>
    <row r="348" spans="1:4" x14ac:dyDescent="0.45">
      <c r="A348" t="s">
        <v>19</v>
      </c>
      <c r="B348">
        <v>2014</v>
      </c>
      <c r="C348" t="s">
        <v>59</v>
      </c>
    </row>
    <row r="349" spans="1:4" x14ac:dyDescent="0.45">
      <c r="A349" t="s">
        <v>23</v>
      </c>
      <c r="B349">
        <v>2014</v>
      </c>
      <c r="C349" t="s">
        <v>59</v>
      </c>
    </row>
    <row r="350" spans="1:4" x14ac:dyDescent="0.45">
      <c r="A350" t="s">
        <v>54</v>
      </c>
      <c r="B350">
        <v>2014</v>
      </c>
      <c r="C350" t="s">
        <v>59</v>
      </c>
      <c r="D350">
        <v>0.97</v>
      </c>
    </row>
    <row r="351" spans="1:4" x14ac:dyDescent="0.45">
      <c r="A351" t="s">
        <v>9</v>
      </c>
      <c r="B351">
        <v>2014</v>
      </c>
      <c r="C351" t="s">
        <v>59</v>
      </c>
      <c r="D351">
        <v>0.02</v>
      </c>
    </row>
    <row r="352" spans="1:4" x14ac:dyDescent="0.45">
      <c r="A352" t="s">
        <v>88</v>
      </c>
      <c r="B352">
        <v>2014</v>
      </c>
      <c r="C352" t="s">
        <v>59</v>
      </c>
      <c r="D352">
        <v>0.68</v>
      </c>
    </row>
    <row r="353" spans="1:4" x14ac:dyDescent="0.45">
      <c r="A353" t="s">
        <v>54</v>
      </c>
      <c r="B353">
        <v>2015</v>
      </c>
      <c r="C353" t="s">
        <v>59</v>
      </c>
      <c r="D353">
        <v>0.15</v>
      </c>
    </row>
    <row r="354" spans="1:4" x14ac:dyDescent="0.45">
      <c r="A354" t="s">
        <v>5</v>
      </c>
      <c r="B354">
        <v>2015</v>
      </c>
      <c r="C354" t="s">
        <v>59</v>
      </c>
      <c r="D354">
        <v>0.5</v>
      </c>
    </row>
    <row r="355" spans="1:4" x14ac:dyDescent="0.45">
      <c r="A355" t="s">
        <v>8</v>
      </c>
      <c r="B355">
        <v>2015</v>
      </c>
      <c r="C355" t="s">
        <v>59</v>
      </c>
      <c r="D355">
        <v>1.82</v>
      </c>
    </row>
    <row r="356" spans="1:4" x14ac:dyDescent="0.45">
      <c r="A356" t="s">
        <v>6</v>
      </c>
      <c r="B356">
        <v>2015</v>
      </c>
      <c r="C356" t="s">
        <v>59</v>
      </c>
      <c r="D356">
        <v>5.43</v>
      </c>
    </row>
    <row r="357" spans="1:4" x14ac:dyDescent="0.45">
      <c r="A357" t="s">
        <v>19</v>
      </c>
      <c r="B357">
        <v>2015</v>
      </c>
      <c r="C357" t="s">
        <v>59</v>
      </c>
    </row>
    <row r="358" spans="1:4" x14ac:dyDescent="0.45">
      <c r="A358" t="s">
        <v>23</v>
      </c>
      <c r="B358">
        <v>2015</v>
      </c>
      <c r="C358" t="s">
        <v>59</v>
      </c>
    </row>
    <row r="359" spans="1:4" x14ac:dyDescent="0.45">
      <c r="A359" t="s">
        <v>54</v>
      </c>
      <c r="B359">
        <v>2015</v>
      </c>
      <c r="C359" t="s">
        <v>59</v>
      </c>
      <c r="D359">
        <v>0.99</v>
      </c>
    </row>
    <row r="360" spans="1:4" x14ac:dyDescent="0.45">
      <c r="A360" t="s">
        <v>9</v>
      </c>
      <c r="B360">
        <v>2015</v>
      </c>
      <c r="C360" t="s">
        <v>59</v>
      </c>
      <c r="D360">
        <v>0.04</v>
      </c>
    </row>
    <row r="361" spans="1:4" x14ac:dyDescent="0.45">
      <c r="A361" t="s">
        <v>88</v>
      </c>
      <c r="B361">
        <v>2015</v>
      </c>
      <c r="C361" t="s">
        <v>59</v>
      </c>
      <c r="D361">
        <v>0.69</v>
      </c>
    </row>
    <row r="362" spans="1:4" x14ac:dyDescent="0.45">
      <c r="A362" t="s">
        <v>54</v>
      </c>
      <c r="B362">
        <v>2016</v>
      </c>
      <c r="C362" t="s">
        <v>59</v>
      </c>
      <c r="D362">
        <v>0.15</v>
      </c>
    </row>
    <row r="363" spans="1:4" x14ac:dyDescent="0.45">
      <c r="A363" t="s">
        <v>5</v>
      </c>
      <c r="B363">
        <v>2016</v>
      </c>
      <c r="C363" t="s">
        <v>59</v>
      </c>
      <c r="D363">
        <v>0.5</v>
      </c>
    </row>
    <row r="364" spans="1:4" x14ac:dyDescent="0.45">
      <c r="A364" t="s">
        <v>8</v>
      </c>
      <c r="B364">
        <v>2016</v>
      </c>
      <c r="C364" t="s">
        <v>59</v>
      </c>
      <c r="D364">
        <v>1.82</v>
      </c>
    </row>
    <row r="365" spans="1:4" x14ac:dyDescent="0.45">
      <c r="A365" t="s">
        <v>6</v>
      </c>
      <c r="B365">
        <v>2016</v>
      </c>
      <c r="C365" t="s">
        <v>59</v>
      </c>
      <c r="D365">
        <v>5.43</v>
      </c>
    </row>
    <row r="366" spans="1:4" x14ac:dyDescent="0.45">
      <c r="A366" t="s">
        <v>19</v>
      </c>
      <c r="B366">
        <v>2016</v>
      </c>
      <c r="C366" t="s">
        <v>59</v>
      </c>
    </row>
    <row r="367" spans="1:4" x14ac:dyDescent="0.45">
      <c r="A367" t="s">
        <v>23</v>
      </c>
      <c r="B367">
        <v>2016</v>
      </c>
      <c r="C367" t="s">
        <v>59</v>
      </c>
    </row>
    <row r="368" spans="1:4" x14ac:dyDescent="0.45">
      <c r="A368" t="s">
        <v>54</v>
      </c>
      <c r="B368">
        <v>2016</v>
      </c>
      <c r="C368" t="s">
        <v>59</v>
      </c>
      <c r="D368">
        <v>0.99</v>
      </c>
    </row>
    <row r="369" spans="1:4" x14ac:dyDescent="0.45">
      <c r="A369" t="s">
        <v>9</v>
      </c>
      <c r="B369">
        <v>2016</v>
      </c>
      <c r="C369" t="s">
        <v>59</v>
      </c>
      <c r="D369">
        <v>0.05</v>
      </c>
    </row>
    <row r="370" spans="1:4" x14ac:dyDescent="0.45">
      <c r="A370" t="s">
        <v>88</v>
      </c>
      <c r="B370">
        <v>2016</v>
      </c>
      <c r="C370" t="s">
        <v>59</v>
      </c>
      <c r="D370">
        <v>0.69</v>
      </c>
    </row>
    <row r="371" spans="1:4" x14ac:dyDescent="0.45">
      <c r="A371" t="s">
        <v>54</v>
      </c>
      <c r="B371">
        <v>2017</v>
      </c>
      <c r="C371" t="s">
        <v>59</v>
      </c>
      <c r="D371">
        <v>0.15</v>
      </c>
    </row>
    <row r="372" spans="1:4" x14ac:dyDescent="0.45">
      <c r="A372" t="s">
        <v>5</v>
      </c>
      <c r="B372">
        <v>2017</v>
      </c>
      <c r="C372" t="s">
        <v>59</v>
      </c>
      <c r="D372">
        <v>0.5</v>
      </c>
    </row>
    <row r="373" spans="1:4" x14ac:dyDescent="0.45">
      <c r="A373" t="s">
        <v>8</v>
      </c>
      <c r="B373">
        <v>2017</v>
      </c>
      <c r="C373" t="s">
        <v>59</v>
      </c>
      <c r="D373">
        <v>1.82</v>
      </c>
    </row>
    <row r="374" spans="1:4" x14ac:dyDescent="0.45">
      <c r="A374" t="s">
        <v>6</v>
      </c>
      <c r="B374">
        <v>2017</v>
      </c>
      <c r="C374" t="s">
        <v>59</v>
      </c>
      <c r="D374">
        <v>5.43</v>
      </c>
    </row>
    <row r="375" spans="1:4" x14ac:dyDescent="0.45">
      <c r="A375" t="s">
        <v>19</v>
      </c>
      <c r="B375">
        <v>2017</v>
      </c>
      <c r="C375" t="s">
        <v>59</v>
      </c>
    </row>
    <row r="376" spans="1:4" x14ac:dyDescent="0.45">
      <c r="A376" t="s">
        <v>23</v>
      </c>
      <c r="B376">
        <v>2017</v>
      </c>
      <c r="C376" t="s">
        <v>59</v>
      </c>
    </row>
    <row r="377" spans="1:4" x14ac:dyDescent="0.45">
      <c r="A377" t="s">
        <v>54</v>
      </c>
      <c r="B377">
        <v>2017</v>
      </c>
      <c r="C377" t="s">
        <v>59</v>
      </c>
      <c r="D377">
        <v>0.99</v>
      </c>
    </row>
    <row r="378" spans="1:4" x14ac:dyDescent="0.45">
      <c r="A378" t="s">
        <v>9</v>
      </c>
      <c r="B378">
        <v>2017</v>
      </c>
      <c r="C378" t="s">
        <v>59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59</v>
      </c>
      <c r="D379">
        <v>0.69</v>
      </c>
    </row>
    <row r="380" spans="1:4" x14ac:dyDescent="0.45">
      <c r="A380" t="s">
        <v>54</v>
      </c>
      <c r="B380">
        <v>2018</v>
      </c>
      <c r="C380" t="s">
        <v>59</v>
      </c>
      <c r="D380">
        <v>0.15</v>
      </c>
    </row>
    <row r="381" spans="1:4" x14ac:dyDescent="0.45">
      <c r="A381" t="s">
        <v>5</v>
      </c>
      <c r="B381">
        <v>2018</v>
      </c>
      <c r="C381" t="s">
        <v>59</v>
      </c>
      <c r="D381">
        <v>0.5</v>
      </c>
    </row>
    <row r="382" spans="1:4" x14ac:dyDescent="0.45">
      <c r="A382" t="s">
        <v>8</v>
      </c>
      <c r="B382">
        <v>2018</v>
      </c>
      <c r="C382" t="s">
        <v>59</v>
      </c>
      <c r="D382">
        <v>1.82</v>
      </c>
    </row>
    <row r="383" spans="1:4" x14ac:dyDescent="0.45">
      <c r="A383" t="s">
        <v>6</v>
      </c>
      <c r="B383">
        <v>2018</v>
      </c>
      <c r="C383" t="s">
        <v>59</v>
      </c>
      <c r="D383">
        <v>5.43</v>
      </c>
    </row>
    <row r="384" spans="1:4" x14ac:dyDescent="0.45">
      <c r="A384" t="s">
        <v>19</v>
      </c>
      <c r="B384">
        <v>2018</v>
      </c>
      <c r="C384" t="s">
        <v>59</v>
      </c>
    </row>
    <row r="385" spans="1:4" x14ac:dyDescent="0.45">
      <c r="A385" t="s">
        <v>23</v>
      </c>
      <c r="B385">
        <v>2018</v>
      </c>
      <c r="C385" t="s">
        <v>59</v>
      </c>
    </row>
    <row r="386" spans="1:4" x14ac:dyDescent="0.45">
      <c r="A386" t="s">
        <v>54</v>
      </c>
      <c r="B386">
        <v>2018</v>
      </c>
      <c r="C386" t="s">
        <v>59</v>
      </c>
      <c r="D386">
        <v>1.01</v>
      </c>
    </row>
    <row r="387" spans="1:4" x14ac:dyDescent="0.45">
      <c r="A387" t="s">
        <v>9</v>
      </c>
      <c r="B387">
        <v>2018</v>
      </c>
      <c r="C387" t="s">
        <v>59</v>
      </c>
      <c r="D387">
        <v>0.09</v>
      </c>
    </row>
    <row r="388" spans="1:4" x14ac:dyDescent="0.45">
      <c r="A388" t="s">
        <v>88</v>
      </c>
      <c r="B388">
        <v>2018</v>
      </c>
      <c r="C388" t="s">
        <v>59</v>
      </c>
      <c r="D388">
        <v>0.69</v>
      </c>
    </row>
    <row r="389" spans="1:4" x14ac:dyDescent="0.45">
      <c r="A389" t="s">
        <v>54</v>
      </c>
      <c r="B389">
        <v>2019</v>
      </c>
      <c r="C389" t="s">
        <v>59</v>
      </c>
      <c r="D389">
        <v>0.15</v>
      </c>
    </row>
    <row r="390" spans="1:4" x14ac:dyDescent="0.45">
      <c r="A390" t="s">
        <v>5</v>
      </c>
      <c r="B390">
        <v>2019</v>
      </c>
      <c r="C390" t="s">
        <v>59</v>
      </c>
      <c r="D390">
        <v>0.5</v>
      </c>
    </row>
    <row r="391" spans="1:4" x14ac:dyDescent="0.45">
      <c r="A391" t="s">
        <v>8</v>
      </c>
      <c r="B391">
        <v>2019</v>
      </c>
      <c r="C391" t="s">
        <v>59</v>
      </c>
      <c r="D391">
        <v>1.82</v>
      </c>
    </row>
    <row r="392" spans="1:4" x14ac:dyDescent="0.45">
      <c r="A392" t="s">
        <v>6</v>
      </c>
      <c r="B392">
        <v>2019</v>
      </c>
      <c r="C392" t="s">
        <v>59</v>
      </c>
      <c r="D392">
        <v>5.44</v>
      </c>
    </row>
    <row r="393" spans="1:4" x14ac:dyDescent="0.45">
      <c r="A393" t="s">
        <v>19</v>
      </c>
      <c r="B393">
        <v>2019</v>
      </c>
      <c r="C393" t="s">
        <v>59</v>
      </c>
    </row>
    <row r="394" spans="1:4" x14ac:dyDescent="0.45">
      <c r="A394" t="s">
        <v>23</v>
      </c>
      <c r="B394">
        <v>2019</v>
      </c>
      <c r="C394" t="s">
        <v>59</v>
      </c>
    </row>
    <row r="395" spans="1:4" x14ac:dyDescent="0.45">
      <c r="A395" t="s">
        <v>54</v>
      </c>
      <c r="B395">
        <v>2019</v>
      </c>
      <c r="C395" t="s">
        <v>59</v>
      </c>
      <c r="D395">
        <v>1.01</v>
      </c>
    </row>
    <row r="396" spans="1:4" x14ac:dyDescent="0.45">
      <c r="A396" t="s">
        <v>9</v>
      </c>
      <c r="B396">
        <v>2019</v>
      </c>
      <c r="C396" t="s">
        <v>59</v>
      </c>
      <c r="D396">
        <v>0.12</v>
      </c>
    </row>
    <row r="397" spans="1:4" x14ac:dyDescent="0.45">
      <c r="A397" t="s">
        <v>88</v>
      </c>
      <c r="B397">
        <v>2019</v>
      </c>
      <c r="C397" t="s">
        <v>59</v>
      </c>
      <c r="D397">
        <v>0.69</v>
      </c>
    </row>
    <row r="398" spans="1:4" x14ac:dyDescent="0.45">
      <c r="A398" t="s">
        <v>54</v>
      </c>
      <c r="B398">
        <v>2020</v>
      </c>
      <c r="C398" t="s">
        <v>59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59</v>
      </c>
      <c r="D399">
        <v>0.5</v>
      </c>
    </row>
    <row r="400" spans="1:4" x14ac:dyDescent="0.45">
      <c r="A400" t="s">
        <v>8</v>
      </c>
      <c r="B400">
        <v>2020</v>
      </c>
      <c r="C400" t="s">
        <v>59</v>
      </c>
      <c r="D400">
        <v>1.92</v>
      </c>
    </row>
    <row r="401" spans="1:4" x14ac:dyDescent="0.45">
      <c r="A401" t="s">
        <v>6</v>
      </c>
      <c r="B401">
        <v>2020</v>
      </c>
      <c r="C401" t="s">
        <v>59</v>
      </c>
      <c r="D401">
        <v>5.44</v>
      </c>
    </row>
    <row r="402" spans="1:4" x14ac:dyDescent="0.45">
      <c r="A402" t="s">
        <v>19</v>
      </c>
      <c r="B402">
        <v>2020</v>
      </c>
      <c r="C402" t="s">
        <v>59</v>
      </c>
    </row>
    <row r="403" spans="1:4" x14ac:dyDescent="0.45">
      <c r="A403" t="s">
        <v>23</v>
      </c>
      <c r="B403">
        <v>2020</v>
      </c>
      <c r="C403" t="s">
        <v>59</v>
      </c>
    </row>
    <row r="404" spans="1:4" x14ac:dyDescent="0.45">
      <c r="A404" t="s">
        <v>54</v>
      </c>
      <c r="B404">
        <v>2020</v>
      </c>
      <c r="C404" t="s">
        <v>59</v>
      </c>
      <c r="D404">
        <v>1.04</v>
      </c>
    </row>
    <row r="405" spans="1:4" x14ac:dyDescent="0.45">
      <c r="A405" t="s">
        <v>9</v>
      </c>
      <c r="B405">
        <v>2020</v>
      </c>
      <c r="C405" t="s">
        <v>59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59</v>
      </c>
      <c r="D406">
        <v>0.69</v>
      </c>
    </row>
    <row r="407" spans="1:4" x14ac:dyDescent="0.45">
      <c r="A407" t="s">
        <v>54</v>
      </c>
      <c r="B407">
        <v>2021</v>
      </c>
      <c r="C407" t="s">
        <v>59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59</v>
      </c>
      <c r="D408">
        <v>0.5</v>
      </c>
    </row>
    <row r="409" spans="1:4" x14ac:dyDescent="0.45">
      <c r="A409" t="s">
        <v>8</v>
      </c>
      <c r="B409">
        <v>2021</v>
      </c>
      <c r="C409" t="s">
        <v>59</v>
      </c>
      <c r="D409">
        <v>1.92</v>
      </c>
    </row>
    <row r="410" spans="1:4" x14ac:dyDescent="0.45">
      <c r="A410" t="s">
        <v>6</v>
      </c>
      <c r="B410">
        <v>2021</v>
      </c>
      <c r="C410" t="s">
        <v>59</v>
      </c>
      <c r="D410">
        <v>5.44</v>
      </c>
    </row>
    <row r="411" spans="1:4" x14ac:dyDescent="0.45">
      <c r="A411" t="s">
        <v>19</v>
      </c>
      <c r="B411">
        <v>2021</v>
      </c>
      <c r="C411" t="s">
        <v>59</v>
      </c>
    </row>
    <row r="412" spans="1:4" x14ac:dyDescent="0.45">
      <c r="A412" t="s">
        <v>23</v>
      </c>
      <c r="B412">
        <v>2021</v>
      </c>
      <c r="C412" t="s">
        <v>59</v>
      </c>
    </row>
    <row r="413" spans="1:4" x14ac:dyDescent="0.45">
      <c r="A413" t="s">
        <v>54</v>
      </c>
      <c r="B413">
        <v>2021</v>
      </c>
      <c r="C413" t="s">
        <v>59</v>
      </c>
      <c r="D413">
        <v>1.04</v>
      </c>
    </row>
    <row r="414" spans="1:4" x14ac:dyDescent="0.45">
      <c r="A414" t="s">
        <v>9</v>
      </c>
      <c r="B414">
        <v>2021</v>
      </c>
      <c r="C414" t="s">
        <v>59</v>
      </c>
      <c r="D414">
        <v>0.19</v>
      </c>
    </row>
    <row r="415" spans="1:4" x14ac:dyDescent="0.45">
      <c r="A415" t="s">
        <v>88</v>
      </c>
      <c r="B415">
        <v>2021</v>
      </c>
      <c r="C415" t="s">
        <v>59</v>
      </c>
      <c r="D415">
        <v>0.91</v>
      </c>
    </row>
    <row r="416" spans="1:4" x14ac:dyDescent="0.45">
      <c r="A416" t="s">
        <v>54</v>
      </c>
      <c r="B416">
        <v>2022</v>
      </c>
      <c r="C416" t="s">
        <v>59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59</v>
      </c>
      <c r="D417">
        <v>0.5</v>
      </c>
    </row>
    <row r="418" spans="1:4" x14ac:dyDescent="0.45">
      <c r="A418" t="s">
        <v>8</v>
      </c>
      <c r="B418">
        <v>2022</v>
      </c>
      <c r="C418" t="s">
        <v>59</v>
      </c>
      <c r="D418">
        <v>1.92</v>
      </c>
    </row>
    <row r="419" spans="1:4" x14ac:dyDescent="0.45">
      <c r="A419" t="s">
        <v>6</v>
      </c>
      <c r="B419">
        <v>2022</v>
      </c>
      <c r="C419" t="s">
        <v>59</v>
      </c>
      <c r="D419">
        <v>5.68</v>
      </c>
    </row>
    <row r="420" spans="1:4" x14ac:dyDescent="0.45">
      <c r="A420" t="s">
        <v>19</v>
      </c>
      <c r="B420">
        <v>2022</v>
      </c>
      <c r="C420" t="s">
        <v>59</v>
      </c>
    </row>
    <row r="421" spans="1:4" x14ac:dyDescent="0.45">
      <c r="A421" t="s">
        <v>23</v>
      </c>
      <c r="B421">
        <v>2022</v>
      </c>
      <c r="C421" t="s">
        <v>59</v>
      </c>
    </row>
    <row r="422" spans="1:4" x14ac:dyDescent="0.45">
      <c r="A422" t="s">
        <v>54</v>
      </c>
      <c r="B422">
        <v>2022</v>
      </c>
      <c r="C422" t="s">
        <v>59</v>
      </c>
      <c r="D422">
        <v>1.05</v>
      </c>
    </row>
    <row r="423" spans="1:4" x14ac:dyDescent="0.45">
      <c r="A423" t="s">
        <v>9</v>
      </c>
      <c r="B423">
        <v>2022</v>
      </c>
      <c r="C423" t="s">
        <v>59</v>
      </c>
      <c r="D423">
        <v>0.27</v>
      </c>
    </row>
    <row r="424" spans="1:4" x14ac:dyDescent="0.45">
      <c r="A424" t="s">
        <v>88</v>
      </c>
      <c r="B424">
        <v>2022</v>
      </c>
      <c r="C424" t="s">
        <v>59</v>
      </c>
      <c r="D424">
        <v>0.99</v>
      </c>
    </row>
    <row r="425" spans="1:4" x14ac:dyDescent="0.45">
      <c r="A425" t="s">
        <v>54</v>
      </c>
      <c r="B425">
        <v>2023</v>
      </c>
      <c r="C425" t="s">
        <v>59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59</v>
      </c>
      <c r="D426">
        <v>0.5</v>
      </c>
    </row>
    <row r="427" spans="1:4" x14ac:dyDescent="0.45">
      <c r="A427" t="s">
        <v>8</v>
      </c>
      <c r="B427">
        <v>2023</v>
      </c>
      <c r="C427" t="s">
        <v>59</v>
      </c>
      <c r="D427">
        <v>1.92</v>
      </c>
    </row>
    <row r="428" spans="1:4" x14ac:dyDescent="0.45">
      <c r="A428" t="s">
        <v>6</v>
      </c>
      <c r="B428">
        <v>2023</v>
      </c>
      <c r="C428" t="s">
        <v>59</v>
      </c>
      <c r="D428">
        <v>5.68</v>
      </c>
    </row>
    <row r="429" spans="1:4" x14ac:dyDescent="0.45">
      <c r="A429" t="s">
        <v>19</v>
      </c>
      <c r="B429">
        <v>2023</v>
      </c>
      <c r="C429" t="s">
        <v>59</v>
      </c>
    </row>
    <row r="430" spans="1:4" x14ac:dyDescent="0.45">
      <c r="A430" t="s">
        <v>23</v>
      </c>
      <c r="B430">
        <v>2023</v>
      </c>
      <c r="C430" t="s">
        <v>59</v>
      </c>
    </row>
    <row r="431" spans="1:4" x14ac:dyDescent="0.45">
      <c r="A431" t="s">
        <v>54</v>
      </c>
      <c r="B431">
        <v>2023</v>
      </c>
      <c r="C431" t="s">
        <v>59</v>
      </c>
      <c r="D431">
        <v>1.05</v>
      </c>
    </row>
    <row r="432" spans="1:4" x14ac:dyDescent="0.45">
      <c r="A432" t="s">
        <v>9</v>
      </c>
      <c r="B432">
        <v>2023</v>
      </c>
      <c r="C432" t="s">
        <v>59</v>
      </c>
      <c r="D432">
        <v>0.37</v>
      </c>
    </row>
    <row r="433" spans="1:4" x14ac:dyDescent="0.45">
      <c r="A433" t="s">
        <v>88</v>
      </c>
      <c r="B433">
        <v>2023</v>
      </c>
      <c r="C433" t="s">
        <v>59</v>
      </c>
      <c r="D433">
        <v>1.06</v>
      </c>
    </row>
    <row r="434" spans="1:4" x14ac:dyDescent="0.45">
      <c r="A434" t="s">
        <v>54</v>
      </c>
      <c r="B434">
        <v>2000</v>
      </c>
      <c r="C434" t="s">
        <v>60</v>
      </c>
      <c r="D434">
        <v>0.18</v>
      </c>
    </row>
    <row r="435" spans="1:4" x14ac:dyDescent="0.45">
      <c r="A435" t="s">
        <v>5</v>
      </c>
      <c r="B435">
        <v>2000</v>
      </c>
      <c r="C435" t="s">
        <v>60</v>
      </c>
      <c r="D435">
        <v>0.89</v>
      </c>
    </row>
    <row r="436" spans="1:4" x14ac:dyDescent="0.45">
      <c r="A436" t="s">
        <v>8</v>
      </c>
      <c r="B436">
        <v>2000</v>
      </c>
      <c r="C436" t="s">
        <v>60</v>
      </c>
      <c r="D436">
        <v>5.09</v>
      </c>
    </row>
    <row r="437" spans="1:4" x14ac:dyDescent="0.45">
      <c r="A437" t="s">
        <v>6</v>
      </c>
      <c r="B437">
        <v>2000</v>
      </c>
      <c r="C437" t="s">
        <v>60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60</v>
      </c>
      <c r="D438">
        <v>0</v>
      </c>
    </row>
    <row r="439" spans="1:4" x14ac:dyDescent="0.45">
      <c r="A439" t="s">
        <v>23</v>
      </c>
      <c r="B439">
        <v>2000</v>
      </c>
      <c r="C439" t="s">
        <v>60</v>
      </c>
      <c r="D439">
        <v>0.36</v>
      </c>
    </row>
    <row r="440" spans="1:4" x14ac:dyDescent="0.45">
      <c r="A440" t="s">
        <v>54</v>
      </c>
      <c r="B440">
        <v>2000</v>
      </c>
      <c r="C440" t="s">
        <v>60</v>
      </c>
      <c r="D440">
        <v>0.1</v>
      </c>
    </row>
    <row r="441" spans="1:4" x14ac:dyDescent="0.45">
      <c r="A441" t="s">
        <v>9</v>
      </c>
      <c r="B441">
        <v>2000</v>
      </c>
      <c r="C441" t="s">
        <v>60</v>
      </c>
      <c r="D441">
        <v>0</v>
      </c>
    </row>
    <row r="442" spans="1:4" x14ac:dyDescent="0.45">
      <c r="A442" t="s">
        <v>88</v>
      </c>
      <c r="B442">
        <v>2000</v>
      </c>
      <c r="C442" t="s">
        <v>60</v>
      </c>
      <c r="D442">
        <v>0</v>
      </c>
    </row>
    <row r="443" spans="1:4" x14ac:dyDescent="0.45">
      <c r="A443" t="s">
        <v>54</v>
      </c>
      <c r="B443">
        <v>2001</v>
      </c>
      <c r="C443" t="s">
        <v>60</v>
      </c>
      <c r="D443">
        <v>0.16</v>
      </c>
    </row>
    <row r="444" spans="1:4" x14ac:dyDescent="0.45">
      <c r="A444" t="s">
        <v>5</v>
      </c>
      <c r="B444">
        <v>2001</v>
      </c>
      <c r="C444" t="s">
        <v>60</v>
      </c>
      <c r="D444">
        <v>1.36</v>
      </c>
    </row>
    <row r="445" spans="1:4" x14ac:dyDescent="0.45">
      <c r="A445" t="s">
        <v>8</v>
      </c>
      <c r="B445">
        <v>2001</v>
      </c>
      <c r="C445" t="s">
        <v>60</v>
      </c>
      <c r="D445">
        <v>6.55</v>
      </c>
    </row>
    <row r="446" spans="1:4" x14ac:dyDescent="0.45">
      <c r="A446" t="s">
        <v>6</v>
      </c>
      <c r="B446">
        <v>2001</v>
      </c>
      <c r="C446" t="s">
        <v>60</v>
      </c>
      <c r="D446">
        <v>0.51</v>
      </c>
    </row>
    <row r="447" spans="1:4" x14ac:dyDescent="0.45">
      <c r="A447" t="s">
        <v>19</v>
      </c>
      <c r="B447">
        <v>2001</v>
      </c>
      <c r="C447" t="s">
        <v>60</v>
      </c>
      <c r="D447">
        <v>0</v>
      </c>
    </row>
    <row r="448" spans="1:4" x14ac:dyDescent="0.45">
      <c r="A448" t="s">
        <v>23</v>
      </c>
      <c r="B448">
        <v>2001</v>
      </c>
      <c r="C448" t="s">
        <v>60</v>
      </c>
      <c r="D448">
        <v>0.39</v>
      </c>
    </row>
    <row r="449" spans="1:4" x14ac:dyDescent="0.45">
      <c r="A449" t="s">
        <v>54</v>
      </c>
      <c r="B449">
        <v>2001</v>
      </c>
      <c r="C449" t="s">
        <v>60</v>
      </c>
      <c r="D449">
        <v>0.1</v>
      </c>
    </row>
    <row r="450" spans="1:4" x14ac:dyDescent="0.45">
      <c r="A450" t="s">
        <v>9</v>
      </c>
      <c r="B450">
        <v>2001</v>
      </c>
      <c r="C450" t="s">
        <v>60</v>
      </c>
      <c r="D450">
        <v>0</v>
      </c>
    </row>
    <row r="451" spans="1:4" x14ac:dyDescent="0.45">
      <c r="A451" t="s">
        <v>88</v>
      </c>
      <c r="B451">
        <v>2001</v>
      </c>
      <c r="C451" t="s">
        <v>60</v>
      </c>
      <c r="D451">
        <v>0</v>
      </c>
    </row>
    <row r="452" spans="1:4" x14ac:dyDescent="0.45">
      <c r="A452" t="s">
        <v>54</v>
      </c>
      <c r="B452">
        <v>2002</v>
      </c>
      <c r="C452" t="s">
        <v>60</v>
      </c>
      <c r="D452">
        <v>0.13</v>
      </c>
    </row>
    <row r="453" spans="1:4" x14ac:dyDescent="0.45">
      <c r="A453" t="s">
        <v>5</v>
      </c>
      <c r="B453">
        <v>2002</v>
      </c>
      <c r="C453" t="s">
        <v>60</v>
      </c>
      <c r="D453">
        <v>1.33</v>
      </c>
    </row>
    <row r="454" spans="1:4" x14ac:dyDescent="0.45">
      <c r="A454" t="s">
        <v>8</v>
      </c>
      <c r="B454">
        <v>2002</v>
      </c>
      <c r="C454" t="s">
        <v>60</v>
      </c>
      <c r="D454">
        <v>5.46</v>
      </c>
    </row>
    <row r="455" spans="1:4" x14ac:dyDescent="0.45">
      <c r="A455" t="s">
        <v>6</v>
      </c>
      <c r="B455">
        <v>2002</v>
      </c>
      <c r="C455" t="s">
        <v>60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60</v>
      </c>
      <c r="D456">
        <v>0</v>
      </c>
    </row>
    <row r="457" spans="1:4" x14ac:dyDescent="0.45">
      <c r="A457" t="s">
        <v>23</v>
      </c>
      <c r="B457">
        <v>2002</v>
      </c>
      <c r="C457" t="s">
        <v>60</v>
      </c>
      <c r="D457">
        <v>0.37</v>
      </c>
    </row>
    <row r="458" spans="1:4" x14ac:dyDescent="0.45">
      <c r="A458" t="s">
        <v>54</v>
      </c>
      <c r="B458">
        <v>2002</v>
      </c>
      <c r="C458" t="s">
        <v>60</v>
      </c>
      <c r="D458">
        <v>0.1</v>
      </c>
    </row>
    <row r="459" spans="1:4" x14ac:dyDescent="0.45">
      <c r="A459" t="s">
        <v>9</v>
      </c>
      <c r="B459">
        <v>2002</v>
      </c>
      <c r="C459" t="s">
        <v>60</v>
      </c>
      <c r="D459">
        <v>0</v>
      </c>
    </row>
    <row r="460" spans="1:4" x14ac:dyDescent="0.45">
      <c r="A460" t="s">
        <v>88</v>
      </c>
      <c r="B460">
        <v>2002</v>
      </c>
      <c r="C460" t="s">
        <v>60</v>
      </c>
      <c r="D460">
        <v>0</v>
      </c>
    </row>
    <row r="461" spans="1:4" x14ac:dyDescent="0.45">
      <c r="A461" t="s">
        <v>54</v>
      </c>
      <c r="B461">
        <v>2003</v>
      </c>
      <c r="C461" t="s">
        <v>60</v>
      </c>
      <c r="D461">
        <v>0.12</v>
      </c>
    </row>
    <row r="462" spans="1:4" x14ac:dyDescent="0.45">
      <c r="A462" t="s">
        <v>5</v>
      </c>
      <c r="B462">
        <v>2003</v>
      </c>
      <c r="C462" t="s">
        <v>60</v>
      </c>
      <c r="D462">
        <v>2.92</v>
      </c>
    </row>
    <row r="463" spans="1:4" x14ac:dyDescent="0.45">
      <c r="A463" t="s">
        <v>8</v>
      </c>
      <c r="B463">
        <v>2003</v>
      </c>
      <c r="C463" t="s">
        <v>60</v>
      </c>
      <c r="D463">
        <v>5.23</v>
      </c>
    </row>
    <row r="464" spans="1:4" x14ac:dyDescent="0.45">
      <c r="A464" t="s">
        <v>6</v>
      </c>
      <c r="B464">
        <v>2003</v>
      </c>
      <c r="C464" t="s">
        <v>60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60</v>
      </c>
      <c r="D465">
        <v>0</v>
      </c>
    </row>
    <row r="466" spans="1:4" x14ac:dyDescent="0.45">
      <c r="A466" t="s">
        <v>23</v>
      </c>
      <c r="B466">
        <v>2003</v>
      </c>
      <c r="C466" t="s">
        <v>60</v>
      </c>
      <c r="D466">
        <v>0.45</v>
      </c>
    </row>
    <row r="467" spans="1:4" x14ac:dyDescent="0.45">
      <c r="A467" t="s">
        <v>54</v>
      </c>
      <c r="B467">
        <v>2003</v>
      </c>
      <c r="C467" t="s">
        <v>60</v>
      </c>
      <c r="D467">
        <v>0.1</v>
      </c>
    </row>
    <row r="468" spans="1:4" x14ac:dyDescent="0.45">
      <c r="A468" t="s">
        <v>9</v>
      </c>
      <c r="B468">
        <v>2003</v>
      </c>
      <c r="C468" t="s">
        <v>60</v>
      </c>
      <c r="D468">
        <v>0</v>
      </c>
    </row>
    <row r="469" spans="1:4" x14ac:dyDescent="0.45">
      <c r="A469" t="s">
        <v>88</v>
      </c>
      <c r="B469">
        <v>2003</v>
      </c>
      <c r="C469" t="s">
        <v>60</v>
      </c>
      <c r="D469">
        <v>0</v>
      </c>
    </row>
    <row r="470" spans="1:4" x14ac:dyDescent="0.45">
      <c r="A470" t="s">
        <v>54</v>
      </c>
      <c r="B470">
        <v>2004</v>
      </c>
      <c r="C470" t="s">
        <v>60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60</v>
      </c>
      <c r="D471">
        <v>3.66</v>
      </c>
    </row>
    <row r="472" spans="1:4" x14ac:dyDescent="0.45">
      <c r="A472" t="s">
        <v>8</v>
      </c>
      <c r="B472">
        <v>2004</v>
      </c>
      <c r="C472" t="s">
        <v>60</v>
      </c>
      <c r="D472">
        <v>3.69</v>
      </c>
    </row>
    <row r="473" spans="1:4" x14ac:dyDescent="0.45">
      <c r="A473" t="s">
        <v>6</v>
      </c>
      <c r="B473">
        <v>2004</v>
      </c>
      <c r="C473" t="s">
        <v>60</v>
      </c>
      <c r="D473">
        <v>0.64</v>
      </c>
    </row>
    <row r="474" spans="1:4" x14ac:dyDescent="0.45">
      <c r="A474" t="s">
        <v>19</v>
      </c>
      <c r="B474">
        <v>2004</v>
      </c>
      <c r="C474" t="s">
        <v>60</v>
      </c>
      <c r="D474">
        <v>0</v>
      </c>
    </row>
    <row r="475" spans="1:4" x14ac:dyDescent="0.45">
      <c r="A475" t="s">
        <v>23</v>
      </c>
      <c r="B475">
        <v>2004</v>
      </c>
      <c r="C475" t="s">
        <v>60</v>
      </c>
      <c r="D475">
        <v>0.45</v>
      </c>
    </row>
    <row r="476" spans="1:4" x14ac:dyDescent="0.45">
      <c r="A476" t="s">
        <v>54</v>
      </c>
      <c r="B476">
        <v>2004</v>
      </c>
      <c r="C476" t="s">
        <v>60</v>
      </c>
      <c r="D476">
        <v>0.1</v>
      </c>
    </row>
    <row r="477" spans="1:4" x14ac:dyDescent="0.45">
      <c r="A477" t="s">
        <v>9</v>
      </c>
      <c r="B477">
        <v>2004</v>
      </c>
      <c r="C477" t="s">
        <v>60</v>
      </c>
      <c r="D477">
        <v>0</v>
      </c>
    </row>
    <row r="478" spans="1:4" x14ac:dyDescent="0.45">
      <c r="A478" t="s">
        <v>88</v>
      </c>
      <c r="B478">
        <v>2004</v>
      </c>
      <c r="C478" t="s">
        <v>60</v>
      </c>
      <c r="D478">
        <v>0</v>
      </c>
    </row>
    <row r="479" spans="1:4" x14ac:dyDescent="0.45">
      <c r="A479" t="s">
        <v>54</v>
      </c>
      <c r="B479">
        <v>2005</v>
      </c>
      <c r="C479" t="s">
        <v>60</v>
      </c>
      <c r="D479">
        <v>0.15</v>
      </c>
    </row>
    <row r="480" spans="1:4" x14ac:dyDescent="0.45">
      <c r="A480" t="s">
        <v>5</v>
      </c>
      <c r="B480">
        <v>2005</v>
      </c>
      <c r="C480" t="s">
        <v>60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60</v>
      </c>
      <c r="D481">
        <v>4.99</v>
      </c>
    </row>
    <row r="482" spans="1:4" x14ac:dyDescent="0.45">
      <c r="A482" t="s">
        <v>6</v>
      </c>
      <c r="B482">
        <v>2005</v>
      </c>
      <c r="C482" t="s">
        <v>60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60</v>
      </c>
      <c r="D483">
        <v>0</v>
      </c>
    </row>
    <row r="484" spans="1:4" x14ac:dyDescent="0.45">
      <c r="A484" t="s">
        <v>23</v>
      </c>
      <c r="B484">
        <v>2005</v>
      </c>
      <c r="C484" t="s">
        <v>60</v>
      </c>
      <c r="D484">
        <v>0.4</v>
      </c>
    </row>
    <row r="485" spans="1:4" x14ac:dyDescent="0.45">
      <c r="A485" t="s">
        <v>54</v>
      </c>
      <c r="B485">
        <v>2005</v>
      </c>
      <c r="C485" t="s">
        <v>60</v>
      </c>
      <c r="D485">
        <v>0.11</v>
      </c>
    </row>
    <row r="486" spans="1:4" x14ac:dyDescent="0.45">
      <c r="A486" t="s">
        <v>9</v>
      </c>
      <c r="B486">
        <v>2005</v>
      </c>
      <c r="C486" t="s">
        <v>60</v>
      </c>
      <c r="D486">
        <v>0</v>
      </c>
    </row>
    <row r="487" spans="1:4" x14ac:dyDescent="0.45">
      <c r="A487" t="s">
        <v>88</v>
      </c>
      <c r="B487">
        <v>2005</v>
      </c>
      <c r="C487" t="s">
        <v>60</v>
      </c>
      <c r="D487">
        <v>0.01</v>
      </c>
    </row>
    <row r="488" spans="1:4" x14ac:dyDescent="0.45">
      <c r="A488" t="s">
        <v>54</v>
      </c>
      <c r="B488">
        <v>2006</v>
      </c>
      <c r="C488" t="s">
        <v>60</v>
      </c>
      <c r="D488">
        <v>0.16</v>
      </c>
    </row>
    <row r="489" spans="1:4" x14ac:dyDescent="0.45">
      <c r="A489" t="s">
        <v>5</v>
      </c>
      <c r="B489">
        <v>2006</v>
      </c>
      <c r="C489" t="s">
        <v>60</v>
      </c>
      <c r="D489">
        <v>4.33</v>
      </c>
    </row>
    <row r="490" spans="1:4" x14ac:dyDescent="0.45">
      <c r="A490" t="s">
        <v>8</v>
      </c>
      <c r="B490">
        <v>2006</v>
      </c>
      <c r="C490" t="s">
        <v>60</v>
      </c>
      <c r="D490">
        <v>5.17</v>
      </c>
    </row>
    <row r="491" spans="1:4" x14ac:dyDescent="0.45">
      <c r="A491" t="s">
        <v>6</v>
      </c>
      <c r="B491">
        <v>2006</v>
      </c>
      <c r="C491" t="s">
        <v>60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60</v>
      </c>
      <c r="D492">
        <v>0</v>
      </c>
    </row>
    <row r="493" spans="1:4" x14ac:dyDescent="0.45">
      <c r="A493" t="s">
        <v>23</v>
      </c>
      <c r="B493">
        <v>2006</v>
      </c>
      <c r="C493" t="s">
        <v>60</v>
      </c>
      <c r="D493">
        <v>0.43</v>
      </c>
    </row>
    <row r="494" spans="1:4" x14ac:dyDescent="0.45">
      <c r="A494" t="s">
        <v>54</v>
      </c>
      <c r="B494">
        <v>2006</v>
      </c>
      <c r="C494" t="s">
        <v>60</v>
      </c>
      <c r="D494">
        <v>0.12</v>
      </c>
    </row>
    <row r="495" spans="1:4" x14ac:dyDescent="0.45">
      <c r="A495" t="s">
        <v>9</v>
      </c>
      <c r="B495">
        <v>2006</v>
      </c>
      <c r="C495" t="s">
        <v>60</v>
      </c>
      <c r="D495">
        <v>0</v>
      </c>
    </row>
    <row r="496" spans="1:4" x14ac:dyDescent="0.45">
      <c r="A496" t="s">
        <v>88</v>
      </c>
      <c r="B496">
        <v>2006</v>
      </c>
      <c r="C496" t="s">
        <v>60</v>
      </c>
      <c r="D496">
        <v>0.01</v>
      </c>
    </row>
    <row r="497" spans="1:4" x14ac:dyDescent="0.45">
      <c r="A497" t="s">
        <v>54</v>
      </c>
      <c r="B497">
        <v>2007</v>
      </c>
      <c r="C497" t="s">
        <v>60</v>
      </c>
      <c r="D497">
        <v>0.16</v>
      </c>
    </row>
    <row r="498" spans="1:4" x14ac:dyDescent="0.45">
      <c r="A498" t="s">
        <v>5</v>
      </c>
      <c r="B498">
        <v>2007</v>
      </c>
      <c r="C498" t="s">
        <v>60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60</v>
      </c>
      <c r="D499">
        <v>6.36</v>
      </c>
    </row>
    <row r="500" spans="1:4" x14ac:dyDescent="0.45">
      <c r="A500" t="s">
        <v>6</v>
      </c>
      <c r="B500">
        <v>2007</v>
      </c>
      <c r="C500" t="s">
        <v>60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60</v>
      </c>
      <c r="D501">
        <v>0</v>
      </c>
    </row>
    <row r="502" spans="1:4" x14ac:dyDescent="0.45">
      <c r="A502" t="s">
        <v>23</v>
      </c>
      <c r="B502">
        <v>2007</v>
      </c>
      <c r="C502" t="s">
        <v>60</v>
      </c>
      <c r="D502">
        <v>0.4</v>
      </c>
    </row>
    <row r="503" spans="1:4" x14ac:dyDescent="0.45">
      <c r="A503" t="s">
        <v>54</v>
      </c>
      <c r="B503">
        <v>2007</v>
      </c>
      <c r="C503" t="s">
        <v>60</v>
      </c>
      <c r="D503">
        <v>0.13</v>
      </c>
    </row>
    <row r="504" spans="1:4" x14ac:dyDescent="0.45">
      <c r="A504" t="s">
        <v>9</v>
      </c>
      <c r="B504">
        <v>2007</v>
      </c>
      <c r="C504" t="s">
        <v>60</v>
      </c>
      <c r="D504">
        <v>0</v>
      </c>
    </row>
    <row r="505" spans="1:4" x14ac:dyDescent="0.45">
      <c r="A505" t="s">
        <v>88</v>
      </c>
      <c r="B505">
        <v>2007</v>
      </c>
      <c r="C505" t="s">
        <v>60</v>
      </c>
      <c r="D505">
        <v>0.01</v>
      </c>
    </row>
    <row r="506" spans="1:4" x14ac:dyDescent="0.45">
      <c r="A506" t="s">
        <v>54</v>
      </c>
      <c r="B506">
        <v>2008</v>
      </c>
      <c r="C506" t="s">
        <v>60</v>
      </c>
      <c r="D506">
        <v>0.16</v>
      </c>
    </row>
    <row r="507" spans="1:4" x14ac:dyDescent="0.45">
      <c r="A507" t="s">
        <v>5</v>
      </c>
      <c r="B507">
        <v>2008</v>
      </c>
      <c r="C507" t="s">
        <v>60</v>
      </c>
      <c r="D507">
        <v>3.76</v>
      </c>
    </row>
    <row r="508" spans="1:4" x14ac:dyDescent="0.45">
      <c r="A508" t="s">
        <v>8</v>
      </c>
      <c r="B508">
        <v>2008</v>
      </c>
      <c r="C508" t="s">
        <v>60</v>
      </c>
      <c r="D508">
        <v>5.69</v>
      </c>
    </row>
    <row r="509" spans="1:4" x14ac:dyDescent="0.45">
      <c r="A509" t="s">
        <v>6</v>
      </c>
      <c r="B509">
        <v>2008</v>
      </c>
      <c r="C509" t="s">
        <v>60</v>
      </c>
      <c r="D509">
        <v>0.53</v>
      </c>
    </row>
    <row r="510" spans="1:4" x14ac:dyDescent="0.45">
      <c r="A510" t="s">
        <v>19</v>
      </c>
      <c r="B510">
        <v>2008</v>
      </c>
      <c r="C510" t="s">
        <v>60</v>
      </c>
      <c r="D510">
        <v>0</v>
      </c>
    </row>
    <row r="511" spans="1:4" x14ac:dyDescent="0.45">
      <c r="A511" t="s">
        <v>23</v>
      </c>
      <c r="B511">
        <v>2008</v>
      </c>
      <c r="C511" t="s">
        <v>60</v>
      </c>
      <c r="D511">
        <v>0.47</v>
      </c>
    </row>
    <row r="512" spans="1:4" x14ac:dyDescent="0.45">
      <c r="A512" t="s">
        <v>54</v>
      </c>
      <c r="B512">
        <v>2008</v>
      </c>
      <c r="C512" t="s">
        <v>60</v>
      </c>
      <c r="D512">
        <v>0.15</v>
      </c>
    </row>
    <row r="513" spans="1:4" x14ac:dyDescent="0.45">
      <c r="A513" t="s">
        <v>9</v>
      </c>
      <c r="B513">
        <v>2008</v>
      </c>
      <c r="C513" t="s">
        <v>60</v>
      </c>
      <c r="D513">
        <v>0</v>
      </c>
    </row>
    <row r="514" spans="1:4" x14ac:dyDescent="0.45">
      <c r="A514" t="s">
        <v>88</v>
      </c>
      <c r="B514">
        <v>2008</v>
      </c>
      <c r="C514" t="s">
        <v>60</v>
      </c>
      <c r="D514">
        <v>0.01</v>
      </c>
    </row>
    <row r="515" spans="1:4" x14ac:dyDescent="0.45">
      <c r="A515" t="s">
        <v>54</v>
      </c>
      <c r="B515">
        <v>2009</v>
      </c>
      <c r="C515" t="s">
        <v>60</v>
      </c>
      <c r="D515">
        <v>0.16</v>
      </c>
    </row>
    <row r="516" spans="1:4" x14ac:dyDescent="0.45">
      <c r="A516" t="s">
        <v>5</v>
      </c>
      <c r="B516">
        <v>2009</v>
      </c>
      <c r="C516" t="s">
        <v>60</v>
      </c>
      <c r="D516">
        <v>2.42</v>
      </c>
    </row>
    <row r="517" spans="1:4" x14ac:dyDescent="0.45">
      <c r="A517" t="s">
        <v>8</v>
      </c>
      <c r="B517">
        <v>2009</v>
      </c>
      <c r="C517" t="s">
        <v>60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60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60</v>
      </c>
      <c r="D519">
        <v>0</v>
      </c>
    </row>
    <row r="520" spans="1:4" x14ac:dyDescent="0.45">
      <c r="A520" t="s">
        <v>23</v>
      </c>
      <c r="B520">
        <v>2009</v>
      </c>
      <c r="C520" t="s">
        <v>60</v>
      </c>
      <c r="D520">
        <v>0.38</v>
      </c>
    </row>
    <row r="521" spans="1:4" x14ac:dyDescent="0.45">
      <c r="A521" t="s">
        <v>54</v>
      </c>
      <c r="B521">
        <v>2009</v>
      </c>
      <c r="C521" t="s">
        <v>60</v>
      </c>
      <c r="D521">
        <v>0.17</v>
      </c>
    </row>
    <row r="522" spans="1:4" x14ac:dyDescent="0.45">
      <c r="A522" t="s">
        <v>9</v>
      </c>
      <c r="B522">
        <v>2009</v>
      </c>
      <c r="C522" t="s">
        <v>60</v>
      </c>
      <c r="D522">
        <v>0</v>
      </c>
    </row>
    <row r="523" spans="1:4" x14ac:dyDescent="0.45">
      <c r="A523" t="s">
        <v>88</v>
      </c>
      <c r="B523">
        <v>2009</v>
      </c>
      <c r="C523" t="s">
        <v>60</v>
      </c>
      <c r="D523">
        <v>0.01</v>
      </c>
    </row>
    <row r="524" spans="1:4" x14ac:dyDescent="0.45">
      <c r="A524" t="s">
        <v>54</v>
      </c>
      <c r="B524">
        <v>2010</v>
      </c>
      <c r="C524" t="s">
        <v>60</v>
      </c>
      <c r="D524">
        <v>0.17</v>
      </c>
    </row>
    <row r="525" spans="1:4" x14ac:dyDescent="0.45">
      <c r="A525" t="s">
        <v>5</v>
      </c>
      <c r="B525">
        <v>2010</v>
      </c>
      <c r="C525" t="s">
        <v>60</v>
      </c>
      <c r="D525">
        <v>1.26</v>
      </c>
    </row>
    <row r="526" spans="1:4" x14ac:dyDescent="0.45">
      <c r="A526" t="s">
        <v>8</v>
      </c>
      <c r="B526">
        <v>2010</v>
      </c>
      <c r="C526" t="s">
        <v>60</v>
      </c>
      <c r="D526">
        <v>5.3</v>
      </c>
    </row>
    <row r="527" spans="1:4" x14ac:dyDescent="0.45">
      <c r="A527" t="s">
        <v>6</v>
      </c>
      <c r="B527">
        <v>2010</v>
      </c>
      <c r="C527" t="s">
        <v>60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60</v>
      </c>
      <c r="D528">
        <v>0</v>
      </c>
    </row>
    <row r="529" spans="1:4" x14ac:dyDescent="0.45">
      <c r="A529" t="s">
        <v>23</v>
      </c>
      <c r="B529">
        <v>2010</v>
      </c>
      <c r="C529" t="s">
        <v>60</v>
      </c>
      <c r="D529">
        <v>0.43</v>
      </c>
    </row>
    <row r="530" spans="1:4" x14ac:dyDescent="0.45">
      <c r="A530" t="s">
        <v>54</v>
      </c>
      <c r="B530">
        <v>2010</v>
      </c>
      <c r="C530" t="s">
        <v>60</v>
      </c>
      <c r="D530">
        <v>0.21</v>
      </c>
    </row>
    <row r="531" spans="1:4" x14ac:dyDescent="0.45">
      <c r="A531" t="s">
        <v>9</v>
      </c>
      <c r="B531">
        <v>2010</v>
      </c>
      <c r="C531" t="s">
        <v>60</v>
      </c>
      <c r="D531">
        <v>0</v>
      </c>
    </row>
    <row r="532" spans="1:4" x14ac:dyDescent="0.45">
      <c r="A532" t="s">
        <v>88</v>
      </c>
      <c r="B532">
        <v>2010</v>
      </c>
      <c r="C532" t="s">
        <v>60</v>
      </c>
      <c r="D532">
        <v>0.02</v>
      </c>
    </row>
    <row r="533" spans="1:4" x14ac:dyDescent="0.45">
      <c r="A533" t="s">
        <v>54</v>
      </c>
      <c r="B533">
        <v>2011</v>
      </c>
      <c r="C533" t="s">
        <v>60</v>
      </c>
      <c r="D533">
        <v>0.16</v>
      </c>
    </row>
    <row r="534" spans="1:4" x14ac:dyDescent="0.45">
      <c r="A534" t="s">
        <v>5</v>
      </c>
      <c r="B534">
        <v>2011</v>
      </c>
      <c r="C534" t="s">
        <v>60</v>
      </c>
      <c r="D534">
        <v>1.43</v>
      </c>
    </row>
    <row r="535" spans="1:4" x14ac:dyDescent="0.45">
      <c r="A535" t="s">
        <v>8</v>
      </c>
      <c r="B535">
        <v>2011</v>
      </c>
      <c r="C535" t="s">
        <v>60</v>
      </c>
      <c r="D535">
        <v>4.5</v>
      </c>
    </row>
    <row r="536" spans="1:4" x14ac:dyDescent="0.45">
      <c r="A536" t="s">
        <v>6</v>
      </c>
      <c r="B536">
        <v>2011</v>
      </c>
      <c r="C536" t="s">
        <v>60</v>
      </c>
      <c r="D536">
        <v>0.59</v>
      </c>
    </row>
    <row r="537" spans="1:4" x14ac:dyDescent="0.45">
      <c r="A537" t="s">
        <v>19</v>
      </c>
      <c r="B537">
        <v>2011</v>
      </c>
      <c r="C537" t="s">
        <v>60</v>
      </c>
      <c r="D537">
        <v>0</v>
      </c>
    </row>
    <row r="538" spans="1:4" x14ac:dyDescent="0.45">
      <c r="A538" t="s">
        <v>23</v>
      </c>
      <c r="B538">
        <v>2011</v>
      </c>
      <c r="C538" t="s">
        <v>60</v>
      </c>
      <c r="D538">
        <v>0.38</v>
      </c>
    </row>
    <row r="539" spans="1:4" x14ac:dyDescent="0.45">
      <c r="A539" t="s">
        <v>54</v>
      </c>
      <c r="B539">
        <v>2011</v>
      </c>
      <c r="C539" t="s">
        <v>60</v>
      </c>
      <c r="D539">
        <v>0.22</v>
      </c>
    </row>
    <row r="540" spans="1:4" x14ac:dyDescent="0.45">
      <c r="A540" t="s">
        <v>9</v>
      </c>
      <c r="B540">
        <v>2011</v>
      </c>
      <c r="C540" t="s">
        <v>60</v>
      </c>
      <c r="D540">
        <v>0</v>
      </c>
    </row>
    <row r="541" spans="1:4" x14ac:dyDescent="0.45">
      <c r="A541" t="s">
        <v>88</v>
      </c>
      <c r="B541">
        <v>2011</v>
      </c>
      <c r="C541" t="s">
        <v>60</v>
      </c>
      <c r="D541">
        <v>0.02</v>
      </c>
    </row>
    <row r="542" spans="1:4" x14ac:dyDescent="0.45">
      <c r="A542" t="s">
        <v>54</v>
      </c>
      <c r="B542">
        <v>2012</v>
      </c>
      <c r="C542" t="s">
        <v>60</v>
      </c>
      <c r="D542">
        <v>0.17</v>
      </c>
    </row>
    <row r="543" spans="1:4" x14ac:dyDescent="0.45">
      <c r="A543" t="s">
        <v>5</v>
      </c>
      <c r="B543">
        <v>2012</v>
      </c>
      <c r="C543" t="s">
        <v>60</v>
      </c>
      <c r="D543">
        <v>2.61</v>
      </c>
    </row>
    <row r="544" spans="1:4" x14ac:dyDescent="0.45">
      <c r="A544" t="s">
        <v>8</v>
      </c>
      <c r="B544">
        <v>2012</v>
      </c>
      <c r="C544" t="s">
        <v>60</v>
      </c>
      <c r="D544">
        <v>4.74</v>
      </c>
    </row>
    <row r="545" spans="1:4" x14ac:dyDescent="0.45">
      <c r="A545" t="s">
        <v>6</v>
      </c>
      <c r="B545">
        <v>2012</v>
      </c>
      <c r="C545" t="s">
        <v>60</v>
      </c>
      <c r="D545">
        <v>0.54</v>
      </c>
    </row>
    <row r="546" spans="1:4" x14ac:dyDescent="0.45">
      <c r="A546" t="s">
        <v>19</v>
      </c>
      <c r="B546">
        <v>2012</v>
      </c>
      <c r="C546" t="s">
        <v>60</v>
      </c>
      <c r="D546">
        <v>0</v>
      </c>
    </row>
    <row r="547" spans="1:4" x14ac:dyDescent="0.45">
      <c r="A547" t="s">
        <v>23</v>
      </c>
      <c r="B547">
        <v>2012</v>
      </c>
      <c r="C547" t="s">
        <v>60</v>
      </c>
      <c r="D547">
        <v>0.41</v>
      </c>
    </row>
    <row r="548" spans="1:4" x14ac:dyDescent="0.45">
      <c r="A548" t="s">
        <v>54</v>
      </c>
      <c r="B548">
        <v>2012</v>
      </c>
      <c r="C548" t="s">
        <v>60</v>
      </c>
      <c r="D548">
        <v>0.22</v>
      </c>
    </row>
    <row r="549" spans="1:4" x14ac:dyDescent="0.45">
      <c r="A549" t="s">
        <v>9</v>
      </c>
      <c r="B549">
        <v>2012</v>
      </c>
      <c r="C549" t="s">
        <v>60</v>
      </c>
      <c r="D549">
        <v>0</v>
      </c>
    </row>
    <row r="550" spans="1:4" x14ac:dyDescent="0.45">
      <c r="A550" t="s">
        <v>88</v>
      </c>
      <c r="B550">
        <v>2012</v>
      </c>
      <c r="C550" t="s">
        <v>60</v>
      </c>
      <c r="D550">
        <v>0.02</v>
      </c>
    </row>
    <row r="551" spans="1:4" x14ac:dyDescent="0.45">
      <c r="A551" t="s">
        <v>54</v>
      </c>
      <c r="B551">
        <v>2013</v>
      </c>
      <c r="C551" t="s">
        <v>60</v>
      </c>
      <c r="D551">
        <v>0.17</v>
      </c>
    </row>
    <row r="552" spans="1:4" x14ac:dyDescent="0.45">
      <c r="A552" t="s">
        <v>5</v>
      </c>
      <c r="B552">
        <v>2013</v>
      </c>
      <c r="C552" t="s">
        <v>60</v>
      </c>
      <c r="D552">
        <v>1.55</v>
      </c>
    </row>
    <row r="553" spans="1:4" x14ac:dyDescent="0.45">
      <c r="A553" t="s">
        <v>8</v>
      </c>
      <c r="B553">
        <v>2013</v>
      </c>
      <c r="C553" t="s">
        <v>60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60</v>
      </c>
      <c r="D554">
        <v>0.54</v>
      </c>
    </row>
    <row r="555" spans="1:4" x14ac:dyDescent="0.45">
      <c r="A555" t="s">
        <v>19</v>
      </c>
      <c r="B555">
        <v>2013</v>
      </c>
      <c r="C555" t="s">
        <v>60</v>
      </c>
      <c r="D555">
        <v>0</v>
      </c>
    </row>
    <row r="556" spans="1:4" x14ac:dyDescent="0.45">
      <c r="A556" t="s">
        <v>23</v>
      </c>
      <c r="B556">
        <v>2013</v>
      </c>
      <c r="C556" t="s">
        <v>60</v>
      </c>
      <c r="D556">
        <v>0.42</v>
      </c>
    </row>
    <row r="557" spans="1:4" x14ac:dyDescent="0.45">
      <c r="A557" t="s">
        <v>54</v>
      </c>
      <c r="B557">
        <v>2013</v>
      </c>
      <c r="C557" t="s">
        <v>60</v>
      </c>
      <c r="D557">
        <v>0.23</v>
      </c>
    </row>
    <row r="558" spans="1:4" x14ac:dyDescent="0.45">
      <c r="A558" t="s">
        <v>9</v>
      </c>
      <c r="B558">
        <v>2013</v>
      </c>
      <c r="C558" t="s">
        <v>60</v>
      </c>
      <c r="D558">
        <v>0</v>
      </c>
    </row>
    <row r="559" spans="1:4" x14ac:dyDescent="0.45">
      <c r="A559" t="s">
        <v>88</v>
      </c>
      <c r="B559">
        <v>2013</v>
      </c>
      <c r="C559" t="s">
        <v>60</v>
      </c>
      <c r="D559">
        <v>0.02</v>
      </c>
    </row>
    <row r="560" spans="1:4" x14ac:dyDescent="0.45">
      <c r="A560" t="s">
        <v>54</v>
      </c>
      <c r="B560">
        <v>2014</v>
      </c>
      <c r="C560" t="s">
        <v>60</v>
      </c>
      <c r="D560">
        <v>0.17</v>
      </c>
    </row>
    <row r="561" spans="1:4" x14ac:dyDescent="0.45">
      <c r="A561" t="s">
        <v>5</v>
      </c>
      <c r="B561">
        <v>2014</v>
      </c>
      <c r="C561" t="s">
        <v>60</v>
      </c>
      <c r="D561">
        <v>1.19</v>
      </c>
    </row>
    <row r="562" spans="1:4" x14ac:dyDescent="0.45">
      <c r="A562" t="s">
        <v>8</v>
      </c>
      <c r="B562">
        <v>2014</v>
      </c>
      <c r="C562" t="s">
        <v>60</v>
      </c>
      <c r="D562">
        <v>3.77</v>
      </c>
    </row>
    <row r="563" spans="1:4" x14ac:dyDescent="0.45">
      <c r="A563" t="s">
        <v>6</v>
      </c>
      <c r="B563">
        <v>2014</v>
      </c>
      <c r="C563" t="s">
        <v>60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60</v>
      </c>
      <c r="D564">
        <v>0</v>
      </c>
    </row>
    <row r="565" spans="1:4" x14ac:dyDescent="0.45">
      <c r="A565" t="s">
        <v>23</v>
      </c>
      <c r="B565">
        <v>2014</v>
      </c>
      <c r="C565" t="s">
        <v>60</v>
      </c>
      <c r="D565">
        <v>0.41</v>
      </c>
    </row>
    <row r="566" spans="1:4" x14ac:dyDescent="0.45">
      <c r="A566" t="s">
        <v>54</v>
      </c>
      <c r="B566">
        <v>2014</v>
      </c>
      <c r="C566" t="s">
        <v>60</v>
      </c>
      <c r="D566">
        <v>0.26</v>
      </c>
    </row>
    <row r="567" spans="1:4" x14ac:dyDescent="0.45">
      <c r="A567" t="s">
        <v>9</v>
      </c>
      <c r="B567">
        <v>2014</v>
      </c>
      <c r="C567" t="s">
        <v>60</v>
      </c>
      <c r="D567">
        <v>0</v>
      </c>
    </row>
    <row r="568" spans="1:4" x14ac:dyDescent="0.45">
      <c r="A568" t="s">
        <v>88</v>
      </c>
      <c r="B568">
        <v>2014</v>
      </c>
      <c r="C568" t="s">
        <v>60</v>
      </c>
      <c r="D568">
        <v>0.02</v>
      </c>
    </row>
    <row r="569" spans="1:4" x14ac:dyDescent="0.45">
      <c r="A569" t="s">
        <v>54</v>
      </c>
      <c r="B569">
        <v>2015</v>
      </c>
      <c r="C569" t="s">
        <v>60</v>
      </c>
      <c r="D569">
        <v>0.18</v>
      </c>
    </row>
    <row r="570" spans="1:4" x14ac:dyDescent="0.45">
      <c r="A570" t="s">
        <v>5</v>
      </c>
      <c r="B570">
        <v>2015</v>
      </c>
      <c r="C570" t="s">
        <v>60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60</v>
      </c>
      <c r="D571">
        <v>3.66</v>
      </c>
    </row>
    <row r="572" spans="1:4" x14ac:dyDescent="0.45">
      <c r="A572" t="s">
        <v>6</v>
      </c>
      <c r="B572">
        <v>2015</v>
      </c>
      <c r="C572" t="s">
        <v>60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60</v>
      </c>
      <c r="D573">
        <v>0</v>
      </c>
    </row>
    <row r="574" spans="1:4" x14ac:dyDescent="0.45">
      <c r="A574" t="s">
        <v>23</v>
      </c>
      <c r="B574">
        <v>2015</v>
      </c>
      <c r="C574" t="s">
        <v>60</v>
      </c>
      <c r="D574">
        <v>0.43</v>
      </c>
    </row>
    <row r="575" spans="1:4" x14ac:dyDescent="0.45">
      <c r="A575" t="s">
        <v>54</v>
      </c>
      <c r="B575">
        <v>2015</v>
      </c>
      <c r="C575" t="s">
        <v>60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60</v>
      </c>
      <c r="D576">
        <v>0</v>
      </c>
    </row>
    <row r="577" spans="1:4" x14ac:dyDescent="0.45">
      <c r="A577" t="s">
        <v>88</v>
      </c>
      <c r="B577">
        <v>2015</v>
      </c>
      <c r="C577" t="s">
        <v>60</v>
      </c>
      <c r="D577">
        <v>0.02</v>
      </c>
    </row>
    <row r="578" spans="1:4" x14ac:dyDescent="0.45">
      <c r="A578" t="s">
        <v>54</v>
      </c>
      <c r="B578">
        <v>2016</v>
      </c>
      <c r="C578" t="s">
        <v>60</v>
      </c>
      <c r="D578">
        <v>0.18</v>
      </c>
    </row>
    <row r="579" spans="1:4" x14ac:dyDescent="0.45">
      <c r="A579" t="s">
        <v>5</v>
      </c>
      <c r="B579">
        <v>2016</v>
      </c>
      <c r="C579" t="s">
        <v>60</v>
      </c>
      <c r="D579">
        <v>0.39</v>
      </c>
    </row>
    <row r="580" spans="1:4" x14ac:dyDescent="0.45">
      <c r="A580" t="s">
        <v>8</v>
      </c>
      <c r="B580">
        <v>2016</v>
      </c>
      <c r="C580" t="s">
        <v>60</v>
      </c>
      <c r="D580">
        <v>3.07</v>
      </c>
    </row>
    <row r="581" spans="1:4" x14ac:dyDescent="0.45">
      <c r="A581" t="s">
        <v>6</v>
      </c>
      <c r="B581">
        <v>2016</v>
      </c>
      <c r="C581" t="s">
        <v>60</v>
      </c>
      <c r="D581">
        <v>0.61</v>
      </c>
    </row>
    <row r="582" spans="1:4" x14ac:dyDescent="0.45">
      <c r="A582" t="s">
        <v>19</v>
      </c>
      <c r="B582">
        <v>2016</v>
      </c>
      <c r="C582" t="s">
        <v>60</v>
      </c>
      <c r="D582">
        <v>0</v>
      </c>
    </row>
    <row r="583" spans="1:4" x14ac:dyDescent="0.45">
      <c r="A583" t="s">
        <v>23</v>
      </c>
      <c r="B583">
        <v>2016</v>
      </c>
      <c r="C583" t="s">
        <v>60</v>
      </c>
      <c r="D583">
        <v>0.4</v>
      </c>
    </row>
    <row r="584" spans="1:4" x14ac:dyDescent="0.45">
      <c r="A584" t="s">
        <v>54</v>
      </c>
      <c r="B584">
        <v>2016</v>
      </c>
      <c r="C584" t="s">
        <v>60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60</v>
      </c>
      <c r="D585">
        <v>0</v>
      </c>
    </row>
    <row r="586" spans="1:4" x14ac:dyDescent="0.45">
      <c r="A586" t="s">
        <v>88</v>
      </c>
      <c r="B586">
        <v>2016</v>
      </c>
      <c r="C586" t="s">
        <v>60</v>
      </c>
      <c r="D586">
        <v>0.02</v>
      </c>
    </row>
    <row r="587" spans="1:4" x14ac:dyDescent="0.45">
      <c r="A587" t="s">
        <v>54</v>
      </c>
      <c r="B587">
        <v>2017</v>
      </c>
      <c r="C587" t="s">
        <v>60</v>
      </c>
      <c r="D587">
        <v>0.17</v>
      </c>
    </row>
    <row r="588" spans="1:4" x14ac:dyDescent="0.45">
      <c r="A588" t="s">
        <v>5</v>
      </c>
      <c r="B588">
        <v>2017</v>
      </c>
      <c r="C588" t="s">
        <v>60</v>
      </c>
      <c r="D588">
        <v>0.51</v>
      </c>
    </row>
    <row r="589" spans="1:4" x14ac:dyDescent="0.45">
      <c r="A589" t="s">
        <v>8</v>
      </c>
      <c r="B589">
        <v>2017</v>
      </c>
      <c r="C589" t="s">
        <v>60</v>
      </c>
      <c r="D589">
        <v>3.76</v>
      </c>
    </row>
    <row r="590" spans="1:4" x14ac:dyDescent="0.45">
      <c r="A590" t="s">
        <v>6</v>
      </c>
      <c r="B590">
        <v>2017</v>
      </c>
      <c r="C590" t="s">
        <v>60</v>
      </c>
      <c r="D590">
        <v>0.59</v>
      </c>
    </row>
    <row r="591" spans="1:4" x14ac:dyDescent="0.45">
      <c r="A591" t="s">
        <v>19</v>
      </c>
      <c r="B591">
        <v>2017</v>
      </c>
      <c r="C591" t="s">
        <v>60</v>
      </c>
      <c r="D591">
        <v>0</v>
      </c>
    </row>
    <row r="592" spans="1:4" x14ac:dyDescent="0.45">
      <c r="A592" t="s">
        <v>23</v>
      </c>
      <c r="B592">
        <v>2017</v>
      </c>
      <c r="C592" t="s">
        <v>60</v>
      </c>
      <c r="D592">
        <v>0.42</v>
      </c>
    </row>
    <row r="593" spans="1:4" x14ac:dyDescent="0.45">
      <c r="A593" t="s">
        <v>54</v>
      </c>
      <c r="B593">
        <v>2017</v>
      </c>
      <c r="C593" t="s">
        <v>60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60</v>
      </c>
      <c r="D594">
        <v>0</v>
      </c>
    </row>
    <row r="595" spans="1:4" x14ac:dyDescent="0.45">
      <c r="A595" t="s">
        <v>88</v>
      </c>
      <c r="B595">
        <v>2017</v>
      </c>
      <c r="C595" t="s">
        <v>60</v>
      </c>
      <c r="D595">
        <v>0.02</v>
      </c>
    </row>
    <row r="596" spans="1:4" x14ac:dyDescent="0.45">
      <c r="A596" t="s">
        <v>54</v>
      </c>
      <c r="B596">
        <v>2018</v>
      </c>
      <c r="C596" t="s">
        <v>60</v>
      </c>
      <c r="D596">
        <v>0.17</v>
      </c>
    </row>
    <row r="597" spans="1:4" x14ac:dyDescent="0.45">
      <c r="A597" t="s">
        <v>5</v>
      </c>
      <c r="B597">
        <v>2018</v>
      </c>
      <c r="C597" t="s">
        <v>60</v>
      </c>
      <c r="D597">
        <v>0.87</v>
      </c>
    </row>
    <row r="598" spans="1:4" x14ac:dyDescent="0.45">
      <c r="A598" t="s">
        <v>8</v>
      </c>
      <c r="B598">
        <v>2018</v>
      </c>
      <c r="C598" t="s">
        <v>60</v>
      </c>
      <c r="D598">
        <v>3.05</v>
      </c>
    </row>
    <row r="599" spans="1:4" x14ac:dyDescent="0.45">
      <c r="A599" t="s">
        <v>6</v>
      </c>
      <c r="B599">
        <v>2018</v>
      </c>
      <c r="C599" t="s">
        <v>60</v>
      </c>
      <c r="D599">
        <v>0.62</v>
      </c>
    </row>
    <row r="600" spans="1:4" x14ac:dyDescent="0.45">
      <c r="A600" t="s">
        <v>19</v>
      </c>
      <c r="B600">
        <v>2018</v>
      </c>
      <c r="C600" t="s">
        <v>60</v>
      </c>
      <c r="D600">
        <v>0</v>
      </c>
    </row>
    <row r="601" spans="1:4" x14ac:dyDescent="0.45">
      <c r="A601" t="s">
        <v>23</v>
      </c>
      <c r="B601">
        <v>2018</v>
      </c>
      <c r="C601" t="s">
        <v>60</v>
      </c>
      <c r="D601">
        <v>0.41</v>
      </c>
    </row>
    <row r="602" spans="1:4" x14ac:dyDescent="0.45">
      <c r="A602" t="s">
        <v>54</v>
      </c>
      <c r="B602">
        <v>2018</v>
      </c>
      <c r="C602" t="s">
        <v>60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60</v>
      </c>
      <c r="D603">
        <v>0</v>
      </c>
    </row>
    <row r="604" spans="1:4" x14ac:dyDescent="0.45">
      <c r="A604" t="s">
        <v>88</v>
      </c>
      <c r="B604">
        <v>2018</v>
      </c>
      <c r="C604" t="s">
        <v>60</v>
      </c>
      <c r="D604">
        <v>0.02</v>
      </c>
    </row>
    <row r="605" spans="1:4" x14ac:dyDescent="0.45">
      <c r="A605" t="s">
        <v>54</v>
      </c>
      <c r="B605">
        <v>2019</v>
      </c>
      <c r="C605" t="s">
        <v>60</v>
      </c>
      <c r="D605">
        <v>0.17</v>
      </c>
    </row>
    <row r="606" spans="1:4" x14ac:dyDescent="0.45">
      <c r="A606" t="s">
        <v>5</v>
      </c>
      <c r="B606">
        <v>2019</v>
      </c>
      <c r="C606" t="s">
        <v>60</v>
      </c>
      <c r="D606">
        <v>1.41</v>
      </c>
    </row>
    <row r="607" spans="1:4" x14ac:dyDescent="0.45">
      <c r="A607" t="s">
        <v>8</v>
      </c>
      <c r="B607">
        <v>2019</v>
      </c>
      <c r="C607" t="s">
        <v>60</v>
      </c>
      <c r="D607">
        <v>2.92</v>
      </c>
    </row>
    <row r="608" spans="1:4" x14ac:dyDescent="0.45">
      <c r="A608" t="s">
        <v>6</v>
      </c>
      <c r="B608">
        <v>2019</v>
      </c>
      <c r="C608" t="s">
        <v>60</v>
      </c>
      <c r="D608">
        <v>0.6</v>
      </c>
    </row>
    <row r="609" spans="1:4" x14ac:dyDescent="0.45">
      <c r="A609" t="s">
        <v>19</v>
      </c>
      <c r="B609">
        <v>2019</v>
      </c>
      <c r="C609" t="s">
        <v>60</v>
      </c>
      <c r="D609">
        <v>0</v>
      </c>
    </row>
    <row r="610" spans="1:4" x14ac:dyDescent="0.45">
      <c r="A610" t="s">
        <v>23</v>
      </c>
      <c r="B610">
        <v>2019</v>
      </c>
      <c r="C610" t="s">
        <v>60</v>
      </c>
      <c r="D610">
        <v>0.45</v>
      </c>
    </row>
    <row r="611" spans="1:4" x14ac:dyDescent="0.45">
      <c r="A611" t="s">
        <v>54</v>
      </c>
      <c r="B611">
        <v>2019</v>
      </c>
      <c r="C611" t="s">
        <v>60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60</v>
      </c>
      <c r="D612">
        <v>0.01</v>
      </c>
    </row>
    <row r="613" spans="1:4" x14ac:dyDescent="0.45">
      <c r="A613" t="s">
        <v>88</v>
      </c>
      <c r="B613">
        <v>2019</v>
      </c>
      <c r="C613" t="s">
        <v>60</v>
      </c>
      <c r="D613">
        <v>0.02</v>
      </c>
    </row>
    <row r="614" spans="1:4" x14ac:dyDescent="0.45">
      <c r="A614" t="s">
        <v>54</v>
      </c>
      <c r="B614">
        <v>2020</v>
      </c>
      <c r="C614" t="s">
        <v>60</v>
      </c>
      <c r="D614">
        <v>0.17</v>
      </c>
    </row>
    <row r="615" spans="1:4" x14ac:dyDescent="0.45">
      <c r="A615" t="s">
        <v>5</v>
      </c>
      <c r="B615">
        <v>2020</v>
      </c>
      <c r="C615" t="s">
        <v>60</v>
      </c>
      <c r="D615">
        <v>1.51</v>
      </c>
    </row>
    <row r="616" spans="1:4" x14ac:dyDescent="0.45">
      <c r="A616" t="s">
        <v>8</v>
      </c>
      <c r="B616">
        <v>2020</v>
      </c>
      <c r="C616" t="s">
        <v>60</v>
      </c>
      <c r="D616">
        <v>3.2</v>
      </c>
    </row>
    <row r="617" spans="1:4" x14ac:dyDescent="0.45">
      <c r="A617" t="s">
        <v>6</v>
      </c>
      <c r="B617">
        <v>2020</v>
      </c>
      <c r="C617" t="s">
        <v>60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60</v>
      </c>
      <c r="D618">
        <v>0</v>
      </c>
    </row>
    <row r="619" spans="1:4" x14ac:dyDescent="0.45">
      <c r="A619" t="s">
        <v>23</v>
      </c>
      <c r="B619">
        <v>2020</v>
      </c>
      <c r="C619" t="s">
        <v>60</v>
      </c>
      <c r="D619">
        <v>0.41</v>
      </c>
    </row>
    <row r="620" spans="1:4" x14ac:dyDescent="0.45">
      <c r="A620" t="s">
        <v>54</v>
      </c>
      <c r="B620">
        <v>2020</v>
      </c>
      <c r="C620" t="s">
        <v>60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60</v>
      </c>
      <c r="D621">
        <v>0.01</v>
      </c>
    </row>
    <row r="622" spans="1:4" x14ac:dyDescent="0.45">
      <c r="A622" t="s">
        <v>88</v>
      </c>
      <c r="B622">
        <v>2020</v>
      </c>
      <c r="C622" t="s">
        <v>60</v>
      </c>
      <c r="D622">
        <v>0.02</v>
      </c>
    </row>
    <row r="623" spans="1:4" x14ac:dyDescent="0.45">
      <c r="A623" t="s">
        <v>54</v>
      </c>
      <c r="B623">
        <v>2021</v>
      </c>
      <c r="C623" t="s">
        <v>60</v>
      </c>
      <c r="D623">
        <v>0.37</v>
      </c>
    </row>
    <row r="624" spans="1:4" x14ac:dyDescent="0.45">
      <c r="A624" t="s">
        <v>5</v>
      </c>
      <c r="B624">
        <v>2021</v>
      </c>
      <c r="C624" t="s">
        <v>60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60</v>
      </c>
      <c r="D625">
        <v>2.5</v>
      </c>
    </row>
    <row r="626" spans="1:4" x14ac:dyDescent="0.45">
      <c r="A626" t="s">
        <v>6</v>
      </c>
      <c r="B626">
        <v>2021</v>
      </c>
      <c r="C626" t="s">
        <v>60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60</v>
      </c>
      <c r="D627">
        <v>0</v>
      </c>
    </row>
    <row r="628" spans="1:4" x14ac:dyDescent="0.45">
      <c r="A628" t="s">
        <v>23</v>
      </c>
      <c r="B628">
        <v>2021</v>
      </c>
      <c r="C628" t="s">
        <v>60</v>
      </c>
      <c r="D628">
        <v>0.47</v>
      </c>
    </row>
    <row r="629" spans="1:4" x14ac:dyDescent="0.45">
      <c r="A629" t="s">
        <v>54</v>
      </c>
      <c r="B629">
        <v>2021</v>
      </c>
      <c r="C629" t="s">
        <v>60</v>
      </c>
      <c r="D629">
        <v>0.3</v>
      </c>
    </row>
    <row r="630" spans="1:4" x14ac:dyDescent="0.45">
      <c r="A630" t="s">
        <v>9</v>
      </c>
      <c r="B630">
        <v>2021</v>
      </c>
      <c r="C630" t="s">
        <v>60</v>
      </c>
      <c r="D630">
        <v>0.01</v>
      </c>
    </row>
    <row r="631" spans="1:4" x14ac:dyDescent="0.45">
      <c r="A631" t="s">
        <v>88</v>
      </c>
      <c r="B631">
        <v>2021</v>
      </c>
      <c r="C631" t="s">
        <v>60</v>
      </c>
      <c r="D631">
        <v>0.02</v>
      </c>
    </row>
    <row r="632" spans="1:4" x14ac:dyDescent="0.45">
      <c r="A632" t="s">
        <v>54</v>
      </c>
      <c r="B632">
        <v>2022</v>
      </c>
      <c r="C632" t="s">
        <v>60</v>
      </c>
      <c r="D632">
        <v>0.34</v>
      </c>
    </row>
    <row r="633" spans="1:4" x14ac:dyDescent="0.45">
      <c r="A633" t="s">
        <v>5</v>
      </c>
      <c r="B633">
        <v>2022</v>
      </c>
      <c r="C633" t="s">
        <v>60</v>
      </c>
      <c r="D633">
        <v>1.01</v>
      </c>
    </row>
    <row r="634" spans="1:4" x14ac:dyDescent="0.45">
      <c r="A634" t="s">
        <v>8</v>
      </c>
      <c r="B634">
        <v>2022</v>
      </c>
      <c r="C634" t="s">
        <v>60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60</v>
      </c>
      <c r="D635">
        <v>0.61</v>
      </c>
    </row>
    <row r="636" spans="1:4" x14ac:dyDescent="0.45">
      <c r="A636" t="s">
        <v>19</v>
      </c>
      <c r="B636">
        <v>2022</v>
      </c>
      <c r="C636" t="s">
        <v>60</v>
      </c>
      <c r="D636">
        <v>0</v>
      </c>
    </row>
    <row r="637" spans="1:4" x14ac:dyDescent="0.45">
      <c r="A637" t="s">
        <v>23</v>
      </c>
      <c r="B637">
        <v>2022</v>
      </c>
      <c r="C637" t="s">
        <v>60</v>
      </c>
      <c r="D637">
        <v>0.41</v>
      </c>
    </row>
    <row r="638" spans="1:4" x14ac:dyDescent="0.45">
      <c r="A638" t="s">
        <v>54</v>
      </c>
      <c r="B638">
        <v>2022</v>
      </c>
      <c r="C638" t="s">
        <v>60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60</v>
      </c>
      <c r="D639">
        <v>0.01</v>
      </c>
    </row>
    <row r="640" spans="1:4" x14ac:dyDescent="0.45">
      <c r="A640" t="s">
        <v>88</v>
      </c>
      <c r="B640">
        <v>2022</v>
      </c>
      <c r="C640" t="s">
        <v>60</v>
      </c>
      <c r="D640">
        <v>0.03</v>
      </c>
    </row>
    <row r="641" spans="1:4" x14ac:dyDescent="0.45">
      <c r="A641" t="s">
        <v>54</v>
      </c>
      <c r="B641">
        <v>2023</v>
      </c>
      <c r="C641" t="s">
        <v>60</v>
      </c>
      <c r="D641">
        <v>0.34</v>
      </c>
    </row>
    <row r="642" spans="1:4" x14ac:dyDescent="0.45">
      <c r="A642" t="s">
        <v>5</v>
      </c>
      <c r="B642">
        <v>2023</v>
      </c>
      <c r="C642" t="s">
        <v>60</v>
      </c>
      <c r="D642">
        <v>1.57</v>
      </c>
    </row>
    <row r="643" spans="1:4" x14ac:dyDescent="0.45">
      <c r="A643" t="s">
        <v>8</v>
      </c>
      <c r="B643">
        <v>2023</v>
      </c>
      <c r="C643" t="s">
        <v>60</v>
      </c>
      <c r="D643">
        <v>1.75</v>
      </c>
    </row>
    <row r="644" spans="1:4" x14ac:dyDescent="0.45">
      <c r="A644" t="s">
        <v>6</v>
      </c>
      <c r="B644">
        <v>2023</v>
      </c>
      <c r="C644" t="s">
        <v>60</v>
      </c>
      <c r="D644">
        <v>0.62</v>
      </c>
    </row>
    <row r="645" spans="1:4" x14ac:dyDescent="0.45">
      <c r="A645" t="s">
        <v>19</v>
      </c>
      <c r="B645">
        <v>2023</v>
      </c>
      <c r="C645" t="s">
        <v>60</v>
      </c>
      <c r="D645">
        <v>0</v>
      </c>
    </row>
    <row r="646" spans="1:4" x14ac:dyDescent="0.45">
      <c r="A646" t="s">
        <v>23</v>
      </c>
      <c r="B646">
        <v>2023</v>
      </c>
      <c r="C646" t="s">
        <v>60</v>
      </c>
      <c r="D646">
        <v>0.41</v>
      </c>
    </row>
    <row r="647" spans="1:4" x14ac:dyDescent="0.45">
      <c r="A647" t="s">
        <v>54</v>
      </c>
      <c r="B647">
        <v>2023</v>
      </c>
      <c r="C647" t="s">
        <v>60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60</v>
      </c>
      <c r="D648">
        <v>0.01</v>
      </c>
    </row>
    <row r="649" spans="1:4" x14ac:dyDescent="0.45">
      <c r="A649" t="s">
        <v>88</v>
      </c>
      <c r="B649">
        <v>2023</v>
      </c>
      <c r="C649" t="s">
        <v>60</v>
      </c>
      <c r="D649">
        <v>0.03</v>
      </c>
    </row>
    <row r="650" spans="1:4" x14ac:dyDescent="0.45">
      <c r="A650" t="s">
        <v>62</v>
      </c>
      <c r="B650">
        <v>2000</v>
      </c>
      <c r="C650" t="s">
        <v>58</v>
      </c>
      <c r="D650">
        <v>0</v>
      </c>
    </row>
    <row r="651" spans="1:4" x14ac:dyDescent="0.45">
      <c r="A651" t="s">
        <v>61</v>
      </c>
      <c r="B651">
        <v>2000</v>
      </c>
      <c r="C651" t="s">
        <v>58</v>
      </c>
      <c r="D651">
        <v>0</v>
      </c>
    </row>
    <row r="652" spans="1:4" x14ac:dyDescent="0.45">
      <c r="A652" t="s">
        <v>62</v>
      </c>
      <c r="B652">
        <v>2001</v>
      </c>
      <c r="C652" t="s">
        <v>58</v>
      </c>
      <c r="D652">
        <v>0</v>
      </c>
    </row>
    <row r="653" spans="1:4" x14ac:dyDescent="0.45">
      <c r="A653" t="s">
        <v>61</v>
      </c>
      <c r="B653">
        <v>2001</v>
      </c>
      <c r="C653" t="s">
        <v>58</v>
      </c>
      <c r="D653">
        <v>0</v>
      </c>
    </row>
    <row r="654" spans="1:4" x14ac:dyDescent="0.45">
      <c r="A654" t="s">
        <v>62</v>
      </c>
      <c r="B654">
        <v>2002</v>
      </c>
      <c r="C654" t="s">
        <v>58</v>
      </c>
      <c r="D654">
        <v>0</v>
      </c>
    </row>
    <row r="655" spans="1:4" x14ac:dyDescent="0.45">
      <c r="A655" t="s">
        <v>61</v>
      </c>
      <c r="B655">
        <v>2002</v>
      </c>
      <c r="C655" t="s">
        <v>58</v>
      </c>
      <c r="D655">
        <v>0</v>
      </c>
    </row>
    <row r="656" spans="1:4" x14ac:dyDescent="0.45">
      <c r="A656" t="s">
        <v>62</v>
      </c>
      <c r="B656">
        <v>2003</v>
      </c>
      <c r="C656" t="s">
        <v>58</v>
      </c>
      <c r="D656">
        <v>0</v>
      </c>
    </row>
    <row r="657" spans="1:4" x14ac:dyDescent="0.45">
      <c r="A657" t="s">
        <v>61</v>
      </c>
      <c r="B657">
        <v>2003</v>
      </c>
      <c r="C657" t="s">
        <v>58</v>
      </c>
      <c r="D657">
        <v>0</v>
      </c>
    </row>
    <row r="658" spans="1:4" x14ac:dyDescent="0.45">
      <c r="A658" t="s">
        <v>62</v>
      </c>
      <c r="B658">
        <v>2004</v>
      </c>
      <c r="C658" t="s">
        <v>58</v>
      </c>
      <c r="D658">
        <v>0</v>
      </c>
    </row>
    <row r="659" spans="1:4" x14ac:dyDescent="0.45">
      <c r="A659" t="s">
        <v>61</v>
      </c>
      <c r="B659">
        <v>2004</v>
      </c>
      <c r="C659" t="s">
        <v>58</v>
      </c>
      <c r="D659">
        <v>0</v>
      </c>
    </row>
    <row r="660" spans="1:4" x14ac:dyDescent="0.45">
      <c r="A660" t="s">
        <v>62</v>
      </c>
      <c r="B660">
        <v>2005</v>
      </c>
      <c r="C660" t="s">
        <v>58</v>
      </c>
      <c r="D660">
        <v>0</v>
      </c>
    </row>
    <row r="661" spans="1:4" x14ac:dyDescent="0.45">
      <c r="A661" t="s">
        <v>61</v>
      </c>
      <c r="B661">
        <v>2005</v>
      </c>
      <c r="C661" t="s">
        <v>58</v>
      </c>
      <c r="D661">
        <v>0</v>
      </c>
    </row>
    <row r="662" spans="1:4" x14ac:dyDescent="0.45">
      <c r="A662" t="s">
        <v>62</v>
      </c>
      <c r="B662">
        <v>2006</v>
      </c>
      <c r="C662" t="s">
        <v>58</v>
      </c>
      <c r="D662">
        <v>0</v>
      </c>
    </row>
    <row r="663" spans="1:4" x14ac:dyDescent="0.45">
      <c r="A663" t="s">
        <v>61</v>
      </c>
      <c r="B663">
        <v>2006</v>
      </c>
      <c r="C663" t="s">
        <v>58</v>
      </c>
      <c r="D663">
        <v>0</v>
      </c>
    </row>
    <row r="664" spans="1:4" x14ac:dyDescent="0.45">
      <c r="A664" t="s">
        <v>62</v>
      </c>
      <c r="B664">
        <v>2007</v>
      </c>
      <c r="C664" t="s">
        <v>58</v>
      </c>
      <c r="D664">
        <v>0</v>
      </c>
    </row>
    <row r="665" spans="1:4" x14ac:dyDescent="0.45">
      <c r="A665" t="s">
        <v>61</v>
      </c>
      <c r="B665">
        <v>2007</v>
      </c>
      <c r="C665" t="s">
        <v>58</v>
      </c>
      <c r="D665">
        <v>0</v>
      </c>
    </row>
    <row r="666" spans="1:4" x14ac:dyDescent="0.45">
      <c r="A666" t="s">
        <v>62</v>
      </c>
      <c r="B666">
        <v>2008</v>
      </c>
      <c r="C666" t="s">
        <v>58</v>
      </c>
      <c r="D666">
        <v>0</v>
      </c>
    </row>
    <row r="667" spans="1:4" x14ac:dyDescent="0.45">
      <c r="A667" t="s">
        <v>61</v>
      </c>
      <c r="B667">
        <v>2008</v>
      </c>
      <c r="C667" t="s">
        <v>58</v>
      </c>
      <c r="D667">
        <v>0</v>
      </c>
    </row>
    <row r="668" spans="1:4" x14ac:dyDescent="0.45">
      <c r="A668" t="s">
        <v>62</v>
      </c>
      <c r="B668">
        <v>2009</v>
      </c>
      <c r="C668" t="s">
        <v>58</v>
      </c>
      <c r="D668">
        <v>0</v>
      </c>
    </row>
    <row r="669" spans="1:4" x14ac:dyDescent="0.45">
      <c r="A669" t="s">
        <v>61</v>
      </c>
      <c r="B669">
        <v>2009</v>
      </c>
      <c r="C669" t="s">
        <v>58</v>
      </c>
      <c r="D669">
        <v>0</v>
      </c>
    </row>
    <row r="670" spans="1:4" x14ac:dyDescent="0.45">
      <c r="A670" t="s">
        <v>62</v>
      </c>
      <c r="B670">
        <v>2010</v>
      </c>
      <c r="C670" t="s">
        <v>58</v>
      </c>
      <c r="D670">
        <v>0</v>
      </c>
    </row>
    <row r="671" spans="1:4" x14ac:dyDescent="0.45">
      <c r="A671" t="s">
        <v>61</v>
      </c>
      <c r="B671">
        <v>2010</v>
      </c>
      <c r="C671" t="s">
        <v>58</v>
      </c>
      <c r="D671">
        <v>0</v>
      </c>
    </row>
    <row r="672" spans="1:4" x14ac:dyDescent="0.45">
      <c r="A672" t="s">
        <v>62</v>
      </c>
      <c r="B672">
        <v>2011</v>
      </c>
      <c r="C672" t="s">
        <v>58</v>
      </c>
      <c r="D672">
        <v>0</v>
      </c>
    </row>
    <row r="673" spans="1:4" x14ac:dyDescent="0.45">
      <c r="A673" t="s">
        <v>61</v>
      </c>
      <c r="B673">
        <v>2011</v>
      </c>
      <c r="C673" t="s">
        <v>58</v>
      </c>
      <c r="D673">
        <v>0</v>
      </c>
    </row>
    <row r="674" spans="1:4" x14ac:dyDescent="0.45">
      <c r="A674" t="s">
        <v>62</v>
      </c>
      <c r="B674">
        <v>2012</v>
      </c>
      <c r="C674" t="s">
        <v>58</v>
      </c>
      <c r="D674">
        <v>0</v>
      </c>
    </row>
    <row r="675" spans="1:4" x14ac:dyDescent="0.45">
      <c r="A675" t="s">
        <v>61</v>
      </c>
      <c r="B675">
        <v>2012</v>
      </c>
      <c r="C675" t="s">
        <v>58</v>
      </c>
      <c r="D675">
        <v>0</v>
      </c>
    </row>
    <row r="676" spans="1:4" x14ac:dyDescent="0.45">
      <c r="A676" t="s">
        <v>62</v>
      </c>
      <c r="B676">
        <v>2013</v>
      </c>
      <c r="C676" t="s">
        <v>58</v>
      </c>
      <c r="D676">
        <v>0</v>
      </c>
    </row>
    <row r="677" spans="1:4" x14ac:dyDescent="0.45">
      <c r="A677" t="s">
        <v>61</v>
      </c>
      <c r="B677">
        <v>2013</v>
      </c>
      <c r="C677" t="s">
        <v>58</v>
      </c>
      <c r="D677">
        <v>0</v>
      </c>
    </row>
    <row r="678" spans="1:4" x14ac:dyDescent="0.45">
      <c r="A678" t="s">
        <v>62</v>
      </c>
      <c r="B678">
        <v>2014</v>
      </c>
      <c r="C678" t="s">
        <v>58</v>
      </c>
      <c r="D678">
        <v>0</v>
      </c>
    </row>
    <row r="679" spans="1:4" x14ac:dyDescent="0.45">
      <c r="A679" t="s">
        <v>61</v>
      </c>
      <c r="B679">
        <v>2014</v>
      </c>
      <c r="C679" t="s">
        <v>58</v>
      </c>
      <c r="D679">
        <v>0</v>
      </c>
    </row>
    <row r="680" spans="1:4" x14ac:dyDescent="0.45">
      <c r="A680" t="s">
        <v>62</v>
      </c>
      <c r="B680">
        <v>2015</v>
      </c>
      <c r="C680" t="s">
        <v>58</v>
      </c>
      <c r="D680">
        <v>0</v>
      </c>
    </row>
    <row r="681" spans="1:4" x14ac:dyDescent="0.45">
      <c r="A681" t="s">
        <v>61</v>
      </c>
      <c r="B681">
        <v>2015</v>
      </c>
      <c r="C681" t="s">
        <v>58</v>
      </c>
      <c r="D681">
        <v>0</v>
      </c>
    </row>
    <row r="682" spans="1:4" x14ac:dyDescent="0.45">
      <c r="A682" t="s">
        <v>62</v>
      </c>
      <c r="B682">
        <v>2016</v>
      </c>
      <c r="C682" t="s">
        <v>58</v>
      </c>
      <c r="D682">
        <v>0</v>
      </c>
    </row>
    <row r="683" spans="1:4" x14ac:dyDescent="0.45">
      <c r="A683" t="s">
        <v>61</v>
      </c>
      <c r="B683">
        <v>2016</v>
      </c>
      <c r="C683" t="s">
        <v>58</v>
      </c>
      <c r="D683">
        <v>0</v>
      </c>
    </row>
    <row r="684" spans="1:4" x14ac:dyDescent="0.45">
      <c r="A684" t="s">
        <v>62</v>
      </c>
      <c r="B684">
        <v>2017</v>
      </c>
      <c r="C684" t="s">
        <v>58</v>
      </c>
      <c r="D684">
        <v>0</v>
      </c>
    </row>
    <row r="685" spans="1:4" x14ac:dyDescent="0.45">
      <c r="A685" t="s">
        <v>61</v>
      </c>
      <c r="B685">
        <v>2017</v>
      </c>
      <c r="C685" t="s">
        <v>58</v>
      </c>
      <c r="D685">
        <v>0</v>
      </c>
    </row>
    <row r="686" spans="1:4" x14ac:dyDescent="0.45">
      <c r="A686" t="s">
        <v>62</v>
      </c>
      <c r="B686">
        <v>2018</v>
      </c>
      <c r="C686" t="s">
        <v>58</v>
      </c>
      <c r="D686">
        <v>0</v>
      </c>
    </row>
    <row r="687" spans="1:4" x14ac:dyDescent="0.45">
      <c r="A687" t="s">
        <v>61</v>
      </c>
      <c r="B687">
        <v>2018</v>
      </c>
      <c r="C687" t="s">
        <v>58</v>
      </c>
      <c r="D687">
        <v>0</v>
      </c>
    </row>
    <row r="688" spans="1:4" x14ac:dyDescent="0.45">
      <c r="A688" t="s">
        <v>62</v>
      </c>
      <c r="B688">
        <v>2019</v>
      </c>
      <c r="C688" t="s">
        <v>58</v>
      </c>
      <c r="D688">
        <v>0</v>
      </c>
    </row>
    <row r="689" spans="1:4" x14ac:dyDescent="0.45">
      <c r="A689" t="s">
        <v>61</v>
      </c>
      <c r="B689">
        <v>2019</v>
      </c>
      <c r="C689" t="s">
        <v>58</v>
      </c>
      <c r="D689">
        <v>0</v>
      </c>
    </row>
    <row r="690" spans="1:4" x14ac:dyDescent="0.45">
      <c r="A690" t="s">
        <v>62</v>
      </c>
      <c r="B690">
        <v>2020</v>
      </c>
      <c r="C690" t="s">
        <v>58</v>
      </c>
      <c r="D690">
        <v>0</v>
      </c>
    </row>
    <row r="691" spans="1:4" x14ac:dyDescent="0.45">
      <c r="A691" t="s">
        <v>61</v>
      </c>
      <c r="B691">
        <v>2020</v>
      </c>
      <c r="C691" t="s">
        <v>58</v>
      </c>
      <c r="D691">
        <v>0</v>
      </c>
    </row>
    <row r="692" spans="1:4" x14ac:dyDescent="0.45">
      <c r="A692" t="s">
        <v>62</v>
      </c>
      <c r="B692">
        <v>2021</v>
      </c>
      <c r="C692" t="s">
        <v>58</v>
      </c>
      <c r="D692">
        <v>0</v>
      </c>
    </row>
    <row r="693" spans="1:4" x14ac:dyDescent="0.45">
      <c r="A693" t="s">
        <v>61</v>
      </c>
      <c r="B693">
        <v>2021</v>
      </c>
      <c r="C693" t="s">
        <v>58</v>
      </c>
      <c r="D693">
        <v>0</v>
      </c>
    </row>
    <row r="694" spans="1:4" x14ac:dyDescent="0.45">
      <c r="A694" t="s">
        <v>62</v>
      </c>
      <c r="B694">
        <v>2022</v>
      </c>
      <c r="C694" t="s">
        <v>58</v>
      </c>
      <c r="D694">
        <v>0</v>
      </c>
    </row>
    <row r="695" spans="1:4" x14ac:dyDescent="0.45">
      <c r="A695" t="s">
        <v>61</v>
      </c>
      <c r="B695">
        <v>2022</v>
      </c>
      <c r="C695" t="s">
        <v>58</v>
      </c>
      <c r="D695">
        <v>0</v>
      </c>
    </row>
    <row r="696" spans="1:4" x14ac:dyDescent="0.45">
      <c r="A696" t="s">
        <v>62</v>
      </c>
      <c r="B696">
        <v>2023</v>
      </c>
      <c r="C696" t="s">
        <v>58</v>
      </c>
      <c r="D696">
        <v>0</v>
      </c>
    </row>
    <row r="697" spans="1:4" x14ac:dyDescent="0.45">
      <c r="A697" t="s">
        <v>61</v>
      </c>
      <c r="B697">
        <v>2023</v>
      </c>
      <c r="C697" t="s">
        <v>58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VS-EECA links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2025-10-03T09:36:45Z</dcterms:modified>
</cp:coreProperties>
</file>