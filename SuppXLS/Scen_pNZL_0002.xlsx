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bookViews>
    <workbookView xWindow="-98" yWindow="-98" windowWidth="28996" windowHeight="17475" activeTab="2"/>
  </bookViews>
  <sheets>
    <sheet name="Veda" sheetId="1" r:id="rId3"/>
    <sheet name="kea-tui" sheetId="11" r:id="rId4"/>
    <sheet name="transport" sheetId="13" r:id="rId5"/>
    <sheet name="co2 budget" sheetId="12" r:id="rId6"/>
    <sheet name="ev_charging_uc" sheetId="6" r:id="rId7"/>
    <sheet name="ts_012" sheetId="7" r:id="rId8"/>
    <sheet name="ts_048" sheetId="8" r:id="rId9"/>
    <sheet name="ts_annual" sheetId="9" r:id="rId10"/>
    <sheet name="ts_12t" sheetId="10" r:id="rId11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2" l="1"/>
</calcChain>
</file>

<file path=xl/sharedStrings.xml><?xml version="1.0" encoding="utf-8"?>
<sst xmlns="http://schemas.openxmlformats.org/spreadsheetml/2006/main" count="25373" uniqueCount="1161">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</sst>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0003962517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0007281303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</border>
    <border>
      <left/>
      <right/>
      <top/>
      <bottom style="medium">
        <color theme="4" tint="0.399980008602142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980002641678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</borders>
  <cellStyleXfs count="29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2" borderId="0">
      <alignment/>
      <protection/>
    </xf>
    <xf numFmtId="0" fontId="3" fillId="0" borderId="1">
      <alignment/>
      <protection/>
    </xf>
    <xf numFmtId="0" fontId="6" fillId="0" borderId="2">
      <alignment/>
      <protection/>
    </xf>
    <xf numFmtId="0" fontId="7" fillId="3" borderId="0">
      <alignment/>
      <protection/>
    </xf>
    <xf numFmtId="0" fontId="8" fillId="4" borderId="3">
      <alignment/>
      <protection/>
    </xf>
    <xf numFmtId="0" fontId="8" fillId="4" borderId="3" applyNumberFormat="0" applyAlignment="0" applyProtection="0"/>
    <xf numFmtId="0" fontId="5" fillId="0" borderId="4" applyNumberFormat="0" applyFill="0" applyAlignment="0" applyProtection="0"/>
    <xf numFmtId="0" fontId="6" fillId="0" borderId="2" applyNumberFormat="0" applyFill="0" applyAlignment="0" applyProtection="0"/>
    <xf numFmtId="0" fontId="12" fillId="0" borderId="0">
      <alignment/>
      <protection/>
    </xf>
  </cellStyleXfs>
  <cellXfs count="22">
    <xf numFmtId="0" fontId="0" fillId="0" borderId="0" xfId="0"/>
    <xf numFmtId="0" fontId="2" fillId="2" borderId="0" xfId="20">
      <alignment/>
      <protection/>
    </xf>
    <xf numFmtId="0" fontId="4" fillId="0" borderId="0" xfId="0" applyFont="1"/>
    <xf numFmtId="0" fontId="3" fillId="0" borderId="1" xfId="21">
      <alignment/>
      <protection/>
    </xf>
    <xf numFmtId="0" fontId="6" fillId="0" borderId="2" xfId="22">
      <alignment/>
      <protection/>
    </xf>
    <xf numFmtId="0" fontId="8" fillId="4" borderId="3" xfId="24">
      <alignment/>
      <protection/>
    </xf>
    <xf numFmtId="0" fontId="7" fillId="3" borderId="0" xfId="23">
      <alignment/>
      <protection/>
    </xf>
    <xf numFmtId="2" fontId="0" fillId="0" borderId="0" xfId="0" applyNumberFormat="1"/>
    <xf numFmtId="0" fontId="8" fillId="4" borderId="3" xfId="25"/>
    <xf numFmtId="0" fontId="5" fillId="0" borderId="4" xfId="26"/>
    <xf numFmtId="0" fontId="6" fillId="0" borderId="2" xfId="27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applyNumberFormat="1" quotePrefix="1"/>
    <xf numFmtId="49" fontId="10" fillId="7" borderId="5" xfId="0" applyNumberFormat="1" applyFont="1" applyFill="1" applyBorder="1" applyAlignment="1">
      <alignment horizontal="left" vertical="center"/>
    </xf>
    <xf numFmtId="49" fontId="11" fillId="8" borderId="5" xfId="0" applyNumberFormat="1" applyFont="1" applyFill="1" applyBorder="1" applyAlignment="1">
      <alignment horizontal="left" vertical="center"/>
    </xf>
    <xf numFmtId="0" fontId="10" fillId="7" borderId="5" xfId="0" applyFont="1" applyFill="1" applyBorder="1" applyAlignment="1">
      <alignment horizontal="right" vertical="center"/>
    </xf>
    <xf numFmtId="0" fontId="10" fillId="9" borderId="5" xfId="0" applyFont="1" applyFill="1" applyBorder="1" applyAlignment="1">
      <alignment horizontal="right" vertical="center"/>
    </xf>
    <xf numFmtId="2" fontId="10" fillId="9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3" fillId="0" borderId="0" xfId="28" applyFont="1">
      <alignment/>
      <protection/>
    </xf>
  </cellXfs>
  <cellStyles count="15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Good" xfId="20" builtinId="26"/>
    <cellStyle name="Linked Cell" xfId="21" builtinId="24"/>
    <cellStyle name="Heading 3" xfId="22" builtinId="18"/>
    <cellStyle name="Neutral" xfId="23" builtinId="28"/>
    <cellStyle name="Input" xfId="24" builtinId="20"/>
    <cellStyle name="Input 2" xfId="25"/>
    <cellStyle name="Heading 2 2" xfId="26"/>
    <cellStyle name="Heading 3 2" xfId="27"/>
    <cellStyle name="Normale_Scen_UC_IND-StrucConst" xf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 topLeftCell="A1"/>
  </sheetViews>
  <sheetFormatPr defaultRowHeight="14.25"/>
  <cols>
    <col min="1" max="1" width="6.5" bestFit="1" customWidth="1"/>
    <col min="2" max="2" width="19.125" bestFit="1" customWidth="1"/>
    <col min="3" max="3" width="7.25" bestFit="1" customWidth="1"/>
    <col min="4" max="4" width="12.125" bestFit="1" customWidth="1"/>
    <col min="5" max="5" width="9.5" customWidth="1"/>
    <col min="6" max="6" width="1.75" bestFit="1" customWidth="1"/>
    <col min="7" max="7" width="24.5" customWidth="1"/>
    <col min="8" max="8" width="9.625" bestFit="1" customWidth="1"/>
    <col min="9" max="10" width="5.25" bestFit="1" customWidth="1"/>
    <col min="11" max="11" width="7.25" bestFit="1" customWidth="1"/>
    <col min="12" max="13" width="5.25" bestFit="1" customWidth="1"/>
    <col min="15" max="15" width="2.75" bestFit="1" customWidth="1"/>
    <col min="16" max="16" width="9.25" bestFit="1" customWidth="1"/>
    <col min="17" max="17" width="6.25" bestFit="1" customWidth="1"/>
    <col min="18" max="18" width="2.75" bestFit="1" customWidth="1"/>
    <col min="19" max="19" width="2.875" bestFit="1" customWidth="1"/>
    <col min="20" max="20" width="12.625" bestFit="1" customWidth="1"/>
  </cols>
  <sheetData>
    <row r="1" spans="7:7" ht="14.25">
      <c r="G1" s="14" t="s">
        <v>248</v>
      </c>
    </row>
    <row r="2" spans="4:7" ht="14.25">
      <c r="D2" s="1" t="str">
        <f>"~Inputcell: "&amp;_xlfn.TEXTJOIN(",",TRUE,G1:DM1)</f>
        <v>~Inputcell: 1,2</v>
      </c>
      <c r="G2" s="14" t="s">
        <v>242</v>
      </c>
    </row>
    <row r="3" spans="4:4" ht="14.25">
      <c r="D3" s="5">
        <v>2</v>
      </c>
    </row>
    <row r="5" spans="4:5" ht="14.25">
      <c r="D5" s="1" t="str">
        <f>VLOOKUP(D3,$C$9:$E$999,2,FALSE)</f>
        <v>ts_012</v>
      </c>
      <c r="E5" s="1" t="str">
        <f>VLOOKUP(D3,$C$9:$E$999,3,FALSE)</f>
        <v>kea</v>
      </c>
    </row>
    <row r="7" spans="2:2" ht="14.25">
      <c r="B7" s="12" t="s">
        <v>48</v>
      </c>
    </row>
    <row r="8" spans="1:5" ht="14.65" thickBot="1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ht="14.25">
      <c r="A9">
        <v>5</v>
      </c>
      <c r="B9" t="str">
        <f t="shared" si="0" ref="B9:B4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ht="14.2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ht="14.25">
      <c r="A11">
        <v>5</v>
      </c>
      <c r="B11" t="str">
        <f t="shared" si="0"/>
        <v>c 2 deg (67%).kAnn</v>
      </c>
      <c r="C11">
        <f t="shared" si="1" ref="C11:C74">C10+1</f>
        <v>3</v>
      </c>
      <c r="D11" t="str">
        <f t="shared" si="2" ref="D11:D63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18" ht="14.2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18" ht="14.2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si="3" ref="E15:E78">E10</f>
        <v>kea</v>
      </c>
      <c r="O15">
        <v>7</v>
      </c>
      <c r="P15" t="s">
        <v>58</v>
      </c>
      <c r="Q15" t="s">
        <v>70</v>
      </c>
      <c r="R15" s="6">
        <f t="shared" si="4" ref="R15:R78">R10+1</f>
        <v>2</v>
      </c>
    </row>
    <row r="16" spans="1:18" ht="17.65" customHeight="1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ht="14.2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ht="14.2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ht="14.2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ht="14.2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ht="14.2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ht="14.2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5" customHeight="1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ht="14.2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ht="14.2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ht="14.2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ht="14.2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ht="14.2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ht="14.2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ht="14.2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ht="14.2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ht="14.2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ht="14.2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ht="14.25">
      <c r="A41">
        <v>5</v>
      </c>
      <c r="B41" t="str">
        <f t="shared" si="5" ref="B41:B73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ht="14.2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ht="14.2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ht="14.2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ht="14.2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ht="14.2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ht="14.2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ht="14.2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ht="14.2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ht="14.2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ht="14.2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ht="14.2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ht="14.2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ht="14.2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ht="14.2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ht="14.2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ht="14.2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ht="14.2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ht="14.2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ht="14.2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ht="14.2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ht="14.2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ht="14.2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ht="14.25">
      <c r="A64">
        <v>5</v>
      </c>
      <c r="B64" t="str">
        <f t="shared" si="5"/>
        <v>tui.c15d</v>
      </c>
      <c r="C64">
        <f t="shared" si="1"/>
        <v>56</v>
      </c>
      <c r="D64" t="str">
        <f t="shared" si="6" ref="D64:D78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ht="14.2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ht="14.2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ht="14.2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ht="14.2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ht="14.2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ht="14.2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ht="14.2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ht="14.2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ht="14.2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ht="14.25">
      <c r="A74">
        <v>5</v>
      </c>
      <c r="B74" t="str">
        <f t="shared" si="7" ref="B74:B78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ht="14.25">
      <c r="A75">
        <v>5</v>
      </c>
      <c r="B75" t="str">
        <f t="shared" si="7"/>
        <v>kea.a2w2d</v>
      </c>
      <c r="C75">
        <f t="shared" si="8" ref="C75:C7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ht="14.2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ht="14.2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ht="14.2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paperSize="1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89"/>
  <sheetViews>
    <sheetView workbookViewId="0" topLeftCell="A1"/>
  </sheetViews>
  <sheetFormatPr defaultRowHeight="14.25"/>
  <cols>
    <col min="1" max="1" width="3.5" bestFit="1" customWidth="1"/>
    <col min="3" max="3" width="12.875" bestFit="1" customWidth="1"/>
    <col min="4" max="4" width="11.125" bestFit="1" customWidth="1"/>
    <col min="5" max="5" width="23.875" bestFit="1" customWidth="1"/>
    <col min="6" max="6" width="14.875" bestFit="1" customWidth="1"/>
    <col min="7" max="7" width="10.25" bestFit="1" customWidth="1"/>
    <col min="8" max="8" width="7.375" bestFit="1" customWidth="1"/>
    <col min="9" max="9" width="10.5" bestFit="1" customWidth="1"/>
    <col min="10" max="10" width="7.25" bestFit="1" customWidth="1"/>
    <col min="11" max="11" width="4.25" bestFit="1" customWidth="1"/>
    <col min="12" max="12" width="7.25" bestFit="1" customWidth="1"/>
    <col min="13" max="13" width="8.25" bestFit="1" customWidth="1"/>
    <col min="14" max="18" width="7.25" bestFit="1" customWidth="1"/>
    <col min="19" max="20" width="8.25" bestFit="1" customWidth="1"/>
    <col min="21" max="22" width="7.25" bestFit="1" customWidth="1"/>
    <col min="24" max="24" width="12.125" bestFit="1" customWidth="1"/>
    <col min="25" max="25" width="10.5" bestFit="1" customWidth="1"/>
    <col min="26" max="26" width="12.625" bestFit="1" customWidth="1"/>
    <col min="27" max="27" width="16.625" bestFit="1" customWidth="1"/>
    <col min="28" max="28" width="7.75" bestFit="1" customWidth="1"/>
    <col min="29" max="29" width="6.125" bestFit="1" customWidth="1"/>
    <col min="30" max="30" width="8.625" bestFit="1" customWidth="1"/>
    <col min="31" max="31" width="5.75" bestFit="1" customWidth="1"/>
    <col min="32" max="32" width="3.375" bestFit="1" customWidth="1"/>
    <col min="33" max="36" width="5" bestFit="1" customWidth="1"/>
    <col min="37" max="37" width="5.75" bestFit="1" customWidth="1"/>
    <col min="38" max="38" width="3.375" bestFit="1" customWidth="1"/>
    <col min="39" max="42" width="5" bestFit="1" customWidth="1"/>
    <col min="44" max="44" width="12.125" bestFit="1" customWidth="1"/>
    <col min="45" max="45" width="10.5" bestFit="1" customWidth="1"/>
    <col min="46" max="46" width="25.25" bestFit="1" customWidth="1"/>
    <col min="47" max="47" width="14.375" bestFit="1" customWidth="1"/>
    <col min="48" max="48" width="16.5" bestFit="1" customWidth="1"/>
    <col min="49" max="49" width="6.125" bestFit="1" customWidth="1"/>
    <col min="50" max="50" width="9.5" bestFit="1" customWidth="1"/>
    <col min="51" max="51" width="8.625" bestFit="1" customWidth="1"/>
    <col min="52" max="53" width="3.75" bestFit="1" customWidth="1"/>
    <col min="54" max="56" width="4.25" bestFit="1" customWidth="1"/>
    <col min="57" max="62" width="5" bestFit="1" customWidth="1"/>
    <col min="63" max="64" width="3.75" bestFit="1" customWidth="1"/>
    <col min="65" max="73" width="5" bestFit="1" customWidth="1"/>
  </cols>
  <sheetData>
    <row r="1" spans="1:73" ht="14.65" thickBot="1">
      <c r="A1" s="3" t="str">
        <f>Veda!$E$5</f>
        <v>kea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</row>
    <row r="2" spans="10:73" ht="14.65" thickTop="1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5" spans="3:51" ht="14.2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</row>
    <row r="6" spans="3:73" ht="14.2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2015</v>
      </c>
      <c r="K6" s="17">
        <f t="shared" si="0" ref="K6:V6">IF($A$1=K1,K2,"*"&amp;COLUMN())</f>
        <v>0</v>
      </c>
      <c r="L6" s="17">
        <f t="shared" si="0"/>
        <v>2018</v>
      </c>
      <c r="M6" s="17">
        <f t="shared" si="0"/>
        <v>2020</v>
      </c>
      <c r="N6" s="17">
        <f t="shared" si="0"/>
        <v>2030</v>
      </c>
      <c r="O6" s="17">
        <f t="shared" si="0"/>
        <v>2040</v>
      </c>
      <c r="P6" s="15">
        <f t="shared" si="0"/>
        <v>2050</v>
      </c>
      <c r="Q6" s="17" t="str">
        <f t="shared" si="0"/>
        <v>*17</v>
      </c>
      <c r="R6" s="17" t="str">
        <f t="shared" si="0"/>
        <v>*18</v>
      </c>
      <c r="S6" s="17" t="str">
        <f t="shared" si="0"/>
        <v>*19</v>
      </c>
      <c r="T6" s="17" t="str">
        <f t="shared" si="0"/>
        <v>*20</v>
      </c>
      <c r="U6" s="17" t="str">
        <f t="shared" si="0"/>
        <v>*21</v>
      </c>
      <c r="V6" s="17" t="str">
        <f t="shared" si="0"/>
        <v>*22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si="1" ref="AE6:AP6">IF($A$1=AE1,AE2,"*"&amp;COLUMN())</f>
        <v>2015</v>
      </c>
      <c r="AF6" s="17">
        <f t="shared" si="1"/>
        <v>0</v>
      </c>
      <c r="AG6" s="17">
        <f t="shared" si="1"/>
        <v>2018</v>
      </c>
      <c r="AH6" s="17">
        <f t="shared" si="1"/>
        <v>2030</v>
      </c>
      <c r="AI6" s="17">
        <f t="shared" si="1"/>
        <v>2040</v>
      </c>
      <c r="AJ6" s="17">
        <f t="shared" si="1"/>
        <v>2050</v>
      </c>
      <c r="AK6" s="17" t="str">
        <f t="shared" si="1"/>
        <v>*37</v>
      </c>
      <c r="AL6" s="17" t="str">
        <f t="shared" si="1"/>
        <v>*38</v>
      </c>
      <c r="AM6" s="17" t="str">
        <f t="shared" si="1"/>
        <v>*39</v>
      </c>
      <c r="AN6" s="17" t="str">
        <f t="shared" si="1"/>
        <v>*40</v>
      </c>
      <c r="AO6" s="17" t="str">
        <f t="shared" si="1"/>
        <v>*41</v>
      </c>
      <c r="AP6" s="17" t="str">
        <f t="shared" si="1"/>
        <v>*42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1115</v>
      </c>
      <c r="AY6" s="16" t="s">
        <v>253</v>
      </c>
      <c r="AZ6" s="17">
        <f t="shared" si="2" ref="AZ6:BU6">IF($A$1=AZ1,AZ2,"*"&amp;COLUMN())</f>
        <v>0</v>
      </c>
      <c r="BA6" s="17">
        <f t="shared" si="2"/>
        <v>2018</v>
      </c>
      <c r="BB6" s="17">
        <f t="shared" si="2"/>
        <v>2020</v>
      </c>
      <c r="BC6" s="17">
        <f t="shared" si="2"/>
        <v>2025</v>
      </c>
      <c r="BD6" s="17">
        <f t="shared" si="2"/>
        <v>2030</v>
      </c>
      <c r="BE6" s="17">
        <f t="shared" si="2"/>
        <v>2035</v>
      </c>
      <c r="BF6" s="17">
        <f t="shared" si="2"/>
        <v>2040</v>
      </c>
      <c r="BG6" s="17">
        <f t="shared" si="2"/>
        <v>2045</v>
      </c>
      <c r="BH6" s="17">
        <f t="shared" si="2"/>
        <v>2050</v>
      </c>
      <c r="BI6" s="17">
        <f t="shared" si="2"/>
        <v>2055</v>
      </c>
      <c r="BJ6" s="17">
        <f t="shared" si="2"/>
        <v>2060</v>
      </c>
      <c r="BK6" s="17" t="str">
        <f t="shared" si="2"/>
        <v>*63</v>
      </c>
      <c r="BL6" s="17" t="str">
        <f t="shared" si="2"/>
        <v>*64</v>
      </c>
      <c r="BM6" s="17" t="str">
        <f t="shared" si="2"/>
        <v>*65</v>
      </c>
      <c r="BN6" s="17" t="str">
        <f t="shared" si="2"/>
        <v>*66</v>
      </c>
      <c r="BO6" s="17" t="str">
        <f t="shared" si="2"/>
        <v>*67</v>
      </c>
      <c r="BP6" s="17" t="str">
        <f t="shared" si="2"/>
        <v>*68</v>
      </c>
      <c r="BQ6" s="17" t="str">
        <f t="shared" si="2"/>
        <v>*69</v>
      </c>
      <c r="BR6" s="17" t="str">
        <f t="shared" si="2"/>
        <v>*70</v>
      </c>
      <c r="BS6" s="17" t="str">
        <f t="shared" si="2"/>
        <v>*71</v>
      </c>
      <c r="BT6" s="17" t="str">
        <f t="shared" si="2"/>
        <v>*72</v>
      </c>
      <c r="BU6" s="17" t="str">
        <f t="shared" si="2"/>
        <v>*73</v>
      </c>
    </row>
    <row r="7" spans="3:73" ht="14.2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0.70</v>
      </c>
      <c r="M7" s="19"/>
      <c r="N7" s="18"/>
      <c r="O7" s="19"/>
      <c r="P7" s="18"/>
      <c r="Q7" s="18"/>
      <c r="R7" s="19">
        <v>0.70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3:73" ht="14.2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0.092260618237937297</v>
      </c>
      <c r="BH8" s="19">
        <v>0.084340938027675005</v>
      </c>
      <c r="BI8" s="19">
        <v>0.077101085633773797</v>
      </c>
      <c r="BJ8" s="19">
        <v>0.070482704424699602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0.099486000000000005</v>
      </c>
    </row>
    <row r="9" spans="3:73" ht="14.2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0.0068884519568155403</v>
      </c>
      <c r="BC9" s="19">
        <v>0.0066939613610104403</v>
      </c>
      <c r="BD9" s="19">
        <v>0.0064807409280356297</v>
      </c>
      <c r="BE9" s="19">
        <v>0.0062527931518733398</v>
      </c>
      <c r="BF9" s="19">
        <v>0.0060121579213578396</v>
      </c>
      <c r="BG9" s="19">
        <v>0.0057807834024569396</v>
      </c>
      <c r="BH9" s="19">
        <v>0.0055583132018884804</v>
      </c>
      <c r="BI9" s="19">
        <v>0.0053444046419654501</v>
      </c>
      <c r="BJ9" s="19">
        <v>0.0051387282327590902</v>
      </c>
      <c r="BK9" s="18"/>
      <c r="BL9" s="18"/>
      <c r="BM9" s="19">
        <v>0.0069300000000000004</v>
      </c>
      <c r="BN9" s="19">
        <v>0.0068960000000000002</v>
      </c>
      <c r="BO9" s="19">
        <v>0.0066309999999999997</v>
      </c>
      <c r="BP9" s="19">
        <v>0.0063759999999999997</v>
      </c>
      <c r="BQ9" s="19">
        <v>0.0062069999999999998</v>
      </c>
      <c r="BR9" s="19">
        <v>0.0061190000000000003</v>
      </c>
      <c r="BS9" s="19">
        <v>0.0060309999999999999</v>
      </c>
      <c r="BT9" s="19">
        <v>0.0059449999999999998</v>
      </c>
      <c r="BU9" s="19">
        <v>0.0058609999999999999</v>
      </c>
    </row>
    <row r="10" spans="3:73" ht="14.2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0.038036798997698303</v>
      </c>
      <c r="BC10" s="19">
        <v>0.036225466291223203</v>
      </c>
      <c r="BD10" s="19">
        <v>0.034199205200313498</v>
      </c>
      <c r="BE10" s="19">
        <v>0.032175550327568699</v>
      </c>
      <c r="BF10" s="19">
        <v>0.030167746543062601</v>
      </c>
      <c r="BG10" s="19">
        <v>0.028285232800095299</v>
      </c>
      <c r="BH10" s="19">
        <v>0.026520190807542102</v>
      </c>
      <c r="BI10" s="19">
        <v>0.024865290147658599</v>
      </c>
      <c r="BJ10" s="19">
        <v>0.023313657832032399</v>
      </c>
      <c r="BK10" s="18"/>
      <c r="BL10" s="18"/>
      <c r="BM10" s="19">
        <v>0.038554999999999999</v>
      </c>
      <c r="BN10" s="19">
        <v>0.037983999999999997</v>
      </c>
      <c r="BO10" s="19">
        <v>0.036068000000000003</v>
      </c>
      <c r="BP10" s="19">
        <v>0.034249000000000002</v>
      </c>
      <c r="BQ10" s="19">
        <v>0.032927999999999999</v>
      </c>
      <c r="BR10" s="19">
        <v>0.032053999999999999</v>
      </c>
      <c r="BS10" s="19">
        <v>0.031203000000000002</v>
      </c>
      <c r="BT10" s="19">
        <v>0.030374000000000002</v>
      </c>
      <c r="BU10" s="19">
        <v>0.029568000000000001</v>
      </c>
    </row>
    <row r="11" spans="3:73" ht="14.2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0.10</v>
      </c>
      <c r="M11" s="19"/>
      <c r="N11" s="18"/>
      <c r="O11" s="19"/>
      <c r="P11" s="18"/>
      <c r="Q11" s="18"/>
      <c r="R11" s="19">
        <v>0.10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0.066350685641505799</v>
      </c>
      <c r="BC11" s="19">
        <v>0.063191030513670796</v>
      </c>
      <c r="BD11" s="19">
        <v>0.059656458304303397</v>
      </c>
      <c r="BE11" s="19">
        <v>0.056126432333492397</v>
      </c>
      <c r="BF11" s="19">
        <v>0.0526240567065724</v>
      </c>
      <c r="BG11" s="19">
        <v>0.049340234700861699</v>
      </c>
      <c r="BH11" s="19">
        <v>0.046261328234546199</v>
      </c>
      <c r="BI11" s="19">
        <v>0.043374550263074498</v>
      </c>
      <c r="BJ11" s="19">
        <v>0.040667911673125202</v>
      </c>
      <c r="BK11" s="18"/>
      <c r="BL11" s="18"/>
      <c r="BM11" s="19">
        <v>0.067254999999999995</v>
      </c>
      <c r="BN11" s="19">
        <v>0.066258999999999998</v>
      </c>
      <c r="BO11" s="19">
        <v>0.062917000000000001</v>
      </c>
      <c r="BP11" s="19">
        <v>0.059742999999999997</v>
      </c>
      <c r="BQ11" s="19">
        <v>0.057438999999999997</v>
      </c>
      <c r="BR11" s="19">
        <v>0.055913999999999998</v>
      </c>
      <c r="BS11" s="19">
        <v>0.054429999999999999</v>
      </c>
      <c r="BT11" s="19">
        <v>0.052984999999999997</v>
      </c>
      <c r="BU11" s="19">
        <v>0.051577999999999999</v>
      </c>
    </row>
    <row r="12" spans="3:73" ht="14.2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3:73" ht="14.2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0.060963141484747102</v>
      </c>
      <c r="BC13" s="19">
        <v>0.058060044090366698</v>
      </c>
      <c r="BD13" s="19">
        <v>0.054812472138330501</v>
      </c>
      <c r="BE13" s="19">
        <v>0.051569077279291303</v>
      </c>
      <c r="BF13" s="19">
        <v>0.048351087611026501</v>
      </c>
      <c r="BG13" s="19">
        <v>0.045333905443135897</v>
      </c>
      <c r="BH13" s="19">
        <v>0.042505000079015899</v>
      </c>
      <c r="BI13" s="19">
        <v>0.039852622756786901</v>
      </c>
      <c r="BJ13" s="19">
        <v>0.037365757855364702</v>
      </c>
      <c r="BK13" s="18"/>
      <c r="BL13" s="18"/>
      <c r="BM13" s="19">
        <v>0.061794000000000002</v>
      </c>
      <c r="BN13" s="19">
        <v>0.060879000000000003</v>
      </c>
      <c r="BO13" s="19">
        <v>0.057807999999999998</v>
      </c>
      <c r="BP13" s="19">
        <v>0.054892000000000003</v>
      </c>
      <c r="BQ13" s="19">
        <v>0.052775000000000002</v>
      </c>
      <c r="BR13" s="19">
        <v>0.051374000000000003</v>
      </c>
      <c r="BS13" s="19">
        <v>0.050009999999999999</v>
      </c>
      <c r="BT13" s="19">
        <v>0.048682000000000003</v>
      </c>
      <c r="BU13" s="19">
        <v>0.047390000000000002</v>
      </c>
    </row>
    <row r="14" spans="3:73" ht="14.2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3:73" ht="14.2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3:73" ht="14.2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ht="14.2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ht="14.2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0.095545000000000005</v>
      </c>
      <c r="AH18" s="18"/>
      <c r="AI18" s="18"/>
      <c r="AJ18" s="18"/>
      <c r="AK18" s="18"/>
      <c r="AL18" s="18"/>
      <c r="AM18" s="19">
        <v>0.095545000000000005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0.096968791161942694</v>
      </c>
      <c r="BI18" s="19">
        <v>0.090046010919105607</v>
      </c>
      <c r="BJ18" s="19">
        <v>0.083617460682813394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ht="14.2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0.80</v>
      </c>
      <c r="M19" s="19"/>
      <c r="N19" s="18"/>
      <c r="O19" s="19"/>
      <c r="P19" s="18"/>
      <c r="Q19" s="18"/>
      <c r="R19" s="19">
        <v>0.80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0.056500000000000002</v>
      </c>
      <c r="AH19" s="19">
        <v>0.056500000000000002</v>
      </c>
      <c r="AI19" s="18"/>
      <c r="AJ19" s="19">
        <v>0.056500000000000002</v>
      </c>
      <c r="AK19" s="18"/>
      <c r="AL19" s="18"/>
      <c r="AM19" s="19">
        <v>0.049135097190700798</v>
      </c>
      <c r="AN19" s="19">
        <v>0.049404969955021298</v>
      </c>
      <c r="AO19" s="18"/>
      <c r="AP19" s="19">
        <v>0.050577566564981601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0.00089750348507139095</v>
      </c>
      <c r="BC19" s="19">
        <v>0.00088056763224004305</v>
      </c>
      <c r="BD19" s="19">
        <v>0.00085963160144466796</v>
      </c>
      <c r="BE19" s="19">
        <v>0.00083940311486505395</v>
      </c>
      <c r="BF19" s="19">
        <v>0.00081985551838568895</v>
      </c>
      <c r="BG19" s="19">
        <v>0.00080076313647647901</v>
      </c>
      <c r="BH19" s="19">
        <v>0.00078211536833005103</v>
      </c>
      <c r="BI19" s="19">
        <v>0.00076390186000528995</v>
      </c>
      <c r="BJ19" s="19">
        <v>0.00074611249867843801</v>
      </c>
      <c r="BK19" s="18"/>
      <c r="BL19" s="18"/>
      <c r="BM19" s="19">
        <v>0.00090399999999999996</v>
      </c>
      <c r="BN19" s="19">
        <v>0.00089700000000000001</v>
      </c>
      <c r="BO19" s="19">
        <v>0.00088800000000000001</v>
      </c>
      <c r="BP19" s="19">
        <v>0.00087799999999999998</v>
      </c>
      <c r="BQ19" s="19">
        <v>0.00086700000000000004</v>
      </c>
      <c r="BR19" s="19">
        <v>0.00085700000000000001</v>
      </c>
      <c r="BS19" s="19">
        <v>0.00084699999999999999</v>
      </c>
      <c r="BT19" s="19">
        <v>0.00083699999999999996</v>
      </c>
      <c r="BU19" s="19">
        <v>0.00082700000000000004</v>
      </c>
    </row>
    <row r="20" spans="3:73" ht="14.2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0.50</v>
      </c>
      <c r="M20" s="18"/>
      <c r="N20" s="18"/>
      <c r="O20" s="18"/>
      <c r="P20" s="18"/>
      <c r="Q20" s="18"/>
      <c r="R20" s="19">
        <v>0.50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0.073578343620566602</v>
      </c>
      <c r="BC20" s="19">
        <v>0.072189923386150198</v>
      </c>
      <c r="BD20" s="19">
        <v>0.070473564069962899</v>
      </c>
      <c r="BE20" s="19">
        <v>0.068815210023169995</v>
      </c>
      <c r="BF20" s="19">
        <v>0.067212676111448794</v>
      </c>
      <c r="BG20" s="19">
        <v>0.065647461201403995</v>
      </c>
      <c r="BH20" s="19">
        <v>0.064118696226942204</v>
      </c>
      <c r="BI20" s="19">
        <v>0.0626255323603431</v>
      </c>
      <c r="BJ20" s="19">
        <v>0.061167140540958301</v>
      </c>
      <c r="BK20" s="18"/>
      <c r="BL20" s="18"/>
      <c r="BM20" s="19">
        <v>0.074134000000000005</v>
      </c>
      <c r="BN20" s="19">
        <v>0.073542999999999997</v>
      </c>
      <c r="BO20" s="19">
        <v>0.072773000000000004</v>
      </c>
      <c r="BP20" s="19">
        <v>0.071957999999999994</v>
      </c>
      <c r="BQ20" s="19">
        <v>0.071098999999999996</v>
      </c>
      <c r="BR20" s="19">
        <v>0.070249000000000006</v>
      </c>
      <c r="BS20" s="19">
        <v>0.069409999999999999</v>
      </c>
      <c r="BT20" s="19">
        <v>0.068581000000000003</v>
      </c>
      <c r="BU20" s="19">
        <v>0.067762000000000003</v>
      </c>
    </row>
    <row r="21" spans="3:73" ht="14.2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0.00591022632586778</v>
      </c>
      <c r="BC21" s="19">
        <v>0.0061260107583488701</v>
      </c>
      <c r="BD21" s="19">
        <v>0.0062618269276438999</v>
      </c>
      <c r="BE21" s="19">
        <v>0.00646432078596741</v>
      </c>
      <c r="BF21" s="19">
        <v>0.0067247354242197296</v>
      </c>
      <c r="BG21" s="19">
        <v>0.0070303995067341699</v>
      </c>
      <c r="BH21" s="19">
        <v>0.0073681434514102501</v>
      </c>
      <c r="BI21" s="19">
        <v>0.0070070311085269898</v>
      </c>
      <c r="BJ21" s="19">
        <v>0.0066636168635489396</v>
      </c>
      <c r="BK21" s="18"/>
      <c r="BL21" s="18"/>
      <c r="BM21" s="19">
        <v>0.0060000000000000001</v>
      </c>
      <c r="BN21" s="19">
        <v>0.0063460000000000001</v>
      </c>
      <c r="BO21" s="19">
        <v>0.0066519999999999999</v>
      </c>
      <c r="BP21" s="19">
        <v>0.0070419999999999996</v>
      </c>
      <c r="BQ21" s="19">
        <v>0.0075129999999999997</v>
      </c>
      <c r="BR21" s="19">
        <v>0.0080549999999999997</v>
      </c>
      <c r="BS21" s="19">
        <v>0.0086569999999999998</v>
      </c>
      <c r="BT21" s="19">
        <v>0.0084430000000000009</v>
      </c>
      <c r="BU21" s="19">
        <v>0.008234</v>
      </c>
    </row>
    <row r="22" spans="3:73" ht="14.2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0.052075161209867299</v>
      </c>
      <c r="BC22" s="19">
        <v>0.055075165489168999</v>
      </c>
      <c r="BD22" s="19">
        <v>0.057732258325222399</v>
      </c>
      <c r="BE22" s="19">
        <v>0.0611195033936879</v>
      </c>
      <c r="BF22" s="19">
        <v>0.065203596335597303</v>
      </c>
      <c r="BG22" s="19">
        <v>0.069906214197385699</v>
      </c>
      <c r="BH22" s="19">
        <v>0.075133441449229399</v>
      </c>
      <c r="BI22" s="19">
        <v>0.073273795091116395</v>
      </c>
      <c r="BJ22" s="19">
        <v>0.071460177299118993</v>
      </c>
      <c r="BK22" s="18"/>
      <c r="BL22" s="18"/>
      <c r="BM22" s="19">
        <v>0.052469000000000002</v>
      </c>
      <c r="BN22" s="19">
        <v>0.056050999999999997</v>
      </c>
      <c r="BO22" s="19">
        <v>0.059497000000000001</v>
      </c>
      <c r="BP22" s="19">
        <v>0.063783000000000006</v>
      </c>
      <c r="BQ22" s="19">
        <v>0.068904999999999994</v>
      </c>
      <c r="BR22" s="19">
        <v>0.074806999999999998</v>
      </c>
      <c r="BS22" s="19">
        <v>0.081416000000000002</v>
      </c>
      <c r="BT22" s="19">
        <v>0.080403000000000002</v>
      </c>
      <c r="BU22" s="19">
        <v>0.079403000000000001</v>
      </c>
    </row>
    <row r="23" spans="3:73" ht="14.2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0.70</v>
      </c>
      <c r="M23" s="18"/>
      <c r="N23" s="18"/>
      <c r="O23" s="18"/>
      <c r="P23" s="18"/>
      <c r="Q23" s="18"/>
      <c r="R23" s="19">
        <v>0.70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0.066202681356819906</v>
      </c>
      <c r="BC23" s="19">
        <v>0.070016559658056504</v>
      </c>
      <c r="BD23" s="19">
        <v>0.073394497743582796</v>
      </c>
      <c r="BE23" s="19">
        <v>0.077700671756973899</v>
      </c>
      <c r="BF23" s="19">
        <v>0.082892742167955794</v>
      </c>
      <c r="BG23" s="19">
        <v>0.088871137714197093</v>
      </c>
      <c r="BH23" s="19">
        <v>0.095516464432224099</v>
      </c>
      <c r="BI23" s="19">
        <v>0.093152312840136406</v>
      </c>
      <c r="BJ23" s="19">
        <v>0.090846676947761898</v>
      </c>
      <c r="BK23" s="18"/>
      <c r="BL23" s="18"/>
      <c r="BM23" s="19">
        <v>0.066702999999999998</v>
      </c>
      <c r="BN23" s="19">
        <v>0.071257000000000001</v>
      </c>
      <c r="BO23" s="19">
        <v>0.075637999999999997</v>
      </c>
      <c r="BP23" s="19">
        <v>0.081087000000000006</v>
      </c>
      <c r="BQ23" s="19">
        <v>0.087597999999999995</v>
      </c>
      <c r="BR23" s="19">
        <v>0.095101000000000005</v>
      </c>
      <c r="BS23" s="19">
        <v>0.103503</v>
      </c>
      <c r="BT23" s="19">
        <v>0.102216</v>
      </c>
      <c r="BU23" s="19">
        <v>0.10094400000000001</v>
      </c>
    </row>
    <row r="24" spans="3:73" ht="14.2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0.092196</v>
      </c>
      <c r="AH24" s="18"/>
      <c r="AI24" s="18"/>
      <c r="AJ24" s="18"/>
      <c r="AK24" s="18"/>
      <c r="AL24" s="18"/>
      <c r="AM24" s="19">
        <v>0.092196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ht="14.2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3.50</v>
      </c>
      <c r="M25" s="18"/>
      <c r="N25" s="18"/>
      <c r="O25" s="18"/>
      <c r="P25" s="18"/>
      <c r="Q25" s="18"/>
      <c r="R25" s="19">
        <v>3.50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0.094161955993913596</v>
      </c>
      <c r="BE25" s="19">
        <v>0.088344897768547204</v>
      </c>
      <c r="BF25" s="19">
        <v>0.082900059267922793</v>
      </c>
      <c r="BG25" s="19">
        <v>0.077802875115962705</v>
      </c>
      <c r="BH25" s="19">
        <v>0.073030443177839993</v>
      </c>
      <c r="BI25" s="19">
        <v>0.067715032089568306</v>
      </c>
      <c r="BJ25" s="19">
        <v>0.062786495211665599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0.097956000000000001</v>
      </c>
      <c r="BR25" s="19">
        <v>0.095486000000000001</v>
      </c>
      <c r="BS25" s="19">
        <v>0.093093999999999996</v>
      </c>
      <c r="BT25" s="19">
        <v>0.089654999999999999</v>
      </c>
      <c r="BU25" s="19">
        <v>0.086343000000000003</v>
      </c>
    </row>
    <row r="26" spans="3:73" ht="14.2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0.90</v>
      </c>
      <c r="M26" s="19"/>
      <c r="N26" s="18"/>
      <c r="O26" s="19"/>
      <c r="P26" s="18"/>
      <c r="Q26" s="18"/>
      <c r="R26" s="19">
        <v>0.90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0.00183847694313352</v>
      </c>
      <c r="BC26" s="19">
        <v>0.0018226274038672401</v>
      </c>
      <c r="BD26" s="19">
        <v>0.0016852255048052101</v>
      </c>
      <c r="BE26" s="19">
        <v>0.0016630230765739399</v>
      </c>
      <c r="BF26" s="19">
        <v>0.0016413677476215</v>
      </c>
      <c r="BG26" s="19">
        <v>0.0016202459768633801</v>
      </c>
      <c r="BH26" s="19">
        <v>0.0015996445583737499</v>
      </c>
      <c r="BI26" s="19">
        <v>0.0015600513609921899</v>
      </c>
      <c r="BJ26" s="19">
        <v>0.00152143814461372</v>
      </c>
      <c r="BK26" s="18"/>
      <c r="BL26" s="18"/>
      <c r="BM26" s="19">
        <v>0.0018519999999999999</v>
      </c>
      <c r="BN26" s="19">
        <v>0.0018550000000000001</v>
      </c>
      <c r="BO26" s="19">
        <v>0.001737</v>
      </c>
      <c r="BP26" s="19">
        <v>0.0017359999999999999</v>
      </c>
      <c r="BQ26" s="19">
        <v>0.001735</v>
      </c>
      <c r="BR26" s="19">
        <v>0.0017340000000000001</v>
      </c>
      <c r="BS26" s="19">
        <v>0.0017329999999999999</v>
      </c>
      <c r="BT26" s="19">
        <v>0.001712</v>
      </c>
      <c r="BU26" s="19">
        <v>0.001691</v>
      </c>
    </row>
    <row r="27" spans="3:73" ht="14.2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3.50</v>
      </c>
      <c r="M27" s="19"/>
      <c r="N27" s="18"/>
      <c r="O27" s="19"/>
      <c r="P27" s="18"/>
      <c r="Q27" s="18"/>
      <c r="R27" s="19">
        <v>3.50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0.0065715155392520302</v>
      </c>
      <c r="BC27" s="19">
        <v>0.0063848941630030602</v>
      </c>
      <c r="BD27" s="19">
        <v>0.0057567106297134497</v>
      </c>
      <c r="BE27" s="19">
        <v>0.0055395593683485204</v>
      </c>
      <c r="BF27" s="19">
        <v>0.0053314263015512902</v>
      </c>
      <c r="BG27" s="19">
        <v>0.0051319100514281403</v>
      </c>
      <c r="BH27" s="19">
        <v>0.0049406278966635303</v>
      </c>
      <c r="BI27" s="19">
        <v>0.0046984879699853797</v>
      </c>
      <c r="BJ27" s="19">
        <v>0.0044682153090309503</v>
      </c>
      <c r="BK27" s="18"/>
      <c r="BL27" s="18"/>
      <c r="BM27" s="19">
        <v>0.006672</v>
      </c>
      <c r="BN27" s="19">
        <v>0.0066140000000000001</v>
      </c>
      <c r="BO27" s="19">
        <v>0.0061149999999999998</v>
      </c>
      <c r="BP27" s="19">
        <v>0.0060350000000000004</v>
      </c>
      <c r="BQ27" s="19">
        <v>0.0059560000000000004</v>
      </c>
      <c r="BR27" s="19">
        <v>0.0058799999999999998</v>
      </c>
      <c r="BS27" s="19">
        <v>0.0058050000000000003</v>
      </c>
      <c r="BT27" s="19">
        <v>0.0056610000000000002</v>
      </c>
      <c r="BU27" s="19">
        <v>0.0055209999999999999</v>
      </c>
    </row>
    <row r="28" spans="3:73" ht="14.2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0.073200547754531498</v>
      </c>
      <c r="AH28" s="19">
        <v>0.0776797171473083</v>
      </c>
      <c r="AI28" s="18"/>
      <c r="AJ28" s="19">
        <v>0.082433931151336001</v>
      </c>
      <c r="AK28" s="18"/>
      <c r="AL28" s="18"/>
      <c r="AM28" s="19">
        <v>0.073200547754531498</v>
      </c>
      <c r="AN28" s="19">
        <v>0.077810538730488696</v>
      </c>
      <c r="AO28" s="18"/>
      <c r="AP28" s="19">
        <v>0.080238361195686503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0.091987428474303704</v>
      </c>
      <c r="BE28" s="19">
        <v>0.088517532659181594</v>
      </c>
      <c r="BF28" s="19">
        <v>0.085191740062220606</v>
      </c>
      <c r="BG28" s="19">
        <v>0.082003636999868401</v>
      </c>
      <c r="BH28" s="19">
        <v>0.078947107905110697</v>
      </c>
      <c r="BI28" s="19">
        <v>0.075077914086141895</v>
      </c>
      <c r="BJ28" s="19">
        <v>0.071398349263168001</v>
      </c>
      <c r="BK28" s="18"/>
      <c r="BL28" s="18"/>
      <c r="BM28" s="19">
        <v>0.10660600000000001</v>
      </c>
      <c r="BN28" s="19">
        <v>0.105687</v>
      </c>
      <c r="BO28" s="19">
        <v>0.097720000000000001</v>
      </c>
      <c r="BP28" s="19">
        <v>0.096432000000000004</v>
      </c>
      <c r="BQ28" s="19">
        <v>0.095176999999999998</v>
      </c>
      <c r="BR28" s="19">
        <v>0.093951999999999994</v>
      </c>
      <c r="BS28" s="19">
        <v>0.092757000000000006</v>
      </c>
      <c r="BT28" s="19">
        <v>0.090462000000000001</v>
      </c>
      <c r="BU28" s="19">
        <v>0.088222999999999996</v>
      </c>
    </row>
    <row r="29" spans="3:73" ht="14.2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0.012075843006452</v>
      </c>
      <c r="BC29" s="19">
        <v>0.011732906825631899</v>
      </c>
      <c r="BD29" s="19">
        <v>0.010578554274544899</v>
      </c>
      <c r="BE29" s="19">
        <v>0.0101795162558059</v>
      </c>
      <c r="BF29" s="19">
        <v>0.0097970501071553695</v>
      </c>
      <c r="BG29" s="19">
        <v>0.0094304182549848695</v>
      </c>
      <c r="BH29" s="19">
        <v>0.0090789174090877296</v>
      </c>
      <c r="BI29" s="19">
        <v>0.0086339601199063205</v>
      </c>
      <c r="BJ29" s="19">
        <v>0.0082108101652643203</v>
      </c>
      <c r="BK29" s="18"/>
      <c r="BL29" s="18"/>
      <c r="BM29" s="19">
        <v>0.01226</v>
      </c>
      <c r="BN29" s="19">
        <v>0.012154</v>
      </c>
      <c r="BO29" s="19">
        <v>0.011238</v>
      </c>
      <c r="BP29" s="19">
        <v>0.011089999999999999</v>
      </c>
      <c r="BQ29" s="19">
        <v>0.010945</v>
      </c>
      <c r="BR29" s="19">
        <v>0.010803999999999999</v>
      </c>
      <c r="BS29" s="19">
        <v>0.010666999999999999</v>
      </c>
      <c r="BT29" s="19">
        <v>0.010403000000000001</v>
      </c>
      <c r="BU29" s="19">
        <v>0.010146000000000001</v>
      </c>
    </row>
    <row r="30" spans="3:73" ht="14.2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0.0553341013558519</v>
      </c>
      <c r="BC30" s="19">
        <v>0.053762694260053603</v>
      </c>
      <c r="BD30" s="19">
        <v>0.048473203412242198</v>
      </c>
      <c r="BE30" s="19">
        <v>0.046644725668539597</v>
      </c>
      <c r="BF30" s="19">
        <v>0.044892183786096898</v>
      </c>
      <c r="BG30" s="19">
        <v>0.043212198044526098</v>
      </c>
      <c r="BH30" s="19">
        <v>0.041601545817336001</v>
      </c>
      <c r="BI30" s="19">
        <v>0.039562656132745497</v>
      </c>
      <c r="BJ30" s="19">
        <v>0.037623692329856198</v>
      </c>
      <c r="BK30" s="18"/>
      <c r="BL30" s="18"/>
      <c r="BM30" s="19">
        <v>0.056176999999999998</v>
      </c>
      <c r="BN30" s="19">
        <v>0.055691999999999998</v>
      </c>
      <c r="BO30" s="19">
        <v>0.051493999999999998</v>
      </c>
      <c r="BP30" s="19">
        <v>0.050816</v>
      </c>
      <c r="BQ30" s="19">
        <v>0.050153999999999997</v>
      </c>
      <c r="BR30" s="19">
        <v>0.049508000000000003</v>
      </c>
      <c r="BS30" s="19">
        <v>0.048878999999999999</v>
      </c>
      <c r="BT30" s="19">
        <v>0.047669000000000003</v>
      </c>
      <c r="BU30" s="19">
        <v>0.046489000000000003</v>
      </c>
    </row>
    <row r="31" spans="3:73" ht="14.2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0.00193992174566161</v>
      </c>
      <c r="BC31" s="19">
        <v>0.0019505429438028</v>
      </c>
      <c r="BD31" s="19">
        <v>0.00194102613332625</v>
      </c>
      <c r="BE31" s="19">
        <v>0.0019629873210145702</v>
      </c>
      <c r="BF31" s="19">
        <v>0.0019758451236908101</v>
      </c>
      <c r="BG31" s="19">
        <v>0.0019802057076845699</v>
      </c>
      <c r="BH31" s="19">
        <v>0.0019766466270683602</v>
      </c>
      <c r="BI31" s="19">
        <v>0.0019665095516587698</v>
      </c>
      <c r="BJ31" s="19">
        <v>0.0019525753976570399</v>
      </c>
      <c r="BK31" s="18"/>
      <c r="BL31" s="18"/>
      <c r="BM31" s="19">
        <v>0.00197</v>
      </c>
      <c r="BN31" s="19">
        <v>0.002078</v>
      </c>
      <c r="BO31" s="19">
        <v>0.0021749999999999999</v>
      </c>
      <c r="BP31" s="19">
        <v>0.0022209999999999999</v>
      </c>
      <c r="BQ31" s="19">
        <v>0.0022179999999999999</v>
      </c>
      <c r="BR31" s="19">
        <v>0.0022070000000000002</v>
      </c>
      <c r="BS31" s="19">
        <v>0.0021900000000000001</v>
      </c>
      <c r="BT31" s="19">
        <v>0.002166</v>
      </c>
      <c r="BU31" s="19">
        <v>0.0021389999999999998</v>
      </c>
    </row>
    <row r="32" spans="3:73" ht="14.2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ht="14.2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0.041656914998071198</v>
      </c>
      <c r="BC33" s="19">
        <v>0.039991707703162099</v>
      </c>
      <c r="BD33" s="19">
        <v>0.035922437268378703</v>
      </c>
      <c r="BE33" s="19">
        <v>0.032267226718067102</v>
      </c>
      <c r="BF33" s="19">
        <v>0.028575890435369899</v>
      </c>
      <c r="BG33" s="19">
        <v>0.024949547777764501</v>
      </c>
      <c r="BH33" s="19">
        <v>0.021783395891820601</v>
      </c>
      <c r="BI33" s="19">
        <v>0.0190190355675579</v>
      </c>
      <c r="BJ33" s="19">
        <v>0.016605478581778601</v>
      </c>
      <c r="BK33" s="18"/>
      <c r="BL33" s="18"/>
      <c r="BM33" s="19">
        <v>0.042616000000000001</v>
      </c>
      <c r="BN33" s="19">
        <v>0.042173000000000002</v>
      </c>
      <c r="BO33" s="19">
        <v>0.037166999999999999</v>
      </c>
      <c r="BP33" s="19">
        <v>0.032756</v>
      </c>
      <c r="BQ33" s="19">
        <v>0.030130000000000001</v>
      </c>
      <c r="BR33" s="19">
        <v>0.028916000000000001</v>
      </c>
      <c r="BS33" s="19">
        <v>0.02775</v>
      </c>
      <c r="BT33" s="19">
        <v>0.026630999999999998</v>
      </c>
      <c r="BU33" s="19">
        <v>0.025558000000000001</v>
      </c>
    </row>
    <row r="34" spans="3:73" ht="14.2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0.024321209968671199</v>
      </c>
      <c r="BC34" s="19">
        <v>0.0243117053451779</v>
      </c>
      <c r="BD34" s="19">
        <v>0.022969181539690499</v>
      </c>
      <c r="BE34" s="19">
        <v>0.021700793634696802</v>
      </c>
      <c r="BF34" s="19">
        <v>0.020213801646947398</v>
      </c>
      <c r="BG34" s="19">
        <v>0.018562871451818199</v>
      </c>
      <c r="BH34" s="19">
        <v>0.017046778362384999</v>
      </c>
      <c r="BI34" s="19">
        <v>0.0156545097718606</v>
      </c>
      <c r="BJ34" s="19">
        <v>0.014375952510653199</v>
      </c>
      <c r="BK34" s="18"/>
      <c r="BL34" s="18"/>
      <c r="BM34" s="19">
        <v>0.024504999999999999</v>
      </c>
      <c r="BN34" s="19">
        <v>0.024743000000000001</v>
      </c>
      <c r="BO34" s="19">
        <v>0.022360999999999999</v>
      </c>
      <c r="BP34" s="19">
        <v>0.020208</v>
      </c>
      <c r="BQ34" s="19">
        <v>0.019061000000000002</v>
      </c>
      <c r="BR34" s="19">
        <v>0.018758</v>
      </c>
      <c r="BS34" s="19">
        <v>0.018460000000000001</v>
      </c>
      <c r="BT34" s="19">
        <v>0.018166999999999999</v>
      </c>
      <c r="BU34" s="19">
        <v>0.017878000000000002</v>
      </c>
    </row>
    <row r="35" spans="3:73" ht="14.2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0.0157805468073248</v>
      </c>
      <c r="BC35" s="19">
        <v>0.0154596888769936</v>
      </c>
      <c r="BD35" s="19">
        <v>0.0142426701219046</v>
      </c>
      <c r="BE35" s="19">
        <v>0.0131214576059981</v>
      </c>
      <c r="BF35" s="19">
        <v>0.0119183197753206</v>
      </c>
      <c r="BG35" s="19">
        <v>0.010672662113769099</v>
      </c>
      <c r="BH35" s="19">
        <v>0.0095571958750887993</v>
      </c>
      <c r="BI35" s="19">
        <v>0.0085583139446505797</v>
      </c>
      <c r="BJ35" s="19">
        <v>0.0076638313719315796</v>
      </c>
      <c r="BK35" s="18"/>
      <c r="BL35" s="18"/>
      <c r="BM35" s="19">
        <v>0.016021000000000001</v>
      </c>
      <c r="BN35" s="19">
        <v>0.016015000000000001</v>
      </c>
      <c r="BO35" s="19">
        <v>0.014293</v>
      </c>
      <c r="BP35" s="19">
        <v>0.012756</v>
      </c>
      <c r="BQ35" s="19">
        <v>0.011882</v>
      </c>
      <c r="BR35" s="19">
        <v>0.011547</v>
      </c>
      <c r="BS35" s="19">
        <v>0.011221999999999999</v>
      </c>
      <c r="BT35" s="19">
        <v>0.010906000000000001</v>
      </c>
      <c r="BU35" s="19">
        <v>0.010599000000000001</v>
      </c>
    </row>
    <row r="36" spans="3:73" ht="14.2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0.0053619301119255704</v>
      </c>
      <c r="BC36" s="19">
        <v>0.0052529086807103897</v>
      </c>
      <c r="BD36" s="19">
        <v>0.0048393888205074901</v>
      </c>
      <c r="BE36" s="19">
        <v>0.0044584221008931897</v>
      </c>
      <c r="BF36" s="19">
        <v>0.0040496187151884298</v>
      </c>
      <c r="BG36" s="19">
        <v>0.00362636789845987</v>
      </c>
      <c r="BH36" s="19">
        <v>0.0032473536547176799</v>
      </c>
      <c r="BI36" s="19">
        <v>0.0029079525448278101</v>
      </c>
      <c r="BJ36" s="19">
        <v>0.00260402435401072</v>
      </c>
      <c r="BK36" s="18"/>
      <c r="BL36" s="18"/>
      <c r="BM36" s="19">
        <v>0.0054440000000000001</v>
      </c>
      <c r="BN36" s="19">
        <v>0.0054409999999999997</v>
      </c>
      <c r="BO36" s="19">
        <v>0.0048560000000000001</v>
      </c>
      <c r="BP36" s="19">
        <v>0.0043340000000000002</v>
      </c>
      <c r="BQ36" s="19">
        <v>0.0040369999999999998</v>
      </c>
      <c r="BR36" s="19">
        <v>0.0039230000000000003</v>
      </c>
      <c r="BS36" s="19">
        <v>0.003813</v>
      </c>
      <c r="BT36" s="19">
        <v>0.0037060000000000001</v>
      </c>
      <c r="BU36" s="19">
        <v>0.003601</v>
      </c>
    </row>
    <row r="37" spans="3:73" ht="14.2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0.085679165478484295</v>
      </c>
      <c r="BC37" s="19">
        <v>0.083937094050695396</v>
      </c>
      <c r="BD37" s="19">
        <v>0.077329392012177006</v>
      </c>
      <c r="BE37" s="19">
        <v>0.071241861975365903</v>
      </c>
      <c r="BF37" s="19">
        <v>0.064709525260633005</v>
      </c>
      <c r="BG37" s="19">
        <v>0.057946330663087797</v>
      </c>
      <c r="BH37" s="19">
        <v>0.051889999560214103</v>
      </c>
      <c r="BI37" s="19">
        <v>0.046466653255651399</v>
      </c>
      <c r="BJ37" s="19">
        <v>0.041610134574686597</v>
      </c>
      <c r="BK37" s="18"/>
      <c r="BL37" s="18"/>
      <c r="BM37" s="19">
        <v>0.086984000000000006</v>
      </c>
      <c r="BN37" s="19">
        <v>0.08695</v>
      </c>
      <c r="BO37" s="19">
        <v>0.077600000000000002</v>
      </c>
      <c r="BP37" s="19">
        <v>0.069255999999999998</v>
      </c>
      <c r="BQ37" s="19">
        <v>0.064509999999999998</v>
      </c>
      <c r="BR37" s="19">
        <v>0.062692999999999999</v>
      </c>
      <c r="BS37" s="19">
        <v>0.060928000000000003</v>
      </c>
      <c r="BT37" s="19">
        <v>0.059212000000000001</v>
      </c>
      <c r="BU37" s="19">
        <v>0.057543999999999998</v>
      </c>
    </row>
    <row r="38" spans="3:73" ht="14.2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0.0098531040300257004</v>
      </c>
      <c r="BC38" s="19">
        <v>0.0096527658158299702</v>
      </c>
      <c r="BD38" s="19">
        <v>0.0088928800814003593</v>
      </c>
      <c r="BE38" s="19">
        <v>0.0081928141271670803</v>
      </c>
      <c r="BF38" s="19">
        <v>0.0074415954049727997</v>
      </c>
      <c r="BG38" s="19">
        <v>0.0066638280262550998</v>
      </c>
      <c r="BH38" s="19">
        <v>0.0059673499494246303</v>
      </c>
      <c r="BI38" s="19">
        <v>0.0053436651243999097</v>
      </c>
      <c r="BJ38" s="19">
        <v>0.00478516547608896</v>
      </c>
      <c r="BK38" s="18"/>
      <c r="BL38" s="18"/>
      <c r="BM38" s="19">
        <v>0.010003</v>
      </c>
      <c r="BN38" s="19">
        <v>0.0099989999999999992</v>
      </c>
      <c r="BO38" s="19">
        <v>0.0089239999999999996</v>
      </c>
      <c r="BP38" s="19">
        <v>0.0079640000000000006</v>
      </c>
      <c r="BQ38" s="19">
        <v>0.0074190000000000002</v>
      </c>
      <c r="BR38" s="19">
        <v>0.0072100000000000003</v>
      </c>
      <c r="BS38" s="19">
        <v>0.0070070000000000002</v>
      </c>
      <c r="BT38" s="19">
        <v>0.0068089999999999999</v>
      </c>
      <c r="BU38" s="19">
        <v>0.0066179999999999998</v>
      </c>
    </row>
    <row r="39" spans="3:73" ht="14.2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0.90</v>
      </c>
      <c r="M39" s="19"/>
      <c r="N39" s="18"/>
      <c r="O39" s="19"/>
      <c r="P39" s="18"/>
      <c r="Q39" s="18"/>
      <c r="R39" s="19">
        <v>0.90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ht="14.2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0.70</v>
      </c>
      <c r="M40" s="19"/>
      <c r="N40" s="18"/>
      <c r="O40" s="19"/>
      <c r="P40" s="18"/>
      <c r="Q40" s="18"/>
      <c r="R40" s="19">
        <v>0.70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0.011299595657923</v>
      </c>
      <c r="BC40" s="19">
        <v>0.0108543465036142</v>
      </c>
      <c r="BD40" s="19">
        <v>0.0103223755231039</v>
      </c>
      <c r="BE40" s="19">
        <v>0.0098164764138031404</v>
      </c>
      <c r="BF40" s="19">
        <v>0.0093353713946048196</v>
      </c>
      <c r="BG40" s="19">
        <v>0.0088778453083902704</v>
      </c>
      <c r="BH40" s="19">
        <v>0.0084427425528305396</v>
      </c>
      <c r="BI40" s="19">
        <v>0.00802896416160917</v>
      </c>
      <c r="BJ40" s="19">
        <v>0.0076354650286940204</v>
      </c>
      <c r="BK40" s="18"/>
      <c r="BL40" s="18"/>
      <c r="BM40" s="19">
        <v>0.011472</v>
      </c>
      <c r="BN40" s="19">
        <v>0.011244000000000001</v>
      </c>
      <c r="BO40" s="19">
        <v>0.010966</v>
      </c>
      <c r="BP40" s="19">
        <v>0.010694</v>
      </c>
      <c r="BQ40" s="19">
        <v>0.01043</v>
      </c>
      <c r="BR40" s="19">
        <v>0.010170999999999999</v>
      </c>
      <c r="BS40" s="19">
        <v>0.00992</v>
      </c>
      <c r="BT40" s="19">
        <v>0.0096740000000000003</v>
      </c>
      <c r="BU40" s="19">
        <v>0.0094350000000000007</v>
      </c>
    </row>
    <row r="41" spans="3:73" ht="14.2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0.0154688224903246</v>
      </c>
      <c r="BC41" s="19">
        <v>0.014859289163604</v>
      </c>
      <c r="BD41" s="19">
        <v>0.0141310361431743</v>
      </c>
      <c r="BE41" s="19">
        <v>0.0134384747669361</v>
      </c>
      <c r="BF41" s="19">
        <v>0.0127798557891884</v>
      </c>
      <c r="BG41" s="19">
        <v>0.012153515694675101</v>
      </c>
      <c r="BH41" s="19">
        <v>0.0115578724969395</v>
      </c>
      <c r="BI41" s="19">
        <v>0.0109914217426023</v>
      </c>
      <c r="BJ41" s="19">
        <v>0.010452732711469299</v>
      </c>
      <c r="BK41" s="18"/>
      <c r="BL41" s="18"/>
      <c r="BM41" s="19">
        <v>0.015703999999999999</v>
      </c>
      <c r="BN41" s="19">
        <v>0.015393</v>
      </c>
      <c r="BO41" s="19">
        <v>0.015011999999999999</v>
      </c>
      <c r="BP41" s="19">
        <v>0.01464</v>
      </c>
      <c r="BQ41" s="19">
        <v>0.014278000000000001</v>
      </c>
      <c r="BR41" s="19">
        <v>0.013924000000000001</v>
      </c>
      <c r="BS41" s="19">
        <v>0.01358</v>
      </c>
      <c r="BT41" s="19">
        <v>0.013244000000000001</v>
      </c>
      <c r="BU41" s="19">
        <v>0.012916</v>
      </c>
    </row>
    <row r="42" spans="3:73" ht="14.2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0.0537816975560865</v>
      </c>
      <c r="BC42" s="19">
        <v>0.051662484083403397</v>
      </c>
      <c r="BD42" s="19">
        <v>0.049130508316433799</v>
      </c>
      <c r="BE42" s="19">
        <v>0.046722624555457698</v>
      </c>
      <c r="BF42" s="19">
        <v>0.044432751057453701</v>
      </c>
      <c r="BG42" s="19">
        <v>0.0422551041453222</v>
      </c>
      <c r="BH42" s="19">
        <v>0.040184183599689602</v>
      </c>
      <c r="BI42" s="19">
        <v>0.038214758766659598</v>
      </c>
      <c r="BJ42" s="19">
        <v>0.036341855346422099</v>
      </c>
      <c r="BK42" s="18"/>
      <c r="BL42" s="18"/>
      <c r="BM42" s="19">
        <v>0.054600999999999997</v>
      </c>
      <c r="BN42" s="19">
        <v>0.053517000000000002</v>
      </c>
      <c r="BO42" s="19">
        <v>0.052192000000000002</v>
      </c>
      <c r="BP42" s="19">
        <v>0.050900000000000001</v>
      </c>
      <c r="BQ42" s="19">
        <v>0.049640999999999998</v>
      </c>
      <c r="BR42" s="19">
        <v>0.048411999999999997</v>
      </c>
      <c r="BS42" s="19">
        <v>0.047213999999999999</v>
      </c>
      <c r="BT42" s="19">
        <v>0.046045000000000003</v>
      </c>
      <c r="BU42" s="19">
        <v>0.044905</v>
      </c>
    </row>
    <row r="43" spans="3:73" ht="14.2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0.00060252851062788998</v>
      </c>
      <c r="BC43" s="19">
        <v>0.00057878648322039303</v>
      </c>
      <c r="BD43" s="19">
        <v>0.00055042018655920703</v>
      </c>
      <c r="BE43" s="19">
        <v>0.00052344412068190801</v>
      </c>
      <c r="BF43" s="19">
        <v>0.000497790150447149</v>
      </c>
      <c r="BG43" s="19">
        <v>0.00047339348001346302</v>
      </c>
      <c r="BH43" s="19">
        <v>0.00045019248918033798</v>
      </c>
      <c r="BI43" s="19">
        <v>0.00042812857775021399</v>
      </c>
      <c r="BJ43" s="19">
        <v>0.00040714601751829199</v>
      </c>
      <c r="BK43" s="18"/>
      <c r="BL43" s="18"/>
      <c r="BM43" s="19">
        <v>0.00061200000000000002</v>
      </c>
      <c r="BN43" s="19">
        <v>0.00059999999999999995</v>
      </c>
      <c r="BO43" s="19">
        <v>0.00058500000000000002</v>
      </c>
      <c r="BP43" s="19">
        <v>0.00056999999999999998</v>
      </c>
      <c r="BQ43" s="19">
        <v>0.00055599999999999996</v>
      </c>
      <c r="BR43" s="19">
        <v>0.00054199999999999995</v>
      </c>
      <c r="BS43" s="19">
        <v>0.00052899999999999996</v>
      </c>
      <c r="BT43" s="19">
        <v>0.00051599999999999997</v>
      </c>
      <c r="BU43" s="19">
        <v>0.00050299999999999997</v>
      </c>
    </row>
    <row r="44" spans="3:73" ht="14.2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0.0067362547182976398</v>
      </c>
      <c r="BC44" s="19">
        <v>0.0064708194047403801</v>
      </c>
      <c r="BD44" s="19">
        <v>0.0061536848686079403</v>
      </c>
      <c r="BE44" s="19">
        <v>0.0058520930802663396</v>
      </c>
      <c r="BF44" s="19">
        <v>0.0055652822904219299</v>
      </c>
      <c r="BG44" s="19">
        <v>0.0052925280830759397</v>
      </c>
      <c r="BH44" s="19">
        <v>0.0050331415458215404</v>
      </c>
      <c r="BI44" s="19">
        <v>0.0047864675298145897</v>
      </c>
      <c r="BJ44" s="19">
        <v>0.0045518829950230997</v>
      </c>
      <c r="BK44" s="18"/>
      <c r="BL44" s="18"/>
      <c r="BM44" s="19">
        <v>0.0068389999999999996</v>
      </c>
      <c r="BN44" s="19">
        <v>0.0067029999999999998</v>
      </c>
      <c r="BO44" s="19">
        <v>0.0065370000000000003</v>
      </c>
      <c r="BP44" s="19">
        <v>0.0063749999999999996</v>
      </c>
      <c r="BQ44" s="19">
        <v>0.0062179999999999996</v>
      </c>
      <c r="BR44" s="19">
        <v>0.0060639999999999999</v>
      </c>
      <c r="BS44" s="19">
        <v>0.005914</v>
      </c>
      <c r="BT44" s="19">
        <v>0.0057670000000000004</v>
      </c>
      <c r="BU44" s="19">
        <v>0.0056239999999999997</v>
      </c>
    </row>
    <row r="45" spans="3:73" ht="14.2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0.079175526421355003</v>
      </c>
      <c r="BC45" s="19">
        <v>0.082520841794861202</v>
      </c>
      <c r="BD45" s="19">
        <v>0.085675871348889293</v>
      </c>
      <c r="BE45" s="19">
        <v>0.089954785033159401</v>
      </c>
      <c r="BF45" s="19">
        <v>0.0935382684497999</v>
      </c>
      <c r="BG45" s="19">
        <v>0.096364198196670206</v>
      </c>
      <c r="BH45" s="19">
        <v>0.098681587898829207</v>
      </c>
      <c r="BI45" s="19">
        <v>0.100717478123783</v>
      </c>
      <c r="BJ45" s="19">
        <v>0.10259313118442499</v>
      </c>
      <c r="BK45" s="18"/>
      <c r="BL45" s="18"/>
      <c r="BM45" s="19">
        <v>0.079787534821382705</v>
      </c>
      <c r="BN45" s="19">
        <v>0.086381065143963695</v>
      </c>
      <c r="BO45" s="19">
        <v>0.093152212683142402</v>
      </c>
      <c r="BP45" s="19">
        <v>0.097524580634090599</v>
      </c>
      <c r="BQ45" s="19">
        <v>0.099354903499760894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ht="14.2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0.079407232926067106</v>
      </c>
      <c r="BC46" s="19">
        <v>0.082762338336563102</v>
      </c>
      <c r="BD46" s="19">
        <v>0.0859266010577487</v>
      </c>
      <c r="BE46" s="19">
        <v>0.090218036946525096</v>
      </c>
      <c r="BF46" s="19">
        <v>0.093812007396908106</v>
      </c>
      <c r="BG46" s="19">
        <v>0.096646207203149107</v>
      </c>
      <c r="BH46" s="19">
        <v>0.098970378726562905</v>
      </c>
      <c r="BI46" s="19">
        <v>0.10101222696694601</v>
      </c>
      <c r="BJ46" s="19">
        <v>0.102893369110317</v>
      </c>
      <c r="BK46" s="18"/>
      <c r="BL46" s="18"/>
      <c r="BM46" s="19">
        <v>0.080021032363472494</v>
      </c>
      <c r="BN46" s="19">
        <v>0.086633858596466898</v>
      </c>
      <c r="BO46" s="19">
        <v>0.093424821841332703</v>
      </c>
      <c r="BP46" s="19">
        <v>0.097809985489903897</v>
      </c>
      <c r="BQ46" s="19">
        <v>0.099645664779874396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ht="14.2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0.0084904373927395804</v>
      </c>
      <c r="BC47" s="19">
        <v>0.0088491743916774591</v>
      </c>
      <c r="BD47" s="19">
        <v>0.0091875059710364807</v>
      </c>
      <c r="BE47" s="19">
        <v>0.0096463579722456897</v>
      </c>
      <c r="BF47" s="19">
        <v>0.0100306350711435</v>
      </c>
      <c r="BG47" s="19">
        <v>0.0103336754256136</v>
      </c>
      <c r="BH47" s="19">
        <v>0.0105821821684176</v>
      </c>
      <c r="BI47" s="19">
        <v>0.010800502137664999</v>
      </c>
      <c r="BJ47" s="19">
        <v>0.0110016389737768</v>
      </c>
      <c r="BK47" s="18"/>
      <c r="BL47" s="18"/>
      <c r="BM47" s="19">
        <v>0.0085560664985899499</v>
      </c>
      <c r="BN47" s="19">
        <v>0.0092631278713565801</v>
      </c>
      <c r="BO47" s="19">
        <v>0.0099892361381011593</v>
      </c>
      <c r="BP47" s="19">
        <v>0.0104581097663987</v>
      </c>
      <c r="BQ47" s="19">
        <v>0.0106543855905311</v>
      </c>
      <c r="BR47" s="19">
        <v>0.0107644106845451</v>
      </c>
      <c r="BS47" s="19">
        <v>0.0108184608709056</v>
      </c>
      <c r="BT47" s="19">
        <v>0.0108421297194694</v>
      </c>
      <c r="BU47" s="19">
        <v>0.010848420724707101</v>
      </c>
    </row>
    <row r="48" spans="3:73" ht="14.2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0.085942170023326506</v>
      </c>
      <c r="BC48" s="19">
        <v>0.089573388855790997</v>
      </c>
      <c r="BD48" s="19">
        <v>0.092998059314158499</v>
      </c>
      <c r="BE48" s="19">
        <v>0.097642665343193893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0.086606483004221302</v>
      </c>
      <c r="BN48" s="19">
        <v>0.093763521670709699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ht="14.2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0.0030789820842203001</v>
      </c>
      <c r="BC49" s="19">
        <v>0.0032090748864617002</v>
      </c>
      <c r="BD49" s="19">
        <v>0.0033317678436305702</v>
      </c>
      <c r="BE49" s="19">
        <v>0.0034981664666555701</v>
      </c>
      <c r="BF49" s="19">
        <v>0.0036375211604307502</v>
      </c>
      <c r="BG49" s="19">
        <v>0.0037474160667882298</v>
      </c>
      <c r="BH49" s="19">
        <v>0.0038375348408287301</v>
      </c>
      <c r="BI49" s="19">
        <v>0.0039167066482217504</v>
      </c>
      <c r="BJ49" s="19">
        <v>0.0039896471442431398</v>
      </c>
      <c r="BK49" s="18"/>
      <c r="BL49" s="18"/>
      <c r="BM49" s="19">
        <v>0.0031027818994441301</v>
      </c>
      <c r="BN49" s="19">
        <v>0.0033591914574551602</v>
      </c>
      <c r="BO49" s="19">
        <v>0.00362250820323584</v>
      </c>
      <c r="BP49" s="19">
        <v>0.0037925410807559002</v>
      </c>
      <c r="BQ49" s="19">
        <v>0.0038637187737433302</v>
      </c>
      <c r="BR49" s="19">
        <v>0.0039036184017146101</v>
      </c>
      <c r="BS49" s="19">
        <v>0.0039232192241168903</v>
      </c>
      <c r="BT49" s="19">
        <v>0.0039318025228694603</v>
      </c>
      <c r="BU49" s="19">
        <v>0.0039340839003206597</v>
      </c>
    </row>
    <row r="50" spans="3:73" ht="14.2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0.80</v>
      </c>
      <c r="M50" s="18"/>
      <c r="N50" s="18"/>
      <c r="O50" s="19"/>
      <c r="P50" s="18"/>
      <c r="Q50" s="18"/>
      <c r="R50" s="19">
        <v>0.80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ht="14.2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0.50</v>
      </c>
      <c r="M51" s="18"/>
      <c r="N51" s="18"/>
      <c r="O51" s="19"/>
      <c r="P51" s="18"/>
      <c r="Q51" s="18"/>
      <c r="R51" s="19">
        <v>0.50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ht="14.2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0.90</v>
      </c>
      <c r="M52" s="18"/>
      <c r="N52" s="18"/>
      <c r="O52" s="19"/>
      <c r="P52" s="18"/>
      <c r="Q52" s="18"/>
      <c r="R52" s="19">
        <v>0.90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ht="14.2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0.054407137858462802</v>
      </c>
      <c r="BC53" s="19">
        <v>0.0567059420841243</v>
      </c>
      <c r="BD53" s="19">
        <v>0.058873987383627799</v>
      </c>
      <c r="BE53" s="19">
        <v>0.061814333437856903</v>
      </c>
      <c r="BF53" s="19">
        <v>0.064276799872561699</v>
      </c>
      <c r="BG53" s="19">
        <v>0.066218697277803801</v>
      </c>
      <c r="BH53" s="19">
        <v>0.067811140633673203</v>
      </c>
      <c r="BI53" s="19">
        <v>0.0692101456689449</v>
      </c>
      <c r="BJ53" s="19">
        <v>0.0704990403471044</v>
      </c>
      <c r="BK53" s="18"/>
      <c r="BL53" s="18"/>
      <c r="BM53" s="19">
        <v>0.054827692376959301</v>
      </c>
      <c r="BN53" s="19">
        <v>0.059358576217573303</v>
      </c>
      <c r="BO53" s="19">
        <v>0.064011513485884505</v>
      </c>
      <c r="BP53" s="19">
        <v>0.067016078616391805</v>
      </c>
      <c r="BQ53" s="19">
        <v>0.0682738236921627</v>
      </c>
      <c r="BR53" s="19">
        <v>0.068978869873061302</v>
      </c>
      <c r="BS53" s="19">
        <v>0.069325226109443902</v>
      </c>
      <c r="BT53" s="19">
        <v>0.069476897248066202</v>
      </c>
      <c r="BU53" s="19">
        <v>0.069517210317158296</v>
      </c>
    </row>
    <row r="54" spans="3:73" ht="14.2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0.0097469952535781893</v>
      </c>
      <c r="BC54" s="19">
        <v>0.0101588241929118</v>
      </c>
      <c r="BD54" s="19">
        <v>0.0105472277751546</v>
      </c>
      <c r="BE54" s="19">
        <v>0.0110739884202193</v>
      </c>
      <c r="BF54" s="19">
        <v>0.011515137313469301</v>
      </c>
      <c r="BG54" s="19">
        <v>0.0118630266812407</v>
      </c>
      <c r="BH54" s="19">
        <v>0.012148311635424999</v>
      </c>
      <c r="BI54" s="19">
        <v>0.012398942269111301</v>
      </c>
      <c r="BJ54" s="19">
        <v>0.0126298467203446</v>
      </c>
      <c r="BK54" s="18"/>
      <c r="BL54" s="18"/>
      <c r="BM54" s="19">
        <v>0.0098223372593701595</v>
      </c>
      <c r="BN54" s="19">
        <v>0.0106340414773694</v>
      </c>
      <c r="BO54" s="19">
        <v>0.011467611469369501</v>
      </c>
      <c r="BP54" s="19">
        <v>0.0120058769106118</v>
      </c>
      <c r="BQ54" s="19">
        <v>0.0122312009354786</v>
      </c>
      <c r="BR54" s="19">
        <v>0.012357509395163601</v>
      </c>
      <c r="BS54" s="19">
        <v>0.0124195588380299</v>
      </c>
      <c r="BT54" s="19">
        <v>0.0124467306012663</v>
      </c>
      <c r="BU54" s="19">
        <v>0.012453952655367299</v>
      </c>
    </row>
    <row r="55" spans="3:73" ht="14.2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0.048553337181298999</v>
      </c>
      <c r="BC55" s="19">
        <v>0.0506048072838561</v>
      </c>
      <c r="BD55" s="19">
        <v>0.052539587141693198</v>
      </c>
      <c r="BE55" s="19">
        <v>0.055163573975407602</v>
      </c>
      <c r="BF55" s="19">
        <v>0.0573610974586845</v>
      </c>
      <c r="BG55" s="19">
        <v>0.059094061242471199</v>
      </c>
      <c r="BH55" s="19">
        <v>0.060515169616169998</v>
      </c>
      <c r="BI55" s="19">
        <v>0.0617636521842585</v>
      </c>
      <c r="BJ55" s="19">
        <v>0.062913871445243394</v>
      </c>
      <c r="BK55" s="18"/>
      <c r="BL55" s="18"/>
      <c r="BM55" s="19">
        <v>0.048928643182375497</v>
      </c>
      <c r="BN55" s="19">
        <v>0.052972037845313298</v>
      </c>
      <c r="BO55" s="19">
        <v>0.057124353900965</v>
      </c>
      <c r="BP55" s="19">
        <v>0.059805650319170199</v>
      </c>
      <c r="BQ55" s="19">
        <v>0.060928071441760497</v>
      </c>
      <c r="BR55" s="19">
        <v>0.061557259932406898</v>
      </c>
      <c r="BS55" s="19">
        <v>0.061866350830988598</v>
      </c>
      <c r="BT55" s="19">
        <v>0.062001703290685301</v>
      </c>
      <c r="BU55" s="19">
        <v>0.062037678975374599</v>
      </c>
    </row>
    <row r="56" spans="3:73" ht="14.2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ht="14.2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0.20</v>
      </c>
      <c r="AH57" s="18"/>
      <c r="AI57" s="18"/>
      <c r="AJ57" s="19">
        <v>0.22</v>
      </c>
      <c r="AK57" s="18"/>
      <c r="AL57" s="18"/>
      <c r="AM57" s="19">
        <v>0.20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ht="14.2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3.50</v>
      </c>
      <c r="M58" s="18"/>
      <c r="N58" s="18"/>
      <c r="O58" s="19"/>
      <c r="P58" s="18"/>
      <c r="Q58" s="18"/>
      <c r="R58" s="19">
        <v>3.50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0.20</v>
      </c>
      <c r="AH58" s="18"/>
      <c r="AI58" s="18"/>
      <c r="AJ58" s="19">
        <v>0.22</v>
      </c>
      <c r="AK58" s="18"/>
      <c r="AL58" s="18"/>
      <c r="AM58" s="19">
        <v>0.20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0.095871001926646604</v>
      </c>
      <c r="BC58" s="19">
        <v>0.099921732639971506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0.096612062468333801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ht="14.2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0.70</v>
      </c>
      <c r="M59" s="18"/>
      <c r="N59" s="18"/>
      <c r="O59" s="19"/>
      <c r="P59" s="18"/>
      <c r="Q59" s="18"/>
      <c r="R59" s="19">
        <v>0.70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0.20</v>
      </c>
      <c r="AH59" s="18"/>
      <c r="AI59" s="18"/>
      <c r="AJ59" s="19">
        <v>0.22</v>
      </c>
      <c r="AK59" s="18"/>
      <c r="AL59" s="18"/>
      <c r="AM59" s="19">
        <v>0.20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ht="14.2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ht="14.2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ht="14.2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ht="14.2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0.10</v>
      </c>
      <c r="M63" s="18"/>
      <c r="N63" s="18"/>
      <c r="O63" s="19"/>
      <c r="P63" s="18"/>
      <c r="Q63" s="18"/>
      <c r="R63" s="19">
        <v>0.10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ht="14.2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ht="14.2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ht="14.2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ht="14.2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ht="14.2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ht="14.2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ht="14.2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ht="14.2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0.80</v>
      </c>
      <c r="M71" s="18"/>
      <c r="N71" s="18"/>
      <c r="O71" s="19"/>
      <c r="P71" s="18"/>
      <c r="Q71" s="18"/>
      <c r="R71" s="19">
        <v>0.80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ht="14.2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0.50</v>
      </c>
      <c r="M72" s="18"/>
      <c r="N72" s="18"/>
      <c r="O72" s="19"/>
      <c r="P72" s="18"/>
      <c r="Q72" s="18"/>
      <c r="R72" s="19">
        <v>0.50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ht="14.2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0.10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ht="14.2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ht="14.2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ht="14.2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ht="14.2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0.030007890049087299</v>
      </c>
      <c r="AH77" s="18"/>
      <c r="AI77" s="18"/>
      <c r="AJ77" s="19">
        <v>0.029983436126264001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ht="14.2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0.030007890049087299</v>
      </c>
      <c r="AH78" s="18"/>
      <c r="AI78" s="18"/>
      <c r="AJ78" s="19">
        <v>0.029983436126264001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0.047549803646395099</v>
      </c>
      <c r="BC78" s="19">
        <v>0.049558872563713802</v>
      </c>
      <c r="BD78" s="19">
        <v>0.051453663069990101</v>
      </c>
      <c r="BE78" s="19">
        <v>0.0540234155516362</v>
      </c>
      <c r="BF78" s="19">
        <v>0.056175519118647099</v>
      </c>
      <c r="BG78" s="19">
        <v>0.057872664823332302</v>
      </c>
      <c r="BH78" s="19">
        <v>0.059264400758543202</v>
      </c>
      <c r="BI78" s="19">
        <v>0.060487078836197999</v>
      </c>
      <c r="BJ78" s="19">
        <v>0.061613524579894503</v>
      </c>
      <c r="BK78" s="18"/>
      <c r="BL78" s="18"/>
      <c r="BM78" s="19">
        <v>0.047917352566706602</v>
      </c>
      <c r="BN78" s="19">
        <v>0.051877175587102899</v>
      </c>
      <c r="BO78" s="19">
        <v>0.055943668738474998</v>
      </c>
      <c r="BP78" s="19">
        <v>0.058569546290977097</v>
      </c>
      <c r="BQ78" s="19">
        <v>0.059668768447189498</v>
      </c>
      <c r="BR78" s="19">
        <v>0.060284952440373997</v>
      </c>
      <c r="BS78" s="19">
        <v>0.060587654837154101</v>
      </c>
      <c r="BT78" s="19">
        <v>0.060720209739767703</v>
      </c>
      <c r="BU78" s="19">
        <v>0.060755441854434399</v>
      </c>
    </row>
    <row r="79" spans="3:73" ht="14.2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ht="14.2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ht="14.2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ht="14.2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ht="14.2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ht="14.2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ht="14.2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ht="14.2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ht="14.2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ht="14.2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ht="14.2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ht="14.2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ht="14.2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ht="14.2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ht="14.2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ht="14.2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ht="14.2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ht="14.2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ht="14.2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ht="14.2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ht="14.2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ht="14.2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74.50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74.50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ht="14.2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ht="14.2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ht="14.2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ht="14.2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0.067917311999999994</v>
      </c>
      <c r="BC104" s="19">
        <v>0.072074394832896002</v>
      </c>
      <c r="BD104" s="19">
        <v>0.0764859243918279</v>
      </c>
      <c r="BE104" s="19">
        <v>0.082366974922018305</v>
      </c>
      <c r="BF104" s="19">
        <v>0.088700223103131595</v>
      </c>
      <c r="BG104" s="19">
        <v>0.096925128690815598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0.071991295999999996</v>
      </c>
      <c r="BN104" s="19">
        <v>0.081280000000000005</v>
      </c>
      <c r="BO104" s="19">
        <v>0.090880000000000002</v>
      </c>
      <c r="BP104" s="19">
        <v>0.097919999999999993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ht="14.2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ht="14.2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ht="14.2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ht="14.2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ht="14.2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18.50</v>
      </c>
      <c r="BC109" s="19">
        <v>18.50</v>
      </c>
      <c r="BD109" s="19">
        <v>18.50</v>
      </c>
      <c r="BE109" s="19">
        <v>18.50</v>
      </c>
      <c r="BF109" s="19">
        <v>18.50</v>
      </c>
      <c r="BG109" s="19">
        <v>18.50</v>
      </c>
      <c r="BH109" s="19">
        <v>18.50</v>
      </c>
      <c r="BI109" s="19">
        <v>18.50</v>
      </c>
      <c r="BJ109" s="19">
        <v>18.50</v>
      </c>
      <c r="BK109" s="18"/>
      <c r="BL109" s="18"/>
      <c r="BM109" s="19">
        <v>18.50</v>
      </c>
      <c r="BN109" s="19">
        <v>18.50</v>
      </c>
      <c r="BO109" s="19">
        <v>18.50</v>
      </c>
      <c r="BP109" s="19">
        <v>18.50</v>
      </c>
      <c r="BQ109" s="19">
        <v>18.50</v>
      </c>
      <c r="BR109" s="19">
        <v>18.50</v>
      </c>
      <c r="BS109" s="19">
        <v>18.50</v>
      </c>
      <c r="BT109" s="19">
        <v>18.50</v>
      </c>
      <c r="BU109" s="19">
        <v>18.50</v>
      </c>
    </row>
    <row r="110" spans="3:73" ht="14.2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ht="14.2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ht="14.2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ht="14.2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0.031859341200000002</v>
      </c>
      <c r="BC113" s="19">
        <v>0.032491854000000001</v>
      </c>
      <c r="BD113" s="19">
        <v>0.031476697200000001</v>
      </c>
      <c r="BE113" s="19">
        <v>0.030493260000000001</v>
      </c>
      <c r="BF113" s="19">
        <v>0.029124684000000001</v>
      </c>
      <c r="BG113" s="19">
        <v>0.027424753199999999</v>
      </c>
      <c r="BH113" s="19">
        <v>0.025824063599999999</v>
      </c>
      <c r="BI113" s="19">
        <v>0.024316783200000001</v>
      </c>
      <c r="BJ113" s="19">
        <v>0.0228975012</v>
      </c>
      <c r="BK113" s="18"/>
      <c r="BL113" s="18"/>
      <c r="BM113" s="19">
        <v>0.031859341200000002</v>
      </c>
      <c r="BN113" s="19">
        <v>0.032492015999999999</v>
      </c>
      <c r="BO113" s="19">
        <v>0.029734127999999999</v>
      </c>
      <c r="BP113" s="19">
        <v>0.027210168</v>
      </c>
      <c r="BQ113" s="19">
        <v>0.025989011999999999</v>
      </c>
      <c r="BR113" s="19">
        <v>0.025897968</v>
      </c>
      <c r="BS113" s="19">
        <v>0.025807572000000001</v>
      </c>
      <c r="BT113" s="19">
        <v>0.025717176000000001</v>
      </c>
      <c r="BU113" s="19">
        <v>0.025627104000000001</v>
      </c>
    </row>
    <row r="114" spans="3:73" ht="14.2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ht="14.2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ht="14.2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ht="14.2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15.10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0.031</v>
      </c>
      <c r="BC117" s="19">
        <v>0.029899999999999999</v>
      </c>
      <c r="BD117" s="19">
        <v>0.028799999999999999</v>
      </c>
      <c r="BE117" s="19">
        <v>0.031</v>
      </c>
      <c r="BF117" s="19">
        <v>0.033399999999999999</v>
      </c>
      <c r="BG117" s="19">
        <v>0.036499999999999998</v>
      </c>
      <c r="BH117" s="19">
        <v>0.039899999999999998</v>
      </c>
      <c r="BI117" s="19">
        <v>0.0436</v>
      </c>
      <c r="BJ117" s="19">
        <v>0.047699999999999999</v>
      </c>
      <c r="BK117" s="18"/>
      <c r="BL117" s="18"/>
      <c r="BM117" s="19">
        <v>0.036200000000000003</v>
      </c>
      <c r="BN117" s="19">
        <v>0.040800000000000003</v>
      </c>
      <c r="BO117" s="19">
        <v>0.0458</v>
      </c>
      <c r="BP117" s="19">
        <v>0.049399999999999999</v>
      </c>
      <c r="BQ117" s="19">
        <v>0.053199999999999997</v>
      </c>
      <c r="BR117" s="19">
        <v>0.053999999999999999</v>
      </c>
      <c r="BS117" s="19">
        <v>0.054800000000000001</v>
      </c>
      <c r="BT117" s="19">
        <v>0.055599999999999997</v>
      </c>
      <c r="BU117" s="19">
        <v>0.056500000000000002</v>
      </c>
    </row>
    <row r="118" spans="3:73" ht="14.2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14.90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ht="14.2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16.40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ht="14.2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3.50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ht="14.2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3.90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ht="14.2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3.80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ht="14.2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0.5475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ht="14.2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ht="14.2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ht="14.2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ht="14.2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ht="14.2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0.040899999999999999</v>
      </c>
      <c r="BC128" s="19">
        <v>0.042099999999999999</v>
      </c>
      <c r="BD128" s="19">
        <v>0.043400000000000001</v>
      </c>
      <c r="BE128" s="19">
        <v>0.046800000000000001</v>
      </c>
      <c r="BF128" s="19">
        <v>0.0504</v>
      </c>
      <c r="BG128" s="19">
        <v>0.055</v>
      </c>
      <c r="BH128" s="19">
        <v>0.060100000000000001</v>
      </c>
      <c r="BI128" s="19">
        <v>0.065699999999999995</v>
      </c>
      <c r="BJ128" s="19">
        <v>0.071800000000000003</v>
      </c>
      <c r="BK128" s="18"/>
      <c r="BL128" s="18"/>
      <c r="BM128" s="19">
        <v>0.044699999999999997</v>
      </c>
      <c r="BN128" s="19">
        <v>0.050200000000000002</v>
      </c>
      <c r="BO128" s="19">
        <v>0.056500000000000002</v>
      </c>
      <c r="BP128" s="19">
        <v>0.060900000000000003</v>
      </c>
      <c r="BQ128" s="19">
        <v>0.065500000000000003</v>
      </c>
      <c r="BR128" s="19">
        <v>0.066500000000000004</v>
      </c>
      <c r="BS128" s="19">
        <v>0.067500000000000004</v>
      </c>
      <c r="BT128" s="19">
        <v>0.068500000000000005</v>
      </c>
      <c r="BU128" s="19">
        <v>0.069599999999999995</v>
      </c>
    </row>
    <row r="129" spans="3:73" ht="14.2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ht="14.2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ht="14.2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ht="14.2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0.0083000000000000001</v>
      </c>
      <c r="BC132" s="19">
        <v>0.0083000000000000001</v>
      </c>
      <c r="BD132" s="19">
        <v>0.0083000000000000001</v>
      </c>
      <c r="BE132" s="19">
        <v>0.0083000000000000001</v>
      </c>
      <c r="BF132" s="19">
        <v>0.0083000000000000001</v>
      </c>
      <c r="BG132" s="19">
        <v>0.0083000000000000001</v>
      </c>
      <c r="BH132" s="19">
        <v>0.0083000000000000001</v>
      </c>
      <c r="BI132" s="19">
        <v>0.0083000000000000001</v>
      </c>
      <c r="BJ132" s="19">
        <v>0.0083000000000000001</v>
      </c>
      <c r="BK132" s="18"/>
      <c r="BL132" s="18"/>
      <c r="BM132" s="19">
        <v>0.0092999999999999992</v>
      </c>
      <c r="BN132" s="19">
        <v>0.010500000000000001</v>
      </c>
      <c r="BO132" s="19">
        <v>0.0118</v>
      </c>
      <c r="BP132" s="19">
        <v>0.012699999999999999</v>
      </c>
      <c r="BQ132" s="19">
        <v>0.013599999999999999</v>
      </c>
      <c r="BR132" s="19">
        <v>0.0138</v>
      </c>
      <c r="BS132" s="19">
        <v>0.014</v>
      </c>
      <c r="BT132" s="19">
        <v>0.0143</v>
      </c>
      <c r="BU132" s="19">
        <v>0.014500000000000001</v>
      </c>
    </row>
    <row r="133" spans="3:73" ht="14.2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ht="14.2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ht="14.2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0.050099999999999999</v>
      </c>
      <c r="BC135" s="19">
        <v>0.050099999999999999</v>
      </c>
      <c r="BD135" s="19">
        <v>0.050099999999999999</v>
      </c>
      <c r="BE135" s="19">
        <v>0.050099999999999999</v>
      </c>
      <c r="BF135" s="19">
        <v>0.050099999999999999</v>
      </c>
      <c r="BG135" s="19">
        <v>0.050099999999999999</v>
      </c>
      <c r="BH135" s="19">
        <v>0.050099999999999999</v>
      </c>
      <c r="BI135" s="19">
        <v>0.050099999999999999</v>
      </c>
      <c r="BJ135" s="19">
        <v>0.050099999999999999</v>
      </c>
      <c r="BK135" s="18"/>
      <c r="BL135" s="18"/>
      <c r="BM135" s="19">
        <v>0.056399999999999999</v>
      </c>
      <c r="BN135" s="19">
        <v>0.063399999999999998</v>
      </c>
      <c r="BO135" s="19">
        <v>0.071400000000000005</v>
      </c>
      <c r="BP135" s="19">
        <v>0.076899999999999996</v>
      </c>
      <c r="BQ135" s="19">
        <v>0.082799999999999999</v>
      </c>
      <c r="BR135" s="19">
        <v>0.084000000000000005</v>
      </c>
      <c r="BS135" s="19">
        <v>0.085300000000000001</v>
      </c>
      <c r="BT135" s="19">
        <v>0.086599999999999996</v>
      </c>
      <c r="BU135" s="19">
        <v>0.087900000000000006</v>
      </c>
    </row>
    <row r="136" spans="3:73" ht="14.2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0.068000000000000005</v>
      </c>
      <c r="BC136" s="19">
        <v>0.068000000000000005</v>
      </c>
      <c r="BD136" s="19">
        <v>0.068000000000000005</v>
      </c>
      <c r="BE136" s="19">
        <v>0.068000000000000005</v>
      </c>
      <c r="BF136" s="19">
        <v>0.068000000000000005</v>
      </c>
      <c r="BG136" s="19">
        <v>0.068000000000000005</v>
      </c>
      <c r="BH136" s="19">
        <v>0.068000000000000005</v>
      </c>
      <c r="BI136" s="19">
        <v>0.068000000000000005</v>
      </c>
      <c r="BJ136" s="19">
        <v>0.068000000000000005</v>
      </c>
      <c r="BK136" s="18"/>
      <c r="BL136" s="18"/>
      <c r="BM136" s="19">
        <v>0.068000000000000005</v>
      </c>
      <c r="BN136" s="19">
        <v>0.068000000000000005</v>
      </c>
      <c r="BO136" s="19">
        <v>0.068000000000000005</v>
      </c>
      <c r="BP136" s="19">
        <v>0.068000000000000005</v>
      </c>
      <c r="BQ136" s="19">
        <v>0.068000000000000005</v>
      </c>
      <c r="BR136" s="19">
        <v>0.068000000000000005</v>
      </c>
      <c r="BS136" s="19">
        <v>0.068000000000000005</v>
      </c>
      <c r="BT136" s="19">
        <v>0.068000000000000005</v>
      </c>
      <c r="BU136" s="19">
        <v>0.068000000000000005</v>
      </c>
    </row>
    <row r="137" spans="3:73" ht="14.2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ht="14.2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0.50</v>
      </c>
      <c r="AH138" s="18"/>
      <c r="AI138" s="18"/>
      <c r="AJ138" s="18"/>
      <c r="AK138" s="18"/>
      <c r="AL138" s="18"/>
      <c r="AM138" s="19">
        <v>0.50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ht="14.2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ht="14.2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0.7775</v>
      </c>
      <c r="BC140" s="19">
        <v>0.7775</v>
      </c>
      <c r="BD140" s="19">
        <v>0.7775</v>
      </c>
      <c r="BE140" s="19">
        <v>0.7775</v>
      </c>
      <c r="BF140" s="19">
        <v>0.7775</v>
      </c>
      <c r="BG140" s="19">
        <v>0.7775</v>
      </c>
      <c r="BH140" s="19">
        <v>0.7775</v>
      </c>
      <c r="BI140" s="19">
        <v>0.7775</v>
      </c>
      <c r="BJ140" s="19">
        <v>0.7775</v>
      </c>
      <c r="BK140" s="18"/>
      <c r="BL140" s="18"/>
      <c r="BM140" s="19">
        <v>0.7775</v>
      </c>
      <c r="BN140" s="19">
        <v>0.7775</v>
      </c>
      <c r="BO140" s="19">
        <v>0.7775</v>
      </c>
      <c r="BP140" s="19">
        <v>0.7775</v>
      </c>
      <c r="BQ140" s="19">
        <v>0.7775</v>
      </c>
      <c r="BR140" s="19">
        <v>0.7775</v>
      </c>
      <c r="BS140" s="19">
        <v>0.7775</v>
      </c>
      <c r="BT140" s="19">
        <v>0.7775</v>
      </c>
      <c r="BU140" s="19">
        <v>0.7775</v>
      </c>
    </row>
    <row r="141" spans="3:73" ht="14.2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ht="14.2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ht="14.2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ht="14.2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ht="14.2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2042.50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2042.50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ht="14.2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2040.40</v>
      </c>
      <c r="O146" s="18">
        <v>2040.40</v>
      </c>
      <c r="P146" s="19">
        <v>2040.40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ht="14.2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2501.40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ht="14.2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ht="14.2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3.8847823682391E-05</v>
      </c>
      <c r="BC149" s="19">
        <v>3.9645575706551202E-05</v>
      </c>
      <c r="BD149" s="19">
        <v>4.02909481305909E-05</v>
      </c>
      <c r="BE149" s="19">
        <v>4.1486082249182897E-05</v>
      </c>
      <c r="BF149" s="19">
        <v>4.25617029559157E-05</v>
      </c>
      <c r="BG149" s="19">
        <v>4.3517810250789399E-05</v>
      </c>
      <c r="BH149" s="19">
        <v>4.4354404133803797E-05</v>
      </c>
      <c r="BI149" s="19">
        <v>4.5086423781441398E-05</v>
      </c>
      <c r="BJ149" s="19">
        <v>4.5758686723149399E-05</v>
      </c>
      <c r="BK149" s="18"/>
      <c r="BL149" s="18"/>
      <c r="BM149" s="19">
        <v>3.9086477026697302E-05</v>
      </c>
      <c r="BN149" s="19">
        <v>4.1127168534193201E-05</v>
      </c>
      <c r="BO149" s="19">
        <v>4.3111091171056003E-05</v>
      </c>
      <c r="BP149" s="19">
        <v>4.4306225289648101E-05</v>
      </c>
      <c r="BQ149" s="19">
        <v>4.4712570889969299E-05</v>
      </c>
      <c r="BR149" s="19">
        <v>4.4999403078431398E-05</v>
      </c>
      <c r="BS149" s="19">
        <v>4.5166721855034298E-05</v>
      </c>
      <c r="BT149" s="19">
        <v>4.5229466396260402E-05</v>
      </c>
      <c r="BU149" s="19">
        <v>4.5232454231556899E-05</v>
      </c>
    </row>
    <row r="150" spans="3:73" ht="14.2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ht="14.2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383.40</v>
      </c>
      <c r="P151" s="19">
        <v>394.60</v>
      </c>
      <c r="Q151" s="18"/>
      <c r="R151" s="18">
        <v>363.43</v>
      </c>
      <c r="S151" s="18">
        <v>368.42</v>
      </c>
      <c r="T151" s="18">
        <v>375.08</v>
      </c>
      <c r="U151" s="18">
        <v>383.40</v>
      </c>
      <c r="V151" s="18">
        <v>394.60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ht="14.2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ht="14.2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ht="14.2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ht="14.2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0.087480000000000002</v>
      </c>
      <c r="BC155" s="19">
        <v>0.087480000000000002</v>
      </c>
      <c r="BD155" s="19">
        <v>0.087480000000000002</v>
      </c>
      <c r="BE155" s="19">
        <v>0.087480000000000002</v>
      </c>
      <c r="BF155" s="19">
        <v>0.087480000000000002</v>
      </c>
      <c r="BG155" s="19">
        <v>0.087480000000000002</v>
      </c>
      <c r="BH155" s="19">
        <v>0.087480000000000002</v>
      </c>
      <c r="BI155" s="19">
        <v>0.087480000000000002</v>
      </c>
      <c r="BJ155" s="19">
        <v>0.087480000000000002</v>
      </c>
      <c r="BK155" s="18"/>
      <c r="BL155" s="18"/>
      <c r="BM155" s="19">
        <v>0.087480000000000002</v>
      </c>
      <c r="BN155" s="19">
        <v>0.087480000000000002</v>
      </c>
      <c r="BO155" s="19">
        <v>0.087480000000000002</v>
      </c>
      <c r="BP155" s="19">
        <v>0.087480000000000002</v>
      </c>
      <c r="BQ155" s="19">
        <v>0.087480000000000002</v>
      </c>
      <c r="BR155" s="19">
        <v>0.087480000000000002</v>
      </c>
      <c r="BS155" s="19">
        <v>0.087480000000000002</v>
      </c>
      <c r="BT155" s="19">
        <v>0.087480000000000002</v>
      </c>
      <c r="BU155" s="19">
        <v>0.087480000000000002</v>
      </c>
    </row>
    <row r="156" spans="3:73" ht="14.2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ht="14.2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0.036790501172143997</v>
      </c>
      <c r="BC157" s="19">
        <v>0.038592212639831598</v>
      </c>
      <c r="BD157" s="19">
        <v>0.040049776973241698</v>
      </c>
      <c r="BE157" s="19">
        <v>0.042748970183260501</v>
      </c>
      <c r="BF157" s="19">
        <v>0.045178244072277399</v>
      </c>
      <c r="BG157" s="19">
        <v>0.047337598640292397</v>
      </c>
      <c r="BH157" s="19">
        <v>0.0492270338873056</v>
      </c>
      <c r="BI157" s="19">
        <v>0.0508802897284421</v>
      </c>
      <c r="BJ157" s="19">
        <v>0.0523985859090777</v>
      </c>
      <c r="BK157" s="18"/>
      <c r="BL157" s="18"/>
      <c r="BM157" s="19">
        <v>0.037329496316269702</v>
      </c>
      <c r="BN157" s="19">
        <v>0.041938368722376697</v>
      </c>
      <c r="BO157" s="19">
        <v>0.046419029451007898</v>
      </c>
      <c r="BP157" s="19">
        <v>0.049118222661026702</v>
      </c>
      <c r="BQ157" s="19">
        <v>0.0500359483524331</v>
      </c>
      <c r="BR157" s="19">
        <v>0.0506837547228376</v>
      </c>
      <c r="BS157" s="19">
        <v>0.0510616417722402</v>
      </c>
      <c r="BT157" s="19">
        <v>0.051203349415766201</v>
      </c>
      <c r="BU157" s="19">
        <v>0.051210097398791302</v>
      </c>
    </row>
    <row r="158" spans="3:73" ht="14.2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ht="14.2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ht="14.2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0.0395471851742299</v>
      </c>
      <c r="BC160" s="19">
        <v>0.041483897498690497</v>
      </c>
      <c r="BD160" s="19">
        <v>0.043050676008366401</v>
      </c>
      <c r="BE160" s="19">
        <v>0.0459521176929516</v>
      </c>
      <c r="BF160" s="19">
        <v>0.048563415209078198</v>
      </c>
      <c r="BG160" s="19">
        <v>0.0508845685567463</v>
      </c>
      <c r="BH160" s="19">
        <v>0.052915577735955899</v>
      </c>
      <c r="BI160" s="19">
        <v>0.054692710767764302</v>
      </c>
      <c r="BJ160" s="19">
        <v>0.056324771715343398</v>
      </c>
      <c r="BK160" s="18"/>
      <c r="BL160" s="18"/>
      <c r="BM160" s="19">
        <v>0.040126566810620497</v>
      </c>
      <c r="BN160" s="19">
        <v>0.045080778487049597</v>
      </c>
      <c r="BO160" s="19">
        <v>0.049897171683460903</v>
      </c>
      <c r="BP160" s="19">
        <v>0.052798613368045998</v>
      </c>
      <c r="BQ160" s="19">
        <v>0.053785103540804999</v>
      </c>
      <c r="BR160" s="19">
        <v>0.0544814495451054</v>
      </c>
      <c r="BS160" s="19">
        <v>0.054887651380947297</v>
      </c>
      <c r="BT160" s="19">
        <v>0.055039977069388103</v>
      </c>
      <c r="BU160" s="19">
        <v>0.055047230673599498</v>
      </c>
    </row>
    <row r="161" spans="3:73" ht="14.2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ht="14.2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9.1447490496752803E-06</v>
      </c>
      <c r="BC162" s="19">
        <v>9.5925874510830708E-06</v>
      </c>
      <c r="BD162" s="19">
        <v>9.9548836859298306E-06</v>
      </c>
      <c r="BE162" s="19">
        <v>1.0625802639349699E-05</v>
      </c>
      <c r="BF162" s="19">
        <v>1.12296296974277E-05</v>
      </c>
      <c r="BG162" s="19">
        <v>1.1766364860163601E-05</v>
      </c>
      <c r="BH162" s="19">
        <v>1.22360081275576E-05</v>
      </c>
      <c r="BI162" s="19">
        <v>1.2646945986527301E-05</v>
      </c>
      <c r="BJ162" s="19">
        <v>1.3024337897826001E-05</v>
      </c>
      <c r="BK162" s="18"/>
      <c r="BL162" s="18"/>
      <c r="BM162" s="19">
        <v>9.2787231781863208E-06</v>
      </c>
      <c r="BN162" s="19">
        <v>1.04243172911508E-05</v>
      </c>
      <c r="BO162" s="19">
        <v>1.15380427538279E-05</v>
      </c>
      <c r="BP162" s="19">
        <v>1.2208961707247801E-05</v>
      </c>
      <c r="BQ162" s="19">
        <v>1.2437074151410601E-05</v>
      </c>
      <c r="BR162" s="19">
        <v>1.25980947002314E-05</v>
      </c>
      <c r="BS162" s="19">
        <v>1.2692023353710201E-05</v>
      </c>
      <c r="BT162" s="19">
        <v>1.27272465987647E-05</v>
      </c>
      <c r="BU162" s="19">
        <v>1.2728923896148301E-05</v>
      </c>
    </row>
    <row r="163" spans="3:73" ht="14.2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0.036460169677504498</v>
      </c>
      <c r="BC163" s="19">
        <v>0.0382457040879879</v>
      </c>
      <c r="BD163" s="19">
        <v>0.039690181363884601</v>
      </c>
      <c r="BE163" s="19">
        <v>0.042365139282211799</v>
      </c>
      <c r="BF163" s="19">
        <v>0.0447726014087063</v>
      </c>
      <c r="BG163" s="19">
        <v>0.046912567743368001</v>
      </c>
      <c r="BH163" s="19">
        <v>0.048785038286197097</v>
      </c>
      <c r="BI163" s="19">
        <v>0.050423450011172502</v>
      </c>
      <c r="BJ163" s="19">
        <v>0.051928113840231598</v>
      </c>
      <c r="BK163" s="18"/>
      <c r="BL163" s="18"/>
      <c r="BM163" s="19">
        <v>0.036994325336820497</v>
      </c>
      <c r="BN163" s="19">
        <v>0.041561815982364199</v>
      </c>
      <c r="BO163" s="19">
        <v>0.0460022461267873</v>
      </c>
      <c r="BP163" s="19">
        <v>0.048677204045114497</v>
      </c>
      <c r="BQ163" s="19">
        <v>0.049586689737345799</v>
      </c>
      <c r="BR163" s="19">
        <v>0.0502286796377443</v>
      </c>
      <c r="BS163" s="19">
        <v>0.050603173746310098</v>
      </c>
      <c r="BT163" s="19">
        <v>0.050743609037022297</v>
      </c>
      <c r="BU163" s="19">
        <v>0.050750296431818102</v>
      </c>
    </row>
    <row r="164" spans="3:73" ht="14.2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ht="14.2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ht="14.2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ht="14.2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ht="14.2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0.02052</v>
      </c>
      <c r="BC168" s="19">
        <v>0.02052</v>
      </c>
      <c r="BD168" s="19">
        <v>0.02052</v>
      </c>
      <c r="BE168" s="19">
        <v>0.02052</v>
      </c>
      <c r="BF168" s="19">
        <v>0.02052</v>
      </c>
      <c r="BG168" s="19">
        <v>0.02052</v>
      </c>
      <c r="BH168" s="19">
        <v>0.02052</v>
      </c>
      <c r="BI168" s="19">
        <v>0.02052</v>
      </c>
      <c r="BJ168" s="19">
        <v>0.02052</v>
      </c>
      <c r="BK168" s="18"/>
      <c r="BL168" s="18"/>
      <c r="BM168" s="19">
        <v>0.02052</v>
      </c>
      <c r="BN168" s="19">
        <v>0.02052</v>
      </c>
      <c r="BO168" s="19">
        <v>0.02052</v>
      </c>
      <c r="BP168" s="19">
        <v>0.02052</v>
      </c>
      <c r="BQ168" s="19">
        <v>0.02052</v>
      </c>
      <c r="BR168" s="19">
        <v>0.02052</v>
      </c>
      <c r="BS168" s="19">
        <v>0.02052</v>
      </c>
      <c r="BT168" s="19">
        <v>0.02052</v>
      </c>
      <c r="BU168" s="19">
        <v>0.02052</v>
      </c>
    </row>
    <row r="169" spans="3:73" ht="14.2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ht="14.2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ht="14.2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ht="14.2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ht="14.2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ht="14.2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ht="14.2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0.60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ht="14.2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2042.50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2042.50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ht="14.2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2040.40</v>
      </c>
      <c r="O177" s="18">
        <v>2040.40</v>
      </c>
      <c r="P177" s="18">
        <v>2040.40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ht="14.2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2501.40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ht="14.2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1.40</v>
      </c>
      <c r="BT179" s="19">
        <v>1.40</v>
      </c>
      <c r="BU179" s="19">
        <v>1.40</v>
      </c>
    </row>
    <row r="180" spans="3:73" ht="14.2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ht="14.2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ht="14.2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383.40</v>
      </c>
      <c r="P182" s="18">
        <v>394.60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ht="14.2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ht="14.2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ht="14.2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ht="14.2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ht="14.2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370.50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370.50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3.50</v>
      </c>
      <c r="BC187" s="19">
        <v>3.50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3.50</v>
      </c>
      <c r="BN187" s="19">
        <v>3.50</v>
      </c>
      <c r="BO187" s="19">
        <v>3.50</v>
      </c>
      <c r="BP187" s="19">
        <v>3.50</v>
      </c>
      <c r="BQ187" s="19">
        <v>3.50</v>
      </c>
      <c r="BR187" s="19">
        <v>0</v>
      </c>
      <c r="BS187" s="19">
        <v>0</v>
      </c>
      <c r="BT187" s="19">
        <v>0</v>
      </c>
      <c r="BU187" s="19">
        <v>0</v>
      </c>
    </row>
    <row r="188" spans="3:73" ht="14.2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174.825</v>
      </c>
      <c r="M188" s="18"/>
      <c r="N188" s="18"/>
      <c r="O188" s="18"/>
      <c r="P188" s="18"/>
      <c r="Q188" s="18"/>
      <c r="R188" s="19">
        <v>174.825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ht="14.2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ht="14.2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ht="14.2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</v>
      </c>
      <c r="BS191" s="19">
        <v>0.4254</v>
      </c>
      <c r="BT191" s="19">
        <v>0.46110000000000001</v>
      </c>
      <c r="BU191" s="19">
        <v>0.49969999999999998</v>
      </c>
    </row>
    <row r="192" spans="3:73" ht="14.2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3" ht="14.2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3" ht="14.2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3" ht="14.2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255</v>
      </c>
      <c r="AS195" s="15" t="s">
        <v>562</v>
      </c>
      <c r="AT195" s="15"/>
      <c r="AU195" s="15"/>
      <c r="AV195" s="15" t="s">
        <v>563</v>
      </c>
      <c r="AW195" s="15"/>
      <c r="AX195" s="15"/>
      <c r="AY195" s="15" t="s">
        <v>329</v>
      </c>
      <c r="AZ195" s="19">
        <v>0</v>
      </c>
      <c r="BA195" s="18"/>
      <c r="BB195" s="19">
        <v>0.04</v>
      </c>
      <c r="BC195" s="19">
        <v>0.06</v>
      </c>
      <c r="BD195" s="19">
        <v>0.105</v>
      </c>
      <c r="BE195" s="19">
        <v>0.12</v>
      </c>
      <c r="BF195" s="19">
        <v>0.14000000000000001</v>
      </c>
      <c r="BG195" s="19">
        <v>0.155</v>
      </c>
      <c r="BH195" s="19">
        <v>0.17</v>
      </c>
      <c r="BI195" s="19">
        <v>0.185</v>
      </c>
      <c r="BJ195" s="19">
        <v>0.205</v>
      </c>
      <c r="BK195" s="19">
        <v>5</v>
      </c>
      <c r="BL195" s="18"/>
      <c r="BM195" s="19">
        <v>0.04</v>
      </c>
      <c r="BN195" s="19">
        <v>0.044999999999999998</v>
      </c>
      <c r="BO195" s="19">
        <v>0.05</v>
      </c>
      <c r="BP195" s="19">
        <v>0.06</v>
      </c>
      <c r="BQ195" s="19">
        <v>0.070000000000000007</v>
      </c>
      <c r="BR195" s="19">
        <v>0.08</v>
      </c>
      <c r="BS195" s="19">
        <v>0.095000000000000001</v>
      </c>
      <c r="BT195" s="19">
        <v>0.115</v>
      </c>
      <c r="BU195" s="19">
        <v>0.13</v>
      </c>
    </row>
    <row r="196" spans="3:73" ht="14.2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564</v>
      </c>
      <c r="AU196" s="15" t="s">
        <v>565</v>
      </c>
      <c r="AV196" s="15" t="s">
        <v>566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3" ht="14.2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2042.50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2042.50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567</v>
      </c>
      <c r="AT197" s="15" t="s">
        <v>568</v>
      </c>
      <c r="AU197" s="15"/>
      <c r="AV197" s="15" t="s">
        <v>569</v>
      </c>
      <c r="AW197" s="15"/>
      <c r="AX197" s="15" t="s">
        <v>1114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3" ht="14.2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2040.40</v>
      </c>
      <c r="O198" s="18">
        <v>2040.40</v>
      </c>
      <c r="P198" s="18">
        <v>2040.40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570</v>
      </c>
      <c r="AX198" s="15"/>
      <c r="AY198" s="15"/>
      <c r="AZ198" s="19">
        <v>5</v>
      </c>
      <c r="BA198" s="18"/>
      <c r="BB198" s="19">
        <v>1.30</v>
      </c>
      <c r="BC198" s="18"/>
      <c r="BD198" s="18"/>
      <c r="BE198" s="18"/>
      <c r="BF198" s="19">
        <v>1.30</v>
      </c>
      <c r="BG198" s="18"/>
      <c r="BH198" s="19">
        <v>0</v>
      </c>
      <c r="BI198" s="18"/>
      <c r="BJ198" s="18"/>
      <c r="BK198" s="19">
        <v>5</v>
      </c>
      <c r="BL198" s="18"/>
      <c r="BM198" s="19">
        <v>1.30</v>
      </c>
      <c r="BN198" s="18"/>
      <c r="BO198" s="18"/>
      <c r="BP198" s="18"/>
      <c r="BQ198" s="19">
        <v>1.30</v>
      </c>
      <c r="BR198" s="18"/>
      <c r="BS198" s="19">
        <v>0</v>
      </c>
      <c r="BT198" s="18"/>
      <c r="BU198" s="18"/>
    </row>
    <row r="199" spans="3:73" ht="14.2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2501.40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571</v>
      </c>
      <c r="AU199" s="15"/>
      <c r="AV199" s="15"/>
      <c r="AW199" s="15" t="s">
        <v>570</v>
      </c>
      <c r="AX199" s="15"/>
      <c r="AY199" s="15"/>
      <c r="AZ199" s="19">
        <v>5</v>
      </c>
      <c r="BA199" s="18"/>
      <c r="BB199" s="19">
        <v>1.30</v>
      </c>
      <c r="BC199" s="18"/>
      <c r="BD199" s="18"/>
      <c r="BE199" s="18"/>
      <c r="BF199" s="19">
        <v>1.30</v>
      </c>
      <c r="BG199" s="18"/>
      <c r="BH199" s="19">
        <v>0</v>
      </c>
      <c r="BI199" s="18"/>
      <c r="BJ199" s="18"/>
      <c r="BK199" s="19">
        <v>5</v>
      </c>
      <c r="BL199" s="18"/>
      <c r="BM199" s="19">
        <v>1.30</v>
      </c>
      <c r="BN199" s="18"/>
      <c r="BO199" s="18"/>
      <c r="BP199" s="18"/>
      <c r="BQ199" s="19">
        <v>1.30</v>
      </c>
      <c r="BR199" s="18"/>
      <c r="BS199" s="19">
        <v>0</v>
      </c>
      <c r="BT199" s="18"/>
      <c r="BU199" s="18"/>
    </row>
    <row r="200" spans="3:73" ht="14.2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572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503.50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3" ht="14.2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573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704.90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ht="14.2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574</v>
      </c>
      <c r="AT202" s="15" t="s">
        <v>575</v>
      </c>
      <c r="AU202" s="15"/>
      <c r="AV202" s="15"/>
      <c r="AW202" s="15"/>
      <c r="AX202" s="15"/>
      <c r="AY202" s="15"/>
      <c r="AZ202" s="18"/>
      <c r="BA202" s="19">
        <v>0.025000000000000001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ht="14.2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383.40</v>
      </c>
      <c r="P203" s="19">
        <v>394.60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574</v>
      </c>
      <c r="AT203" s="15" t="s">
        <v>576</v>
      </c>
      <c r="AU203" s="15"/>
      <c r="AV203" s="15"/>
      <c r="AW203" s="15"/>
      <c r="AX203" s="15"/>
      <c r="AY203" s="15"/>
      <c r="AZ203" s="18"/>
      <c r="BA203" s="19">
        <v>0.025000000000000001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ht="14.2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574</v>
      </c>
      <c r="AT204" s="15" t="s">
        <v>577</v>
      </c>
      <c r="AU204" s="15"/>
      <c r="AV204" s="15"/>
      <c r="AW204" s="15"/>
      <c r="AX204" s="15"/>
      <c r="AY204" s="15"/>
      <c r="AZ204" s="18"/>
      <c r="BA204" s="19">
        <v>0.025000000000000001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ht="14.2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574</v>
      </c>
      <c r="AT205" s="15" t="s">
        <v>578</v>
      </c>
      <c r="AU205" s="15"/>
      <c r="AV205" s="15"/>
      <c r="AW205" s="15"/>
      <c r="AX205" s="15"/>
      <c r="AY205" s="15"/>
      <c r="AZ205" s="18"/>
      <c r="BA205" s="19">
        <v>0.025000000000000001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ht="14.2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574</v>
      </c>
      <c r="AT206" s="15" t="s">
        <v>579</v>
      </c>
      <c r="AU206" s="15"/>
      <c r="AV206" s="15"/>
      <c r="AW206" s="15"/>
      <c r="AX206" s="15"/>
      <c r="AY206" s="15"/>
      <c r="AZ206" s="18"/>
      <c r="BA206" s="19">
        <v>0.025000000000000001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ht="14.2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574</v>
      </c>
      <c r="AT207" s="15" t="s">
        <v>580</v>
      </c>
      <c r="AU207" s="15"/>
      <c r="AV207" s="15"/>
      <c r="AW207" s="15"/>
      <c r="AX207" s="15"/>
      <c r="AY207" s="15"/>
      <c r="AZ207" s="18"/>
      <c r="BA207" s="19">
        <v>0.025000000000000001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ht="14.2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574</v>
      </c>
      <c r="AT208" s="15" t="s">
        <v>581</v>
      </c>
      <c r="AU208" s="15"/>
      <c r="AV208" s="15"/>
      <c r="AW208" s="15"/>
      <c r="AX208" s="15"/>
      <c r="AY208" s="15"/>
      <c r="AZ208" s="18"/>
      <c r="BA208" s="19">
        <v>0.025000000000000001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ht="14.2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574</v>
      </c>
      <c r="AT209" s="15" t="s">
        <v>582</v>
      </c>
      <c r="AU209" s="15"/>
      <c r="AV209" s="15"/>
      <c r="AW209" s="15"/>
      <c r="AX209" s="15"/>
      <c r="AY209" s="15"/>
      <c r="AZ209" s="18"/>
      <c r="BA209" s="19">
        <v>0.025000000000000001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ht="14.2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574</v>
      </c>
      <c r="AT210" s="15" t="s">
        <v>583</v>
      </c>
      <c r="AU210" s="15"/>
      <c r="AV210" s="15"/>
      <c r="AW210" s="15"/>
      <c r="AX210" s="15"/>
      <c r="AY210" s="15"/>
      <c r="AZ210" s="18"/>
      <c r="BA210" s="19">
        <v>0.025000000000000001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ht="14.2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574</v>
      </c>
      <c r="AT211" s="15" t="s">
        <v>584</v>
      </c>
      <c r="AU211" s="15"/>
      <c r="AV211" s="15"/>
      <c r="AW211" s="15"/>
      <c r="AX211" s="15"/>
      <c r="AY211" s="15"/>
      <c r="AZ211" s="18"/>
      <c r="BA211" s="19">
        <v>0.025000000000000001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ht="14.2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574</v>
      </c>
      <c r="AT212" s="15" t="s">
        <v>585</v>
      </c>
      <c r="AU212" s="15"/>
      <c r="AV212" s="15"/>
      <c r="AW212" s="15"/>
      <c r="AX212" s="15"/>
      <c r="AY212" s="15"/>
      <c r="AZ212" s="18"/>
      <c r="BA212" s="19">
        <v>0.025000000000000001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ht="14.2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574</v>
      </c>
      <c r="AT213" s="15" t="s">
        <v>586</v>
      </c>
      <c r="AU213" s="15"/>
      <c r="AV213" s="15"/>
      <c r="AW213" s="15"/>
      <c r="AX213" s="15"/>
      <c r="AY213" s="15"/>
      <c r="AZ213" s="18"/>
      <c r="BA213" s="19">
        <v>0.025000000000000001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ht="14.2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574</v>
      </c>
      <c r="AT214" s="15" t="s">
        <v>587</v>
      </c>
      <c r="AU214" s="15"/>
      <c r="AV214" s="15"/>
      <c r="AW214" s="15"/>
      <c r="AX214" s="15"/>
      <c r="AY214" s="15"/>
      <c r="AZ214" s="18"/>
      <c r="BA214" s="19">
        <v>0.025000000000000001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ht="14.2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574</v>
      </c>
      <c r="AT215" s="15" t="s">
        <v>588</v>
      </c>
      <c r="AU215" s="15"/>
      <c r="AV215" s="15"/>
      <c r="AW215" s="15"/>
      <c r="AX215" s="15"/>
      <c r="AY215" s="15"/>
      <c r="AZ215" s="18"/>
      <c r="BA215" s="19">
        <v>0.025000000000000001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ht="14.2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574</v>
      </c>
      <c r="AT216" s="15" t="s">
        <v>589</v>
      </c>
      <c r="AU216" s="15"/>
      <c r="AV216" s="15"/>
      <c r="AW216" s="15"/>
      <c r="AX216" s="15"/>
      <c r="AY216" s="15"/>
      <c r="AZ216" s="18"/>
      <c r="BA216" s="19">
        <v>0.025000000000000001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ht="14.2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574</v>
      </c>
      <c r="AT217" s="15" t="s">
        <v>590</v>
      </c>
      <c r="AU217" s="15"/>
      <c r="AV217" s="15"/>
      <c r="AW217" s="15"/>
      <c r="AX217" s="15"/>
      <c r="AY217" s="15"/>
      <c r="AZ217" s="18"/>
      <c r="BA217" s="19">
        <v>0.025000000000000001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ht="14.2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574</v>
      </c>
      <c r="AT218" s="15" t="s">
        <v>591</v>
      </c>
      <c r="AU218" s="15"/>
      <c r="AV218" s="15"/>
      <c r="AW218" s="15"/>
      <c r="AX218" s="15"/>
      <c r="AY218" s="15"/>
      <c r="AZ218" s="18"/>
      <c r="BA218" s="19">
        <v>0.025000000000000001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ht="14.2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21.60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574</v>
      </c>
      <c r="AT219" s="15" t="s">
        <v>592</v>
      </c>
      <c r="AU219" s="15"/>
      <c r="AV219" s="15"/>
      <c r="AW219" s="15"/>
      <c r="AX219" s="15"/>
      <c r="AY219" s="15"/>
      <c r="AZ219" s="18"/>
      <c r="BA219" s="19">
        <v>0.025000000000000001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ht="14.2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21.60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574</v>
      </c>
      <c r="AT220" s="15" t="s">
        <v>593</v>
      </c>
      <c r="AU220" s="15"/>
      <c r="AV220" s="15"/>
      <c r="AW220" s="15"/>
      <c r="AX220" s="15"/>
      <c r="AY220" s="15"/>
      <c r="AZ220" s="18"/>
      <c r="BA220" s="19">
        <v>0.025000000000000001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ht="14.2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574</v>
      </c>
      <c r="AT221" s="15" t="s">
        <v>594</v>
      </c>
      <c r="AU221" s="15"/>
      <c r="AV221" s="15"/>
      <c r="AW221" s="15"/>
      <c r="AX221" s="15"/>
      <c r="AY221" s="15"/>
      <c r="AZ221" s="18"/>
      <c r="BA221" s="19">
        <v>0.025000000000000001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ht="14.2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574</v>
      </c>
      <c r="AT222" s="15" t="s">
        <v>595</v>
      </c>
      <c r="AU222" s="15"/>
      <c r="AV222" s="15"/>
      <c r="AW222" s="15"/>
      <c r="AX222" s="15"/>
      <c r="AY222" s="15"/>
      <c r="AZ222" s="18"/>
      <c r="BA222" s="19">
        <v>0.025000000000000001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ht="14.2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574</v>
      </c>
      <c r="AT223" s="15" t="s">
        <v>596</v>
      </c>
      <c r="AU223" s="15"/>
      <c r="AV223" s="15"/>
      <c r="AW223" s="15"/>
      <c r="AX223" s="15"/>
      <c r="AY223" s="15"/>
      <c r="AZ223" s="18"/>
      <c r="BA223" s="19">
        <v>0.025000000000000001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ht="14.2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574</v>
      </c>
      <c r="AT224" s="15" t="s">
        <v>597</v>
      </c>
      <c r="AU224" s="15"/>
      <c r="AV224" s="15"/>
      <c r="AW224" s="15"/>
      <c r="AX224" s="15"/>
      <c r="AY224" s="15"/>
      <c r="AZ224" s="18"/>
      <c r="BA224" s="19">
        <v>0.025000000000000001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ht="14.2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574</v>
      </c>
      <c r="AT225" s="15" t="s">
        <v>598</v>
      </c>
      <c r="AU225" s="15"/>
      <c r="AV225" s="15"/>
      <c r="AW225" s="15"/>
      <c r="AX225" s="15"/>
      <c r="AY225" s="15"/>
      <c r="AZ225" s="18"/>
      <c r="BA225" s="19">
        <v>0.025000000000000001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ht="14.2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0.10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574</v>
      </c>
      <c r="AT226" s="15" t="s">
        <v>599</v>
      </c>
      <c r="AU226" s="15"/>
      <c r="AV226" s="15"/>
      <c r="AW226" s="15"/>
      <c r="AX226" s="15"/>
      <c r="AY226" s="15"/>
      <c r="AZ226" s="18"/>
      <c r="BA226" s="19">
        <v>0.025000000000000001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ht="14.2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574</v>
      </c>
      <c r="AT227" s="15" t="s">
        <v>600</v>
      </c>
      <c r="AU227" s="15"/>
      <c r="AV227" s="15"/>
      <c r="AW227" s="15"/>
      <c r="AX227" s="15"/>
      <c r="AY227" s="15"/>
      <c r="AZ227" s="18"/>
      <c r="BA227" s="19">
        <v>0.025000000000000001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ht="14.2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574</v>
      </c>
      <c r="AT228" s="15" t="s">
        <v>601</v>
      </c>
      <c r="AU228" s="15"/>
      <c r="AV228" s="15"/>
      <c r="AW228" s="15"/>
      <c r="AX228" s="15"/>
      <c r="AY228" s="15"/>
      <c r="AZ228" s="18"/>
      <c r="BA228" s="19">
        <v>0.025000000000000001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ht="14.2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574</v>
      </c>
      <c r="AT229" s="15" t="s">
        <v>602</v>
      </c>
      <c r="AU229" s="15"/>
      <c r="AV229" s="15"/>
      <c r="AW229" s="15"/>
      <c r="AX229" s="15"/>
      <c r="AY229" s="15"/>
      <c r="AZ229" s="18"/>
      <c r="BA229" s="19">
        <v>0.025000000000000001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ht="14.2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574</v>
      </c>
      <c r="AT230" s="15" t="s">
        <v>603</v>
      </c>
      <c r="AU230" s="15"/>
      <c r="AV230" s="15"/>
      <c r="AW230" s="15"/>
      <c r="AX230" s="15"/>
      <c r="AY230" s="15"/>
      <c r="AZ230" s="18"/>
      <c r="BA230" s="19">
        <v>0.025000000000000001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ht="14.2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574</v>
      </c>
      <c r="AT231" s="15" t="s">
        <v>604</v>
      </c>
      <c r="AU231" s="15"/>
      <c r="AV231" s="15"/>
      <c r="AW231" s="15"/>
      <c r="AX231" s="15"/>
      <c r="AY231" s="15"/>
      <c r="AZ231" s="18"/>
      <c r="BA231" s="19">
        <v>0.025000000000000001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ht="14.2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574</v>
      </c>
      <c r="AT232" s="15" t="s">
        <v>605</v>
      </c>
      <c r="AU232" s="15"/>
      <c r="AV232" s="15"/>
      <c r="AW232" s="15"/>
      <c r="AX232" s="15"/>
      <c r="AY232" s="15"/>
      <c r="AZ232" s="18"/>
      <c r="BA232" s="19">
        <v>0.025000000000000001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ht="14.2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574</v>
      </c>
      <c r="AT233" s="15" t="s">
        <v>606</v>
      </c>
      <c r="AU233" s="15"/>
      <c r="AV233" s="15"/>
      <c r="AW233" s="15"/>
      <c r="AX233" s="15"/>
      <c r="AY233" s="15"/>
      <c r="AZ233" s="18"/>
      <c r="BA233" s="19">
        <v>0.025000000000000001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ht="14.2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574</v>
      </c>
      <c r="AT234" s="15" t="s">
        <v>607</v>
      </c>
      <c r="AU234" s="15"/>
      <c r="AV234" s="15"/>
      <c r="AW234" s="15"/>
      <c r="AX234" s="15"/>
      <c r="AY234" s="15"/>
      <c r="AZ234" s="18"/>
      <c r="BA234" s="19">
        <v>0.025000000000000001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ht="14.2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574</v>
      </c>
      <c r="AT235" s="15" t="s">
        <v>608</v>
      </c>
      <c r="AU235" s="15"/>
      <c r="AV235" s="15"/>
      <c r="AW235" s="15"/>
      <c r="AX235" s="15"/>
      <c r="AY235" s="15"/>
      <c r="AZ235" s="18"/>
      <c r="BA235" s="19">
        <v>0.025000000000000001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ht="14.2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574</v>
      </c>
      <c r="AT236" s="15" t="s">
        <v>609</v>
      </c>
      <c r="AU236" s="15"/>
      <c r="AV236" s="15"/>
      <c r="AW236" s="15"/>
      <c r="AX236" s="15"/>
      <c r="AY236" s="15"/>
      <c r="AZ236" s="18"/>
      <c r="BA236" s="19">
        <v>0.025000000000000001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ht="14.2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574</v>
      </c>
      <c r="AT237" s="15" t="s">
        <v>610</v>
      </c>
      <c r="AU237" s="15"/>
      <c r="AV237" s="15"/>
      <c r="AW237" s="15"/>
      <c r="AX237" s="15"/>
      <c r="AY237" s="15"/>
      <c r="AZ237" s="18"/>
      <c r="BA237" s="19">
        <v>0.025000000000000001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ht="14.2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62.40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574</v>
      </c>
      <c r="AT238" s="15" t="s">
        <v>611</v>
      </c>
      <c r="AU238" s="15"/>
      <c r="AV238" s="15"/>
      <c r="AW238" s="15"/>
      <c r="AX238" s="15"/>
      <c r="AY238" s="15"/>
      <c r="AZ238" s="18"/>
      <c r="BA238" s="19">
        <v>0.025000000000000001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ht="14.2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574</v>
      </c>
      <c r="AT239" s="15" t="s">
        <v>612</v>
      </c>
      <c r="AU239" s="15"/>
      <c r="AV239" s="15"/>
      <c r="AW239" s="15"/>
      <c r="AX239" s="15"/>
      <c r="AY239" s="15"/>
      <c r="AZ239" s="18"/>
      <c r="BA239" s="19">
        <v>0.025000000000000001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ht="14.2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0.095545000000000005</v>
      </c>
      <c r="AH240" s="18"/>
      <c r="AI240" s="18"/>
      <c r="AJ240" s="18"/>
      <c r="AK240" s="18"/>
      <c r="AL240" s="18"/>
      <c r="AM240" s="19">
        <v>0.095545000000000005</v>
      </c>
      <c r="AN240" s="18"/>
      <c r="AO240" s="18"/>
      <c r="AP240" s="18"/>
      <c r="AR240" s="15" t="s">
        <v>255</v>
      </c>
      <c r="AS240" s="15" t="s">
        <v>574</v>
      </c>
      <c r="AT240" s="15" t="s">
        <v>613</v>
      </c>
      <c r="AU240" s="15"/>
      <c r="AV240" s="15"/>
      <c r="AW240" s="15"/>
      <c r="AX240" s="15"/>
      <c r="AY240" s="15"/>
      <c r="AZ240" s="18"/>
      <c r="BA240" s="19">
        <v>0.025000000000000001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ht="14.2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0.056500000000000002</v>
      </c>
      <c r="AH241" s="19">
        <v>0.056500000000000002</v>
      </c>
      <c r="AI241" s="18"/>
      <c r="AJ241" s="19">
        <v>0.056500000000000002</v>
      </c>
      <c r="AK241" s="18"/>
      <c r="AL241" s="18"/>
      <c r="AM241" s="19">
        <v>0.049135097190700798</v>
      </c>
      <c r="AN241" s="19">
        <v>0.049404969955021298</v>
      </c>
      <c r="AO241" s="18"/>
      <c r="AP241" s="19">
        <v>0.050577566564981601</v>
      </c>
      <c r="AR241" s="15" t="s">
        <v>255</v>
      </c>
      <c r="AS241" s="15" t="s">
        <v>574</v>
      </c>
      <c r="AT241" s="15" t="s">
        <v>614</v>
      </c>
      <c r="AU241" s="15"/>
      <c r="AV241" s="15"/>
      <c r="AW241" s="15"/>
      <c r="AX241" s="15"/>
      <c r="AY241" s="15"/>
      <c r="AZ241" s="18"/>
      <c r="BA241" s="19">
        <v>0.025000000000000001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ht="14.2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574</v>
      </c>
      <c r="AT242" s="15" t="s">
        <v>615</v>
      </c>
      <c r="AU242" s="15"/>
      <c r="AV242" s="15"/>
      <c r="AW242" s="15"/>
      <c r="AX242" s="15"/>
      <c r="AY242" s="15"/>
      <c r="AZ242" s="18"/>
      <c r="BA242" s="19">
        <v>0.025000000000000001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ht="14.2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574</v>
      </c>
      <c r="AT243" s="15" t="s">
        <v>616</v>
      </c>
      <c r="AU243" s="15"/>
      <c r="AV243" s="15"/>
      <c r="AW243" s="15"/>
      <c r="AX243" s="15"/>
      <c r="AY243" s="15"/>
      <c r="AZ243" s="18"/>
      <c r="BA243" s="19">
        <v>0.025000000000000001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ht="14.2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574</v>
      </c>
      <c r="AT244" s="15" t="s">
        <v>617</v>
      </c>
      <c r="AU244" s="15"/>
      <c r="AV244" s="15"/>
      <c r="AW244" s="15"/>
      <c r="AX244" s="15"/>
      <c r="AY244" s="15"/>
      <c r="AZ244" s="18"/>
      <c r="BA244" s="19">
        <v>0.025000000000000001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ht="14.2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574</v>
      </c>
      <c r="AT245" s="15" t="s">
        <v>618</v>
      </c>
      <c r="AU245" s="15"/>
      <c r="AV245" s="15"/>
      <c r="AW245" s="15"/>
      <c r="AX245" s="15"/>
      <c r="AY245" s="15"/>
      <c r="AZ245" s="18"/>
      <c r="BA245" s="19">
        <v>0.025000000000000001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ht="14.2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0.092196</v>
      </c>
      <c r="AH246" s="18"/>
      <c r="AI246" s="18"/>
      <c r="AJ246" s="18"/>
      <c r="AK246" s="18"/>
      <c r="AL246" s="18"/>
      <c r="AM246" s="19">
        <v>0.092196</v>
      </c>
      <c r="AN246" s="18"/>
      <c r="AO246" s="18"/>
      <c r="AP246" s="18"/>
      <c r="AR246" s="15" t="s">
        <v>255</v>
      </c>
      <c r="AS246" s="15" t="s">
        <v>574</v>
      </c>
      <c r="AT246" s="15" t="s">
        <v>619</v>
      </c>
      <c r="AU246" s="15"/>
      <c r="AV246" s="15"/>
      <c r="AW246" s="15"/>
      <c r="AX246" s="15"/>
      <c r="AY246" s="15"/>
      <c r="AZ246" s="18"/>
      <c r="BA246" s="19">
        <v>0.025000000000000001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ht="14.2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574</v>
      </c>
      <c r="AT247" s="15" t="s">
        <v>620</v>
      </c>
      <c r="AU247" s="15"/>
      <c r="AV247" s="15"/>
      <c r="AW247" s="15"/>
      <c r="AX247" s="15"/>
      <c r="AY247" s="15"/>
      <c r="AZ247" s="18"/>
      <c r="BA247" s="19">
        <v>0.025000000000000001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ht="14.2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574</v>
      </c>
      <c r="AT248" s="15" t="s">
        <v>621</v>
      </c>
      <c r="AU248" s="15"/>
      <c r="AV248" s="15"/>
      <c r="AW248" s="15"/>
      <c r="AX248" s="15"/>
      <c r="AY248" s="15"/>
      <c r="AZ248" s="18"/>
      <c r="BA248" s="19">
        <v>0.025000000000000001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ht="14.2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574</v>
      </c>
      <c r="AT249" s="15" t="s">
        <v>622</v>
      </c>
      <c r="AU249" s="15"/>
      <c r="AV249" s="15"/>
      <c r="AW249" s="15"/>
      <c r="AX249" s="15"/>
      <c r="AY249" s="15"/>
      <c r="AZ249" s="18"/>
      <c r="BA249" s="19">
        <v>0.025000000000000001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ht="14.2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0.073200547754531498</v>
      </c>
      <c r="AH250" s="19">
        <v>0.0776797171473083</v>
      </c>
      <c r="AI250" s="18"/>
      <c r="AJ250" s="19">
        <v>0.082433931151336001</v>
      </c>
      <c r="AK250" s="18"/>
      <c r="AL250" s="18"/>
      <c r="AM250" s="19">
        <v>0.073200547754531498</v>
      </c>
      <c r="AN250" s="19">
        <v>0.077810538730488696</v>
      </c>
      <c r="AO250" s="18"/>
      <c r="AP250" s="19">
        <v>0.080238361195686503</v>
      </c>
      <c r="AR250" s="15" t="s">
        <v>255</v>
      </c>
      <c r="AS250" s="15" t="s">
        <v>574</v>
      </c>
      <c r="AT250" s="15" t="s">
        <v>623</v>
      </c>
      <c r="AU250" s="15"/>
      <c r="AV250" s="15"/>
      <c r="AW250" s="15"/>
      <c r="AX250" s="15"/>
      <c r="AY250" s="15"/>
      <c r="AZ250" s="18"/>
      <c r="BA250" s="19">
        <v>0.025000000000000001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ht="14.2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574</v>
      </c>
      <c r="AT251" s="15" t="s">
        <v>624</v>
      </c>
      <c r="AU251" s="15"/>
      <c r="AV251" s="15"/>
      <c r="AW251" s="15"/>
      <c r="AX251" s="15"/>
      <c r="AY251" s="15"/>
      <c r="AZ251" s="18"/>
      <c r="BA251" s="19">
        <v>0.025000000000000001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ht="14.2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574</v>
      </c>
      <c r="AT252" s="15" t="s">
        <v>625</v>
      </c>
      <c r="AU252" s="15"/>
      <c r="AV252" s="15"/>
      <c r="AW252" s="15"/>
      <c r="AX252" s="15"/>
      <c r="AY252" s="15"/>
      <c r="AZ252" s="18"/>
      <c r="BA252" s="19">
        <v>0.025000000000000001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ht="14.2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574</v>
      </c>
      <c r="AT253" s="15" t="s">
        <v>626</v>
      </c>
      <c r="AU253" s="15"/>
      <c r="AV253" s="15"/>
      <c r="AW253" s="15"/>
      <c r="AX253" s="15"/>
      <c r="AY253" s="15"/>
      <c r="AZ253" s="18"/>
      <c r="BA253" s="19">
        <v>0.025000000000000001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ht="14.2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574</v>
      </c>
      <c r="AT254" s="15" t="s">
        <v>627</v>
      </c>
      <c r="AU254" s="15"/>
      <c r="AV254" s="15"/>
      <c r="AW254" s="15"/>
      <c r="AX254" s="15"/>
      <c r="AY254" s="15"/>
      <c r="AZ254" s="18"/>
      <c r="BA254" s="19">
        <v>0.025000000000000001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ht="14.2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574</v>
      </c>
      <c r="AT255" s="15" t="s">
        <v>628</v>
      </c>
      <c r="AU255" s="15"/>
      <c r="AV255" s="15"/>
      <c r="AW255" s="15"/>
      <c r="AX255" s="15"/>
      <c r="AY255" s="15"/>
      <c r="AZ255" s="18"/>
      <c r="BA255" s="19">
        <v>0.025000000000000001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ht="14.2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574</v>
      </c>
      <c r="AT256" s="15" t="s">
        <v>629</v>
      </c>
      <c r="AU256" s="15"/>
      <c r="AV256" s="15"/>
      <c r="AW256" s="15"/>
      <c r="AX256" s="15"/>
      <c r="AY256" s="15"/>
      <c r="AZ256" s="18"/>
      <c r="BA256" s="19">
        <v>0.025000000000000001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ht="14.2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574</v>
      </c>
      <c r="AT257" s="15" t="s">
        <v>630</v>
      </c>
      <c r="AU257" s="15"/>
      <c r="AV257" s="15"/>
      <c r="AW257" s="15"/>
      <c r="AX257" s="15"/>
      <c r="AY257" s="15"/>
      <c r="AZ257" s="18"/>
      <c r="BA257" s="19">
        <v>0.025000000000000001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ht="14.2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574</v>
      </c>
      <c r="AT258" s="15" t="s">
        <v>631</v>
      </c>
      <c r="AU258" s="15"/>
      <c r="AV258" s="15"/>
      <c r="AW258" s="15"/>
      <c r="AX258" s="15"/>
      <c r="AY258" s="15"/>
      <c r="AZ258" s="18"/>
      <c r="BA258" s="19">
        <v>0.025000000000000001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ht="14.2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574</v>
      </c>
      <c r="AT259" s="15" t="s">
        <v>632</v>
      </c>
      <c r="AU259" s="15"/>
      <c r="AV259" s="15"/>
      <c r="AW259" s="15"/>
      <c r="AX259" s="15"/>
      <c r="AY259" s="15"/>
      <c r="AZ259" s="18"/>
      <c r="BA259" s="19">
        <v>0.025000000000000001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ht="14.2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574</v>
      </c>
      <c r="AT260" s="15" t="s">
        <v>633</v>
      </c>
      <c r="AU260" s="15"/>
      <c r="AV260" s="15"/>
      <c r="AW260" s="15"/>
      <c r="AX260" s="15"/>
      <c r="AY260" s="15"/>
      <c r="AZ260" s="18"/>
      <c r="BA260" s="19">
        <v>0.025000000000000001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ht="14.2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574</v>
      </c>
      <c r="AT261" s="15" t="s">
        <v>634</v>
      </c>
      <c r="AU261" s="15"/>
      <c r="AV261" s="15"/>
      <c r="AW261" s="15"/>
      <c r="AX261" s="15"/>
      <c r="AY261" s="15"/>
      <c r="AZ261" s="18"/>
      <c r="BA261" s="19">
        <v>0.025000000000000001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ht="14.2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574</v>
      </c>
      <c r="AT262" s="15" t="s">
        <v>635</v>
      </c>
      <c r="AU262" s="15"/>
      <c r="AV262" s="15"/>
      <c r="AW262" s="15"/>
      <c r="AX262" s="15"/>
      <c r="AY262" s="15"/>
      <c r="AZ262" s="18"/>
      <c r="BA262" s="19">
        <v>0.025000000000000001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ht="14.2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574</v>
      </c>
      <c r="AT263" s="15" t="s">
        <v>636</v>
      </c>
      <c r="AU263" s="15"/>
      <c r="AV263" s="15"/>
      <c r="AW263" s="15"/>
      <c r="AX263" s="15"/>
      <c r="AY263" s="15"/>
      <c r="AZ263" s="18"/>
      <c r="BA263" s="19">
        <v>0.025000000000000001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ht="14.2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574</v>
      </c>
      <c r="AT264" s="15" t="s">
        <v>637</v>
      </c>
      <c r="AU264" s="15"/>
      <c r="AV264" s="15"/>
      <c r="AW264" s="15"/>
      <c r="AX264" s="15"/>
      <c r="AY264" s="15"/>
      <c r="AZ264" s="18"/>
      <c r="BA264" s="19">
        <v>0.025000000000000001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ht="14.2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574</v>
      </c>
      <c r="AT265" s="15" t="s">
        <v>638</v>
      </c>
      <c r="AU265" s="15"/>
      <c r="AV265" s="15"/>
      <c r="AW265" s="15"/>
      <c r="AX265" s="15"/>
      <c r="AY265" s="15"/>
      <c r="AZ265" s="18"/>
      <c r="BA265" s="19">
        <v>0.025000000000000001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ht="14.2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574</v>
      </c>
      <c r="AT266" s="15" t="s">
        <v>639</v>
      </c>
      <c r="AU266" s="15"/>
      <c r="AV266" s="15"/>
      <c r="AW266" s="15"/>
      <c r="AX266" s="15"/>
      <c r="AY266" s="15"/>
      <c r="AZ266" s="18"/>
      <c r="BA266" s="19">
        <v>0.025000000000000001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ht="14.2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574</v>
      </c>
      <c r="AT267" s="15" t="s">
        <v>640</v>
      </c>
      <c r="AU267" s="15"/>
      <c r="AV267" s="15"/>
      <c r="AW267" s="15"/>
      <c r="AX267" s="15"/>
      <c r="AY267" s="15"/>
      <c r="AZ267" s="18"/>
      <c r="BA267" s="19">
        <v>0.025000000000000001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ht="14.2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574</v>
      </c>
      <c r="AT268" s="15" t="s">
        <v>641</v>
      </c>
      <c r="AU268" s="15"/>
      <c r="AV268" s="15"/>
      <c r="AW268" s="15"/>
      <c r="AX268" s="15"/>
      <c r="AY268" s="15"/>
      <c r="AZ268" s="18"/>
      <c r="BA268" s="19">
        <v>0.025000000000000001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ht="14.2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574</v>
      </c>
      <c r="AT269" s="15" t="s">
        <v>642</v>
      </c>
      <c r="AU269" s="15"/>
      <c r="AV269" s="15"/>
      <c r="AW269" s="15"/>
      <c r="AX269" s="15"/>
      <c r="AY269" s="15"/>
      <c r="AZ269" s="18"/>
      <c r="BA269" s="19">
        <v>0.025000000000000001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ht="14.2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574</v>
      </c>
      <c r="AT270" s="15" t="s">
        <v>643</v>
      </c>
      <c r="AU270" s="15"/>
      <c r="AV270" s="15"/>
      <c r="AW270" s="15"/>
      <c r="AX270" s="15"/>
      <c r="AY270" s="15"/>
      <c r="AZ270" s="18"/>
      <c r="BA270" s="19">
        <v>0.025000000000000001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ht="14.2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574</v>
      </c>
      <c r="AT271" s="15" t="s">
        <v>644</v>
      </c>
      <c r="AU271" s="15"/>
      <c r="AV271" s="15"/>
      <c r="AW271" s="15"/>
      <c r="AX271" s="15"/>
      <c r="AY271" s="15"/>
      <c r="AZ271" s="18"/>
      <c r="BA271" s="19">
        <v>0.025000000000000001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ht="14.2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574</v>
      </c>
      <c r="AT272" s="15" t="s">
        <v>645</v>
      </c>
      <c r="AU272" s="15"/>
      <c r="AV272" s="15"/>
      <c r="AW272" s="15"/>
      <c r="AX272" s="15"/>
      <c r="AY272" s="15"/>
      <c r="AZ272" s="18"/>
      <c r="BA272" s="19">
        <v>0.025000000000000001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ht="14.2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574</v>
      </c>
      <c r="AT273" s="15" t="s">
        <v>646</v>
      </c>
      <c r="AU273" s="15"/>
      <c r="AV273" s="15"/>
      <c r="AW273" s="15"/>
      <c r="AX273" s="15"/>
      <c r="AY273" s="15"/>
      <c r="AZ273" s="18"/>
      <c r="BA273" s="19">
        <v>0.025000000000000001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ht="14.2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574</v>
      </c>
      <c r="AT274" s="15" t="s">
        <v>647</v>
      </c>
      <c r="AU274" s="15"/>
      <c r="AV274" s="15"/>
      <c r="AW274" s="15"/>
      <c r="AX274" s="15"/>
      <c r="AY274" s="15"/>
      <c r="AZ274" s="18"/>
      <c r="BA274" s="19">
        <v>0.025000000000000001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ht="14.2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574</v>
      </c>
      <c r="AT275" s="15" t="s">
        <v>648</v>
      </c>
      <c r="AU275" s="15"/>
      <c r="AV275" s="15"/>
      <c r="AW275" s="15"/>
      <c r="AX275" s="15"/>
      <c r="AY275" s="15"/>
      <c r="AZ275" s="18"/>
      <c r="BA275" s="19">
        <v>0.025000000000000001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ht="14.2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574</v>
      </c>
      <c r="AT276" s="15" t="s">
        <v>649</v>
      </c>
      <c r="AU276" s="15"/>
      <c r="AV276" s="15"/>
      <c r="AW276" s="15"/>
      <c r="AX276" s="15"/>
      <c r="AY276" s="15"/>
      <c r="AZ276" s="18"/>
      <c r="BA276" s="19">
        <v>0.025000000000000001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ht="14.2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574</v>
      </c>
      <c r="AT277" s="15" t="s">
        <v>650</v>
      </c>
      <c r="AU277" s="15"/>
      <c r="AV277" s="15"/>
      <c r="AW277" s="15"/>
      <c r="AX277" s="15"/>
      <c r="AY277" s="15"/>
      <c r="AZ277" s="18"/>
      <c r="BA277" s="19">
        <v>0.025000000000000001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ht="14.2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574</v>
      </c>
      <c r="AT278" s="15" t="s">
        <v>651</v>
      </c>
      <c r="AU278" s="15"/>
      <c r="AV278" s="15"/>
      <c r="AW278" s="15"/>
      <c r="AX278" s="15"/>
      <c r="AY278" s="15"/>
      <c r="AZ278" s="18"/>
      <c r="BA278" s="19">
        <v>0.025000000000000001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ht="14.2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0.20</v>
      </c>
      <c r="AH279" s="18"/>
      <c r="AI279" s="18"/>
      <c r="AJ279" s="19">
        <v>0.22</v>
      </c>
      <c r="AK279" s="18"/>
      <c r="AL279" s="18"/>
      <c r="AM279" s="19">
        <v>0.20</v>
      </c>
      <c r="AN279" s="18"/>
      <c r="AO279" s="18"/>
      <c r="AP279" s="19">
        <v>0.22</v>
      </c>
      <c r="AR279" s="15" t="s">
        <v>255</v>
      </c>
      <c r="AS279" s="15" t="s">
        <v>574</v>
      </c>
      <c r="AT279" s="15" t="s">
        <v>652</v>
      </c>
      <c r="AU279" s="15"/>
      <c r="AV279" s="15"/>
      <c r="AW279" s="15"/>
      <c r="AX279" s="15"/>
      <c r="AY279" s="15"/>
      <c r="AZ279" s="18"/>
      <c r="BA279" s="19">
        <v>0.025000000000000001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ht="14.2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0.20</v>
      </c>
      <c r="AH280" s="18"/>
      <c r="AI280" s="18"/>
      <c r="AJ280" s="19">
        <v>0.22</v>
      </c>
      <c r="AK280" s="18"/>
      <c r="AL280" s="18"/>
      <c r="AM280" s="19">
        <v>0.20</v>
      </c>
      <c r="AN280" s="18"/>
      <c r="AO280" s="18"/>
      <c r="AP280" s="19">
        <v>0.22</v>
      </c>
      <c r="AR280" s="15" t="s">
        <v>255</v>
      </c>
      <c r="AS280" s="15" t="s">
        <v>574</v>
      </c>
      <c r="AT280" s="15" t="s">
        <v>653</v>
      </c>
      <c r="AU280" s="15"/>
      <c r="AV280" s="15"/>
      <c r="AW280" s="15"/>
      <c r="AX280" s="15"/>
      <c r="AY280" s="15"/>
      <c r="AZ280" s="18"/>
      <c r="BA280" s="19">
        <v>0.025000000000000001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ht="14.2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0.20</v>
      </c>
      <c r="AH281" s="18"/>
      <c r="AI281" s="18"/>
      <c r="AJ281" s="19">
        <v>0.22</v>
      </c>
      <c r="AK281" s="18"/>
      <c r="AL281" s="18"/>
      <c r="AM281" s="19">
        <v>0.20</v>
      </c>
      <c r="AN281" s="18"/>
      <c r="AO281" s="18"/>
      <c r="AP281" s="19">
        <v>0.22</v>
      </c>
      <c r="AR281" s="15" t="s">
        <v>255</v>
      </c>
      <c r="AS281" s="15" t="s">
        <v>574</v>
      </c>
      <c r="AT281" s="15" t="s">
        <v>654</v>
      </c>
      <c r="AU281" s="15"/>
      <c r="AV281" s="15"/>
      <c r="AW281" s="15"/>
      <c r="AX281" s="15"/>
      <c r="AY281" s="15"/>
      <c r="AZ281" s="18"/>
      <c r="BA281" s="19">
        <v>0.025000000000000001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ht="14.2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574</v>
      </c>
      <c r="AT282" s="15" t="s">
        <v>655</v>
      </c>
      <c r="AU282" s="15"/>
      <c r="AV282" s="15"/>
      <c r="AW282" s="15"/>
      <c r="AX282" s="15"/>
      <c r="AY282" s="15"/>
      <c r="AZ282" s="18"/>
      <c r="BA282" s="19">
        <v>0.025000000000000001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ht="14.2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574</v>
      </c>
      <c r="AT283" s="15" t="s">
        <v>656</v>
      </c>
      <c r="AU283" s="15"/>
      <c r="AV283" s="15"/>
      <c r="AW283" s="15"/>
      <c r="AX283" s="15"/>
      <c r="AY283" s="15"/>
      <c r="AZ283" s="18"/>
      <c r="BA283" s="19">
        <v>0.025000000000000001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ht="14.2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574</v>
      </c>
      <c r="AT284" s="15" t="s">
        <v>657</v>
      </c>
      <c r="AU284" s="15"/>
      <c r="AV284" s="15"/>
      <c r="AW284" s="15"/>
      <c r="AX284" s="15"/>
      <c r="AY284" s="15"/>
      <c r="AZ284" s="18"/>
      <c r="BA284" s="19">
        <v>0.025000000000000001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ht="14.2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574</v>
      </c>
      <c r="AT285" s="15" t="s">
        <v>658</v>
      </c>
      <c r="AU285" s="15"/>
      <c r="AV285" s="15"/>
      <c r="AW285" s="15"/>
      <c r="AX285" s="15"/>
      <c r="AY285" s="15"/>
      <c r="AZ285" s="18"/>
      <c r="BA285" s="19">
        <v>0.025000000000000001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ht="14.2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574</v>
      </c>
      <c r="AT286" s="15" t="s">
        <v>659</v>
      </c>
      <c r="AU286" s="15"/>
      <c r="AV286" s="15"/>
      <c r="AW286" s="15"/>
      <c r="AX286" s="15"/>
      <c r="AY286" s="15"/>
      <c r="AZ286" s="18"/>
      <c r="BA286" s="19">
        <v>0.025000000000000001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ht="14.2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574</v>
      </c>
      <c r="AT287" s="15" t="s">
        <v>660</v>
      </c>
      <c r="AU287" s="15"/>
      <c r="AV287" s="15"/>
      <c r="AW287" s="15"/>
      <c r="AX287" s="15"/>
      <c r="AY287" s="15"/>
      <c r="AZ287" s="18"/>
      <c r="BA287" s="19">
        <v>0.025000000000000001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ht="14.2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574</v>
      </c>
      <c r="AT288" s="15" t="s">
        <v>661</v>
      </c>
      <c r="AU288" s="15"/>
      <c r="AV288" s="15"/>
      <c r="AW288" s="15"/>
      <c r="AX288" s="15"/>
      <c r="AY288" s="15"/>
      <c r="AZ288" s="18"/>
      <c r="BA288" s="19">
        <v>0.025000000000000001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ht="14.2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574</v>
      </c>
      <c r="AT289" s="15" t="s">
        <v>662</v>
      </c>
      <c r="AU289" s="15"/>
      <c r="AV289" s="15"/>
      <c r="AW289" s="15"/>
      <c r="AX289" s="15"/>
      <c r="AY289" s="15"/>
      <c r="AZ289" s="18"/>
      <c r="BA289" s="19">
        <v>0.025000000000000001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ht="14.2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574</v>
      </c>
      <c r="AT290" s="15" t="s">
        <v>663</v>
      </c>
      <c r="AU290" s="15"/>
      <c r="AV290" s="15"/>
      <c r="AW290" s="15"/>
      <c r="AX290" s="15"/>
      <c r="AY290" s="15"/>
      <c r="AZ290" s="18"/>
      <c r="BA290" s="19">
        <v>0.025000000000000001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ht="14.2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574</v>
      </c>
      <c r="AT291" s="15" t="s">
        <v>664</v>
      </c>
      <c r="AU291" s="15"/>
      <c r="AV291" s="15"/>
      <c r="AW291" s="15"/>
      <c r="AX291" s="15"/>
      <c r="AY291" s="15"/>
      <c r="AZ291" s="18"/>
      <c r="BA291" s="19">
        <v>0.025000000000000001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ht="14.2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574</v>
      </c>
      <c r="AT292" s="15" t="s">
        <v>665</v>
      </c>
      <c r="AU292" s="15"/>
      <c r="AV292" s="15"/>
      <c r="AW292" s="15"/>
      <c r="AX292" s="15"/>
      <c r="AY292" s="15"/>
      <c r="AZ292" s="18"/>
      <c r="BA292" s="19">
        <v>0.025000000000000001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ht="14.2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574</v>
      </c>
      <c r="AT293" s="15" t="s">
        <v>666</v>
      </c>
      <c r="AU293" s="15"/>
      <c r="AV293" s="15"/>
      <c r="AW293" s="15"/>
      <c r="AX293" s="15"/>
      <c r="AY293" s="15"/>
      <c r="AZ293" s="18"/>
      <c r="BA293" s="19">
        <v>0.025000000000000001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ht="14.2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574</v>
      </c>
      <c r="AT294" s="15" t="s">
        <v>667</v>
      </c>
      <c r="AU294" s="15"/>
      <c r="AV294" s="15"/>
      <c r="AW294" s="15"/>
      <c r="AX294" s="15"/>
      <c r="AY294" s="15"/>
      <c r="AZ294" s="18"/>
      <c r="BA294" s="19">
        <v>0.025000000000000001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ht="14.2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574</v>
      </c>
      <c r="AT295" s="15" t="s">
        <v>668</v>
      </c>
      <c r="AU295" s="15"/>
      <c r="AV295" s="15"/>
      <c r="AW295" s="15"/>
      <c r="AX295" s="15"/>
      <c r="AY295" s="15"/>
      <c r="AZ295" s="18"/>
      <c r="BA295" s="19">
        <v>0.025000000000000001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ht="14.2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574</v>
      </c>
      <c r="AT296" s="15" t="s">
        <v>669</v>
      </c>
      <c r="AU296" s="15"/>
      <c r="AV296" s="15"/>
      <c r="AW296" s="15"/>
      <c r="AX296" s="15"/>
      <c r="AY296" s="15"/>
      <c r="AZ296" s="18"/>
      <c r="BA296" s="19">
        <v>0.025000000000000001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ht="14.2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574</v>
      </c>
      <c r="AT297" s="15" t="s">
        <v>670</v>
      </c>
      <c r="AU297" s="15"/>
      <c r="AV297" s="15"/>
      <c r="AW297" s="15"/>
      <c r="AX297" s="15"/>
      <c r="AY297" s="15"/>
      <c r="AZ297" s="18"/>
      <c r="BA297" s="19">
        <v>0.025000000000000001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ht="14.2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574</v>
      </c>
      <c r="AT298" s="15" t="s">
        <v>671</v>
      </c>
      <c r="AU298" s="15"/>
      <c r="AV298" s="15"/>
      <c r="AW298" s="15"/>
      <c r="AX298" s="15"/>
      <c r="AY298" s="15"/>
      <c r="AZ298" s="18"/>
      <c r="BA298" s="19">
        <v>0.025000000000000001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ht="14.2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0.030007890049087299</v>
      </c>
      <c r="AH299" s="18"/>
      <c r="AI299" s="18"/>
      <c r="AJ299" s="19">
        <v>0.029983436126264001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574</v>
      </c>
      <c r="AT299" s="15" t="s">
        <v>672</v>
      </c>
      <c r="AU299" s="15"/>
      <c r="AV299" s="15"/>
      <c r="AW299" s="15"/>
      <c r="AX299" s="15"/>
      <c r="AY299" s="15"/>
      <c r="AZ299" s="18"/>
      <c r="BA299" s="19">
        <v>0.025000000000000001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ht="14.2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0.030007890049087299</v>
      </c>
      <c r="AH300" s="18"/>
      <c r="AI300" s="18"/>
      <c r="AJ300" s="19">
        <v>0.029983436126264001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574</v>
      </c>
      <c r="AT300" s="15" t="s">
        <v>673</v>
      </c>
      <c r="AU300" s="15"/>
      <c r="AV300" s="15"/>
      <c r="AW300" s="15"/>
      <c r="AX300" s="15"/>
      <c r="AY300" s="15"/>
      <c r="AZ300" s="18"/>
      <c r="BA300" s="19">
        <v>0.025000000000000001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ht="14.2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574</v>
      </c>
      <c r="AT301" s="15" t="s">
        <v>674</v>
      </c>
      <c r="AU301" s="15"/>
      <c r="AV301" s="15"/>
      <c r="AW301" s="15"/>
      <c r="AX301" s="15"/>
      <c r="AY301" s="15"/>
      <c r="AZ301" s="18"/>
      <c r="BA301" s="19">
        <v>0.025000000000000001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ht="14.2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574</v>
      </c>
      <c r="AT302" s="15" t="s">
        <v>675</v>
      </c>
      <c r="AU302" s="15"/>
      <c r="AV302" s="15"/>
      <c r="AW302" s="15"/>
      <c r="AX302" s="15"/>
      <c r="AY302" s="15"/>
      <c r="AZ302" s="18"/>
      <c r="BA302" s="19">
        <v>0.025000000000000001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ht="14.2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574</v>
      </c>
      <c r="AT303" s="15" t="s">
        <v>676</v>
      </c>
      <c r="AU303" s="15"/>
      <c r="AV303" s="15"/>
      <c r="AW303" s="15"/>
      <c r="AX303" s="15"/>
      <c r="AY303" s="15"/>
      <c r="AZ303" s="18"/>
      <c r="BA303" s="19">
        <v>0.025000000000000001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ht="14.2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574</v>
      </c>
      <c r="AT304" s="15" t="s">
        <v>677</v>
      </c>
      <c r="AU304" s="15"/>
      <c r="AV304" s="15"/>
      <c r="AW304" s="15"/>
      <c r="AX304" s="15"/>
      <c r="AY304" s="15"/>
      <c r="AZ304" s="18"/>
      <c r="BA304" s="19">
        <v>0.025000000000000001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ht="14.2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574</v>
      </c>
      <c r="AT305" s="15" t="s">
        <v>678</v>
      </c>
      <c r="AU305" s="15"/>
      <c r="AV305" s="15"/>
      <c r="AW305" s="15"/>
      <c r="AX305" s="15"/>
      <c r="AY305" s="15"/>
      <c r="AZ305" s="18"/>
      <c r="BA305" s="19">
        <v>0.025000000000000001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ht="14.2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574</v>
      </c>
      <c r="AT306" s="15" t="s">
        <v>679</v>
      </c>
      <c r="AU306" s="15"/>
      <c r="AV306" s="15"/>
      <c r="AW306" s="15"/>
      <c r="AX306" s="15"/>
      <c r="AY306" s="15"/>
      <c r="AZ306" s="18"/>
      <c r="BA306" s="19">
        <v>0.025000000000000001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ht="14.2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574</v>
      </c>
      <c r="AT307" s="15" t="s">
        <v>680</v>
      </c>
      <c r="AU307" s="15"/>
      <c r="AV307" s="15"/>
      <c r="AW307" s="15"/>
      <c r="AX307" s="15"/>
      <c r="AY307" s="15"/>
      <c r="AZ307" s="18"/>
      <c r="BA307" s="19">
        <v>0.025000000000000001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ht="14.2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574</v>
      </c>
      <c r="AT308" s="15" t="s">
        <v>681</v>
      </c>
      <c r="AU308" s="15"/>
      <c r="AV308" s="15"/>
      <c r="AW308" s="15"/>
      <c r="AX308" s="15"/>
      <c r="AY308" s="15"/>
      <c r="AZ308" s="18"/>
      <c r="BA308" s="19">
        <v>0.025000000000000001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ht="14.2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574</v>
      </c>
      <c r="AT309" s="15" t="s">
        <v>682</v>
      </c>
      <c r="AU309" s="15"/>
      <c r="AV309" s="15"/>
      <c r="AW309" s="15"/>
      <c r="AX309" s="15"/>
      <c r="AY309" s="15"/>
      <c r="AZ309" s="18"/>
      <c r="BA309" s="19">
        <v>0.025000000000000001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ht="14.2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574</v>
      </c>
      <c r="AT310" s="15" t="s">
        <v>683</v>
      </c>
      <c r="AU310" s="15"/>
      <c r="AV310" s="15"/>
      <c r="AW310" s="15"/>
      <c r="AX310" s="15"/>
      <c r="AY310" s="15"/>
      <c r="AZ310" s="18"/>
      <c r="BA310" s="19">
        <v>0.025000000000000001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ht="14.2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574</v>
      </c>
      <c r="AT311" s="15" t="s">
        <v>684</v>
      </c>
      <c r="AU311" s="15"/>
      <c r="AV311" s="15"/>
      <c r="AW311" s="15"/>
      <c r="AX311" s="15"/>
      <c r="AY311" s="15"/>
      <c r="AZ311" s="18"/>
      <c r="BA311" s="19">
        <v>0.025000000000000001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ht="14.2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574</v>
      </c>
      <c r="AT312" s="15" t="s">
        <v>685</v>
      </c>
      <c r="AU312" s="15"/>
      <c r="AV312" s="15"/>
      <c r="AW312" s="15"/>
      <c r="AX312" s="15"/>
      <c r="AY312" s="15"/>
      <c r="AZ312" s="18"/>
      <c r="BA312" s="19">
        <v>0.025000000000000001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ht="14.2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574</v>
      </c>
      <c r="AT313" s="15" t="s">
        <v>686</v>
      </c>
      <c r="AU313" s="15"/>
      <c r="AV313" s="15"/>
      <c r="AW313" s="15"/>
      <c r="AX313" s="15"/>
      <c r="AY313" s="15"/>
      <c r="AZ313" s="18"/>
      <c r="BA313" s="19">
        <v>0.025000000000000001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ht="14.2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574</v>
      </c>
      <c r="AT314" s="15" t="s">
        <v>687</v>
      </c>
      <c r="AU314" s="15"/>
      <c r="AV314" s="15"/>
      <c r="AW314" s="15"/>
      <c r="AX314" s="15"/>
      <c r="AY314" s="15"/>
      <c r="AZ314" s="18"/>
      <c r="BA314" s="19">
        <v>0.025000000000000001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ht="14.2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574</v>
      </c>
      <c r="AT315" s="15" t="s">
        <v>688</v>
      </c>
      <c r="AU315" s="15"/>
      <c r="AV315" s="15"/>
      <c r="AW315" s="15"/>
      <c r="AX315" s="15"/>
      <c r="AY315" s="15"/>
      <c r="AZ315" s="18"/>
      <c r="BA315" s="19">
        <v>0.025000000000000001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ht="14.2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574</v>
      </c>
      <c r="AT316" s="15" t="s">
        <v>689</v>
      </c>
      <c r="AU316" s="15"/>
      <c r="AV316" s="15"/>
      <c r="AW316" s="15"/>
      <c r="AX316" s="15"/>
      <c r="AY316" s="15"/>
      <c r="AZ316" s="18"/>
      <c r="BA316" s="19">
        <v>0.025000000000000001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ht="14.2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574</v>
      </c>
      <c r="AT317" s="15" t="s">
        <v>690</v>
      </c>
      <c r="AU317" s="15"/>
      <c r="AV317" s="15"/>
      <c r="AW317" s="15"/>
      <c r="AX317" s="15"/>
      <c r="AY317" s="15"/>
      <c r="AZ317" s="18"/>
      <c r="BA317" s="19">
        <v>0.025000000000000001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ht="14.2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574</v>
      </c>
      <c r="AT318" s="15" t="s">
        <v>691</v>
      </c>
      <c r="AU318" s="15"/>
      <c r="AV318" s="15"/>
      <c r="AW318" s="15"/>
      <c r="AX318" s="15"/>
      <c r="AY318" s="15"/>
      <c r="AZ318" s="18"/>
      <c r="BA318" s="19">
        <v>0.025000000000000001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ht="14.2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574</v>
      </c>
      <c r="AT319" s="15" t="s">
        <v>692</v>
      </c>
      <c r="AU319" s="15"/>
      <c r="AV319" s="15"/>
      <c r="AW319" s="15"/>
      <c r="AX319" s="15"/>
      <c r="AY319" s="15"/>
      <c r="AZ319" s="18"/>
      <c r="BA319" s="19">
        <v>0.025000000000000001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ht="14.2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574</v>
      </c>
      <c r="AT320" s="15" t="s">
        <v>693</v>
      </c>
      <c r="AU320" s="15"/>
      <c r="AV320" s="15"/>
      <c r="AW320" s="15"/>
      <c r="AX320" s="15"/>
      <c r="AY320" s="15"/>
      <c r="AZ320" s="18"/>
      <c r="BA320" s="19">
        <v>0.025000000000000001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ht="14.2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574</v>
      </c>
      <c r="AT321" s="15" t="s">
        <v>694</v>
      </c>
      <c r="AU321" s="15"/>
      <c r="AV321" s="15"/>
      <c r="AW321" s="15"/>
      <c r="AX321" s="15"/>
      <c r="AY321" s="15"/>
      <c r="AZ321" s="18"/>
      <c r="BA321" s="19">
        <v>0.025000000000000001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ht="14.2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74.50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74.50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574</v>
      </c>
      <c r="AT322" s="15" t="s">
        <v>695</v>
      </c>
      <c r="AU322" s="15"/>
      <c r="AV322" s="15"/>
      <c r="AW322" s="15"/>
      <c r="AX322" s="15"/>
      <c r="AY322" s="15"/>
      <c r="AZ322" s="18"/>
      <c r="BA322" s="19">
        <v>0.025000000000000001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ht="14.2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574</v>
      </c>
      <c r="AT323" s="15" t="s">
        <v>696</v>
      </c>
      <c r="AU323" s="15"/>
      <c r="AV323" s="15"/>
      <c r="AW323" s="15"/>
      <c r="AX323" s="15"/>
      <c r="AY323" s="15"/>
      <c r="AZ323" s="18"/>
      <c r="BA323" s="19">
        <v>0.025000000000000001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ht="14.2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574</v>
      </c>
      <c r="AT324" s="15" t="s">
        <v>697</v>
      </c>
      <c r="AU324" s="15"/>
      <c r="AV324" s="15"/>
      <c r="AW324" s="15"/>
      <c r="AX324" s="15"/>
      <c r="AY324" s="15"/>
      <c r="AZ324" s="18"/>
      <c r="BA324" s="19">
        <v>0.025000000000000001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ht="14.2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574</v>
      </c>
      <c r="AT325" s="15" t="s">
        <v>698</v>
      </c>
      <c r="AU325" s="15"/>
      <c r="AV325" s="15"/>
      <c r="AW325" s="15"/>
      <c r="AX325" s="15"/>
      <c r="AY325" s="15"/>
      <c r="AZ325" s="18"/>
      <c r="BA325" s="19">
        <v>0.025000000000000001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ht="14.2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574</v>
      </c>
      <c r="AT326" s="15" t="s">
        <v>699</v>
      </c>
      <c r="AU326" s="15"/>
      <c r="AV326" s="15"/>
      <c r="AW326" s="15"/>
      <c r="AX326" s="15"/>
      <c r="AY326" s="15"/>
      <c r="AZ326" s="18"/>
      <c r="BA326" s="19">
        <v>0.025000000000000001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ht="14.2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574</v>
      </c>
      <c r="AT327" s="15" t="s">
        <v>700</v>
      </c>
      <c r="AU327" s="15"/>
      <c r="AV327" s="15"/>
      <c r="AW327" s="15"/>
      <c r="AX327" s="15"/>
      <c r="AY327" s="15"/>
      <c r="AZ327" s="18"/>
      <c r="BA327" s="19">
        <v>0.025000000000000001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ht="14.2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574</v>
      </c>
      <c r="AT328" s="15" t="s">
        <v>701</v>
      </c>
      <c r="AU328" s="15"/>
      <c r="AV328" s="15"/>
      <c r="AW328" s="15"/>
      <c r="AX328" s="15"/>
      <c r="AY328" s="15"/>
      <c r="AZ328" s="18"/>
      <c r="BA328" s="19">
        <v>0.025000000000000001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ht="14.2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574</v>
      </c>
      <c r="AT329" s="15" t="s">
        <v>702</v>
      </c>
      <c r="AU329" s="15"/>
      <c r="AV329" s="15"/>
      <c r="AW329" s="15"/>
      <c r="AX329" s="15"/>
      <c r="AY329" s="15"/>
      <c r="AZ329" s="18"/>
      <c r="BA329" s="19">
        <v>0.025000000000000001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ht="14.2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574</v>
      </c>
      <c r="AT330" s="15" t="s">
        <v>703</v>
      </c>
      <c r="AU330" s="15"/>
      <c r="AV330" s="15"/>
      <c r="AW330" s="15"/>
      <c r="AX330" s="15"/>
      <c r="AY330" s="15"/>
      <c r="AZ330" s="18"/>
      <c r="BA330" s="19">
        <v>0.025000000000000001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ht="14.2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574</v>
      </c>
      <c r="AT331" s="15" t="s">
        <v>704</v>
      </c>
      <c r="AU331" s="15"/>
      <c r="AV331" s="15"/>
      <c r="AW331" s="15"/>
      <c r="AX331" s="15"/>
      <c r="AY331" s="15"/>
      <c r="AZ331" s="18"/>
      <c r="BA331" s="19">
        <v>0.025000000000000001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ht="14.2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574</v>
      </c>
      <c r="AT332" s="15" t="s">
        <v>705</v>
      </c>
      <c r="AU332" s="15"/>
      <c r="AV332" s="15"/>
      <c r="AW332" s="15"/>
      <c r="AX332" s="15"/>
      <c r="AY332" s="15"/>
      <c r="AZ332" s="18"/>
      <c r="BA332" s="19">
        <v>0.025000000000000001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ht="14.2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574</v>
      </c>
      <c r="AT333" s="15" t="s">
        <v>706</v>
      </c>
      <c r="AU333" s="15"/>
      <c r="AV333" s="15"/>
      <c r="AW333" s="15"/>
      <c r="AX333" s="15"/>
      <c r="AY333" s="15"/>
      <c r="AZ333" s="18"/>
      <c r="BA333" s="19">
        <v>0.025000000000000001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ht="14.2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574</v>
      </c>
      <c r="AT334" s="15" t="s">
        <v>707</v>
      </c>
      <c r="AU334" s="15"/>
      <c r="AV334" s="15"/>
      <c r="AW334" s="15"/>
      <c r="AX334" s="15"/>
      <c r="AY334" s="15"/>
      <c r="AZ334" s="18"/>
      <c r="BA334" s="19">
        <v>0.025000000000000001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ht="14.2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574</v>
      </c>
      <c r="AT335" s="15" t="s">
        <v>708</v>
      </c>
      <c r="AU335" s="15"/>
      <c r="AV335" s="15"/>
      <c r="AW335" s="15"/>
      <c r="AX335" s="15"/>
      <c r="AY335" s="15"/>
      <c r="AZ335" s="18"/>
      <c r="BA335" s="19">
        <v>0.025000000000000001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ht="14.2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574</v>
      </c>
      <c r="AT336" s="15" t="s">
        <v>709</v>
      </c>
      <c r="AU336" s="15"/>
      <c r="AV336" s="15"/>
      <c r="AW336" s="15"/>
      <c r="AX336" s="15"/>
      <c r="AY336" s="15"/>
      <c r="AZ336" s="18"/>
      <c r="BA336" s="19">
        <v>0.025000000000000001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ht="14.2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574</v>
      </c>
      <c r="AT337" s="15" t="s">
        <v>710</v>
      </c>
      <c r="AU337" s="15"/>
      <c r="AV337" s="15"/>
      <c r="AW337" s="15"/>
      <c r="AX337" s="15"/>
      <c r="AY337" s="15"/>
      <c r="AZ337" s="18"/>
      <c r="BA337" s="19">
        <v>0.025000000000000001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ht="14.2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574</v>
      </c>
      <c r="AT338" s="15" t="s">
        <v>711</v>
      </c>
      <c r="AU338" s="15"/>
      <c r="AV338" s="15"/>
      <c r="AW338" s="15"/>
      <c r="AX338" s="15"/>
      <c r="AY338" s="15"/>
      <c r="AZ338" s="18"/>
      <c r="BA338" s="19">
        <v>0.025000000000000001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ht="14.2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15.10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574</v>
      </c>
      <c r="AT339" s="15" t="s">
        <v>712</v>
      </c>
      <c r="AU339" s="15"/>
      <c r="AV339" s="15"/>
      <c r="AW339" s="15"/>
      <c r="AX339" s="15"/>
      <c r="AY339" s="15"/>
      <c r="AZ339" s="18"/>
      <c r="BA339" s="19">
        <v>0.025000000000000001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ht="14.2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14.90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574</v>
      </c>
      <c r="AT340" s="15" t="s">
        <v>713</v>
      </c>
      <c r="AU340" s="15"/>
      <c r="AV340" s="15"/>
      <c r="AW340" s="15"/>
      <c r="AX340" s="15"/>
      <c r="AY340" s="15"/>
      <c r="AZ340" s="18"/>
      <c r="BA340" s="19">
        <v>0.025000000000000001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ht="14.2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16.40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574</v>
      </c>
      <c r="AT341" s="15" t="s">
        <v>714</v>
      </c>
      <c r="AU341" s="15"/>
      <c r="AV341" s="15"/>
      <c r="AW341" s="15"/>
      <c r="AX341" s="15"/>
      <c r="AY341" s="15"/>
      <c r="AZ341" s="18"/>
      <c r="BA341" s="19">
        <v>0.025000000000000001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ht="14.2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3.50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574</v>
      </c>
      <c r="AT342" s="15" t="s">
        <v>715</v>
      </c>
      <c r="AU342" s="15"/>
      <c r="AV342" s="15"/>
      <c r="AW342" s="15"/>
      <c r="AX342" s="15"/>
      <c r="AY342" s="15"/>
      <c r="AZ342" s="18"/>
      <c r="BA342" s="19">
        <v>0.025000000000000001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ht="14.2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3.90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574</v>
      </c>
      <c r="AT343" s="15" t="s">
        <v>716</v>
      </c>
      <c r="AU343" s="15"/>
      <c r="AV343" s="15"/>
      <c r="AW343" s="15"/>
      <c r="AX343" s="15"/>
      <c r="AY343" s="15"/>
      <c r="AZ343" s="18"/>
      <c r="BA343" s="19">
        <v>0.025000000000000001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ht="14.2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3.80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574</v>
      </c>
      <c r="AT344" s="15" t="s">
        <v>717</v>
      </c>
      <c r="AU344" s="15"/>
      <c r="AV344" s="15"/>
      <c r="AW344" s="15"/>
      <c r="AX344" s="15"/>
      <c r="AY344" s="15"/>
      <c r="AZ344" s="18"/>
      <c r="BA344" s="19">
        <v>0.025000000000000001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ht="14.2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574</v>
      </c>
      <c r="AT345" s="15" t="s">
        <v>718</v>
      </c>
      <c r="AU345" s="15"/>
      <c r="AV345" s="15"/>
      <c r="AW345" s="15"/>
      <c r="AX345" s="15"/>
      <c r="AY345" s="15"/>
      <c r="AZ345" s="18"/>
      <c r="BA345" s="19">
        <v>0.025000000000000001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ht="14.2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574</v>
      </c>
      <c r="AT346" s="15" t="s">
        <v>719</v>
      </c>
      <c r="AU346" s="15"/>
      <c r="AV346" s="15"/>
      <c r="AW346" s="15"/>
      <c r="AX346" s="15"/>
      <c r="AY346" s="15"/>
      <c r="AZ346" s="18"/>
      <c r="BA346" s="19">
        <v>0.025000000000000001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ht="14.2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574</v>
      </c>
      <c r="AT347" s="15" t="s">
        <v>720</v>
      </c>
      <c r="AU347" s="15"/>
      <c r="AV347" s="15"/>
      <c r="AW347" s="15"/>
      <c r="AX347" s="15"/>
      <c r="AY347" s="15"/>
      <c r="AZ347" s="18"/>
      <c r="BA347" s="19">
        <v>0.025000000000000001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ht="14.2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574</v>
      </c>
      <c r="AT348" s="15" t="s">
        <v>721</v>
      </c>
      <c r="AU348" s="15"/>
      <c r="AV348" s="15"/>
      <c r="AW348" s="15"/>
      <c r="AX348" s="15"/>
      <c r="AY348" s="15"/>
      <c r="AZ348" s="18"/>
      <c r="BA348" s="19">
        <v>0.025000000000000001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ht="14.2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574</v>
      </c>
      <c r="AT349" s="15" t="s">
        <v>722</v>
      </c>
      <c r="AU349" s="15"/>
      <c r="AV349" s="15"/>
      <c r="AW349" s="15"/>
      <c r="AX349" s="15"/>
      <c r="AY349" s="15"/>
      <c r="AZ349" s="18"/>
      <c r="BA349" s="19">
        <v>0.025000000000000001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ht="14.2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574</v>
      </c>
      <c r="AT350" s="15" t="s">
        <v>723</v>
      </c>
      <c r="AU350" s="15"/>
      <c r="AV350" s="15"/>
      <c r="AW350" s="15"/>
      <c r="AX350" s="15"/>
      <c r="AY350" s="15"/>
      <c r="AZ350" s="18"/>
      <c r="BA350" s="19">
        <v>0.025000000000000001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ht="14.2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574</v>
      </c>
      <c r="AT351" s="15" t="s">
        <v>724</v>
      </c>
      <c r="AU351" s="15"/>
      <c r="AV351" s="15"/>
      <c r="AW351" s="15"/>
      <c r="AX351" s="15"/>
      <c r="AY351" s="15"/>
      <c r="AZ351" s="18"/>
      <c r="BA351" s="19">
        <v>0.025000000000000001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ht="14.2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574</v>
      </c>
      <c r="AT352" s="15" t="s">
        <v>725</v>
      </c>
      <c r="AU352" s="15"/>
      <c r="AV352" s="15"/>
      <c r="AW352" s="15"/>
      <c r="AX352" s="15"/>
      <c r="AY352" s="15"/>
      <c r="AZ352" s="18"/>
      <c r="BA352" s="19">
        <v>0.025000000000000001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ht="14.2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574</v>
      </c>
      <c r="AT353" s="15" t="s">
        <v>726</v>
      </c>
      <c r="AU353" s="15"/>
      <c r="AV353" s="15"/>
      <c r="AW353" s="15"/>
      <c r="AX353" s="15"/>
      <c r="AY353" s="15"/>
      <c r="AZ353" s="18"/>
      <c r="BA353" s="19">
        <v>0.025000000000000001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ht="14.2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574</v>
      </c>
      <c r="AT354" s="15" t="s">
        <v>727</v>
      </c>
      <c r="AU354" s="15"/>
      <c r="AV354" s="15"/>
      <c r="AW354" s="15"/>
      <c r="AX354" s="15"/>
      <c r="AY354" s="15"/>
      <c r="AZ354" s="18"/>
      <c r="BA354" s="19">
        <v>0.025000000000000001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ht="14.2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574</v>
      </c>
      <c r="AT355" s="15" t="s">
        <v>728</v>
      </c>
      <c r="AU355" s="15"/>
      <c r="AV355" s="15"/>
      <c r="AW355" s="15"/>
      <c r="AX355" s="15"/>
      <c r="AY355" s="15"/>
      <c r="AZ355" s="18"/>
      <c r="BA355" s="19">
        <v>0.025000000000000001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ht="14.2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574</v>
      </c>
      <c r="AT356" s="15" t="s">
        <v>729</v>
      </c>
      <c r="AU356" s="15"/>
      <c r="AV356" s="15"/>
      <c r="AW356" s="15"/>
      <c r="AX356" s="15"/>
      <c r="AY356" s="15"/>
      <c r="AZ356" s="18"/>
      <c r="BA356" s="19">
        <v>0.025000000000000001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ht="14.2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574</v>
      </c>
      <c r="AT357" s="15" t="s">
        <v>730</v>
      </c>
      <c r="AU357" s="15"/>
      <c r="AV357" s="15"/>
      <c r="AW357" s="15"/>
      <c r="AX357" s="15"/>
      <c r="AY357" s="15"/>
      <c r="AZ357" s="18"/>
      <c r="BA357" s="19">
        <v>0.025000000000000001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ht="14.2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574</v>
      </c>
      <c r="AT358" s="15" t="s">
        <v>731</v>
      </c>
      <c r="AU358" s="15"/>
      <c r="AV358" s="15"/>
      <c r="AW358" s="15"/>
      <c r="AX358" s="15"/>
      <c r="AY358" s="15"/>
      <c r="AZ358" s="18"/>
      <c r="BA358" s="19">
        <v>0.025000000000000001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ht="14.2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574</v>
      </c>
      <c r="AT359" s="15" t="s">
        <v>732</v>
      </c>
      <c r="AU359" s="15"/>
      <c r="AV359" s="15"/>
      <c r="AW359" s="15"/>
      <c r="AX359" s="15"/>
      <c r="AY359" s="15"/>
      <c r="AZ359" s="18"/>
      <c r="BA359" s="19">
        <v>0.025000000000000001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ht="14.2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0.50</v>
      </c>
      <c r="AH360" s="18"/>
      <c r="AI360" s="18"/>
      <c r="AJ360" s="18"/>
      <c r="AK360" s="18"/>
      <c r="AL360" s="18"/>
      <c r="AM360" s="19">
        <v>0.50</v>
      </c>
      <c r="AN360" s="18"/>
      <c r="AO360" s="18"/>
      <c r="AP360" s="18"/>
      <c r="AR360" s="15" t="s">
        <v>255</v>
      </c>
      <c r="AS360" s="15" t="s">
        <v>574</v>
      </c>
      <c r="AT360" s="15" t="s">
        <v>733</v>
      </c>
      <c r="AU360" s="15"/>
      <c r="AV360" s="15"/>
      <c r="AW360" s="15"/>
      <c r="AX360" s="15"/>
      <c r="AY360" s="15"/>
      <c r="AZ360" s="18"/>
      <c r="BA360" s="19">
        <v>0.025000000000000001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ht="14.2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574</v>
      </c>
      <c r="AT361" s="15" t="s">
        <v>734</v>
      </c>
      <c r="AU361" s="15"/>
      <c r="AV361" s="15"/>
      <c r="AW361" s="15"/>
      <c r="AX361" s="15"/>
      <c r="AY361" s="15"/>
      <c r="AZ361" s="18"/>
      <c r="BA361" s="19">
        <v>0.025000000000000001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ht="14.2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574</v>
      </c>
      <c r="AT362" s="15" t="s">
        <v>735</v>
      </c>
      <c r="AU362" s="15"/>
      <c r="AV362" s="15"/>
      <c r="AW362" s="15"/>
      <c r="AX362" s="15"/>
      <c r="AY362" s="15"/>
      <c r="AZ362" s="18"/>
      <c r="BA362" s="19">
        <v>0.025000000000000001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ht="14.2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574</v>
      </c>
      <c r="AT363" s="15" t="s">
        <v>736</v>
      </c>
      <c r="AU363" s="15"/>
      <c r="AV363" s="15"/>
      <c r="AW363" s="15"/>
      <c r="AX363" s="15"/>
      <c r="AY363" s="15"/>
      <c r="AZ363" s="18"/>
      <c r="BA363" s="19">
        <v>0.025000000000000001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ht="14.2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574</v>
      </c>
      <c r="AT364" s="15" t="s">
        <v>737</v>
      </c>
      <c r="AU364" s="15"/>
      <c r="AV364" s="15"/>
      <c r="AW364" s="15"/>
      <c r="AX364" s="15"/>
      <c r="AY364" s="15"/>
      <c r="AZ364" s="18"/>
      <c r="BA364" s="19">
        <v>0.025000000000000001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ht="14.2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574</v>
      </c>
      <c r="AT365" s="15" t="s">
        <v>738</v>
      </c>
      <c r="AU365" s="15"/>
      <c r="AV365" s="15"/>
      <c r="AW365" s="15"/>
      <c r="AX365" s="15"/>
      <c r="AY365" s="15"/>
      <c r="AZ365" s="18"/>
      <c r="BA365" s="19">
        <v>0.025000000000000001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ht="14.2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574</v>
      </c>
      <c r="AT366" s="15" t="s">
        <v>739</v>
      </c>
      <c r="AU366" s="15"/>
      <c r="AV366" s="15"/>
      <c r="AW366" s="15"/>
      <c r="AX366" s="15"/>
      <c r="AY366" s="15"/>
      <c r="AZ366" s="18"/>
      <c r="BA366" s="19">
        <v>0.025000000000000001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ht="14.2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574</v>
      </c>
      <c r="AT367" s="15" t="s">
        <v>740</v>
      </c>
      <c r="AU367" s="15"/>
      <c r="AV367" s="15"/>
      <c r="AW367" s="15"/>
      <c r="AX367" s="15"/>
      <c r="AY367" s="15"/>
      <c r="AZ367" s="18"/>
      <c r="BA367" s="19">
        <v>0.025000000000000001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ht="14.2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574</v>
      </c>
      <c r="AT368" s="15" t="s">
        <v>741</v>
      </c>
      <c r="AU368" s="15"/>
      <c r="AV368" s="15"/>
      <c r="AW368" s="15"/>
      <c r="AX368" s="15"/>
      <c r="AY368" s="15"/>
      <c r="AZ368" s="18"/>
      <c r="BA368" s="19">
        <v>0.025000000000000001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ht="14.2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574</v>
      </c>
      <c r="AT369" s="15" t="s">
        <v>742</v>
      </c>
      <c r="AU369" s="15"/>
      <c r="AV369" s="15"/>
      <c r="AW369" s="15"/>
      <c r="AX369" s="15"/>
      <c r="AY369" s="15"/>
      <c r="AZ369" s="18"/>
      <c r="BA369" s="19">
        <v>0.025000000000000001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ht="14.2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574</v>
      </c>
      <c r="AT370" s="15" t="s">
        <v>743</v>
      </c>
      <c r="AU370" s="15"/>
      <c r="AV370" s="15"/>
      <c r="AW370" s="15"/>
      <c r="AX370" s="15"/>
      <c r="AY370" s="15"/>
      <c r="AZ370" s="18"/>
      <c r="BA370" s="19">
        <v>0.025000000000000001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ht="14.2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574</v>
      </c>
      <c r="AT371" s="15" t="s">
        <v>744</v>
      </c>
      <c r="AU371" s="15"/>
      <c r="AV371" s="15"/>
      <c r="AW371" s="15"/>
      <c r="AX371" s="15"/>
      <c r="AY371" s="15"/>
      <c r="AZ371" s="18"/>
      <c r="BA371" s="19">
        <v>0.025000000000000001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ht="14.2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574</v>
      </c>
      <c r="AT372" s="15" t="s">
        <v>745</v>
      </c>
      <c r="AU372" s="15"/>
      <c r="AV372" s="15"/>
      <c r="AW372" s="15"/>
      <c r="AX372" s="15"/>
      <c r="AY372" s="15"/>
      <c r="AZ372" s="18"/>
      <c r="BA372" s="19">
        <v>0.025000000000000001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ht="14.2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574</v>
      </c>
      <c r="AT373" s="15" t="s">
        <v>746</v>
      </c>
      <c r="AU373" s="15"/>
      <c r="AV373" s="15"/>
      <c r="AW373" s="15"/>
      <c r="AX373" s="15"/>
      <c r="AY373" s="15"/>
      <c r="AZ373" s="18"/>
      <c r="BA373" s="19">
        <v>0.025000000000000001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ht="14.2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574</v>
      </c>
      <c r="AT374" s="15" t="s">
        <v>747</v>
      </c>
      <c r="AU374" s="15"/>
      <c r="AV374" s="15"/>
      <c r="AW374" s="15"/>
      <c r="AX374" s="15"/>
      <c r="AY374" s="15"/>
      <c r="AZ374" s="18"/>
      <c r="BA374" s="19">
        <v>0.025000000000000001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ht="14.2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574</v>
      </c>
      <c r="AT375" s="15" t="s">
        <v>748</v>
      </c>
      <c r="AU375" s="15"/>
      <c r="AV375" s="15"/>
      <c r="AW375" s="15"/>
      <c r="AX375" s="15"/>
      <c r="AY375" s="15"/>
      <c r="AZ375" s="18"/>
      <c r="BA375" s="19">
        <v>0.025000000000000001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ht="14.2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574</v>
      </c>
      <c r="AT376" s="15" t="s">
        <v>749</v>
      </c>
      <c r="AU376" s="15"/>
      <c r="AV376" s="15"/>
      <c r="AW376" s="15"/>
      <c r="AX376" s="15"/>
      <c r="AY376" s="15"/>
      <c r="AZ376" s="18"/>
      <c r="BA376" s="19">
        <v>0.025000000000000001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ht="14.2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574</v>
      </c>
      <c r="AT377" s="15" t="s">
        <v>750</v>
      </c>
      <c r="AU377" s="15"/>
      <c r="AV377" s="15"/>
      <c r="AW377" s="15"/>
      <c r="AX377" s="15"/>
      <c r="AY377" s="15"/>
      <c r="AZ377" s="18"/>
      <c r="BA377" s="19">
        <v>0.025000000000000001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ht="14.2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574</v>
      </c>
      <c r="AT378" s="15" t="s">
        <v>751</v>
      </c>
      <c r="AU378" s="15"/>
      <c r="AV378" s="15"/>
      <c r="AW378" s="15"/>
      <c r="AX378" s="15"/>
      <c r="AY378" s="15"/>
      <c r="AZ378" s="18"/>
      <c r="BA378" s="19">
        <v>0.025000000000000001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ht="14.2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574</v>
      </c>
      <c r="AT379" s="15" t="s">
        <v>752</v>
      </c>
      <c r="AU379" s="15"/>
      <c r="AV379" s="15"/>
      <c r="AW379" s="15"/>
      <c r="AX379" s="15"/>
      <c r="AY379" s="15"/>
      <c r="AZ379" s="18"/>
      <c r="BA379" s="19">
        <v>0.025000000000000001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ht="14.2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574</v>
      </c>
      <c r="AT380" s="15" t="s">
        <v>753</v>
      </c>
      <c r="AU380" s="15"/>
      <c r="AV380" s="15"/>
      <c r="AW380" s="15"/>
      <c r="AX380" s="15"/>
      <c r="AY380" s="15"/>
      <c r="AZ380" s="18"/>
      <c r="BA380" s="19">
        <v>0.025000000000000001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ht="14.2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574</v>
      </c>
      <c r="AT381" s="15" t="s">
        <v>754</v>
      </c>
      <c r="AU381" s="15"/>
      <c r="AV381" s="15"/>
      <c r="AW381" s="15"/>
      <c r="AX381" s="15"/>
      <c r="AY381" s="15"/>
      <c r="AZ381" s="18"/>
      <c r="BA381" s="19">
        <v>0.025000000000000001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ht="14.2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574</v>
      </c>
      <c r="AT382" s="15" t="s">
        <v>755</v>
      </c>
      <c r="AU382" s="15"/>
      <c r="AV382" s="15"/>
      <c r="AW382" s="15"/>
      <c r="AX382" s="15"/>
      <c r="AY382" s="15"/>
      <c r="AZ382" s="18"/>
      <c r="BA382" s="19">
        <v>0.025000000000000001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ht="14.2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574</v>
      </c>
      <c r="AT383" s="15" t="s">
        <v>756</v>
      </c>
      <c r="AU383" s="15"/>
      <c r="AV383" s="15"/>
      <c r="AW383" s="15"/>
      <c r="AX383" s="15"/>
      <c r="AY383" s="15"/>
      <c r="AZ383" s="18"/>
      <c r="BA383" s="19">
        <v>0.025000000000000001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ht="14.2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574</v>
      </c>
      <c r="AT384" s="15" t="s">
        <v>757</v>
      </c>
      <c r="AU384" s="15"/>
      <c r="AV384" s="15"/>
      <c r="AW384" s="15"/>
      <c r="AX384" s="15"/>
      <c r="AY384" s="15"/>
      <c r="AZ384" s="18"/>
      <c r="BA384" s="19">
        <v>0.025000000000000001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ht="14.2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574</v>
      </c>
      <c r="AT385" s="15" t="s">
        <v>758</v>
      </c>
      <c r="AU385" s="15"/>
      <c r="AV385" s="15"/>
      <c r="AW385" s="15"/>
      <c r="AX385" s="15"/>
      <c r="AY385" s="15"/>
      <c r="AZ385" s="18"/>
      <c r="BA385" s="19">
        <v>0.025000000000000001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ht="14.2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574</v>
      </c>
      <c r="AT386" s="15" t="s">
        <v>759</v>
      </c>
      <c r="AU386" s="15"/>
      <c r="AV386" s="15"/>
      <c r="AW386" s="15"/>
      <c r="AX386" s="15"/>
      <c r="AY386" s="15"/>
      <c r="AZ386" s="18"/>
      <c r="BA386" s="19">
        <v>0.025000000000000001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ht="14.2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574</v>
      </c>
      <c r="AT387" s="15" t="s">
        <v>760</v>
      </c>
      <c r="AU387" s="15"/>
      <c r="AV387" s="15"/>
      <c r="AW387" s="15"/>
      <c r="AX387" s="15"/>
      <c r="AY387" s="15"/>
      <c r="AZ387" s="18"/>
      <c r="BA387" s="19">
        <v>0.025000000000000001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ht="14.2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574</v>
      </c>
      <c r="AT388" s="15" t="s">
        <v>761</v>
      </c>
      <c r="AU388" s="15"/>
      <c r="AV388" s="15"/>
      <c r="AW388" s="15"/>
      <c r="AX388" s="15"/>
      <c r="AY388" s="15"/>
      <c r="AZ388" s="18"/>
      <c r="BA388" s="19">
        <v>0.025000000000000001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ht="14.2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574</v>
      </c>
      <c r="AT389" s="15" t="s">
        <v>762</v>
      </c>
      <c r="AU389" s="15"/>
      <c r="AV389" s="15"/>
      <c r="AW389" s="15"/>
      <c r="AX389" s="15"/>
      <c r="AY389" s="15"/>
      <c r="AZ389" s="18"/>
      <c r="BA389" s="19">
        <v>0.025000000000000001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ht="14.2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574</v>
      </c>
      <c r="AT390" s="15" t="s">
        <v>763</v>
      </c>
      <c r="AU390" s="15"/>
      <c r="AV390" s="15"/>
      <c r="AW390" s="15"/>
      <c r="AX390" s="15"/>
      <c r="AY390" s="15"/>
      <c r="AZ390" s="18"/>
      <c r="BA390" s="19">
        <v>0.025000000000000001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ht="14.2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574</v>
      </c>
      <c r="AT391" s="15" t="s">
        <v>764</v>
      </c>
      <c r="AU391" s="15"/>
      <c r="AV391" s="15"/>
      <c r="AW391" s="15"/>
      <c r="AX391" s="15"/>
      <c r="AY391" s="15"/>
      <c r="AZ391" s="18"/>
      <c r="BA391" s="19">
        <v>0.025000000000000001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ht="14.2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574</v>
      </c>
      <c r="AT392" s="15" t="s">
        <v>765</v>
      </c>
      <c r="AU392" s="15"/>
      <c r="AV392" s="15"/>
      <c r="AW392" s="15"/>
      <c r="AX392" s="15"/>
      <c r="AY392" s="15"/>
      <c r="AZ392" s="18"/>
      <c r="BA392" s="19">
        <v>0.025000000000000001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ht="14.2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574</v>
      </c>
      <c r="AT393" s="15" t="s">
        <v>766</v>
      </c>
      <c r="AU393" s="15"/>
      <c r="AV393" s="15"/>
      <c r="AW393" s="15"/>
      <c r="AX393" s="15"/>
      <c r="AY393" s="15"/>
      <c r="AZ393" s="18"/>
      <c r="BA393" s="19">
        <v>0.025000000000000001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ht="14.2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574</v>
      </c>
      <c r="AT394" s="15" t="s">
        <v>767</v>
      </c>
      <c r="AU394" s="15"/>
      <c r="AV394" s="15"/>
      <c r="AW394" s="15"/>
      <c r="AX394" s="15"/>
      <c r="AY394" s="15"/>
      <c r="AZ394" s="18"/>
      <c r="BA394" s="19">
        <v>0.025000000000000001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ht="14.2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574</v>
      </c>
      <c r="AT395" s="15" t="s">
        <v>768</v>
      </c>
      <c r="AU395" s="15"/>
      <c r="AV395" s="15"/>
      <c r="AW395" s="15"/>
      <c r="AX395" s="15"/>
      <c r="AY395" s="15"/>
      <c r="AZ395" s="18"/>
      <c r="BA395" s="19">
        <v>0.025000000000000001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ht="14.2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574</v>
      </c>
      <c r="AT396" s="15" t="s">
        <v>769</v>
      </c>
      <c r="AU396" s="15"/>
      <c r="AV396" s="15"/>
      <c r="AW396" s="15"/>
      <c r="AX396" s="15"/>
      <c r="AY396" s="15"/>
      <c r="AZ396" s="18"/>
      <c r="BA396" s="19">
        <v>0.025000000000000001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ht="14.2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574</v>
      </c>
      <c r="AT397" s="15" t="s">
        <v>770</v>
      </c>
      <c r="AU397" s="15"/>
      <c r="AV397" s="15"/>
      <c r="AW397" s="15"/>
      <c r="AX397" s="15"/>
      <c r="AY397" s="15"/>
      <c r="AZ397" s="18"/>
      <c r="BA397" s="19">
        <v>0.025000000000000001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ht="14.2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574</v>
      </c>
      <c r="AT398" s="15" t="s">
        <v>771</v>
      </c>
      <c r="AU398" s="15"/>
      <c r="AV398" s="15"/>
      <c r="AW398" s="15"/>
      <c r="AX398" s="15"/>
      <c r="AY398" s="15"/>
      <c r="AZ398" s="18"/>
      <c r="BA398" s="19">
        <v>0.025000000000000001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ht="14.2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574</v>
      </c>
      <c r="AT399" s="15" t="s">
        <v>772</v>
      </c>
      <c r="AU399" s="15"/>
      <c r="AV399" s="15"/>
      <c r="AW399" s="15"/>
      <c r="AX399" s="15"/>
      <c r="AY399" s="15"/>
      <c r="AZ399" s="18"/>
      <c r="BA399" s="19">
        <v>0.025000000000000001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ht="14.2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574</v>
      </c>
      <c r="AT400" s="15" t="s">
        <v>773</v>
      </c>
      <c r="AU400" s="15"/>
      <c r="AV400" s="15"/>
      <c r="AW400" s="15"/>
      <c r="AX400" s="15"/>
      <c r="AY400" s="15"/>
      <c r="AZ400" s="18"/>
      <c r="BA400" s="19">
        <v>0.025000000000000001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ht="14.2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574</v>
      </c>
      <c r="AT401" s="15" t="s">
        <v>774</v>
      </c>
      <c r="AU401" s="15"/>
      <c r="AV401" s="15"/>
      <c r="AW401" s="15"/>
      <c r="AX401" s="15"/>
      <c r="AY401" s="15"/>
      <c r="AZ401" s="18"/>
      <c r="BA401" s="19">
        <v>0.025000000000000001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ht="14.2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574</v>
      </c>
      <c r="AT402" s="15" t="s">
        <v>775</v>
      </c>
      <c r="AU402" s="15"/>
      <c r="AV402" s="15"/>
      <c r="AW402" s="15"/>
      <c r="AX402" s="15"/>
      <c r="AY402" s="15"/>
      <c r="AZ402" s="18"/>
      <c r="BA402" s="19">
        <v>0.025000000000000001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ht="14.2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574</v>
      </c>
      <c r="AT403" s="15" t="s">
        <v>776</v>
      </c>
      <c r="AU403" s="15"/>
      <c r="AV403" s="15"/>
      <c r="AW403" s="15"/>
      <c r="AX403" s="15"/>
      <c r="AY403" s="15"/>
      <c r="AZ403" s="18"/>
      <c r="BA403" s="19">
        <v>0.025000000000000001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ht="14.2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574</v>
      </c>
      <c r="AT404" s="15" t="s">
        <v>777</v>
      </c>
      <c r="AU404" s="15"/>
      <c r="AV404" s="15"/>
      <c r="AW404" s="15"/>
      <c r="AX404" s="15"/>
      <c r="AY404" s="15"/>
      <c r="AZ404" s="18"/>
      <c r="BA404" s="19">
        <v>0.025000000000000001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ht="14.2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574</v>
      </c>
      <c r="AT405" s="15" t="s">
        <v>778</v>
      </c>
      <c r="AU405" s="15"/>
      <c r="AV405" s="15"/>
      <c r="AW405" s="15"/>
      <c r="AX405" s="15"/>
      <c r="AY405" s="15"/>
      <c r="AZ405" s="18"/>
      <c r="BA405" s="19">
        <v>0.025000000000000001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ht="14.2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574</v>
      </c>
      <c r="AT406" s="15" t="s">
        <v>779</v>
      </c>
      <c r="AU406" s="15"/>
      <c r="AV406" s="15"/>
      <c r="AW406" s="15"/>
      <c r="AX406" s="15"/>
      <c r="AY406" s="15"/>
      <c r="AZ406" s="18"/>
      <c r="BA406" s="19">
        <v>0.025000000000000001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ht="14.2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574</v>
      </c>
      <c r="AT407" s="15" t="s">
        <v>780</v>
      </c>
      <c r="AU407" s="15"/>
      <c r="AV407" s="15"/>
      <c r="AW407" s="15"/>
      <c r="AX407" s="15"/>
      <c r="AY407" s="15"/>
      <c r="AZ407" s="18"/>
      <c r="BA407" s="19">
        <v>0.025000000000000001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ht="14.2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574</v>
      </c>
      <c r="AT408" s="15" t="s">
        <v>781</v>
      </c>
      <c r="AU408" s="15"/>
      <c r="AV408" s="15"/>
      <c r="AW408" s="15"/>
      <c r="AX408" s="15"/>
      <c r="AY408" s="15"/>
      <c r="AZ408" s="18"/>
      <c r="BA408" s="19">
        <v>0.025000000000000001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ht="14.2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574</v>
      </c>
      <c r="AT409" s="15" t="s">
        <v>782</v>
      </c>
      <c r="AU409" s="15"/>
      <c r="AV409" s="15"/>
      <c r="AW409" s="15"/>
      <c r="AX409" s="15"/>
      <c r="AY409" s="15"/>
      <c r="AZ409" s="18"/>
      <c r="BA409" s="19">
        <v>0.025000000000000001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ht="14.2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574</v>
      </c>
      <c r="AT410" s="15" t="s">
        <v>783</v>
      </c>
      <c r="AU410" s="15"/>
      <c r="AV410" s="15"/>
      <c r="AW410" s="15"/>
      <c r="AX410" s="15"/>
      <c r="AY410" s="15"/>
      <c r="AZ410" s="18"/>
      <c r="BA410" s="19">
        <v>0.025000000000000001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ht="14.2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574</v>
      </c>
      <c r="AT411" s="15" t="s">
        <v>784</v>
      </c>
      <c r="AU411" s="15"/>
      <c r="AV411" s="15"/>
      <c r="AW411" s="15"/>
      <c r="AX411" s="15"/>
      <c r="AY411" s="15"/>
      <c r="AZ411" s="18"/>
      <c r="BA411" s="19">
        <v>0.025000000000000001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ht="14.2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574</v>
      </c>
      <c r="AT412" s="15" t="s">
        <v>785</v>
      </c>
      <c r="AU412" s="15"/>
      <c r="AV412" s="15"/>
      <c r="AW412" s="15"/>
      <c r="AX412" s="15"/>
      <c r="AY412" s="15"/>
      <c r="AZ412" s="18"/>
      <c r="BA412" s="19">
        <v>0.025000000000000001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ht="14.2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574</v>
      </c>
      <c r="AT413" s="15" t="s">
        <v>786</v>
      </c>
      <c r="AU413" s="15"/>
      <c r="AV413" s="15"/>
      <c r="AW413" s="15"/>
      <c r="AX413" s="15"/>
      <c r="AY413" s="15"/>
      <c r="AZ413" s="18"/>
      <c r="BA413" s="19">
        <v>0.025000000000000001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ht="14.2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574</v>
      </c>
      <c r="AT414" s="15" t="s">
        <v>787</v>
      </c>
      <c r="AU414" s="15"/>
      <c r="AV414" s="15"/>
      <c r="AW414" s="15"/>
      <c r="AX414" s="15"/>
      <c r="AY414" s="15"/>
      <c r="AZ414" s="18"/>
      <c r="BA414" s="19">
        <v>0.025000000000000001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ht="14.2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574</v>
      </c>
      <c r="AT415" s="15" t="s">
        <v>788</v>
      </c>
      <c r="AU415" s="15"/>
      <c r="AV415" s="15"/>
      <c r="AW415" s="15"/>
      <c r="AX415" s="15"/>
      <c r="AY415" s="15"/>
      <c r="AZ415" s="18"/>
      <c r="BA415" s="19">
        <v>0.025000000000000001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ht="14.2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574</v>
      </c>
      <c r="AT416" s="15" t="s">
        <v>789</v>
      </c>
      <c r="AU416" s="15"/>
      <c r="AV416" s="15"/>
      <c r="AW416" s="15"/>
      <c r="AX416" s="15"/>
      <c r="AY416" s="15"/>
      <c r="AZ416" s="18"/>
      <c r="BA416" s="19">
        <v>0.025000000000000001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ht="14.2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574</v>
      </c>
      <c r="AT417" s="15" t="s">
        <v>790</v>
      </c>
      <c r="AU417" s="15"/>
      <c r="AV417" s="15"/>
      <c r="AW417" s="15"/>
      <c r="AX417" s="15"/>
      <c r="AY417" s="15"/>
      <c r="AZ417" s="18"/>
      <c r="BA417" s="19">
        <v>0.025000000000000001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ht="14.2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574</v>
      </c>
      <c r="AT418" s="15" t="s">
        <v>791</v>
      </c>
      <c r="AU418" s="15"/>
      <c r="AV418" s="15"/>
      <c r="AW418" s="15"/>
      <c r="AX418" s="15"/>
      <c r="AY418" s="15"/>
      <c r="AZ418" s="18"/>
      <c r="BA418" s="19">
        <v>0.025000000000000001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ht="14.2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574</v>
      </c>
      <c r="AT419" s="15" t="s">
        <v>792</v>
      </c>
      <c r="AU419" s="15"/>
      <c r="AV419" s="15"/>
      <c r="AW419" s="15"/>
      <c r="AX419" s="15"/>
      <c r="AY419" s="15"/>
      <c r="AZ419" s="18"/>
      <c r="BA419" s="19">
        <v>0.025000000000000001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ht="14.2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574</v>
      </c>
      <c r="AT420" s="15" t="s">
        <v>793</v>
      </c>
      <c r="AU420" s="15"/>
      <c r="AV420" s="15"/>
      <c r="AW420" s="15"/>
      <c r="AX420" s="15"/>
      <c r="AY420" s="15"/>
      <c r="AZ420" s="18"/>
      <c r="BA420" s="19">
        <v>0.025000000000000001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ht="14.2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574</v>
      </c>
      <c r="AT421" s="15" t="s">
        <v>794</v>
      </c>
      <c r="AU421" s="15"/>
      <c r="AV421" s="15"/>
      <c r="AW421" s="15"/>
      <c r="AX421" s="15"/>
      <c r="AY421" s="15"/>
      <c r="AZ421" s="18"/>
      <c r="BA421" s="19">
        <v>0.025000000000000001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ht="14.2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574</v>
      </c>
      <c r="AT422" s="15" t="s">
        <v>795</v>
      </c>
      <c r="AU422" s="15"/>
      <c r="AV422" s="15"/>
      <c r="AW422" s="15"/>
      <c r="AX422" s="15"/>
      <c r="AY422" s="15"/>
      <c r="AZ422" s="18"/>
      <c r="BA422" s="19">
        <v>0.025000000000000001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ht="14.2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574</v>
      </c>
      <c r="AT423" s="15" t="s">
        <v>796</v>
      </c>
      <c r="AU423" s="15"/>
      <c r="AV423" s="15"/>
      <c r="AW423" s="15"/>
      <c r="AX423" s="15"/>
      <c r="AY423" s="15"/>
      <c r="AZ423" s="18"/>
      <c r="BA423" s="19">
        <v>0.025000000000000001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ht="14.2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574</v>
      </c>
      <c r="AT424" s="15" t="s">
        <v>797</v>
      </c>
      <c r="AU424" s="15"/>
      <c r="AV424" s="15"/>
      <c r="AW424" s="15"/>
      <c r="AX424" s="15"/>
      <c r="AY424" s="15"/>
      <c r="AZ424" s="18"/>
      <c r="BA424" s="19">
        <v>0.025000000000000001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ht="14.2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574</v>
      </c>
      <c r="AT425" s="15" t="s">
        <v>798</v>
      </c>
      <c r="AU425" s="15"/>
      <c r="AV425" s="15"/>
      <c r="AW425" s="15"/>
      <c r="AX425" s="15"/>
      <c r="AY425" s="15"/>
      <c r="AZ425" s="18"/>
      <c r="BA425" s="19">
        <v>0.025000000000000001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ht="14.2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574</v>
      </c>
      <c r="AT426" s="15" t="s">
        <v>799</v>
      </c>
      <c r="AU426" s="15"/>
      <c r="AV426" s="15"/>
      <c r="AW426" s="15"/>
      <c r="AX426" s="15"/>
      <c r="AY426" s="15"/>
      <c r="AZ426" s="18"/>
      <c r="BA426" s="19">
        <v>0.025000000000000001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ht="14.2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574</v>
      </c>
      <c r="AT427" s="15" t="s">
        <v>800</v>
      </c>
      <c r="AU427" s="15"/>
      <c r="AV427" s="15"/>
      <c r="AW427" s="15"/>
      <c r="AX427" s="15"/>
      <c r="AY427" s="15"/>
      <c r="AZ427" s="18"/>
      <c r="BA427" s="19">
        <v>0.025000000000000001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ht="14.2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574</v>
      </c>
      <c r="AT428" s="15" t="s">
        <v>801</v>
      </c>
      <c r="AU428" s="15"/>
      <c r="AV428" s="15"/>
      <c r="AW428" s="15"/>
      <c r="AX428" s="15"/>
      <c r="AY428" s="15"/>
      <c r="AZ428" s="18"/>
      <c r="BA428" s="19">
        <v>0.025000000000000001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ht="14.2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574</v>
      </c>
      <c r="AT429" s="15" t="s">
        <v>802</v>
      </c>
      <c r="AU429" s="15"/>
      <c r="AV429" s="15"/>
      <c r="AW429" s="15"/>
      <c r="AX429" s="15"/>
      <c r="AY429" s="15"/>
      <c r="AZ429" s="18"/>
      <c r="BA429" s="19">
        <v>0.025000000000000001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ht="14.2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574</v>
      </c>
      <c r="AT430" s="15" t="s">
        <v>803</v>
      </c>
      <c r="AU430" s="15"/>
      <c r="AV430" s="15"/>
      <c r="AW430" s="15"/>
      <c r="AX430" s="15"/>
      <c r="AY430" s="15"/>
      <c r="AZ430" s="18"/>
      <c r="BA430" s="19">
        <v>0.025000000000000001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ht="14.2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574</v>
      </c>
      <c r="AT431" s="15" t="s">
        <v>804</v>
      </c>
      <c r="AU431" s="15"/>
      <c r="AV431" s="15"/>
      <c r="AW431" s="15"/>
      <c r="AX431" s="15"/>
      <c r="AY431" s="15"/>
      <c r="AZ431" s="18"/>
      <c r="BA431" s="19">
        <v>0.025000000000000001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ht="14.2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574</v>
      </c>
      <c r="AT432" s="15" t="s">
        <v>805</v>
      </c>
      <c r="AU432" s="15"/>
      <c r="AV432" s="15"/>
      <c r="AW432" s="15"/>
      <c r="AX432" s="15"/>
      <c r="AY432" s="15"/>
      <c r="AZ432" s="18"/>
      <c r="BA432" s="19">
        <v>0.025000000000000001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ht="14.2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574</v>
      </c>
      <c r="AT433" s="15" t="s">
        <v>806</v>
      </c>
      <c r="AU433" s="15"/>
      <c r="AV433" s="15"/>
      <c r="AW433" s="15"/>
      <c r="AX433" s="15"/>
      <c r="AY433" s="15"/>
      <c r="AZ433" s="18"/>
      <c r="BA433" s="19">
        <v>0.025000000000000001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ht="14.2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574</v>
      </c>
      <c r="AT434" s="15" t="s">
        <v>807</v>
      </c>
      <c r="AU434" s="15"/>
      <c r="AV434" s="15"/>
      <c r="AW434" s="15"/>
      <c r="AX434" s="15"/>
      <c r="AY434" s="15"/>
      <c r="AZ434" s="18"/>
      <c r="BA434" s="19">
        <v>0.025000000000000001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ht="14.2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574</v>
      </c>
      <c r="AT435" s="15" t="s">
        <v>808</v>
      </c>
      <c r="AU435" s="15"/>
      <c r="AV435" s="15"/>
      <c r="AW435" s="15"/>
      <c r="AX435" s="15"/>
      <c r="AY435" s="15"/>
      <c r="AZ435" s="18"/>
      <c r="BA435" s="19">
        <v>0.025000000000000001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ht="14.2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574</v>
      </c>
      <c r="AT436" s="15" t="s">
        <v>809</v>
      </c>
      <c r="AU436" s="15"/>
      <c r="AV436" s="15"/>
      <c r="AW436" s="15"/>
      <c r="AX436" s="15"/>
      <c r="AY436" s="15"/>
      <c r="AZ436" s="18"/>
      <c r="BA436" s="19">
        <v>0.025000000000000001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ht="14.2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574</v>
      </c>
      <c r="AT437" s="15" t="s">
        <v>810</v>
      </c>
      <c r="AU437" s="15"/>
      <c r="AV437" s="15"/>
      <c r="AW437" s="15"/>
      <c r="AX437" s="15"/>
      <c r="AY437" s="15"/>
      <c r="AZ437" s="18"/>
      <c r="BA437" s="19">
        <v>0.025000000000000001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ht="14.2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574</v>
      </c>
      <c r="AT438" s="15" t="s">
        <v>811</v>
      </c>
      <c r="AU438" s="15"/>
      <c r="AV438" s="15"/>
      <c r="AW438" s="15"/>
      <c r="AX438" s="15"/>
      <c r="AY438" s="15"/>
      <c r="AZ438" s="18"/>
      <c r="BA438" s="19">
        <v>0.025000000000000001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ht="14.2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574</v>
      </c>
      <c r="AT439" s="15" t="s">
        <v>812</v>
      </c>
      <c r="AU439" s="15"/>
      <c r="AV439" s="15"/>
      <c r="AW439" s="15"/>
      <c r="AX439" s="15"/>
      <c r="AY439" s="15"/>
      <c r="AZ439" s="18"/>
      <c r="BA439" s="19">
        <v>0.025000000000000001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ht="14.2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574</v>
      </c>
      <c r="AT440" s="15" t="s">
        <v>813</v>
      </c>
      <c r="AU440" s="15"/>
      <c r="AV440" s="15"/>
      <c r="AW440" s="15"/>
      <c r="AX440" s="15"/>
      <c r="AY440" s="15"/>
      <c r="AZ440" s="18"/>
      <c r="BA440" s="19">
        <v>0.025000000000000001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ht="14.2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574</v>
      </c>
      <c r="AT441" s="15" t="s">
        <v>814</v>
      </c>
      <c r="AU441" s="15"/>
      <c r="AV441" s="15"/>
      <c r="AW441" s="15"/>
      <c r="AX441" s="15"/>
      <c r="AY441" s="15"/>
      <c r="AZ441" s="18"/>
      <c r="BA441" s="19">
        <v>0.025000000000000001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ht="14.2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574</v>
      </c>
      <c r="AT442" s="15" t="s">
        <v>815</v>
      </c>
      <c r="AU442" s="15"/>
      <c r="AV442" s="15"/>
      <c r="AW442" s="15"/>
      <c r="AX442" s="15"/>
      <c r="AY442" s="15"/>
      <c r="AZ442" s="18"/>
      <c r="BA442" s="19">
        <v>0.025000000000000001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ht="14.2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574</v>
      </c>
      <c r="AT443" s="15" t="s">
        <v>816</v>
      </c>
      <c r="AU443" s="15"/>
      <c r="AV443" s="15"/>
      <c r="AW443" s="15"/>
      <c r="AX443" s="15"/>
      <c r="AY443" s="15"/>
      <c r="AZ443" s="18"/>
      <c r="BA443" s="19">
        <v>0.025000000000000001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ht="14.2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574</v>
      </c>
      <c r="AT444" s="15" t="s">
        <v>817</v>
      </c>
      <c r="AU444" s="15"/>
      <c r="AV444" s="15"/>
      <c r="AW444" s="15"/>
      <c r="AX444" s="15"/>
      <c r="AY444" s="15"/>
      <c r="AZ444" s="18"/>
      <c r="BA444" s="19">
        <v>0.025000000000000001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ht="14.2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574</v>
      </c>
      <c r="AT445" s="15" t="s">
        <v>818</v>
      </c>
      <c r="AU445" s="15"/>
      <c r="AV445" s="15"/>
      <c r="AW445" s="15"/>
      <c r="AX445" s="15"/>
      <c r="AY445" s="15"/>
      <c r="AZ445" s="18"/>
      <c r="BA445" s="19">
        <v>0.025000000000000001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ht="14.2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574</v>
      </c>
      <c r="AT446" s="15" t="s">
        <v>819</v>
      </c>
      <c r="AU446" s="15"/>
      <c r="AV446" s="15"/>
      <c r="AW446" s="15"/>
      <c r="AX446" s="15"/>
      <c r="AY446" s="15"/>
      <c r="AZ446" s="18"/>
      <c r="BA446" s="19">
        <v>0.025000000000000001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ht="14.2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574</v>
      </c>
      <c r="AT447" s="15" t="s">
        <v>820</v>
      </c>
      <c r="AU447" s="15"/>
      <c r="AV447" s="15"/>
      <c r="AW447" s="15"/>
      <c r="AX447" s="15"/>
      <c r="AY447" s="15"/>
      <c r="AZ447" s="18"/>
      <c r="BA447" s="19">
        <v>0.025000000000000001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ht="14.2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574</v>
      </c>
      <c r="AT448" s="15" t="s">
        <v>821</v>
      </c>
      <c r="AU448" s="15"/>
      <c r="AV448" s="15"/>
      <c r="AW448" s="15"/>
      <c r="AX448" s="15"/>
      <c r="AY448" s="15"/>
      <c r="AZ448" s="18"/>
      <c r="BA448" s="19">
        <v>0.025000000000000001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ht="14.2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574</v>
      </c>
      <c r="AT449" s="15" t="s">
        <v>822</v>
      </c>
      <c r="AU449" s="15"/>
      <c r="AV449" s="15"/>
      <c r="AW449" s="15"/>
      <c r="AX449" s="15"/>
      <c r="AY449" s="15"/>
      <c r="AZ449" s="18"/>
      <c r="BA449" s="19">
        <v>0.025000000000000001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ht="14.2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574</v>
      </c>
      <c r="AT450" s="15" t="s">
        <v>823</v>
      </c>
      <c r="AU450" s="15"/>
      <c r="AV450" s="15"/>
      <c r="AW450" s="15"/>
      <c r="AX450" s="15"/>
      <c r="AY450" s="15"/>
      <c r="AZ450" s="18"/>
      <c r="BA450" s="19">
        <v>0.025000000000000001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ht="14.2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574</v>
      </c>
      <c r="AT451" s="15" t="s">
        <v>824</v>
      </c>
      <c r="AU451" s="15"/>
      <c r="AV451" s="15"/>
      <c r="AW451" s="15"/>
      <c r="AX451" s="15"/>
      <c r="AY451" s="15"/>
      <c r="AZ451" s="18"/>
      <c r="BA451" s="19">
        <v>0.025000000000000001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ht="14.2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574</v>
      </c>
      <c r="AT452" s="15" t="s">
        <v>825</v>
      </c>
      <c r="AU452" s="15"/>
      <c r="AV452" s="15"/>
      <c r="AW452" s="15"/>
      <c r="AX452" s="15"/>
      <c r="AY452" s="15"/>
      <c r="AZ452" s="18"/>
      <c r="BA452" s="19">
        <v>0.025000000000000001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ht="14.2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574</v>
      </c>
      <c r="AT453" s="15" t="s">
        <v>826</v>
      </c>
      <c r="AU453" s="15"/>
      <c r="AV453" s="15"/>
      <c r="AW453" s="15"/>
      <c r="AX453" s="15"/>
      <c r="AY453" s="15"/>
      <c r="AZ453" s="18"/>
      <c r="BA453" s="19">
        <v>0.025000000000000001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ht="14.2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574</v>
      </c>
      <c r="AT454" s="15" t="s">
        <v>827</v>
      </c>
      <c r="AU454" s="15"/>
      <c r="AV454" s="15"/>
      <c r="AW454" s="15"/>
      <c r="AX454" s="15"/>
      <c r="AY454" s="15"/>
      <c r="AZ454" s="18"/>
      <c r="BA454" s="19">
        <v>0.025000000000000001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ht="14.2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574</v>
      </c>
      <c r="AT455" s="15" t="s">
        <v>828</v>
      </c>
      <c r="AU455" s="15"/>
      <c r="AV455" s="15"/>
      <c r="AW455" s="15"/>
      <c r="AX455" s="15"/>
      <c r="AY455" s="15"/>
      <c r="AZ455" s="18"/>
      <c r="BA455" s="19">
        <v>0.025000000000000001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ht="14.2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574</v>
      </c>
      <c r="AT456" s="15" t="s">
        <v>829</v>
      </c>
      <c r="AU456" s="15"/>
      <c r="AV456" s="15"/>
      <c r="AW456" s="15"/>
      <c r="AX456" s="15"/>
      <c r="AY456" s="15"/>
      <c r="AZ456" s="18"/>
      <c r="BA456" s="19">
        <v>0.025000000000000001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ht="14.2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574</v>
      </c>
      <c r="AT457" s="15" t="s">
        <v>830</v>
      </c>
      <c r="AU457" s="15"/>
      <c r="AV457" s="15"/>
      <c r="AW457" s="15"/>
      <c r="AX457" s="15"/>
      <c r="AY457" s="15"/>
      <c r="AZ457" s="18"/>
      <c r="BA457" s="19">
        <v>0.025000000000000001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ht="14.2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0.70</v>
      </c>
      <c r="M458" s="7"/>
      <c r="N458" s="7"/>
      <c r="O458" s="7"/>
      <c r="P458" s="7"/>
      <c r="Q458" s="7"/>
      <c r="R458" s="7">
        <v>0.70</v>
      </c>
      <c r="S458" s="7"/>
      <c r="T458" s="7"/>
      <c r="U458" s="7"/>
      <c r="V458" s="7"/>
      <c r="AR458" s="15" t="s">
        <v>255</v>
      </c>
      <c r="AS458" s="15" t="s">
        <v>574</v>
      </c>
      <c r="AT458" s="15" t="s">
        <v>831</v>
      </c>
      <c r="AU458" s="15"/>
      <c r="AV458" s="15"/>
      <c r="AW458" s="15"/>
      <c r="AX458" s="15"/>
      <c r="AY458" s="15"/>
      <c r="AZ458" s="18"/>
      <c r="BA458" s="19">
        <v>0.025000000000000001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ht="14.2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574</v>
      </c>
      <c r="AT459" s="15" t="s">
        <v>832</v>
      </c>
      <c r="AU459" s="15"/>
      <c r="AV459" s="15"/>
      <c r="AW459" s="15"/>
      <c r="AX459" s="15"/>
      <c r="AY459" s="15"/>
      <c r="AZ459" s="18"/>
      <c r="BA459" s="19">
        <v>0.025000000000000001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ht="14.2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574</v>
      </c>
      <c r="AT460" s="15" t="s">
        <v>833</v>
      </c>
      <c r="AU460" s="15"/>
      <c r="AV460" s="15"/>
      <c r="AW460" s="15"/>
      <c r="AX460" s="15"/>
      <c r="AY460" s="15"/>
      <c r="AZ460" s="18"/>
      <c r="BA460" s="19">
        <v>0.025000000000000001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ht="14.2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574</v>
      </c>
      <c r="AT461" s="15" t="s">
        <v>834</v>
      </c>
      <c r="AU461" s="15"/>
      <c r="AV461" s="15"/>
      <c r="AW461" s="15"/>
      <c r="AX461" s="15"/>
      <c r="AY461" s="15"/>
      <c r="AZ461" s="18"/>
      <c r="BA461" s="19">
        <v>0.025000000000000001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ht="14.2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0.10</v>
      </c>
      <c r="M462" s="7"/>
      <c r="N462" s="7"/>
      <c r="O462" s="7"/>
      <c r="P462" s="7"/>
      <c r="Q462" s="7"/>
      <c r="R462" s="7">
        <v>0.10</v>
      </c>
      <c r="S462" s="7"/>
      <c r="T462" s="7"/>
      <c r="U462" s="7"/>
      <c r="V462" s="7"/>
      <c r="AR462" s="15" t="s">
        <v>255</v>
      </c>
      <c r="AS462" s="15" t="s">
        <v>574</v>
      </c>
      <c r="AT462" s="15" t="s">
        <v>835</v>
      </c>
      <c r="AU462" s="15"/>
      <c r="AV462" s="15"/>
      <c r="AW462" s="15"/>
      <c r="AX462" s="15"/>
      <c r="AY462" s="15"/>
      <c r="AZ462" s="18"/>
      <c r="BA462" s="19">
        <v>0.025000000000000001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ht="14.2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574</v>
      </c>
      <c r="AT463" s="15" t="s">
        <v>836</v>
      </c>
      <c r="AU463" s="15"/>
      <c r="AV463" s="15"/>
      <c r="AW463" s="15"/>
      <c r="AX463" s="15"/>
      <c r="AY463" s="15"/>
      <c r="AZ463" s="18"/>
      <c r="BA463" s="19">
        <v>0.025000000000000001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ht="14.2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574</v>
      </c>
      <c r="AT464" s="15" t="s">
        <v>837</v>
      </c>
      <c r="AU464" s="15"/>
      <c r="AV464" s="15"/>
      <c r="AW464" s="15"/>
      <c r="AX464" s="15"/>
      <c r="AY464" s="15"/>
      <c r="AZ464" s="18"/>
      <c r="BA464" s="19">
        <v>0.025000000000000001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ht="14.2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574</v>
      </c>
      <c r="AT465" s="15" t="s">
        <v>838</v>
      </c>
      <c r="AU465" s="15"/>
      <c r="AV465" s="15"/>
      <c r="AW465" s="15"/>
      <c r="AX465" s="15"/>
      <c r="AY465" s="15"/>
      <c r="AZ465" s="18"/>
      <c r="BA465" s="19">
        <v>0.025000000000000001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ht="14.2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574</v>
      </c>
      <c r="AT466" s="15" t="s">
        <v>839</v>
      </c>
      <c r="AU466" s="15"/>
      <c r="AV466" s="15"/>
      <c r="AW466" s="15"/>
      <c r="AX466" s="15"/>
      <c r="AY466" s="15"/>
      <c r="AZ466" s="18"/>
      <c r="BA466" s="19">
        <v>0.025000000000000001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ht="14.2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574</v>
      </c>
      <c r="AT467" s="15" t="s">
        <v>840</v>
      </c>
      <c r="AU467" s="15"/>
      <c r="AV467" s="15"/>
      <c r="AW467" s="15"/>
      <c r="AX467" s="15"/>
      <c r="AY467" s="15"/>
      <c r="AZ467" s="18"/>
      <c r="BA467" s="19">
        <v>0.025000000000000001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ht="14.2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574</v>
      </c>
      <c r="AT468" s="15" t="s">
        <v>841</v>
      </c>
      <c r="AU468" s="15"/>
      <c r="AV468" s="15"/>
      <c r="AW468" s="15"/>
      <c r="AX468" s="15"/>
      <c r="AY468" s="15"/>
      <c r="AZ468" s="18"/>
      <c r="BA468" s="19">
        <v>0.025000000000000001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ht="14.2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574</v>
      </c>
      <c r="AT469" s="15" t="s">
        <v>842</v>
      </c>
      <c r="AU469" s="15"/>
      <c r="AV469" s="15"/>
      <c r="AW469" s="15"/>
      <c r="AX469" s="15"/>
      <c r="AY469" s="15"/>
      <c r="AZ469" s="18"/>
      <c r="BA469" s="19">
        <v>0.025000000000000001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ht="14.2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0.80</v>
      </c>
      <c r="M470" s="7"/>
      <c r="N470" s="7"/>
      <c r="O470" s="7"/>
      <c r="P470" s="7"/>
      <c r="Q470" s="7"/>
      <c r="R470" s="7">
        <v>0.80</v>
      </c>
      <c r="S470" s="7"/>
      <c r="T470" s="7"/>
      <c r="U470" s="7"/>
      <c r="V470" s="7"/>
      <c r="AR470" s="15" t="s">
        <v>255</v>
      </c>
      <c r="AS470" s="15" t="s">
        <v>574</v>
      </c>
      <c r="AT470" s="15" t="s">
        <v>843</v>
      </c>
      <c r="AU470" s="15"/>
      <c r="AV470" s="15"/>
      <c r="AW470" s="15"/>
      <c r="AX470" s="15"/>
      <c r="AY470" s="15"/>
      <c r="AZ470" s="18"/>
      <c r="BA470" s="19">
        <v>0.025000000000000001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ht="14.2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0.50</v>
      </c>
      <c r="M471" s="7"/>
      <c r="N471" s="7"/>
      <c r="O471" s="7"/>
      <c r="P471" s="7"/>
      <c r="Q471" s="7"/>
      <c r="R471" s="7">
        <v>0.50</v>
      </c>
      <c r="S471" s="7"/>
      <c r="T471" s="7"/>
      <c r="U471" s="7"/>
      <c r="V471" s="7"/>
      <c r="AR471" s="15" t="s">
        <v>255</v>
      </c>
      <c r="AS471" s="15" t="s">
        <v>574</v>
      </c>
      <c r="AT471" s="15" t="s">
        <v>844</v>
      </c>
      <c r="AU471" s="15"/>
      <c r="AV471" s="15"/>
      <c r="AW471" s="15"/>
      <c r="AX471" s="15"/>
      <c r="AY471" s="15"/>
      <c r="AZ471" s="18"/>
      <c r="BA471" s="19">
        <v>0.025000000000000001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ht="14.2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574</v>
      </c>
      <c r="AT472" s="15" t="s">
        <v>845</v>
      </c>
      <c r="AU472" s="15"/>
      <c r="AV472" s="15"/>
      <c r="AW472" s="15"/>
      <c r="AX472" s="15"/>
      <c r="AY472" s="15"/>
      <c r="AZ472" s="18"/>
      <c r="BA472" s="19">
        <v>0.025000000000000001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ht="14.2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574</v>
      </c>
      <c r="AT473" s="15" t="s">
        <v>846</v>
      </c>
      <c r="AU473" s="15"/>
      <c r="AV473" s="15"/>
      <c r="AW473" s="15"/>
      <c r="AX473" s="15"/>
      <c r="AY473" s="15"/>
      <c r="AZ473" s="18"/>
      <c r="BA473" s="19">
        <v>0.025000000000000001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ht="14.2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0.70</v>
      </c>
      <c r="M474" s="7"/>
      <c r="N474" s="7"/>
      <c r="O474" s="7"/>
      <c r="P474" s="7"/>
      <c r="Q474" s="7"/>
      <c r="R474" s="7">
        <v>0.70</v>
      </c>
      <c r="S474" s="7"/>
      <c r="T474" s="7"/>
      <c r="U474" s="7"/>
      <c r="V474" s="7"/>
      <c r="AR474" s="15" t="s">
        <v>255</v>
      </c>
      <c r="AS474" s="15" t="s">
        <v>574</v>
      </c>
      <c r="AT474" s="15" t="s">
        <v>847</v>
      </c>
      <c r="AU474" s="15"/>
      <c r="AV474" s="15"/>
      <c r="AW474" s="15"/>
      <c r="AX474" s="15"/>
      <c r="AY474" s="15"/>
      <c r="AZ474" s="18"/>
      <c r="BA474" s="19">
        <v>0.025000000000000001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ht="14.2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574</v>
      </c>
      <c r="AT475" s="15" t="s">
        <v>848</v>
      </c>
      <c r="AU475" s="15"/>
      <c r="AV475" s="15"/>
      <c r="AW475" s="15"/>
      <c r="AX475" s="15"/>
      <c r="AY475" s="15"/>
      <c r="AZ475" s="18"/>
      <c r="BA475" s="19">
        <v>0.025000000000000001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ht="14.2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3.50</v>
      </c>
      <c r="M476" s="7"/>
      <c r="N476" s="7"/>
      <c r="O476" s="7"/>
      <c r="P476" s="7"/>
      <c r="Q476" s="7"/>
      <c r="R476" s="7">
        <v>3.50</v>
      </c>
      <c r="S476" s="7"/>
      <c r="T476" s="7"/>
      <c r="U476" s="7"/>
      <c r="V476" s="7"/>
      <c r="AR476" s="15" t="s">
        <v>255</v>
      </c>
      <c r="AS476" s="15" t="s">
        <v>574</v>
      </c>
      <c r="AT476" s="15" t="s">
        <v>849</v>
      </c>
      <c r="AU476" s="15"/>
      <c r="AV476" s="15"/>
      <c r="AW476" s="15"/>
      <c r="AX476" s="15"/>
      <c r="AY476" s="15"/>
      <c r="AZ476" s="18"/>
      <c r="BA476" s="19">
        <v>0.025000000000000001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ht="14.2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0.90</v>
      </c>
      <c r="M477" s="7"/>
      <c r="N477" s="7"/>
      <c r="O477" s="7"/>
      <c r="P477" s="7"/>
      <c r="Q477" s="7"/>
      <c r="R477" s="7">
        <v>0.90</v>
      </c>
      <c r="S477" s="7"/>
      <c r="T477" s="7"/>
      <c r="U477" s="7"/>
      <c r="V477" s="7"/>
      <c r="AR477" s="15" t="s">
        <v>255</v>
      </c>
      <c r="AS477" s="15" t="s">
        <v>574</v>
      </c>
      <c r="AT477" s="15" t="s">
        <v>850</v>
      </c>
      <c r="AU477" s="15"/>
      <c r="AV477" s="15"/>
      <c r="AW477" s="15"/>
      <c r="AX477" s="15"/>
      <c r="AY477" s="15"/>
      <c r="AZ477" s="18"/>
      <c r="BA477" s="19">
        <v>0.025000000000000001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ht="14.2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3.50</v>
      </c>
      <c r="M478" s="7"/>
      <c r="N478" s="7"/>
      <c r="O478" s="7"/>
      <c r="P478" s="7"/>
      <c r="Q478" s="7"/>
      <c r="R478" s="7">
        <v>3.50</v>
      </c>
      <c r="S478" s="7"/>
      <c r="T478" s="7"/>
      <c r="U478" s="7"/>
      <c r="V478" s="7"/>
      <c r="AR478" s="15" t="s">
        <v>255</v>
      </c>
      <c r="AS478" s="15" t="s">
        <v>574</v>
      </c>
      <c r="AT478" s="15" t="s">
        <v>851</v>
      </c>
      <c r="AU478" s="15"/>
      <c r="AV478" s="15"/>
      <c r="AW478" s="15"/>
      <c r="AX478" s="15"/>
      <c r="AY478" s="15"/>
      <c r="AZ478" s="18"/>
      <c r="BA478" s="19">
        <v>0.025000000000000001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ht="14.2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574</v>
      </c>
      <c r="AT479" s="15" t="s">
        <v>852</v>
      </c>
      <c r="AU479" s="15"/>
      <c r="AV479" s="15"/>
      <c r="AW479" s="15"/>
      <c r="AX479" s="15"/>
      <c r="AY479" s="15"/>
      <c r="AZ479" s="18"/>
      <c r="BA479" s="19">
        <v>0.025000000000000001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ht="14.2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574</v>
      </c>
      <c r="AT480" s="15" t="s">
        <v>853</v>
      </c>
      <c r="AU480" s="15"/>
      <c r="AV480" s="15"/>
      <c r="AW480" s="15"/>
      <c r="AX480" s="15"/>
      <c r="AY480" s="15"/>
      <c r="AZ480" s="18"/>
      <c r="BA480" s="19">
        <v>0.025000000000000001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ht="14.2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574</v>
      </c>
      <c r="AT481" s="15" t="s">
        <v>854</v>
      </c>
      <c r="AU481" s="15"/>
      <c r="AV481" s="15"/>
      <c r="AW481" s="15"/>
      <c r="AX481" s="15"/>
      <c r="AY481" s="15"/>
      <c r="AZ481" s="18"/>
      <c r="BA481" s="19">
        <v>0.025000000000000001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ht="14.2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574</v>
      </c>
      <c r="AT482" s="15" t="s">
        <v>855</v>
      </c>
      <c r="AU482" s="15"/>
      <c r="AV482" s="15"/>
      <c r="AW482" s="15"/>
      <c r="AX482" s="15"/>
      <c r="AY482" s="15"/>
      <c r="AZ482" s="18"/>
      <c r="BA482" s="19">
        <v>0.025000000000000001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ht="14.2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574</v>
      </c>
      <c r="AT483" s="15" t="s">
        <v>856</v>
      </c>
      <c r="AU483" s="15"/>
      <c r="AV483" s="15"/>
      <c r="AW483" s="15"/>
      <c r="AX483" s="15"/>
      <c r="AY483" s="15"/>
      <c r="AZ483" s="18"/>
      <c r="BA483" s="19">
        <v>0.025000000000000001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ht="14.2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574</v>
      </c>
      <c r="AT484" s="15" t="s">
        <v>857</v>
      </c>
      <c r="AU484" s="15"/>
      <c r="AV484" s="15"/>
      <c r="AW484" s="15"/>
      <c r="AX484" s="15"/>
      <c r="AY484" s="15"/>
      <c r="AZ484" s="18"/>
      <c r="BA484" s="19">
        <v>0.025000000000000001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ht="14.2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574</v>
      </c>
      <c r="AT485" s="15" t="s">
        <v>858</v>
      </c>
      <c r="AU485" s="15"/>
      <c r="AV485" s="15"/>
      <c r="AW485" s="15"/>
      <c r="AX485" s="15"/>
      <c r="AY485" s="15"/>
      <c r="AZ485" s="18"/>
      <c r="BA485" s="19">
        <v>0.025000000000000001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ht="14.2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574</v>
      </c>
      <c r="AT486" s="15" t="s">
        <v>859</v>
      </c>
      <c r="AU486" s="15"/>
      <c r="AV486" s="15"/>
      <c r="AW486" s="15"/>
      <c r="AX486" s="15"/>
      <c r="AY486" s="15"/>
      <c r="AZ486" s="18"/>
      <c r="BA486" s="19">
        <v>0.025000000000000001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ht="14.2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574</v>
      </c>
      <c r="AT487" s="15" t="s">
        <v>860</v>
      </c>
      <c r="AU487" s="15"/>
      <c r="AV487" s="15"/>
      <c r="AW487" s="15"/>
      <c r="AX487" s="15"/>
      <c r="AY487" s="15"/>
      <c r="AZ487" s="18"/>
      <c r="BA487" s="19">
        <v>0.025000000000000001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ht="14.2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574</v>
      </c>
      <c r="AT488" s="15" t="s">
        <v>861</v>
      </c>
      <c r="AU488" s="15"/>
      <c r="AV488" s="15"/>
      <c r="AW488" s="15"/>
      <c r="AX488" s="15"/>
      <c r="AY488" s="15"/>
      <c r="AZ488" s="18"/>
      <c r="BA488" s="19">
        <v>0.025000000000000001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ht="14.2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574</v>
      </c>
      <c r="AT489" s="15" t="s">
        <v>862</v>
      </c>
      <c r="AU489" s="15"/>
      <c r="AV489" s="15"/>
      <c r="AW489" s="15"/>
      <c r="AX489" s="15"/>
      <c r="AY489" s="15"/>
      <c r="AZ489" s="18"/>
      <c r="BA489" s="19">
        <v>0.025000000000000001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ht="14.2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0.90</v>
      </c>
      <c r="M490" s="7"/>
      <c r="N490" s="7"/>
      <c r="O490" s="7"/>
      <c r="P490" s="7"/>
      <c r="Q490" s="7"/>
      <c r="R490" s="7">
        <v>0.90</v>
      </c>
      <c r="S490" s="7"/>
      <c r="T490" s="7"/>
      <c r="U490" s="7"/>
      <c r="V490" s="7"/>
      <c r="AR490" s="15" t="s">
        <v>255</v>
      </c>
      <c r="AS490" s="15" t="s">
        <v>574</v>
      </c>
      <c r="AT490" s="15" t="s">
        <v>863</v>
      </c>
      <c r="AU490" s="15"/>
      <c r="AV490" s="15"/>
      <c r="AW490" s="15"/>
      <c r="AX490" s="15"/>
      <c r="AY490" s="15"/>
      <c r="AZ490" s="18"/>
      <c r="BA490" s="19">
        <v>0.025000000000000001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ht="14.2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0.70</v>
      </c>
      <c r="M491" s="7"/>
      <c r="N491" s="7"/>
      <c r="O491" s="7"/>
      <c r="P491" s="7"/>
      <c r="Q491" s="7"/>
      <c r="R491" s="7">
        <v>0.70</v>
      </c>
      <c r="S491" s="7"/>
      <c r="T491" s="7"/>
      <c r="U491" s="7"/>
      <c r="V491" s="7"/>
      <c r="AR491" s="15" t="s">
        <v>255</v>
      </c>
      <c r="AS491" s="15" t="s">
        <v>574</v>
      </c>
      <c r="AT491" s="15" t="s">
        <v>864</v>
      </c>
      <c r="AU491" s="15"/>
      <c r="AV491" s="15"/>
      <c r="AW491" s="15"/>
      <c r="AX491" s="15"/>
      <c r="AY491" s="15"/>
      <c r="AZ491" s="18"/>
      <c r="BA491" s="19">
        <v>0.025000000000000001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ht="14.2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</v>
      </c>
      <c r="S492" s="7"/>
      <c r="T492" s="7"/>
      <c r="U492" s="7"/>
      <c r="V492" s="7"/>
      <c r="AR492" s="15" t="s">
        <v>255</v>
      </c>
      <c r="AS492" s="15" t="s">
        <v>574</v>
      </c>
      <c r="AT492" s="15" t="s">
        <v>865</v>
      </c>
      <c r="AU492" s="15"/>
      <c r="AV492" s="15"/>
      <c r="AW492" s="15"/>
      <c r="AX492" s="15"/>
      <c r="AY492" s="15"/>
      <c r="AZ492" s="18"/>
      <c r="BA492" s="19">
        <v>0.025000000000000001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ht="14.2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574</v>
      </c>
      <c r="AT493" s="15" t="s">
        <v>866</v>
      </c>
      <c r="AU493" s="15"/>
      <c r="AV493" s="15"/>
      <c r="AW493" s="15"/>
      <c r="AX493" s="15"/>
      <c r="AY493" s="15"/>
      <c r="AZ493" s="18"/>
      <c r="BA493" s="19">
        <v>0.025000000000000001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ht="14.2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574</v>
      </c>
      <c r="AT494" s="15" t="s">
        <v>867</v>
      </c>
      <c r="AU494" s="15"/>
      <c r="AV494" s="15"/>
      <c r="AW494" s="15"/>
      <c r="AX494" s="15"/>
      <c r="AY494" s="15"/>
      <c r="AZ494" s="18"/>
      <c r="BA494" s="19">
        <v>0.025000000000000001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ht="14.2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574</v>
      </c>
      <c r="AT495" s="15" t="s">
        <v>868</v>
      </c>
      <c r="AU495" s="15"/>
      <c r="AV495" s="15"/>
      <c r="AW495" s="15"/>
      <c r="AX495" s="15"/>
      <c r="AY495" s="15"/>
      <c r="AZ495" s="18"/>
      <c r="BA495" s="19">
        <v>0.025000000000000001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ht="14.2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574</v>
      </c>
      <c r="AT496" s="15" t="s">
        <v>869</v>
      </c>
      <c r="AU496" s="15"/>
      <c r="AV496" s="15"/>
      <c r="AW496" s="15"/>
      <c r="AX496" s="15"/>
      <c r="AY496" s="15"/>
      <c r="AZ496" s="18"/>
      <c r="BA496" s="19">
        <v>0.025000000000000001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ht="14.2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574</v>
      </c>
      <c r="AT497" s="15" t="s">
        <v>870</v>
      </c>
      <c r="AU497" s="15"/>
      <c r="AV497" s="15"/>
      <c r="AW497" s="15"/>
      <c r="AX497" s="15"/>
      <c r="AY497" s="15"/>
      <c r="AZ497" s="18"/>
      <c r="BA497" s="19">
        <v>0.025000000000000001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ht="14.2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574</v>
      </c>
      <c r="AT498" s="15" t="s">
        <v>871</v>
      </c>
      <c r="AU498" s="15"/>
      <c r="AV498" s="15"/>
      <c r="AW498" s="15"/>
      <c r="AX498" s="15"/>
      <c r="AY498" s="15"/>
      <c r="AZ498" s="18"/>
      <c r="BA498" s="19">
        <v>0.025000000000000001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ht="14.2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574</v>
      </c>
      <c r="AT499" s="15" t="s">
        <v>872</v>
      </c>
      <c r="AU499" s="15"/>
      <c r="AV499" s="15"/>
      <c r="AW499" s="15"/>
      <c r="AX499" s="15"/>
      <c r="AY499" s="15"/>
      <c r="AZ499" s="18"/>
      <c r="BA499" s="19">
        <v>0.025000000000000001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ht="14.2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574</v>
      </c>
      <c r="AT500" s="15" t="s">
        <v>873</v>
      </c>
      <c r="AU500" s="15"/>
      <c r="AV500" s="15"/>
      <c r="AW500" s="15"/>
      <c r="AX500" s="15"/>
      <c r="AY500" s="15"/>
      <c r="AZ500" s="18"/>
      <c r="BA500" s="19">
        <v>0.025000000000000001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ht="14.2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0.80</v>
      </c>
      <c r="M501" s="7"/>
      <c r="N501" s="7"/>
      <c r="O501" s="7"/>
      <c r="P501" s="7"/>
      <c r="Q501" s="7"/>
      <c r="R501" s="7">
        <v>0.80</v>
      </c>
      <c r="S501" s="7"/>
      <c r="T501" s="7"/>
      <c r="U501" s="7"/>
      <c r="V501" s="7"/>
      <c r="AR501" s="15" t="s">
        <v>255</v>
      </c>
      <c r="AS501" s="15" t="s">
        <v>574</v>
      </c>
      <c r="AT501" s="15" t="s">
        <v>874</v>
      </c>
      <c r="AU501" s="15"/>
      <c r="AV501" s="15"/>
      <c r="AW501" s="15"/>
      <c r="AX501" s="15"/>
      <c r="AY501" s="15"/>
      <c r="AZ501" s="18"/>
      <c r="BA501" s="19">
        <v>0.025000000000000001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ht="14.2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0.50</v>
      </c>
      <c r="M502" s="7"/>
      <c r="N502" s="7"/>
      <c r="O502" s="7"/>
      <c r="P502" s="7"/>
      <c r="Q502" s="7"/>
      <c r="R502" s="7">
        <v>0.50</v>
      </c>
      <c r="S502" s="7"/>
      <c r="T502" s="7"/>
      <c r="U502" s="7"/>
      <c r="V502" s="7"/>
      <c r="AR502" s="15" t="s">
        <v>255</v>
      </c>
      <c r="AS502" s="15" t="s">
        <v>574</v>
      </c>
      <c r="AT502" s="15" t="s">
        <v>875</v>
      </c>
      <c r="AU502" s="15"/>
      <c r="AV502" s="15"/>
      <c r="AW502" s="15"/>
      <c r="AX502" s="15"/>
      <c r="AY502" s="15"/>
      <c r="AZ502" s="18"/>
      <c r="BA502" s="19">
        <v>0.025000000000000001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ht="14.2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0.90</v>
      </c>
      <c r="M503" s="7"/>
      <c r="N503" s="7"/>
      <c r="O503" s="7"/>
      <c r="P503" s="7"/>
      <c r="Q503" s="7"/>
      <c r="R503" s="7">
        <v>0.90</v>
      </c>
      <c r="S503" s="7"/>
      <c r="T503" s="7"/>
      <c r="U503" s="7"/>
      <c r="V503" s="7"/>
      <c r="AR503" s="15" t="s">
        <v>255</v>
      </c>
      <c r="AS503" s="15" t="s">
        <v>574</v>
      </c>
      <c r="AT503" s="15" t="s">
        <v>876</v>
      </c>
      <c r="AU503" s="15"/>
      <c r="AV503" s="15"/>
      <c r="AW503" s="15"/>
      <c r="AX503" s="15"/>
      <c r="AY503" s="15"/>
      <c r="AZ503" s="18"/>
      <c r="BA503" s="19">
        <v>0.025000000000000001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ht="14.2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574</v>
      </c>
      <c r="AT504" s="15" t="s">
        <v>877</v>
      </c>
      <c r="AU504" s="15"/>
      <c r="AV504" s="15"/>
      <c r="AW504" s="15"/>
      <c r="AX504" s="15"/>
      <c r="AY504" s="15"/>
      <c r="AZ504" s="18"/>
      <c r="BA504" s="19">
        <v>0.025000000000000001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ht="14.2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574</v>
      </c>
      <c r="AT505" s="15" t="s">
        <v>878</v>
      </c>
      <c r="AU505" s="15"/>
      <c r="AV505" s="15"/>
      <c r="AW505" s="15"/>
      <c r="AX505" s="15"/>
      <c r="AY505" s="15"/>
      <c r="AZ505" s="18"/>
      <c r="BA505" s="19">
        <v>0.025000000000000001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ht="14.2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574</v>
      </c>
      <c r="AT506" s="15" t="s">
        <v>879</v>
      </c>
      <c r="AU506" s="15"/>
      <c r="AV506" s="15"/>
      <c r="AW506" s="15"/>
      <c r="AX506" s="15"/>
      <c r="AY506" s="15"/>
      <c r="AZ506" s="18"/>
      <c r="BA506" s="19">
        <v>0.025000000000000001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ht="14.2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574</v>
      </c>
      <c r="AT507" s="15" t="s">
        <v>880</v>
      </c>
      <c r="AU507" s="15"/>
      <c r="AV507" s="15"/>
      <c r="AW507" s="15"/>
      <c r="AX507" s="15"/>
      <c r="AY507" s="15"/>
      <c r="AZ507" s="18"/>
      <c r="BA507" s="19">
        <v>0.025000000000000001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ht="14.2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3.50</v>
      </c>
      <c r="M508" s="7"/>
      <c r="N508" s="7"/>
      <c r="O508" s="7"/>
      <c r="P508" s="7"/>
      <c r="Q508" s="7"/>
      <c r="R508" s="7">
        <v>3.50</v>
      </c>
      <c r="S508" s="7"/>
      <c r="T508" s="7"/>
      <c r="U508" s="7"/>
      <c r="V508" s="7"/>
      <c r="AR508" s="15" t="s">
        <v>255</v>
      </c>
      <c r="AS508" s="15" t="s">
        <v>574</v>
      </c>
      <c r="AT508" s="15" t="s">
        <v>881</v>
      </c>
      <c r="AU508" s="15"/>
      <c r="AV508" s="15"/>
      <c r="AW508" s="15"/>
      <c r="AX508" s="15"/>
      <c r="AY508" s="15"/>
      <c r="AZ508" s="18"/>
      <c r="BA508" s="19">
        <v>0.025000000000000001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ht="14.2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0.70</v>
      </c>
      <c r="M509" s="7"/>
      <c r="N509" s="7"/>
      <c r="O509" s="7"/>
      <c r="P509" s="7"/>
      <c r="Q509" s="7"/>
      <c r="R509" s="7">
        <v>0.70</v>
      </c>
      <c r="S509" s="7"/>
      <c r="T509" s="7"/>
      <c r="U509" s="7"/>
      <c r="V509" s="7"/>
      <c r="AR509" s="15" t="s">
        <v>255</v>
      </c>
      <c r="AS509" s="15" t="s">
        <v>574</v>
      </c>
      <c r="AT509" s="15" t="s">
        <v>882</v>
      </c>
      <c r="AU509" s="15"/>
      <c r="AV509" s="15"/>
      <c r="AW509" s="15"/>
      <c r="AX509" s="15"/>
      <c r="AY509" s="15"/>
      <c r="AZ509" s="18"/>
      <c r="BA509" s="19">
        <v>0.025000000000000001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ht="14.2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</v>
      </c>
      <c r="S510" s="7"/>
      <c r="T510" s="7"/>
      <c r="U510" s="7"/>
      <c r="V510" s="7"/>
      <c r="AR510" s="15" t="s">
        <v>255</v>
      </c>
      <c r="AS510" s="15" t="s">
        <v>574</v>
      </c>
      <c r="AT510" s="15" t="s">
        <v>883</v>
      </c>
      <c r="AU510" s="15"/>
      <c r="AV510" s="15"/>
      <c r="AW510" s="15"/>
      <c r="AX510" s="15"/>
      <c r="AY510" s="15"/>
      <c r="AZ510" s="18"/>
      <c r="BA510" s="19">
        <v>0.025000000000000001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ht="14.2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574</v>
      </c>
      <c r="AT511" s="15" t="s">
        <v>884</v>
      </c>
      <c r="AU511" s="15"/>
      <c r="AV511" s="15"/>
      <c r="AW511" s="15"/>
      <c r="AX511" s="15"/>
      <c r="AY511" s="15"/>
      <c r="AZ511" s="18"/>
      <c r="BA511" s="19">
        <v>0.025000000000000001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ht="14.2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574</v>
      </c>
      <c r="AT512" s="15" t="s">
        <v>885</v>
      </c>
      <c r="AU512" s="15"/>
      <c r="AV512" s="15"/>
      <c r="AW512" s="15"/>
      <c r="AX512" s="15"/>
      <c r="AY512" s="15"/>
      <c r="AZ512" s="18"/>
      <c r="BA512" s="19">
        <v>0.025000000000000001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ht="14.2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0.10</v>
      </c>
      <c r="M513" s="7"/>
      <c r="N513" s="7"/>
      <c r="O513" s="7"/>
      <c r="P513" s="7"/>
      <c r="Q513" s="7"/>
      <c r="R513" s="7">
        <v>0.10</v>
      </c>
      <c r="S513" s="7"/>
      <c r="T513" s="7"/>
      <c r="U513" s="7"/>
      <c r="V513" s="7"/>
      <c r="AR513" s="15" t="s">
        <v>255</v>
      </c>
      <c r="AS513" s="15" t="s">
        <v>574</v>
      </c>
      <c r="AT513" s="15" t="s">
        <v>886</v>
      </c>
      <c r="AU513" s="15"/>
      <c r="AV513" s="15"/>
      <c r="AW513" s="15"/>
      <c r="AX513" s="15"/>
      <c r="AY513" s="15"/>
      <c r="AZ513" s="18"/>
      <c r="BA513" s="19">
        <v>0.025000000000000001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ht="14.2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574</v>
      </c>
      <c r="AT514" s="15" t="s">
        <v>887</v>
      </c>
      <c r="AU514" s="15"/>
      <c r="AV514" s="15"/>
      <c r="AW514" s="15"/>
      <c r="AX514" s="15"/>
      <c r="AY514" s="15"/>
      <c r="AZ514" s="18"/>
      <c r="BA514" s="19">
        <v>0.025000000000000001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ht="14.2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574</v>
      </c>
      <c r="AT515" s="15" t="s">
        <v>888</v>
      </c>
      <c r="AU515" s="15"/>
      <c r="AV515" s="15"/>
      <c r="AW515" s="15"/>
      <c r="AX515" s="15"/>
      <c r="AY515" s="15"/>
      <c r="AZ515" s="18"/>
      <c r="BA515" s="19">
        <v>0.025000000000000001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ht="14.2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574</v>
      </c>
      <c r="AT516" s="15" t="s">
        <v>889</v>
      </c>
      <c r="AU516" s="15"/>
      <c r="AV516" s="15"/>
      <c r="AW516" s="15"/>
      <c r="AX516" s="15"/>
      <c r="AY516" s="15"/>
      <c r="AZ516" s="18"/>
      <c r="BA516" s="19">
        <v>0.025000000000000001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ht="14.2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574</v>
      </c>
      <c r="AT517" s="15" t="s">
        <v>890</v>
      </c>
      <c r="AU517" s="15"/>
      <c r="AV517" s="15"/>
      <c r="AW517" s="15"/>
      <c r="AX517" s="15"/>
      <c r="AY517" s="15"/>
      <c r="AZ517" s="18"/>
      <c r="BA517" s="19">
        <v>0.025000000000000001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ht="14.2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574</v>
      </c>
      <c r="AT518" s="15" t="s">
        <v>891</v>
      </c>
      <c r="AU518" s="15"/>
      <c r="AV518" s="15"/>
      <c r="AW518" s="15"/>
      <c r="AX518" s="15"/>
      <c r="AY518" s="15"/>
      <c r="AZ518" s="18"/>
      <c r="BA518" s="19">
        <v>0.025000000000000001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ht="14.2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574</v>
      </c>
      <c r="AT519" s="15" t="s">
        <v>892</v>
      </c>
      <c r="AU519" s="15"/>
      <c r="AV519" s="15"/>
      <c r="AW519" s="15"/>
      <c r="AX519" s="15"/>
      <c r="AY519" s="15"/>
      <c r="AZ519" s="18"/>
      <c r="BA519" s="19">
        <v>0.025000000000000001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ht="14.2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574</v>
      </c>
      <c r="AT520" s="15" t="s">
        <v>893</v>
      </c>
      <c r="AU520" s="15"/>
      <c r="AV520" s="15"/>
      <c r="AW520" s="15"/>
      <c r="AX520" s="15"/>
      <c r="AY520" s="15"/>
      <c r="AZ520" s="18"/>
      <c r="BA520" s="19">
        <v>0.025000000000000001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ht="14.2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0.80</v>
      </c>
      <c r="M521" s="7"/>
      <c r="N521" s="7"/>
      <c r="O521" s="7"/>
      <c r="P521" s="7"/>
      <c r="Q521" s="7"/>
      <c r="R521" s="7">
        <v>0.80</v>
      </c>
      <c r="S521" s="7"/>
      <c r="T521" s="7"/>
      <c r="U521" s="7"/>
      <c r="V521" s="7"/>
      <c r="AR521" s="15" t="s">
        <v>255</v>
      </c>
      <c r="AS521" s="15" t="s">
        <v>574</v>
      </c>
      <c r="AT521" s="15" t="s">
        <v>894</v>
      </c>
      <c r="AU521" s="15"/>
      <c r="AV521" s="15"/>
      <c r="AW521" s="15"/>
      <c r="AX521" s="15"/>
      <c r="AY521" s="15"/>
      <c r="AZ521" s="18"/>
      <c r="BA521" s="19">
        <v>0.025000000000000001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ht="14.2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0.50</v>
      </c>
      <c r="M522" s="7"/>
      <c r="N522" s="7"/>
      <c r="O522" s="7"/>
      <c r="P522" s="7"/>
      <c r="Q522" s="7"/>
      <c r="R522" s="7">
        <v>0.50</v>
      </c>
      <c r="S522" s="7"/>
      <c r="T522" s="7"/>
      <c r="U522" s="7"/>
      <c r="V522" s="7"/>
      <c r="AR522" s="15" t="s">
        <v>255</v>
      </c>
      <c r="AS522" s="15" t="s">
        <v>574</v>
      </c>
      <c r="AT522" s="15" t="s">
        <v>895</v>
      </c>
      <c r="AU522" s="15"/>
      <c r="AV522" s="15"/>
      <c r="AW522" s="15"/>
      <c r="AX522" s="15"/>
      <c r="AY522" s="15"/>
      <c r="AZ522" s="18"/>
      <c r="BA522" s="19">
        <v>0.025000000000000001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ht="14.2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0.10</v>
      </c>
      <c r="S523" s="7"/>
      <c r="T523" s="7"/>
      <c r="U523" s="7">
        <v>1</v>
      </c>
      <c r="V523" s="7"/>
      <c r="AR523" s="15" t="s">
        <v>255</v>
      </c>
      <c r="AS523" s="15" t="s">
        <v>574</v>
      </c>
      <c r="AT523" s="15" t="s">
        <v>896</v>
      </c>
      <c r="AU523" s="15"/>
      <c r="AV523" s="15"/>
      <c r="AW523" s="15"/>
      <c r="AX523" s="15"/>
      <c r="AY523" s="15"/>
      <c r="AZ523" s="18"/>
      <c r="BA523" s="19">
        <v>0.025000000000000001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ht="14.2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574</v>
      </c>
      <c r="AT524" s="15" t="s">
        <v>897</v>
      </c>
      <c r="AU524" s="15"/>
      <c r="AV524" s="15"/>
      <c r="AW524" s="15"/>
      <c r="AX524" s="15"/>
      <c r="AY524" s="15"/>
      <c r="AZ524" s="18"/>
      <c r="BA524" s="19">
        <v>0.025000000000000001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ht="14.2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574</v>
      </c>
      <c r="AT525" s="15" t="s">
        <v>898</v>
      </c>
      <c r="AU525" s="15"/>
      <c r="AV525" s="15"/>
      <c r="AW525" s="15"/>
      <c r="AX525" s="15"/>
      <c r="AY525" s="15"/>
      <c r="AZ525" s="18"/>
      <c r="BA525" s="19">
        <v>0.025000000000000001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ht="14.2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574</v>
      </c>
      <c r="AT526" s="15" t="s">
        <v>899</v>
      </c>
      <c r="AU526" s="15"/>
      <c r="AV526" s="15"/>
      <c r="AW526" s="15"/>
      <c r="AX526" s="15"/>
      <c r="AY526" s="15"/>
      <c r="AZ526" s="18"/>
      <c r="BA526" s="19">
        <v>0.025000000000000001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ht="14.2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574</v>
      </c>
      <c r="AT527" s="15" t="s">
        <v>900</v>
      </c>
      <c r="AU527" s="15"/>
      <c r="AV527" s="15"/>
      <c r="AW527" s="15"/>
      <c r="AX527" s="15"/>
      <c r="AY527" s="15"/>
      <c r="AZ527" s="18"/>
      <c r="BA527" s="19">
        <v>0.025000000000000001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ht="14.2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574</v>
      </c>
      <c r="AT528" s="15" t="s">
        <v>901</v>
      </c>
      <c r="AU528" s="15"/>
      <c r="AV528" s="15"/>
      <c r="AW528" s="15"/>
      <c r="AX528" s="15"/>
      <c r="AY528" s="15"/>
      <c r="AZ528" s="18"/>
      <c r="BA528" s="19">
        <v>0.025000000000000001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ht="14.2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574</v>
      </c>
      <c r="AT529" s="15" t="s">
        <v>902</v>
      </c>
      <c r="AU529" s="15"/>
      <c r="AV529" s="15"/>
      <c r="AW529" s="15"/>
      <c r="AX529" s="15"/>
      <c r="AY529" s="15"/>
      <c r="AZ529" s="18"/>
      <c r="BA529" s="19">
        <v>0.025000000000000001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ht="14.2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574</v>
      </c>
      <c r="AT530" s="15" t="s">
        <v>903</v>
      </c>
      <c r="AU530" s="15"/>
      <c r="AV530" s="15"/>
      <c r="AW530" s="15"/>
      <c r="AX530" s="15"/>
      <c r="AY530" s="15"/>
      <c r="AZ530" s="18"/>
      <c r="BA530" s="19">
        <v>0.025000000000000001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ht="14.2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574</v>
      </c>
      <c r="AT531" s="15" t="s">
        <v>904</v>
      </c>
      <c r="AU531" s="15"/>
      <c r="AV531" s="15"/>
      <c r="AW531" s="15"/>
      <c r="AX531" s="15"/>
      <c r="AY531" s="15"/>
      <c r="AZ531" s="18"/>
      <c r="BA531" s="19">
        <v>0.025000000000000001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ht="14.2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574</v>
      </c>
      <c r="AT532" s="15" t="s">
        <v>905</v>
      </c>
      <c r="AU532" s="15"/>
      <c r="AV532" s="15"/>
      <c r="AW532" s="15"/>
      <c r="AX532" s="15"/>
      <c r="AY532" s="15"/>
      <c r="AZ532" s="18"/>
      <c r="BA532" s="19">
        <v>0.025000000000000001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ht="14.2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574</v>
      </c>
      <c r="AT533" s="15" t="s">
        <v>906</v>
      </c>
      <c r="AU533" s="15"/>
      <c r="AV533" s="15"/>
      <c r="AW533" s="15"/>
      <c r="AX533" s="15"/>
      <c r="AY533" s="15"/>
      <c r="AZ533" s="18"/>
      <c r="BA533" s="19">
        <v>0.025000000000000001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ht="14.2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574</v>
      </c>
      <c r="AT534" s="15" t="s">
        <v>907</v>
      </c>
      <c r="AU534" s="15"/>
      <c r="AV534" s="15"/>
      <c r="AW534" s="15"/>
      <c r="AX534" s="15"/>
      <c r="AY534" s="15"/>
      <c r="AZ534" s="18"/>
      <c r="BA534" s="19">
        <v>0.025000000000000001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ht="14.2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574</v>
      </c>
      <c r="AT535" s="15" t="s">
        <v>908</v>
      </c>
      <c r="AU535" s="15"/>
      <c r="AV535" s="15"/>
      <c r="AW535" s="15"/>
      <c r="AX535" s="15"/>
      <c r="AY535" s="15"/>
      <c r="AZ535" s="18"/>
      <c r="BA535" s="19">
        <v>0.025000000000000001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ht="14.2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574</v>
      </c>
      <c r="AT536" s="15" t="s">
        <v>909</v>
      </c>
      <c r="AU536" s="15"/>
      <c r="AV536" s="15"/>
      <c r="AW536" s="15"/>
      <c r="AX536" s="15"/>
      <c r="AY536" s="15"/>
      <c r="AZ536" s="18"/>
      <c r="BA536" s="19">
        <v>0.025000000000000001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ht="14.2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574</v>
      </c>
      <c r="AT537" s="15" t="s">
        <v>910</v>
      </c>
      <c r="AU537" s="15"/>
      <c r="AV537" s="15"/>
      <c r="AW537" s="15"/>
      <c r="AX537" s="15"/>
      <c r="AY537" s="15"/>
      <c r="AZ537" s="18"/>
      <c r="BA537" s="19">
        <v>0.025000000000000001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ht="14.2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574</v>
      </c>
      <c r="AT538" s="15" t="s">
        <v>911</v>
      </c>
      <c r="AU538" s="15"/>
      <c r="AV538" s="15"/>
      <c r="AW538" s="15"/>
      <c r="AX538" s="15"/>
      <c r="AY538" s="15"/>
      <c r="AZ538" s="18"/>
      <c r="BA538" s="19">
        <v>0.025000000000000001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ht="14.2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574</v>
      </c>
      <c r="AT539" s="15" t="s">
        <v>912</v>
      </c>
      <c r="AU539" s="15"/>
      <c r="AV539" s="15"/>
      <c r="AW539" s="15"/>
      <c r="AX539" s="15"/>
      <c r="AY539" s="15"/>
      <c r="AZ539" s="18"/>
      <c r="BA539" s="19">
        <v>0.025000000000000001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ht="14.2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574</v>
      </c>
      <c r="AT540" s="15" t="s">
        <v>913</v>
      </c>
      <c r="AU540" s="15"/>
      <c r="AV540" s="15"/>
      <c r="AW540" s="15"/>
      <c r="AX540" s="15"/>
      <c r="AY540" s="15"/>
      <c r="AZ540" s="18"/>
      <c r="BA540" s="19">
        <v>0.025000000000000001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ht="14.2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574</v>
      </c>
      <c r="AT541" s="15" t="s">
        <v>914</v>
      </c>
      <c r="AU541" s="15"/>
      <c r="AV541" s="15"/>
      <c r="AW541" s="15"/>
      <c r="AX541" s="15"/>
      <c r="AY541" s="15"/>
      <c r="AZ541" s="18"/>
      <c r="BA541" s="19">
        <v>0.025000000000000001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ht="14.2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574</v>
      </c>
      <c r="AT542" s="15" t="s">
        <v>915</v>
      </c>
      <c r="AU542" s="15"/>
      <c r="AV542" s="15"/>
      <c r="AW542" s="15"/>
      <c r="AX542" s="15"/>
      <c r="AY542" s="15"/>
      <c r="AZ542" s="18"/>
      <c r="BA542" s="19">
        <v>0.025000000000000001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ht="14.2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574</v>
      </c>
      <c r="AT543" s="15" t="s">
        <v>916</v>
      </c>
      <c r="AU543" s="15"/>
      <c r="AV543" s="15"/>
      <c r="AW543" s="15"/>
      <c r="AX543" s="15"/>
      <c r="AY543" s="15"/>
      <c r="AZ543" s="18"/>
      <c r="BA543" s="19">
        <v>0.025000000000000001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ht="14.2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574</v>
      </c>
      <c r="AT544" s="15" t="s">
        <v>917</v>
      </c>
      <c r="AU544" s="15"/>
      <c r="AV544" s="15"/>
      <c r="AW544" s="15"/>
      <c r="AX544" s="15"/>
      <c r="AY544" s="15"/>
      <c r="AZ544" s="18"/>
      <c r="BA544" s="19">
        <v>0.025000000000000001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ht="14.2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574</v>
      </c>
      <c r="AT545" s="15" t="s">
        <v>918</v>
      </c>
      <c r="AU545" s="15"/>
      <c r="AV545" s="15"/>
      <c r="AW545" s="15"/>
      <c r="AX545" s="15"/>
      <c r="AY545" s="15"/>
      <c r="AZ545" s="18"/>
      <c r="BA545" s="19">
        <v>0.025000000000000001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ht="14.2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574</v>
      </c>
      <c r="AT546" s="15" t="s">
        <v>919</v>
      </c>
      <c r="AU546" s="15"/>
      <c r="AV546" s="15"/>
      <c r="AW546" s="15"/>
      <c r="AX546" s="15"/>
      <c r="AY546" s="15"/>
      <c r="AZ546" s="18"/>
      <c r="BA546" s="19">
        <v>0.025000000000000001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ht="14.2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574</v>
      </c>
      <c r="AT547" s="15" t="s">
        <v>920</v>
      </c>
      <c r="AU547" s="15"/>
      <c r="AV547" s="15"/>
      <c r="AW547" s="15"/>
      <c r="AX547" s="15"/>
      <c r="AY547" s="15"/>
      <c r="AZ547" s="18"/>
      <c r="BA547" s="19">
        <v>0.025000000000000001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ht="14.2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574</v>
      </c>
      <c r="AT548" s="15" t="s">
        <v>921</v>
      </c>
      <c r="AU548" s="15"/>
      <c r="AV548" s="15"/>
      <c r="AW548" s="15"/>
      <c r="AX548" s="15"/>
      <c r="AY548" s="15"/>
      <c r="AZ548" s="18"/>
      <c r="BA548" s="19">
        <v>0.025000000000000001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ht="14.2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574</v>
      </c>
      <c r="AT549" s="15" t="s">
        <v>922</v>
      </c>
      <c r="AU549" s="15"/>
      <c r="AV549" s="15"/>
      <c r="AW549" s="15"/>
      <c r="AX549" s="15"/>
      <c r="AY549" s="15"/>
      <c r="AZ549" s="18"/>
      <c r="BA549" s="19">
        <v>0.025000000000000001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ht="14.2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574</v>
      </c>
      <c r="AT550" s="15" t="s">
        <v>923</v>
      </c>
      <c r="AU550" s="15"/>
      <c r="AV550" s="15"/>
      <c r="AW550" s="15"/>
      <c r="AX550" s="15"/>
      <c r="AY550" s="15"/>
      <c r="AZ550" s="18"/>
      <c r="BA550" s="19">
        <v>0.025000000000000001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ht="14.2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574</v>
      </c>
      <c r="AT551" s="15" t="s">
        <v>924</v>
      </c>
      <c r="AU551" s="15"/>
      <c r="AV551" s="15"/>
      <c r="AW551" s="15"/>
      <c r="AX551" s="15"/>
      <c r="AY551" s="15"/>
      <c r="AZ551" s="18"/>
      <c r="BA551" s="19">
        <v>0.025000000000000001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ht="14.2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574</v>
      </c>
      <c r="AT552" s="15" t="s">
        <v>925</v>
      </c>
      <c r="AU552" s="15"/>
      <c r="AV552" s="15"/>
      <c r="AW552" s="15"/>
      <c r="AX552" s="15"/>
      <c r="AY552" s="15"/>
      <c r="AZ552" s="18"/>
      <c r="BA552" s="19">
        <v>0.025000000000000001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ht="14.2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574</v>
      </c>
      <c r="AT553" s="15" t="s">
        <v>926</v>
      </c>
      <c r="AU553" s="15"/>
      <c r="AV553" s="15"/>
      <c r="AW553" s="15"/>
      <c r="AX553" s="15"/>
      <c r="AY553" s="15"/>
      <c r="AZ553" s="18"/>
      <c r="BA553" s="19">
        <v>0.025000000000000001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ht="14.2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574</v>
      </c>
      <c r="AT554" s="15" t="s">
        <v>927</v>
      </c>
      <c r="AU554" s="15"/>
      <c r="AV554" s="15"/>
      <c r="AW554" s="15"/>
      <c r="AX554" s="15"/>
      <c r="AY554" s="15"/>
      <c r="AZ554" s="18"/>
      <c r="BA554" s="19">
        <v>0.025000000000000001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ht="14.2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574</v>
      </c>
      <c r="AT555" s="15" t="s">
        <v>928</v>
      </c>
      <c r="AU555" s="15"/>
      <c r="AV555" s="15"/>
      <c r="AW555" s="15"/>
      <c r="AX555" s="15"/>
      <c r="AY555" s="15"/>
      <c r="AZ555" s="18"/>
      <c r="BA555" s="19">
        <v>0.025000000000000001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ht="14.2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574</v>
      </c>
      <c r="AT556" s="15" t="s">
        <v>929</v>
      </c>
      <c r="AU556" s="15"/>
      <c r="AV556" s="15"/>
      <c r="AW556" s="15"/>
      <c r="AX556" s="15"/>
      <c r="AY556" s="15"/>
      <c r="AZ556" s="18"/>
      <c r="BA556" s="19">
        <v>0.025000000000000001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ht="14.2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574</v>
      </c>
      <c r="AT557" s="15" t="s">
        <v>930</v>
      </c>
      <c r="AU557" s="15"/>
      <c r="AV557" s="15"/>
      <c r="AW557" s="15"/>
      <c r="AX557" s="15"/>
      <c r="AY557" s="15"/>
      <c r="AZ557" s="18"/>
      <c r="BA557" s="19">
        <v>0.025000000000000001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ht="14.2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574</v>
      </c>
      <c r="AT558" s="15" t="s">
        <v>931</v>
      </c>
      <c r="AU558" s="15"/>
      <c r="AV558" s="15"/>
      <c r="AW558" s="15"/>
      <c r="AX558" s="15"/>
      <c r="AY558" s="15"/>
      <c r="AZ558" s="18"/>
      <c r="BA558" s="19">
        <v>0.025000000000000001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ht="14.2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574</v>
      </c>
      <c r="AT559" s="15" t="s">
        <v>932</v>
      </c>
      <c r="AU559" s="15"/>
      <c r="AV559" s="15"/>
      <c r="AW559" s="15"/>
      <c r="AX559" s="15"/>
      <c r="AY559" s="15"/>
      <c r="AZ559" s="18"/>
      <c r="BA559" s="19">
        <v>0.025000000000000001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ht="14.2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574</v>
      </c>
      <c r="AT560" s="15" t="s">
        <v>933</v>
      </c>
      <c r="AU560" s="15"/>
      <c r="AV560" s="15"/>
      <c r="AW560" s="15"/>
      <c r="AX560" s="15"/>
      <c r="AY560" s="15"/>
      <c r="AZ560" s="18"/>
      <c r="BA560" s="19">
        <v>0.025000000000000001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ht="14.2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574</v>
      </c>
      <c r="AT561" s="15" t="s">
        <v>934</v>
      </c>
      <c r="AU561" s="15"/>
      <c r="AV561" s="15"/>
      <c r="AW561" s="15"/>
      <c r="AX561" s="15"/>
      <c r="AY561" s="15"/>
      <c r="AZ561" s="18"/>
      <c r="BA561" s="19">
        <v>0.025000000000000001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ht="14.2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574</v>
      </c>
      <c r="AT562" s="15" t="s">
        <v>935</v>
      </c>
      <c r="AU562" s="15"/>
      <c r="AV562" s="15"/>
      <c r="AW562" s="15"/>
      <c r="AX562" s="15"/>
      <c r="AY562" s="15"/>
      <c r="AZ562" s="18"/>
      <c r="BA562" s="19">
        <v>0.025000000000000001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ht="14.2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574</v>
      </c>
      <c r="AT563" s="15" t="s">
        <v>936</v>
      </c>
      <c r="AU563" s="15"/>
      <c r="AV563" s="15"/>
      <c r="AW563" s="15"/>
      <c r="AX563" s="15"/>
      <c r="AY563" s="15"/>
      <c r="AZ563" s="18"/>
      <c r="BA563" s="19">
        <v>0.025000000000000001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ht="14.2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574</v>
      </c>
      <c r="AT564" s="15" t="s">
        <v>937</v>
      </c>
      <c r="AU564" s="15"/>
      <c r="AV564" s="15"/>
      <c r="AW564" s="15"/>
      <c r="AX564" s="15"/>
      <c r="AY564" s="15"/>
      <c r="AZ564" s="18"/>
      <c r="BA564" s="19">
        <v>0.025000000000000001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ht="14.2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574</v>
      </c>
      <c r="AT565" s="15" t="s">
        <v>938</v>
      </c>
      <c r="AU565" s="15"/>
      <c r="AV565" s="15"/>
      <c r="AW565" s="15"/>
      <c r="AX565" s="15"/>
      <c r="AY565" s="15"/>
      <c r="AZ565" s="18"/>
      <c r="BA565" s="19">
        <v>0.025000000000000001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ht="14.2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574</v>
      </c>
      <c r="AT566" s="15" t="s">
        <v>939</v>
      </c>
      <c r="AU566" s="15"/>
      <c r="AV566" s="15"/>
      <c r="AW566" s="15"/>
      <c r="AX566" s="15"/>
      <c r="AY566" s="15"/>
      <c r="AZ566" s="18"/>
      <c r="BA566" s="19">
        <v>0.025000000000000001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ht="14.2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574</v>
      </c>
      <c r="AT567" s="15" t="s">
        <v>940</v>
      </c>
      <c r="AU567" s="15"/>
      <c r="AV567" s="15"/>
      <c r="AW567" s="15"/>
      <c r="AX567" s="15"/>
      <c r="AY567" s="15"/>
      <c r="AZ567" s="18"/>
      <c r="BA567" s="19">
        <v>0.025000000000000001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ht="14.2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574</v>
      </c>
      <c r="AT568" s="15" t="s">
        <v>941</v>
      </c>
      <c r="AU568" s="15"/>
      <c r="AV568" s="15"/>
      <c r="AW568" s="15"/>
      <c r="AX568" s="15"/>
      <c r="AY568" s="15"/>
      <c r="AZ568" s="18"/>
      <c r="BA568" s="19">
        <v>0.025000000000000001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ht="14.2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574</v>
      </c>
      <c r="AT569" s="15" t="s">
        <v>942</v>
      </c>
      <c r="AU569" s="15"/>
      <c r="AV569" s="15"/>
      <c r="AW569" s="15"/>
      <c r="AX569" s="15"/>
      <c r="AY569" s="15"/>
      <c r="AZ569" s="18"/>
      <c r="BA569" s="19">
        <v>0.025000000000000001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ht="14.2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574</v>
      </c>
      <c r="AT570" s="15" t="s">
        <v>943</v>
      </c>
      <c r="AU570" s="15"/>
      <c r="AV570" s="15"/>
      <c r="AW570" s="15"/>
      <c r="AX570" s="15"/>
      <c r="AY570" s="15"/>
      <c r="AZ570" s="18"/>
      <c r="BA570" s="19">
        <v>0.025000000000000001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ht="14.2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574</v>
      </c>
      <c r="AT571" s="15" t="s">
        <v>944</v>
      </c>
      <c r="AU571" s="15"/>
      <c r="AV571" s="15"/>
      <c r="AW571" s="15"/>
      <c r="AX571" s="15"/>
      <c r="AY571" s="15"/>
      <c r="AZ571" s="18"/>
      <c r="BA571" s="19">
        <v>0.025000000000000001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ht="14.2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574</v>
      </c>
      <c r="AT572" s="15" t="s">
        <v>945</v>
      </c>
      <c r="AU572" s="15"/>
      <c r="AV572" s="15"/>
      <c r="AW572" s="15"/>
      <c r="AX572" s="15"/>
      <c r="AY572" s="15"/>
      <c r="AZ572" s="18"/>
      <c r="BA572" s="19">
        <v>0.025000000000000001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ht="14.2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574</v>
      </c>
      <c r="AT573" s="15" t="s">
        <v>946</v>
      </c>
      <c r="AU573" s="15"/>
      <c r="AV573" s="15"/>
      <c r="AW573" s="15"/>
      <c r="AX573" s="15"/>
      <c r="AY573" s="15"/>
      <c r="AZ573" s="18"/>
      <c r="BA573" s="19">
        <v>0.025000000000000001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ht="14.2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574</v>
      </c>
      <c r="AT574" s="15" t="s">
        <v>947</v>
      </c>
      <c r="AU574" s="15"/>
      <c r="AV574" s="15"/>
      <c r="AW574" s="15"/>
      <c r="AX574" s="15"/>
      <c r="AY574" s="15"/>
      <c r="AZ574" s="18"/>
      <c r="BA574" s="19">
        <v>0.025000000000000001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ht="14.2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574</v>
      </c>
      <c r="AT575" s="15" t="s">
        <v>948</v>
      </c>
      <c r="AU575" s="15"/>
      <c r="AV575" s="15"/>
      <c r="AW575" s="15"/>
      <c r="AX575" s="15"/>
      <c r="AY575" s="15"/>
      <c r="AZ575" s="18"/>
      <c r="BA575" s="19">
        <v>0.025000000000000001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ht="14.2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574</v>
      </c>
      <c r="AT576" s="15" t="s">
        <v>949</v>
      </c>
      <c r="AU576" s="15"/>
      <c r="AV576" s="15"/>
      <c r="AW576" s="15"/>
      <c r="AX576" s="15"/>
      <c r="AY576" s="15"/>
      <c r="AZ576" s="18"/>
      <c r="BA576" s="19">
        <v>0.025000000000000001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ht="14.2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574</v>
      </c>
      <c r="AT577" s="15" t="s">
        <v>950</v>
      </c>
      <c r="AU577" s="15"/>
      <c r="AV577" s="15"/>
      <c r="AW577" s="15"/>
      <c r="AX577" s="15"/>
      <c r="AY577" s="15"/>
      <c r="AZ577" s="18"/>
      <c r="BA577" s="19">
        <v>0.025000000000000001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ht="14.2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574</v>
      </c>
      <c r="AT578" s="15" t="s">
        <v>951</v>
      </c>
      <c r="AU578" s="15"/>
      <c r="AV578" s="15"/>
      <c r="AW578" s="15"/>
      <c r="AX578" s="15"/>
      <c r="AY578" s="15"/>
      <c r="AZ578" s="18"/>
      <c r="BA578" s="19">
        <v>0.025000000000000001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ht="14.2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574</v>
      </c>
      <c r="AT579" s="15" t="s">
        <v>952</v>
      </c>
      <c r="AU579" s="15"/>
      <c r="AV579" s="15"/>
      <c r="AW579" s="15"/>
      <c r="AX579" s="15"/>
      <c r="AY579" s="15"/>
      <c r="AZ579" s="18"/>
      <c r="BA579" s="19">
        <v>0.025000000000000001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ht="14.2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574</v>
      </c>
      <c r="AT580" s="15" t="s">
        <v>953</v>
      </c>
      <c r="AU580" s="15"/>
      <c r="AV580" s="15"/>
      <c r="AW580" s="15"/>
      <c r="AX580" s="15"/>
      <c r="AY580" s="15"/>
      <c r="AZ580" s="18"/>
      <c r="BA580" s="19">
        <v>0.025000000000000001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ht="14.2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574</v>
      </c>
      <c r="AT581" s="15" t="s">
        <v>954</v>
      </c>
      <c r="AU581" s="15"/>
      <c r="AV581" s="15"/>
      <c r="AW581" s="15"/>
      <c r="AX581" s="15"/>
      <c r="AY581" s="15"/>
      <c r="AZ581" s="18"/>
      <c r="BA581" s="19">
        <v>0.025000000000000001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ht="14.2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574</v>
      </c>
      <c r="AT582" s="15" t="s">
        <v>955</v>
      </c>
      <c r="AU582" s="15"/>
      <c r="AV582" s="15"/>
      <c r="AW582" s="15"/>
      <c r="AX582" s="15"/>
      <c r="AY582" s="15"/>
      <c r="AZ582" s="18"/>
      <c r="BA582" s="19">
        <v>0.025000000000000001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ht="14.2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574</v>
      </c>
      <c r="AT583" s="15" t="s">
        <v>956</v>
      </c>
      <c r="AU583" s="15"/>
      <c r="AV583" s="15"/>
      <c r="AW583" s="15"/>
      <c r="AX583" s="15"/>
      <c r="AY583" s="15"/>
      <c r="AZ583" s="18"/>
      <c r="BA583" s="19">
        <v>0.025000000000000001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ht="14.2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574</v>
      </c>
      <c r="AT584" s="15" t="s">
        <v>957</v>
      </c>
      <c r="AU584" s="15"/>
      <c r="AV584" s="15"/>
      <c r="AW584" s="15"/>
      <c r="AX584" s="15"/>
      <c r="AY584" s="15"/>
      <c r="AZ584" s="18"/>
      <c r="BA584" s="19">
        <v>0.025000000000000001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ht="14.2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574</v>
      </c>
      <c r="AT585" s="15" t="s">
        <v>958</v>
      </c>
      <c r="AU585" s="15"/>
      <c r="AV585" s="15"/>
      <c r="AW585" s="15"/>
      <c r="AX585" s="15"/>
      <c r="AY585" s="15"/>
      <c r="AZ585" s="18"/>
      <c r="BA585" s="19">
        <v>0.025000000000000001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ht="14.2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574</v>
      </c>
      <c r="AT586" s="15" t="s">
        <v>959</v>
      </c>
      <c r="AU586" s="15"/>
      <c r="AV586" s="15"/>
      <c r="AW586" s="15"/>
      <c r="AX586" s="15"/>
      <c r="AY586" s="15"/>
      <c r="AZ586" s="18"/>
      <c r="BA586" s="19">
        <v>0.025000000000000001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ht="14.2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574</v>
      </c>
      <c r="AT587" s="15" t="s">
        <v>960</v>
      </c>
      <c r="AU587" s="15"/>
      <c r="AV587" s="15"/>
      <c r="AW587" s="15"/>
      <c r="AX587" s="15"/>
      <c r="AY587" s="15"/>
      <c r="AZ587" s="18"/>
      <c r="BA587" s="19">
        <v>0.025000000000000001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ht="14.2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574</v>
      </c>
      <c r="AT588" s="15" t="s">
        <v>961</v>
      </c>
      <c r="AU588" s="15"/>
      <c r="AV588" s="15"/>
      <c r="AW588" s="15"/>
      <c r="AX588" s="15"/>
      <c r="AY588" s="15"/>
      <c r="AZ588" s="18"/>
      <c r="BA588" s="19">
        <v>0.025000000000000001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ht="14.2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574</v>
      </c>
      <c r="AT589" s="15" t="s">
        <v>962</v>
      </c>
      <c r="AU589" s="15"/>
      <c r="AV589" s="15"/>
      <c r="AW589" s="15"/>
      <c r="AX589" s="15"/>
      <c r="AY589" s="15"/>
      <c r="AZ589" s="18"/>
      <c r="BA589" s="19">
        <v>0.025000000000000001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ht="14.2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574</v>
      </c>
      <c r="AT590" s="15" t="s">
        <v>963</v>
      </c>
      <c r="AU590" s="15"/>
      <c r="AV590" s="15"/>
      <c r="AW590" s="15"/>
      <c r="AX590" s="15"/>
      <c r="AY590" s="15"/>
      <c r="AZ590" s="18"/>
      <c r="BA590" s="19">
        <v>0.025000000000000001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ht="14.2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574</v>
      </c>
      <c r="AT591" s="15" t="s">
        <v>964</v>
      </c>
      <c r="AU591" s="15"/>
      <c r="AV591" s="15"/>
      <c r="AW591" s="15"/>
      <c r="AX591" s="15"/>
      <c r="AY591" s="15"/>
      <c r="AZ591" s="18"/>
      <c r="BA591" s="19">
        <v>0.025000000000000001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ht="14.2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574</v>
      </c>
      <c r="AT592" s="15" t="s">
        <v>965</v>
      </c>
      <c r="AU592" s="15"/>
      <c r="AV592" s="15"/>
      <c r="AW592" s="15"/>
      <c r="AX592" s="15"/>
      <c r="AY592" s="15"/>
      <c r="AZ592" s="18"/>
      <c r="BA592" s="19">
        <v>0.025000000000000001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ht="14.2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574</v>
      </c>
      <c r="AT593" s="15" t="s">
        <v>966</v>
      </c>
      <c r="AU593" s="15"/>
      <c r="AV593" s="15"/>
      <c r="AW593" s="15"/>
      <c r="AX593" s="15"/>
      <c r="AY593" s="15"/>
      <c r="AZ593" s="18"/>
      <c r="BA593" s="19">
        <v>0.025000000000000001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ht="14.2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2042.50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2042.50</v>
      </c>
      <c r="V594" s="7">
        <v>2096.9666670000001</v>
      </c>
      <c r="AR594" s="15" t="s">
        <v>255</v>
      </c>
      <c r="AS594" s="15" t="s">
        <v>574</v>
      </c>
      <c r="AT594" s="15" t="s">
        <v>967</v>
      </c>
      <c r="AU594" s="15"/>
      <c r="AV594" s="15"/>
      <c r="AW594" s="15"/>
      <c r="AX594" s="15"/>
      <c r="AY594" s="15"/>
      <c r="AZ594" s="18"/>
      <c r="BA594" s="19">
        <v>0.025000000000000001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ht="14.2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2040.40</v>
      </c>
      <c r="O595" s="7">
        <v>2040.40</v>
      </c>
      <c r="P595" s="7">
        <v>2040.40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574</v>
      </c>
      <c r="AT595" s="15" t="s">
        <v>968</v>
      </c>
      <c r="AU595" s="15"/>
      <c r="AV595" s="15"/>
      <c r="AW595" s="15"/>
      <c r="AX595" s="15"/>
      <c r="AY595" s="15"/>
      <c r="AZ595" s="18"/>
      <c r="BA595" s="19">
        <v>0.025000000000000001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ht="14.2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2501.40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574</v>
      </c>
      <c r="AT596" s="15" t="s">
        <v>969</v>
      </c>
      <c r="AU596" s="15"/>
      <c r="AV596" s="15"/>
      <c r="AW596" s="15"/>
      <c r="AX596" s="15"/>
      <c r="AY596" s="15"/>
      <c r="AZ596" s="18"/>
      <c r="BA596" s="19">
        <v>0.025000000000000001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ht="14.2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574</v>
      </c>
      <c r="AT597" s="15" t="s">
        <v>970</v>
      </c>
      <c r="AU597" s="15"/>
      <c r="AV597" s="15"/>
      <c r="AW597" s="15"/>
      <c r="AX597" s="15"/>
      <c r="AY597" s="15"/>
      <c r="AZ597" s="18"/>
      <c r="BA597" s="19">
        <v>0.025000000000000001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ht="14.2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574</v>
      </c>
      <c r="AT598" s="15" t="s">
        <v>971</v>
      </c>
      <c r="AU598" s="15"/>
      <c r="AV598" s="15"/>
      <c r="AW598" s="15"/>
      <c r="AX598" s="15"/>
      <c r="AY598" s="15"/>
      <c r="AZ598" s="18"/>
      <c r="BA598" s="19">
        <v>0.025000000000000001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ht="14.2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574</v>
      </c>
      <c r="AT599" s="15" t="s">
        <v>972</v>
      </c>
      <c r="AU599" s="15"/>
      <c r="AV599" s="15"/>
      <c r="AW599" s="15"/>
      <c r="AX599" s="15"/>
      <c r="AY599" s="15"/>
      <c r="AZ599" s="18"/>
      <c r="BA599" s="19">
        <v>0.025000000000000001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ht="14.2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383.40</v>
      </c>
      <c r="P600" s="7">
        <v>394.60</v>
      </c>
      <c r="Q600" s="7"/>
      <c r="R600" s="7">
        <v>363.43</v>
      </c>
      <c r="S600" s="7">
        <v>368.42</v>
      </c>
      <c r="T600" s="7">
        <v>375.08</v>
      </c>
      <c r="U600" s="7">
        <v>383.40</v>
      </c>
      <c r="V600" s="7">
        <v>394.60</v>
      </c>
      <c r="AR600" s="15" t="s">
        <v>255</v>
      </c>
      <c r="AS600" s="15" t="s">
        <v>574</v>
      </c>
      <c r="AT600" s="15" t="s">
        <v>973</v>
      </c>
      <c r="AU600" s="15"/>
      <c r="AV600" s="15"/>
      <c r="AW600" s="15"/>
      <c r="AX600" s="15"/>
      <c r="AY600" s="15"/>
      <c r="AZ600" s="18"/>
      <c r="BA600" s="19">
        <v>0.025000000000000001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ht="14.2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574</v>
      </c>
      <c r="AT601" s="15" t="s">
        <v>974</v>
      </c>
      <c r="AU601" s="15"/>
      <c r="AV601" s="15"/>
      <c r="AW601" s="15"/>
      <c r="AX601" s="15"/>
      <c r="AY601" s="15"/>
      <c r="AZ601" s="18"/>
      <c r="BA601" s="19">
        <v>0.025000000000000001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ht="14.2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574</v>
      </c>
      <c r="AT602" s="15" t="s">
        <v>975</v>
      </c>
      <c r="AU602" s="15"/>
      <c r="AV602" s="15"/>
      <c r="AW602" s="15"/>
      <c r="AX602" s="15"/>
      <c r="AY602" s="15"/>
      <c r="AZ602" s="18"/>
      <c r="BA602" s="19">
        <v>0.025000000000000001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ht="14.2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574</v>
      </c>
      <c r="AT603" s="15" t="s">
        <v>976</v>
      </c>
      <c r="AU603" s="15"/>
      <c r="AV603" s="15"/>
      <c r="AW603" s="15"/>
      <c r="AX603" s="15"/>
      <c r="AY603" s="15"/>
      <c r="AZ603" s="18"/>
      <c r="BA603" s="19">
        <v>0.025000000000000001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ht="14.2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574</v>
      </c>
      <c r="AT604" s="15" t="s">
        <v>977</v>
      </c>
      <c r="AU604" s="15"/>
      <c r="AV604" s="15"/>
      <c r="AW604" s="15"/>
      <c r="AX604" s="15"/>
      <c r="AY604" s="15"/>
      <c r="AZ604" s="18"/>
      <c r="BA604" s="19">
        <v>0.025000000000000001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ht="14.2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574</v>
      </c>
      <c r="AT605" s="15" t="s">
        <v>978</v>
      </c>
      <c r="AU605" s="15"/>
      <c r="AV605" s="15"/>
      <c r="AW605" s="15"/>
      <c r="AX605" s="15"/>
      <c r="AY605" s="15"/>
      <c r="AZ605" s="18"/>
      <c r="BA605" s="19">
        <v>0.025000000000000001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ht="14.2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574</v>
      </c>
      <c r="AT606" s="15" t="s">
        <v>979</v>
      </c>
      <c r="AU606" s="15"/>
      <c r="AV606" s="15"/>
      <c r="AW606" s="15"/>
      <c r="AX606" s="15"/>
      <c r="AY606" s="15"/>
      <c r="AZ606" s="18"/>
      <c r="BA606" s="19">
        <v>0.025000000000000001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ht="14.2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574</v>
      </c>
      <c r="AT607" s="15" t="s">
        <v>980</v>
      </c>
      <c r="AU607" s="15"/>
      <c r="AV607" s="15"/>
      <c r="AW607" s="15"/>
      <c r="AX607" s="15"/>
      <c r="AY607" s="15"/>
      <c r="AZ607" s="18"/>
      <c r="BA607" s="19">
        <v>0.025000000000000001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ht="14.2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574</v>
      </c>
      <c r="AT608" s="15" t="s">
        <v>981</v>
      </c>
      <c r="AU608" s="15"/>
      <c r="AV608" s="15"/>
      <c r="AW608" s="15"/>
      <c r="AX608" s="15"/>
      <c r="AY608" s="15"/>
      <c r="AZ608" s="18"/>
      <c r="BA608" s="19">
        <v>0.025000000000000001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ht="14.2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574</v>
      </c>
      <c r="AT609" s="15" t="s">
        <v>982</v>
      </c>
      <c r="AU609" s="15"/>
      <c r="AV609" s="15"/>
      <c r="AW609" s="15"/>
      <c r="AX609" s="15"/>
      <c r="AY609" s="15"/>
      <c r="AZ609" s="18"/>
      <c r="BA609" s="19">
        <v>0.025000000000000001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ht="14.2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574</v>
      </c>
      <c r="AT610" s="15" t="s">
        <v>983</v>
      </c>
      <c r="AU610" s="15"/>
      <c r="AV610" s="15"/>
      <c r="AW610" s="15"/>
      <c r="AX610" s="15"/>
      <c r="AY610" s="15"/>
      <c r="AZ610" s="18"/>
      <c r="BA610" s="19">
        <v>0.025000000000000001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ht="14.2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574</v>
      </c>
      <c r="AT611" s="15" t="s">
        <v>984</v>
      </c>
      <c r="AU611" s="15"/>
      <c r="AV611" s="15"/>
      <c r="AW611" s="15"/>
      <c r="AX611" s="15"/>
      <c r="AY611" s="15"/>
      <c r="AZ611" s="18"/>
      <c r="BA611" s="19">
        <v>0.025000000000000001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ht="14.2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574</v>
      </c>
      <c r="AT612" s="15" t="s">
        <v>985</v>
      </c>
      <c r="AU612" s="15"/>
      <c r="AV612" s="15"/>
      <c r="AW612" s="15"/>
      <c r="AX612" s="15"/>
      <c r="AY612" s="15"/>
      <c r="AZ612" s="18"/>
      <c r="BA612" s="19">
        <v>0.025000000000000001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ht="14.2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574</v>
      </c>
      <c r="AT613" s="15" t="s">
        <v>986</v>
      </c>
      <c r="AU613" s="15"/>
      <c r="AV613" s="15"/>
      <c r="AW613" s="15"/>
      <c r="AX613" s="15"/>
      <c r="AY613" s="15"/>
      <c r="AZ613" s="18"/>
      <c r="BA613" s="19">
        <v>0.025000000000000001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ht="14.2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574</v>
      </c>
      <c r="AT614" s="15" t="s">
        <v>987</v>
      </c>
      <c r="AU614" s="15"/>
      <c r="AV614" s="15"/>
      <c r="AW614" s="15"/>
      <c r="AX614" s="15"/>
      <c r="AY614" s="15"/>
      <c r="AZ614" s="18"/>
      <c r="BA614" s="19">
        <v>0.025000000000000001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ht="14.2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574</v>
      </c>
      <c r="AT615" s="15" t="s">
        <v>988</v>
      </c>
      <c r="AU615" s="15"/>
      <c r="AV615" s="15"/>
      <c r="AW615" s="15"/>
      <c r="AX615" s="15"/>
      <c r="AY615" s="15"/>
      <c r="AZ615" s="18"/>
      <c r="BA615" s="19">
        <v>0.025000000000000001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ht="14.2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574</v>
      </c>
      <c r="AT616" s="15" t="s">
        <v>989</v>
      </c>
      <c r="AU616" s="15"/>
      <c r="AV616" s="15"/>
      <c r="AW616" s="15"/>
      <c r="AX616" s="15"/>
      <c r="AY616" s="15"/>
      <c r="AZ616" s="18"/>
      <c r="BA616" s="19">
        <v>0.025000000000000001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ht="14.2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574</v>
      </c>
      <c r="AT617" s="15" t="s">
        <v>990</v>
      </c>
      <c r="AU617" s="15"/>
      <c r="AV617" s="15"/>
      <c r="AW617" s="15"/>
      <c r="AX617" s="15"/>
      <c r="AY617" s="15"/>
      <c r="AZ617" s="18"/>
      <c r="BA617" s="19">
        <v>0.025000000000000001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ht="14.2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574</v>
      </c>
      <c r="AT618" s="15" t="s">
        <v>991</v>
      </c>
      <c r="AU618" s="15"/>
      <c r="AV618" s="15"/>
      <c r="AW618" s="15"/>
      <c r="AX618" s="15"/>
      <c r="AY618" s="15"/>
      <c r="AZ618" s="18"/>
      <c r="BA618" s="19">
        <v>0.025000000000000001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ht="14.2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574</v>
      </c>
      <c r="AT619" s="15" t="s">
        <v>992</v>
      </c>
      <c r="AU619" s="15"/>
      <c r="AV619" s="15"/>
      <c r="AW619" s="15"/>
      <c r="AX619" s="15"/>
      <c r="AY619" s="15"/>
      <c r="AZ619" s="18"/>
      <c r="BA619" s="19">
        <v>0.025000000000000001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ht="14.2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574</v>
      </c>
      <c r="AT620" s="15" t="s">
        <v>993</v>
      </c>
      <c r="AU620" s="15"/>
      <c r="AV620" s="15"/>
      <c r="AW620" s="15"/>
      <c r="AX620" s="15"/>
      <c r="AY620" s="15"/>
      <c r="AZ620" s="18"/>
      <c r="BA620" s="19">
        <v>0.025000000000000001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ht="14.2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574</v>
      </c>
      <c r="AT621" s="15" t="s">
        <v>994</v>
      </c>
      <c r="AU621" s="15"/>
      <c r="AV621" s="15"/>
      <c r="AW621" s="15"/>
      <c r="AX621" s="15"/>
      <c r="AY621" s="15"/>
      <c r="AZ621" s="18"/>
      <c r="BA621" s="19">
        <v>0.025000000000000001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ht="14.2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574</v>
      </c>
      <c r="AT622" s="15" t="s">
        <v>995</v>
      </c>
      <c r="AU622" s="15"/>
      <c r="AV622" s="15"/>
      <c r="AW622" s="15"/>
      <c r="AX622" s="15"/>
      <c r="AY622" s="15"/>
      <c r="AZ622" s="18"/>
      <c r="BA622" s="19">
        <v>0.025000000000000001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ht="14.2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574</v>
      </c>
      <c r="AT623" s="15" t="s">
        <v>996</v>
      </c>
      <c r="AU623" s="15"/>
      <c r="AV623" s="15"/>
      <c r="AW623" s="15"/>
      <c r="AX623" s="15"/>
      <c r="AY623" s="15"/>
      <c r="AZ623" s="18"/>
      <c r="BA623" s="19">
        <v>0.025000000000000001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ht="14.2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574</v>
      </c>
      <c r="AT624" s="15" t="s">
        <v>997</v>
      </c>
      <c r="AU624" s="15"/>
      <c r="AV624" s="15"/>
      <c r="AW624" s="15"/>
      <c r="AX624" s="15"/>
      <c r="AY624" s="15"/>
      <c r="AZ624" s="18"/>
      <c r="BA624" s="19">
        <v>0.025000000000000001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ht="14.2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2042.50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2042.50</v>
      </c>
      <c r="V625" s="7">
        <v>2096.9666670000001</v>
      </c>
      <c r="AR625" s="15" t="s">
        <v>255</v>
      </c>
      <c r="AS625" s="15" t="s">
        <v>574</v>
      </c>
      <c r="AT625" s="15" t="s">
        <v>998</v>
      </c>
      <c r="AU625" s="15"/>
      <c r="AV625" s="15"/>
      <c r="AW625" s="15"/>
      <c r="AX625" s="15"/>
      <c r="AY625" s="15"/>
      <c r="AZ625" s="18"/>
      <c r="BA625" s="19">
        <v>0.025000000000000001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ht="14.2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2040.40</v>
      </c>
      <c r="O626" s="7">
        <v>2040.40</v>
      </c>
      <c r="P626" s="7">
        <v>2040.40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574</v>
      </c>
      <c r="AT626" s="15" t="s">
        <v>999</v>
      </c>
      <c r="AU626" s="15"/>
      <c r="AV626" s="15"/>
      <c r="AW626" s="15"/>
      <c r="AX626" s="15"/>
      <c r="AY626" s="15"/>
      <c r="AZ626" s="18"/>
      <c r="BA626" s="19">
        <v>0.025000000000000001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ht="14.2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2501.40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574</v>
      </c>
      <c r="AT627" s="15" t="s">
        <v>1000</v>
      </c>
      <c r="AU627" s="15"/>
      <c r="AV627" s="15"/>
      <c r="AW627" s="15"/>
      <c r="AX627" s="15"/>
      <c r="AY627" s="15"/>
      <c r="AZ627" s="18"/>
      <c r="BA627" s="19">
        <v>0.025000000000000001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ht="14.2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574</v>
      </c>
      <c r="AT628" s="15" t="s">
        <v>1001</v>
      </c>
      <c r="AU628" s="15"/>
      <c r="AV628" s="15"/>
      <c r="AW628" s="15"/>
      <c r="AX628" s="15"/>
      <c r="AY628" s="15"/>
      <c r="AZ628" s="18"/>
      <c r="BA628" s="19">
        <v>0.025000000000000001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ht="14.2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574</v>
      </c>
      <c r="AT629" s="15" t="s">
        <v>1002</v>
      </c>
      <c r="AU629" s="15"/>
      <c r="AV629" s="15"/>
      <c r="AW629" s="15"/>
      <c r="AX629" s="15"/>
      <c r="AY629" s="15"/>
      <c r="AZ629" s="18"/>
      <c r="BA629" s="19">
        <v>0.025000000000000001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ht="14.2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574</v>
      </c>
      <c r="AT630" s="15" t="s">
        <v>1003</v>
      </c>
      <c r="AU630" s="15"/>
      <c r="AV630" s="15"/>
      <c r="AW630" s="15"/>
      <c r="AX630" s="15"/>
      <c r="AY630" s="15"/>
      <c r="AZ630" s="18"/>
      <c r="BA630" s="19">
        <v>0.025000000000000001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ht="14.2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383.40</v>
      </c>
      <c r="P631" s="7">
        <v>394.60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574</v>
      </c>
      <c r="AT631" s="15" t="s">
        <v>1004</v>
      </c>
      <c r="AU631" s="15"/>
      <c r="AV631" s="15"/>
      <c r="AW631" s="15"/>
      <c r="AX631" s="15"/>
      <c r="AY631" s="15"/>
      <c r="AZ631" s="18"/>
      <c r="BA631" s="19">
        <v>0.025000000000000001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ht="14.2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574</v>
      </c>
      <c r="AT632" s="15" t="s">
        <v>1005</v>
      </c>
      <c r="AU632" s="15"/>
      <c r="AV632" s="15"/>
      <c r="AW632" s="15"/>
      <c r="AX632" s="15"/>
      <c r="AY632" s="15"/>
      <c r="AZ632" s="18"/>
      <c r="BA632" s="19">
        <v>0.025000000000000001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ht="14.2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574</v>
      </c>
      <c r="AT633" s="15" t="s">
        <v>1006</v>
      </c>
      <c r="AU633" s="15"/>
      <c r="AV633" s="15"/>
      <c r="AW633" s="15"/>
      <c r="AX633" s="15"/>
      <c r="AY633" s="15"/>
      <c r="AZ633" s="18"/>
      <c r="BA633" s="19">
        <v>0.025000000000000001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ht="14.2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574</v>
      </c>
      <c r="AT634" s="15" t="s">
        <v>1007</v>
      </c>
      <c r="AU634" s="15"/>
      <c r="AV634" s="15"/>
      <c r="AW634" s="15"/>
      <c r="AX634" s="15"/>
      <c r="AY634" s="15"/>
      <c r="AZ634" s="18"/>
      <c r="BA634" s="19">
        <v>0.025000000000000001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ht="14.2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574</v>
      </c>
      <c r="AT635" s="15" t="s">
        <v>1008</v>
      </c>
      <c r="AU635" s="15"/>
      <c r="AV635" s="15"/>
      <c r="AW635" s="15"/>
      <c r="AX635" s="15"/>
      <c r="AY635" s="15"/>
      <c r="AZ635" s="18"/>
      <c r="BA635" s="19">
        <v>0.025000000000000001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ht="14.2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370.50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370.50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574</v>
      </c>
      <c r="AT636" s="15" t="s">
        <v>1009</v>
      </c>
      <c r="AU636" s="15"/>
      <c r="AV636" s="15"/>
      <c r="AW636" s="15"/>
      <c r="AX636" s="15"/>
      <c r="AY636" s="15"/>
      <c r="AZ636" s="18"/>
      <c r="BA636" s="19">
        <v>0.025000000000000001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ht="14.2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174.825</v>
      </c>
      <c r="M637" s="7"/>
      <c r="N637" s="7"/>
      <c r="O637" s="7"/>
      <c r="P637" s="7"/>
      <c r="Q637" s="7"/>
      <c r="R637" s="7">
        <v>174.825</v>
      </c>
      <c r="S637" s="7"/>
      <c r="T637" s="7"/>
      <c r="U637" s="7"/>
      <c r="V637" s="7"/>
      <c r="AR637" s="15" t="s">
        <v>255</v>
      </c>
      <c r="AS637" s="15" t="s">
        <v>574</v>
      </c>
      <c r="AT637" s="15" t="s">
        <v>1010</v>
      </c>
      <c r="AU637" s="15"/>
      <c r="AV637" s="15"/>
      <c r="AW637" s="15"/>
      <c r="AX637" s="15"/>
      <c r="AY637" s="15"/>
      <c r="AZ637" s="18"/>
      <c r="BA637" s="19">
        <v>0.025000000000000001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ht="14.2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574</v>
      </c>
      <c r="AT638" s="15" t="s">
        <v>1011</v>
      </c>
      <c r="AU638" s="15"/>
      <c r="AV638" s="15"/>
      <c r="AW638" s="15"/>
      <c r="AX638" s="15"/>
      <c r="AY638" s="15"/>
      <c r="AZ638" s="18"/>
      <c r="BA638" s="19">
        <v>0.025000000000000001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ht="14.2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574</v>
      </c>
      <c r="AT639" s="15" t="s">
        <v>1012</v>
      </c>
      <c r="AU639" s="15"/>
      <c r="AV639" s="15"/>
      <c r="AW639" s="15"/>
      <c r="AX639" s="15"/>
      <c r="AY639" s="15"/>
      <c r="AZ639" s="18"/>
      <c r="BA639" s="19">
        <v>0.025000000000000001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ht="14.2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574</v>
      </c>
      <c r="AT640" s="15" t="s">
        <v>1013</v>
      </c>
      <c r="AU640" s="15"/>
      <c r="AV640" s="15"/>
      <c r="AW640" s="15"/>
      <c r="AX640" s="15"/>
      <c r="AY640" s="15"/>
      <c r="AZ640" s="18"/>
      <c r="BA640" s="19">
        <v>0.025000000000000001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ht="14.2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574</v>
      </c>
      <c r="AT641" s="15" t="s">
        <v>1014</v>
      </c>
      <c r="AU641" s="15"/>
      <c r="AV641" s="15"/>
      <c r="AW641" s="15"/>
      <c r="AX641" s="15"/>
      <c r="AY641" s="15"/>
      <c r="AZ641" s="18"/>
      <c r="BA641" s="19">
        <v>0.025000000000000001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ht="14.2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574</v>
      </c>
      <c r="AT642" s="15" t="s">
        <v>1015</v>
      </c>
      <c r="AU642" s="15"/>
      <c r="AV642" s="15"/>
      <c r="AW642" s="15"/>
      <c r="AX642" s="15"/>
      <c r="AY642" s="15"/>
      <c r="AZ642" s="18"/>
      <c r="BA642" s="19">
        <v>0.025000000000000001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ht="14.2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574</v>
      </c>
      <c r="AT643" s="15" t="s">
        <v>1016</v>
      </c>
      <c r="AU643" s="15"/>
      <c r="AV643" s="15"/>
      <c r="AW643" s="15"/>
      <c r="AX643" s="15"/>
      <c r="AY643" s="15"/>
      <c r="AZ643" s="18"/>
      <c r="BA643" s="19">
        <v>0.025000000000000001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ht="14.2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574</v>
      </c>
      <c r="AT644" s="15" t="s">
        <v>1017</v>
      </c>
      <c r="AU644" s="15"/>
      <c r="AV644" s="15"/>
      <c r="AW644" s="15"/>
      <c r="AX644" s="15"/>
      <c r="AY644" s="15"/>
      <c r="AZ644" s="18"/>
      <c r="BA644" s="19">
        <v>0.025000000000000001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ht="14.2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2042.50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2042.50</v>
      </c>
      <c r="V645" s="7">
        <v>2096.9666670000001</v>
      </c>
      <c r="AR645" s="15" t="s">
        <v>255</v>
      </c>
      <c r="AS645" s="15" t="s">
        <v>574</v>
      </c>
      <c r="AT645" s="15" t="s">
        <v>1018</v>
      </c>
      <c r="AU645" s="15"/>
      <c r="AV645" s="15"/>
      <c r="AW645" s="15"/>
      <c r="AX645" s="15"/>
      <c r="AY645" s="15"/>
      <c r="AZ645" s="18"/>
      <c r="BA645" s="19">
        <v>0.025000000000000001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ht="14.2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2040.40</v>
      </c>
      <c r="O646" s="7">
        <v>2040.40</v>
      </c>
      <c r="P646" s="7">
        <v>2040.40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574</v>
      </c>
      <c r="AT646" s="15" t="s">
        <v>1019</v>
      </c>
      <c r="AU646" s="15"/>
      <c r="AV646" s="15"/>
      <c r="AW646" s="15"/>
      <c r="AX646" s="15"/>
      <c r="AY646" s="15"/>
      <c r="AZ646" s="18"/>
      <c r="BA646" s="19">
        <v>0.025000000000000001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ht="14.2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2501.40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574</v>
      </c>
      <c r="AT647" s="15" t="s">
        <v>1020</v>
      </c>
      <c r="AU647" s="15"/>
      <c r="AV647" s="15"/>
      <c r="AW647" s="15"/>
      <c r="AX647" s="15"/>
      <c r="AY647" s="15"/>
      <c r="AZ647" s="18"/>
      <c r="BA647" s="19">
        <v>0.025000000000000001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ht="14.2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574</v>
      </c>
      <c r="AT648" s="15" t="s">
        <v>1021</v>
      </c>
      <c r="AU648" s="15"/>
      <c r="AV648" s="15"/>
      <c r="AW648" s="15"/>
      <c r="AX648" s="15"/>
      <c r="AY648" s="15"/>
      <c r="AZ648" s="18"/>
      <c r="BA648" s="19">
        <v>0.025000000000000001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ht="14.2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574</v>
      </c>
      <c r="AT649" s="15" t="s">
        <v>1022</v>
      </c>
      <c r="AU649" s="15"/>
      <c r="AV649" s="15"/>
      <c r="AW649" s="15"/>
      <c r="AX649" s="15"/>
      <c r="AY649" s="15"/>
      <c r="AZ649" s="18"/>
      <c r="BA649" s="19">
        <v>0.025000000000000001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ht="14.2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574</v>
      </c>
      <c r="AT650" s="15" t="s">
        <v>1023</v>
      </c>
      <c r="AU650" s="15"/>
      <c r="AV650" s="15"/>
      <c r="AW650" s="15"/>
      <c r="AX650" s="15"/>
      <c r="AY650" s="15"/>
      <c r="AZ650" s="18"/>
      <c r="BA650" s="19">
        <v>0.025000000000000001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ht="14.2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383.40</v>
      </c>
      <c r="P651" s="7">
        <v>394.60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574</v>
      </c>
      <c r="AT651" s="15" t="s">
        <v>1024</v>
      </c>
      <c r="AU651" s="15"/>
      <c r="AV651" s="15"/>
      <c r="AW651" s="15"/>
      <c r="AX651" s="15"/>
      <c r="AY651" s="15"/>
      <c r="AZ651" s="18"/>
      <c r="BA651" s="19">
        <v>0.025000000000000001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ht="14.2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574</v>
      </c>
      <c r="AT652" s="15" t="s">
        <v>1025</v>
      </c>
      <c r="AU652" s="15"/>
      <c r="AV652" s="15"/>
      <c r="AW652" s="15"/>
      <c r="AX652" s="15"/>
      <c r="AY652" s="15"/>
      <c r="AZ652" s="18"/>
      <c r="BA652" s="19">
        <v>0.025000000000000001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ht="14.2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574</v>
      </c>
      <c r="AT653" s="15" t="s">
        <v>1026</v>
      </c>
      <c r="AU653" s="15"/>
      <c r="AV653" s="15"/>
      <c r="AW653" s="15"/>
      <c r="AX653" s="15"/>
      <c r="AY653" s="15"/>
      <c r="AZ653" s="18"/>
      <c r="BA653" s="19">
        <v>0.025000000000000001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ht="14.2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574</v>
      </c>
      <c r="AT654" s="15" t="s">
        <v>1027</v>
      </c>
      <c r="AU654" s="15"/>
      <c r="AV654" s="15"/>
      <c r="AW654" s="15"/>
      <c r="AX654" s="15"/>
      <c r="AY654" s="15"/>
      <c r="AZ654" s="18"/>
      <c r="BA654" s="19">
        <v>0.025000000000000001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ht="14.2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574</v>
      </c>
      <c r="AT655" s="15" t="s">
        <v>1028</v>
      </c>
      <c r="AU655" s="15"/>
      <c r="AV655" s="15"/>
      <c r="AW655" s="15"/>
      <c r="AX655" s="15"/>
      <c r="AY655" s="15"/>
      <c r="AZ655" s="18"/>
      <c r="BA655" s="19">
        <v>0.025000000000000001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ht="14.2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574</v>
      </c>
      <c r="AT656" s="15" t="s">
        <v>1029</v>
      </c>
      <c r="AU656" s="15"/>
      <c r="AV656" s="15"/>
      <c r="AW656" s="15"/>
      <c r="AX656" s="15"/>
      <c r="AY656" s="15"/>
      <c r="AZ656" s="18"/>
      <c r="BA656" s="19">
        <v>0.025000000000000001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ht="14.2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574</v>
      </c>
      <c r="AT657" s="15" t="s">
        <v>1030</v>
      </c>
      <c r="AU657" s="15"/>
      <c r="AV657" s="15"/>
      <c r="AW657" s="15"/>
      <c r="AX657" s="15"/>
      <c r="AY657" s="15"/>
      <c r="AZ657" s="18"/>
      <c r="BA657" s="19">
        <v>0.025000000000000001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ht="14.2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574</v>
      </c>
      <c r="AT658" s="15" t="s">
        <v>1031</v>
      </c>
      <c r="AU658" s="15"/>
      <c r="AV658" s="15"/>
      <c r="AW658" s="15"/>
      <c r="AX658" s="15"/>
      <c r="AY658" s="15"/>
      <c r="AZ658" s="18"/>
      <c r="BA658" s="19">
        <v>0.025000000000000001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ht="14.2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574</v>
      </c>
      <c r="AT659" s="15" t="s">
        <v>1032</v>
      </c>
      <c r="AU659" s="15"/>
      <c r="AV659" s="15"/>
      <c r="AW659" s="15"/>
      <c r="AX659" s="15"/>
      <c r="AY659" s="15"/>
      <c r="AZ659" s="18"/>
      <c r="BA659" s="19">
        <v>0.025000000000000001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ht="14.2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574</v>
      </c>
      <c r="AT660" s="15" t="s">
        <v>1033</v>
      </c>
      <c r="AU660" s="15"/>
      <c r="AV660" s="15"/>
      <c r="AW660" s="15"/>
      <c r="AX660" s="15"/>
      <c r="AY660" s="15"/>
      <c r="AZ660" s="18"/>
      <c r="BA660" s="19">
        <v>0.025000000000000001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ht="14.2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574</v>
      </c>
      <c r="AT661" s="15" t="s">
        <v>1034</v>
      </c>
      <c r="AU661" s="15"/>
      <c r="AV661" s="15"/>
      <c r="AW661" s="15"/>
      <c r="AX661" s="15"/>
      <c r="AY661" s="15"/>
      <c r="AZ661" s="18"/>
      <c r="BA661" s="19">
        <v>0.025000000000000001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ht="14.2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574</v>
      </c>
      <c r="AT662" s="15" t="s">
        <v>1035</v>
      </c>
      <c r="AU662" s="15"/>
      <c r="AV662" s="15"/>
      <c r="AW662" s="15"/>
      <c r="AX662" s="15"/>
      <c r="AY662" s="15"/>
      <c r="AZ662" s="18"/>
      <c r="BA662" s="19">
        <v>0.025000000000000001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ht="14.2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574</v>
      </c>
      <c r="AT663" s="15" t="s">
        <v>1036</v>
      </c>
      <c r="AU663" s="15"/>
      <c r="AV663" s="15"/>
      <c r="AW663" s="15"/>
      <c r="AX663" s="15"/>
      <c r="AY663" s="15"/>
      <c r="AZ663" s="18"/>
      <c r="BA663" s="19">
        <v>0.025000000000000001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ht="14.2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574</v>
      </c>
      <c r="AT664" s="15" t="s">
        <v>1037</v>
      </c>
      <c r="AU664" s="15"/>
      <c r="AV664" s="15"/>
      <c r="AW664" s="15"/>
      <c r="AX664" s="15"/>
      <c r="AY664" s="15"/>
      <c r="AZ664" s="18"/>
      <c r="BA664" s="19">
        <v>0.025000000000000001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ht="14.2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574</v>
      </c>
      <c r="AT665" s="15" t="s">
        <v>1038</v>
      </c>
      <c r="AU665" s="15"/>
      <c r="AV665" s="15"/>
      <c r="AW665" s="15"/>
      <c r="AX665" s="15"/>
      <c r="AY665" s="15"/>
      <c r="AZ665" s="18"/>
      <c r="BA665" s="19">
        <v>0.025000000000000001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ht="14.2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574</v>
      </c>
      <c r="AT666" s="15" t="s">
        <v>1039</v>
      </c>
      <c r="AU666" s="15"/>
      <c r="AV666" s="15"/>
      <c r="AW666" s="15"/>
      <c r="AX666" s="15"/>
      <c r="AY666" s="15"/>
      <c r="AZ666" s="18"/>
      <c r="BA666" s="19">
        <v>0.025000000000000001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ht="14.2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21.60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574</v>
      </c>
      <c r="AT667" s="15" t="s">
        <v>1040</v>
      </c>
      <c r="AU667" s="15"/>
      <c r="AV667" s="15"/>
      <c r="AW667" s="15"/>
      <c r="AX667" s="15"/>
      <c r="AY667" s="15"/>
      <c r="AZ667" s="18"/>
      <c r="BA667" s="19">
        <v>0.025000000000000001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ht="14.2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21.60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574</v>
      </c>
      <c r="AT668" s="15" t="s">
        <v>1041</v>
      </c>
      <c r="AU668" s="15"/>
      <c r="AV668" s="15"/>
      <c r="AW668" s="15"/>
      <c r="AX668" s="15"/>
      <c r="AY668" s="15"/>
      <c r="AZ668" s="18"/>
      <c r="BA668" s="19">
        <v>0.025000000000000001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ht="14.2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574</v>
      </c>
      <c r="AT669" s="15" t="s">
        <v>1042</v>
      </c>
      <c r="AU669" s="15"/>
      <c r="AV669" s="15"/>
      <c r="AW669" s="15"/>
      <c r="AX669" s="15"/>
      <c r="AY669" s="15"/>
      <c r="AZ669" s="18"/>
      <c r="BA669" s="19">
        <v>0.025000000000000001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ht="14.2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574</v>
      </c>
      <c r="AT670" s="15" t="s">
        <v>1043</v>
      </c>
      <c r="AU670" s="15"/>
      <c r="AV670" s="15"/>
      <c r="AW670" s="15"/>
      <c r="AX670" s="15"/>
      <c r="AY670" s="15"/>
      <c r="AZ670" s="18"/>
      <c r="BA670" s="19">
        <v>0.025000000000000001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ht="14.2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574</v>
      </c>
      <c r="AT671" s="15" t="s">
        <v>1044</v>
      </c>
      <c r="AU671" s="15"/>
      <c r="AV671" s="15"/>
      <c r="AW671" s="15"/>
      <c r="AX671" s="15"/>
      <c r="AY671" s="15"/>
      <c r="AZ671" s="18"/>
      <c r="BA671" s="19">
        <v>0.025000000000000001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ht="14.2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574</v>
      </c>
      <c r="AT672" s="15" t="s">
        <v>1045</v>
      </c>
      <c r="AU672" s="15"/>
      <c r="AV672" s="15"/>
      <c r="AW672" s="15"/>
      <c r="AX672" s="15"/>
      <c r="AY672" s="15"/>
      <c r="AZ672" s="18"/>
      <c r="BA672" s="19">
        <v>0.025000000000000001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ht="14.2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574</v>
      </c>
      <c r="AT673" s="15" t="s">
        <v>1046</v>
      </c>
      <c r="AU673" s="15"/>
      <c r="AV673" s="15"/>
      <c r="AW673" s="15"/>
      <c r="AX673" s="15"/>
      <c r="AY673" s="15"/>
      <c r="AZ673" s="18"/>
      <c r="BA673" s="19">
        <v>0.025000000000000001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ht="14.2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0.10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574</v>
      </c>
      <c r="AT674" s="15" t="s">
        <v>1047</v>
      </c>
      <c r="AU674" s="15"/>
      <c r="AV674" s="15"/>
      <c r="AW674" s="15"/>
      <c r="AX674" s="15"/>
      <c r="AY674" s="15"/>
      <c r="AZ674" s="18"/>
      <c r="BA674" s="19">
        <v>0.025000000000000001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ht="14.2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574</v>
      </c>
      <c r="AT675" s="15" t="s">
        <v>1048</v>
      </c>
      <c r="AU675" s="15"/>
      <c r="AV675" s="15"/>
      <c r="AW675" s="15"/>
      <c r="AX675" s="15"/>
      <c r="AY675" s="15"/>
      <c r="AZ675" s="18"/>
      <c r="BA675" s="19">
        <v>0.025000000000000001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ht="14.2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574</v>
      </c>
      <c r="AT676" s="15" t="s">
        <v>1049</v>
      </c>
      <c r="AU676" s="15"/>
      <c r="AV676" s="15"/>
      <c r="AW676" s="15"/>
      <c r="AX676" s="15"/>
      <c r="AY676" s="15"/>
      <c r="AZ676" s="18"/>
      <c r="BA676" s="19">
        <v>0.025000000000000001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ht="14.2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574</v>
      </c>
      <c r="AT677" s="15" t="s">
        <v>1050</v>
      </c>
      <c r="AU677" s="15"/>
      <c r="AV677" s="15"/>
      <c r="AW677" s="15"/>
      <c r="AX677" s="15"/>
      <c r="AY677" s="15"/>
      <c r="AZ677" s="18"/>
      <c r="BA677" s="19">
        <v>0.025000000000000001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ht="14.2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574</v>
      </c>
      <c r="AT678" s="15" t="s">
        <v>1051</v>
      </c>
      <c r="AU678" s="15"/>
      <c r="AV678" s="15"/>
      <c r="AW678" s="15"/>
      <c r="AX678" s="15"/>
      <c r="AY678" s="15"/>
      <c r="AZ678" s="18"/>
      <c r="BA678" s="19">
        <v>0.025000000000000001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ht="14.2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574</v>
      </c>
      <c r="AT679" s="15" t="s">
        <v>1052</v>
      </c>
      <c r="AU679" s="15"/>
      <c r="AV679" s="15"/>
      <c r="AW679" s="15"/>
      <c r="AX679" s="15"/>
      <c r="AY679" s="15"/>
      <c r="AZ679" s="18"/>
      <c r="BA679" s="19">
        <v>0.025000000000000001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ht="14.2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574</v>
      </c>
      <c r="AT680" s="15" t="s">
        <v>1053</v>
      </c>
      <c r="AU680" s="15"/>
      <c r="AV680" s="15"/>
      <c r="AW680" s="15"/>
      <c r="AX680" s="15"/>
      <c r="AY680" s="15"/>
      <c r="AZ680" s="18"/>
      <c r="BA680" s="19">
        <v>0.025000000000000001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ht="14.2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574</v>
      </c>
      <c r="AT681" s="15" t="s">
        <v>1054</v>
      </c>
      <c r="AU681" s="15"/>
      <c r="AV681" s="15"/>
      <c r="AW681" s="15"/>
      <c r="AX681" s="15"/>
      <c r="AY681" s="15"/>
      <c r="AZ681" s="18"/>
      <c r="BA681" s="19">
        <v>0.025000000000000001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ht="14.2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574</v>
      </c>
      <c r="AT682" s="15" t="s">
        <v>1055</v>
      </c>
      <c r="AU682" s="15"/>
      <c r="AV682" s="15"/>
      <c r="AW682" s="15"/>
      <c r="AX682" s="15"/>
      <c r="AY682" s="15"/>
      <c r="AZ682" s="18"/>
      <c r="BA682" s="19">
        <v>0.025000000000000001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ht="14.2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574</v>
      </c>
      <c r="AT683" s="15" t="s">
        <v>1056</v>
      </c>
      <c r="AU683" s="15"/>
      <c r="AV683" s="15"/>
      <c r="AW683" s="15"/>
      <c r="AX683" s="15"/>
      <c r="AY683" s="15"/>
      <c r="AZ683" s="18"/>
      <c r="BA683" s="19">
        <v>0.025000000000000001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ht="14.2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574</v>
      </c>
      <c r="AT684" s="15" t="s">
        <v>1057</v>
      </c>
      <c r="AU684" s="15"/>
      <c r="AV684" s="15"/>
      <c r="AW684" s="15"/>
      <c r="AX684" s="15"/>
      <c r="AY684" s="15"/>
      <c r="AZ684" s="18"/>
      <c r="BA684" s="19">
        <v>0.025000000000000001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ht="14.2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574</v>
      </c>
      <c r="AT685" s="15" t="s">
        <v>1058</v>
      </c>
      <c r="AU685" s="15"/>
      <c r="AV685" s="15"/>
      <c r="AW685" s="15"/>
      <c r="AX685" s="15"/>
      <c r="AY685" s="15"/>
      <c r="AZ685" s="18"/>
      <c r="BA685" s="19">
        <v>0.025000000000000001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ht="14.2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62.40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574</v>
      </c>
      <c r="AT686" s="15" t="s">
        <v>1059</v>
      </c>
      <c r="AU686" s="15"/>
      <c r="AV686" s="15"/>
      <c r="AW686" s="15"/>
      <c r="AX686" s="15"/>
      <c r="AY686" s="15"/>
      <c r="AZ686" s="18"/>
      <c r="BA686" s="19">
        <v>0.025000000000000001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ht="14.2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574</v>
      </c>
      <c r="AT687" s="15" t="s">
        <v>1060</v>
      </c>
      <c r="AU687" s="15"/>
      <c r="AV687" s="15"/>
      <c r="AW687" s="15"/>
      <c r="AX687" s="15"/>
      <c r="AY687" s="15"/>
      <c r="AZ687" s="18"/>
      <c r="BA687" s="19">
        <v>0.025000000000000001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ht="14.2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574</v>
      </c>
      <c r="AT688" s="15" t="s">
        <v>1061</v>
      </c>
      <c r="AU688" s="15"/>
      <c r="AV688" s="15"/>
      <c r="AW688" s="15"/>
      <c r="AX688" s="15"/>
      <c r="AY688" s="15"/>
      <c r="AZ688" s="18"/>
      <c r="BA688" s="19">
        <v>0.025000000000000001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ht="14.2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574</v>
      </c>
      <c r="AT689" s="15" t="s">
        <v>1062</v>
      </c>
      <c r="AU689" s="15"/>
      <c r="AV689" s="15"/>
      <c r="AW689" s="15"/>
      <c r="AX689" s="15"/>
      <c r="AY689" s="15"/>
      <c r="AZ689" s="18"/>
      <c r="BA689" s="19">
        <v>0.025000000000000001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ht="14.2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574</v>
      </c>
      <c r="AT690" s="15" t="s">
        <v>1063</v>
      </c>
      <c r="AU690" s="15"/>
      <c r="AV690" s="15"/>
      <c r="AW690" s="15"/>
      <c r="AX690" s="15"/>
      <c r="AY690" s="15"/>
      <c r="AZ690" s="18"/>
      <c r="BA690" s="19">
        <v>0.025000000000000001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ht="14.2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574</v>
      </c>
      <c r="AT691" s="15" t="s">
        <v>1064</v>
      </c>
      <c r="AU691" s="15"/>
      <c r="AV691" s="15"/>
      <c r="AW691" s="15"/>
      <c r="AX691" s="15"/>
      <c r="AY691" s="15"/>
      <c r="AZ691" s="18"/>
      <c r="BA691" s="19">
        <v>0.025000000000000001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ht="14.2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574</v>
      </c>
      <c r="AT692" s="15" t="s">
        <v>1065</v>
      </c>
      <c r="AU692" s="15"/>
      <c r="AV692" s="15"/>
      <c r="AW692" s="15"/>
      <c r="AX692" s="15"/>
      <c r="AY692" s="15"/>
      <c r="AZ692" s="18"/>
      <c r="BA692" s="19">
        <v>0.025000000000000001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ht="14.2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574</v>
      </c>
      <c r="AT693" s="15" t="s">
        <v>1066</v>
      </c>
      <c r="AU693" s="15"/>
      <c r="AV693" s="15"/>
      <c r="AW693" s="15"/>
      <c r="AX693" s="15"/>
      <c r="AY693" s="15"/>
      <c r="AZ693" s="18"/>
      <c r="BA693" s="19">
        <v>0.025000000000000001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ht="14.2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574</v>
      </c>
      <c r="AT694" s="15" t="s">
        <v>1067</v>
      </c>
      <c r="AU694" s="15"/>
      <c r="AV694" s="15"/>
      <c r="AW694" s="15"/>
      <c r="AX694" s="15"/>
      <c r="AY694" s="15"/>
      <c r="AZ694" s="18"/>
      <c r="BA694" s="19">
        <v>0.025000000000000001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ht="14.2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574</v>
      </c>
      <c r="AT695" s="15" t="s">
        <v>1068</v>
      </c>
      <c r="AU695" s="15"/>
      <c r="AV695" s="15"/>
      <c r="AW695" s="15"/>
      <c r="AX695" s="15"/>
      <c r="AY695" s="15"/>
      <c r="AZ695" s="18"/>
      <c r="BA695" s="19">
        <v>0.025000000000000001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ht="14.2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574</v>
      </c>
      <c r="AT696" s="15" t="s">
        <v>1069</v>
      </c>
      <c r="AU696" s="15"/>
      <c r="AV696" s="15"/>
      <c r="AW696" s="15"/>
      <c r="AX696" s="15"/>
      <c r="AY696" s="15"/>
      <c r="AZ696" s="18"/>
      <c r="BA696" s="19">
        <v>0.025000000000000001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ht="14.2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574</v>
      </c>
      <c r="AT697" s="15" t="s">
        <v>1070</v>
      </c>
      <c r="AU697" s="15"/>
      <c r="AV697" s="15"/>
      <c r="AW697" s="15"/>
      <c r="AX697" s="15"/>
      <c r="AY697" s="15"/>
      <c r="AZ697" s="18"/>
      <c r="BA697" s="19">
        <v>0.025000000000000001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ht="14.2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574</v>
      </c>
      <c r="AT698" s="15" t="s">
        <v>1071</v>
      </c>
      <c r="AU698" s="15"/>
      <c r="AV698" s="15"/>
      <c r="AW698" s="15"/>
      <c r="AX698" s="15"/>
      <c r="AY698" s="15"/>
      <c r="AZ698" s="18"/>
      <c r="BA698" s="19">
        <v>0.025000000000000001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ht="14.2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574</v>
      </c>
      <c r="AT699" s="15" t="s">
        <v>1072</v>
      </c>
      <c r="AU699" s="15"/>
      <c r="AV699" s="15"/>
      <c r="AW699" s="15"/>
      <c r="AX699" s="15"/>
      <c r="AY699" s="15"/>
      <c r="AZ699" s="18"/>
      <c r="BA699" s="19">
        <v>0.025000000000000001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ht="14.2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574</v>
      </c>
      <c r="AT700" s="15" t="s">
        <v>1073</v>
      </c>
      <c r="AU700" s="15"/>
      <c r="AV700" s="15"/>
      <c r="AW700" s="15"/>
      <c r="AX700" s="15"/>
      <c r="AY700" s="15"/>
      <c r="AZ700" s="18"/>
      <c r="BA700" s="19">
        <v>0.025000000000000001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ht="14.2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574</v>
      </c>
      <c r="AT701" s="15" t="s">
        <v>1074</v>
      </c>
      <c r="AU701" s="15"/>
      <c r="AV701" s="15"/>
      <c r="AW701" s="15"/>
      <c r="AX701" s="15"/>
      <c r="AY701" s="15"/>
      <c r="AZ701" s="18"/>
      <c r="BA701" s="19">
        <v>0.025000000000000001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ht="14.2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574</v>
      </c>
      <c r="AT702" s="15" t="s">
        <v>1075</v>
      </c>
      <c r="AU702" s="15"/>
      <c r="AV702" s="15"/>
      <c r="AW702" s="15"/>
      <c r="AX702" s="15"/>
      <c r="AY702" s="15"/>
      <c r="AZ702" s="18"/>
      <c r="BA702" s="19">
        <v>0.025000000000000001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ht="14.2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574</v>
      </c>
      <c r="AT703" s="15" t="s">
        <v>1076</v>
      </c>
      <c r="AU703" s="15"/>
      <c r="AV703" s="15"/>
      <c r="AW703" s="15"/>
      <c r="AX703" s="15"/>
      <c r="AY703" s="15"/>
      <c r="AZ703" s="18"/>
      <c r="BA703" s="19">
        <v>0.025000000000000001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ht="14.2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574</v>
      </c>
      <c r="AT704" s="15" t="s">
        <v>1077</v>
      </c>
      <c r="AU704" s="15"/>
      <c r="AV704" s="15"/>
      <c r="AW704" s="15"/>
      <c r="AX704" s="15"/>
      <c r="AY704" s="15"/>
      <c r="AZ704" s="18"/>
      <c r="BA704" s="19">
        <v>0.025000000000000001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ht="14.2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574</v>
      </c>
      <c r="AT705" s="15" t="s">
        <v>1078</v>
      </c>
      <c r="AU705" s="15"/>
      <c r="AV705" s="15"/>
      <c r="AW705" s="15"/>
      <c r="AX705" s="15"/>
      <c r="AY705" s="15"/>
      <c r="AZ705" s="18"/>
      <c r="BA705" s="19">
        <v>0.025000000000000001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ht="14.2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574</v>
      </c>
      <c r="AT706" s="15" t="s">
        <v>1079</v>
      </c>
      <c r="AU706" s="15"/>
      <c r="AV706" s="15"/>
      <c r="AW706" s="15"/>
      <c r="AX706" s="15"/>
      <c r="AY706" s="15"/>
      <c r="AZ706" s="18"/>
      <c r="BA706" s="19">
        <v>0.025000000000000001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ht="14.2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574</v>
      </c>
      <c r="AT707" s="15" t="s">
        <v>1080</v>
      </c>
      <c r="AU707" s="15"/>
      <c r="AV707" s="15"/>
      <c r="AW707" s="15"/>
      <c r="AX707" s="15"/>
      <c r="AY707" s="15"/>
      <c r="AZ707" s="18"/>
      <c r="BA707" s="19">
        <v>0.025000000000000001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ht="14.2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574</v>
      </c>
      <c r="AT708" s="15" t="s">
        <v>1081</v>
      </c>
      <c r="AU708" s="15"/>
      <c r="AV708" s="15"/>
      <c r="AW708" s="15"/>
      <c r="AX708" s="15"/>
      <c r="AY708" s="15"/>
      <c r="AZ708" s="18"/>
      <c r="BA708" s="19">
        <v>0.025000000000000001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ht="14.2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574</v>
      </c>
      <c r="AT709" s="15" t="s">
        <v>1082</v>
      </c>
      <c r="AU709" s="15"/>
      <c r="AV709" s="15"/>
      <c r="AW709" s="15"/>
      <c r="AX709" s="15"/>
      <c r="AY709" s="15"/>
      <c r="AZ709" s="18"/>
      <c r="BA709" s="19">
        <v>0.025000000000000001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ht="14.2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574</v>
      </c>
      <c r="AT710" s="15" t="s">
        <v>1083</v>
      </c>
      <c r="AU710" s="15"/>
      <c r="AV710" s="15"/>
      <c r="AW710" s="15"/>
      <c r="AX710" s="15"/>
      <c r="AY710" s="15"/>
      <c r="AZ710" s="18"/>
      <c r="BA710" s="19">
        <v>0.025000000000000001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ht="14.2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574</v>
      </c>
      <c r="AT711" s="15" t="s">
        <v>1084</v>
      </c>
      <c r="AU711" s="15"/>
      <c r="AV711" s="15"/>
      <c r="AW711" s="15"/>
      <c r="AX711" s="15"/>
      <c r="AY711" s="15"/>
      <c r="AZ711" s="18"/>
      <c r="BA711" s="19">
        <v>0.025000000000000001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ht="14.2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574</v>
      </c>
      <c r="AT712" s="15" t="s">
        <v>1085</v>
      </c>
      <c r="AU712" s="15"/>
      <c r="AV712" s="15"/>
      <c r="AW712" s="15"/>
      <c r="AX712" s="15"/>
      <c r="AY712" s="15"/>
      <c r="AZ712" s="18"/>
      <c r="BA712" s="19">
        <v>0.025000000000000001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ht="14.2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574</v>
      </c>
      <c r="AT713" s="15" t="s">
        <v>1086</v>
      </c>
      <c r="AU713" s="15"/>
      <c r="AV713" s="15"/>
      <c r="AW713" s="15"/>
      <c r="AX713" s="15"/>
      <c r="AY713" s="15"/>
      <c r="AZ713" s="18"/>
      <c r="BA713" s="19">
        <v>0.025000000000000001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ht="14.2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574</v>
      </c>
      <c r="AT714" s="15" t="s">
        <v>1087</v>
      </c>
      <c r="AU714" s="15"/>
      <c r="AV714" s="15"/>
      <c r="AW714" s="15"/>
      <c r="AX714" s="15"/>
      <c r="AY714" s="15"/>
      <c r="AZ714" s="18"/>
      <c r="BA714" s="19">
        <v>0.025000000000000001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ht="14.2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574</v>
      </c>
      <c r="AT715" s="15" t="s">
        <v>1088</v>
      </c>
      <c r="AU715" s="15"/>
      <c r="AV715" s="15"/>
      <c r="AW715" s="15"/>
      <c r="AX715" s="15"/>
      <c r="AY715" s="15"/>
      <c r="AZ715" s="18"/>
      <c r="BA715" s="19">
        <v>0.025000000000000001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ht="14.2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574</v>
      </c>
      <c r="AT716" s="15" t="s">
        <v>1089</v>
      </c>
      <c r="AU716" s="15"/>
      <c r="AV716" s="15"/>
      <c r="AW716" s="15"/>
      <c r="AX716" s="15"/>
      <c r="AY716" s="15"/>
      <c r="AZ716" s="18"/>
      <c r="BA716" s="19">
        <v>0.025000000000000001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ht="14.2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574</v>
      </c>
      <c r="AT717" s="15" t="s">
        <v>1090</v>
      </c>
      <c r="AU717" s="15"/>
      <c r="AV717" s="15"/>
      <c r="AW717" s="15"/>
      <c r="AX717" s="15"/>
      <c r="AY717" s="15"/>
      <c r="AZ717" s="18"/>
      <c r="BA717" s="19">
        <v>0.025000000000000001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ht="14.2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574</v>
      </c>
      <c r="AT718" s="15" t="s">
        <v>1091</v>
      </c>
      <c r="AU718" s="15"/>
      <c r="AV718" s="15"/>
      <c r="AW718" s="15"/>
      <c r="AX718" s="15"/>
      <c r="AY718" s="15"/>
      <c r="AZ718" s="18"/>
      <c r="BA718" s="19">
        <v>0.025000000000000001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ht="14.2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574</v>
      </c>
      <c r="AT719" s="15" t="s">
        <v>1092</v>
      </c>
      <c r="AU719" s="15"/>
      <c r="AV719" s="15"/>
      <c r="AW719" s="15"/>
      <c r="AX719" s="15"/>
      <c r="AY719" s="15"/>
      <c r="AZ719" s="18"/>
      <c r="BA719" s="19">
        <v>0.025000000000000001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ht="14.2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574</v>
      </c>
      <c r="AT720" s="15" t="s">
        <v>1093</v>
      </c>
      <c r="AU720" s="15"/>
      <c r="AV720" s="15"/>
      <c r="AW720" s="15"/>
      <c r="AX720" s="15"/>
      <c r="AY720" s="15"/>
      <c r="AZ720" s="18"/>
      <c r="BA720" s="19">
        <v>0.025000000000000001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ht="14.2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574</v>
      </c>
      <c r="AT721" s="15" t="s">
        <v>1094</v>
      </c>
      <c r="AU721" s="15"/>
      <c r="AV721" s="15"/>
      <c r="AW721" s="15"/>
      <c r="AX721" s="15"/>
      <c r="AY721" s="15"/>
      <c r="AZ721" s="18"/>
      <c r="BA721" s="19">
        <v>0.025000000000000001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ht="14.2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574</v>
      </c>
      <c r="AT722" s="15" t="s">
        <v>1095</v>
      </c>
      <c r="AU722" s="15"/>
      <c r="AV722" s="15"/>
      <c r="AW722" s="15"/>
      <c r="AX722" s="15"/>
      <c r="AY722" s="15"/>
      <c r="AZ722" s="18"/>
      <c r="BA722" s="19">
        <v>0.025000000000000001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ht="14.2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574</v>
      </c>
      <c r="AT723" s="15" t="s">
        <v>1096</v>
      </c>
      <c r="AU723" s="15"/>
      <c r="AV723" s="15"/>
      <c r="AW723" s="15"/>
      <c r="AX723" s="15"/>
      <c r="AY723" s="15"/>
      <c r="AZ723" s="18"/>
      <c r="BA723" s="19">
        <v>0.025000000000000001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ht="14.2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574</v>
      </c>
      <c r="AT724" s="15" t="s">
        <v>1097</v>
      </c>
      <c r="AU724" s="15"/>
      <c r="AV724" s="15"/>
      <c r="AW724" s="15"/>
      <c r="AX724" s="15"/>
      <c r="AY724" s="15"/>
      <c r="AZ724" s="18"/>
      <c r="BA724" s="19">
        <v>0.025000000000000001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ht="14.2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574</v>
      </c>
      <c r="AT725" s="15" t="s">
        <v>1098</v>
      </c>
      <c r="AU725" s="15"/>
      <c r="AV725" s="15"/>
      <c r="AW725" s="15"/>
      <c r="AX725" s="15"/>
      <c r="AY725" s="15"/>
      <c r="AZ725" s="18"/>
      <c r="BA725" s="19">
        <v>0.025000000000000001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ht="14.2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574</v>
      </c>
      <c r="AT726" s="15" t="s">
        <v>1099</v>
      </c>
      <c r="AU726" s="15"/>
      <c r="AV726" s="15"/>
      <c r="AW726" s="15"/>
      <c r="AX726" s="15"/>
      <c r="AY726" s="15"/>
      <c r="AZ726" s="18"/>
      <c r="BA726" s="19">
        <v>0.025000000000000001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ht="14.2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574</v>
      </c>
      <c r="AT727" s="15" t="s">
        <v>1100</v>
      </c>
      <c r="AU727" s="15"/>
      <c r="AV727" s="15"/>
      <c r="AW727" s="15"/>
      <c r="AX727" s="15"/>
      <c r="AY727" s="15"/>
      <c r="AZ727" s="18"/>
      <c r="BA727" s="19">
        <v>0.025000000000000001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ht="14.2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574</v>
      </c>
      <c r="AT728" s="15" t="s">
        <v>1101</v>
      </c>
      <c r="AU728" s="15"/>
      <c r="AV728" s="15"/>
      <c r="AW728" s="15"/>
      <c r="AX728" s="15"/>
      <c r="AY728" s="15"/>
      <c r="AZ728" s="18"/>
      <c r="BA728" s="19">
        <v>0.025000000000000001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ht="14.2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574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0.025000000000000001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ht="14.2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574</v>
      </c>
      <c r="AT730" s="15" t="s">
        <v>1102</v>
      </c>
      <c r="AU730" s="15"/>
      <c r="AV730" s="15"/>
      <c r="AW730" s="15"/>
      <c r="AX730" s="15"/>
      <c r="AY730" s="15"/>
      <c r="AZ730" s="18"/>
      <c r="BA730" s="19">
        <v>0.025000000000000001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ht="14.2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574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0.025000000000000001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ht="14.2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574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0.025000000000000001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ht="14.2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574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0.025000000000000001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ht="14.2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574</v>
      </c>
      <c r="AT734" s="15" t="s">
        <v>1103</v>
      </c>
      <c r="AU734" s="15"/>
      <c r="AV734" s="15"/>
      <c r="AW734" s="15"/>
      <c r="AX734" s="15"/>
      <c r="AY734" s="15"/>
      <c r="AZ734" s="18"/>
      <c r="BA734" s="19">
        <v>0.025000000000000001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ht="14.2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574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0.025000000000000001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ht="14.2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574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0.025000000000000001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ht="14.2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574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0.025000000000000001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ht="14.2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574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0.025000000000000001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ht="14.2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574</v>
      </c>
      <c r="AT739" s="15" t="s">
        <v>1104</v>
      </c>
      <c r="AU739" s="15"/>
      <c r="AV739" s="15"/>
      <c r="AW739" s="15"/>
      <c r="AX739" s="15"/>
      <c r="AY739" s="15"/>
      <c r="AZ739" s="18"/>
      <c r="BA739" s="19">
        <v>0.025000000000000001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ht="14.2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574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0.025000000000000001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ht="14.2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574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0.025000000000000001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ht="14.2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574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0.025000000000000001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ht="14.2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574</v>
      </c>
      <c r="AT743" s="15" t="s">
        <v>1105</v>
      </c>
      <c r="AU743" s="15"/>
      <c r="AV743" s="15"/>
      <c r="AW743" s="15"/>
      <c r="AX743" s="15"/>
      <c r="AY743" s="15"/>
      <c r="AZ743" s="18"/>
      <c r="BA743" s="19">
        <v>0.025000000000000001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ht="14.2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574</v>
      </c>
      <c r="AT744" s="15" t="s">
        <v>1106</v>
      </c>
      <c r="AU744" s="15"/>
      <c r="AV744" s="15"/>
      <c r="AW744" s="15"/>
      <c r="AX744" s="15"/>
      <c r="AY744" s="15"/>
      <c r="AZ744" s="18"/>
      <c r="BA744" s="19">
        <v>0.025000000000000001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ht="14.2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574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0.025000000000000001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ht="14.2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574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0.025000000000000001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ht="14.2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1107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ht="14.2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1108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ht="14.2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1109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ht="14.2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1110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ht="14.2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1111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ht="14.2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1112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ht="14.2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1113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ht="14.2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ht="14.2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ht="14.2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0.0047016325814268796</v>
      </c>
      <c r="BC756" s="19">
        <v>0.0045688852925220499</v>
      </c>
      <c r="BD756" s="19">
        <v>0.0044233541715989503</v>
      </c>
      <c r="BE756" s="19">
        <v>0.0042677710742663102</v>
      </c>
      <c r="BF756" s="19">
        <v>0.0041035283028680999</v>
      </c>
      <c r="BG756" s="19">
        <v>0.0039456063222262604</v>
      </c>
      <c r="BH756" s="19">
        <v>0.0037937618802606999</v>
      </c>
      <c r="BI756" s="19">
        <v>0.0036477610863108901</v>
      </c>
      <c r="BJ756" s="19">
        <v>0.0035073790508669501</v>
      </c>
      <c r="BK756" s="18"/>
      <c r="BL756" s="18"/>
      <c r="BM756" s="19">
        <v>0.0047299999999999998</v>
      </c>
      <c r="BN756" s="19">
        <v>0.0047070000000000002</v>
      </c>
      <c r="BO756" s="19">
        <v>0.0045259999999999996</v>
      </c>
      <c r="BP756" s="19">
        <v>0.004352</v>
      </c>
      <c r="BQ756" s="19">
        <v>0.0042370000000000003</v>
      </c>
      <c r="BR756" s="19">
        <v>0.004176</v>
      </c>
      <c r="BS756" s="19">
        <v>0.004117</v>
      </c>
      <c r="BT756" s="19">
        <v>0.004058</v>
      </c>
      <c r="BU756" s="19">
        <v>0.0040000000000000001</v>
      </c>
    </row>
    <row r="757" spans="3:73" ht="14.2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0.0277523065743117</v>
      </c>
      <c r="BC757" s="19">
        <v>0.026430726896137</v>
      </c>
      <c r="BD757" s="19">
        <v>0.024952331750480099</v>
      </c>
      <c r="BE757" s="19">
        <v>0.023475838146683099</v>
      </c>
      <c r="BF757" s="19">
        <v>0.022010909771084199</v>
      </c>
      <c r="BG757" s="19">
        <v>0.020637395177273501</v>
      </c>
      <c r="BH757" s="19">
        <v>0.019349590004792101</v>
      </c>
      <c r="BI757" s="19">
        <v>0.018142145854039698</v>
      </c>
      <c r="BJ757" s="19">
        <v>0.017010048073769799</v>
      </c>
      <c r="BK757" s="18"/>
      <c r="BL757" s="18"/>
      <c r="BM757" s="19">
        <v>0.028131</v>
      </c>
      <c r="BN757" s="19">
        <v>0.027713999999999999</v>
      </c>
      <c r="BO757" s="19">
        <v>0.026315999999999999</v>
      </c>
      <c r="BP757" s="19">
        <v>0.024988</v>
      </c>
      <c r="BQ757" s="19">
        <v>0.024025000000000001</v>
      </c>
      <c r="BR757" s="19">
        <v>0.023387000000000002</v>
      </c>
      <c r="BS757" s="19">
        <v>0.022766000000000002</v>
      </c>
      <c r="BT757" s="19">
        <v>0.022162000000000001</v>
      </c>
      <c r="BU757" s="19">
        <v>0.021572999999999998</v>
      </c>
    </row>
    <row r="758" spans="3:73" ht="14.2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0.048410608091660798</v>
      </c>
      <c r="BC758" s="19">
        <v>0.046105269049275102</v>
      </c>
      <c r="BD758" s="19">
        <v>0.043526384018246503</v>
      </c>
      <c r="BE758" s="19">
        <v>0.040950816001517301</v>
      </c>
      <c r="BF758" s="19">
        <v>0.038395422154033902</v>
      </c>
      <c r="BG758" s="19">
        <v>0.035999488809499103</v>
      </c>
      <c r="BH758" s="19">
        <v>0.033753065387486403</v>
      </c>
      <c r="BI758" s="19">
        <v>0.031646822239078998</v>
      </c>
      <c r="BJ758" s="19">
        <v>0.029672011899789401</v>
      </c>
      <c r="BK758" s="18"/>
      <c r="BL758" s="18"/>
      <c r="BM758" s="19">
        <v>0.049070000000000003</v>
      </c>
      <c r="BN758" s="19">
        <v>0.048343999999999998</v>
      </c>
      <c r="BO758" s="19">
        <v>0.045905000000000001</v>
      </c>
      <c r="BP758" s="19">
        <v>0.043589000000000003</v>
      </c>
      <c r="BQ758" s="19">
        <v>0.041909000000000002</v>
      </c>
      <c r="BR758" s="19">
        <v>0.040795999999999999</v>
      </c>
      <c r="BS758" s="19">
        <v>0.039712999999999998</v>
      </c>
      <c r="BT758" s="19">
        <v>0.038657999999999998</v>
      </c>
      <c r="BU758" s="19">
        <v>0.037631999999999999</v>
      </c>
    </row>
    <row r="759" spans="3:73" ht="14.2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0.098328570538729398</v>
      </c>
      <c r="BJ759" s="19">
        <v>0.092192716635910998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ht="14.2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0.044479762671938303</v>
      </c>
      <c r="BC760" s="19">
        <v>0.0423616125902554</v>
      </c>
      <c r="BD760" s="19">
        <v>0.039992127911996897</v>
      </c>
      <c r="BE760" s="19">
        <v>0.037625690913051603</v>
      </c>
      <c r="BF760" s="19">
        <v>0.0352777899807976</v>
      </c>
      <c r="BG760" s="19">
        <v>0.033076401674728098</v>
      </c>
      <c r="BH760" s="19">
        <v>0.031012383381823799</v>
      </c>
      <c r="BI760" s="19">
        <v>0.029077163002167099</v>
      </c>
      <c r="BJ760" s="19">
        <v>0.027262703348047999</v>
      </c>
      <c r="BK760" s="18"/>
      <c r="BL760" s="18"/>
      <c r="BM760" s="19">
        <v>0.045086000000000001</v>
      </c>
      <c r="BN760" s="19">
        <v>0.044417999999999999</v>
      </c>
      <c r="BO760" s="19">
        <v>0.042178</v>
      </c>
      <c r="BP760" s="19">
        <v>0.040050000000000002</v>
      </c>
      <c r="BQ760" s="19">
        <v>0.038505999999999999</v>
      </c>
      <c r="BR760" s="19">
        <v>0.037483000000000002</v>
      </c>
      <c r="BS760" s="19">
        <v>0.036488</v>
      </c>
      <c r="BT760" s="19">
        <v>0.035519000000000002</v>
      </c>
      <c r="BU760" s="19">
        <v>0.034576000000000003</v>
      </c>
    </row>
    <row r="761" spans="3:73" ht="14.2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ht="14.2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ht="14.2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ht="14.2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ht="14.2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ht="14.2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0.00194029636170744</v>
      </c>
      <c r="BC766" s="19">
        <v>0.0019036830513664</v>
      </c>
      <c r="BD766" s="19">
        <v>0.0018584218294808599</v>
      </c>
      <c r="BE766" s="19">
        <v>0.00181469023448861</v>
      </c>
      <c r="BF766" s="19">
        <v>0.0017724306433450499</v>
      </c>
      <c r="BG766" s="19">
        <v>0.0017311551722511199</v>
      </c>
      <c r="BH766" s="19">
        <v>0.0016908409035153299</v>
      </c>
      <c r="BI766" s="19">
        <v>0.00165146545314184</v>
      </c>
      <c r="BJ766" s="19">
        <v>0.00161300695840202</v>
      </c>
      <c r="BK766" s="18"/>
      <c r="BL766" s="18"/>
      <c r="BM766" s="19">
        <v>0.0019550000000000001</v>
      </c>
      <c r="BN766" s="19">
        <v>0.001939</v>
      </c>
      <c r="BO766" s="19">
        <v>0.0019189999999999999</v>
      </c>
      <c r="BP766" s="19">
        <v>0.0018979999999999999</v>
      </c>
      <c r="BQ766" s="19">
        <v>0.0018749999999999999</v>
      </c>
      <c r="BR766" s="19">
        <v>0.001853</v>
      </c>
      <c r="BS766" s="19">
        <v>0.00183</v>
      </c>
      <c r="BT766" s="19">
        <v>0.0018090000000000001</v>
      </c>
      <c r="BU766" s="19">
        <v>0.001787</v>
      </c>
    </row>
    <row r="767" spans="3:73" ht="14.2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ht="14.2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0.0020809564217117</v>
      </c>
      <c r="BC768" s="19">
        <v>0.0021569328692652599</v>
      </c>
      <c r="BD768" s="19">
        <v>0.0022047529550088098</v>
      </c>
      <c r="BE768" s="19">
        <v>0.0022760498684605301</v>
      </c>
      <c r="BF768" s="19">
        <v>0.0023677403526991899</v>
      </c>
      <c r="BG768" s="19">
        <v>0.0024753629039052402</v>
      </c>
      <c r="BH768" s="19">
        <v>0.0025942805885786299</v>
      </c>
      <c r="BI768" s="19">
        <v>0.0024671350263869899</v>
      </c>
      <c r="BJ768" s="19">
        <v>0.0023462208618538101</v>
      </c>
      <c r="BK768" s="18"/>
      <c r="BL768" s="18"/>
      <c r="BM768" s="19">
        <v>0.0021129999999999999</v>
      </c>
      <c r="BN768" s="19">
        <v>0.0022339999999999999</v>
      </c>
      <c r="BO768" s="19">
        <v>0.0023419999999999999</v>
      </c>
      <c r="BP768" s="19">
        <v>0.00248</v>
      </c>
      <c r="BQ768" s="19">
        <v>0.0026450000000000002</v>
      </c>
      <c r="BR768" s="19">
        <v>0.002836</v>
      </c>
      <c r="BS768" s="19">
        <v>0.0030479999999999999</v>
      </c>
      <c r="BT768" s="19">
        <v>0.0029729999999999999</v>
      </c>
      <c r="BU768" s="19">
        <v>0.0028990000000000001</v>
      </c>
    </row>
    <row r="769" spans="3:73" ht="14.2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0.018335362329028</v>
      </c>
      <c r="BC769" s="19">
        <v>0.0193916464416772</v>
      </c>
      <c r="BD769" s="19">
        <v>0.020327193423367099</v>
      </c>
      <c r="BE769" s="19">
        <v>0.02151982277265</v>
      </c>
      <c r="BF769" s="19">
        <v>0.0229578082178328</v>
      </c>
      <c r="BG769" s="19">
        <v>0.0246135727010834</v>
      </c>
      <c r="BH769" s="19">
        <v>0.026454049108875301</v>
      </c>
      <c r="BI769" s="19">
        <v>0.0257992784084555</v>
      </c>
      <c r="BJ769" s="19">
        <v>0.0251607140992904</v>
      </c>
      <c r="BK769" s="18"/>
      <c r="BL769" s="18"/>
      <c r="BM769" s="19">
        <v>0.018474000000000001</v>
      </c>
      <c r="BN769" s="19">
        <v>0.019734999999999999</v>
      </c>
      <c r="BO769" s="19">
        <v>0.020948999999999999</v>
      </c>
      <c r="BP769" s="19">
        <v>0.022457999999999999</v>
      </c>
      <c r="BQ769" s="19">
        <v>0.024261000000000001</v>
      </c>
      <c r="BR769" s="19">
        <v>0.026339000000000001</v>
      </c>
      <c r="BS769" s="19">
        <v>0.028666000000000001</v>
      </c>
      <c r="BT769" s="19">
        <v>0.028309000000000001</v>
      </c>
      <c r="BU769" s="19">
        <v>0.027956999999999999</v>
      </c>
    </row>
    <row r="770" spans="3:73" ht="14.2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0.023309580261087599</v>
      </c>
      <c r="BC770" s="19">
        <v>0.024652424698000101</v>
      </c>
      <c r="BD770" s="19">
        <v>0.0258417771125522</v>
      </c>
      <c r="BE770" s="19">
        <v>0.027357956015372598</v>
      </c>
      <c r="BF770" s="19">
        <v>0.029186053903337301</v>
      </c>
      <c r="BG770" s="19">
        <v>0.0312910123122958</v>
      </c>
      <c r="BH770" s="19">
        <v>0.033630793319957997</v>
      </c>
      <c r="BI770" s="19">
        <v>0.032798389251788497</v>
      </c>
      <c r="BJ770" s="19">
        <v>0.031986588222212703</v>
      </c>
      <c r="BK770" s="18"/>
      <c r="BL770" s="18"/>
      <c r="BM770" s="19">
        <v>0.023486</v>
      </c>
      <c r="BN770" s="19">
        <v>0.025089</v>
      </c>
      <c r="BO770" s="19">
        <v>0.026631999999999999</v>
      </c>
      <c r="BP770" s="19">
        <v>0.028549999999999999</v>
      </c>
      <c r="BQ770" s="19">
        <v>0.030842999999999999</v>
      </c>
      <c r="BR770" s="19">
        <v>0.033485000000000001</v>
      </c>
      <c r="BS770" s="19">
        <v>0.036443000000000003</v>
      </c>
      <c r="BT770" s="19">
        <v>0.035990000000000001</v>
      </c>
      <c r="BU770" s="19">
        <v>0.035541999999999997</v>
      </c>
    </row>
    <row r="771" spans="3:73" ht="14.2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0.054150624844947599</v>
      </c>
      <c r="BC771" s="19">
        <v>0.0572701947605741</v>
      </c>
      <c r="BD771" s="19">
        <v>0.0600331864441421</v>
      </c>
      <c r="BE771" s="19">
        <v>0.063555430690706599</v>
      </c>
      <c r="BF771" s="19">
        <v>0.067802295790901995</v>
      </c>
      <c r="BG771" s="19">
        <v>0.072692337217688904</v>
      </c>
      <c r="BH771" s="19">
        <v>0.078127896423221099</v>
      </c>
      <c r="BI771" s="19">
        <v>0.076194133570781405</v>
      </c>
      <c r="BJ771" s="19">
        <v>0.074308233760106202</v>
      </c>
      <c r="BK771" s="18"/>
      <c r="BL771" s="18"/>
      <c r="BM771" s="19">
        <v>0.054559999999999997</v>
      </c>
      <c r="BN771" s="19">
        <v>0.058285000000000003</v>
      </c>
      <c r="BO771" s="19">
        <v>0.061867999999999999</v>
      </c>
      <c r="BP771" s="19">
        <v>0.066324999999999995</v>
      </c>
      <c r="BQ771" s="19">
        <v>0.071651000000000006</v>
      </c>
      <c r="BR771" s="19">
        <v>0.077787999999999996</v>
      </c>
      <c r="BS771" s="19">
        <v>0.084659999999999999</v>
      </c>
      <c r="BT771" s="19">
        <v>0.083607000000000001</v>
      </c>
      <c r="BU771" s="19">
        <v>0.082568000000000003</v>
      </c>
    </row>
    <row r="772" spans="3:73" ht="14.2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ht="14.2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0.0022928850437912802</v>
      </c>
      <c r="BC773" s="19">
        <v>0.0022731180449880699</v>
      </c>
      <c r="BD773" s="19">
        <v>0.00210175513476802</v>
      </c>
      <c r="BE773" s="19">
        <v>0.0020740650319263799</v>
      </c>
      <c r="BF773" s="19">
        <v>0.00204705725243865</v>
      </c>
      <c r="BG773" s="19">
        <v>0.0020207149083311801</v>
      </c>
      <c r="BH773" s="19">
        <v>0.0019950215296286699</v>
      </c>
      <c r="BI773" s="19">
        <v>0.00194564225922166</v>
      </c>
      <c r="BJ773" s="19">
        <v>0.0018974851873271501</v>
      </c>
      <c r="BK773" s="18"/>
      <c r="BL773" s="18"/>
      <c r="BM773" s="19">
        <v>0.00231</v>
      </c>
      <c r="BN773" s="19">
        <v>0.002313</v>
      </c>
      <c r="BO773" s="19">
        <v>0.002166</v>
      </c>
      <c r="BP773" s="19">
        <v>0.0021640000000000001</v>
      </c>
      <c r="BQ773" s="19">
        <v>0.002163</v>
      </c>
      <c r="BR773" s="19">
        <v>0.0021619999999999999</v>
      </c>
      <c r="BS773" s="19">
        <v>0.0021619999999999999</v>
      </c>
      <c r="BT773" s="19">
        <v>0.0021350000000000002</v>
      </c>
      <c r="BU773" s="19">
        <v>0.0021080000000000001</v>
      </c>
    </row>
    <row r="774" spans="3:73" ht="14.2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0.0081957675625299806</v>
      </c>
      <c r="BC774" s="19">
        <v>0.0079630198176908803</v>
      </c>
      <c r="BD774" s="19">
        <v>0.0071795709778154403</v>
      </c>
      <c r="BE774" s="19">
        <v>0.0069087474130795998</v>
      </c>
      <c r="BF774" s="19">
        <v>0.0066491710296171097</v>
      </c>
      <c r="BG774" s="19">
        <v>0.0064003412427605004</v>
      </c>
      <c r="BH774" s="19">
        <v>0.0061617807356831597</v>
      </c>
      <c r="BI774" s="19">
        <v>0.0058597921693001797</v>
      </c>
      <c r="BJ774" s="19">
        <v>0.0055726040474864099</v>
      </c>
      <c r="BK774" s="18"/>
      <c r="BL774" s="18"/>
      <c r="BM774" s="19">
        <v>0.0083210000000000003</v>
      </c>
      <c r="BN774" s="19">
        <v>0.0082489999999999994</v>
      </c>
      <c r="BO774" s="19">
        <v>0.0076270000000000001</v>
      </c>
      <c r="BP774" s="19">
        <v>0.0075269999999999998</v>
      </c>
      <c r="BQ774" s="19">
        <v>0.0074279999999999997</v>
      </c>
      <c r="BR774" s="19">
        <v>0.0073330000000000001</v>
      </c>
      <c r="BS774" s="19">
        <v>0.0072399999999999999</v>
      </c>
      <c r="BT774" s="19">
        <v>0.0070600000000000003</v>
      </c>
      <c r="BU774" s="19">
        <v>0.0068859999999999998</v>
      </c>
    </row>
    <row r="775" spans="3:73" ht="14.2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0.098460110496505895</v>
      </c>
      <c r="BI775" s="19">
        <v>0.093634585394231695</v>
      </c>
      <c r="BJ775" s="19">
        <v>0.089045559036426206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ht="14.2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0.0150605749634655</v>
      </c>
      <c r="BC776" s="19">
        <v>0.014632876784865001</v>
      </c>
      <c r="BD776" s="19">
        <v>0.0131932080908761</v>
      </c>
      <c r="BE776" s="19">
        <v>0.012695541634689099</v>
      </c>
      <c r="BF776" s="19">
        <v>0.0122185430433973</v>
      </c>
      <c r="BG776" s="19">
        <v>0.0117612924406312</v>
      </c>
      <c r="BH776" s="19">
        <v>0.0113229127070982</v>
      </c>
      <c r="BI776" s="19">
        <v>0.010767977320336601</v>
      </c>
      <c r="BJ776" s="19">
        <v>0.010240239289189001</v>
      </c>
      <c r="BK776" s="18"/>
      <c r="BL776" s="18"/>
      <c r="BM776" s="19">
        <v>0.01529</v>
      </c>
      <c r="BN776" s="19">
        <v>0.015158</v>
      </c>
      <c r="BO776" s="19">
        <v>0.014015</v>
      </c>
      <c r="BP776" s="19">
        <v>0.013831</v>
      </c>
      <c r="BQ776" s="19">
        <v>0.013651</v>
      </c>
      <c r="BR776" s="19">
        <v>0.013475000000000001</v>
      </c>
      <c r="BS776" s="19">
        <v>0.013304</v>
      </c>
      <c r="BT776" s="19">
        <v>0.012973999999999999</v>
      </c>
      <c r="BU776" s="19">
        <v>0.012652999999999999</v>
      </c>
    </row>
    <row r="777" spans="3:73" ht="14.2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0.069010783020328204</v>
      </c>
      <c r="BC777" s="19">
        <v>0.0670509782802578</v>
      </c>
      <c r="BD777" s="19">
        <v>0.060454107702405301</v>
      </c>
      <c r="BE777" s="19">
        <v>0.058173693315322898</v>
      </c>
      <c r="BF777" s="19">
        <v>0.055987983515763701</v>
      </c>
      <c r="BG777" s="19">
        <v>0.053892763233008997</v>
      </c>
      <c r="BH777" s="19">
        <v>0.051884013318430802</v>
      </c>
      <c r="BI777" s="19">
        <v>0.049341180414706802</v>
      </c>
      <c r="BJ777" s="19">
        <v>0.046922971624706898</v>
      </c>
      <c r="BK777" s="18"/>
      <c r="BL777" s="18"/>
      <c r="BM777" s="19">
        <v>0.070061999999999999</v>
      </c>
      <c r="BN777" s="19">
        <v>0.069458000000000006</v>
      </c>
      <c r="BO777" s="19">
        <v>0.064222000000000001</v>
      </c>
      <c r="BP777" s="19">
        <v>0.063375000000000001</v>
      </c>
      <c r="BQ777" s="19">
        <v>0.062549999999999994</v>
      </c>
      <c r="BR777" s="19">
        <v>0.061745000000000001</v>
      </c>
      <c r="BS777" s="19">
        <v>0.06096</v>
      </c>
      <c r="BT777" s="19">
        <v>0.059450999999999997</v>
      </c>
      <c r="BU777" s="19">
        <v>0.057979999999999997</v>
      </c>
    </row>
    <row r="778" spans="3:73" ht="14.2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0.00107706386189922</v>
      </c>
      <c r="BC778" s="19">
        <v>0.00108296085682364</v>
      </c>
      <c r="BD778" s="19">
        <v>0.0010776770289229801</v>
      </c>
      <c r="BE778" s="19">
        <v>0.00108987009891478</v>
      </c>
      <c r="BF778" s="19">
        <v>0.0010970088789387499</v>
      </c>
      <c r="BG778" s="19">
        <v>0.00109942991857448</v>
      </c>
      <c r="BH778" s="19">
        <v>0.00109745388159161</v>
      </c>
      <c r="BI778" s="19">
        <v>0.0010918256764264099</v>
      </c>
      <c r="BJ778" s="19">
        <v>0.0010840892954332201</v>
      </c>
      <c r="BK778" s="18"/>
      <c r="BL778" s="18"/>
      <c r="BM778" s="19">
        <v>0.0010939999999999999</v>
      </c>
      <c r="BN778" s="19">
        <v>0.0011540000000000001</v>
      </c>
      <c r="BO778" s="19">
        <v>0.0012080000000000001</v>
      </c>
      <c r="BP778" s="19">
        <v>0.0012329999999999999</v>
      </c>
      <c r="BQ778" s="19">
        <v>0.0012310000000000001</v>
      </c>
      <c r="BR778" s="19">
        <v>0.0012260000000000001</v>
      </c>
      <c r="BS778" s="19">
        <v>0.0012160000000000001</v>
      </c>
      <c r="BT778" s="19">
        <v>0.0012030000000000001</v>
      </c>
      <c r="BU778" s="19">
        <v>0.001188</v>
      </c>
    </row>
    <row r="779" spans="3:73" ht="14.2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ht="14.2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ht="14.2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0.0313439953069879</v>
      </c>
      <c r="BC781" s="19">
        <v>0.031331746209407998</v>
      </c>
      <c r="BD781" s="19">
        <v>0.029601566670112101</v>
      </c>
      <c r="BE781" s="19">
        <v>0.0279669298821901</v>
      </c>
      <c r="BF781" s="19">
        <v>0.026050566759402</v>
      </c>
      <c r="BG781" s="19">
        <v>0.023922928029464201</v>
      </c>
      <c r="BH781" s="19">
        <v>0.021969060818854198</v>
      </c>
      <c r="BI781" s="19">
        <v>0.0201747726142921</v>
      </c>
      <c r="BJ781" s="19">
        <v>0.018527030053513999</v>
      </c>
      <c r="BK781" s="18"/>
      <c r="BL781" s="18"/>
      <c r="BM781" s="19">
        <v>0.031580999999999998</v>
      </c>
      <c r="BN781" s="19">
        <v>0.031886999999999999</v>
      </c>
      <c r="BO781" s="19">
        <v>0.028816999999999999</v>
      </c>
      <c r="BP781" s="19">
        <v>0.026043</v>
      </c>
      <c r="BQ781" s="19">
        <v>0.024565</v>
      </c>
      <c r="BR781" s="19">
        <v>0.024174999999999999</v>
      </c>
      <c r="BS781" s="19">
        <v>0.023791</v>
      </c>
      <c r="BT781" s="19">
        <v>0.023413</v>
      </c>
      <c r="BU781" s="19">
        <v>0.023040000000000001</v>
      </c>
    </row>
    <row r="782" spans="3:73" ht="14.2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0.020337203030097301</v>
      </c>
      <c r="BC782" s="19">
        <v>0.019923696897981898</v>
      </c>
      <c r="BD782" s="19">
        <v>0.018355262177950998</v>
      </c>
      <c r="BE782" s="19">
        <v>0.016910297890319899</v>
      </c>
      <c r="BF782" s="19">
        <v>0.015359752232147699</v>
      </c>
      <c r="BG782" s="19">
        <v>0.0137544090790695</v>
      </c>
      <c r="BH782" s="19">
        <v>0.0123168503147097</v>
      </c>
      <c r="BI782" s="19">
        <v>0.0110295397499713</v>
      </c>
      <c r="BJ782" s="19">
        <v>0.0098767740118521196</v>
      </c>
      <c r="BK782" s="18"/>
      <c r="BL782" s="18"/>
      <c r="BM782" s="19">
        <v>0.020646999999999999</v>
      </c>
      <c r="BN782" s="19">
        <v>0.020639000000000001</v>
      </c>
      <c r="BO782" s="19">
        <v>0.018419999999999999</v>
      </c>
      <c r="BP782" s="19">
        <v>0.016438999999999999</v>
      </c>
      <c r="BQ782" s="19">
        <v>0.015311999999999999</v>
      </c>
      <c r="BR782" s="19">
        <v>0.014881</v>
      </c>
      <c r="BS782" s="19">
        <v>0.014461999999999999</v>
      </c>
      <c r="BT782" s="19">
        <v>0.014055</v>
      </c>
      <c r="BU782" s="19">
        <v>0.013658999999999999</v>
      </c>
    </row>
    <row r="783" spans="3:73" ht="14.2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0.0069101953595680698</v>
      </c>
      <c r="BC783" s="19">
        <v>0.0067696938288970502</v>
      </c>
      <c r="BD783" s="19">
        <v>0.00623676949765523</v>
      </c>
      <c r="BE783" s="19">
        <v>0.0057457980744780599</v>
      </c>
      <c r="BF783" s="19">
        <v>0.0052189521067192097</v>
      </c>
      <c r="BG783" s="19">
        <v>0.0046734869908673397</v>
      </c>
      <c r="BH783" s="19">
        <v>0.0041850318238571696</v>
      </c>
      <c r="BI783" s="19">
        <v>0.0037476281416687499</v>
      </c>
      <c r="BJ783" s="19">
        <v>0.0033559402363834601</v>
      </c>
      <c r="BK783" s="18"/>
      <c r="BL783" s="18"/>
      <c r="BM783" s="19">
        <v>0.0070150000000000004</v>
      </c>
      <c r="BN783" s="19">
        <v>0.0070130000000000001</v>
      </c>
      <c r="BO783" s="19">
        <v>0.0062589999999999998</v>
      </c>
      <c r="BP783" s="19">
        <v>0.0055859999999999998</v>
      </c>
      <c r="BQ783" s="19">
        <v>0.0052030000000000002</v>
      </c>
      <c r="BR783" s="19">
        <v>0.0050559999999999997</v>
      </c>
      <c r="BS783" s="19">
        <v>0.004914</v>
      </c>
      <c r="BT783" s="19">
        <v>0.0047759999999999999</v>
      </c>
      <c r="BU783" s="19">
        <v>0.0046410000000000002</v>
      </c>
    </row>
    <row r="784" spans="3:73" ht="14.2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0.099658368290232405</v>
      </c>
      <c r="BE784" s="19">
        <v>0.091813054954640205</v>
      </c>
      <c r="BF784" s="19">
        <v>0.083394496355212094</v>
      </c>
      <c r="BG784" s="19">
        <v>0.074678419317977293</v>
      </c>
      <c r="BH784" s="19">
        <v>0.066873313654625705</v>
      </c>
      <c r="BI784" s="19">
        <v>0.059883968085990197</v>
      </c>
      <c r="BJ784" s="19">
        <v>0.053625122455343503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0.089254</v>
      </c>
      <c r="BQ784" s="19">
        <v>0.083138000000000004</v>
      </c>
      <c r="BR784" s="19">
        <v>0.080796000000000007</v>
      </c>
      <c r="BS784" s="19">
        <v>0.078520999999999994</v>
      </c>
      <c r="BT784" s="19">
        <v>0.076309000000000002</v>
      </c>
      <c r="BU784" s="19">
        <v>0.074160000000000004</v>
      </c>
    </row>
    <row r="785" spans="3:73" ht="14.2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0.012698202386896401</v>
      </c>
      <c r="BC785" s="19">
        <v>0.012440016217143799</v>
      </c>
      <c r="BD785" s="19">
        <v>0.011460712353376701</v>
      </c>
      <c r="BE785" s="19">
        <v>0.0105585013197836</v>
      </c>
      <c r="BF785" s="19">
        <v>0.0095903670808494008</v>
      </c>
      <c r="BG785" s="19">
        <v>0.0085880182215673905</v>
      </c>
      <c r="BH785" s="19">
        <v>0.0076904310702819601</v>
      </c>
      <c r="BI785" s="19">
        <v>0.0068866563298888798</v>
      </c>
      <c r="BJ785" s="19">
        <v>0.0061668890823644998</v>
      </c>
      <c r="BK785" s="18"/>
      <c r="BL785" s="18"/>
      <c r="BM785" s="19">
        <v>0.012892000000000001</v>
      </c>
      <c r="BN785" s="19">
        <v>0.012886999999999999</v>
      </c>
      <c r="BO785" s="19">
        <v>0.011501000000000001</v>
      </c>
      <c r="BP785" s="19">
        <v>0.010264000000000001</v>
      </c>
      <c r="BQ785" s="19">
        <v>0.0095610000000000001</v>
      </c>
      <c r="BR785" s="19">
        <v>0.0092919999999999999</v>
      </c>
      <c r="BS785" s="19">
        <v>0.0090299999999999998</v>
      </c>
      <c r="BT785" s="19">
        <v>0.0087760000000000008</v>
      </c>
      <c r="BU785" s="19">
        <v>0.0085280000000000009</v>
      </c>
    </row>
    <row r="786" spans="3:73" ht="14.2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ht="14.2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0.011299595657923</v>
      </c>
      <c r="BC787" s="19">
        <v>0.0108543465036142</v>
      </c>
      <c r="BD787" s="19">
        <v>0.0103223755231039</v>
      </c>
      <c r="BE787" s="19">
        <v>0.0098164764138031404</v>
      </c>
      <c r="BF787" s="19">
        <v>0.0093353713946048196</v>
      </c>
      <c r="BG787" s="19">
        <v>0.0088778453083902704</v>
      </c>
      <c r="BH787" s="19">
        <v>0.0084427425528305396</v>
      </c>
      <c r="BI787" s="19">
        <v>0.00802896416160917</v>
      </c>
      <c r="BJ787" s="19">
        <v>0.0076354650286940204</v>
      </c>
      <c r="BK787" s="18"/>
      <c r="BL787" s="18"/>
      <c r="BM787" s="19">
        <v>0.011472</v>
      </c>
      <c r="BN787" s="19">
        <v>0.011244000000000001</v>
      </c>
      <c r="BO787" s="19">
        <v>0.010966</v>
      </c>
      <c r="BP787" s="19">
        <v>0.010694</v>
      </c>
      <c r="BQ787" s="19">
        <v>0.01043</v>
      </c>
      <c r="BR787" s="19">
        <v>0.010170999999999999</v>
      </c>
      <c r="BS787" s="19">
        <v>0.00992</v>
      </c>
      <c r="BT787" s="19">
        <v>0.0096740000000000003</v>
      </c>
      <c r="BU787" s="19">
        <v>0.0094350000000000007</v>
      </c>
    </row>
    <row r="788" spans="3:73" ht="14.2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0.0154688224903246</v>
      </c>
      <c r="BC788" s="19">
        <v>0.014859289163604</v>
      </c>
      <c r="BD788" s="19">
        <v>0.0141310361431743</v>
      </c>
      <c r="BE788" s="19">
        <v>0.0134384747669361</v>
      </c>
      <c r="BF788" s="19">
        <v>0.0127798557891884</v>
      </c>
      <c r="BG788" s="19">
        <v>0.012153515694675101</v>
      </c>
      <c r="BH788" s="19">
        <v>0.0115578724969395</v>
      </c>
      <c r="BI788" s="19">
        <v>0.0109914217426023</v>
      </c>
      <c r="BJ788" s="19">
        <v>0.010452732711469299</v>
      </c>
      <c r="BK788" s="18"/>
      <c r="BL788" s="18"/>
      <c r="BM788" s="19">
        <v>0.015703999999999999</v>
      </c>
      <c r="BN788" s="19">
        <v>0.015393</v>
      </c>
      <c r="BO788" s="19">
        <v>0.015011999999999999</v>
      </c>
      <c r="BP788" s="19">
        <v>0.01464</v>
      </c>
      <c r="BQ788" s="19">
        <v>0.014278000000000001</v>
      </c>
      <c r="BR788" s="19">
        <v>0.013924000000000001</v>
      </c>
      <c r="BS788" s="19">
        <v>0.01358</v>
      </c>
      <c r="BT788" s="19">
        <v>0.013244000000000001</v>
      </c>
      <c r="BU788" s="19">
        <v>0.012916</v>
      </c>
    </row>
    <row r="789" spans="3:73" ht="14.2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0.0537816975560865</v>
      </c>
      <c r="BC789" s="19">
        <v>0.051662484083403397</v>
      </c>
      <c r="BD789" s="19">
        <v>0.049130508316433799</v>
      </c>
      <c r="BE789" s="19">
        <v>0.046722624555457698</v>
      </c>
      <c r="BF789" s="19">
        <v>0.044432751057453701</v>
      </c>
      <c r="BG789" s="19">
        <v>0.0422551041453222</v>
      </c>
      <c r="BH789" s="19">
        <v>0.040184183599689602</v>
      </c>
      <c r="BI789" s="19">
        <v>0.038214758766659598</v>
      </c>
      <c r="BJ789" s="19">
        <v>0.036341855346422099</v>
      </c>
      <c r="BK789" s="18"/>
      <c r="BL789" s="18"/>
      <c r="BM789" s="19">
        <v>0.054600999999999997</v>
      </c>
      <c r="BN789" s="19">
        <v>0.053517000000000002</v>
      </c>
      <c r="BO789" s="19">
        <v>0.052192000000000002</v>
      </c>
      <c r="BP789" s="19">
        <v>0.050900000000000001</v>
      </c>
      <c r="BQ789" s="19">
        <v>0.049640999999999998</v>
      </c>
      <c r="BR789" s="19">
        <v>0.048411999999999997</v>
      </c>
      <c r="BS789" s="19">
        <v>0.047213999999999999</v>
      </c>
      <c r="BT789" s="19">
        <v>0.046045000000000003</v>
      </c>
      <c r="BU789" s="19">
        <v>0.044905</v>
      </c>
    </row>
    <row r="790" spans="3:73" ht="14.2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0.0067362547182976398</v>
      </c>
      <c r="BC790" s="19">
        <v>0.0064708194047403801</v>
      </c>
      <c r="BD790" s="19">
        <v>0.0061536848686079403</v>
      </c>
      <c r="BE790" s="19">
        <v>0.0058520930802663396</v>
      </c>
      <c r="BF790" s="19">
        <v>0.0055652822904219299</v>
      </c>
      <c r="BG790" s="19">
        <v>0.0052925280830759397</v>
      </c>
      <c r="BH790" s="19">
        <v>0.0050331415458215404</v>
      </c>
      <c r="BI790" s="19">
        <v>0.0047864675298145897</v>
      </c>
      <c r="BJ790" s="19">
        <v>0.0045518829950230997</v>
      </c>
      <c r="BK790" s="18"/>
      <c r="BL790" s="18"/>
      <c r="BM790" s="19">
        <v>0.0068389999999999996</v>
      </c>
      <c r="BN790" s="19">
        <v>0.0067029999999999998</v>
      </c>
      <c r="BO790" s="19">
        <v>0.0065370000000000003</v>
      </c>
      <c r="BP790" s="19">
        <v>0.0063749999999999996</v>
      </c>
      <c r="BQ790" s="19">
        <v>0.0062179999999999996</v>
      </c>
      <c r="BR790" s="19">
        <v>0.0060639999999999999</v>
      </c>
      <c r="BS790" s="19">
        <v>0.005914</v>
      </c>
      <c r="BT790" s="19">
        <v>0.0057670000000000004</v>
      </c>
      <c r="BU790" s="19">
        <v>0.0056239999999999997</v>
      </c>
    </row>
    <row r="791" spans="3:73" ht="14.2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0.0228363440579459</v>
      </c>
      <c r="BC791" s="19">
        <v>0.0238012226802258</v>
      </c>
      <c r="BD791" s="19">
        <v>0.024711217771705801</v>
      </c>
      <c r="BE791" s="19">
        <v>0.025945371171182102</v>
      </c>
      <c r="BF791" s="19">
        <v>0.026978943841009899</v>
      </c>
      <c r="BG791" s="19">
        <v>0.027794017726842798</v>
      </c>
      <c r="BH791" s="19">
        <v>0.028462415032762901</v>
      </c>
      <c r="BI791" s="19">
        <v>0.029049620344083898</v>
      </c>
      <c r="BJ791" s="19">
        <v>0.029590608962185402</v>
      </c>
      <c r="BK791" s="18"/>
      <c r="BL791" s="18"/>
      <c r="BM791" s="19">
        <v>0.023012863684920101</v>
      </c>
      <c r="BN791" s="19">
        <v>0.024914614564373001</v>
      </c>
      <c r="BO791" s="19">
        <v>0.026867595009983199</v>
      </c>
      <c r="BP791" s="19">
        <v>0.028128703124937999</v>
      </c>
      <c r="BQ791" s="19">
        <v>0.028656617299769399</v>
      </c>
      <c r="BR791" s="19">
        <v>0.0289525468008879</v>
      </c>
      <c r="BS791" s="19">
        <v>0.029097923133699698</v>
      </c>
      <c r="BT791" s="19">
        <v>0.029161584161307</v>
      </c>
      <c r="BU791" s="19">
        <v>0.029178504792534001</v>
      </c>
    </row>
    <row r="792" spans="3:73" ht="14.2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0.022311099928141401</v>
      </c>
      <c r="BC792" s="19">
        <v>0.023253785994947498</v>
      </c>
      <c r="BD792" s="19">
        <v>0.024142850871909</v>
      </c>
      <c r="BE792" s="19">
        <v>0.025348618299151401</v>
      </c>
      <c r="BF792" s="19">
        <v>0.0263584184256958</v>
      </c>
      <c r="BG792" s="19">
        <v>0.0271547453188925</v>
      </c>
      <c r="BH792" s="19">
        <v>0.027807769246288399</v>
      </c>
      <c r="BI792" s="19">
        <v>0.028381468624173699</v>
      </c>
      <c r="BJ792" s="19">
        <v>0.028910014309412198</v>
      </c>
      <c r="BK792" s="18"/>
      <c r="BL792" s="18"/>
      <c r="BM792" s="19">
        <v>0.022483559540183801</v>
      </c>
      <c r="BN792" s="19">
        <v>0.024341569465163099</v>
      </c>
      <c r="BO792" s="19">
        <v>0.026249630657845701</v>
      </c>
      <c r="BP792" s="19">
        <v>0.027481732832412301</v>
      </c>
      <c r="BQ792" s="19">
        <v>0.027997504791280201</v>
      </c>
      <c r="BR792" s="19">
        <v>0.028286627807398101</v>
      </c>
      <c r="BS792" s="19">
        <v>0.028428660432249099</v>
      </c>
      <c r="BT792" s="19">
        <v>0.028490857233316302</v>
      </c>
      <c r="BU792" s="19">
        <v>0.028507388683936999</v>
      </c>
    </row>
    <row r="793" spans="3:73" ht="14.2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0.00238556350753858</v>
      </c>
      <c r="BC793" s="19">
        <v>0.0024863580666271302</v>
      </c>
      <c r="BD793" s="19">
        <v>0.0025814193022069302</v>
      </c>
      <c r="BE793" s="19">
        <v>0.0027103432361354398</v>
      </c>
      <c r="BF793" s="19">
        <v>0.0028183138130926902</v>
      </c>
      <c r="BG793" s="19">
        <v>0.00290345925113026</v>
      </c>
      <c r="BH793" s="19">
        <v>0.0029732823461709598</v>
      </c>
      <c r="BI793" s="19">
        <v>0.0030346238445546699</v>
      </c>
      <c r="BJ793" s="19">
        <v>0.0030911373872680699</v>
      </c>
      <c r="BK793" s="18"/>
      <c r="BL793" s="18"/>
      <c r="BM793" s="19">
        <v>0.0024040033584799298</v>
      </c>
      <c r="BN793" s="19">
        <v>0.0026026668348639202</v>
      </c>
      <c r="BO793" s="19">
        <v>0.0028066819289684001</v>
      </c>
      <c r="BP793" s="19">
        <v>0.0029384216457314298</v>
      </c>
      <c r="BQ793" s="19">
        <v>0.00299356938686699</v>
      </c>
      <c r="BR793" s="19">
        <v>0.0030244832063856101</v>
      </c>
      <c r="BS793" s="19">
        <v>0.0030396697210718299</v>
      </c>
      <c r="BT793" s="19">
        <v>0.0030463199722647002</v>
      </c>
      <c r="BU793" s="19">
        <v>0.0030480875599432399</v>
      </c>
    </row>
    <row r="794" spans="3:73" ht="14.2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0.024147225293910401</v>
      </c>
      <c r="BC794" s="19">
        <v>0.025167491121678199</v>
      </c>
      <c r="BD794" s="19">
        <v>0.026129722923518301</v>
      </c>
      <c r="BE794" s="19">
        <v>0.027434720786082601</v>
      </c>
      <c r="BF794" s="19">
        <v>0.028527623925597</v>
      </c>
      <c r="BG794" s="19">
        <v>0.029389485732480299</v>
      </c>
      <c r="BH794" s="19">
        <v>0.0300962512414839</v>
      </c>
      <c r="BI794" s="19">
        <v>0.0307171640684351</v>
      </c>
      <c r="BJ794" s="19">
        <v>0.031289207212013198</v>
      </c>
      <c r="BK794" s="18"/>
      <c r="BL794" s="18"/>
      <c r="BM794" s="19">
        <v>0.0243338777278783</v>
      </c>
      <c r="BN794" s="19">
        <v>0.0263447953608635</v>
      </c>
      <c r="BO794" s="19">
        <v>0.028409883305548798</v>
      </c>
      <c r="BP794" s="19">
        <v>0.0297433831728884</v>
      </c>
      <c r="BQ794" s="19">
        <v>0.0303016013571633</v>
      </c>
      <c r="BR794" s="19">
        <v>0.030614518184677</v>
      </c>
      <c r="BS794" s="19">
        <v>0.030768239596996799</v>
      </c>
      <c r="BT794" s="19">
        <v>0.030835554976909402</v>
      </c>
      <c r="BU794" s="19">
        <v>0.030853446908004699</v>
      </c>
    </row>
    <row r="795" spans="3:73" ht="14.2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0.00086510352302485995</v>
      </c>
      <c r="BC795" s="19">
        <v>0.00090165577908246999</v>
      </c>
      <c r="BD795" s="19">
        <v>0.00093612889603924198</v>
      </c>
      <c r="BE795" s="19">
        <v>0.00098288202128253501</v>
      </c>
      <c r="BF795" s="19">
        <v>0.00102203659680047</v>
      </c>
      <c r="BG795" s="19">
        <v>0.0010529138374117601</v>
      </c>
      <c r="BH795" s="19">
        <v>0.00107823456575009</v>
      </c>
      <c r="BI795" s="19">
        <v>0.0011004795180188801</v>
      </c>
      <c r="BJ795" s="19">
        <v>0.0011209736548320401</v>
      </c>
      <c r="BK795" s="18"/>
      <c r="BL795" s="18"/>
      <c r="BM795" s="19">
        <v>0.00087179057200218097</v>
      </c>
      <c r="BN795" s="19">
        <v>0.00094383412597718295</v>
      </c>
      <c r="BO795" s="19">
        <v>0.00101781839682233</v>
      </c>
      <c r="BP795" s="19">
        <v>0.0010655926408254101</v>
      </c>
      <c r="BQ795" s="19">
        <v>0.00108559148176696</v>
      </c>
      <c r="BR795" s="19">
        <v>0.00109680210520717</v>
      </c>
      <c r="BS795" s="19">
        <v>0.0011023093605437</v>
      </c>
      <c r="BT795" s="19">
        <v>0.0011047210153656199</v>
      </c>
      <c r="BU795" s="19">
        <v>0.0011053620154157699</v>
      </c>
    </row>
    <row r="796" spans="3:73" ht="14.2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ht="14.2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ht="14.2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0.029260592404175299</v>
      </c>
      <c r="BC798" s="19">
        <v>0.030496907639853701</v>
      </c>
      <c r="BD798" s="19">
        <v>0.031662899682802101</v>
      </c>
      <c r="BE798" s="19">
        <v>0.033244241227432497</v>
      </c>
      <c r="BF798" s="19">
        <v>0.034568575303639597</v>
      </c>
      <c r="BG798" s="19">
        <v>0.035612943206493303</v>
      </c>
      <c r="BH798" s="19">
        <v>0.036469371936194997</v>
      </c>
      <c r="BI798" s="19">
        <v>0.037221767995237201</v>
      </c>
      <c r="BJ798" s="19">
        <v>0.037914945826566099</v>
      </c>
      <c r="BK798" s="18"/>
      <c r="BL798" s="18"/>
      <c r="BM798" s="19">
        <v>0.0294867699763437</v>
      </c>
      <c r="BN798" s="19">
        <v>0.031923515420218297</v>
      </c>
      <c r="BO798" s="19">
        <v>0.034425902170361899</v>
      </c>
      <c r="BP798" s="19">
        <v>0.036041781246086903</v>
      </c>
      <c r="BQ798" s="19">
        <v>0.0367182065729664</v>
      </c>
      <c r="BR798" s="19">
        <v>0.037097386028777199</v>
      </c>
      <c r="BS798" s="19">
        <v>0.037283659173411199</v>
      </c>
      <c r="BT798" s="19">
        <v>0.037365229120689999</v>
      </c>
      <c r="BU798" s="19">
        <v>0.0373869098105718</v>
      </c>
    </row>
    <row r="799" spans="3:73" ht="14.2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0.019756799301953398</v>
      </c>
      <c r="BC799" s="19">
        <v>0.020591561348047901</v>
      </c>
      <c r="BD799" s="19">
        <v>0.0213788410607074</v>
      </c>
      <c r="BE799" s="19">
        <v>0.0224465654284699</v>
      </c>
      <c r="BF799" s="19">
        <v>0.023340757938004601</v>
      </c>
      <c r="BG799" s="19">
        <v>0.0240459168346214</v>
      </c>
      <c r="BH799" s="19">
        <v>0.0246241788976523</v>
      </c>
      <c r="BI799" s="19">
        <v>0.025132197933246302</v>
      </c>
      <c r="BJ799" s="19">
        <v>0.025600232725739799</v>
      </c>
      <c r="BK799" s="18"/>
      <c r="BL799" s="18"/>
      <c r="BM799" s="19">
        <v>0.019909514764381901</v>
      </c>
      <c r="BN799" s="19">
        <v>0.021554809227993299</v>
      </c>
      <c r="BO799" s="19">
        <v>0.023244424807731201</v>
      </c>
      <c r="BP799" s="19">
        <v>0.024335468972331499</v>
      </c>
      <c r="BQ799" s="19">
        <v>0.024792192446734199</v>
      </c>
      <c r="BR799" s="19">
        <v>0.0250482150283826</v>
      </c>
      <c r="BS799" s="19">
        <v>0.025173986956819501</v>
      </c>
      <c r="BT799" s="19">
        <v>0.0252290631171103</v>
      </c>
      <c r="BU799" s="19">
        <v>0.025243701953973501</v>
      </c>
    </row>
    <row r="800" spans="3:73" ht="14.2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0.0034479166883405799</v>
      </c>
      <c r="BC800" s="19">
        <v>0.0035935976736830898</v>
      </c>
      <c r="BD800" s="19">
        <v>0.0037309921381499201</v>
      </c>
      <c r="BE800" s="19">
        <v>0.0039173292370843701</v>
      </c>
      <c r="BF800" s="19">
        <v>0.0040733819068054797</v>
      </c>
      <c r="BG800" s="19">
        <v>0.0041964448124116698</v>
      </c>
      <c r="BH800" s="19">
        <v>0.0042973619390619102</v>
      </c>
      <c r="BI800" s="19">
        <v>0.0043860203945155704</v>
      </c>
      <c r="BJ800" s="19">
        <v>0.0044677008806661301</v>
      </c>
      <c r="BK800" s="18"/>
      <c r="BL800" s="18"/>
      <c r="BM800" s="19">
        <v>0.0034745682822261799</v>
      </c>
      <c r="BN800" s="19">
        <v>0.0037617017470966399</v>
      </c>
      <c r="BO800" s="19">
        <v>0.0040565700435864702</v>
      </c>
      <c r="BP800" s="19">
        <v>0.0042469768663388804</v>
      </c>
      <c r="BQ800" s="19">
        <v>0.0043266833241148803</v>
      </c>
      <c r="BR800" s="19">
        <v>0.0043713638676769204</v>
      </c>
      <c r="BS800" s="19">
        <v>0.0043933133304595697</v>
      </c>
      <c r="BT800" s="19">
        <v>0.0044029251106520104</v>
      </c>
      <c r="BU800" s="19">
        <v>0.0044054798508782397</v>
      </c>
    </row>
    <row r="801" spans="3:73" ht="14.2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0.017175330159371099</v>
      </c>
      <c r="BC801" s="19">
        <v>0.017901020263677</v>
      </c>
      <c r="BD801" s="19">
        <v>0.018585432186177201</v>
      </c>
      <c r="BE801" s="19">
        <v>0.019513645215790399</v>
      </c>
      <c r="BF801" s="19">
        <v>0.0202910004615755</v>
      </c>
      <c r="BG801" s="19">
        <v>0.020904021664003399</v>
      </c>
      <c r="BH801" s="19">
        <v>0.021406726666944501</v>
      </c>
      <c r="BI801" s="19">
        <v>0.021848366759057401</v>
      </c>
      <c r="BJ801" s="19">
        <v>0.0222552470418548</v>
      </c>
      <c r="BK801" s="18"/>
      <c r="BL801" s="18"/>
      <c r="BM801" s="19">
        <v>0.017308091465874299</v>
      </c>
      <c r="BN801" s="19">
        <v>0.018738407945280901</v>
      </c>
      <c r="BO801" s="19">
        <v>0.020207254441157702</v>
      </c>
      <c r="BP801" s="19">
        <v>0.021155740248958201</v>
      </c>
      <c r="BQ801" s="19">
        <v>0.021552787176677201</v>
      </c>
      <c r="BR801" s="19">
        <v>0.021775357255001099</v>
      </c>
      <c r="BS801" s="19">
        <v>0.021884695532050399</v>
      </c>
      <c r="BT801" s="19">
        <v>0.021932575313711799</v>
      </c>
      <c r="BU801" s="19">
        <v>0.021945301406254902</v>
      </c>
    </row>
    <row r="802" spans="3:73" ht="14.2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0.061089593550214302</v>
      </c>
      <c r="BC802" s="19">
        <v>0.063670744136788193</v>
      </c>
      <c r="BD802" s="19">
        <v>0.066105075574873898</v>
      </c>
      <c r="BE802" s="19">
        <v>0.069406564173982305</v>
      </c>
      <c r="BF802" s="19">
        <v>0.072171478476559706</v>
      </c>
      <c r="BG802" s="19">
        <v>0.074351885825151703</v>
      </c>
      <c r="BH802" s="19">
        <v>0.076139918079575306</v>
      </c>
      <c r="BI802" s="19">
        <v>0.077710753310823499</v>
      </c>
      <c r="BJ802" s="19">
        <v>0.079157954084785098</v>
      </c>
      <c r="BK802" s="18"/>
      <c r="BL802" s="18"/>
      <c r="BM802" s="19">
        <v>0.061561801896617203</v>
      </c>
      <c r="BN802" s="19">
        <v>0.066649183132630602</v>
      </c>
      <c r="BO802" s="19">
        <v>0.071873608781986204</v>
      </c>
      <c r="BP802" s="19">
        <v>0.0752472040461835</v>
      </c>
      <c r="BQ802" s="19">
        <v>0.076659429325677306</v>
      </c>
      <c r="BR802" s="19">
        <v>0.077451071494711698</v>
      </c>
      <c r="BS802" s="19">
        <v>0.0778399682927612</v>
      </c>
      <c r="BT802" s="19">
        <v>0.078010268157382601</v>
      </c>
      <c r="BU802" s="19">
        <v>0.078055532604338201</v>
      </c>
    </row>
    <row r="803" spans="3:73" ht="14.2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0.082200181146361698</v>
      </c>
      <c r="BC803" s="19">
        <v>0.085673293888681806</v>
      </c>
      <c r="BD803" s="19">
        <v>0.088948851533642306</v>
      </c>
      <c r="BE803" s="19">
        <v>0.093391227806391405</v>
      </c>
      <c r="BF803" s="19">
        <v>0.097111607061152905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0.082835569423764993</v>
      </c>
      <c r="BN803" s="19">
        <v>0.089680985064272897</v>
      </c>
      <c r="BO803" s="19">
        <v>0.096710803234690598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ht="14.2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0.033913551701942997</v>
      </c>
      <c r="BC804" s="19">
        <v>0.035346463246792602</v>
      </c>
      <c r="BD804" s="19">
        <v>0.0366978689492602</v>
      </c>
      <c r="BE804" s="19">
        <v>0.038530672177967303</v>
      </c>
      <c r="BF804" s="19">
        <v>0.040065599138560497</v>
      </c>
      <c r="BG804" s="19">
        <v>0.0412760402800127</v>
      </c>
      <c r="BH804" s="19">
        <v>0.042268656547058102</v>
      </c>
      <c r="BI804" s="19">
        <v>0.043140697081856902</v>
      </c>
      <c r="BJ804" s="19">
        <v>0.043944102628015798</v>
      </c>
      <c r="BK804" s="18"/>
      <c r="BL804" s="18"/>
      <c r="BM804" s="19">
        <v>0.034175695567029603</v>
      </c>
      <c r="BN804" s="19">
        <v>0.036999927265890402</v>
      </c>
      <c r="BO804" s="19">
        <v>0.039900238416704398</v>
      </c>
      <c r="BP804" s="19">
        <v>0.041773071263754499</v>
      </c>
      <c r="BQ804" s="19">
        <v>0.0425570603566192</v>
      </c>
      <c r="BR804" s="19">
        <v>0.042996536150592499</v>
      </c>
      <c r="BS804" s="19">
        <v>0.043212430068048799</v>
      </c>
      <c r="BT804" s="19">
        <v>0.043306971100784998</v>
      </c>
      <c r="BU804" s="19">
        <v>0.043332099409435901</v>
      </c>
    </row>
    <row r="805" spans="3:73" ht="14.2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ht="14.2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ht="14.2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ht="14.2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ht="14.2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0.071121582126324606</v>
      </c>
      <c r="BC809" s="19">
        <v>0.074126603157812193</v>
      </c>
      <c r="BD809" s="19">
        <v>0.076960694747473898</v>
      </c>
      <c r="BE809" s="19">
        <v>0.080804345996317098</v>
      </c>
      <c r="BF809" s="19">
        <v>0.084023307986649795</v>
      </c>
      <c r="BG809" s="19">
        <v>0.086561776673370699</v>
      </c>
      <c r="BH809" s="19">
        <v>0.088643435355924796</v>
      </c>
      <c r="BI809" s="19">
        <v>0.090472229433827905</v>
      </c>
      <c r="BJ809" s="19">
        <v>0.092157086096263996</v>
      </c>
      <c r="BK809" s="18"/>
      <c r="BL809" s="18"/>
      <c r="BM809" s="19">
        <v>0.071671335410602499</v>
      </c>
      <c r="BN809" s="19">
        <v>0.077594154361552606</v>
      </c>
      <c r="BO809" s="19">
        <v>0.083676522835294406</v>
      </c>
      <c r="BP809" s="19">
        <v>0.087604121935235396</v>
      </c>
      <c r="BQ809" s="19">
        <v>0.0892482595102191</v>
      </c>
      <c r="BR809" s="19">
        <v>0.090169903284020997</v>
      </c>
      <c r="BS809" s="19">
        <v>0.090622663794506494</v>
      </c>
      <c r="BT809" s="19">
        <v>0.090820929900137307</v>
      </c>
      <c r="BU809" s="19">
        <v>0.090873627567521695</v>
      </c>
    </row>
    <row r="810" spans="3:73" ht="14.2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ht="14.2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ht="14.2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ht="14.2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ht="14.2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ht="14.2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0.035715594794283601</v>
      </c>
      <c r="BC815" s="19">
        <v>0.037224646059738901</v>
      </c>
      <c r="BD815" s="19">
        <v>0.038647860558067397</v>
      </c>
      <c r="BE815" s="19">
        <v>0.040578052300573902</v>
      </c>
      <c r="BF815" s="19">
        <v>0.042194539710833097</v>
      </c>
      <c r="BG815" s="19">
        <v>0.043469299302821202</v>
      </c>
      <c r="BH815" s="19">
        <v>0.044514659596888502</v>
      </c>
      <c r="BI815" s="19">
        <v>0.0454330372017702</v>
      </c>
      <c r="BJ815" s="19">
        <v>0.046279132803737202</v>
      </c>
      <c r="BK815" s="18"/>
      <c r="BL815" s="18"/>
      <c r="BM815" s="19">
        <v>0.035991668033250997</v>
      </c>
      <c r="BN815" s="19">
        <v>0.038965969157715698</v>
      </c>
      <c r="BO815" s="19">
        <v>0.042020392320179102</v>
      </c>
      <c r="BP815" s="19">
        <v>0.043992740709712</v>
      </c>
      <c r="BQ815" s="19">
        <v>0.0448183881385033</v>
      </c>
      <c r="BR815" s="19">
        <v>0.045281216081662898</v>
      </c>
      <c r="BS815" s="19">
        <v>0.045508581818586899</v>
      </c>
      <c r="BT815" s="19">
        <v>0.045608146418788999</v>
      </c>
      <c r="BU815" s="19">
        <v>0.045634609954591197</v>
      </c>
    </row>
    <row r="816" spans="3:73" ht="14.2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0.041466016344024199</v>
      </c>
      <c r="BC816" s="19">
        <v>0.0432180337694026</v>
      </c>
      <c r="BD816" s="19">
        <v>0.044870394201551499</v>
      </c>
      <c r="BE816" s="19">
        <v>0.047111358206291698</v>
      </c>
      <c r="BF816" s="19">
        <v>0.048988109629858799</v>
      </c>
      <c r="BG816" s="19">
        <v>0.050468113039589001</v>
      </c>
      <c r="BH816" s="19">
        <v>0.051681782510554199</v>
      </c>
      <c r="BI816" s="19">
        <v>0.052748024329943098</v>
      </c>
      <c r="BJ816" s="19">
        <v>0.053730346317350797</v>
      </c>
      <c r="BK816" s="18"/>
      <c r="BL816" s="18"/>
      <c r="BM816" s="19">
        <v>0.0417865390038063</v>
      </c>
      <c r="BN816" s="19">
        <v>0.045239720163170502</v>
      </c>
      <c r="BO816" s="19">
        <v>0.048785923481518799</v>
      </c>
      <c r="BP816" s="19">
        <v>0.051075831602258599</v>
      </c>
      <c r="BQ816" s="19">
        <v>0.052034413139927502</v>
      </c>
      <c r="BR816" s="19">
        <v>0.052571759113473997</v>
      </c>
      <c r="BS816" s="19">
        <v>0.052835732075919802</v>
      </c>
      <c r="BT816" s="19">
        <v>0.052951327164369198</v>
      </c>
      <c r="BU816" s="19">
        <v>0.052982051485619103</v>
      </c>
    </row>
    <row r="817" spans="3:73" ht="14.2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0.083270692178418301</v>
      </c>
      <c r="BC817" s="19">
        <v>0.086789036031599501</v>
      </c>
      <c r="BD817" s="19">
        <v>0.090107251983952599</v>
      </c>
      <c r="BE817" s="19">
        <v>0.094607482299627094</v>
      </c>
      <c r="BF817" s="19">
        <v>0.098376312871406593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0.083914355257058301</v>
      </c>
      <c r="BN817" s="19">
        <v>0.090848920250523504</v>
      </c>
      <c r="BO817" s="19">
        <v>0.097970289288589404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ht="14.2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0.080280328884215699</v>
      </c>
      <c r="BC818" s="19">
        <v>0.083672324246232804</v>
      </c>
      <c r="BD818" s="19">
        <v>0.086871378571288502</v>
      </c>
      <c r="BE818" s="19">
        <v>0.091209999523579693</v>
      </c>
      <c r="BF818" s="19">
        <v>0.094843486287002496</v>
      </c>
      <c r="BG818" s="19">
        <v>0.097708848599531994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0.080900877150262604</v>
      </c>
      <c r="BN818" s="19">
        <v>0.087586412526280993</v>
      </c>
      <c r="BO818" s="19">
        <v>0.094452043560749196</v>
      </c>
      <c r="BP818" s="19">
        <v>0.098885422825408603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ht="14.2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ht="14.2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ht="14.2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0.0281642256458291</v>
      </c>
      <c r="BC821" s="19">
        <v>0.0293542173174282</v>
      </c>
      <c r="BD821" s="19">
        <v>0.030476520739902702</v>
      </c>
      <c r="BE821" s="19">
        <v>0.031998610910563101</v>
      </c>
      <c r="BF821" s="19">
        <v>0.033273323439877399</v>
      </c>
      <c r="BG821" s="19">
        <v>0.034278559863902498</v>
      </c>
      <c r="BH821" s="19">
        <v>0.035102899018069803</v>
      </c>
      <c r="BI821" s="19">
        <v>0.035827103507479703</v>
      </c>
      <c r="BJ821" s="19">
        <v>0.036494308620232202</v>
      </c>
      <c r="BK821" s="18"/>
      <c r="BL821" s="18"/>
      <c r="BM821" s="19">
        <v>0.0283819285580117</v>
      </c>
      <c r="BN821" s="19">
        <v>0.030727371451811099</v>
      </c>
      <c r="BO821" s="19">
        <v>0.033135996134137001</v>
      </c>
      <c r="BP821" s="19">
        <v>0.0346913297472254</v>
      </c>
      <c r="BQ821" s="19">
        <v>0.035342410056046103</v>
      </c>
      <c r="BR821" s="19">
        <v>0.035707382015813902</v>
      </c>
      <c r="BS821" s="19">
        <v>0.035886675681668798</v>
      </c>
      <c r="BT821" s="19">
        <v>0.035965189280072599</v>
      </c>
      <c r="BU821" s="19">
        <v>0.035986057614983698</v>
      </c>
    </row>
    <row r="822" spans="3:73" ht="14.2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ht="14.2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ht="14.2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0.014277356186254401</v>
      </c>
      <c r="BC824" s="19">
        <v>0.014880601422525</v>
      </c>
      <c r="BD824" s="19">
        <v>0.0154495332977777</v>
      </c>
      <c r="BE824" s="19">
        <v>0.016221129995922099</v>
      </c>
      <c r="BF824" s="19">
        <v>0.016867322972961899</v>
      </c>
      <c r="BG824" s="19">
        <v>0.0173769098033504</v>
      </c>
      <c r="BH824" s="19">
        <v>0.017794793961442502</v>
      </c>
      <c r="BI824" s="19">
        <v>0.0181619166218349</v>
      </c>
      <c r="BJ824" s="19">
        <v>0.018500144456104099</v>
      </c>
      <c r="BK824" s="18"/>
      <c r="BL824" s="18"/>
      <c r="BM824" s="19">
        <v>0.0143877168281234</v>
      </c>
      <c r="BN824" s="19">
        <v>0.015576697630592299</v>
      </c>
      <c r="BO824" s="19">
        <v>0.016797707323563001</v>
      </c>
      <c r="BP824" s="19">
        <v>0.0175861561970297</v>
      </c>
      <c r="BQ824" s="19">
        <v>0.017916209847067301</v>
      </c>
      <c r="BR824" s="19">
        <v>0.018101225928571801</v>
      </c>
      <c r="BS824" s="19">
        <v>0.018192115682174201</v>
      </c>
      <c r="BT824" s="19">
        <v>0.018231916762593399</v>
      </c>
      <c r="BU824" s="19">
        <v>0.018242495595979</v>
      </c>
    </row>
    <row r="825" spans="3:73" ht="14.2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ht="14.2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ht="14.2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ht="14.2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ht="14.2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ht="14.2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ht="14.2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ht="14.2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ht="14.2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ht="14.2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ht="14.2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ht="14.2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ht="14.2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ht="14.2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0.065846770900000004</v>
      </c>
      <c r="BC838" s="19">
        <v>0.065283598900000003</v>
      </c>
      <c r="BD838" s="19">
        <v>0.064808207699999995</v>
      </c>
      <c r="BE838" s="19">
        <v>0.064115611899999994</v>
      </c>
      <c r="BF838" s="19">
        <v>0.063212751999999997</v>
      </c>
      <c r="BG838" s="19">
        <v>0.062322649399999999</v>
      </c>
      <c r="BH838" s="19">
        <v>0.061445039700000002</v>
      </c>
      <c r="BI838" s="19">
        <v>0.060579790699999997</v>
      </c>
      <c r="BJ838" s="19">
        <v>0.0597267041</v>
      </c>
      <c r="BK838" s="18"/>
      <c r="BL838" s="18"/>
      <c r="BM838" s="19">
        <v>0.065743192199999995</v>
      </c>
      <c r="BN838" s="19">
        <v>0.066081492000000006</v>
      </c>
      <c r="BO838" s="19">
        <v>0.064340417999999996</v>
      </c>
      <c r="BP838" s="19">
        <v>0.062644953000000003</v>
      </c>
      <c r="BQ838" s="19">
        <v>0.061758552000000001</v>
      </c>
      <c r="BR838" s="19">
        <v>0.061644198999999997</v>
      </c>
      <c r="BS838" s="19">
        <v>0.061530506999999998</v>
      </c>
      <c r="BT838" s="19">
        <v>0.061417475999999999</v>
      </c>
      <c r="BU838" s="19">
        <v>0.061303784</v>
      </c>
    </row>
    <row r="839" spans="3:73" ht="14.2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0.049111131699999998</v>
      </c>
      <c r="BC839" s="19">
        <v>0.048691095699999999</v>
      </c>
      <c r="BD839" s="19">
        <v>0.048336530099999997</v>
      </c>
      <c r="BE839" s="19">
        <v>0.047819964700000002</v>
      </c>
      <c r="BF839" s="19">
        <v>0.047146576000000003</v>
      </c>
      <c r="BG839" s="19">
        <v>0.046482702200000003</v>
      </c>
      <c r="BH839" s="19">
        <v>0.045828146100000001</v>
      </c>
      <c r="BI839" s="19">
        <v>0.045182809099999999</v>
      </c>
      <c r="BJ839" s="19">
        <v>0.044546543299999998</v>
      </c>
      <c r="BK839" s="18"/>
      <c r="BL839" s="18"/>
      <c r="BM839" s="19">
        <v>0.049033878599999997</v>
      </c>
      <c r="BN839" s="19">
        <v>0.049286195999999997</v>
      </c>
      <c r="BO839" s="19">
        <v>0.047987634000000001</v>
      </c>
      <c r="BP839" s="19">
        <v>0.046723089000000002</v>
      </c>
      <c r="BQ839" s="19">
        <v>0.046061975999999998</v>
      </c>
      <c r="BR839" s="19">
        <v>0.045976687000000002</v>
      </c>
      <c r="BS839" s="19">
        <v>0.045891890999999997</v>
      </c>
      <c r="BT839" s="19">
        <v>0.045807588000000003</v>
      </c>
      <c r="BU839" s="19">
        <v>0.045722791999999998</v>
      </c>
    </row>
    <row r="840" spans="3:73" ht="14.2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ht="14.2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ht="14.2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ht="14.2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ht="14.2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ht="14.2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ht="14.2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ht="14.2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ht="14.2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ht="14.2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ht="14.2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0.0213302808</v>
      </c>
      <c r="BC850" s="19">
        <v>0.0226358646272064</v>
      </c>
      <c r="BD850" s="19">
        <v>0.024021360629308399</v>
      </c>
      <c r="BE850" s="19">
        <v>0.025868378061446401</v>
      </c>
      <c r="BF850" s="19">
        <v>0.027857413818327299</v>
      </c>
      <c r="BG850" s="19">
        <v>0.0304405482294593</v>
      </c>
      <c r="BH850" s="19">
        <v>0.033263208945132398</v>
      </c>
      <c r="BI850" s="19">
        <v>0.036347606520987598</v>
      </c>
      <c r="BJ850" s="19">
        <v>0.039718011030859299</v>
      </c>
      <c r="BK850" s="18"/>
      <c r="BL850" s="18"/>
      <c r="BM850" s="19">
        <v>0.022609766399999998</v>
      </c>
      <c r="BN850" s="19">
        <v>0.025527000000000001</v>
      </c>
      <c r="BO850" s="19">
        <v>0.028542000000000001</v>
      </c>
      <c r="BP850" s="19">
        <v>0.030752999999999999</v>
      </c>
      <c r="BQ850" s="19">
        <v>0.033165</v>
      </c>
      <c r="BR850" s="19">
        <v>0.034169999999999999</v>
      </c>
      <c r="BS850" s="19">
        <v>0.035174999999999998</v>
      </c>
      <c r="BT850" s="19">
        <v>0.036380999999999997</v>
      </c>
      <c r="BU850" s="19">
        <v>0.037386000000000003</v>
      </c>
    </row>
    <row r="851" spans="3:73" ht="14.2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0.080015083200000003</v>
      </c>
      <c r="BC851" s="19">
        <v>0.084912646412505594</v>
      </c>
      <c r="BD851" s="19">
        <v>0.090109979674122195</v>
      </c>
      <c r="BE851" s="19">
        <v>0.097038592330002796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0.084814745600000005</v>
      </c>
      <c r="BN851" s="19">
        <v>0.095757999999999996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ht="14.2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ht="14.2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ht="14.2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ht="14.2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ht="14.2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ht="14.2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ht="14.2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ht="14.2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0.013274725500000001</v>
      </c>
      <c r="BC859" s="19">
        <v>0.0135382725</v>
      </c>
      <c r="BD859" s="19">
        <v>0.0131152905</v>
      </c>
      <c r="BE859" s="19">
        <v>0.012705525</v>
      </c>
      <c r="BF859" s="19">
        <v>0.012135285000000001</v>
      </c>
      <c r="BG859" s="19">
        <v>0.0114269805</v>
      </c>
      <c r="BH859" s="19">
        <v>0.0107600265</v>
      </c>
      <c r="BI859" s="19">
        <v>0.010131993000000001</v>
      </c>
      <c r="BJ859" s="19">
        <v>0.0095406255000000002</v>
      </c>
      <c r="BK859" s="18"/>
      <c r="BL859" s="18"/>
      <c r="BM859" s="19">
        <v>0.013274725500000001</v>
      </c>
      <c r="BN859" s="19">
        <v>0.013538339999999999</v>
      </c>
      <c r="BO859" s="19">
        <v>0.012389219999999999</v>
      </c>
      <c r="BP859" s="19">
        <v>0.01133757</v>
      </c>
      <c r="BQ859" s="19">
        <v>0.010828755000000001</v>
      </c>
      <c r="BR859" s="19">
        <v>0.01079082</v>
      </c>
      <c r="BS859" s="19">
        <v>0.010753155</v>
      </c>
      <c r="BT859" s="19">
        <v>0.010715489999999999</v>
      </c>
      <c r="BU859" s="19">
        <v>0.01067796</v>
      </c>
    </row>
    <row r="860" spans="3:73" ht="14.2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ht="14.2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ht="14.2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ht="14.2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ht="14.2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ht="14.2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0.051499999999999997</v>
      </c>
      <c r="BC865" s="19">
        <v>0.049700000000000001</v>
      </c>
      <c r="BD865" s="19">
        <v>0.047899999999999998</v>
      </c>
      <c r="BE865" s="19">
        <v>0.051499999999999997</v>
      </c>
      <c r="BF865" s="19">
        <v>0.055500000000000001</v>
      </c>
      <c r="BG865" s="19">
        <v>0.060600000000000001</v>
      </c>
      <c r="BH865" s="19">
        <v>0.066299999999999998</v>
      </c>
      <c r="BI865" s="19">
        <v>0.072400000000000006</v>
      </c>
      <c r="BJ865" s="19">
        <v>0.079100000000000004</v>
      </c>
      <c r="BK865" s="18"/>
      <c r="BL865" s="18"/>
      <c r="BM865" s="19">
        <v>0.060199999999999997</v>
      </c>
      <c r="BN865" s="19">
        <v>0.067699999999999996</v>
      </c>
      <c r="BO865" s="19">
        <v>0.076100000000000001</v>
      </c>
      <c r="BP865" s="19">
        <v>0.082000000000000003</v>
      </c>
      <c r="BQ865" s="19">
        <v>0.088300000000000003</v>
      </c>
      <c r="BR865" s="19">
        <v>0.089599999999999999</v>
      </c>
      <c r="BS865" s="19">
        <v>0.090999999999999998</v>
      </c>
      <c r="BT865" s="19">
        <v>0.092299999999999993</v>
      </c>
      <c r="BU865" s="19">
        <v>0.093700000000000006</v>
      </c>
    </row>
    <row r="866" spans="3:73" ht="14.2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ht="14.2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ht="14.2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ht="14.2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ht="14.2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ht="14.2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ht="14.2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ht="14.2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ht="14.2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0.014</v>
      </c>
      <c r="BC874" s="19">
        <v>0.0144</v>
      </c>
      <c r="BD874" s="19">
        <v>0.014800000000000001</v>
      </c>
      <c r="BE874" s="19">
        <v>0.016</v>
      </c>
      <c r="BF874" s="19">
        <v>0.0172</v>
      </c>
      <c r="BG874" s="19">
        <v>0.018800000000000001</v>
      </c>
      <c r="BH874" s="19">
        <v>0.020500000000000001</v>
      </c>
      <c r="BI874" s="19">
        <v>0.0224</v>
      </c>
      <c r="BJ874" s="19">
        <v>0.024500000000000001</v>
      </c>
      <c r="BK874" s="18"/>
      <c r="BL874" s="18"/>
      <c r="BM874" s="19">
        <v>0.0152</v>
      </c>
      <c r="BN874" s="19">
        <v>0.017100000000000001</v>
      </c>
      <c r="BO874" s="19">
        <v>0.019300000000000001</v>
      </c>
      <c r="BP874" s="19">
        <v>0.020799999999999999</v>
      </c>
      <c r="BQ874" s="19">
        <v>0.0224</v>
      </c>
      <c r="BR874" s="19">
        <v>0.022700000000000001</v>
      </c>
      <c r="BS874" s="19">
        <v>0.023</v>
      </c>
      <c r="BT874" s="19">
        <v>0.023400000000000001</v>
      </c>
      <c r="BU874" s="19">
        <v>0.023699999999999999</v>
      </c>
    </row>
    <row r="875" spans="3:73" ht="14.2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ht="14.2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ht="14.2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ht="14.2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0.0028</v>
      </c>
      <c r="BC878" s="19">
        <v>0.0028</v>
      </c>
      <c r="BD878" s="19">
        <v>0.0028</v>
      </c>
      <c r="BE878" s="19">
        <v>0.0028</v>
      </c>
      <c r="BF878" s="19">
        <v>0.0028</v>
      </c>
      <c r="BG878" s="19">
        <v>0.0028</v>
      </c>
      <c r="BH878" s="19">
        <v>0.0028</v>
      </c>
      <c r="BI878" s="19">
        <v>0.0028</v>
      </c>
      <c r="BJ878" s="19">
        <v>0.0028</v>
      </c>
      <c r="BK878" s="18"/>
      <c r="BL878" s="18"/>
      <c r="BM878" s="19">
        <v>0.0032000000000000002</v>
      </c>
      <c r="BN878" s="19">
        <v>0.0035999999999999999</v>
      </c>
      <c r="BO878" s="19">
        <v>0.0040000000000000001</v>
      </c>
      <c r="BP878" s="19">
        <v>0.0043</v>
      </c>
      <c r="BQ878" s="19">
        <v>0.0047000000000000002</v>
      </c>
      <c r="BR878" s="19">
        <v>0.0047000000000000002</v>
      </c>
      <c r="BS878" s="19">
        <v>0.0047999999999999996</v>
      </c>
      <c r="BT878" s="19">
        <v>0.0048999999999999998</v>
      </c>
      <c r="BU878" s="19">
        <v>0.0048999999999999998</v>
      </c>
    </row>
    <row r="879" spans="3:73" ht="14.2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ht="14.2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ht="14.2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0.017100000000000001</v>
      </c>
      <c r="BC881" s="19">
        <v>0.018200000000000001</v>
      </c>
      <c r="BD881" s="19">
        <v>0.018700000000000001</v>
      </c>
      <c r="BE881" s="19">
        <v>0.020199999999999999</v>
      </c>
      <c r="BF881" s="19">
        <v>0.021700000000000001</v>
      </c>
      <c r="BG881" s="19">
        <v>0.023699999999999999</v>
      </c>
      <c r="BH881" s="19">
        <v>0.025899999999999999</v>
      </c>
      <c r="BI881" s="19">
        <v>0.028299999999999999</v>
      </c>
      <c r="BJ881" s="19">
        <v>0.0309</v>
      </c>
      <c r="BK881" s="18"/>
      <c r="BL881" s="18"/>
      <c r="BM881" s="19">
        <v>0.019300000000000001</v>
      </c>
      <c r="BN881" s="19">
        <v>0.021700000000000001</v>
      </c>
      <c r="BO881" s="19">
        <v>0.024400000000000002</v>
      </c>
      <c r="BP881" s="19">
        <v>0.026200000000000001</v>
      </c>
      <c r="BQ881" s="19">
        <v>0.028199999999999999</v>
      </c>
      <c r="BR881" s="19">
        <v>0.0287</v>
      </c>
      <c r="BS881" s="19">
        <v>0.029100000000000001</v>
      </c>
      <c r="BT881" s="19">
        <v>0.029499999999999998</v>
      </c>
      <c r="BU881" s="19">
        <v>0.03</v>
      </c>
    </row>
    <row r="882" spans="3:73" ht="14.2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0.0001</v>
      </c>
      <c r="BC882" s="19">
        <v>0.0001</v>
      </c>
      <c r="BD882" s="19">
        <v>0.0001</v>
      </c>
      <c r="BE882" s="19">
        <v>0.0001</v>
      </c>
      <c r="BF882" s="19">
        <v>0.0001</v>
      </c>
      <c r="BG882" s="19">
        <v>0.0001</v>
      </c>
      <c r="BH882" s="19">
        <v>0.0001</v>
      </c>
      <c r="BI882" s="19">
        <v>0.0001</v>
      </c>
      <c r="BJ882" s="19">
        <v>0.0001</v>
      </c>
      <c r="BK882" s="18"/>
      <c r="BL882" s="18"/>
      <c r="BM882" s="19">
        <v>0.0001</v>
      </c>
      <c r="BN882" s="19">
        <v>0.0001</v>
      </c>
      <c r="BO882" s="19">
        <v>0.0001</v>
      </c>
      <c r="BP882" s="19">
        <v>0.0001</v>
      </c>
      <c r="BQ882" s="19">
        <v>0.0001</v>
      </c>
      <c r="BR882" s="19">
        <v>0.0001</v>
      </c>
      <c r="BS882" s="19">
        <v>0.0001</v>
      </c>
      <c r="BT882" s="19">
        <v>0.0001</v>
      </c>
      <c r="BU882" s="19">
        <v>0.0001</v>
      </c>
    </row>
    <row r="883" spans="3:73" ht="14.2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0.014200000000000001</v>
      </c>
      <c r="BC883" s="19">
        <v>0.014200000000000001</v>
      </c>
      <c r="BD883" s="19">
        <v>0.014200000000000001</v>
      </c>
      <c r="BE883" s="19">
        <v>0.014200000000000001</v>
      </c>
      <c r="BF883" s="19">
        <v>0.014200000000000001</v>
      </c>
      <c r="BG883" s="19">
        <v>0.014200000000000001</v>
      </c>
      <c r="BH883" s="19">
        <v>0.014200000000000001</v>
      </c>
      <c r="BI883" s="19">
        <v>0.014200000000000001</v>
      </c>
      <c r="BJ883" s="19">
        <v>0.014200000000000001</v>
      </c>
      <c r="BK883" s="18"/>
      <c r="BL883" s="18"/>
      <c r="BM883" s="19">
        <v>0.014200000000000001</v>
      </c>
      <c r="BN883" s="19">
        <v>0.014200000000000001</v>
      </c>
      <c r="BO883" s="19">
        <v>0.014200000000000001</v>
      </c>
      <c r="BP883" s="19">
        <v>0.014200000000000001</v>
      </c>
      <c r="BQ883" s="19">
        <v>0.014200000000000001</v>
      </c>
      <c r="BR883" s="19">
        <v>0.014200000000000001</v>
      </c>
      <c r="BS883" s="19">
        <v>0.014200000000000001</v>
      </c>
      <c r="BT883" s="19">
        <v>0.014200000000000001</v>
      </c>
      <c r="BU883" s="19">
        <v>0.014200000000000001</v>
      </c>
    </row>
    <row r="884" spans="3:73" ht="14.2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0.00069999999999999999</v>
      </c>
      <c r="BC884" s="19">
        <v>0.00069999999999999999</v>
      </c>
      <c r="BD884" s="19">
        <v>0.00069999999999999999</v>
      </c>
      <c r="BE884" s="19">
        <v>0.00069999999999999999</v>
      </c>
      <c r="BF884" s="19">
        <v>0.00069999999999999999</v>
      </c>
      <c r="BG884" s="19">
        <v>0.00069999999999999999</v>
      </c>
      <c r="BH884" s="19">
        <v>0.00069999999999999999</v>
      </c>
      <c r="BI884" s="19">
        <v>0.00069999999999999999</v>
      </c>
      <c r="BJ884" s="19">
        <v>0.00069999999999999999</v>
      </c>
      <c r="BK884" s="18"/>
      <c r="BL884" s="18"/>
      <c r="BM884" s="19">
        <v>0.00069999999999999999</v>
      </c>
      <c r="BN884" s="19">
        <v>0.00069999999999999999</v>
      </c>
      <c r="BO884" s="19">
        <v>0.00069999999999999999</v>
      </c>
      <c r="BP884" s="19">
        <v>0.00069999999999999999</v>
      </c>
      <c r="BQ884" s="19">
        <v>0.00069999999999999999</v>
      </c>
      <c r="BR884" s="19">
        <v>0.00069999999999999999</v>
      </c>
      <c r="BS884" s="19">
        <v>0.00069999999999999999</v>
      </c>
      <c r="BT884" s="19">
        <v>0.00069999999999999999</v>
      </c>
      <c r="BU884" s="19">
        <v>0.00069999999999999999</v>
      </c>
    </row>
    <row r="885" spans="3:73" ht="14.2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ht="14.2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ht="14.2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0.0224</v>
      </c>
      <c r="BC887" s="19">
        <v>0.0224</v>
      </c>
      <c r="BD887" s="19">
        <v>0.0224</v>
      </c>
      <c r="BE887" s="19">
        <v>0.0224</v>
      </c>
      <c r="BF887" s="19">
        <v>0.0224</v>
      </c>
      <c r="BG887" s="19">
        <v>0.0224</v>
      </c>
      <c r="BH887" s="19">
        <v>0.0224</v>
      </c>
      <c r="BI887" s="19">
        <v>0.0224</v>
      </c>
      <c r="BJ887" s="19">
        <v>0.0224</v>
      </c>
      <c r="BK887" s="18"/>
      <c r="BL887" s="18"/>
      <c r="BM887" s="19">
        <v>0.0224</v>
      </c>
      <c r="BN887" s="19">
        <v>0.0224</v>
      </c>
      <c r="BO887" s="19">
        <v>0.0224</v>
      </c>
      <c r="BP887" s="19">
        <v>0.0224</v>
      </c>
      <c r="BQ887" s="19">
        <v>0.0224</v>
      </c>
      <c r="BR887" s="19">
        <v>0.0224</v>
      </c>
      <c r="BS887" s="19">
        <v>0.0224</v>
      </c>
      <c r="BT887" s="19">
        <v>0.0224</v>
      </c>
      <c r="BU887" s="19">
        <v>0.0224</v>
      </c>
    </row>
    <row r="888" spans="3:73" ht="14.2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0.00089999999999999998</v>
      </c>
      <c r="BC888" s="19">
        <v>0.00089999999999999998</v>
      </c>
      <c r="BD888" s="19">
        <v>0.00089999999999999998</v>
      </c>
      <c r="BE888" s="19">
        <v>0.00089999999999999998</v>
      </c>
      <c r="BF888" s="19">
        <v>0.00089999999999999998</v>
      </c>
      <c r="BG888" s="19">
        <v>0.00089999999999999998</v>
      </c>
      <c r="BH888" s="19">
        <v>0.00089999999999999998</v>
      </c>
      <c r="BI888" s="19">
        <v>0.00089999999999999998</v>
      </c>
      <c r="BJ888" s="19">
        <v>0.00089999999999999998</v>
      </c>
      <c r="BK888" s="18"/>
      <c r="BL888" s="18"/>
      <c r="BM888" s="19">
        <v>0.00089999999999999998</v>
      </c>
      <c r="BN888" s="19">
        <v>0.00089999999999999998</v>
      </c>
      <c r="BO888" s="19">
        <v>0.00089999999999999998</v>
      </c>
      <c r="BP888" s="19">
        <v>0.00089999999999999998</v>
      </c>
      <c r="BQ888" s="19">
        <v>0.00089999999999999998</v>
      </c>
      <c r="BR888" s="19">
        <v>0.00089999999999999998</v>
      </c>
      <c r="BS888" s="19">
        <v>0.00089999999999999998</v>
      </c>
      <c r="BT888" s="19">
        <v>0.00089999999999999998</v>
      </c>
      <c r="BU888" s="19">
        <v>0.00089999999999999998</v>
      </c>
    </row>
    <row r="889" spans="3:73" ht="14.2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0.0033</v>
      </c>
      <c r="BC889" s="19">
        <v>0.0033</v>
      </c>
      <c r="BD889" s="19">
        <v>0.0033</v>
      </c>
      <c r="BE889" s="19">
        <v>0.0033</v>
      </c>
      <c r="BF889" s="19">
        <v>0.0033</v>
      </c>
      <c r="BG889" s="19">
        <v>0.0033</v>
      </c>
      <c r="BH889" s="19">
        <v>0.0033</v>
      </c>
      <c r="BI889" s="19">
        <v>0.0033</v>
      </c>
      <c r="BJ889" s="19">
        <v>0.0033</v>
      </c>
      <c r="BK889" s="18"/>
      <c r="BL889" s="18"/>
      <c r="BM889" s="19">
        <v>0.0033</v>
      </c>
      <c r="BN889" s="19">
        <v>0.0033</v>
      </c>
      <c r="BO889" s="19">
        <v>0.0033</v>
      </c>
      <c r="BP889" s="19">
        <v>0.0033</v>
      </c>
      <c r="BQ889" s="19">
        <v>0.0033</v>
      </c>
      <c r="BR889" s="19">
        <v>0.0033</v>
      </c>
      <c r="BS889" s="19">
        <v>0.0033</v>
      </c>
      <c r="BT889" s="19">
        <v>0.0033</v>
      </c>
      <c r="BU889" s="19">
        <v>0.0033</v>
      </c>
    </row>
    <row r="890" spans="3:73" ht="14.2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0.0549126286939942</v>
      </c>
      <c r="BC890" s="19">
        <v>0.056040276436908697</v>
      </c>
      <c r="BD890" s="19">
        <v>0.0569525307907272</v>
      </c>
      <c r="BE890" s="19">
        <v>0.058641890705206</v>
      </c>
      <c r="BF890" s="19">
        <v>0.060162314628236797</v>
      </c>
      <c r="BG890" s="19">
        <v>0.061513802559819801</v>
      </c>
      <c r="BH890" s="19">
        <v>0.062696354499954907</v>
      </c>
      <c r="BI890" s="19">
        <v>0.063731087447573095</v>
      </c>
      <c r="BJ890" s="19">
        <v>0.064681352399467401</v>
      </c>
      <c r="BK890" s="18"/>
      <c r="BL890" s="18"/>
      <c r="BM890" s="19">
        <v>0.055249972751916697</v>
      </c>
      <c r="BN890" s="19">
        <v>0.058134554805889103</v>
      </c>
      <c r="BO890" s="19">
        <v>0.060938892263923801</v>
      </c>
      <c r="BP890" s="19">
        <v>0.062628252178402496</v>
      </c>
      <c r="BQ890" s="19">
        <v>0.063202634549325204</v>
      </c>
      <c r="BR890" s="19">
        <v>0.063608080928800104</v>
      </c>
      <c r="BS890" s="19">
        <v>0.063844591316827196</v>
      </c>
      <c r="BT890" s="19">
        <v>0.063933282712337294</v>
      </c>
      <c r="BU890" s="19">
        <v>0.063937506112123496</v>
      </c>
    </row>
    <row r="891" spans="3:73" ht="14.2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ht="14.2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ht="14.2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0.059027189795647</v>
      </c>
      <c r="BC893" s="19">
        <v>0.060239331318038297</v>
      </c>
      <c r="BD893" s="19">
        <v>0.061219940190085302</v>
      </c>
      <c r="BE893" s="19">
        <v>0.063035882545727798</v>
      </c>
      <c r="BF893" s="19">
        <v>0.064670230665806003</v>
      </c>
      <c r="BG893" s="19">
        <v>0.066122984550319994</v>
      </c>
      <c r="BH893" s="19">
        <v>0.067394144199269798</v>
      </c>
      <c r="BI893" s="19">
        <v>0.068506408892100801</v>
      </c>
      <c r="BJ893" s="19">
        <v>0.069527876467149696</v>
      </c>
      <c r="BK893" s="18"/>
      <c r="BL893" s="18"/>
      <c r="BM893" s="19">
        <v>0.059389810784789297</v>
      </c>
      <c r="BN893" s="19">
        <v>0.062490532357048899</v>
      </c>
      <c r="BO893" s="19">
        <v>0.065504996667415397</v>
      </c>
      <c r="BP893" s="19">
        <v>0.067320939023057899</v>
      </c>
      <c r="BQ893" s="19">
        <v>0.067938359423976399</v>
      </c>
      <c r="BR893" s="19">
        <v>0.068374185589330505</v>
      </c>
      <c r="BS893" s="19">
        <v>0.068628417519120494</v>
      </c>
      <c r="BT893" s="19">
        <v>0.068723754492791694</v>
      </c>
      <c r="BU893" s="19">
        <v>0.068728294348680899</v>
      </c>
    </row>
    <row r="894" spans="3:73" ht="14.2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ht="14.2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1.3649235347867099E-05</v>
      </c>
      <c r="BC895" s="19">
        <v>1.3929526599599099E-05</v>
      </c>
      <c r="BD895" s="19">
        <v>1.41562790729103E-05</v>
      </c>
      <c r="BE895" s="19">
        <v>1.4576191060523701E-05</v>
      </c>
      <c r="BF895" s="19">
        <v>1.49541118493758E-05</v>
      </c>
      <c r="BG895" s="19">
        <v>1.52900414394665E-05</v>
      </c>
      <c r="BH895" s="19">
        <v>1.5583979830795899E-05</v>
      </c>
      <c r="BI895" s="19">
        <v>1.5841175923209099E-05</v>
      </c>
      <c r="BJ895" s="19">
        <v>1.6077376416241701E-05</v>
      </c>
      <c r="BK895" s="18"/>
      <c r="BL895" s="18"/>
      <c r="BM895" s="19">
        <v>1.37330865228937E-05</v>
      </c>
      <c r="BN895" s="19">
        <v>1.44500862417436E-05</v>
      </c>
      <c r="BO895" s="19">
        <v>1.51471401411818E-05</v>
      </c>
      <c r="BP895" s="19">
        <v>1.5567052128795301E-05</v>
      </c>
      <c r="BQ895" s="19">
        <v>1.57098222045838E-05</v>
      </c>
      <c r="BR895" s="19">
        <v>1.5810601081611001E-05</v>
      </c>
      <c r="BS895" s="19">
        <v>1.5869388759876901E-05</v>
      </c>
      <c r="BT895" s="19">
        <v>1.58914341392266E-05</v>
      </c>
      <c r="BU895" s="19">
        <v>1.58924839191957E-05</v>
      </c>
    </row>
    <row r="896" spans="3:73" ht="14.2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0.054419583746707398</v>
      </c>
      <c r="BC896" s="19">
        <v>0.0555371066597753</v>
      </c>
      <c r="BD896" s="19">
        <v>0.056441170140009898</v>
      </c>
      <c r="BE896" s="19">
        <v>0.058115361770074002</v>
      </c>
      <c r="BF896" s="19">
        <v>0.059622134237131801</v>
      </c>
      <c r="BG896" s="19">
        <v>0.0609614875411831</v>
      </c>
      <c r="BH896" s="19">
        <v>0.062133421682227997</v>
      </c>
      <c r="BI896" s="19">
        <v>0.063158864055642305</v>
      </c>
      <c r="BJ896" s="19">
        <v>0.064100596847553398</v>
      </c>
      <c r="BK896" s="18"/>
      <c r="BL896" s="18"/>
      <c r="BM896" s="19">
        <v>0.054753898887835897</v>
      </c>
      <c r="BN896" s="19">
        <v>0.057612581096170401</v>
      </c>
      <c r="BO896" s="19">
        <v>0.060391739202076897</v>
      </c>
      <c r="BP896" s="19">
        <v>0.062065930832141</v>
      </c>
      <c r="BQ896" s="19">
        <v>0.062635155986362795</v>
      </c>
      <c r="BR896" s="19">
        <v>0.063036961977578201</v>
      </c>
      <c r="BS896" s="19">
        <v>0.063271348805787206</v>
      </c>
      <c r="BT896" s="19">
        <v>0.0633592438663656</v>
      </c>
      <c r="BU896" s="19">
        <v>0.0633634293454408</v>
      </c>
    </row>
    <row r="897" spans="3:73" ht="14.2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ht="14.2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ht="14.2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ht="14.2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ht="14.2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44:73" ht="14.2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0.012926392303726299</v>
      </c>
      <c r="BC902" s="19">
        <v>0.013559426062643499</v>
      </c>
      <c r="BD902" s="19">
        <v>0.0140715432608687</v>
      </c>
      <c r="BE902" s="19">
        <v>0.0150199084427672</v>
      </c>
      <c r="BF902" s="19">
        <v>0.015873437106475801</v>
      </c>
      <c r="BG902" s="19">
        <v>0.016632129251994601</v>
      </c>
      <c r="BH902" s="19">
        <v>0.0172959848793236</v>
      </c>
      <c r="BI902" s="19">
        <v>0.0178768585532364</v>
      </c>
      <c r="BJ902" s="19">
        <v>0.018410313968054301</v>
      </c>
      <c r="BK902" s="18"/>
      <c r="BL902" s="18"/>
      <c r="BM902" s="19">
        <v>0.0131157689759866</v>
      </c>
      <c r="BN902" s="19">
        <v>0.0147351025240783</v>
      </c>
      <c r="BO902" s="19">
        <v>0.0163093887260298</v>
      </c>
      <c r="BP902" s="19">
        <v>0.017257753907928299</v>
      </c>
      <c r="BQ902" s="19">
        <v>0.0175801980697738</v>
      </c>
      <c r="BR902" s="19">
        <v>0.017807805713429398</v>
      </c>
      <c r="BS902" s="19">
        <v>0.0179405768388952</v>
      </c>
      <c r="BT902" s="19">
        <v>0.017990366010944898</v>
      </c>
      <c r="BU902" s="19">
        <v>0.017992736923899601</v>
      </c>
    </row>
    <row r="903" spans="44:73" ht="14.2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44:73" ht="14.2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0.0418379769544771</v>
      </c>
      <c r="BC904" s="19">
        <v>0.043886874372618401</v>
      </c>
      <c r="BD904" s="19">
        <v>0.045544409362575297</v>
      </c>
      <c r="BE904" s="19">
        <v>0.0486139186032363</v>
      </c>
      <c r="BF904" s="19">
        <v>0.051376476919831299</v>
      </c>
      <c r="BG904" s="19">
        <v>0.053832084312360098</v>
      </c>
      <c r="BH904" s="19">
        <v>0.055980740780822803</v>
      </c>
      <c r="BI904" s="19">
        <v>0.0578608151907277</v>
      </c>
      <c r="BJ904" s="19">
        <v>0.059587414138599602</v>
      </c>
      <c r="BK904" s="18"/>
      <c r="BL904" s="18"/>
      <c r="BM904" s="19">
        <v>0.042450919580971601</v>
      </c>
      <c r="BN904" s="19">
        <v>0.047692106609400299</v>
      </c>
      <c r="BO904" s="19">
        <v>0.052787491948897702</v>
      </c>
      <c r="BP904" s="19">
        <v>0.055857001189558698</v>
      </c>
      <c r="BQ904" s="19">
        <v>0.056900634331383398</v>
      </c>
      <c r="BR904" s="19">
        <v>0.057637316549142101</v>
      </c>
      <c r="BS904" s="19">
        <v>0.058067047842834597</v>
      </c>
      <c r="BT904" s="19">
        <v>0.0582281970779693</v>
      </c>
      <c r="BU904" s="19">
        <v>0.058235870851071</v>
      </c>
    </row>
    <row r="905" spans="44:73" ht="14.2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0.013894956953107799</v>
      </c>
      <c r="BC905" s="19">
        <v>0.0145754234454858</v>
      </c>
      <c r="BD905" s="19">
        <v>0.0151259131921288</v>
      </c>
      <c r="BE905" s="19">
        <v>0.0161453386488749</v>
      </c>
      <c r="BF905" s="19">
        <v>0.017062821559946401</v>
      </c>
      <c r="BG905" s="19">
        <v>0.017878361925343301</v>
      </c>
      <c r="BH905" s="19">
        <v>0.018591959745065601</v>
      </c>
      <c r="BI905" s="19">
        <v>0.0192163578373226</v>
      </c>
      <c r="BJ905" s="19">
        <v>0.019789784656742301</v>
      </c>
      <c r="BK905" s="18"/>
      <c r="BL905" s="18"/>
      <c r="BM905" s="19">
        <v>0.0140985234740018</v>
      </c>
      <c r="BN905" s="19">
        <v>0.0158391924413958</v>
      </c>
      <c r="BO905" s="19">
        <v>0.0175314386995944</v>
      </c>
      <c r="BP905" s="19">
        <v>0.0185508641563405</v>
      </c>
      <c r="BQ905" s="19">
        <v>0.018897468811634201</v>
      </c>
      <c r="BR905" s="19">
        <v>0.0191421309212533</v>
      </c>
      <c r="BS905" s="19">
        <v>0.019284850485197701</v>
      </c>
      <c r="BT905" s="19">
        <v>0.019338370321676901</v>
      </c>
      <c r="BU905" s="19">
        <v>0.0193409188853188</v>
      </c>
    </row>
    <row r="906" spans="44:73" ht="14.2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0.039912602096500799</v>
      </c>
      <c r="BC906" s="19">
        <v>0.041867209688445303</v>
      </c>
      <c r="BD906" s="19">
        <v>0.043448465268445299</v>
      </c>
      <c r="BE906" s="19">
        <v>0.046376716342519497</v>
      </c>
      <c r="BF906" s="19">
        <v>0.049012142309186199</v>
      </c>
      <c r="BG906" s="19">
        <v>0.051354743168445502</v>
      </c>
      <c r="BH906" s="19">
        <v>0.053404518920297399</v>
      </c>
      <c r="BI906" s="19">
        <v>0.055198072703167803</v>
      </c>
      <c r="BJ906" s="19">
        <v>0.0568452139323345</v>
      </c>
      <c r="BK906" s="18"/>
      <c r="BL906" s="18"/>
      <c r="BM906" s="19">
        <v>0.040497337232855</v>
      </c>
      <c r="BN906" s="19">
        <v>0.0454973259418366</v>
      </c>
      <c r="BO906" s="19">
        <v>0.050358222724799603</v>
      </c>
      <c r="BP906" s="19">
        <v>0.053286473798873801</v>
      </c>
      <c r="BQ906" s="19">
        <v>0.054282079164058999</v>
      </c>
      <c r="BR906" s="19">
        <v>0.054984859421836799</v>
      </c>
      <c r="BS906" s="19">
        <v>0.055394814572207199</v>
      </c>
      <c r="BT906" s="19">
        <v>0.055548547753596002</v>
      </c>
      <c r="BU906" s="19">
        <v>0.055555868381281202</v>
      </c>
    </row>
    <row r="907" spans="44:73" ht="14.2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3.2130199363723899E-06</v>
      </c>
      <c r="BC907" s="19">
        <v>3.37036856389405E-06</v>
      </c>
      <c r="BD907" s="19">
        <v>3.4976618355969699E-06</v>
      </c>
      <c r="BE907" s="19">
        <v>3.7333901165282901E-06</v>
      </c>
      <c r="BF907" s="19">
        <v>3.94554556936648E-06</v>
      </c>
      <c r="BG907" s="19">
        <v>4.1341281941115402E-06</v>
      </c>
      <c r="BH907" s="19">
        <v>4.2991379907634596E-06</v>
      </c>
      <c r="BI907" s="19">
        <v>4.4435215628338997E-06</v>
      </c>
      <c r="BJ907" s="19">
        <v>4.5761187208577702E-06</v>
      </c>
      <c r="BK907" s="18"/>
      <c r="BL907" s="18"/>
      <c r="BM907" s="19">
        <v>3.2600919274708698E-06</v>
      </c>
      <c r="BN907" s="19">
        <v>3.6625979671611E-06</v>
      </c>
      <c r="BO907" s="19">
        <v>4.0539069135071002E-06</v>
      </c>
      <c r="BP907" s="19">
        <v>4.28963519443842E-06</v>
      </c>
      <c r="BQ907" s="19">
        <v>4.3697828099550702E-06</v>
      </c>
      <c r="BR907" s="19">
        <v>4.4263575973785898E-06</v>
      </c>
      <c r="BS907" s="19">
        <v>4.4593595567089702E-06</v>
      </c>
      <c r="BT907" s="19">
        <v>4.4717352914578697E-06</v>
      </c>
      <c r="BU907" s="19">
        <v>4.4723246121601996E-06</v>
      </c>
    </row>
    <row r="908" spans="44:73" ht="14.2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0.012810329886690799</v>
      </c>
      <c r="BC908" s="19">
        <v>0.013437679814698501</v>
      </c>
      <c r="BD908" s="19">
        <v>0.013945198857581101</v>
      </c>
      <c r="BE908" s="19">
        <v>0.0148850489369933</v>
      </c>
      <c r="BF908" s="19">
        <v>0.015730914008464401</v>
      </c>
      <c r="BG908" s="19">
        <v>0.016482794071994201</v>
      </c>
      <c r="BH908" s="19">
        <v>0.017140689127582799</v>
      </c>
      <c r="BI908" s="19">
        <v>0.017716347301222801</v>
      </c>
      <c r="BJ908" s="19">
        <v>0.018245012970892201</v>
      </c>
      <c r="BK908" s="18"/>
      <c r="BL908" s="18"/>
      <c r="BM908" s="19">
        <v>0.012998006199423401</v>
      </c>
      <c r="BN908" s="19">
        <v>0.014602800210019799</v>
      </c>
      <c r="BO908" s="19">
        <v>0.016162951341844201</v>
      </c>
      <c r="BP908" s="19">
        <v>0.017102801421256499</v>
      </c>
      <c r="BQ908" s="19">
        <v>0.017422350448256602</v>
      </c>
      <c r="BR908" s="19">
        <v>0.0176479144673156</v>
      </c>
      <c r="BS908" s="19">
        <v>0.0177794934784333</v>
      </c>
      <c r="BT908" s="19">
        <v>0.0178288356076024</v>
      </c>
      <c r="BU908" s="19">
        <v>0.017831185232801</v>
      </c>
    </row>
    <row r="909" spans="44:73" ht="14.2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44:73" ht="14.2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44:73" ht="14.2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0.091753494641584707</v>
      </c>
      <c r="BC911" s="19">
        <v>0.096246864349234101</v>
      </c>
      <c r="BD911" s="19">
        <v>0.099881949955422294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0.093097719006373106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44:73" ht="14.2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ht="14.2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ht="14.2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ht="14.2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ht="14.2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ht="14.2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ht="14.2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ht="14.2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ht="14.2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ht="14.2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ht="14.2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ht="14.2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0.50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ht="14.2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ht="14.2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ht="14.2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ht="14.2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ht="14.2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ht="14.2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0.014497948717948701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ht="14.2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ht="14.2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ht="14.2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0.064507532846715301</v>
      </c>
      <c r="BC932" s="19">
        <v>0.069913326845093299</v>
      </c>
      <c r="BD932" s="19">
        <v>0.075777648012976498</v>
      </c>
      <c r="BE932" s="19">
        <v>0.081617836171938393</v>
      </c>
      <c r="BF932" s="19">
        <v>0.0878924184914842</v>
      </c>
      <c r="BG932" s="19">
        <v>0.096025242497972396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0.066944966747769702</v>
      </c>
      <c r="BN932" s="19">
        <v>0.075294987834549895</v>
      </c>
      <c r="BO932" s="19">
        <v>0.084706861313868606</v>
      </c>
      <c r="BP932" s="19">
        <v>0.091222773722627701</v>
      </c>
      <c r="BQ932" s="19">
        <v>0.098245479318734799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ht="14.2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ht="14.2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ht="14.2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0.068572437818068405</v>
      </c>
      <c r="BC935" s="19">
        <v>0.074310837786863801</v>
      </c>
      <c r="BD935" s="19">
        <v>0.080539452828370495</v>
      </c>
      <c r="BE935" s="19">
        <v>0.086739231689129406</v>
      </c>
      <c r="BF935" s="19">
        <v>0.093400389441851694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ht="14.2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ht="14.2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0.080990455279302598</v>
      </c>
      <c r="BC937" s="19">
        <v>0.087795970293832806</v>
      </c>
      <c r="BD937" s="19">
        <v>0.095156545043590599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0.084055350339037799</v>
      </c>
      <c r="BN937" s="19">
        <v>0.094553219244430095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ht="14.2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ht="14.25">
      <c r="AR939" s="15" t="s">
        <v>334</v>
      </c>
      <c r="AS939" s="15" t="s">
        <v>562</v>
      </c>
      <c r="AT939" s="15"/>
      <c r="AU939" s="15"/>
      <c r="AV939" s="15" t="s">
        <v>563</v>
      </c>
      <c r="AW939" s="15"/>
      <c r="AX939" s="15"/>
      <c r="AY939" s="15" t="s">
        <v>329</v>
      </c>
      <c r="AZ939" s="19">
        <v>0</v>
      </c>
      <c r="BA939" s="18"/>
      <c r="BB939" s="19">
        <v>0.04</v>
      </c>
      <c r="BC939" s="19">
        <v>0.06</v>
      </c>
      <c r="BD939" s="19">
        <v>0.105</v>
      </c>
      <c r="BE939" s="19">
        <v>0.12</v>
      </c>
      <c r="BF939" s="19">
        <v>0.14000000000000001</v>
      </c>
      <c r="BG939" s="19">
        <v>0.155</v>
      </c>
      <c r="BH939" s="19">
        <v>0.17</v>
      </c>
      <c r="BI939" s="19">
        <v>0.185</v>
      </c>
      <c r="BJ939" s="19">
        <v>0.205</v>
      </c>
      <c r="BK939" s="19">
        <v>5</v>
      </c>
      <c r="BL939" s="18"/>
      <c r="BM939" s="19">
        <v>0.04</v>
      </c>
      <c r="BN939" s="19">
        <v>0.044999999999999998</v>
      </c>
      <c r="BO939" s="19">
        <v>0.05</v>
      </c>
      <c r="BP939" s="19">
        <v>0.06</v>
      </c>
      <c r="BQ939" s="19">
        <v>0.070000000000000007</v>
      </c>
      <c r="BR939" s="19">
        <v>0.08</v>
      </c>
      <c r="BS939" s="19">
        <v>0.095000000000000001</v>
      </c>
      <c r="BT939" s="19">
        <v>0.115</v>
      </c>
      <c r="BU939" s="19">
        <v>0.13</v>
      </c>
    </row>
    <row r="940" spans="44:73" ht="14.25">
      <c r="AR940" s="15" t="s">
        <v>334</v>
      </c>
      <c r="AS940" s="15" t="s">
        <v>369</v>
      </c>
      <c r="AT940" s="15" t="s">
        <v>564</v>
      </c>
      <c r="AU940" s="15" t="s">
        <v>565</v>
      </c>
      <c r="AV940" s="15" t="s">
        <v>566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ht="14.25">
      <c r="AR941" s="15" t="s">
        <v>334</v>
      </c>
      <c r="AS941" s="15" t="s">
        <v>567</v>
      </c>
      <c r="AT941" s="15" t="s">
        <v>568</v>
      </c>
      <c r="AU941" s="15"/>
      <c r="AV941" s="15" t="s">
        <v>569</v>
      </c>
      <c r="AW941" s="15"/>
      <c r="AX941" s="15" t="s">
        <v>1114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ht="14.2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570</v>
      </c>
      <c r="AX942" s="15"/>
      <c r="AY942" s="15"/>
      <c r="AZ942" s="19">
        <v>5</v>
      </c>
      <c r="BA942" s="18"/>
      <c r="BB942" s="19">
        <v>1.30</v>
      </c>
      <c r="BC942" s="18"/>
      <c r="BD942" s="18"/>
      <c r="BE942" s="18"/>
      <c r="BF942" s="19">
        <v>1.30</v>
      </c>
      <c r="BG942" s="18"/>
      <c r="BH942" s="19">
        <v>0</v>
      </c>
      <c r="BI942" s="18"/>
      <c r="BJ942" s="18"/>
      <c r="BK942" s="19">
        <v>5</v>
      </c>
      <c r="BL942" s="18"/>
      <c r="BM942" s="19">
        <v>1.30</v>
      </c>
      <c r="BN942" s="18"/>
      <c r="BO942" s="18"/>
      <c r="BP942" s="18"/>
      <c r="BQ942" s="19">
        <v>1.30</v>
      </c>
      <c r="BR942" s="18"/>
      <c r="BS942" s="19">
        <v>0</v>
      </c>
      <c r="BT942" s="18"/>
      <c r="BU942" s="18"/>
    </row>
    <row r="943" spans="44:73" ht="14.25">
      <c r="AR943" s="15" t="s">
        <v>334</v>
      </c>
      <c r="AS943" s="15" t="s">
        <v>327</v>
      </c>
      <c r="AT943" s="15" t="s">
        <v>571</v>
      </c>
      <c r="AU943" s="15"/>
      <c r="AV943" s="15"/>
      <c r="AW943" s="15" t="s">
        <v>570</v>
      </c>
      <c r="AX943" s="15"/>
      <c r="AY943" s="15"/>
      <c r="AZ943" s="19">
        <v>5</v>
      </c>
      <c r="BA943" s="18"/>
      <c r="BB943" s="19">
        <v>1.30</v>
      </c>
      <c r="BC943" s="18"/>
      <c r="BD943" s="18"/>
      <c r="BE943" s="18"/>
      <c r="BF943" s="19">
        <v>1.30</v>
      </c>
      <c r="BG943" s="18"/>
      <c r="BH943" s="19">
        <v>0</v>
      </c>
      <c r="BI943" s="18"/>
      <c r="BJ943" s="18"/>
      <c r="BK943" s="19">
        <v>5</v>
      </c>
      <c r="BL943" s="18"/>
      <c r="BM943" s="19">
        <v>1.30</v>
      </c>
      <c r="BN943" s="18"/>
      <c r="BO943" s="18"/>
      <c r="BP943" s="18"/>
      <c r="BQ943" s="19">
        <v>1.30</v>
      </c>
      <c r="BR943" s="18"/>
      <c r="BS943" s="19">
        <v>0</v>
      </c>
      <c r="BT943" s="18"/>
      <c r="BU943" s="18"/>
    </row>
    <row r="944" spans="44:73" ht="14.25">
      <c r="AR944" s="15" t="s">
        <v>334</v>
      </c>
      <c r="AS944" s="15" t="s">
        <v>328</v>
      </c>
      <c r="AT944" s="15" t="s">
        <v>572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503.50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ht="14.25">
      <c r="AR945" s="15" t="s">
        <v>334</v>
      </c>
      <c r="AS945" s="15" t="s">
        <v>328</v>
      </c>
      <c r="AT945" s="15" t="s">
        <v>573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704.90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ht="14.25">
      <c r="AR946" s="15" t="s">
        <v>334</v>
      </c>
      <c r="AS946" s="15" t="s">
        <v>574</v>
      </c>
      <c r="AT946" s="15" t="s">
        <v>575</v>
      </c>
      <c r="AU946" s="15"/>
      <c r="AV946" s="15"/>
      <c r="AW946" s="15"/>
      <c r="AX946" s="15"/>
      <c r="AY946" s="15"/>
      <c r="AZ946" s="18"/>
      <c r="BA946" s="19">
        <v>0.025000000000000001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ht="14.25">
      <c r="AR947" s="15" t="s">
        <v>334</v>
      </c>
      <c r="AS947" s="15" t="s">
        <v>574</v>
      </c>
      <c r="AT947" s="15" t="s">
        <v>576</v>
      </c>
      <c r="AU947" s="15"/>
      <c r="AV947" s="15"/>
      <c r="AW947" s="15"/>
      <c r="AX947" s="15"/>
      <c r="AY947" s="15"/>
      <c r="AZ947" s="18"/>
      <c r="BA947" s="19">
        <v>0.025000000000000001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ht="14.25">
      <c r="AR948" s="15" t="s">
        <v>334</v>
      </c>
      <c r="AS948" s="15" t="s">
        <v>574</v>
      </c>
      <c r="AT948" s="15" t="s">
        <v>577</v>
      </c>
      <c r="AU948" s="15"/>
      <c r="AV948" s="15"/>
      <c r="AW948" s="15"/>
      <c r="AX948" s="15"/>
      <c r="AY948" s="15"/>
      <c r="AZ948" s="18"/>
      <c r="BA948" s="19">
        <v>0.025000000000000001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ht="14.25">
      <c r="AR949" s="15" t="s">
        <v>334</v>
      </c>
      <c r="AS949" s="15" t="s">
        <v>574</v>
      </c>
      <c r="AT949" s="15" t="s">
        <v>578</v>
      </c>
      <c r="AU949" s="15"/>
      <c r="AV949" s="15"/>
      <c r="AW949" s="15"/>
      <c r="AX949" s="15"/>
      <c r="AY949" s="15"/>
      <c r="AZ949" s="18"/>
      <c r="BA949" s="19">
        <v>0.025000000000000001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ht="14.25">
      <c r="AR950" s="15" t="s">
        <v>334</v>
      </c>
      <c r="AS950" s="15" t="s">
        <v>574</v>
      </c>
      <c r="AT950" s="15" t="s">
        <v>579</v>
      </c>
      <c r="AU950" s="15"/>
      <c r="AV950" s="15"/>
      <c r="AW950" s="15"/>
      <c r="AX950" s="15"/>
      <c r="AY950" s="15"/>
      <c r="AZ950" s="18"/>
      <c r="BA950" s="19">
        <v>0.025000000000000001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ht="14.25">
      <c r="AR951" s="15" t="s">
        <v>334</v>
      </c>
      <c r="AS951" s="15" t="s">
        <v>574</v>
      </c>
      <c r="AT951" s="15" t="s">
        <v>580</v>
      </c>
      <c r="AU951" s="15"/>
      <c r="AV951" s="15"/>
      <c r="AW951" s="15"/>
      <c r="AX951" s="15"/>
      <c r="AY951" s="15"/>
      <c r="AZ951" s="18"/>
      <c r="BA951" s="19">
        <v>0.025000000000000001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ht="14.25">
      <c r="AR952" s="15" t="s">
        <v>334</v>
      </c>
      <c r="AS952" s="15" t="s">
        <v>574</v>
      </c>
      <c r="AT952" s="15" t="s">
        <v>581</v>
      </c>
      <c r="AU952" s="15"/>
      <c r="AV952" s="15"/>
      <c r="AW952" s="15"/>
      <c r="AX952" s="15"/>
      <c r="AY952" s="15"/>
      <c r="AZ952" s="18"/>
      <c r="BA952" s="19">
        <v>0.025000000000000001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ht="14.25">
      <c r="AR953" s="15" t="s">
        <v>334</v>
      </c>
      <c r="AS953" s="15" t="s">
        <v>574</v>
      </c>
      <c r="AT953" s="15" t="s">
        <v>582</v>
      </c>
      <c r="AU953" s="15"/>
      <c r="AV953" s="15"/>
      <c r="AW953" s="15"/>
      <c r="AX953" s="15"/>
      <c r="AY953" s="15"/>
      <c r="AZ953" s="18"/>
      <c r="BA953" s="19">
        <v>0.025000000000000001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ht="14.25">
      <c r="AR954" s="15" t="s">
        <v>334</v>
      </c>
      <c r="AS954" s="15" t="s">
        <v>574</v>
      </c>
      <c r="AT954" s="15" t="s">
        <v>583</v>
      </c>
      <c r="AU954" s="15"/>
      <c r="AV954" s="15"/>
      <c r="AW954" s="15"/>
      <c r="AX954" s="15"/>
      <c r="AY954" s="15"/>
      <c r="AZ954" s="18"/>
      <c r="BA954" s="19">
        <v>0.025000000000000001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ht="14.25">
      <c r="AR955" s="15" t="s">
        <v>334</v>
      </c>
      <c r="AS955" s="15" t="s">
        <v>574</v>
      </c>
      <c r="AT955" s="15" t="s">
        <v>584</v>
      </c>
      <c r="AU955" s="15"/>
      <c r="AV955" s="15"/>
      <c r="AW955" s="15"/>
      <c r="AX955" s="15"/>
      <c r="AY955" s="15"/>
      <c r="AZ955" s="18"/>
      <c r="BA955" s="19">
        <v>0.025000000000000001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ht="14.25">
      <c r="AR956" s="15" t="s">
        <v>334</v>
      </c>
      <c r="AS956" s="15" t="s">
        <v>574</v>
      </c>
      <c r="AT956" s="15" t="s">
        <v>585</v>
      </c>
      <c r="AU956" s="15"/>
      <c r="AV956" s="15"/>
      <c r="AW956" s="15"/>
      <c r="AX956" s="15"/>
      <c r="AY956" s="15"/>
      <c r="AZ956" s="18"/>
      <c r="BA956" s="19">
        <v>0.025000000000000001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ht="14.25">
      <c r="AR957" s="15" t="s">
        <v>334</v>
      </c>
      <c r="AS957" s="15" t="s">
        <v>574</v>
      </c>
      <c r="AT957" s="15" t="s">
        <v>586</v>
      </c>
      <c r="AU957" s="15"/>
      <c r="AV957" s="15"/>
      <c r="AW957" s="15"/>
      <c r="AX957" s="15"/>
      <c r="AY957" s="15"/>
      <c r="AZ957" s="18"/>
      <c r="BA957" s="19">
        <v>0.025000000000000001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ht="14.25">
      <c r="AR958" s="15" t="s">
        <v>334</v>
      </c>
      <c r="AS958" s="15" t="s">
        <v>574</v>
      </c>
      <c r="AT958" s="15" t="s">
        <v>587</v>
      </c>
      <c r="AU958" s="15"/>
      <c r="AV958" s="15"/>
      <c r="AW958" s="15"/>
      <c r="AX958" s="15"/>
      <c r="AY958" s="15"/>
      <c r="AZ958" s="18"/>
      <c r="BA958" s="19">
        <v>0.025000000000000001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ht="14.25">
      <c r="AR959" s="15" t="s">
        <v>334</v>
      </c>
      <c r="AS959" s="15" t="s">
        <v>574</v>
      </c>
      <c r="AT959" s="15" t="s">
        <v>588</v>
      </c>
      <c r="AU959" s="15"/>
      <c r="AV959" s="15"/>
      <c r="AW959" s="15"/>
      <c r="AX959" s="15"/>
      <c r="AY959" s="15"/>
      <c r="AZ959" s="18"/>
      <c r="BA959" s="19">
        <v>0.025000000000000001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ht="14.25">
      <c r="AR960" s="15" t="s">
        <v>334</v>
      </c>
      <c r="AS960" s="15" t="s">
        <v>574</v>
      </c>
      <c r="AT960" s="15" t="s">
        <v>589</v>
      </c>
      <c r="AU960" s="15"/>
      <c r="AV960" s="15"/>
      <c r="AW960" s="15"/>
      <c r="AX960" s="15"/>
      <c r="AY960" s="15"/>
      <c r="AZ960" s="18"/>
      <c r="BA960" s="19">
        <v>0.025000000000000001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ht="14.25">
      <c r="AR961" s="15" t="s">
        <v>334</v>
      </c>
      <c r="AS961" s="15" t="s">
        <v>574</v>
      </c>
      <c r="AT961" s="15" t="s">
        <v>590</v>
      </c>
      <c r="AU961" s="15"/>
      <c r="AV961" s="15"/>
      <c r="AW961" s="15"/>
      <c r="AX961" s="15"/>
      <c r="AY961" s="15"/>
      <c r="AZ961" s="18"/>
      <c r="BA961" s="19">
        <v>0.025000000000000001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ht="14.25">
      <c r="AR962" s="15" t="s">
        <v>334</v>
      </c>
      <c r="AS962" s="15" t="s">
        <v>574</v>
      </c>
      <c r="AT962" s="15" t="s">
        <v>591</v>
      </c>
      <c r="AU962" s="15"/>
      <c r="AV962" s="15"/>
      <c r="AW962" s="15"/>
      <c r="AX962" s="15"/>
      <c r="AY962" s="15"/>
      <c r="AZ962" s="18"/>
      <c r="BA962" s="19">
        <v>0.025000000000000001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ht="14.25">
      <c r="AR963" s="15" t="s">
        <v>334</v>
      </c>
      <c r="AS963" s="15" t="s">
        <v>574</v>
      </c>
      <c r="AT963" s="15" t="s">
        <v>592</v>
      </c>
      <c r="AU963" s="15"/>
      <c r="AV963" s="15"/>
      <c r="AW963" s="15"/>
      <c r="AX963" s="15"/>
      <c r="AY963" s="15"/>
      <c r="AZ963" s="18"/>
      <c r="BA963" s="19">
        <v>0.025000000000000001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ht="14.25">
      <c r="AR964" s="15" t="s">
        <v>334</v>
      </c>
      <c r="AS964" s="15" t="s">
        <v>574</v>
      </c>
      <c r="AT964" s="15" t="s">
        <v>593</v>
      </c>
      <c r="AU964" s="15"/>
      <c r="AV964" s="15"/>
      <c r="AW964" s="15"/>
      <c r="AX964" s="15"/>
      <c r="AY964" s="15"/>
      <c r="AZ964" s="18"/>
      <c r="BA964" s="19">
        <v>0.025000000000000001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ht="14.25">
      <c r="AR965" s="15" t="s">
        <v>334</v>
      </c>
      <c r="AS965" s="15" t="s">
        <v>574</v>
      </c>
      <c r="AT965" s="15" t="s">
        <v>594</v>
      </c>
      <c r="AU965" s="15"/>
      <c r="AV965" s="15"/>
      <c r="AW965" s="15"/>
      <c r="AX965" s="15"/>
      <c r="AY965" s="15"/>
      <c r="AZ965" s="18"/>
      <c r="BA965" s="19">
        <v>0.025000000000000001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ht="14.25">
      <c r="AR966" s="15" t="s">
        <v>334</v>
      </c>
      <c r="AS966" s="15" t="s">
        <v>574</v>
      </c>
      <c r="AT966" s="15" t="s">
        <v>595</v>
      </c>
      <c r="AU966" s="15"/>
      <c r="AV966" s="15"/>
      <c r="AW966" s="15"/>
      <c r="AX966" s="15"/>
      <c r="AY966" s="15"/>
      <c r="AZ966" s="18"/>
      <c r="BA966" s="19">
        <v>0.025000000000000001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ht="14.25">
      <c r="AR967" s="15" t="s">
        <v>334</v>
      </c>
      <c r="AS967" s="15" t="s">
        <v>574</v>
      </c>
      <c r="AT967" s="15" t="s">
        <v>596</v>
      </c>
      <c r="AU967" s="15"/>
      <c r="AV967" s="15"/>
      <c r="AW967" s="15"/>
      <c r="AX967" s="15"/>
      <c r="AY967" s="15"/>
      <c r="AZ967" s="18"/>
      <c r="BA967" s="19">
        <v>0.025000000000000001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ht="14.25">
      <c r="AR968" s="15" t="s">
        <v>334</v>
      </c>
      <c r="AS968" s="15" t="s">
        <v>574</v>
      </c>
      <c r="AT968" s="15" t="s">
        <v>597</v>
      </c>
      <c r="AU968" s="15"/>
      <c r="AV968" s="15"/>
      <c r="AW968" s="15"/>
      <c r="AX968" s="15"/>
      <c r="AY968" s="15"/>
      <c r="AZ968" s="18"/>
      <c r="BA968" s="19">
        <v>0.025000000000000001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ht="14.25">
      <c r="AR969" s="15" t="s">
        <v>334</v>
      </c>
      <c r="AS969" s="15" t="s">
        <v>574</v>
      </c>
      <c r="AT969" s="15" t="s">
        <v>598</v>
      </c>
      <c r="AU969" s="15"/>
      <c r="AV969" s="15"/>
      <c r="AW969" s="15"/>
      <c r="AX969" s="15"/>
      <c r="AY969" s="15"/>
      <c r="AZ969" s="18"/>
      <c r="BA969" s="19">
        <v>0.025000000000000001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ht="14.25">
      <c r="AR970" s="15" t="s">
        <v>334</v>
      </c>
      <c r="AS970" s="15" t="s">
        <v>574</v>
      </c>
      <c r="AT970" s="15" t="s">
        <v>599</v>
      </c>
      <c r="AU970" s="15"/>
      <c r="AV970" s="15"/>
      <c r="AW970" s="15"/>
      <c r="AX970" s="15"/>
      <c r="AY970" s="15"/>
      <c r="AZ970" s="18"/>
      <c r="BA970" s="19">
        <v>0.025000000000000001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ht="14.25">
      <c r="AR971" s="15" t="s">
        <v>334</v>
      </c>
      <c r="AS971" s="15" t="s">
        <v>574</v>
      </c>
      <c r="AT971" s="15" t="s">
        <v>600</v>
      </c>
      <c r="AU971" s="15"/>
      <c r="AV971" s="15"/>
      <c r="AW971" s="15"/>
      <c r="AX971" s="15"/>
      <c r="AY971" s="15"/>
      <c r="AZ971" s="18"/>
      <c r="BA971" s="19">
        <v>0.025000000000000001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ht="14.25">
      <c r="AR972" s="15" t="s">
        <v>334</v>
      </c>
      <c r="AS972" s="15" t="s">
        <v>574</v>
      </c>
      <c r="AT972" s="15" t="s">
        <v>601</v>
      </c>
      <c r="AU972" s="15"/>
      <c r="AV972" s="15"/>
      <c r="AW972" s="15"/>
      <c r="AX972" s="15"/>
      <c r="AY972" s="15"/>
      <c r="AZ972" s="18"/>
      <c r="BA972" s="19">
        <v>0.025000000000000001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ht="14.25">
      <c r="AR973" s="15" t="s">
        <v>334</v>
      </c>
      <c r="AS973" s="15" t="s">
        <v>574</v>
      </c>
      <c r="AT973" s="15" t="s">
        <v>602</v>
      </c>
      <c r="AU973" s="15"/>
      <c r="AV973" s="15"/>
      <c r="AW973" s="15"/>
      <c r="AX973" s="15"/>
      <c r="AY973" s="15"/>
      <c r="AZ973" s="18"/>
      <c r="BA973" s="19">
        <v>0.025000000000000001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ht="14.25">
      <c r="AR974" s="15" t="s">
        <v>334</v>
      </c>
      <c r="AS974" s="15" t="s">
        <v>574</v>
      </c>
      <c r="AT974" s="15" t="s">
        <v>603</v>
      </c>
      <c r="AU974" s="15"/>
      <c r="AV974" s="15"/>
      <c r="AW974" s="15"/>
      <c r="AX974" s="15"/>
      <c r="AY974" s="15"/>
      <c r="AZ974" s="18"/>
      <c r="BA974" s="19">
        <v>0.025000000000000001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ht="14.25">
      <c r="AR975" s="15" t="s">
        <v>334</v>
      </c>
      <c r="AS975" s="15" t="s">
        <v>574</v>
      </c>
      <c r="AT975" s="15" t="s">
        <v>604</v>
      </c>
      <c r="AU975" s="15"/>
      <c r="AV975" s="15"/>
      <c r="AW975" s="15"/>
      <c r="AX975" s="15"/>
      <c r="AY975" s="15"/>
      <c r="AZ975" s="18"/>
      <c r="BA975" s="19">
        <v>0.025000000000000001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ht="14.25">
      <c r="AR976" s="15" t="s">
        <v>334</v>
      </c>
      <c r="AS976" s="15" t="s">
        <v>574</v>
      </c>
      <c r="AT976" s="15" t="s">
        <v>605</v>
      </c>
      <c r="AU976" s="15"/>
      <c r="AV976" s="15"/>
      <c r="AW976" s="15"/>
      <c r="AX976" s="15"/>
      <c r="AY976" s="15"/>
      <c r="AZ976" s="18"/>
      <c r="BA976" s="19">
        <v>0.025000000000000001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ht="14.25">
      <c r="AR977" s="15" t="s">
        <v>334</v>
      </c>
      <c r="AS977" s="15" t="s">
        <v>574</v>
      </c>
      <c r="AT977" s="15" t="s">
        <v>606</v>
      </c>
      <c r="AU977" s="15"/>
      <c r="AV977" s="15"/>
      <c r="AW977" s="15"/>
      <c r="AX977" s="15"/>
      <c r="AY977" s="15"/>
      <c r="AZ977" s="18"/>
      <c r="BA977" s="19">
        <v>0.025000000000000001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ht="14.25">
      <c r="AR978" s="15" t="s">
        <v>334</v>
      </c>
      <c r="AS978" s="15" t="s">
        <v>574</v>
      </c>
      <c r="AT978" s="15" t="s">
        <v>607</v>
      </c>
      <c r="AU978" s="15"/>
      <c r="AV978" s="15"/>
      <c r="AW978" s="15"/>
      <c r="AX978" s="15"/>
      <c r="AY978" s="15"/>
      <c r="AZ978" s="18"/>
      <c r="BA978" s="19">
        <v>0.025000000000000001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ht="14.25">
      <c r="AR979" s="15" t="s">
        <v>334</v>
      </c>
      <c r="AS979" s="15" t="s">
        <v>574</v>
      </c>
      <c r="AT979" s="15" t="s">
        <v>608</v>
      </c>
      <c r="AU979" s="15"/>
      <c r="AV979" s="15"/>
      <c r="AW979" s="15"/>
      <c r="AX979" s="15"/>
      <c r="AY979" s="15"/>
      <c r="AZ979" s="18"/>
      <c r="BA979" s="19">
        <v>0.025000000000000001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ht="14.25">
      <c r="AR980" s="15" t="s">
        <v>334</v>
      </c>
      <c r="AS980" s="15" t="s">
        <v>574</v>
      </c>
      <c r="AT980" s="15" t="s">
        <v>609</v>
      </c>
      <c r="AU980" s="15"/>
      <c r="AV980" s="15"/>
      <c r="AW980" s="15"/>
      <c r="AX980" s="15"/>
      <c r="AY980" s="15"/>
      <c r="AZ980" s="18"/>
      <c r="BA980" s="19">
        <v>0.025000000000000001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ht="14.25">
      <c r="AR981" s="15" t="s">
        <v>334</v>
      </c>
      <c r="AS981" s="15" t="s">
        <v>574</v>
      </c>
      <c r="AT981" s="15" t="s">
        <v>610</v>
      </c>
      <c r="AU981" s="15"/>
      <c r="AV981" s="15"/>
      <c r="AW981" s="15"/>
      <c r="AX981" s="15"/>
      <c r="AY981" s="15"/>
      <c r="AZ981" s="18"/>
      <c r="BA981" s="19">
        <v>0.025000000000000001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ht="14.25">
      <c r="AR982" s="15" t="s">
        <v>334</v>
      </c>
      <c r="AS982" s="15" t="s">
        <v>574</v>
      </c>
      <c r="AT982" s="15" t="s">
        <v>611</v>
      </c>
      <c r="AU982" s="15"/>
      <c r="AV982" s="15"/>
      <c r="AW982" s="15"/>
      <c r="AX982" s="15"/>
      <c r="AY982" s="15"/>
      <c r="AZ982" s="18"/>
      <c r="BA982" s="19">
        <v>0.025000000000000001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ht="14.25">
      <c r="AR983" s="15" t="s">
        <v>334</v>
      </c>
      <c r="AS983" s="15" t="s">
        <v>574</v>
      </c>
      <c r="AT983" s="15" t="s">
        <v>612</v>
      </c>
      <c r="AU983" s="15"/>
      <c r="AV983" s="15"/>
      <c r="AW983" s="15"/>
      <c r="AX983" s="15"/>
      <c r="AY983" s="15"/>
      <c r="AZ983" s="18"/>
      <c r="BA983" s="19">
        <v>0.025000000000000001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ht="14.25">
      <c r="AR984" s="15" t="s">
        <v>334</v>
      </c>
      <c r="AS984" s="15" t="s">
        <v>574</v>
      </c>
      <c r="AT984" s="15" t="s">
        <v>613</v>
      </c>
      <c r="AU984" s="15"/>
      <c r="AV984" s="15"/>
      <c r="AW984" s="15"/>
      <c r="AX984" s="15"/>
      <c r="AY984" s="15"/>
      <c r="AZ984" s="18"/>
      <c r="BA984" s="19">
        <v>0.025000000000000001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ht="14.25">
      <c r="AR985" s="15" t="s">
        <v>334</v>
      </c>
      <c r="AS985" s="15" t="s">
        <v>574</v>
      </c>
      <c r="AT985" s="15" t="s">
        <v>614</v>
      </c>
      <c r="AU985" s="15"/>
      <c r="AV985" s="15"/>
      <c r="AW985" s="15"/>
      <c r="AX985" s="15"/>
      <c r="AY985" s="15"/>
      <c r="AZ985" s="18"/>
      <c r="BA985" s="19">
        <v>0.025000000000000001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ht="14.25">
      <c r="AR986" s="15" t="s">
        <v>334</v>
      </c>
      <c r="AS986" s="15" t="s">
        <v>574</v>
      </c>
      <c r="AT986" s="15" t="s">
        <v>615</v>
      </c>
      <c r="AU986" s="15"/>
      <c r="AV986" s="15"/>
      <c r="AW986" s="15"/>
      <c r="AX986" s="15"/>
      <c r="AY986" s="15"/>
      <c r="AZ986" s="18"/>
      <c r="BA986" s="19">
        <v>0.025000000000000001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ht="14.25">
      <c r="AR987" s="15" t="s">
        <v>334</v>
      </c>
      <c r="AS987" s="15" t="s">
        <v>574</v>
      </c>
      <c r="AT987" s="15" t="s">
        <v>616</v>
      </c>
      <c r="AU987" s="15"/>
      <c r="AV987" s="15"/>
      <c r="AW987" s="15"/>
      <c r="AX987" s="15"/>
      <c r="AY987" s="15"/>
      <c r="AZ987" s="18"/>
      <c r="BA987" s="19">
        <v>0.025000000000000001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ht="14.25">
      <c r="AR988" s="15" t="s">
        <v>334</v>
      </c>
      <c r="AS988" s="15" t="s">
        <v>574</v>
      </c>
      <c r="AT988" s="15" t="s">
        <v>617</v>
      </c>
      <c r="AU988" s="15"/>
      <c r="AV988" s="15"/>
      <c r="AW988" s="15"/>
      <c r="AX988" s="15"/>
      <c r="AY988" s="15"/>
      <c r="AZ988" s="18"/>
      <c r="BA988" s="19">
        <v>0.025000000000000001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ht="14.25">
      <c r="AR989" s="15" t="s">
        <v>334</v>
      </c>
      <c r="AS989" s="15" t="s">
        <v>574</v>
      </c>
      <c r="AT989" s="15" t="s">
        <v>618</v>
      </c>
      <c r="AU989" s="15"/>
      <c r="AV989" s="15"/>
      <c r="AW989" s="15"/>
      <c r="AX989" s="15"/>
      <c r="AY989" s="15"/>
      <c r="AZ989" s="18"/>
      <c r="BA989" s="19">
        <v>0.025000000000000001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ht="14.25">
      <c r="AR990" s="15" t="s">
        <v>334</v>
      </c>
      <c r="AS990" s="15" t="s">
        <v>574</v>
      </c>
      <c r="AT990" s="15" t="s">
        <v>619</v>
      </c>
      <c r="AU990" s="15"/>
      <c r="AV990" s="15"/>
      <c r="AW990" s="15"/>
      <c r="AX990" s="15"/>
      <c r="AY990" s="15"/>
      <c r="AZ990" s="18"/>
      <c r="BA990" s="19">
        <v>0.025000000000000001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ht="14.25">
      <c r="AR991" s="15" t="s">
        <v>334</v>
      </c>
      <c r="AS991" s="15" t="s">
        <v>574</v>
      </c>
      <c r="AT991" s="15" t="s">
        <v>620</v>
      </c>
      <c r="AU991" s="15"/>
      <c r="AV991" s="15"/>
      <c r="AW991" s="15"/>
      <c r="AX991" s="15"/>
      <c r="AY991" s="15"/>
      <c r="AZ991" s="18"/>
      <c r="BA991" s="19">
        <v>0.025000000000000001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ht="14.25">
      <c r="AR992" s="15" t="s">
        <v>334</v>
      </c>
      <c r="AS992" s="15" t="s">
        <v>574</v>
      </c>
      <c r="AT992" s="15" t="s">
        <v>621</v>
      </c>
      <c r="AU992" s="15"/>
      <c r="AV992" s="15"/>
      <c r="AW992" s="15"/>
      <c r="AX992" s="15"/>
      <c r="AY992" s="15"/>
      <c r="AZ992" s="18"/>
      <c r="BA992" s="19">
        <v>0.025000000000000001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ht="14.25">
      <c r="AR993" s="15" t="s">
        <v>334</v>
      </c>
      <c r="AS993" s="15" t="s">
        <v>574</v>
      </c>
      <c r="AT993" s="15" t="s">
        <v>622</v>
      </c>
      <c r="AU993" s="15"/>
      <c r="AV993" s="15"/>
      <c r="AW993" s="15"/>
      <c r="AX993" s="15"/>
      <c r="AY993" s="15"/>
      <c r="AZ993" s="18"/>
      <c r="BA993" s="19">
        <v>0.025000000000000001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ht="14.25">
      <c r="AR994" s="15" t="s">
        <v>334</v>
      </c>
      <c r="AS994" s="15" t="s">
        <v>574</v>
      </c>
      <c r="AT994" s="15" t="s">
        <v>623</v>
      </c>
      <c r="AU994" s="15"/>
      <c r="AV994" s="15"/>
      <c r="AW994" s="15"/>
      <c r="AX994" s="15"/>
      <c r="AY994" s="15"/>
      <c r="AZ994" s="18"/>
      <c r="BA994" s="19">
        <v>0.025000000000000001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ht="14.25">
      <c r="AR995" s="15" t="s">
        <v>334</v>
      </c>
      <c r="AS995" s="15" t="s">
        <v>574</v>
      </c>
      <c r="AT995" s="15" t="s">
        <v>624</v>
      </c>
      <c r="AU995" s="15"/>
      <c r="AV995" s="15"/>
      <c r="AW995" s="15"/>
      <c r="AX995" s="15"/>
      <c r="AY995" s="15"/>
      <c r="AZ995" s="18"/>
      <c r="BA995" s="19">
        <v>0.025000000000000001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ht="14.25">
      <c r="AR996" s="15" t="s">
        <v>334</v>
      </c>
      <c r="AS996" s="15" t="s">
        <v>574</v>
      </c>
      <c r="AT996" s="15" t="s">
        <v>625</v>
      </c>
      <c r="AU996" s="15"/>
      <c r="AV996" s="15"/>
      <c r="AW996" s="15"/>
      <c r="AX996" s="15"/>
      <c r="AY996" s="15"/>
      <c r="AZ996" s="18"/>
      <c r="BA996" s="19">
        <v>0.025000000000000001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ht="14.25">
      <c r="AR997" s="15" t="s">
        <v>334</v>
      </c>
      <c r="AS997" s="15" t="s">
        <v>574</v>
      </c>
      <c r="AT997" s="15" t="s">
        <v>626</v>
      </c>
      <c r="AU997" s="15"/>
      <c r="AV997" s="15"/>
      <c r="AW997" s="15"/>
      <c r="AX997" s="15"/>
      <c r="AY997" s="15"/>
      <c r="AZ997" s="18"/>
      <c r="BA997" s="19">
        <v>0.025000000000000001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ht="14.25">
      <c r="AR998" s="15" t="s">
        <v>334</v>
      </c>
      <c r="AS998" s="15" t="s">
        <v>574</v>
      </c>
      <c r="AT998" s="15" t="s">
        <v>627</v>
      </c>
      <c r="AU998" s="15"/>
      <c r="AV998" s="15"/>
      <c r="AW998" s="15"/>
      <c r="AX998" s="15"/>
      <c r="AY998" s="15"/>
      <c r="AZ998" s="18"/>
      <c r="BA998" s="19">
        <v>0.025000000000000001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ht="14.25">
      <c r="AR999" s="15" t="s">
        <v>334</v>
      </c>
      <c r="AS999" s="15" t="s">
        <v>574</v>
      </c>
      <c r="AT999" s="15" t="s">
        <v>628</v>
      </c>
      <c r="AU999" s="15"/>
      <c r="AV999" s="15"/>
      <c r="AW999" s="15"/>
      <c r="AX999" s="15"/>
      <c r="AY999" s="15"/>
      <c r="AZ999" s="18"/>
      <c r="BA999" s="19">
        <v>0.025000000000000001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ht="14.25">
      <c r="AR1000" s="15" t="s">
        <v>334</v>
      </c>
      <c r="AS1000" s="15" t="s">
        <v>574</v>
      </c>
      <c r="AT1000" s="15" t="s">
        <v>629</v>
      </c>
      <c r="AU1000" s="15"/>
      <c r="AV1000" s="15"/>
      <c r="AW1000" s="15"/>
      <c r="AX1000" s="15"/>
      <c r="AY1000" s="15"/>
      <c r="AZ1000" s="18"/>
      <c r="BA1000" s="19">
        <v>0.025000000000000001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ht="14.25">
      <c r="AR1001" s="15" t="s">
        <v>334</v>
      </c>
      <c r="AS1001" s="15" t="s">
        <v>574</v>
      </c>
      <c r="AT1001" s="15" t="s">
        <v>630</v>
      </c>
      <c r="AU1001" s="15"/>
      <c r="AV1001" s="15"/>
      <c r="AW1001" s="15"/>
      <c r="AX1001" s="15"/>
      <c r="AY1001" s="15"/>
      <c r="AZ1001" s="18"/>
      <c r="BA1001" s="19">
        <v>0.025000000000000001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ht="14.25">
      <c r="AR1002" s="15" t="s">
        <v>334</v>
      </c>
      <c r="AS1002" s="15" t="s">
        <v>574</v>
      </c>
      <c r="AT1002" s="15" t="s">
        <v>631</v>
      </c>
      <c r="AU1002" s="15"/>
      <c r="AV1002" s="15"/>
      <c r="AW1002" s="15"/>
      <c r="AX1002" s="15"/>
      <c r="AY1002" s="15"/>
      <c r="AZ1002" s="18"/>
      <c r="BA1002" s="19">
        <v>0.025000000000000001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ht="14.25">
      <c r="AR1003" s="15" t="s">
        <v>334</v>
      </c>
      <c r="AS1003" s="15" t="s">
        <v>574</v>
      </c>
      <c r="AT1003" s="15" t="s">
        <v>632</v>
      </c>
      <c r="AU1003" s="15"/>
      <c r="AV1003" s="15"/>
      <c r="AW1003" s="15"/>
      <c r="AX1003" s="15"/>
      <c r="AY1003" s="15"/>
      <c r="AZ1003" s="18"/>
      <c r="BA1003" s="19">
        <v>0.025000000000000001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ht="14.25">
      <c r="AR1004" s="15" t="s">
        <v>334</v>
      </c>
      <c r="AS1004" s="15" t="s">
        <v>574</v>
      </c>
      <c r="AT1004" s="15" t="s">
        <v>633</v>
      </c>
      <c r="AU1004" s="15"/>
      <c r="AV1004" s="15"/>
      <c r="AW1004" s="15"/>
      <c r="AX1004" s="15"/>
      <c r="AY1004" s="15"/>
      <c r="AZ1004" s="18"/>
      <c r="BA1004" s="19">
        <v>0.025000000000000001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ht="14.25">
      <c r="AR1005" s="15" t="s">
        <v>334</v>
      </c>
      <c r="AS1005" s="15" t="s">
        <v>574</v>
      </c>
      <c r="AT1005" s="15" t="s">
        <v>634</v>
      </c>
      <c r="AU1005" s="15"/>
      <c r="AV1005" s="15"/>
      <c r="AW1005" s="15"/>
      <c r="AX1005" s="15"/>
      <c r="AY1005" s="15"/>
      <c r="AZ1005" s="18"/>
      <c r="BA1005" s="19">
        <v>0.025000000000000001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ht="14.25">
      <c r="AR1006" s="15" t="s">
        <v>334</v>
      </c>
      <c r="AS1006" s="15" t="s">
        <v>574</v>
      </c>
      <c r="AT1006" s="15" t="s">
        <v>635</v>
      </c>
      <c r="AU1006" s="15"/>
      <c r="AV1006" s="15"/>
      <c r="AW1006" s="15"/>
      <c r="AX1006" s="15"/>
      <c r="AY1006" s="15"/>
      <c r="AZ1006" s="18"/>
      <c r="BA1006" s="19">
        <v>0.025000000000000001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ht="14.25">
      <c r="AR1007" s="15" t="s">
        <v>334</v>
      </c>
      <c r="AS1007" s="15" t="s">
        <v>574</v>
      </c>
      <c r="AT1007" s="15" t="s">
        <v>636</v>
      </c>
      <c r="AU1007" s="15"/>
      <c r="AV1007" s="15"/>
      <c r="AW1007" s="15"/>
      <c r="AX1007" s="15"/>
      <c r="AY1007" s="15"/>
      <c r="AZ1007" s="18"/>
      <c r="BA1007" s="19">
        <v>0.025000000000000001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ht="14.25">
      <c r="AR1008" s="15" t="s">
        <v>334</v>
      </c>
      <c r="AS1008" s="15" t="s">
        <v>574</v>
      </c>
      <c r="AT1008" s="15" t="s">
        <v>637</v>
      </c>
      <c r="AU1008" s="15"/>
      <c r="AV1008" s="15"/>
      <c r="AW1008" s="15"/>
      <c r="AX1008" s="15"/>
      <c r="AY1008" s="15"/>
      <c r="AZ1008" s="18"/>
      <c r="BA1008" s="19">
        <v>0.025000000000000001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ht="14.25">
      <c r="AR1009" s="15" t="s">
        <v>334</v>
      </c>
      <c r="AS1009" s="15" t="s">
        <v>574</v>
      </c>
      <c r="AT1009" s="15" t="s">
        <v>638</v>
      </c>
      <c r="AU1009" s="15"/>
      <c r="AV1009" s="15"/>
      <c r="AW1009" s="15"/>
      <c r="AX1009" s="15"/>
      <c r="AY1009" s="15"/>
      <c r="AZ1009" s="18"/>
      <c r="BA1009" s="19">
        <v>0.025000000000000001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ht="14.25">
      <c r="AR1010" s="15" t="s">
        <v>334</v>
      </c>
      <c r="AS1010" s="15" t="s">
        <v>574</v>
      </c>
      <c r="AT1010" s="15" t="s">
        <v>639</v>
      </c>
      <c r="AU1010" s="15"/>
      <c r="AV1010" s="15"/>
      <c r="AW1010" s="15"/>
      <c r="AX1010" s="15"/>
      <c r="AY1010" s="15"/>
      <c r="AZ1010" s="18"/>
      <c r="BA1010" s="19">
        <v>0.025000000000000001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ht="14.25">
      <c r="AR1011" s="15" t="s">
        <v>334</v>
      </c>
      <c r="AS1011" s="15" t="s">
        <v>574</v>
      </c>
      <c r="AT1011" s="15" t="s">
        <v>640</v>
      </c>
      <c r="AU1011" s="15"/>
      <c r="AV1011" s="15"/>
      <c r="AW1011" s="15"/>
      <c r="AX1011" s="15"/>
      <c r="AY1011" s="15"/>
      <c r="AZ1011" s="18"/>
      <c r="BA1011" s="19">
        <v>0.025000000000000001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ht="14.25">
      <c r="AR1012" s="15" t="s">
        <v>334</v>
      </c>
      <c r="AS1012" s="15" t="s">
        <v>574</v>
      </c>
      <c r="AT1012" s="15" t="s">
        <v>641</v>
      </c>
      <c r="AU1012" s="15"/>
      <c r="AV1012" s="15"/>
      <c r="AW1012" s="15"/>
      <c r="AX1012" s="15"/>
      <c r="AY1012" s="15"/>
      <c r="AZ1012" s="18"/>
      <c r="BA1012" s="19">
        <v>0.025000000000000001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ht="14.25">
      <c r="AR1013" s="15" t="s">
        <v>334</v>
      </c>
      <c r="AS1013" s="15" t="s">
        <v>574</v>
      </c>
      <c r="AT1013" s="15" t="s">
        <v>642</v>
      </c>
      <c r="AU1013" s="15"/>
      <c r="AV1013" s="15"/>
      <c r="AW1013" s="15"/>
      <c r="AX1013" s="15"/>
      <c r="AY1013" s="15"/>
      <c r="AZ1013" s="18"/>
      <c r="BA1013" s="19">
        <v>0.025000000000000001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ht="14.25">
      <c r="AR1014" s="15" t="s">
        <v>334</v>
      </c>
      <c r="AS1014" s="15" t="s">
        <v>574</v>
      </c>
      <c r="AT1014" s="15" t="s">
        <v>643</v>
      </c>
      <c r="AU1014" s="15"/>
      <c r="AV1014" s="15"/>
      <c r="AW1014" s="15"/>
      <c r="AX1014" s="15"/>
      <c r="AY1014" s="15"/>
      <c r="AZ1014" s="18"/>
      <c r="BA1014" s="19">
        <v>0.025000000000000001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ht="14.25">
      <c r="AR1015" s="15" t="s">
        <v>334</v>
      </c>
      <c r="AS1015" s="15" t="s">
        <v>574</v>
      </c>
      <c r="AT1015" s="15" t="s">
        <v>644</v>
      </c>
      <c r="AU1015" s="15"/>
      <c r="AV1015" s="15"/>
      <c r="AW1015" s="15"/>
      <c r="AX1015" s="15"/>
      <c r="AY1015" s="15"/>
      <c r="AZ1015" s="18"/>
      <c r="BA1015" s="19">
        <v>0.025000000000000001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ht="14.25">
      <c r="AR1016" s="15" t="s">
        <v>334</v>
      </c>
      <c r="AS1016" s="15" t="s">
        <v>574</v>
      </c>
      <c r="AT1016" s="15" t="s">
        <v>645</v>
      </c>
      <c r="AU1016" s="15"/>
      <c r="AV1016" s="15"/>
      <c r="AW1016" s="15"/>
      <c r="AX1016" s="15"/>
      <c r="AY1016" s="15"/>
      <c r="AZ1016" s="18"/>
      <c r="BA1016" s="19">
        <v>0.025000000000000001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ht="14.25">
      <c r="AR1017" s="15" t="s">
        <v>334</v>
      </c>
      <c r="AS1017" s="15" t="s">
        <v>574</v>
      </c>
      <c r="AT1017" s="15" t="s">
        <v>646</v>
      </c>
      <c r="AU1017" s="15"/>
      <c r="AV1017" s="15"/>
      <c r="AW1017" s="15"/>
      <c r="AX1017" s="15"/>
      <c r="AY1017" s="15"/>
      <c r="AZ1017" s="18"/>
      <c r="BA1017" s="19">
        <v>0.025000000000000001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ht="14.25">
      <c r="AR1018" s="15" t="s">
        <v>334</v>
      </c>
      <c r="AS1018" s="15" t="s">
        <v>574</v>
      </c>
      <c r="AT1018" s="15" t="s">
        <v>647</v>
      </c>
      <c r="AU1018" s="15"/>
      <c r="AV1018" s="15"/>
      <c r="AW1018" s="15"/>
      <c r="AX1018" s="15"/>
      <c r="AY1018" s="15"/>
      <c r="AZ1018" s="18"/>
      <c r="BA1018" s="19">
        <v>0.025000000000000001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ht="14.25">
      <c r="AR1019" s="15" t="s">
        <v>334</v>
      </c>
      <c r="AS1019" s="15" t="s">
        <v>574</v>
      </c>
      <c r="AT1019" s="15" t="s">
        <v>648</v>
      </c>
      <c r="AU1019" s="15"/>
      <c r="AV1019" s="15"/>
      <c r="AW1019" s="15"/>
      <c r="AX1019" s="15"/>
      <c r="AY1019" s="15"/>
      <c r="AZ1019" s="18"/>
      <c r="BA1019" s="19">
        <v>0.025000000000000001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ht="14.25">
      <c r="AR1020" s="15" t="s">
        <v>334</v>
      </c>
      <c r="AS1020" s="15" t="s">
        <v>574</v>
      </c>
      <c r="AT1020" s="15" t="s">
        <v>649</v>
      </c>
      <c r="AU1020" s="15"/>
      <c r="AV1020" s="15"/>
      <c r="AW1020" s="15"/>
      <c r="AX1020" s="15"/>
      <c r="AY1020" s="15"/>
      <c r="AZ1020" s="18"/>
      <c r="BA1020" s="19">
        <v>0.025000000000000001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ht="14.25">
      <c r="AR1021" s="15" t="s">
        <v>334</v>
      </c>
      <c r="AS1021" s="15" t="s">
        <v>574</v>
      </c>
      <c r="AT1021" s="15" t="s">
        <v>650</v>
      </c>
      <c r="AU1021" s="15"/>
      <c r="AV1021" s="15"/>
      <c r="AW1021" s="15"/>
      <c r="AX1021" s="15"/>
      <c r="AY1021" s="15"/>
      <c r="AZ1021" s="18"/>
      <c r="BA1021" s="19">
        <v>0.025000000000000001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ht="14.25">
      <c r="AR1022" s="15" t="s">
        <v>334</v>
      </c>
      <c r="AS1022" s="15" t="s">
        <v>574</v>
      </c>
      <c r="AT1022" s="15" t="s">
        <v>651</v>
      </c>
      <c r="AU1022" s="15"/>
      <c r="AV1022" s="15"/>
      <c r="AW1022" s="15"/>
      <c r="AX1022" s="15"/>
      <c r="AY1022" s="15"/>
      <c r="AZ1022" s="18"/>
      <c r="BA1022" s="19">
        <v>0.025000000000000001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ht="14.25">
      <c r="AR1023" s="15" t="s">
        <v>334</v>
      </c>
      <c r="AS1023" s="15" t="s">
        <v>574</v>
      </c>
      <c r="AT1023" s="15" t="s">
        <v>652</v>
      </c>
      <c r="AU1023" s="15"/>
      <c r="AV1023" s="15"/>
      <c r="AW1023" s="15"/>
      <c r="AX1023" s="15"/>
      <c r="AY1023" s="15"/>
      <c r="AZ1023" s="18"/>
      <c r="BA1023" s="19">
        <v>0.025000000000000001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ht="14.25">
      <c r="AR1024" s="15" t="s">
        <v>334</v>
      </c>
      <c r="AS1024" s="15" t="s">
        <v>574</v>
      </c>
      <c r="AT1024" s="15" t="s">
        <v>653</v>
      </c>
      <c r="AU1024" s="15"/>
      <c r="AV1024" s="15"/>
      <c r="AW1024" s="15"/>
      <c r="AX1024" s="15"/>
      <c r="AY1024" s="15"/>
      <c r="AZ1024" s="18"/>
      <c r="BA1024" s="19">
        <v>0.025000000000000001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ht="14.25">
      <c r="AR1025" s="15" t="s">
        <v>334</v>
      </c>
      <c r="AS1025" s="15" t="s">
        <v>574</v>
      </c>
      <c r="AT1025" s="15" t="s">
        <v>654</v>
      </c>
      <c r="AU1025" s="15"/>
      <c r="AV1025" s="15"/>
      <c r="AW1025" s="15"/>
      <c r="AX1025" s="15"/>
      <c r="AY1025" s="15"/>
      <c r="AZ1025" s="18"/>
      <c r="BA1025" s="19">
        <v>0.025000000000000001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ht="14.25">
      <c r="AR1026" s="15" t="s">
        <v>334</v>
      </c>
      <c r="AS1026" s="15" t="s">
        <v>574</v>
      </c>
      <c r="AT1026" s="15" t="s">
        <v>655</v>
      </c>
      <c r="AU1026" s="15"/>
      <c r="AV1026" s="15"/>
      <c r="AW1026" s="15"/>
      <c r="AX1026" s="15"/>
      <c r="AY1026" s="15"/>
      <c r="AZ1026" s="18"/>
      <c r="BA1026" s="19">
        <v>0.025000000000000001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ht="14.25">
      <c r="AR1027" s="15" t="s">
        <v>334</v>
      </c>
      <c r="AS1027" s="15" t="s">
        <v>574</v>
      </c>
      <c r="AT1027" s="15" t="s">
        <v>656</v>
      </c>
      <c r="AU1027" s="15"/>
      <c r="AV1027" s="15"/>
      <c r="AW1027" s="15"/>
      <c r="AX1027" s="15"/>
      <c r="AY1027" s="15"/>
      <c r="AZ1027" s="18"/>
      <c r="BA1027" s="19">
        <v>0.025000000000000001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ht="14.25">
      <c r="AR1028" s="15" t="s">
        <v>334</v>
      </c>
      <c r="AS1028" s="15" t="s">
        <v>574</v>
      </c>
      <c r="AT1028" s="15" t="s">
        <v>657</v>
      </c>
      <c r="AU1028" s="15"/>
      <c r="AV1028" s="15"/>
      <c r="AW1028" s="15"/>
      <c r="AX1028" s="15"/>
      <c r="AY1028" s="15"/>
      <c r="AZ1028" s="18"/>
      <c r="BA1028" s="19">
        <v>0.025000000000000001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ht="14.25">
      <c r="AR1029" s="15" t="s">
        <v>334</v>
      </c>
      <c r="AS1029" s="15" t="s">
        <v>574</v>
      </c>
      <c r="AT1029" s="15" t="s">
        <v>658</v>
      </c>
      <c r="AU1029" s="15"/>
      <c r="AV1029" s="15"/>
      <c r="AW1029" s="15"/>
      <c r="AX1029" s="15"/>
      <c r="AY1029" s="15"/>
      <c r="AZ1029" s="18"/>
      <c r="BA1029" s="19">
        <v>0.025000000000000001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ht="14.25">
      <c r="AR1030" s="15" t="s">
        <v>334</v>
      </c>
      <c r="AS1030" s="15" t="s">
        <v>574</v>
      </c>
      <c r="AT1030" s="15" t="s">
        <v>659</v>
      </c>
      <c r="AU1030" s="15"/>
      <c r="AV1030" s="15"/>
      <c r="AW1030" s="15"/>
      <c r="AX1030" s="15"/>
      <c r="AY1030" s="15"/>
      <c r="AZ1030" s="18"/>
      <c r="BA1030" s="19">
        <v>0.025000000000000001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ht="14.25">
      <c r="AR1031" s="15" t="s">
        <v>334</v>
      </c>
      <c r="AS1031" s="15" t="s">
        <v>574</v>
      </c>
      <c r="AT1031" s="15" t="s">
        <v>660</v>
      </c>
      <c r="AU1031" s="15"/>
      <c r="AV1031" s="15"/>
      <c r="AW1031" s="15"/>
      <c r="AX1031" s="15"/>
      <c r="AY1031" s="15"/>
      <c r="AZ1031" s="18"/>
      <c r="BA1031" s="19">
        <v>0.025000000000000001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ht="14.25">
      <c r="AR1032" s="15" t="s">
        <v>334</v>
      </c>
      <c r="AS1032" s="15" t="s">
        <v>574</v>
      </c>
      <c r="AT1032" s="15" t="s">
        <v>661</v>
      </c>
      <c r="AU1032" s="15"/>
      <c r="AV1032" s="15"/>
      <c r="AW1032" s="15"/>
      <c r="AX1032" s="15"/>
      <c r="AY1032" s="15"/>
      <c r="AZ1032" s="18"/>
      <c r="BA1032" s="19">
        <v>0.025000000000000001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ht="14.25">
      <c r="AR1033" s="15" t="s">
        <v>334</v>
      </c>
      <c r="AS1033" s="15" t="s">
        <v>574</v>
      </c>
      <c r="AT1033" s="15" t="s">
        <v>662</v>
      </c>
      <c r="AU1033" s="15"/>
      <c r="AV1033" s="15"/>
      <c r="AW1033" s="15"/>
      <c r="AX1033" s="15"/>
      <c r="AY1033" s="15"/>
      <c r="AZ1033" s="18"/>
      <c r="BA1033" s="19">
        <v>0.025000000000000001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ht="14.25">
      <c r="AR1034" s="15" t="s">
        <v>334</v>
      </c>
      <c r="AS1034" s="15" t="s">
        <v>574</v>
      </c>
      <c r="AT1034" s="15" t="s">
        <v>663</v>
      </c>
      <c r="AU1034" s="15"/>
      <c r="AV1034" s="15"/>
      <c r="AW1034" s="15"/>
      <c r="AX1034" s="15"/>
      <c r="AY1034" s="15"/>
      <c r="AZ1034" s="18"/>
      <c r="BA1034" s="19">
        <v>0.025000000000000001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ht="14.25">
      <c r="AR1035" s="15" t="s">
        <v>334</v>
      </c>
      <c r="AS1035" s="15" t="s">
        <v>574</v>
      </c>
      <c r="AT1035" s="15" t="s">
        <v>664</v>
      </c>
      <c r="AU1035" s="15"/>
      <c r="AV1035" s="15"/>
      <c r="AW1035" s="15"/>
      <c r="AX1035" s="15"/>
      <c r="AY1035" s="15"/>
      <c r="AZ1035" s="18"/>
      <c r="BA1035" s="19">
        <v>0.025000000000000001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ht="14.25">
      <c r="AR1036" s="15" t="s">
        <v>334</v>
      </c>
      <c r="AS1036" s="15" t="s">
        <v>574</v>
      </c>
      <c r="AT1036" s="15" t="s">
        <v>665</v>
      </c>
      <c r="AU1036" s="15"/>
      <c r="AV1036" s="15"/>
      <c r="AW1036" s="15"/>
      <c r="AX1036" s="15"/>
      <c r="AY1036" s="15"/>
      <c r="AZ1036" s="18"/>
      <c r="BA1036" s="19">
        <v>0.025000000000000001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ht="14.25">
      <c r="AR1037" s="15" t="s">
        <v>334</v>
      </c>
      <c r="AS1037" s="15" t="s">
        <v>574</v>
      </c>
      <c r="AT1037" s="15" t="s">
        <v>666</v>
      </c>
      <c r="AU1037" s="15"/>
      <c r="AV1037" s="15"/>
      <c r="AW1037" s="15"/>
      <c r="AX1037" s="15"/>
      <c r="AY1037" s="15"/>
      <c r="AZ1037" s="18"/>
      <c r="BA1037" s="19">
        <v>0.025000000000000001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ht="14.25">
      <c r="AR1038" s="15" t="s">
        <v>334</v>
      </c>
      <c r="AS1038" s="15" t="s">
        <v>574</v>
      </c>
      <c r="AT1038" s="15" t="s">
        <v>667</v>
      </c>
      <c r="AU1038" s="15"/>
      <c r="AV1038" s="15"/>
      <c r="AW1038" s="15"/>
      <c r="AX1038" s="15"/>
      <c r="AY1038" s="15"/>
      <c r="AZ1038" s="18"/>
      <c r="BA1038" s="19">
        <v>0.025000000000000001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ht="14.25">
      <c r="AR1039" s="15" t="s">
        <v>334</v>
      </c>
      <c r="AS1039" s="15" t="s">
        <v>574</v>
      </c>
      <c r="AT1039" s="15" t="s">
        <v>668</v>
      </c>
      <c r="AU1039" s="15"/>
      <c r="AV1039" s="15"/>
      <c r="AW1039" s="15"/>
      <c r="AX1039" s="15"/>
      <c r="AY1039" s="15"/>
      <c r="AZ1039" s="18"/>
      <c r="BA1039" s="19">
        <v>0.025000000000000001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ht="14.25">
      <c r="AR1040" s="15" t="s">
        <v>334</v>
      </c>
      <c r="AS1040" s="15" t="s">
        <v>574</v>
      </c>
      <c r="AT1040" s="15" t="s">
        <v>669</v>
      </c>
      <c r="AU1040" s="15"/>
      <c r="AV1040" s="15"/>
      <c r="AW1040" s="15"/>
      <c r="AX1040" s="15"/>
      <c r="AY1040" s="15"/>
      <c r="AZ1040" s="18"/>
      <c r="BA1040" s="19">
        <v>0.025000000000000001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ht="14.25">
      <c r="AR1041" s="15" t="s">
        <v>334</v>
      </c>
      <c r="AS1041" s="15" t="s">
        <v>574</v>
      </c>
      <c r="AT1041" s="15" t="s">
        <v>670</v>
      </c>
      <c r="AU1041" s="15"/>
      <c r="AV1041" s="15"/>
      <c r="AW1041" s="15"/>
      <c r="AX1041" s="15"/>
      <c r="AY1041" s="15"/>
      <c r="AZ1041" s="18"/>
      <c r="BA1041" s="19">
        <v>0.025000000000000001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ht="14.25">
      <c r="AR1042" s="15" t="s">
        <v>334</v>
      </c>
      <c r="AS1042" s="15" t="s">
        <v>574</v>
      </c>
      <c r="AT1042" s="15" t="s">
        <v>671</v>
      </c>
      <c r="AU1042" s="15"/>
      <c r="AV1042" s="15"/>
      <c r="AW1042" s="15"/>
      <c r="AX1042" s="15"/>
      <c r="AY1042" s="15"/>
      <c r="AZ1042" s="18"/>
      <c r="BA1042" s="19">
        <v>0.025000000000000001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ht="14.25">
      <c r="AR1043" s="15" t="s">
        <v>334</v>
      </c>
      <c r="AS1043" s="15" t="s">
        <v>574</v>
      </c>
      <c r="AT1043" s="15" t="s">
        <v>672</v>
      </c>
      <c r="AU1043" s="15"/>
      <c r="AV1043" s="15"/>
      <c r="AW1043" s="15"/>
      <c r="AX1043" s="15"/>
      <c r="AY1043" s="15"/>
      <c r="AZ1043" s="18"/>
      <c r="BA1043" s="19">
        <v>0.025000000000000001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ht="14.25">
      <c r="AR1044" s="15" t="s">
        <v>334</v>
      </c>
      <c r="AS1044" s="15" t="s">
        <v>574</v>
      </c>
      <c r="AT1044" s="15" t="s">
        <v>673</v>
      </c>
      <c r="AU1044" s="15"/>
      <c r="AV1044" s="15"/>
      <c r="AW1044" s="15"/>
      <c r="AX1044" s="15"/>
      <c r="AY1044" s="15"/>
      <c r="AZ1044" s="18"/>
      <c r="BA1044" s="19">
        <v>0.025000000000000001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ht="14.25">
      <c r="AR1045" s="15" t="s">
        <v>334</v>
      </c>
      <c r="AS1045" s="15" t="s">
        <v>574</v>
      </c>
      <c r="AT1045" s="15" t="s">
        <v>674</v>
      </c>
      <c r="AU1045" s="15"/>
      <c r="AV1045" s="15"/>
      <c r="AW1045" s="15"/>
      <c r="AX1045" s="15"/>
      <c r="AY1045" s="15"/>
      <c r="AZ1045" s="18"/>
      <c r="BA1045" s="19">
        <v>0.025000000000000001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ht="14.25">
      <c r="AR1046" s="15" t="s">
        <v>334</v>
      </c>
      <c r="AS1046" s="15" t="s">
        <v>574</v>
      </c>
      <c r="AT1046" s="15" t="s">
        <v>675</v>
      </c>
      <c r="AU1046" s="15"/>
      <c r="AV1046" s="15"/>
      <c r="AW1046" s="15"/>
      <c r="AX1046" s="15"/>
      <c r="AY1046" s="15"/>
      <c r="AZ1046" s="18"/>
      <c r="BA1046" s="19">
        <v>0.025000000000000001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ht="14.25">
      <c r="AR1047" s="15" t="s">
        <v>334</v>
      </c>
      <c r="AS1047" s="15" t="s">
        <v>574</v>
      </c>
      <c r="AT1047" s="15" t="s">
        <v>676</v>
      </c>
      <c r="AU1047" s="15"/>
      <c r="AV1047" s="15"/>
      <c r="AW1047" s="15"/>
      <c r="AX1047" s="15"/>
      <c r="AY1047" s="15"/>
      <c r="AZ1047" s="18"/>
      <c r="BA1047" s="19">
        <v>0.025000000000000001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ht="14.25">
      <c r="AR1048" s="15" t="s">
        <v>334</v>
      </c>
      <c r="AS1048" s="15" t="s">
        <v>574</v>
      </c>
      <c r="AT1048" s="15" t="s">
        <v>677</v>
      </c>
      <c r="AU1048" s="15"/>
      <c r="AV1048" s="15"/>
      <c r="AW1048" s="15"/>
      <c r="AX1048" s="15"/>
      <c r="AY1048" s="15"/>
      <c r="AZ1048" s="18"/>
      <c r="BA1048" s="19">
        <v>0.025000000000000001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ht="14.25">
      <c r="AR1049" s="15" t="s">
        <v>334</v>
      </c>
      <c r="AS1049" s="15" t="s">
        <v>574</v>
      </c>
      <c r="AT1049" s="15" t="s">
        <v>678</v>
      </c>
      <c r="AU1049" s="15"/>
      <c r="AV1049" s="15"/>
      <c r="AW1049" s="15"/>
      <c r="AX1049" s="15"/>
      <c r="AY1049" s="15"/>
      <c r="AZ1049" s="18"/>
      <c r="BA1049" s="19">
        <v>0.025000000000000001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ht="14.25">
      <c r="AR1050" s="15" t="s">
        <v>334</v>
      </c>
      <c r="AS1050" s="15" t="s">
        <v>574</v>
      </c>
      <c r="AT1050" s="15" t="s">
        <v>679</v>
      </c>
      <c r="AU1050" s="15"/>
      <c r="AV1050" s="15"/>
      <c r="AW1050" s="15"/>
      <c r="AX1050" s="15"/>
      <c r="AY1050" s="15"/>
      <c r="AZ1050" s="18"/>
      <c r="BA1050" s="19">
        <v>0.025000000000000001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ht="14.25">
      <c r="AR1051" s="15" t="s">
        <v>334</v>
      </c>
      <c r="AS1051" s="15" t="s">
        <v>574</v>
      </c>
      <c r="AT1051" s="15" t="s">
        <v>680</v>
      </c>
      <c r="AU1051" s="15"/>
      <c r="AV1051" s="15"/>
      <c r="AW1051" s="15"/>
      <c r="AX1051" s="15"/>
      <c r="AY1051" s="15"/>
      <c r="AZ1051" s="18"/>
      <c r="BA1051" s="19">
        <v>0.025000000000000001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ht="14.25">
      <c r="AR1052" s="15" t="s">
        <v>334</v>
      </c>
      <c r="AS1052" s="15" t="s">
        <v>574</v>
      </c>
      <c r="AT1052" s="15" t="s">
        <v>681</v>
      </c>
      <c r="AU1052" s="15"/>
      <c r="AV1052" s="15"/>
      <c r="AW1052" s="15"/>
      <c r="AX1052" s="15"/>
      <c r="AY1052" s="15"/>
      <c r="AZ1052" s="18"/>
      <c r="BA1052" s="19">
        <v>0.025000000000000001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ht="14.25">
      <c r="AR1053" s="15" t="s">
        <v>334</v>
      </c>
      <c r="AS1053" s="15" t="s">
        <v>574</v>
      </c>
      <c r="AT1053" s="15" t="s">
        <v>682</v>
      </c>
      <c r="AU1053" s="15"/>
      <c r="AV1053" s="15"/>
      <c r="AW1053" s="15"/>
      <c r="AX1053" s="15"/>
      <c r="AY1053" s="15"/>
      <c r="AZ1053" s="18"/>
      <c r="BA1053" s="19">
        <v>0.025000000000000001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ht="14.25">
      <c r="AR1054" s="15" t="s">
        <v>334</v>
      </c>
      <c r="AS1054" s="15" t="s">
        <v>574</v>
      </c>
      <c r="AT1054" s="15" t="s">
        <v>683</v>
      </c>
      <c r="AU1054" s="15"/>
      <c r="AV1054" s="15"/>
      <c r="AW1054" s="15"/>
      <c r="AX1054" s="15"/>
      <c r="AY1054" s="15"/>
      <c r="AZ1054" s="18"/>
      <c r="BA1054" s="19">
        <v>0.025000000000000001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ht="14.25">
      <c r="AR1055" s="15" t="s">
        <v>334</v>
      </c>
      <c r="AS1055" s="15" t="s">
        <v>574</v>
      </c>
      <c r="AT1055" s="15" t="s">
        <v>684</v>
      </c>
      <c r="AU1055" s="15"/>
      <c r="AV1055" s="15"/>
      <c r="AW1055" s="15"/>
      <c r="AX1055" s="15"/>
      <c r="AY1055" s="15"/>
      <c r="AZ1055" s="18"/>
      <c r="BA1055" s="19">
        <v>0.025000000000000001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ht="14.25">
      <c r="AR1056" s="15" t="s">
        <v>334</v>
      </c>
      <c r="AS1056" s="15" t="s">
        <v>574</v>
      </c>
      <c r="AT1056" s="15" t="s">
        <v>685</v>
      </c>
      <c r="AU1056" s="15"/>
      <c r="AV1056" s="15"/>
      <c r="AW1056" s="15"/>
      <c r="AX1056" s="15"/>
      <c r="AY1056" s="15"/>
      <c r="AZ1056" s="18"/>
      <c r="BA1056" s="19">
        <v>0.025000000000000001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ht="14.25">
      <c r="AR1057" s="15" t="s">
        <v>334</v>
      </c>
      <c r="AS1057" s="15" t="s">
        <v>574</v>
      </c>
      <c r="AT1057" s="15" t="s">
        <v>686</v>
      </c>
      <c r="AU1057" s="15"/>
      <c r="AV1057" s="15"/>
      <c r="AW1057" s="15"/>
      <c r="AX1057" s="15"/>
      <c r="AY1057" s="15"/>
      <c r="AZ1057" s="18"/>
      <c r="BA1057" s="19">
        <v>0.025000000000000001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ht="14.25">
      <c r="AR1058" s="15" t="s">
        <v>334</v>
      </c>
      <c r="AS1058" s="15" t="s">
        <v>574</v>
      </c>
      <c r="AT1058" s="15" t="s">
        <v>687</v>
      </c>
      <c r="AU1058" s="15"/>
      <c r="AV1058" s="15"/>
      <c r="AW1058" s="15"/>
      <c r="AX1058" s="15"/>
      <c r="AY1058" s="15"/>
      <c r="AZ1058" s="18"/>
      <c r="BA1058" s="19">
        <v>0.025000000000000001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ht="14.25">
      <c r="AR1059" s="15" t="s">
        <v>334</v>
      </c>
      <c r="AS1059" s="15" t="s">
        <v>574</v>
      </c>
      <c r="AT1059" s="15" t="s">
        <v>688</v>
      </c>
      <c r="AU1059" s="15"/>
      <c r="AV1059" s="15"/>
      <c r="AW1059" s="15"/>
      <c r="AX1059" s="15"/>
      <c r="AY1059" s="15"/>
      <c r="AZ1059" s="18"/>
      <c r="BA1059" s="19">
        <v>0.025000000000000001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ht="14.25">
      <c r="AR1060" s="15" t="s">
        <v>334</v>
      </c>
      <c r="AS1060" s="15" t="s">
        <v>574</v>
      </c>
      <c r="AT1060" s="15" t="s">
        <v>689</v>
      </c>
      <c r="AU1060" s="15"/>
      <c r="AV1060" s="15"/>
      <c r="AW1060" s="15"/>
      <c r="AX1060" s="15"/>
      <c r="AY1060" s="15"/>
      <c r="AZ1060" s="18"/>
      <c r="BA1060" s="19">
        <v>0.025000000000000001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ht="14.25">
      <c r="AR1061" s="15" t="s">
        <v>334</v>
      </c>
      <c r="AS1061" s="15" t="s">
        <v>574</v>
      </c>
      <c r="AT1061" s="15" t="s">
        <v>690</v>
      </c>
      <c r="AU1061" s="15"/>
      <c r="AV1061" s="15"/>
      <c r="AW1061" s="15"/>
      <c r="AX1061" s="15"/>
      <c r="AY1061" s="15"/>
      <c r="AZ1061" s="18"/>
      <c r="BA1061" s="19">
        <v>0.025000000000000001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ht="14.25">
      <c r="AR1062" s="15" t="s">
        <v>334</v>
      </c>
      <c r="AS1062" s="15" t="s">
        <v>574</v>
      </c>
      <c r="AT1062" s="15" t="s">
        <v>691</v>
      </c>
      <c r="AU1062" s="15"/>
      <c r="AV1062" s="15"/>
      <c r="AW1062" s="15"/>
      <c r="AX1062" s="15"/>
      <c r="AY1062" s="15"/>
      <c r="AZ1062" s="18"/>
      <c r="BA1062" s="19">
        <v>0.025000000000000001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ht="14.25">
      <c r="AR1063" s="15" t="s">
        <v>334</v>
      </c>
      <c r="AS1063" s="15" t="s">
        <v>574</v>
      </c>
      <c r="AT1063" s="15" t="s">
        <v>692</v>
      </c>
      <c r="AU1063" s="15"/>
      <c r="AV1063" s="15"/>
      <c r="AW1063" s="15"/>
      <c r="AX1063" s="15"/>
      <c r="AY1063" s="15"/>
      <c r="AZ1063" s="18"/>
      <c r="BA1063" s="19">
        <v>0.025000000000000001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ht="14.25">
      <c r="AR1064" s="15" t="s">
        <v>334</v>
      </c>
      <c r="AS1064" s="15" t="s">
        <v>574</v>
      </c>
      <c r="AT1064" s="15" t="s">
        <v>693</v>
      </c>
      <c r="AU1064" s="15"/>
      <c r="AV1064" s="15"/>
      <c r="AW1064" s="15"/>
      <c r="AX1064" s="15"/>
      <c r="AY1064" s="15"/>
      <c r="AZ1064" s="18"/>
      <c r="BA1064" s="19">
        <v>0.025000000000000001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ht="14.25">
      <c r="AR1065" s="15" t="s">
        <v>334</v>
      </c>
      <c r="AS1065" s="15" t="s">
        <v>574</v>
      </c>
      <c r="AT1065" s="15" t="s">
        <v>694</v>
      </c>
      <c r="AU1065" s="15"/>
      <c r="AV1065" s="15"/>
      <c r="AW1065" s="15"/>
      <c r="AX1065" s="15"/>
      <c r="AY1065" s="15"/>
      <c r="AZ1065" s="18"/>
      <c r="BA1065" s="19">
        <v>0.025000000000000001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ht="14.25">
      <c r="AR1066" s="15" t="s">
        <v>334</v>
      </c>
      <c r="AS1066" s="15" t="s">
        <v>574</v>
      </c>
      <c r="AT1066" s="15" t="s">
        <v>695</v>
      </c>
      <c r="AU1066" s="15"/>
      <c r="AV1066" s="15"/>
      <c r="AW1066" s="15"/>
      <c r="AX1066" s="15"/>
      <c r="AY1066" s="15"/>
      <c r="AZ1066" s="18"/>
      <c r="BA1066" s="19">
        <v>0.025000000000000001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ht="14.25">
      <c r="AR1067" s="15" t="s">
        <v>334</v>
      </c>
      <c r="AS1067" s="15" t="s">
        <v>574</v>
      </c>
      <c r="AT1067" s="15" t="s">
        <v>696</v>
      </c>
      <c r="AU1067" s="15"/>
      <c r="AV1067" s="15"/>
      <c r="AW1067" s="15"/>
      <c r="AX1067" s="15"/>
      <c r="AY1067" s="15"/>
      <c r="AZ1067" s="18"/>
      <c r="BA1067" s="19">
        <v>0.025000000000000001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ht="14.25">
      <c r="AR1068" s="15" t="s">
        <v>334</v>
      </c>
      <c r="AS1068" s="15" t="s">
        <v>574</v>
      </c>
      <c r="AT1068" s="15" t="s">
        <v>697</v>
      </c>
      <c r="AU1068" s="15"/>
      <c r="AV1068" s="15"/>
      <c r="AW1068" s="15"/>
      <c r="AX1068" s="15"/>
      <c r="AY1068" s="15"/>
      <c r="AZ1068" s="18"/>
      <c r="BA1068" s="19">
        <v>0.025000000000000001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ht="14.25">
      <c r="AR1069" s="15" t="s">
        <v>334</v>
      </c>
      <c r="AS1069" s="15" t="s">
        <v>574</v>
      </c>
      <c r="AT1069" s="15" t="s">
        <v>698</v>
      </c>
      <c r="AU1069" s="15"/>
      <c r="AV1069" s="15"/>
      <c r="AW1069" s="15"/>
      <c r="AX1069" s="15"/>
      <c r="AY1069" s="15"/>
      <c r="AZ1069" s="18"/>
      <c r="BA1069" s="19">
        <v>0.025000000000000001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ht="14.25">
      <c r="AR1070" s="15" t="s">
        <v>334</v>
      </c>
      <c r="AS1070" s="15" t="s">
        <v>574</v>
      </c>
      <c r="AT1070" s="15" t="s">
        <v>699</v>
      </c>
      <c r="AU1070" s="15"/>
      <c r="AV1070" s="15"/>
      <c r="AW1070" s="15"/>
      <c r="AX1070" s="15"/>
      <c r="AY1070" s="15"/>
      <c r="AZ1070" s="18"/>
      <c r="BA1070" s="19">
        <v>0.025000000000000001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ht="14.25">
      <c r="AR1071" s="15" t="s">
        <v>334</v>
      </c>
      <c r="AS1071" s="15" t="s">
        <v>574</v>
      </c>
      <c r="AT1071" s="15" t="s">
        <v>700</v>
      </c>
      <c r="AU1071" s="15"/>
      <c r="AV1071" s="15"/>
      <c r="AW1071" s="15"/>
      <c r="AX1071" s="15"/>
      <c r="AY1071" s="15"/>
      <c r="AZ1071" s="18"/>
      <c r="BA1071" s="19">
        <v>0.025000000000000001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ht="14.25">
      <c r="AR1072" s="15" t="s">
        <v>334</v>
      </c>
      <c r="AS1072" s="15" t="s">
        <v>574</v>
      </c>
      <c r="AT1072" s="15" t="s">
        <v>701</v>
      </c>
      <c r="AU1072" s="15"/>
      <c r="AV1072" s="15"/>
      <c r="AW1072" s="15"/>
      <c r="AX1072" s="15"/>
      <c r="AY1072" s="15"/>
      <c r="AZ1072" s="18"/>
      <c r="BA1072" s="19">
        <v>0.025000000000000001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ht="14.25">
      <c r="AR1073" s="15" t="s">
        <v>334</v>
      </c>
      <c r="AS1073" s="15" t="s">
        <v>574</v>
      </c>
      <c r="AT1073" s="15" t="s">
        <v>702</v>
      </c>
      <c r="AU1073" s="15"/>
      <c r="AV1073" s="15"/>
      <c r="AW1073" s="15"/>
      <c r="AX1073" s="15"/>
      <c r="AY1073" s="15"/>
      <c r="AZ1073" s="18"/>
      <c r="BA1073" s="19">
        <v>0.025000000000000001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ht="14.25">
      <c r="AR1074" s="15" t="s">
        <v>334</v>
      </c>
      <c r="AS1074" s="15" t="s">
        <v>574</v>
      </c>
      <c r="AT1074" s="15" t="s">
        <v>703</v>
      </c>
      <c r="AU1074" s="15"/>
      <c r="AV1074" s="15"/>
      <c r="AW1074" s="15"/>
      <c r="AX1074" s="15"/>
      <c r="AY1074" s="15"/>
      <c r="AZ1074" s="18"/>
      <c r="BA1074" s="19">
        <v>0.025000000000000001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ht="14.25">
      <c r="AR1075" s="15" t="s">
        <v>334</v>
      </c>
      <c r="AS1075" s="15" t="s">
        <v>574</v>
      </c>
      <c r="AT1075" s="15" t="s">
        <v>704</v>
      </c>
      <c r="AU1075" s="15"/>
      <c r="AV1075" s="15"/>
      <c r="AW1075" s="15"/>
      <c r="AX1075" s="15"/>
      <c r="AY1075" s="15"/>
      <c r="AZ1075" s="18"/>
      <c r="BA1075" s="19">
        <v>0.025000000000000001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ht="14.25">
      <c r="AR1076" s="15" t="s">
        <v>334</v>
      </c>
      <c r="AS1076" s="15" t="s">
        <v>574</v>
      </c>
      <c r="AT1076" s="15" t="s">
        <v>705</v>
      </c>
      <c r="AU1076" s="15"/>
      <c r="AV1076" s="15"/>
      <c r="AW1076" s="15"/>
      <c r="AX1076" s="15"/>
      <c r="AY1076" s="15"/>
      <c r="AZ1076" s="18"/>
      <c r="BA1076" s="19">
        <v>0.025000000000000001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ht="14.25">
      <c r="AR1077" s="15" t="s">
        <v>334</v>
      </c>
      <c r="AS1077" s="15" t="s">
        <v>574</v>
      </c>
      <c r="AT1077" s="15" t="s">
        <v>706</v>
      </c>
      <c r="AU1077" s="15"/>
      <c r="AV1077" s="15"/>
      <c r="AW1077" s="15"/>
      <c r="AX1077" s="15"/>
      <c r="AY1077" s="15"/>
      <c r="AZ1077" s="18"/>
      <c r="BA1077" s="19">
        <v>0.025000000000000001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ht="14.25">
      <c r="AR1078" s="15" t="s">
        <v>334</v>
      </c>
      <c r="AS1078" s="15" t="s">
        <v>574</v>
      </c>
      <c r="AT1078" s="15" t="s">
        <v>707</v>
      </c>
      <c r="AU1078" s="15"/>
      <c r="AV1078" s="15"/>
      <c r="AW1078" s="15"/>
      <c r="AX1078" s="15"/>
      <c r="AY1078" s="15"/>
      <c r="AZ1078" s="18"/>
      <c r="BA1078" s="19">
        <v>0.025000000000000001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ht="14.25">
      <c r="AR1079" s="15" t="s">
        <v>334</v>
      </c>
      <c r="AS1079" s="15" t="s">
        <v>574</v>
      </c>
      <c r="AT1079" s="15" t="s">
        <v>708</v>
      </c>
      <c r="AU1079" s="15"/>
      <c r="AV1079" s="15"/>
      <c r="AW1079" s="15"/>
      <c r="AX1079" s="15"/>
      <c r="AY1079" s="15"/>
      <c r="AZ1079" s="18"/>
      <c r="BA1079" s="19">
        <v>0.025000000000000001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ht="14.25">
      <c r="AR1080" s="15" t="s">
        <v>334</v>
      </c>
      <c r="AS1080" s="15" t="s">
        <v>574</v>
      </c>
      <c r="AT1080" s="15" t="s">
        <v>709</v>
      </c>
      <c r="AU1080" s="15"/>
      <c r="AV1080" s="15"/>
      <c r="AW1080" s="15"/>
      <c r="AX1080" s="15"/>
      <c r="AY1080" s="15"/>
      <c r="AZ1080" s="18"/>
      <c r="BA1080" s="19">
        <v>0.025000000000000001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ht="14.25">
      <c r="AR1081" s="15" t="s">
        <v>334</v>
      </c>
      <c r="AS1081" s="15" t="s">
        <v>574</v>
      </c>
      <c r="AT1081" s="15" t="s">
        <v>710</v>
      </c>
      <c r="AU1081" s="15"/>
      <c r="AV1081" s="15"/>
      <c r="AW1081" s="15"/>
      <c r="AX1081" s="15"/>
      <c r="AY1081" s="15"/>
      <c r="AZ1081" s="18"/>
      <c r="BA1081" s="19">
        <v>0.025000000000000001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ht="14.25">
      <c r="AR1082" s="15" t="s">
        <v>334</v>
      </c>
      <c r="AS1082" s="15" t="s">
        <v>574</v>
      </c>
      <c r="AT1082" s="15" t="s">
        <v>711</v>
      </c>
      <c r="AU1082" s="15"/>
      <c r="AV1082" s="15"/>
      <c r="AW1082" s="15"/>
      <c r="AX1082" s="15"/>
      <c r="AY1082" s="15"/>
      <c r="AZ1082" s="18"/>
      <c r="BA1082" s="19">
        <v>0.025000000000000001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ht="14.25">
      <c r="AR1083" s="15" t="s">
        <v>334</v>
      </c>
      <c r="AS1083" s="15" t="s">
        <v>574</v>
      </c>
      <c r="AT1083" s="15" t="s">
        <v>712</v>
      </c>
      <c r="AU1083" s="15"/>
      <c r="AV1083" s="15"/>
      <c r="AW1083" s="15"/>
      <c r="AX1083" s="15"/>
      <c r="AY1083" s="15"/>
      <c r="AZ1083" s="18"/>
      <c r="BA1083" s="19">
        <v>0.025000000000000001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ht="14.25">
      <c r="AR1084" s="15" t="s">
        <v>334</v>
      </c>
      <c r="AS1084" s="15" t="s">
        <v>574</v>
      </c>
      <c r="AT1084" s="15" t="s">
        <v>713</v>
      </c>
      <c r="AU1084" s="15"/>
      <c r="AV1084" s="15"/>
      <c r="AW1084" s="15"/>
      <c r="AX1084" s="15"/>
      <c r="AY1084" s="15"/>
      <c r="AZ1084" s="18"/>
      <c r="BA1084" s="19">
        <v>0.025000000000000001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ht="14.25">
      <c r="AR1085" s="15" t="s">
        <v>334</v>
      </c>
      <c r="AS1085" s="15" t="s">
        <v>574</v>
      </c>
      <c r="AT1085" s="15" t="s">
        <v>714</v>
      </c>
      <c r="AU1085" s="15"/>
      <c r="AV1085" s="15"/>
      <c r="AW1085" s="15"/>
      <c r="AX1085" s="15"/>
      <c r="AY1085" s="15"/>
      <c r="AZ1085" s="18"/>
      <c r="BA1085" s="19">
        <v>0.025000000000000001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ht="14.25">
      <c r="AR1086" s="15" t="s">
        <v>334</v>
      </c>
      <c r="AS1086" s="15" t="s">
        <v>574</v>
      </c>
      <c r="AT1086" s="15" t="s">
        <v>715</v>
      </c>
      <c r="AU1086" s="15"/>
      <c r="AV1086" s="15"/>
      <c r="AW1086" s="15"/>
      <c r="AX1086" s="15"/>
      <c r="AY1086" s="15"/>
      <c r="AZ1086" s="18"/>
      <c r="BA1086" s="19">
        <v>0.025000000000000001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ht="14.25">
      <c r="AR1087" s="15" t="s">
        <v>334</v>
      </c>
      <c r="AS1087" s="15" t="s">
        <v>574</v>
      </c>
      <c r="AT1087" s="15" t="s">
        <v>716</v>
      </c>
      <c r="AU1087" s="15"/>
      <c r="AV1087" s="15"/>
      <c r="AW1087" s="15"/>
      <c r="AX1087" s="15"/>
      <c r="AY1087" s="15"/>
      <c r="AZ1087" s="18"/>
      <c r="BA1087" s="19">
        <v>0.025000000000000001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ht="14.25">
      <c r="AR1088" s="15" t="s">
        <v>334</v>
      </c>
      <c r="AS1088" s="15" t="s">
        <v>574</v>
      </c>
      <c r="AT1088" s="15" t="s">
        <v>717</v>
      </c>
      <c r="AU1088" s="15"/>
      <c r="AV1088" s="15"/>
      <c r="AW1088" s="15"/>
      <c r="AX1088" s="15"/>
      <c r="AY1088" s="15"/>
      <c r="AZ1088" s="18"/>
      <c r="BA1088" s="19">
        <v>0.025000000000000001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ht="14.25">
      <c r="AR1089" s="15" t="s">
        <v>334</v>
      </c>
      <c r="AS1089" s="15" t="s">
        <v>574</v>
      </c>
      <c r="AT1089" s="15" t="s">
        <v>718</v>
      </c>
      <c r="AU1089" s="15"/>
      <c r="AV1089" s="15"/>
      <c r="AW1089" s="15"/>
      <c r="AX1089" s="15"/>
      <c r="AY1089" s="15"/>
      <c r="AZ1089" s="18"/>
      <c r="BA1089" s="19">
        <v>0.025000000000000001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ht="14.25">
      <c r="AR1090" s="15" t="s">
        <v>334</v>
      </c>
      <c r="AS1090" s="15" t="s">
        <v>574</v>
      </c>
      <c r="AT1090" s="15" t="s">
        <v>719</v>
      </c>
      <c r="AU1090" s="15"/>
      <c r="AV1090" s="15"/>
      <c r="AW1090" s="15"/>
      <c r="AX1090" s="15"/>
      <c r="AY1090" s="15"/>
      <c r="AZ1090" s="18"/>
      <c r="BA1090" s="19">
        <v>0.025000000000000001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ht="14.25">
      <c r="AR1091" s="15" t="s">
        <v>334</v>
      </c>
      <c r="AS1091" s="15" t="s">
        <v>574</v>
      </c>
      <c r="AT1091" s="15" t="s">
        <v>720</v>
      </c>
      <c r="AU1091" s="15"/>
      <c r="AV1091" s="15"/>
      <c r="AW1091" s="15"/>
      <c r="AX1091" s="15"/>
      <c r="AY1091" s="15"/>
      <c r="AZ1091" s="18"/>
      <c r="BA1091" s="19">
        <v>0.025000000000000001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ht="14.25">
      <c r="AR1092" s="15" t="s">
        <v>334</v>
      </c>
      <c r="AS1092" s="15" t="s">
        <v>574</v>
      </c>
      <c r="AT1092" s="15" t="s">
        <v>721</v>
      </c>
      <c r="AU1092" s="15"/>
      <c r="AV1092" s="15"/>
      <c r="AW1092" s="15"/>
      <c r="AX1092" s="15"/>
      <c r="AY1092" s="15"/>
      <c r="AZ1092" s="18"/>
      <c r="BA1092" s="19">
        <v>0.025000000000000001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ht="14.25">
      <c r="AR1093" s="15" t="s">
        <v>334</v>
      </c>
      <c r="AS1093" s="15" t="s">
        <v>574</v>
      </c>
      <c r="AT1093" s="15" t="s">
        <v>722</v>
      </c>
      <c r="AU1093" s="15"/>
      <c r="AV1093" s="15"/>
      <c r="AW1093" s="15"/>
      <c r="AX1093" s="15"/>
      <c r="AY1093" s="15"/>
      <c r="AZ1093" s="18"/>
      <c r="BA1093" s="19">
        <v>0.025000000000000001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ht="14.25">
      <c r="AR1094" s="15" t="s">
        <v>334</v>
      </c>
      <c r="AS1094" s="15" t="s">
        <v>574</v>
      </c>
      <c r="AT1094" s="15" t="s">
        <v>723</v>
      </c>
      <c r="AU1094" s="15"/>
      <c r="AV1094" s="15"/>
      <c r="AW1094" s="15"/>
      <c r="AX1094" s="15"/>
      <c r="AY1094" s="15"/>
      <c r="AZ1094" s="18"/>
      <c r="BA1094" s="19">
        <v>0.025000000000000001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ht="14.25">
      <c r="AR1095" s="15" t="s">
        <v>334</v>
      </c>
      <c r="AS1095" s="15" t="s">
        <v>574</v>
      </c>
      <c r="AT1095" s="15" t="s">
        <v>724</v>
      </c>
      <c r="AU1095" s="15"/>
      <c r="AV1095" s="15"/>
      <c r="AW1095" s="15"/>
      <c r="AX1095" s="15"/>
      <c r="AY1095" s="15"/>
      <c r="AZ1095" s="18"/>
      <c r="BA1095" s="19">
        <v>0.025000000000000001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ht="14.25">
      <c r="AR1096" s="15" t="s">
        <v>334</v>
      </c>
      <c r="AS1096" s="15" t="s">
        <v>574</v>
      </c>
      <c r="AT1096" s="15" t="s">
        <v>725</v>
      </c>
      <c r="AU1096" s="15"/>
      <c r="AV1096" s="15"/>
      <c r="AW1096" s="15"/>
      <c r="AX1096" s="15"/>
      <c r="AY1096" s="15"/>
      <c r="AZ1096" s="18"/>
      <c r="BA1096" s="19">
        <v>0.025000000000000001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ht="14.25">
      <c r="AR1097" s="15" t="s">
        <v>334</v>
      </c>
      <c r="AS1097" s="15" t="s">
        <v>574</v>
      </c>
      <c r="AT1097" s="15" t="s">
        <v>726</v>
      </c>
      <c r="AU1097" s="15"/>
      <c r="AV1097" s="15"/>
      <c r="AW1097" s="15"/>
      <c r="AX1097" s="15"/>
      <c r="AY1097" s="15"/>
      <c r="AZ1097" s="18"/>
      <c r="BA1097" s="19">
        <v>0.025000000000000001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ht="14.25">
      <c r="AR1098" s="15" t="s">
        <v>334</v>
      </c>
      <c r="AS1098" s="15" t="s">
        <v>574</v>
      </c>
      <c r="AT1098" s="15" t="s">
        <v>727</v>
      </c>
      <c r="AU1098" s="15"/>
      <c r="AV1098" s="15"/>
      <c r="AW1098" s="15"/>
      <c r="AX1098" s="15"/>
      <c r="AY1098" s="15"/>
      <c r="AZ1098" s="18"/>
      <c r="BA1098" s="19">
        <v>0.025000000000000001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ht="14.25">
      <c r="AR1099" s="15" t="s">
        <v>334</v>
      </c>
      <c r="AS1099" s="15" t="s">
        <v>574</v>
      </c>
      <c r="AT1099" s="15" t="s">
        <v>728</v>
      </c>
      <c r="AU1099" s="15"/>
      <c r="AV1099" s="15"/>
      <c r="AW1099" s="15"/>
      <c r="AX1099" s="15"/>
      <c r="AY1099" s="15"/>
      <c r="AZ1099" s="18"/>
      <c r="BA1099" s="19">
        <v>0.025000000000000001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ht="14.25">
      <c r="AR1100" s="15" t="s">
        <v>334</v>
      </c>
      <c r="AS1100" s="15" t="s">
        <v>574</v>
      </c>
      <c r="AT1100" s="15" t="s">
        <v>729</v>
      </c>
      <c r="AU1100" s="15"/>
      <c r="AV1100" s="15"/>
      <c r="AW1100" s="15"/>
      <c r="AX1100" s="15"/>
      <c r="AY1100" s="15"/>
      <c r="AZ1100" s="18"/>
      <c r="BA1100" s="19">
        <v>0.025000000000000001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ht="14.25">
      <c r="AR1101" s="15" t="s">
        <v>334</v>
      </c>
      <c r="AS1101" s="15" t="s">
        <v>574</v>
      </c>
      <c r="AT1101" s="15" t="s">
        <v>730</v>
      </c>
      <c r="AU1101" s="15"/>
      <c r="AV1101" s="15"/>
      <c r="AW1101" s="15"/>
      <c r="AX1101" s="15"/>
      <c r="AY1101" s="15"/>
      <c r="AZ1101" s="18"/>
      <c r="BA1101" s="19">
        <v>0.025000000000000001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ht="14.25">
      <c r="AR1102" s="15" t="s">
        <v>334</v>
      </c>
      <c r="AS1102" s="15" t="s">
        <v>574</v>
      </c>
      <c r="AT1102" s="15" t="s">
        <v>731</v>
      </c>
      <c r="AU1102" s="15"/>
      <c r="AV1102" s="15"/>
      <c r="AW1102" s="15"/>
      <c r="AX1102" s="15"/>
      <c r="AY1102" s="15"/>
      <c r="AZ1102" s="18"/>
      <c r="BA1102" s="19">
        <v>0.025000000000000001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ht="14.25">
      <c r="AR1103" s="15" t="s">
        <v>334</v>
      </c>
      <c r="AS1103" s="15" t="s">
        <v>574</v>
      </c>
      <c r="AT1103" s="15" t="s">
        <v>732</v>
      </c>
      <c r="AU1103" s="15"/>
      <c r="AV1103" s="15"/>
      <c r="AW1103" s="15"/>
      <c r="AX1103" s="15"/>
      <c r="AY1103" s="15"/>
      <c r="AZ1103" s="18"/>
      <c r="BA1103" s="19">
        <v>0.025000000000000001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ht="14.25">
      <c r="AR1104" s="15" t="s">
        <v>334</v>
      </c>
      <c r="AS1104" s="15" t="s">
        <v>574</v>
      </c>
      <c r="AT1104" s="15" t="s">
        <v>733</v>
      </c>
      <c r="AU1104" s="15"/>
      <c r="AV1104" s="15"/>
      <c r="AW1104" s="15"/>
      <c r="AX1104" s="15"/>
      <c r="AY1104" s="15"/>
      <c r="AZ1104" s="18"/>
      <c r="BA1104" s="19">
        <v>0.025000000000000001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ht="14.25">
      <c r="AR1105" s="15" t="s">
        <v>334</v>
      </c>
      <c r="AS1105" s="15" t="s">
        <v>574</v>
      </c>
      <c r="AT1105" s="15" t="s">
        <v>734</v>
      </c>
      <c r="AU1105" s="15"/>
      <c r="AV1105" s="15"/>
      <c r="AW1105" s="15"/>
      <c r="AX1105" s="15"/>
      <c r="AY1105" s="15"/>
      <c r="AZ1105" s="18"/>
      <c r="BA1105" s="19">
        <v>0.025000000000000001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ht="14.25">
      <c r="AR1106" s="15" t="s">
        <v>334</v>
      </c>
      <c r="AS1106" s="15" t="s">
        <v>574</v>
      </c>
      <c r="AT1106" s="15" t="s">
        <v>735</v>
      </c>
      <c r="AU1106" s="15"/>
      <c r="AV1106" s="15"/>
      <c r="AW1106" s="15"/>
      <c r="AX1106" s="15"/>
      <c r="AY1106" s="15"/>
      <c r="AZ1106" s="18"/>
      <c r="BA1106" s="19">
        <v>0.025000000000000001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ht="14.25">
      <c r="AR1107" s="15" t="s">
        <v>334</v>
      </c>
      <c r="AS1107" s="15" t="s">
        <v>574</v>
      </c>
      <c r="AT1107" s="15" t="s">
        <v>736</v>
      </c>
      <c r="AU1107" s="15"/>
      <c r="AV1107" s="15"/>
      <c r="AW1107" s="15"/>
      <c r="AX1107" s="15"/>
      <c r="AY1107" s="15"/>
      <c r="AZ1107" s="18"/>
      <c r="BA1107" s="19">
        <v>0.025000000000000001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ht="14.25">
      <c r="AR1108" s="15" t="s">
        <v>334</v>
      </c>
      <c r="AS1108" s="15" t="s">
        <v>574</v>
      </c>
      <c r="AT1108" s="15" t="s">
        <v>737</v>
      </c>
      <c r="AU1108" s="15"/>
      <c r="AV1108" s="15"/>
      <c r="AW1108" s="15"/>
      <c r="AX1108" s="15"/>
      <c r="AY1108" s="15"/>
      <c r="AZ1108" s="18"/>
      <c r="BA1108" s="19">
        <v>0.025000000000000001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ht="14.25">
      <c r="AR1109" s="15" t="s">
        <v>334</v>
      </c>
      <c r="AS1109" s="15" t="s">
        <v>574</v>
      </c>
      <c r="AT1109" s="15" t="s">
        <v>738</v>
      </c>
      <c r="AU1109" s="15"/>
      <c r="AV1109" s="15"/>
      <c r="AW1109" s="15"/>
      <c r="AX1109" s="15"/>
      <c r="AY1109" s="15"/>
      <c r="AZ1109" s="18"/>
      <c r="BA1109" s="19">
        <v>0.025000000000000001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ht="14.25">
      <c r="AR1110" s="15" t="s">
        <v>334</v>
      </c>
      <c r="AS1110" s="15" t="s">
        <v>574</v>
      </c>
      <c r="AT1110" s="15" t="s">
        <v>739</v>
      </c>
      <c r="AU1110" s="15"/>
      <c r="AV1110" s="15"/>
      <c r="AW1110" s="15"/>
      <c r="AX1110" s="15"/>
      <c r="AY1110" s="15"/>
      <c r="AZ1110" s="18"/>
      <c r="BA1110" s="19">
        <v>0.025000000000000001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ht="14.25">
      <c r="AR1111" s="15" t="s">
        <v>334</v>
      </c>
      <c r="AS1111" s="15" t="s">
        <v>574</v>
      </c>
      <c r="AT1111" s="15" t="s">
        <v>740</v>
      </c>
      <c r="AU1111" s="15"/>
      <c r="AV1111" s="15"/>
      <c r="AW1111" s="15"/>
      <c r="AX1111" s="15"/>
      <c r="AY1111" s="15"/>
      <c r="AZ1111" s="18"/>
      <c r="BA1111" s="19">
        <v>0.025000000000000001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ht="14.25">
      <c r="AR1112" s="15" t="s">
        <v>334</v>
      </c>
      <c r="AS1112" s="15" t="s">
        <v>574</v>
      </c>
      <c r="AT1112" s="15" t="s">
        <v>741</v>
      </c>
      <c r="AU1112" s="15"/>
      <c r="AV1112" s="15"/>
      <c r="AW1112" s="15"/>
      <c r="AX1112" s="15"/>
      <c r="AY1112" s="15"/>
      <c r="AZ1112" s="18"/>
      <c r="BA1112" s="19">
        <v>0.025000000000000001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ht="14.25">
      <c r="AR1113" s="15" t="s">
        <v>334</v>
      </c>
      <c r="AS1113" s="15" t="s">
        <v>574</v>
      </c>
      <c r="AT1113" s="15" t="s">
        <v>742</v>
      </c>
      <c r="AU1113" s="15"/>
      <c r="AV1113" s="15"/>
      <c r="AW1113" s="15"/>
      <c r="AX1113" s="15"/>
      <c r="AY1113" s="15"/>
      <c r="AZ1113" s="18"/>
      <c r="BA1113" s="19">
        <v>0.025000000000000001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ht="14.25">
      <c r="AR1114" s="15" t="s">
        <v>334</v>
      </c>
      <c r="AS1114" s="15" t="s">
        <v>574</v>
      </c>
      <c r="AT1114" s="15" t="s">
        <v>743</v>
      </c>
      <c r="AU1114" s="15"/>
      <c r="AV1114" s="15"/>
      <c r="AW1114" s="15"/>
      <c r="AX1114" s="15"/>
      <c r="AY1114" s="15"/>
      <c r="AZ1114" s="18"/>
      <c r="BA1114" s="19">
        <v>0.025000000000000001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ht="14.25">
      <c r="AR1115" s="15" t="s">
        <v>334</v>
      </c>
      <c r="AS1115" s="15" t="s">
        <v>574</v>
      </c>
      <c r="AT1115" s="15" t="s">
        <v>744</v>
      </c>
      <c r="AU1115" s="15"/>
      <c r="AV1115" s="15"/>
      <c r="AW1115" s="15"/>
      <c r="AX1115" s="15"/>
      <c r="AY1115" s="15"/>
      <c r="AZ1115" s="18"/>
      <c r="BA1115" s="19">
        <v>0.025000000000000001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ht="14.25">
      <c r="AR1116" s="15" t="s">
        <v>334</v>
      </c>
      <c r="AS1116" s="15" t="s">
        <v>574</v>
      </c>
      <c r="AT1116" s="15" t="s">
        <v>745</v>
      </c>
      <c r="AU1116" s="15"/>
      <c r="AV1116" s="15"/>
      <c r="AW1116" s="15"/>
      <c r="AX1116" s="15"/>
      <c r="AY1116" s="15"/>
      <c r="AZ1116" s="18"/>
      <c r="BA1116" s="19">
        <v>0.025000000000000001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ht="14.25">
      <c r="AR1117" s="15" t="s">
        <v>334</v>
      </c>
      <c r="AS1117" s="15" t="s">
        <v>574</v>
      </c>
      <c r="AT1117" s="15" t="s">
        <v>746</v>
      </c>
      <c r="AU1117" s="15"/>
      <c r="AV1117" s="15"/>
      <c r="AW1117" s="15"/>
      <c r="AX1117" s="15"/>
      <c r="AY1117" s="15"/>
      <c r="AZ1117" s="18"/>
      <c r="BA1117" s="19">
        <v>0.025000000000000001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ht="14.25">
      <c r="AR1118" s="15" t="s">
        <v>334</v>
      </c>
      <c r="AS1118" s="15" t="s">
        <v>574</v>
      </c>
      <c r="AT1118" s="15" t="s">
        <v>747</v>
      </c>
      <c r="AU1118" s="15"/>
      <c r="AV1118" s="15"/>
      <c r="AW1118" s="15"/>
      <c r="AX1118" s="15"/>
      <c r="AY1118" s="15"/>
      <c r="AZ1118" s="18"/>
      <c r="BA1118" s="19">
        <v>0.025000000000000001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ht="14.25">
      <c r="AR1119" s="15" t="s">
        <v>334</v>
      </c>
      <c r="AS1119" s="15" t="s">
        <v>574</v>
      </c>
      <c r="AT1119" s="15" t="s">
        <v>748</v>
      </c>
      <c r="AU1119" s="15"/>
      <c r="AV1119" s="15"/>
      <c r="AW1119" s="15"/>
      <c r="AX1119" s="15"/>
      <c r="AY1119" s="15"/>
      <c r="AZ1119" s="18"/>
      <c r="BA1119" s="19">
        <v>0.025000000000000001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ht="14.25">
      <c r="AR1120" s="15" t="s">
        <v>334</v>
      </c>
      <c r="AS1120" s="15" t="s">
        <v>574</v>
      </c>
      <c r="AT1120" s="15" t="s">
        <v>749</v>
      </c>
      <c r="AU1120" s="15"/>
      <c r="AV1120" s="15"/>
      <c r="AW1120" s="15"/>
      <c r="AX1120" s="15"/>
      <c r="AY1120" s="15"/>
      <c r="AZ1120" s="18"/>
      <c r="BA1120" s="19">
        <v>0.025000000000000001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ht="14.25">
      <c r="AR1121" s="15" t="s">
        <v>334</v>
      </c>
      <c r="AS1121" s="15" t="s">
        <v>574</v>
      </c>
      <c r="AT1121" s="15" t="s">
        <v>750</v>
      </c>
      <c r="AU1121" s="15"/>
      <c r="AV1121" s="15"/>
      <c r="AW1121" s="15"/>
      <c r="AX1121" s="15"/>
      <c r="AY1121" s="15"/>
      <c r="AZ1121" s="18"/>
      <c r="BA1121" s="19">
        <v>0.025000000000000001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ht="14.25">
      <c r="AR1122" s="15" t="s">
        <v>334</v>
      </c>
      <c r="AS1122" s="15" t="s">
        <v>574</v>
      </c>
      <c r="AT1122" s="15" t="s">
        <v>751</v>
      </c>
      <c r="AU1122" s="15"/>
      <c r="AV1122" s="15"/>
      <c r="AW1122" s="15"/>
      <c r="AX1122" s="15"/>
      <c r="AY1122" s="15"/>
      <c r="AZ1122" s="18"/>
      <c r="BA1122" s="19">
        <v>0.025000000000000001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ht="14.25">
      <c r="AR1123" s="15" t="s">
        <v>334</v>
      </c>
      <c r="AS1123" s="15" t="s">
        <v>574</v>
      </c>
      <c r="AT1123" s="15" t="s">
        <v>752</v>
      </c>
      <c r="AU1123" s="15"/>
      <c r="AV1123" s="15"/>
      <c r="AW1123" s="15"/>
      <c r="AX1123" s="15"/>
      <c r="AY1123" s="15"/>
      <c r="AZ1123" s="18"/>
      <c r="BA1123" s="19">
        <v>0.025000000000000001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ht="14.25">
      <c r="AR1124" s="15" t="s">
        <v>334</v>
      </c>
      <c r="AS1124" s="15" t="s">
        <v>574</v>
      </c>
      <c r="AT1124" s="15" t="s">
        <v>753</v>
      </c>
      <c r="AU1124" s="15"/>
      <c r="AV1124" s="15"/>
      <c r="AW1124" s="15"/>
      <c r="AX1124" s="15"/>
      <c r="AY1124" s="15"/>
      <c r="AZ1124" s="18"/>
      <c r="BA1124" s="19">
        <v>0.025000000000000001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ht="14.25">
      <c r="AR1125" s="15" t="s">
        <v>334</v>
      </c>
      <c r="AS1125" s="15" t="s">
        <v>574</v>
      </c>
      <c r="AT1125" s="15" t="s">
        <v>754</v>
      </c>
      <c r="AU1125" s="15"/>
      <c r="AV1125" s="15"/>
      <c r="AW1125" s="15"/>
      <c r="AX1125" s="15"/>
      <c r="AY1125" s="15"/>
      <c r="AZ1125" s="18"/>
      <c r="BA1125" s="19">
        <v>0.025000000000000001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ht="14.25">
      <c r="AR1126" s="15" t="s">
        <v>334</v>
      </c>
      <c r="AS1126" s="15" t="s">
        <v>574</v>
      </c>
      <c r="AT1126" s="15" t="s">
        <v>755</v>
      </c>
      <c r="AU1126" s="15"/>
      <c r="AV1126" s="15"/>
      <c r="AW1126" s="15"/>
      <c r="AX1126" s="15"/>
      <c r="AY1126" s="15"/>
      <c r="AZ1126" s="18"/>
      <c r="BA1126" s="19">
        <v>0.025000000000000001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ht="14.25">
      <c r="AR1127" s="15" t="s">
        <v>334</v>
      </c>
      <c r="AS1127" s="15" t="s">
        <v>574</v>
      </c>
      <c r="AT1127" s="15" t="s">
        <v>756</v>
      </c>
      <c r="AU1127" s="15"/>
      <c r="AV1127" s="15"/>
      <c r="AW1127" s="15"/>
      <c r="AX1127" s="15"/>
      <c r="AY1127" s="15"/>
      <c r="AZ1127" s="18"/>
      <c r="BA1127" s="19">
        <v>0.025000000000000001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ht="14.25">
      <c r="AR1128" s="15" t="s">
        <v>334</v>
      </c>
      <c r="AS1128" s="15" t="s">
        <v>574</v>
      </c>
      <c r="AT1128" s="15" t="s">
        <v>757</v>
      </c>
      <c r="AU1128" s="15"/>
      <c r="AV1128" s="15"/>
      <c r="AW1128" s="15"/>
      <c r="AX1128" s="15"/>
      <c r="AY1128" s="15"/>
      <c r="AZ1128" s="18"/>
      <c r="BA1128" s="19">
        <v>0.025000000000000001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ht="14.25">
      <c r="AR1129" s="15" t="s">
        <v>334</v>
      </c>
      <c r="AS1129" s="15" t="s">
        <v>574</v>
      </c>
      <c r="AT1129" s="15" t="s">
        <v>758</v>
      </c>
      <c r="AU1129" s="15"/>
      <c r="AV1129" s="15"/>
      <c r="AW1129" s="15"/>
      <c r="AX1129" s="15"/>
      <c r="AY1129" s="15"/>
      <c r="AZ1129" s="18"/>
      <c r="BA1129" s="19">
        <v>0.025000000000000001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ht="14.25">
      <c r="AR1130" s="15" t="s">
        <v>334</v>
      </c>
      <c r="AS1130" s="15" t="s">
        <v>574</v>
      </c>
      <c r="AT1130" s="15" t="s">
        <v>759</v>
      </c>
      <c r="AU1130" s="15"/>
      <c r="AV1130" s="15"/>
      <c r="AW1130" s="15"/>
      <c r="AX1130" s="15"/>
      <c r="AY1130" s="15"/>
      <c r="AZ1130" s="18"/>
      <c r="BA1130" s="19">
        <v>0.025000000000000001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ht="14.25">
      <c r="AR1131" s="15" t="s">
        <v>334</v>
      </c>
      <c r="AS1131" s="15" t="s">
        <v>574</v>
      </c>
      <c r="AT1131" s="15" t="s">
        <v>760</v>
      </c>
      <c r="AU1131" s="15"/>
      <c r="AV1131" s="15"/>
      <c r="AW1131" s="15"/>
      <c r="AX1131" s="15"/>
      <c r="AY1131" s="15"/>
      <c r="AZ1131" s="18"/>
      <c r="BA1131" s="19">
        <v>0.025000000000000001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ht="14.25">
      <c r="AR1132" s="15" t="s">
        <v>334</v>
      </c>
      <c r="AS1132" s="15" t="s">
        <v>574</v>
      </c>
      <c r="AT1132" s="15" t="s">
        <v>761</v>
      </c>
      <c r="AU1132" s="15"/>
      <c r="AV1132" s="15"/>
      <c r="AW1132" s="15"/>
      <c r="AX1132" s="15"/>
      <c r="AY1132" s="15"/>
      <c r="AZ1132" s="18"/>
      <c r="BA1132" s="19">
        <v>0.025000000000000001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ht="14.25">
      <c r="AR1133" s="15" t="s">
        <v>334</v>
      </c>
      <c r="AS1133" s="15" t="s">
        <v>574</v>
      </c>
      <c r="AT1133" s="15" t="s">
        <v>762</v>
      </c>
      <c r="AU1133" s="15"/>
      <c r="AV1133" s="15"/>
      <c r="AW1133" s="15"/>
      <c r="AX1133" s="15"/>
      <c r="AY1133" s="15"/>
      <c r="AZ1133" s="18"/>
      <c r="BA1133" s="19">
        <v>0.025000000000000001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ht="14.25">
      <c r="AR1134" s="15" t="s">
        <v>334</v>
      </c>
      <c r="AS1134" s="15" t="s">
        <v>574</v>
      </c>
      <c r="AT1134" s="15" t="s">
        <v>763</v>
      </c>
      <c r="AU1134" s="15"/>
      <c r="AV1134" s="15"/>
      <c r="AW1134" s="15"/>
      <c r="AX1134" s="15"/>
      <c r="AY1134" s="15"/>
      <c r="AZ1134" s="18"/>
      <c r="BA1134" s="19">
        <v>0.025000000000000001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ht="14.25">
      <c r="AR1135" s="15" t="s">
        <v>334</v>
      </c>
      <c r="AS1135" s="15" t="s">
        <v>574</v>
      </c>
      <c r="AT1135" s="15" t="s">
        <v>764</v>
      </c>
      <c r="AU1135" s="15"/>
      <c r="AV1135" s="15"/>
      <c r="AW1135" s="15"/>
      <c r="AX1135" s="15"/>
      <c r="AY1135" s="15"/>
      <c r="AZ1135" s="18"/>
      <c r="BA1135" s="19">
        <v>0.025000000000000001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ht="14.25">
      <c r="AR1136" s="15" t="s">
        <v>334</v>
      </c>
      <c r="AS1136" s="15" t="s">
        <v>574</v>
      </c>
      <c r="AT1136" s="15" t="s">
        <v>765</v>
      </c>
      <c r="AU1136" s="15"/>
      <c r="AV1136" s="15"/>
      <c r="AW1136" s="15"/>
      <c r="AX1136" s="15"/>
      <c r="AY1136" s="15"/>
      <c r="AZ1136" s="18"/>
      <c r="BA1136" s="19">
        <v>0.025000000000000001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ht="14.25">
      <c r="AR1137" s="15" t="s">
        <v>334</v>
      </c>
      <c r="AS1137" s="15" t="s">
        <v>574</v>
      </c>
      <c r="AT1137" s="15" t="s">
        <v>766</v>
      </c>
      <c r="AU1137" s="15"/>
      <c r="AV1137" s="15"/>
      <c r="AW1137" s="15"/>
      <c r="AX1137" s="15"/>
      <c r="AY1137" s="15"/>
      <c r="AZ1137" s="18"/>
      <c r="BA1137" s="19">
        <v>0.025000000000000001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ht="14.25">
      <c r="AR1138" s="15" t="s">
        <v>334</v>
      </c>
      <c r="AS1138" s="15" t="s">
        <v>574</v>
      </c>
      <c r="AT1138" s="15" t="s">
        <v>767</v>
      </c>
      <c r="AU1138" s="15"/>
      <c r="AV1138" s="15"/>
      <c r="AW1138" s="15"/>
      <c r="AX1138" s="15"/>
      <c r="AY1138" s="15"/>
      <c r="AZ1138" s="18"/>
      <c r="BA1138" s="19">
        <v>0.025000000000000001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ht="14.25">
      <c r="AR1139" s="15" t="s">
        <v>334</v>
      </c>
      <c r="AS1139" s="15" t="s">
        <v>574</v>
      </c>
      <c r="AT1139" s="15" t="s">
        <v>768</v>
      </c>
      <c r="AU1139" s="15"/>
      <c r="AV1139" s="15"/>
      <c r="AW1139" s="15"/>
      <c r="AX1139" s="15"/>
      <c r="AY1139" s="15"/>
      <c r="AZ1139" s="18"/>
      <c r="BA1139" s="19">
        <v>0.025000000000000001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ht="14.25">
      <c r="AR1140" s="15" t="s">
        <v>334</v>
      </c>
      <c r="AS1140" s="15" t="s">
        <v>574</v>
      </c>
      <c r="AT1140" s="15" t="s">
        <v>769</v>
      </c>
      <c r="AU1140" s="15"/>
      <c r="AV1140" s="15"/>
      <c r="AW1140" s="15"/>
      <c r="AX1140" s="15"/>
      <c r="AY1140" s="15"/>
      <c r="AZ1140" s="18"/>
      <c r="BA1140" s="19">
        <v>0.025000000000000001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ht="14.25">
      <c r="AR1141" s="15" t="s">
        <v>334</v>
      </c>
      <c r="AS1141" s="15" t="s">
        <v>574</v>
      </c>
      <c r="AT1141" s="15" t="s">
        <v>770</v>
      </c>
      <c r="AU1141" s="15"/>
      <c r="AV1141" s="15"/>
      <c r="AW1141" s="15"/>
      <c r="AX1141" s="15"/>
      <c r="AY1141" s="15"/>
      <c r="AZ1141" s="18"/>
      <c r="BA1141" s="19">
        <v>0.025000000000000001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ht="14.25">
      <c r="AR1142" s="15" t="s">
        <v>334</v>
      </c>
      <c r="AS1142" s="15" t="s">
        <v>574</v>
      </c>
      <c r="AT1142" s="15" t="s">
        <v>771</v>
      </c>
      <c r="AU1142" s="15"/>
      <c r="AV1142" s="15"/>
      <c r="AW1142" s="15"/>
      <c r="AX1142" s="15"/>
      <c r="AY1142" s="15"/>
      <c r="AZ1142" s="18"/>
      <c r="BA1142" s="19">
        <v>0.025000000000000001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ht="14.25">
      <c r="AR1143" s="15" t="s">
        <v>334</v>
      </c>
      <c r="AS1143" s="15" t="s">
        <v>574</v>
      </c>
      <c r="AT1143" s="15" t="s">
        <v>772</v>
      </c>
      <c r="AU1143" s="15"/>
      <c r="AV1143" s="15"/>
      <c r="AW1143" s="15"/>
      <c r="AX1143" s="15"/>
      <c r="AY1143" s="15"/>
      <c r="AZ1143" s="18"/>
      <c r="BA1143" s="19">
        <v>0.025000000000000001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ht="14.25">
      <c r="AR1144" s="15" t="s">
        <v>334</v>
      </c>
      <c r="AS1144" s="15" t="s">
        <v>574</v>
      </c>
      <c r="AT1144" s="15" t="s">
        <v>773</v>
      </c>
      <c r="AU1144" s="15"/>
      <c r="AV1144" s="15"/>
      <c r="AW1144" s="15"/>
      <c r="AX1144" s="15"/>
      <c r="AY1144" s="15"/>
      <c r="AZ1144" s="18"/>
      <c r="BA1144" s="19">
        <v>0.025000000000000001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ht="14.25">
      <c r="AR1145" s="15" t="s">
        <v>334</v>
      </c>
      <c r="AS1145" s="15" t="s">
        <v>574</v>
      </c>
      <c r="AT1145" s="15" t="s">
        <v>774</v>
      </c>
      <c r="AU1145" s="15"/>
      <c r="AV1145" s="15"/>
      <c r="AW1145" s="15"/>
      <c r="AX1145" s="15"/>
      <c r="AY1145" s="15"/>
      <c r="AZ1145" s="18"/>
      <c r="BA1145" s="19">
        <v>0.025000000000000001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ht="14.25">
      <c r="AR1146" s="15" t="s">
        <v>334</v>
      </c>
      <c r="AS1146" s="15" t="s">
        <v>574</v>
      </c>
      <c r="AT1146" s="15" t="s">
        <v>775</v>
      </c>
      <c r="AU1146" s="15"/>
      <c r="AV1146" s="15"/>
      <c r="AW1146" s="15"/>
      <c r="AX1146" s="15"/>
      <c r="AY1146" s="15"/>
      <c r="AZ1146" s="18"/>
      <c r="BA1146" s="19">
        <v>0.025000000000000001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ht="14.25">
      <c r="AR1147" s="15" t="s">
        <v>334</v>
      </c>
      <c r="AS1147" s="15" t="s">
        <v>574</v>
      </c>
      <c r="AT1147" s="15" t="s">
        <v>776</v>
      </c>
      <c r="AU1147" s="15"/>
      <c r="AV1147" s="15"/>
      <c r="AW1147" s="15"/>
      <c r="AX1147" s="15"/>
      <c r="AY1147" s="15"/>
      <c r="AZ1147" s="18"/>
      <c r="BA1147" s="19">
        <v>0.025000000000000001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ht="14.25">
      <c r="AR1148" s="15" t="s">
        <v>334</v>
      </c>
      <c r="AS1148" s="15" t="s">
        <v>574</v>
      </c>
      <c r="AT1148" s="15" t="s">
        <v>777</v>
      </c>
      <c r="AU1148" s="15"/>
      <c r="AV1148" s="15"/>
      <c r="AW1148" s="15"/>
      <c r="AX1148" s="15"/>
      <c r="AY1148" s="15"/>
      <c r="AZ1148" s="18"/>
      <c r="BA1148" s="19">
        <v>0.025000000000000001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ht="14.25">
      <c r="AR1149" s="15" t="s">
        <v>334</v>
      </c>
      <c r="AS1149" s="15" t="s">
        <v>574</v>
      </c>
      <c r="AT1149" s="15" t="s">
        <v>778</v>
      </c>
      <c r="AU1149" s="15"/>
      <c r="AV1149" s="15"/>
      <c r="AW1149" s="15"/>
      <c r="AX1149" s="15"/>
      <c r="AY1149" s="15"/>
      <c r="AZ1149" s="18"/>
      <c r="BA1149" s="19">
        <v>0.025000000000000001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ht="14.25">
      <c r="AR1150" s="15" t="s">
        <v>334</v>
      </c>
      <c r="AS1150" s="15" t="s">
        <v>574</v>
      </c>
      <c r="AT1150" s="15" t="s">
        <v>779</v>
      </c>
      <c r="AU1150" s="15"/>
      <c r="AV1150" s="15"/>
      <c r="AW1150" s="15"/>
      <c r="AX1150" s="15"/>
      <c r="AY1150" s="15"/>
      <c r="AZ1150" s="18"/>
      <c r="BA1150" s="19">
        <v>0.025000000000000001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ht="14.25">
      <c r="AR1151" s="15" t="s">
        <v>334</v>
      </c>
      <c r="AS1151" s="15" t="s">
        <v>574</v>
      </c>
      <c r="AT1151" s="15" t="s">
        <v>780</v>
      </c>
      <c r="AU1151" s="15"/>
      <c r="AV1151" s="15"/>
      <c r="AW1151" s="15"/>
      <c r="AX1151" s="15"/>
      <c r="AY1151" s="15"/>
      <c r="AZ1151" s="18"/>
      <c r="BA1151" s="19">
        <v>0.025000000000000001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ht="14.25">
      <c r="AR1152" s="15" t="s">
        <v>334</v>
      </c>
      <c r="AS1152" s="15" t="s">
        <v>574</v>
      </c>
      <c r="AT1152" s="15" t="s">
        <v>781</v>
      </c>
      <c r="AU1152" s="15"/>
      <c r="AV1152" s="15"/>
      <c r="AW1152" s="15"/>
      <c r="AX1152" s="15"/>
      <c r="AY1152" s="15"/>
      <c r="AZ1152" s="18"/>
      <c r="BA1152" s="19">
        <v>0.025000000000000001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ht="14.25">
      <c r="AR1153" s="15" t="s">
        <v>334</v>
      </c>
      <c r="AS1153" s="15" t="s">
        <v>574</v>
      </c>
      <c r="AT1153" s="15" t="s">
        <v>782</v>
      </c>
      <c r="AU1153" s="15"/>
      <c r="AV1153" s="15"/>
      <c r="AW1153" s="15"/>
      <c r="AX1153" s="15"/>
      <c r="AY1153" s="15"/>
      <c r="AZ1153" s="18"/>
      <c r="BA1153" s="19">
        <v>0.025000000000000001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ht="14.25">
      <c r="AR1154" s="15" t="s">
        <v>334</v>
      </c>
      <c r="AS1154" s="15" t="s">
        <v>574</v>
      </c>
      <c r="AT1154" s="15" t="s">
        <v>783</v>
      </c>
      <c r="AU1154" s="15"/>
      <c r="AV1154" s="15"/>
      <c r="AW1154" s="15"/>
      <c r="AX1154" s="15"/>
      <c r="AY1154" s="15"/>
      <c r="AZ1154" s="18"/>
      <c r="BA1154" s="19">
        <v>0.025000000000000001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ht="14.25">
      <c r="AR1155" s="15" t="s">
        <v>334</v>
      </c>
      <c r="AS1155" s="15" t="s">
        <v>574</v>
      </c>
      <c r="AT1155" s="15" t="s">
        <v>784</v>
      </c>
      <c r="AU1155" s="15"/>
      <c r="AV1155" s="15"/>
      <c r="AW1155" s="15"/>
      <c r="AX1155" s="15"/>
      <c r="AY1155" s="15"/>
      <c r="AZ1155" s="18"/>
      <c r="BA1155" s="19">
        <v>0.025000000000000001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ht="14.25">
      <c r="AR1156" s="15" t="s">
        <v>334</v>
      </c>
      <c r="AS1156" s="15" t="s">
        <v>574</v>
      </c>
      <c r="AT1156" s="15" t="s">
        <v>785</v>
      </c>
      <c r="AU1156" s="15"/>
      <c r="AV1156" s="15"/>
      <c r="AW1156" s="15"/>
      <c r="AX1156" s="15"/>
      <c r="AY1156" s="15"/>
      <c r="AZ1156" s="18"/>
      <c r="BA1156" s="19">
        <v>0.025000000000000001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ht="14.25">
      <c r="AR1157" s="15" t="s">
        <v>334</v>
      </c>
      <c r="AS1157" s="15" t="s">
        <v>574</v>
      </c>
      <c r="AT1157" s="15" t="s">
        <v>786</v>
      </c>
      <c r="AU1157" s="15"/>
      <c r="AV1157" s="15"/>
      <c r="AW1157" s="15"/>
      <c r="AX1157" s="15"/>
      <c r="AY1157" s="15"/>
      <c r="AZ1157" s="18"/>
      <c r="BA1157" s="19">
        <v>0.025000000000000001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ht="14.25">
      <c r="AR1158" s="15" t="s">
        <v>334</v>
      </c>
      <c r="AS1158" s="15" t="s">
        <v>574</v>
      </c>
      <c r="AT1158" s="15" t="s">
        <v>787</v>
      </c>
      <c r="AU1158" s="15"/>
      <c r="AV1158" s="15"/>
      <c r="AW1158" s="15"/>
      <c r="AX1158" s="15"/>
      <c r="AY1158" s="15"/>
      <c r="AZ1158" s="18"/>
      <c r="BA1158" s="19">
        <v>0.025000000000000001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ht="14.25">
      <c r="AR1159" s="15" t="s">
        <v>334</v>
      </c>
      <c r="AS1159" s="15" t="s">
        <v>574</v>
      </c>
      <c r="AT1159" s="15" t="s">
        <v>788</v>
      </c>
      <c r="AU1159" s="15"/>
      <c r="AV1159" s="15"/>
      <c r="AW1159" s="15"/>
      <c r="AX1159" s="15"/>
      <c r="AY1159" s="15"/>
      <c r="AZ1159" s="18"/>
      <c r="BA1159" s="19">
        <v>0.025000000000000001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ht="14.25">
      <c r="AR1160" s="15" t="s">
        <v>334</v>
      </c>
      <c r="AS1160" s="15" t="s">
        <v>574</v>
      </c>
      <c r="AT1160" s="15" t="s">
        <v>789</v>
      </c>
      <c r="AU1160" s="15"/>
      <c r="AV1160" s="15"/>
      <c r="AW1160" s="15"/>
      <c r="AX1160" s="15"/>
      <c r="AY1160" s="15"/>
      <c r="AZ1160" s="18"/>
      <c r="BA1160" s="19">
        <v>0.025000000000000001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ht="14.25">
      <c r="AR1161" s="15" t="s">
        <v>334</v>
      </c>
      <c r="AS1161" s="15" t="s">
        <v>574</v>
      </c>
      <c r="AT1161" s="15" t="s">
        <v>790</v>
      </c>
      <c r="AU1161" s="15"/>
      <c r="AV1161" s="15"/>
      <c r="AW1161" s="15"/>
      <c r="AX1161" s="15"/>
      <c r="AY1161" s="15"/>
      <c r="AZ1161" s="18"/>
      <c r="BA1161" s="19">
        <v>0.025000000000000001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ht="14.25">
      <c r="AR1162" s="15" t="s">
        <v>334</v>
      </c>
      <c r="AS1162" s="15" t="s">
        <v>574</v>
      </c>
      <c r="AT1162" s="15" t="s">
        <v>791</v>
      </c>
      <c r="AU1162" s="15"/>
      <c r="AV1162" s="15"/>
      <c r="AW1162" s="15"/>
      <c r="AX1162" s="15"/>
      <c r="AY1162" s="15"/>
      <c r="AZ1162" s="18"/>
      <c r="BA1162" s="19">
        <v>0.025000000000000001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ht="14.25">
      <c r="AR1163" s="15" t="s">
        <v>334</v>
      </c>
      <c r="AS1163" s="15" t="s">
        <v>574</v>
      </c>
      <c r="AT1163" s="15" t="s">
        <v>792</v>
      </c>
      <c r="AU1163" s="15"/>
      <c r="AV1163" s="15"/>
      <c r="AW1163" s="15"/>
      <c r="AX1163" s="15"/>
      <c r="AY1163" s="15"/>
      <c r="AZ1163" s="18"/>
      <c r="BA1163" s="19">
        <v>0.025000000000000001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ht="14.25">
      <c r="AR1164" s="15" t="s">
        <v>334</v>
      </c>
      <c r="AS1164" s="15" t="s">
        <v>574</v>
      </c>
      <c r="AT1164" s="15" t="s">
        <v>793</v>
      </c>
      <c r="AU1164" s="15"/>
      <c r="AV1164" s="15"/>
      <c r="AW1164" s="15"/>
      <c r="AX1164" s="15"/>
      <c r="AY1164" s="15"/>
      <c r="AZ1164" s="18"/>
      <c r="BA1164" s="19">
        <v>0.025000000000000001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ht="14.25">
      <c r="AR1165" s="15" t="s">
        <v>334</v>
      </c>
      <c r="AS1165" s="15" t="s">
        <v>574</v>
      </c>
      <c r="AT1165" s="15" t="s">
        <v>794</v>
      </c>
      <c r="AU1165" s="15"/>
      <c r="AV1165" s="15"/>
      <c r="AW1165" s="15"/>
      <c r="AX1165" s="15"/>
      <c r="AY1165" s="15"/>
      <c r="AZ1165" s="18"/>
      <c r="BA1165" s="19">
        <v>0.025000000000000001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ht="14.25">
      <c r="AR1166" s="15" t="s">
        <v>334</v>
      </c>
      <c r="AS1166" s="15" t="s">
        <v>574</v>
      </c>
      <c r="AT1166" s="15" t="s">
        <v>795</v>
      </c>
      <c r="AU1166" s="15"/>
      <c r="AV1166" s="15"/>
      <c r="AW1166" s="15"/>
      <c r="AX1166" s="15"/>
      <c r="AY1166" s="15"/>
      <c r="AZ1166" s="18"/>
      <c r="BA1166" s="19">
        <v>0.025000000000000001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ht="14.25">
      <c r="AR1167" s="15" t="s">
        <v>334</v>
      </c>
      <c r="AS1167" s="15" t="s">
        <v>574</v>
      </c>
      <c r="AT1167" s="15" t="s">
        <v>796</v>
      </c>
      <c r="AU1167" s="15"/>
      <c r="AV1167" s="15"/>
      <c r="AW1167" s="15"/>
      <c r="AX1167" s="15"/>
      <c r="AY1167" s="15"/>
      <c r="AZ1167" s="18"/>
      <c r="BA1167" s="19">
        <v>0.025000000000000001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ht="14.25">
      <c r="AR1168" s="15" t="s">
        <v>334</v>
      </c>
      <c r="AS1168" s="15" t="s">
        <v>574</v>
      </c>
      <c r="AT1168" s="15" t="s">
        <v>797</v>
      </c>
      <c r="AU1168" s="15"/>
      <c r="AV1168" s="15"/>
      <c r="AW1168" s="15"/>
      <c r="AX1168" s="15"/>
      <c r="AY1168" s="15"/>
      <c r="AZ1168" s="18"/>
      <c r="BA1168" s="19">
        <v>0.025000000000000001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ht="14.25">
      <c r="AR1169" s="15" t="s">
        <v>334</v>
      </c>
      <c r="AS1169" s="15" t="s">
        <v>574</v>
      </c>
      <c r="AT1169" s="15" t="s">
        <v>798</v>
      </c>
      <c r="AU1169" s="15"/>
      <c r="AV1169" s="15"/>
      <c r="AW1169" s="15"/>
      <c r="AX1169" s="15"/>
      <c r="AY1169" s="15"/>
      <c r="AZ1169" s="18"/>
      <c r="BA1169" s="19">
        <v>0.025000000000000001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ht="14.25">
      <c r="AR1170" s="15" t="s">
        <v>334</v>
      </c>
      <c r="AS1170" s="15" t="s">
        <v>574</v>
      </c>
      <c r="AT1170" s="15" t="s">
        <v>799</v>
      </c>
      <c r="AU1170" s="15"/>
      <c r="AV1170" s="15"/>
      <c r="AW1170" s="15"/>
      <c r="AX1170" s="15"/>
      <c r="AY1170" s="15"/>
      <c r="AZ1170" s="18"/>
      <c r="BA1170" s="19">
        <v>0.025000000000000001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ht="14.25">
      <c r="AR1171" s="15" t="s">
        <v>334</v>
      </c>
      <c r="AS1171" s="15" t="s">
        <v>574</v>
      </c>
      <c r="AT1171" s="15" t="s">
        <v>800</v>
      </c>
      <c r="AU1171" s="15"/>
      <c r="AV1171" s="15"/>
      <c r="AW1171" s="15"/>
      <c r="AX1171" s="15"/>
      <c r="AY1171" s="15"/>
      <c r="AZ1171" s="18"/>
      <c r="BA1171" s="19">
        <v>0.025000000000000001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ht="14.25">
      <c r="AR1172" s="15" t="s">
        <v>334</v>
      </c>
      <c r="AS1172" s="15" t="s">
        <v>574</v>
      </c>
      <c r="AT1172" s="15" t="s">
        <v>801</v>
      </c>
      <c r="AU1172" s="15"/>
      <c r="AV1172" s="15"/>
      <c r="AW1172" s="15"/>
      <c r="AX1172" s="15"/>
      <c r="AY1172" s="15"/>
      <c r="AZ1172" s="18"/>
      <c r="BA1172" s="19">
        <v>0.025000000000000001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ht="14.25">
      <c r="AR1173" s="15" t="s">
        <v>334</v>
      </c>
      <c r="AS1173" s="15" t="s">
        <v>574</v>
      </c>
      <c r="AT1173" s="15" t="s">
        <v>802</v>
      </c>
      <c r="AU1173" s="15"/>
      <c r="AV1173" s="15"/>
      <c r="AW1173" s="15"/>
      <c r="AX1173" s="15"/>
      <c r="AY1173" s="15"/>
      <c r="AZ1173" s="18"/>
      <c r="BA1173" s="19">
        <v>0.025000000000000001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ht="14.25">
      <c r="AR1174" s="15" t="s">
        <v>334</v>
      </c>
      <c r="AS1174" s="15" t="s">
        <v>574</v>
      </c>
      <c r="AT1174" s="15" t="s">
        <v>803</v>
      </c>
      <c r="AU1174" s="15"/>
      <c r="AV1174" s="15"/>
      <c r="AW1174" s="15"/>
      <c r="AX1174" s="15"/>
      <c r="AY1174" s="15"/>
      <c r="AZ1174" s="18"/>
      <c r="BA1174" s="19">
        <v>0.025000000000000001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ht="14.25">
      <c r="AR1175" s="15" t="s">
        <v>334</v>
      </c>
      <c r="AS1175" s="15" t="s">
        <v>574</v>
      </c>
      <c r="AT1175" s="15" t="s">
        <v>804</v>
      </c>
      <c r="AU1175" s="15"/>
      <c r="AV1175" s="15"/>
      <c r="AW1175" s="15"/>
      <c r="AX1175" s="15"/>
      <c r="AY1175" s="15"/>
      <c r="AZ1175" s="18"/>
      <c r="BA1175" s="19">
        <v>0.025000000000000001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ht="14.25">
      <c r="AR1176" s="15" t="s">
        <v>334</v>
      </c>
      <c r="AS1176" s="15" t="s">
        <v>574</v>
      </c>
      <c r="AT1176" s="15" t="s">
        <v>805</v>
      </c>
      <c r="AU1176" s="15"/>
      <c r="AV1176" s="15"/>
      <c r="AW1176" s="15"/>
      <c r="AX1176" s="15"/>
      <c r="AY1176" s="15"/>
      <c r="AZ1176" s="18"/>
      <c r="BA1176" s="19">
        <v>0.025000000000000001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ht="14.25">
      <c r="AR1177" s="15" t="s">
        <v>334</v>
      </c>
      <c r="AS1177" s="15" t="s">
        <v>574</v>
      </c>
      <c r="AT1177" s="15" t="s">
        <v>806</v>
      </c>
      <c r="AU1177" s="15"/>
      <c r="AV1177" s="15"/>
      <c r="AW1177" s="15"/>
      <c r="AX1177" s="15"/>
      <c r="AY1177" s="15"/>
      <c r="AZ1177" s="18"/>
      <c r="BA1177" s="19">
        <v>0.025000000000000001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ht="14.25">
      <c r="AR1178" s="15" t="s">
        <v>334</v>
      </c>
      <c r="AS1178" s="15" t="s">
        <v>574</v>
      </c>
      <c r="AT1178" s="15" t="s">
        <v>807</v>
      </c>
      <c r="AU1178" s="15"/>
      <c r="AV1178" s="15"/>
      <c r="AW1178" s="15"/>
      <c r="AX1178" s="15"/>
      <c r="AY1178" s="15"/>
      <c r="AZ1178" s="18"/>
      <c r="BA1178" s="19">
        <v>0.025000000000000001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ht="14.25">
      <c r="AR1179" s="15" t="s">
        <v>334</v>
      </c>
      <c r="AS1179" s="15" t="s">
        <v>574</v>
      </c>
      <c r="AT1179" s="15" t="s">
        <v>808</v>
      </c>
      <c r="AU1179" s="15"/>
      <c r="AV1179" s="15"/>
      <c r="AW1179" s="15"/>
      <c r="AX1179" s="15"/>
      <c r="AY1179" s="15"/>
      <c r="AZ1179" s="18"/>
      <c r="BA1179" s="19">
        <v>0.025000000000000001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ht="14.25">
      <c r="AR1180" s="15" t="s">
        <v>334</v>
      </c>
      <c r="AS1180" s="15" t="s">
        <v>574</v>
      </c>
      <c r="AT1180" s="15" t="s">
        <v>809</v>
      </c>
      <c r="AU1180" s="15"/>
      <c r="AV1180" s="15"/>
      <c r="AW1180" s="15"/>
      <c r="AX1180" s="15"/>
      <c r="AY1180" s="15"/>
      <c r="AZ1180" s="18"/>
      <c r="BA1180" s="19">
        <v>0.025000000000000001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ht="14.25">
      <c r="AR1181" s="15" t="s">
        <v>334</v>
      </c>
      <c r="AS1181" s="15" t="s">
        <v>574</v>
      </c>
      <c r="AT1181" s="15" t="s">
        <v>810</v>
      </c>
      <c r="AU1181" s="15"/>
      <c r="AV1181" s="15"/>
      <c r="AW1181" s="15"/>
      <c r="AX1181" s="15"/>
      <c r="AY1181" s="15"/>
      <c r="AZ1181" s="18"/>
      <c r="BA1181" s="19">
        <v>0.025000000000000001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ht="14.25">
      <c r="AR1182" s="15" t="s">
        <v>334</v>
      </c>
      <c r="AS1182" s="15" t="s">
        <v>574</v>
      </c>
      <c r="AT1182" s="15" t="s">
        <v>811</v>
      </c>
      <c r="AU1182" s="15"/>
      <c r="AV1182" s="15"/>
      <c r="AW1182" s="15"/>
      <c r="AX1182" s="15"/>
      <c r="AY1182" s="15"/>
      <c r="AZ1182" s="18"/>
      <c r="BA1182" s="19">
        <v>0.025000000000000001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ht="14.25">
      <c r="AR1183" s="15" t="s">
        <v>334</v>
      </c>
      <c r="AS1183" s="15" t="s">
        <v>574</v>
      </c>
      <c r="AT1183" s="15" t="s">
        <v>812</v>
      </c>
      <c r="AU1183" s="15"/>
      <c r="AV1183" s="15"/>
      <c r="AW1183" s="15"/>
      <c r="AX1183" s="15"/>
      <c r="AY1183" s="15"/>
      <c r="AZ1183" s="18"/>
      <c r="BA1183" s="19">
        <v>0.025000000000000001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ht="14.25">
      <c r="AR1184" s="15" t="s">
        <v>334</v>
      </c>
      <c r="AS1184" s="15" t="s">
        <v>574</v>
      </c>
      <c r="AT1184" s="15" t="s">
        <v>813</v>
      </c>
      <c r="AU1184" s="15"/>
      <c r="AV1184" s="15"/>
      <c r="AW1184" s="15"/>
      <c r="AX1184" s="15"/>
      <c r="AY1184" s="15"/>
      <c r="AZ1184" s="18"/>
      <c r="BA1184" s="19">
        <v>0.025000000000000001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ht="14.25">
      <c r="AR1185" s="15" t="s">
        <v>334</v>
      </c>
      <c r="AS1185" s="15" t="s">
        <v>574</v>
      </c>
      <c r="AT1185" s="15" t="s">
        <v>814</v>
      </c>
      <c r="AU1185" s="15"/>
      <c r="AV1185" s="15"/>
      <c r="AW1185" s="15"/>
      <c r="AX1185" s="15"/>
      <c r="AY1185" s="15"/>
      <c r="AZ1185" s="18"/>
      <c r="BA1185" s="19">
        <v>0.025000000000000001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ht="14.25">
      <c r="AR1186" s="15" t="s">
        <v>334</v>
      </c>
      <c r="AS1186" s="15" t="s">
        <v>574</v>
      </c>
      <c r="AT1186" s="15" t="s">
        <v>815</v>
      </c>
      <c r="AU1186" s="15"/>
      <c r="AV1186" s="15"/>
      <c r="AW1186" s="15"/>
      <c r="AX1186" s="15"/>
      <c r="AY1186" s="15"/>
      <c r="AZ1186" s="18"/>
      <c r="BA1186" s="19">
        <v>0.025000000000000001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ht="14.25">
      <c r="AR1187" s="15" t="s">
        <v>334</v>
      </c>
      <c r="AS1187" s="15" t="s">
        <v>574</v>
      </c>
      <c r="AT1187" s="15" t="s">
        <v>816</v>
      </c>
      <c r="AU1187" s="15"/>
      <c r="AV1187" s="15"/>
      <c r="AW1187" s="15"/>
      <c r="AX1187" s="15"/>
      <c r="AY1187" s="15"/>
      <c r="AZ1187" s="18"/>
      <c r="BA1187" s="19">
        <v>0.025000000000000001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ht="14.25">
      <c r="AR1188" s="15" t="s">
        <v>334</v>
      </c>
      <c r="AS1188" s="15" t="s">
        <v>574</v>
      </c>
      <c r="AT1188" s="15" t="s">
        <v>817</v>
      </c>
      <c r="AU1188" s="15"/>
      <c r="AV1188" s="15"/>
      <c r="AW1188" s="15"/>
      <c r="AX1188" s="15"/>
      <c r="AY1188" s="15"/>
      <c r="AZ1188" s="18"/>
      <c r="BA1188" s="19">
        <v>0.025000000000000001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ht="14.25">
      <c r="AR1189" s="15" t="s">
        <v>334</v>
      </c>
      <c r="AS1189" s="15" t="s">
        <v>574</v>
      </c>
      <c r="AT1189" s="15" t="s">
        <v>818</v>
      </c>
      <c r="AU1189" s="15"/>
      <c r="AV1189" s="15"/>
      <c r="AW1189" s="15"/>
      <c r="AX1189" s="15"/>
      <c r="AY1189" s="15"/>
      <c r="AZ1189" s="18"/>
      <c r="BA1189" s="19">
        <v>0.025000000000000001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ht="14.25">
      <c r="AR1190" s="15" t="s">
        <v>334</v>
      </c>
      <c r="AS1190" s="15" t="s">
        <v>574</v>
      </c>
      <c r="AT1190" s="15" t="s">
        <v>819</v>
      </c>
      <c r="AU1190" s="15"/>
      <c r="AV1190" s="15"/>
      <c r="AW1190" s="15"/>
      <c r="AX1190" s="15"/>
      <c r="AY1190" s="15"/>
      <c r="AZ1190" s="18"/>
      <c r="BA1190" s="19">
        <v>0.025000000000000001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ht="14.25">
      <c r="AR1191" s="15" t="s">
        <v>334</v>
      </c>
      <c r="AS1191" s="15" t="s">
        <v>574</v>
      </c>
      <c r="AT1191" s="15" t="s">
        <v>820</v>
      </c>
      <c r="AU1191" s="15"/>
      <c r="AV1191" s="15"/>
      <c r="AW1191" s="15"/>
      <c r="AX1191" s="15"/>
      <c r="AY1191" s="15"/>
      <c r="AZ1191" s="18"/>
      <c r="BA1191" s="19">
        <v>0.025000000000000001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ht="14.25">
      <c r="AR1192" s="15" t="s">
        <v>334</v>
      </c>
      <c r="AS1192" s="15" t="s">
        <v>574</v>
      </c>
      <c r="AT1192" s="15" t="s">
        <v>821</v>
      </c>
      <c r="AU1192" s="15"/>
      <c r="AV1192" s="15"/>
      <c r="AW1192" s="15"/>
      <c r="AX1192" s="15"/>
      <c r="AY1192" s="15"/>
      <c r="AZ1192" s="18"/>
      <c r="BA1192" s="19">
        <v>0.025000000000000001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ht="14.25">
      <c r="AR1193" s="15" t="s">
        <v>334</v>
      </c>
      <c r="AS1193" s="15" t="s">
        <v>574</v>
      </c>
      <c r="AT1193" s="15" t="s">
        <v>822</v>
      </c>
      <c r="AU1193" s="15"/>
      <c r="AV1193" s="15"/>
      <c r="AW1193" s="15"/>
      <c r="AX1193" s="15"/>
      <c r="AY1193" s="15"/>
      <c r="AZ1193" s="18"/>
      <c r="BA1193" s="19">
        <v>0.025000000000000001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ht="14.25">
      <c r="AR1194" s="15" t="s">
        <v>334</v>
      </c>
      <c r="AS1194" s="15" t="s">
        <v>574</v>
      </c>
      <c r="AT1194" s="15" t="s">
        <v>823</v>
      </c>
      <c r="AU1194" s="15"/>
      <c r="AV1194" s="15"/>
      <c r="AW1194" s="15"/>
      <c r="AX1194" s="15"/>
      <c r="AY1194" s="15"/>
      <c r="AZ1194" s="18"/>
      <c r="BA1194" s="19">
        <v>0.025000000000000001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ht="14.25">
      <c r="AR1195" s="15" t="s">
        <v>334</v>
      </c>
      <c r="AS1195" s="15" t="s">
        <v>574</v>
      </c>
      <c r="AT1195" s="15" t="s">
        <v>824</v>
      </c>
      <c r="AU1195" s="15"/>
      <c r="AV1195" s="15"/>
      <c r="AW1195" s="15"/>
      <c r="AX1195" s="15"/>
      <c r="AY1195" s="15"/>
      <c r="AZ1195" s="18"/>
      <c r="BA1195" s="19">
        <v>0.025000000000000001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ht="14.25">
      <c r="AR1196" s="15" t="s">
        <v>334</v>
      </c>
      <c r="AS1196" s="15" t="s">
        <v>574</v>
      </c>
      <c r="AT1196" s="15" t="s">
        <v>825</v>
      </c>
      <c r="AU1196" s="15"/>
      <c r="AV1196" s="15"/>
      <c r="AW1196" s="15"/>
      <c r="AX1196" s="15"/>
      <c r="AY1196" s="15"/>
      <c r="AZ1196" s="18"/>
      <c r="BA1196" s="19">
        <v>0.025000000000000001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ht="14.25">
      <c r="AR1197" s="15" t="s">
        <v>334</v>
      </c>
      <c r="AS1197" s="15" t="s">
        <v>574</v>
      </c>
      <c r="AT1197" s="15" t="s">
        <v>826</v>
      </c>
      <c r="AU1197" s="15"/>
      <c r="AV1197" s="15"/>
      <c r="AW1197" s="15"/>
      <c r="AX1197" s="15"/>
      <c r="AY1197" s="15"/>
      <c r="AZ1197" s="18"/>
      <c r="BA1197" s="19">
        <v>0.025000000000000001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ht="14.25">
      <c r="AR1198" s="15" t="s">
        <v>334</v>
      </c>
      <c r="AS1198" s="15" t="s">
        <v>574</v>
      </c>
      <c r="AT1198" s="15" t="s">
        <v>827</v>
      </c>
      <c r="AU1198" s="15"/>
      <c r="AV1198" s="15"/>
      <c r="AW1198" s="15"/>
      <c r="AX1198" s="15"/>
      <c r="AY1198" s="15"/>
      <c r="AZ1198" s="18"/>
      <c r="BA1198" s="19">
        <v>0.025000000000000001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ht="14.25">
      <c r="AR1199" s="15" t="s">
        <v>334</v>
      </c>
      <c r="AS1199" s="15" t="s">
        <v>574</v>
      </c>
      <c r="AT1199" s="15" t="s">
        <v>828</v>
      </c>
      <c r="AU1199" s="15"/>
      <c r="AV1199" s="15"/>
      <c r="AW1199" s="15"/>
      <c r="AX1199" s="15"/>
      <c r="AY1199" s="15"/>
      <c r="AZ1199" s="18"/>
      <c r="BA1199" s="19">
        <v>0.025000000000000001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ht="14.25">
      <c r="AR1200" s="15" t="s">
        <v>334</v>
      </c>
      <c r="AS1200" s="15" t="s">
        <v>574</v>
      </c>
      <c r="AT1200" s="15" t="s">
        <v>829</v>
      </c>
      <c r="AU1200" s="15"/>
      <c r="AV1200" s="15"/>
      <c r="AW1200" s="15"/>
      <c r="AX1200" s="15"/>
      <c r="AY1200" s="15"/>
      <c r="AZ1200" s="18"/>
      <c r="BA1200" s="19">
        <v>0.025000000000000001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ht="14.25">
      <c r="AR1201" s="15" t="s">
        <v>334</v>
      </c>
      <c r="AS1201" s="15" t="s">
        <v>574</v>
      </c>
      <c r="AT1201" s="15" t="s">
        <v>830</v>
      </c>
      <c r="AU1201" s="15"/>
      <c r="AV1201" s="15"/>
      <c r="AW1201" s="15"/>
      <c r="AX1201" s="15"/>
      <c r="AY1201" s="15"/>
      <c r="AZ1201" s="18"/>
      <c r="BA1201" s="19">
        <v>0.025000000000000001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ht="14.25">
      <c r="AR1202" s="15" t="s">
        <v>334</v>
      </c>
      <c r="AS1202" s="15" t="s">
        <v>574</v>
      </c>
      <c r="AT1202" s="15" t="s">
        <v>831</v>
      </c>
      <c r="AU1202" s="15"/>
      <c r="AV1202" s="15"/>
      <c r="AW1202" s="15"/>
      <c r="AX1202" s="15"/>
      <c r="AY1202" s="15"/>
      <c r="AZ1202" s="18"/>
      <c r="BA1202" s="19">
        <v>0.025000000000000001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ht="14.25">
      <c r="AR1203" s="15" t="s">
        <v>334</v>
      </c>
      <c r="AS1203" s="15" t="s">
        <v>574</v>
      </c>
      <c r="AT1203" s="15" t="s">
        <v>832</v>
      </c>
      <c r="AU1203" s="15"/>
      <c r="AV1203" s="15"/>
      <c r="AW1203" s="15"/>
      <c r="AX1203" s="15"/>
      <c r="AY1203" s="15"/>
      <c r="AZ1203" s="18"/>
      <c r="BA1203" s="19">
        <v>0.025000000000000001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ht="14.25">
      <c r="AR1204" s="15" t="s">
        <v>334</v>
      </c>
      <c r="AS1204" s="15" t="s">
        <v>574</v>
      </c>
      <c r="AT1204" s="15" t="s">
        <v>833</v>
      </c>
      <c r="AU1204" s="15"/>
      <c r="AV1204" s="15"/>
      <c r="AW1204" s="15"/>
      <c r="AX1204" s="15"/>
      <c r="AY1204" s="15"/>
      <c r="AZ1204" s="18"/>
      <c r="BA1204" s="19">
        <v>0.025000000000000001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ht="14.25">
      <c r="AR1205" s="15" t="s">
        <v>334</v>
      </c>
      <c r="AS1205" s="15" t="s">
        <v>574</v>
      </c>
      <c r="AT1205" s="15" t="s">
        <v>834</v>
      </c>
      <c r="AU1205" s="15"/>
      <c r="AV1205" s="15"/>
      <c r="AW1205" s="15"/>
      <c r="AX1205" s="15"/>
      <c r="AY1205" s="15"/>
      <c r="AZ1205" s="18"/>
      <c r="BA1205" s="19">
        <v>0.025000000000000001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ht="14.25">
      <c r="AR1206" s="15" t="s">
        <v>334</v>
      </c>
      <c r="AS1206" s="15" t="s">
        <v>574</v>
      </c>
      <c r="AT1206" s="15" t="s">
        <v>835</v>
      </c>
      <c r="AU1206" s="15"/>
      <c r="AV1206" s="15"/>
      <c r="AW1206" s="15"/>
      <c r="AX1206" s="15"/>
      <c r="AY1206" s="15"/>
      <c r="AZ1206" s="18"/>
      <c r="BA1206" s="19">
        <v>0.025000000000000001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ht="14.25">
      <c r="AR1207" s="15" t="s">
        <v>334</v>
      </c>
      <c r="AS1207" s="15" t="s">
        <v>574</v>
      </c>
      <c r="AT1207" s="15" t="s">
        <v>836</v>
      </c>
      <c r="AU1207" s="15"/>
      <c r="AV1207" s="15"/>
      <c r="AW1207" s="15"/>
      <c r="AX1207" s="15"/>
      <c r="AY1207" s="15"/>
      <c r="AZ1207" s="18"/>
      <c r="BA1207" s="19">
        <v>0.025000000000000001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ht="14.25">
      <c r="AR1208" s="15" t="s">
        <v>334</v>
      </c>
      <c r="AS1208" s="15" t="s">
        <v>574</v>
      </c>
      <c r="AT1208" s="15" t="s">
        <v>837</v>
      </c>
      <c r="AU1208" s="15"/>
      <c r="AV1208" s="15"/>
      <c r="AW1208" s="15"/>
      <c r="AX1208" s="15"/>
      <c r="AY1208" s="15"/>
      <c r="AZ1208" s="18"/>
      <c r="BA1208" s="19">
        <v>0.025000000000000001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ht="14.25">
      <c r="AR1209" s="15" t="s">
        <v>334</v>
      </c>
      <c r="AS1209" s="15" t="s">
        <v>574</v>
      </c>
      <c r="AT1209" s="15" t="s">
        <v>838</v>
      </c>
      <c r="AU1209" s="15"/>
      <c r="AV1209" s="15"/>
      <c r="AW1209" s="15"/>
      <c r="AX1209" s="15"/>
      <c r="AY1209" s="15"/>
      <c r="AZ1209" s="18"/>
      <c r="BA1209" s="19">
        <v>0.025000000000000001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ht="14.25">
      <c r="AR1210" s="15" t="s">
        <v>334</v>
      </c>
      <c r="AS1210" s="15" t="s">
        <v>574</v>
      </c>
      <c r="AT1210" s="15" t="s">
        <v>839</v>
      </c>
      <c r="AU1210" s="15"/>
      <c r="AV1210" s="15"/>
      <c r="AW1210" s="15"/>
      <c r="AX1210" s="15"/>
      <c r="AY1210" s="15"/>
      <c r="AZ1210" s="18"/>
      <c r="BA1210" s="19">
        <v>0.025000000000000001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ht="14.25">
      <c r="AR1211" s="15" t="s">
        <v>334</v>
      </c>
      <c r="AS1211" s="15" t="s">
        <v>574</v>
      </c>
      <c r="AT1211" s="15" t="s">
        <v>840</v>
      </c>
      <c r="AU1211" s="15"/>
      <c r="AV1211" s="15"/>
      <c r="AW1211" s="15"/>
      <c r="AX1211" s="15"/>
      <c r="AY1211" s="15"/>
      <c r="AZ1211" s="18"/>
      <c r="BA1211" s="19">
        <v>0.025000000000000001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ht="14.25">
      <c r="AR1212" s="15" t="s">
        <v>334</v>
      </c>
      <c r="AS1212" s="15" t="s">
        <v>574</v>
      </c>
      <c r="AT1212" s="15" t="s">
        <v>841</v>
      </c>
      <c r="AU1212" s="15"/>
      <c r="AV1212" s="15"/>
      <c r="AW1212" s="15"/>
      <c r="AX1212" s="15"/>
      <c r="AY1212" s="15"/>
      <c r="AZ1212" s="18"/>
      <c r="BA1212" s="19">
        <v>0.025000000000000001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ht="14.25">
      <c r="AR1213" s="15" t="s">
        <v>334</v>
      </c>
      <c r="AS1213" s="15" t="s">
        <v>574</v>
      </c>
      <c r="AT1213" s="15" t="s">
        <v>842</v>
      </c>
      <c r="AU1213" s="15"/>
      <c r="AV1213" s="15"/>
      <c r="AW1213" s="15"/>
      <c r="AX1213" s="15"/>
      <c r="AY1213" s="15"/>
      <c r="AZ1213" s="18"/>
      <c r="BA1213" s="19">
        <v>0.025000000000000001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ht="14.25">
      <c r="AR1214" s="15" t="s">
        <v>334</v>
      </c>
      <c r="AS1214" s="15" t="s">
        <v>574</v>
      </c>
      <c r="AT1214" s="15" t="s">
        <v>843</v>
      </c>
      <c r="AU1214" s="15"/>
      <c r="AV1214" s="15"/>
      <c r="AW1214" s="15"/>
      <c r="AX1214" s="15"/>
      <c r="AY1214" s="15"/>
      <c r="AZ1214" s="18"/>
      <c r="BA1214" s="19">
        <v>0.025000000000000001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ht="14.25">
      <c r="AR1215" s="15" t="s">
        <v>334</v>
      </c>
      <c r="AS1215" s="15" t="s">
        <v>574</v>
      </c>
      <c r="AT1215" s="15" t="s">
        <v>844</v>
      </c>
      <c r="AU1215" s="15"/>
      <c r="AV1215" s="15"/>
      <c r="AW1215" s="15"/>
      <c r="AX1215" s="15"/>
      <c r="AY1215" s="15"/>
      <c r="AZ1215" s="18"/>
      <c r="BA1215" s="19">
        <v>0.025000000000000001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ht="14.25">
      <c r="AR1216" s="15" t="s">
        <v>334</v>
      </c>
      <c r="AS1216" s="15" t="s">
        <v>574</v>
      </c>
      <c r="AT1216" s="15" t="s">
        <v>845</v>
      </c>
      <c r="AU1216" s="15"/>
      <c r="AV1216" s="15"/>
      <c r="AW1216" s="15"/>
      <c r="AX1216" s="15"/>
      <c r="AY1216" s="15"/>
      <c r="AZ1216" s="18"/>
      <c r="BA1216" s="19">
        <v>0.025000000000000001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ht="14.25">
      <c r="AR1217" s="15" t="s">
        <v>334</v>
      </c>
      <c r="AS1217" s="15" t="s">
        <v>574</v>
      </c>
      <c r="AT1217" s="15" t="s">
        <v>846</v>
      </c>
      <c r="AU1217" s="15"/>
      <c r="AV1217" s="15"/>
      <c r="AW1217" s="15"/>
      <c r="AX1217" s="15"/>
      <c r="AY1217" s="15"/>
      <c r="AZ1217" s="18"/>
      <c r="BA1217" s="19">
        <v>0.025000000000000001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ht="14.25">
      <c r="AR1218" s="15" t="s">
        <v>334</v>
      </c>
      <c r="AS1218" s="15" t="s">
        <v>574</v>
      </c>
      <c r="AT1218" s="15" t="s">
        <v>847</v>
      </c>
      <c r="AU1218" s="15"/>
      <c r="AV1218" s="15"/>
      <c r="AW1218" s="15"/>
      <c r="AX1218" s="15"/>
      <c r="AY1218" s="15"/>
      <c r="AZ1218" s="18"/>
      <c r="BA1218" s="19">
        <v>0.025000000000000001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ht="14.25">
      <c r="AR1219" s="15" t="s">
        <v>334</v>
      </c>
      <c r="AS1219" s="15" t="s">
        <v>574</v>
      </c>
      <c r="AT1219" s="15" t="s">
        <v>848</v>
      </c>
      <c r="AU1219" s="15"/>
      <c r="AV1219" s="15"/>
      <c r="AW1219" s="15"/>
      <c r="AX1219" s="15"/>
      <c r="AY1219" s="15"/>
      <c r="AZ1219" s="18"/>
      <c r="BA1219" s="19">
        <v>0.025000000000000001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ht="14.25">
      <c r="AR1220" s="15" t="s">
        <v>334</v>
      </c>
      <c r="AS1220" s="15" t="s">
        <v>574</v>
      </c>
      <c r="AT1220" s="15" t="s">
        <v>849</v>
      </c>
      <c r="AU1220" s="15"/>
      <c r="AV1220" s="15"/>
      <c r="AW1220" s="15"/>
      <c r="AX1220" s="15"/>
      <c r="AY1220" s="15"/>
      <c r="AZ1220" s="18"/>
      <c r="BA1220" s="19">
        <v>0.025000000000000001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ht="14.25">
      <c r="AR1221" s="15" t="s">
        <v>334</v>
      </c>
      <c r="AS1221" s="15" t="s">
        <v>574</v>
      </c>
      <c r="AT1221" s="15" t="s">
        <v>850</v>
      </c>
      <c r="AU1221" s="15"/>
      <c r="AV1221" s="15"/>
      <c r="AW1221" s="15"/>
      <c r="AX1221" s="15"/>
      <c r="AY1221" s="15"/>
      <c r="AZ1221" s="18"/>
      <c r="BA1221" s="19">
        <v>0.025000000000000001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ht="14.25">
      <c r="AR1222" s="15" t="s">
        <v>334</v>
      </c>
      <c r="AS1222" s="15" t="s">
        <v>574</v>
      </c>
      <c r="AT1222" s="15" t="s">
        <v>851</v>
      </c>
      <c r="AU1222" s="15"/>
      <c r="AV1222" s="15"/>
      <c r="AW1222" s="15"/>
      <c r="AX1222" s="15"/>
      <c r="AY1222" s="15"/>
      <c r="AZ1222" s="18"/>
      <c r="BA1222" s="19">
        <v>0.025000000000000001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ht="14.25">
      <c r="AR1223" s="15" t="s">
        <v>334</v>
      </c>
      <c r="AS1223" s="15" t="s">
        <v>574</v>
      </c>
      <c r="AT1223" s="15" t="s">
        <v>852</v>
      </c>
      <c r="AU1223" s="15"/>
      <c r="AV1223" s="15"/>
      <c r="AW1223" s="15"/>
      <c r="AX1223" s="15"/>
      <c r="AY1223" s="15"/>
      <c r="AZ1223" s="18"/>
      <c r="BA1223" s="19">
        <v>0.025000000000000001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ht="14.25">
      <c r="AR1224" s="15" t="s">
        <v>334</v>
      </c>
      <c r="AS1224" s="15" t="s">
        <v>574</v>
      </c>
      <c r="AT1224" s="15" t="s">
        <v>853</v>
      </c>
      <c r="AU1224" s="15"/>
      <c r="AV1224" s="15"/>
      <c r="AW1224" s="15"/>
      <c r="AX1224" s="15"/>
      <c r="AY1224" s="15"/>
      <c r="AZ1224" s="18"/>
      <c r="BA1224" s="19">
        <v>0.025000000000000001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ht="14.25">
      <c r="AR1225" s="15" t="s">
        <v>334</v>
      </c>
      <c r="AS1225" s="15" t="s">
        <v>574</v>
      </c>
      <c r="AT1225" s="15" t="s">
        <v>854</v>
      </c>
      <c r="AU1225" s="15"/>
      <c r="AV1225" s="15"/>
      <c r="AW1225" s="15"/>
      <c r="AX1225" s="15"/>
      <c r="AY1225" s="15"/>
      <c r="AZ1225" s="18"/>
      <c r="BA1225" s="19">
        <v>0.025000000000000001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ht="14.25">
      <c r="AR1226" s="15" t="s">
        <v>334</v>
      </c>
      <c r="AS1226" s="15" t="s">
        <v>574</v>
      </c>
      <c r="AT1226" s="15" t="s">
        <v>855</v>
      </c>
      <c r="AU1226" s="15"/>
      <c r="AV1226" s="15"/>
      <c r="AW1226" s="15"/>
      <c r="AX1226" s="15"/>
      <c r="AY1226" s="15"/>
      <c r="AZ1226" s="18"/>
      <c r="BA1226" s="19">
        <v>0.025000000000000001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ht="14.25">
      <c r="AR1227" s="15" t="s">
        <v>334</v>
      </c>
      <c r="AS1227" s="15" t="s">
        <v>574</v>
      </c>
      <c r="AT1227" s="15" t="s">
        <v>856</v>
      </c>
      <c r="AU1227" s="15"/>
      <c r="AV1227" s="15"/>
      <c r="AW1227" s="15"/>
      <c r="AX1227" s="15"/>
      <c r="AY1227" s="15"/>
      <c r="AZ1227" s="18"/>
      <c r="BA1227" s="19">
        <v>0.025000000000000001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ht="14.25">
      <c r="AR1228" s="15" t="s">
        <v>334</v>
      </c>
      <c r="AS1228" s="15" t="s">
        <v>574</v>
      </c>
      <c r="AT1228" s="15" t="s">
        <v>857</v>
      </c>
      <c r="AU1228" s="15"/>
      <c r="AV1228" s="15"/>
      <c r="AW1228" s="15"/>
      <c r="AX1228" s="15"/>
      <c r="AY1228" s="15"/>
      <c r="AZ1228" s="18"/>
      <c r="BA1228" s="19">
        <v>0.025000000000000001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ht="14.25">
      <c r="AR1229" s="15" t="s">
        <v>334</v>
      </c>
      <c r="AS1229" s="15" t="s">
        <v>574</v>
      </c>
      <c r="AT1229" s="15" t="s">
        <v>858</v>
      </c>
      <c r="AU1229" s="15"/>
      <c r="AV1229" s="15"/>
      <c r="AW1229" s="15"/>
      <c r="AX1229" s="15"/>
      <c r="AY1229" s="15"/>
      <c r="AZ1229" s="18"/>
      <c r="BA1229" s="19">
        <v>0.025000000000000001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ht="14.25">
      <c r="AR1230" s="15" t="s">
        <v>334</v>
      </c>
      <c r="AS1230" s="15" t="s">
        <v>574</v>
      </c>
      <c r="AT1230" s="15" t="s">
        <v>859</v>
      </c>
      <c r="AU1230" s="15"/>
      <c r="AV1230" s="15"/>
      <c r="AW1230" s="15"/>
      <c r="AX1230" s="15"/>
      <c r="AY1230" s="15"/>
      <c r="AZ1230" s="18"/>
      <c r="BA1230" s="19">
        <v>0.025000000000000001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ht="14.25">
      <c r="AR1231" s="15" t="s">
        <v>334</v>
      </c>
      <c r="AS1231" s="15" t="s">
        <v>574</v>
      </c>
      <c r="AT1231" s="15" t="s">
        <v>860</v>
      </c>
      <c r="AU1231" s="15"/>
      <c r="AV1231" s="15"/>
      <c r="AW1231" s="15"/>
      <c r="AX1231" s="15"/>
      <c r="AY1231" s="15"/>
      <c r="AZ1231" s="18"/>
      <c r="BA1231" s="19">
        <v>0.025000000000000001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ht="14.25">
      <c r="AR1232" s="15" t="s">
        <v>334</v>
      </c>
      <c r="AS1232" s="15" t="s">
        <v>574</v>
      </c>
      <c r="AT1232" s="15" t="s">
        <v>861</v>
      </c>
      <c r="AU1232" s="15"/>
      <c r="AV1232" s="15"/>
      <c r="AW1232" s="15"/>
      <c r="AX1232" s="15"/>
      <c r="AY1232" s="15"/>
      <c r="AZ1232" s="18"/>
      <c r="BA1232" s="19">
        <v>0.025000000000000001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ht="14.25">
      <c r="AR1233" s="15" t="s">
        <v>334</v>
      </c>
      <c r="AS1233" s="15" t="s">
        <v>574</v>
      </c>
      <c r="AT1233" s="15" t="s">
        <v>862</v>
      </c>
      <c r="AU1233" s="15"/>
      <c r="AV1233" s="15"/>
      <c r="AW1233" s="15"/>
      <c r="AX1233" s="15"/>
      <c r="AY1233" s="15"/>
      <c r="AZ1233" s="18"/>
      <c r="BA1233" s="19">
        <v>0.025000000000000001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ht="14.25">
      <c r="AR1234" s="15" t="s">
        <v>334</v>
      </c>
      <c r="AS1234" s="15" t="s">
        <v>574</v>
      </c>
      <c r="AT1234" s="15" t="s">
        <v>863</v>
      </c>
      <c r="AU1234" s="15"/>
      <c r="AV1234" s="15"/>
      <c r="AW1234" s="15"/>
      <c r="AX1234" s="15"/>
      <c r="AY1234" s="15"/>
      <c r="AZ1234" s="18"/>
      <c r="BA1234" s="19">
        <v>0.025000000000000001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ht="14.25">
      <c r="AR1235" s="15" t="s">
        <v>334</v>
      </c>
      <c r="AS1235" s="15" t="s">
        <v>574</v>
      </c>
      <c r="AT1235" s="15" t="s">
        <v>864</v>
      </c>
      <c r="AU1235" s="15"/>
      <c r="AV1235" s="15"/>
      <c r="AW1235" s="15"/>
      <c r="AX1235" s="15"/>
      <c r="AY1235" s="15"/>
      <c r="AZ1235" s="18"/>
      <c r="BA1235" s="19">
        <v>0.025000000000000001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ht="14.25">
      <c r="AR1236" s="15" t="s">
        <v>334</v>
      </c>
      <c r="AS1236" s="15" t="s">
        <v>574</v>
      </c>
      <c r="AT1236" s="15" t="s">
        <v>865</v>
      </c>
      <c r="AU1236" s="15"/>
      <c r="AV1236" s="15"/>
      <c r="AW1236" s="15"/>
      <c r="AX1236" s="15"/>
      <c r="AY1236" s="15"/>
      <c r="AZ1236" s="18"/>
      <c r="BA1236" s="19">
        <v>0.025000000000000001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ht="14.25">
      <c r="AR1237" s="15" t="s">
        <v>334</v>
      </c>
      <c r="AS1237" s="15" t="s">
        <v>574</v>
      </c>
      <c r="AT1237" s="15" t="s">
        <v>866</v>
      </c>
      <c r="AU1237" s="15"/>
      <c r="AV1237" s="15"/>
      <c r="AW1237" s="15"/>
      <c r="AX1237" s="15"/>
      <c r="AY1237" s="15"/>
      <c r="AZ1237" s="18"/>
      <c r="BA1237" s="19">
        <v>0.025000000000000001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ht="14.25">
      <c r="AR1238" s="15" t="s">
        <v>334</v>
      </c>
      <c r="AS1238" s="15" t="s">
        <v>574</v>
      </c>
      <c r="AT1238" s="15" t="s">
        <v>867</v>
      </c>
      <c r="AU1238" s="15"/>
      <c r="AV1238" s="15"/>
      <c r="AW1238" s="15"/>
      <c r="AX1238" s="15"/>
      <c r="AY1238" s="15"/>
      <c r="AZ1238" s="18"/>
      <c r="BA1238" s="19">
        <v>0.025000000000000001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ht="14.25">
      <c r="AR1239" s="15" t="s">
        <v>334</v>
      </c>
      <c r="AS1239" s="15" t="s">
        <v>574</v>
      </c>
      <c r="AT1239" s="15" t="s">
        <v>868</v>
      </c>
      <c r="AU1239" s="15"/>
      <c r="AV1239" s="15"/>
      <c r="AW1239" s="15"/>
      <c r="AX1239" s="15"/>
      <c r="AY1239" s="15"/>
      <c r="AZ1239" s="18"/>
      <c r="BA1239" s="19">
        <v>0.025000000000000001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ht="14.25">
      <c r="AR1240" s="15" t="s">
        <v>334</v>
      </c>
      <c r="AS1240" s="15" t="s">
        <v>574</v>
      </c>
      <c r="AT1240" s="15" t="s">
        <v>869</v>
      </c>
      <c r="AU1240" s="15"/>
      <c r="AV1240" s="15"/>
      <c r="AW1240" s="15"/>
      <c r="AX1240" s="15"/>
      <c r="AY1240" s="15"/>
      <c r="AZ1240" s="18"/>
      <c r="BA1240" s="19">
        <v>0.025000000000000001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ht="14.25">
      <c r="AR1241" s="15" t="s">
        <v>334</v>
      </c>
      <c r="AS1241" s="15" t="s">
        <v>574</v>
      </c>
      <c r="AT1241" s="15" t="s">
        <v>870</v>
      </c>
      <c r="AU1241" s="15"/>
      <c r="AV1241" s="15"/>
      <c r="AW1241" s="15"/>
      <c r="AX1241" s="15"/>
      <c r="AY1241" s="15"/>
      <c r="AZ1241" s="18"/>
      <c r="BA1241" s="19">
        <v>0.025000000000000001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ht="14.25">
      <c r="AR1242" s="15" t="s">
        <v>334</v>
      </c>
      <c r="AS1242" s="15" t="s">
        <v>574</v>
      </c>
      <c r="AT1242" s="15" t="s">
        <v>871</v>
      </c>
      <c r="AU1242" s="15"/>
      <c r="AV1242" s="15"/>
      <c r="AW1242" s="15"/>
      <c r="AX1242" s="15"/>
      <c r="AY1242" s="15"/>
      <c r="AZ1242" s="18"/>
      <c r="BA1242" s="19">
        <v>0.025000000000000001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ht="14.25">
      <c r="AR1243" s="15" t="s">
        <v>334</v>
      </c>
      <c r="AS1243" s="15" t="s">
        <v>574</v>
      </c>
      <c r="AT1243" s="15" t="s">
        <v>872</v>
      </c>
      <c r="AU1243" s="15"/>
      <c r="AV1243" s="15"/>
      <c r="AW1243" s="15"/>
      <c r="AX1243" s="15"/>
      <c r="AY1243" s="15"/>
      <c r="AZ1243" s="18"/>
      <c r="BA1243" s="19">
        <v>0.025000000000000001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ht="14.25">
      <c r="AR1244" s="15" t="s">
        <v>334</v>
      </c>
      <c r="AS1244" s="15" t="s">
        <v>574</v>
      </c>
      <c r="AT1244" s="15" t="s">
        <v>873</v>
      </c>
      <c r="AU1244" s="15"/>
      <c r="AV1244" s="15"/>
      <c r="AW1244" s="15"/>
      <c r="AX1244" s="15"/>
      <c r="AY1244" s="15"/>
      <c r="AZ1244" s="18"/>
      <c r="BA1244" s="19">
        <v>0.025000000000000001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ht="14.25">
      <c r="AR1245" s="15" t="s">
        <v>334</v>
      </c>
      <c r="AS1245" s="15" t="s">
        <v>574</v>
      </c>
      <c r="AT1245" s="15" t="s">
        <v>874</v>
      </c>
      <c r="AU1245" s="15"/>
      <c r="AV1245" s="15"/>
      <c r="AW1245" s="15"/>
      <c r="AX1245" s="15"/>
      <c r="AY1245" s="15"/>
      <c r="AZ1245" s="18"/>
      <c r="BA1245" s="19">
        <v>0.025000000000000001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ht="14.25">
      <c r="AR1246" s="15" t="s">
        <v>334</v>
      </c>
      <c r="AS1246" s="15" t="s">
        <v>574</v>
      </c>
      <c r="AT1246" s="15" t="s">
        <v>875</v>
      </c>
      <c r="AU1246" s="15"/>
      <c r="AV1246" s="15"/>
      <c r="AW1246" s="15"/>
      <c r="AX1246" s="15"/>
      <c r="AY1246" s="15"/>
      <c r="AZ1246" s="18"/>
      <c r="BA1246" s="19">
        <v>0.025000000000000001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ht="14.25">
      <c r="AR1247" s="15" t="s">
        <v>334</v>
      </c>
      <c r="AS1247" s="15" t="s">
        <v>574</v>
      </c>
      <c r="AT1247" s="15" t="s">
        <v>876</v>
      </c>
      <c r="AU1247" s="15"/>
      <c r="AV1247" s="15"/>
      <c r="AW1247" s="15"/>
      <c r="AX1247" s="15"/>
      <c r="AY1247" s="15"/>
      <c r="AZ1247" s="18"/>
      <c r="BA1247" s="19">
        <v>0.025000000000000001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ht="14.25">
      <c r="AR1248" s="15" t="s">
        <v>334</v>
      </c>
      <c r="AS1248" s="15" t="s">
        <v>574</v>
      </c>
      <c r="AT1248" s="15" t="s">
        <v>877</v>
      </c>
      <c r="AU1248" s="15"/>
      <c r="AV1248" s="15"/>
      <c r="AW1248" s="15"/>
      <c r="AX1248" s="15"/>
      <c r="AY1248" s="15"/>
      <c r="AZ1248" s="18"/>
      <c r="BA1248" s="19">
        <v>0.025000000000000001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ht="14.25">
      <c r="AR1249" s="15" t="s">
        <v>334</v>
      </c>
      <c r="AS1249" s="15" t="s">
        <v>574</v>
      </c>
      <c r="AT1249" s="15" t="s">
        <v>878</v>
      </c>
      <c r="AU1249" s="15"/>
      <c r="AV1249" s="15"/>
      <c r="AW1249" s="15"/>
      <c r="AX1249" s="15"/>
      <c r="AY1249" s="15"/>
      <c r="AZ1249" s="18"/>
      <c r="BA1249" s="19">
        <v>0.025000000000000001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ht="14.25">
      <c r="AR1250" s="15" t="s">
        <v>334</v>
      </c>
      <c r="AS1250" s="15" t="s">
        <v>574</v>
      </c>
      <c r="AT1250" s="15" t="s">
        <v>879</v>
      </c>
      <c r="AU1250" s="15"/>
      <c r="AV1250" s="15"/>
      <c r="AW1250" s="15"/>
      <c r="AX1250" s="15"/>
      <c r="AY1250" s="15"/>
      <c r="AZ1250" s="18"/>
      <c r="BA1250" s="19">
        <v>0.025000000000000001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ht="14.25">
      <c r="AR1251" s="15" t="s">
        <v>334</v>
      </c>
      <c r="AS1251" s="15" t="s">
        <v>574</v>
      </c>
      <c r="AT1251" s="15" t="s">
        <v>880</v>
      </c>
      <c r="AU1251" s="15"/>
      <c r="AV1251" s="15"/>
      <c r="AW1251" s="15"/>
      <c r="AX1251" s="15"/>
      <c r="AY1251" s="15"/>
      <c r="AZ1251" s="18"/>
      <c r="BA1251" s="19">
        <v>0.025000000000000001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ht="14.25">
      <c r="AR1252" s="15" t="s">
        <v>334</v>
      </c>
      <c r="AS1252" s="15" t="s">
        <v>574</v>
      </c>
      <c r="AT1252" s="15" t="s">
        <v>881</v>
      </c>
      <c r="AU1252" s="15"/>
      <c r="AV1252" s="15"/>
      <c r="AW1252" s="15"/>
      <c r="AX1252" s="15"/>
      <c r="AY1252" s="15"/>
      <c r="AZ1252" s="18"/>
      <c r="BA1252" s="19">
        <v>0.025000000000000001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ht="14.25">
      <c r="AR1253" s="15" t="s">
        <v>334</v>
      </c>
      <c r="AS1253" s="15" t="s">
        <v>574</v>
      </c>
      <c r="AT1253" s="15" t="s">
        <v>882</v>
      </c>
      <c r="AU1253" s="15"/>
      <c r="AV1253" s="15"/>
      <c r="AW1253" s="15"/>
      <c r="AX1253" s="15"/>
      <c r="AY1253" s="15"/>
      <c r="AZ1253" s="18"/>
      <c r="BA1253" s="19">
        <v>0.025000000000000001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ht="14.25">
      <c r="AR1254" s="15" t="s">
        <v>334</v>
      </c>
      <c r="AS1254" s="15" t="s">
        <v>574</v>
      </c>
      <c r="AT1254" s="15" t="s">
        <v>883</v>
      </c>
      <c r="AU1254" s="15"/>
      <c r="AV1254" s="15"/>
      <c r="AW1254" s="15"/>
      <c r="AX1254" s="15"/>
      <c r="AY1254" s="15"/>
      <c r="AZ1254" s="18"/>
      <c r="BA1254" s="19">
        <v>0.025000000000000001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ht="14.25">
      <c r="AR1255" s="15" t="s">
        <v>334</v>
      </c>
      <c r="AS1255" s="15" t="s">
        <v>574</v>
      </c>
      <c r="AT1255" s="15" t="s">
        <v>884</v>
      </c>
      <c r="AU1255" s="15"/>
      <c r="AV1255" s="15"/>
      <c r="AW1255" s="15"/>
      <c r="AX1255" s="15"/>
      <c r="AY1255" s="15"/>
      <c r="AZ1255" s="18"/>
      <c r="BA1255" s="19">
        <v>0.025000000000000001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ht="14.25">
      <c r="AR1256" s="15" t="s">
        <v>334</v>
      </c>
      <c r="AS1256" s="15" t="s">
        <v>574</v>
      </c>
      <c r="AT1256" s="15" t="s">
        <v>885</v>
      </c>
      <c r="AU1256" s="15"/>
      <c r="AV1256" s="15"/>
      <c r="AW1256" s="15"/>
      <c r="AX1256" s="15"/>
      <c r="AY1256" s="15"/>
      <c r="AZ1256" s="18"/>
      <c r="BA1256" s="19">
        <v>0.025000000000000001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ht="14.25">
      <c r="AR1257" s="15" t="s">
        <v>334</v>
      </c>
      <c r="AS1257" s="15" t="s">
        <v>574</v>
      </c>
      <c r="AT1257" s="15" t="s">
        <v>886</v>
      </c>
      <c r="AU1257" s="15"/>
      <c r="AV1257" s="15"/>
      <c r="AW1257" s="15"/>
      <c r="AX1257" s="15"/>
      <c r="AY1257" s="15"/>
      <c r="AZ1257" s="18"/>
      <c r="BA1257" s="19">
        <v>0.025000000000000001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ht="14.25">
      <c r="AR1258" s="15" t="s">
        <v>334</v>
      </c>
      <c r="AS1258" s="15" t="s">
        <v>574</v>
      </c>
      <c r="AT1258" s="15" t="s">
        <v>887</v>
      </c>
      <c r="AU1258" s="15"/>
      <c r="AV1258" s="15"/>
      <c r="AW1258" s="15"/>
      <c r="AX1258" s="15"/>
      <c r="AY1258" s="15"/>
      <c r="AZ1258" s="18"/>
      <c r="BA1258" s="19">
        <v>0.025000000000000001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ht="14.25">
      <c r="AR1259" s="15" t="s">
        <v>334</v>
      </c>
      <c r="AS1259" s="15" t="s">
        <v>574</v>
      </c>
      <c r="AT1259" s="15" t="s">
        <v>888</v>
      </c>
      <c r="AU1259" s="15"/>
      <c r="AV1259" s="15"/>
      <c r="AW1259" s="15"/>
      <c r="AX1259" s="15"/>
      <c r="AY1259" s="15"/>
      <c r="AZ1259" s="18"/>
      <c r="BA1259" s="19">
        <v>0.025000000000000001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ht="14.25">
      <c r="AR1260" s="15" t="s">
        <v>334</v>
      </c>
      <c r="AS1260" s="15" t="s">
        <v>574</v>
      </c>
      <c r="AT1260" s="15" t="s">
        <v>889</v>
      </c>
      <c r="AU1260" s="15"/>
      <c r="AV1260" s="15"/>
      <c r="AW1260" s="15"/>
      <c r="AX1260" s="15"/>
      <c r="AY1260" s="15"/>
      <c r="AZ1260" s="18"/>
      <c r="BA1260" s="19">
        <v>0.025000000000000001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ht="14.25">
      <c r="AR1261" s="15" t="s">
        <v>334</v>
      </c>
      <c r="AS1261" s="15" t="s">
        <v>574</v>
      </c>
      <c r="AT1261" s="15" t="s">
        <v>890</v>
      </c>
      <c r="AU1261" s="15"/>
      <c r="AV1261" s="15"/>
      <c r="AW1261" s="15"/>
      <c r="AX1261" s="15"/>
      <c r="AY1261" s="15"/>
      <c r="AZ1261" s="18"/>
      <c r="BA1261" s="19">
        <v>0.025000000000000001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ht="14.25">
      <c r="AR1262" s="15" t="s">
        <v>334</v>
      </c>
      <c r="AS1262" s="15" t="s">
        <v>574</v>
      </c>
      <c r="AT1262" s="15" t="s">
        <v>891</v>
      </c>
      <c r="AU1262" s="15"/>
      <c r="AV1262" s="15"/>
      <c r="AW1262" s="15"/>
      <c r="AX1262" s="15"/>
      <c r="AY1262" s="15"/>
      <c r="AZ1262" s="18"/>
      <c r="BA1262" s="19">
        <v>0.025000000000000001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ht="14.25">
      <c r="AR1263" s="15" t="s">
        <v>334</v>
      </c>
      <c r="AS1263" s="15" t="s">
        <v>574</v>
      </c>
      <c r="AT1263" s="15" t="s">
        <v>892</v>
      </c>
      <c r="AU1263" s="15"/>
      <c r="AV1263" s="15"/>
      <c r="AW1263" s="15"/>
      <c r="AX1263" s="15"/>
      <c r="AY1263" s="15"/>
      <c r="AZ1263" s="18"/>
      <c r="BA1263" s="19">
        <v>0.025000000000000001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ht="14.25">
      <c r="AR1264" s="15" t="s">
        <v>334</v>
      </c>
      <c r="AS1264" s="15" t="s">
        <v>574</v>
      </c>
      <c r="AT1264" s="15" t="s">
        <v>893</v>
      </c>
      <c r="AU1264" s="15"/>
      <c r="AV1264" s="15"/>
      <c r="AW1264" s="15"/>
      <c r="AX1264" s="15"/>
      <c r="AY1264" s="15"/>
      <c r="AZ1264" s="18"/>
      <c r="BA1264" s="19">
        <v>0.025000000000000001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ht="14.25">
      <c r="AR1265" s="15" t="s">
        <v>334</v>
      </c>
      <c r="AS1265" s="15" t="s">
        <v>574</v>
      </c>
      <c r="AT1265" s="15" t="s">
        <v>894</v>
      </c>
      <c r="AU1265" s="15"/>
      <c r="AV1265" s="15"/>
      <c r="AW1265" s="15"/>
      <c r="AX1265" s="15"/>
      <c r="AY1265" s="15"/>
      <c r="AZ1265" s="18"/>
      <c r="BA1265" s="19">
        <v>0.025000000000000001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ht="14.25">
      <c r="AR1266" s="15" t="s">
        <v>334</v>
      </c>
      <c r="AS1266" s="15" t="s">
        <v>574</v>
      </c>
      <c r="AT1266" s="15" t="s">
        <v>895</v>
      </c>
      <c r="AU1266" s="15"/>
      <c r="AV1266" s="15"/>
      <c r="AW1266" s="15"/>
      <c r="AX1266" s="15"/>
      <c r="AY1266" s="15"/>
      <c r="AZ1266" s="18"/>
      <c r="BA1266" s="19">
        <v>0.025000000000000001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ht="14.25">
      <c r="AR1267" s="15" t="s">
        <v>334</v>
      </c>
      <c r="AS1267" s="15" t="s">
        <v>574</v>
      </c>
      <c r="AT1267" s="15" t="s">
        <v>896</v>
      </c>
      <c r="AU1267" s="15"/>
      <c r="AV1267" s="15"/>
      <c r="AW1267" s="15"/>
      <c r="AX1267" s="15"/>
      <c r="AY1267" s="15"/>
      <c r="AZ1267" s="18"/>
      <c r="BA1267" s="19">
        <v>0.025000000000000001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ht="14.25">
      <c r="AR1268" s="15" t="s">
        <v>334</v>
      </c>
      <c r="AS1268" s="15" t="s">
        <v>574</v>
      </c>
      <c r="AT1268" s="15" t="s">
        <v>897</v>
      </c>
      <c r="AU1268" s="15"/>
      <c r="AV1268" s="15"/>
      <c r="AW1268" s="15"/>
      <c r="AX1268" s="15"/>
      <c r="AY1268" s="15"/>
      <c r="AZ1268" s="18"/>
      <c r="BA1268" s="19">
        <v>0.025000000000000001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ht="14.25">
      <c r="AR1269" s="15" t="s">
        <v>334</v>
      </c>
      <c r="AS1269" s="15" t="s">
        <v>574</v>
      </c>
      <c r="AT1269" s="15" t="s">
        <v>898</v>
      </c>
      <c r="AU1269" s="15"/>
      <c r="AV1269" s="15"/>
      <c r="AW1269" s="15"/>
      <c r="AX1269" s="15"/>
      <c r="AY1269" s="15"/>
      <c r="AZ1269" s="18"/>
      <c r="BA1269" s="19">
        <v>0.025000000000000001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ht="14.25">
      <c r="AR1270" s="15" t="s">
        <v>334</v>
      </c>
      <c r="AS1270" s="15" t="s">
        <v>574</v>
      </c>
      <c r="AT1270" s="15" t="s">
        <v>899</v>
      </c>
      <c r="AU1270" s="15"/>
      <c r="AV1270" s="15"/>
      <c r="AW1270" s="15"/>
      <c r="AX1270" s="15"/>
      <c r="AY1270" s="15"/>
      <c r="AZ1270" s="18"/>
      <c r="BA1270" s="19">
        <v>0.025000000000000001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ht="14.25">
      <c r="AR1271" s="15" t="s">
        <v>334</v>
      </c>
      <c r="AS1271" s="15" t="s">
        <v>574</v>
      </c>
      <c r="AT1271" s="15" t="s">
        <v>900</v>
      </c>
      <c r="AU1271" s="15"/>
      <c r="AV1271" s="15"/>
      <c r="AW1271" s="15"/>
      <c r="AX1271" s="15"/>
      <c r="AY1271" s="15"/>
      <c r="AZ1271" s="18"/>
      <c r="BA1271" s="19">
        <v>0.025000000000000001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ht="14.25">
      <c r="AR1272" s="15" t="s">
        <v>334</v>
      </c>
      <c r="AS1272" s="15" t="s">
        <v>574</v>
      </c>
      <c r="AT1272" s="15" t="s">
        <v>901</v>
      </c>
      <c r="AU1272" s="15"/>
      <c r="AV1272" s="15"/>
      <c r="AW1272" s="15"/>
      <c r="AX1272" s="15"/>
      <c r="AY1272" s="15"/>
      <c r="AZ1272" s="18"/>
      <c r="BA1272" s="19">
        <v>0.025000000000000001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ht="14.25">
      <c r="AR1273" s="15" t="s">
        <v>334</v>
      </c>
      <c r="AS1273" s="15" t="s">
        <v>574</v>
      </c>
      <c r="AT1273" s="15" t="s">
        <v>902</v>
      </c>
      <c r="AU1273" s="15"/>
      <c r="AV1273" s="15"/>
      <c r="AW1273" s="15"/>
      <c r="AX1273" s="15"/>
      <c r="AY1273" s="15"/>
      <c r="AZ1273" s="18"/>
      <c r="BA1273" s="19">
        <v>0.025000000000000001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ht="14.25">
      <c r="AR1274" s="15" t="s">
        <v>334</v>
      </c>
      <c r="AS1274" s="15" t="s">
        <v>574</v>
      </c>
      <c r="AT1274" s="15" t="s">
        <v>903</v>
      </c>
      <c r="AU1274" s="15"/>
      <c r="AV1274" s="15"/>
      <c r="AW1274" s="15"/>
      <c r="AX1274" s="15"/>
      <c r="AY1274" s="15"/>
      <c r="AZ1274" s="18"/>
      <c r="BA1274" s="19">
        <v>0.025000000000000001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ht="14.25">
      <c r="AR1275" s="15" t="s">
        <v>334</v>
      </c>
      <c r="AS1275" s="15" t="s">
        <v>574</v>
      </c>
      <c r="AT1275" s="15" t="s">
        <v>904</v>
      </c>
      <c r="AU1275" s="15"/>
      <c r="AV1275" s="15"/>
      <c r="AW1275" s="15"/>
      <c r="AX1275" s="15"/>
      <c r="AY1275" s="15"/>
      <c r="AZ1275" s="18"/>
      <c r="BA1275" s="19">
        <v>0.025000000000000001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ht="14.25">
      <c r="AR1276" s="15" t="s">
        <v>334</v>
      </c>
      <c r="AS1276" s="15" t="s">
        <v>574</v>
      </c>
      <c r="AT1276" s="15" t="s">
        <v>905</v>
      </c>
      <c r="AU1276" s="15"/>
      <c r="AV1276" s="15"/>
      <c r="AW1276" s="15"/>
      <c r="AX1276" s="15"/>
      <c r="AY1276" s="15"/>
      <c r="AZ1276" s="18"/>
      <c r="BA1276" s="19">
        <v>0.025000000000000001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ht="14.25">
      <c r="AR1277" s="15" t="s">
        <v>334</v>
      </c>
      <c r="AS1277" s="15" t="s">
        <v>574</v>
      </c>
      <c r="AT1277" s="15" t="s">
        <v>906</v>
      </c>
      <c r="AU1277" s="15"/>
      <c r="AV1277" s="15"/>
      <c r="AW1277" s="15"/>
      <c r="AX1277" s="15"/>
      <c r="AY1277" s="15"/>
      <c r="AZ1277" s="18"/>
      <c r="BA1277" s="19">
        <v>0.025000000000000001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ht="14.25">
      <c r="AR1278" s="15" t="s">
        <v>334</v>
      </c>
      <c r="AS1278" s="15" t="s">
        <v>574</v>
      </c>
      <c r="AT1278" s="15" t="s">
        <v>907</v>
      </c>
      <c r="AU1278" s="15"/>
      <c r="AV1278" s="15"/>
      <c r="AW1278" s="15"/>
      <c r="AX1278" s="15"/>
      <c r="AY1278" s="15"/>
      <c r="AZ1278" s="18"/>
      <c r="BA1278" s="19">
        <v>0.025000000000000001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ht="14.25">
      <c r="AR1279" s="15" t="s">
        <v>334</v>
      </c>
      <c r="AS1279" s="15" t="s">
        <v>574</v>
      </c>
      <c r="AT1279" s="15" t="s">
        <v>908</v>
      </c>
      <c r="AU1279" s="15"/>
      <c r="AV1279" s="15"/>
      <c r="AW1279" s="15"/>
      <c r="AX1279" s="15"/>
      <c r="AY1279" s="15"/>
      <c r="AZ1279" s="18"/>
      <c r="BA1279" s="19">
        <v>0.025000000000000001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ht="14.25">
      <c r="AR1280" s="15" t="s">
        <v>334</v>
      </c>
      <c r="AS1280" s="15" t="s">
        <v>574</v>
      </c>
      <c r="AT1280" s="15" t="s">
        <v>909</v>
      </c>
      <c r="AU1280" s="15"/>
      <c r="AV1280" s="15"/>
      <c r="AW1280" s="15"/>
      <c r="AX1280" s="15"/>
      <c r="AY1280" s="15"/>
      <c r="AZ1280" s="18"/>
      <c r="BA1280" s="19">
        <v>0.025000000000000001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ht="14.25">
      <c r="AR1281" s="15" t="s">
        <v>334</v>
      </c>
      <c r="AS1281" s="15" t="s">
        <v>574</v>
      </c>
      <c r="AT1281" s="15" t="s">
        <v>910</v>
      </c>
      <c r="AU1281" s="15"/>
      <c r="AV1281" s="15"/>
      <c r="AW1281" s="15"/>
      <c r="AX1281" s="15"/>
      <c r="AY1281" s="15"/>
      <c r="AZ1281" s="18"/>
      <c r="BA1281" s="19">
        <v>0.025000000000000001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ht="14.25">
      <c r="AR1282" s="15" t="s">
        <v>334</v>
      </c>
      <c r="AS1282" s="15" t="s">
        <v>574</v>
      </c>
      <c r="AT1282" s="15" t="s">
        <v>911</v>
      </c>
      <c r="AU1282" s="15"/>
      <c r="AV1282" s="15"/>
      <c r="AW1282" s="15"/>
      <c r="AX1282" s="15"/>
      <c r="AY1282" s="15"/>
      <c r="AZ1282" s="18"/>
      <c r="BA1282" s="19">
        <v>0.025000000000000001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ht="14.25">
      <c r="AR1283" s="15" t="s">
        <v>334</v>
      </c>
      <c r="AS1283" s="15" t="s">
        <v>574</v>
      </c>
      <c r="AT1283" s="15" t="s">
        <v>912</v>
      </c>
      <c r="AU1283" s="15"/>
      <c r="AV1283" s="15"/>
      <c r="AW1283" s="15"/>
      <c r="AX1283" s="15"/>
      <c r="AY1283" s="15"/>
      <c r="AZ1283" s="18"/>
      <c r="BA1283" s="19">
        <v>0.025000000000000001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ht="14.25">
      <c r="AR1284" s="15" t="s">
        <v>334</v>
      </c>
      <c r="AS1284" s="15" t="s">
        <v>574</v>
      </c>
      <c r="AT1284" s="15" t="s">
        <v>913</v>
      </c>
      <c r="AU1284" s="15"/>
      <c r="AV1284" s="15"/>
      <c r="AW1284" s="15"/>
      <c r="AX1284" s="15"/>
      <c r="AY1284" s="15"/>
      <c r="AZ1284" s="18"/>
      <c r="BA1284" s="19">
        <v>0.025000000000000001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ht="14.25">
      <c r="AR1285" s="15" t="s">
        <v>334</v>
      </c>
      <c r="AS1285" s="15" t="s">
        <v>574</v>
      </c>
      <c r="AT1285" s="15" t="s">
        <v>914</v>
      </c>
      <c r="AU1285" s="15"/>
      <c r="AV1285" s="15"/>
      <c r="AW1285" s="15"/>
      <c r="AX1285" s="15"/>
      <c r="AY1285" s="15"/>
      <c r="AZ1285" s="18"/>
      <c r="BA1285" s="19">
        <v>0.025000000000000001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ht="14.25">
      <c r="AR1286" s="15" t="s">
        <v>334</v>
      </c>
      <c r="AS1286" s="15" t="s">
        <v>574</v>
      </c>
      <c r="AT1286" s="15" t="s">
        <v>915</v>
      </c>
      <c r="AU1286" s="15"/>
      <c r="AV1286" s="15"/>
      <c r="AW1286" s="15"/>
      <c r="AX1286" s="15"/>
      <c r="AY1286" s="15"/>
      <c r="AZ1286" s="18"/>
      <c r="BA1286" s="19">
        <v>0.025000000000000001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ht="14.25">
      <c r="AR1287" s="15" t="s">
        <v>334</v>
      </c>
      <c r="AS1287" s="15" t="s">
        <v>574</v>
      </c>
      <c r="AT1287" s="15" t="s">
        <v>916</v>
      </c>
      <c r="AU1287" s="15"/>
      <c r="AV1287" s="15"/>
      <c r="AW1287" s="15"/>
      <c r="AX1287" s="15"/>
      <c r="AY1287" s="15"/>
      <c r="AZ1287" s="18"/>
      <c r="BA1287" s="19">
        <v>0.025000000000000001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ht="14.25">
      <c r="AR1288" s="15" t="s">
        <v>334</v>
      </c>
      <c r="AS1288" s="15" t="s">
        <v>574</v>
      </c>
      <c r="AT1288" s="15" t="s">
        <v>917</v>
      </c>
      <c r="AU1288" s="15"/>
      <c r="AV1288" s="15"/>
      <c r="AW1288" s="15"/>
      <c r="AX1288" s="15"/>
      <c r="AY1288" s="15"/>
      <c r="AZ1288" s="18"/>
      <c r="BA1288" s="19">
        <v>0.025000000000000001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ht="14.25">
      <c r="AR1289" s="15" t="s">
        <v>334</v>
      </c>
      <c r="AS1289" s="15" t="s">
        <v>574</v>
      </c>
      <c r="AT1289" s="15" t="s">
        <v>918</v>
      </c>
      <c r="AU1289" s="15"/>
      <c r="AV1289" s="15"/>
      <c r="AW1289" s="15"/>
      <c r="AX1289" s="15"/>
      <c r="AY1289" s="15"/>
      <c r="AZ1289" s="18"/>
      <c r="BA1289" s="19">
        <v>0.025000000000000001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ht="14.25">
      <c r="AR1290" s="15" t="s">
        <v>334</v>
      </c>
      <c r="AS1290" s="15" t="s">
        <v>574</v>
      </c>
      <c r="AT1290" s="15" t="s">
        <v>919</v>
      </c>
      <c r="AU1290" s="15"/>
      <c r="AV1290" s="15"/>
      <c r="AW1290" s="15"/>
      <c r="AX1290" s="15"/>
      <c r="AY1290" s="15"/>
      <c r="AZ1290" s="18"/>
      <c r="BA1290" s="19">
        <v>0.025000000000000001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ht="14.25">
      <c r="AR1291" s="15" t="s">
        <v>334</v>
      </c>
      <c r="AS1291" s="15" t="s">
        <v>574</v>
      </c>
      <c r="AT1291" s="15" t="s">
        <v>920</v>
      </c>
      <c r="AU1291" s="15"/>
      <c r="AV1291" s="15"/>
      <c r="AW1291" s="15"/>
      <c r="AX1291" s="15"/>
      <c r="AY1291" s="15"/>
      <c r="AZ1291" s="18"/>
      <c r="BA1291" s="19">
        <v>0.025000000000000001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ht="14.25">
      <c r="AR1292" s="15" t="s">
        <v>334</v>
      </c>
      <c r="AS1292" s="15" t="s">
        <v>574</v>
      </c>
      <c r="AT1292" s="15" t="s">
        <v>921</v>
      </c>
      <c r="AU1292" s="15"/>
      <c r="AV1292" s="15"/>
      <c r="AW1292" s="15"/>
      <c r="AX1292" s="15"/>
      <c r="AY1292" s="15"/>
      <c r="AZ1292" s="18"/>
      <c r="BA1292" s="19">
        <v>0.025000000000000001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ht="14.25">
      <c r="AR1293" s="15" t="s">
        <v>334</v>
      </c>
      <c r="AS1293" s="15" t="s">
        <v>574</v>
      </c>
      <c r="AT1293" s="15" t="s">
        <v>922</v>
      </c>
      <c r="AU1293" s="15"/>
      <c r="AV1293" s="15"/>
      <c r="AW1293" s="15"/>
      <c r="AX1293" s="15"/>
      <c r="AY1293" s="15"/>
      <c r="AZ1293" s="18"/>
      <c r="BA1293" s="19">
        <v>0.025000000000000001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ht="14.25">
      <c r="AR1294" s="15" t="s">
        <v>334</v>
      </c>
      <c r="AS1294" s="15" t="s">
        <v>574</v>
      </c>
      <c r="AT1294" s="15" t="s">
        <v>923</v>
      </c>
      <c r="AU1294" s="15"/>
      <c r="AV1294" s="15"/>
      <c r="AW1294" s="15"/>
      <c r="AX1294" s="15"/>
      <c r="AY1294" s="15"/>
      <c r="AZ1294" s="18"/>
      <c r="BA1294" s="19">
        <v>0.025000000000000001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ht="14.25">
      <c r="AR1295" s="15" t="s">
        <v>334</v>
      </c>
      <c r="AS1295" s="15" t="s">
        <v>574</v>
      </c>
      <c r="AT1295" s="15" t="s">
        <v>924</v>
      </c>
      <c r="AU1295" s="15"/>
      <c r="AV1295" s="15"/>
      <c r="AW1295" s="15"/>
      <c r="AX1295" s="15"/>
      <c r="AY1295" s="15"/>
      <c r="AZ1295" s="18"/>
      <c r="BA1295" s="19">
        <v>0.025000000000000001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ht="14.25">
      <c r="AR1296" s="15" t="s">
        <v>334</v>
      </c>
      <c r="AS1296" s="15" t="s">
        <v>574</v>
      </c>
      <c r="AT1296" s="15" t="s">
        <v>925</v>
      </c>
      <c r="AU1296" s="15"/>
      <c r="AV1296" s="15"/>
      <c r="AW1296" s="15"/>
      <c r="AX1296" s="15"/>
      <c r="AY1296" s="15"/>
      <c r="AZ1296" s="18"/>
      <c r="BA1296" s="19">
        <v>0.025000000000000001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ht="14.25">
      <c r="AR1297" s="15" t="s">
        <v>334</v>
      </c>
      <c r="AS1297" s="15" t="s">
        <v>574</v>
      </c>
      <c r="AT1297" s="15" t="s">
        <v>926</v>
      </c>
      <c r="AU1297" s="15"/>
      <c r="AV1297" s="15"/>
      <c r="AW1297" s="15"/>
      <c r="AX1297" s="15"/>
      <c r="AY1297" s="15"/>
      <c r="AZ1297" s="18"/>
      <c r="BA1297" s="19">
        <v>0.025000000000000001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ht="14.25">
      <c r="AR1298" s="15" t="s">
        <v>334</v>
      </c>
      <c r="AS1298" s="15" t="s">
        <v>574</v>
      </c>
      <c r="AT1298" s="15" t="s">
        <v>927</v>
      </c>
      <c r="AU1298" s="15"/>
      <c r="AV1298" s="15"/>
      <c r="AW1298" s="15"/>
      <c r="AX1298" s="15"/>
      <c r="AY1298" s="15"/>
      <c r="AZ1298" s="18"/>
      <c r="BA1298" s="19">
        <v>0.025000000000000001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ht="14.25">
      <c r="AR1299" s="15" t="s">
        <v>334</v>
      </c>
      <c r="AS1299" s="15" t="s">
        <v>574</v>
      </c>
      <c r="AT1299" s="15" t="s">
        <v>928</v>
      </c>
      <c r="AU1299" s="15"/>
      <c r="AV1299" s="15"/>
      <c r="AW1299" s="15"/>
      <c r="AX1299" s="15"/>
      <c r="AY1299" s="15"/>
      <c r="AZ1299" s="18"/>
      <c r="BA1299" s="19">
        <v>0.025000000000000001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ht="14.25">
      <c r="AR1300" s="15" t="s">
        <v>334</v>
      </c>
      <c r="AS1300" s="15" t="s">
        <v>574</v>
      </c>
      <c r="AT1300" s="15" t="s">
        <v>929</v>
      </c>
      <c r="AU1300" s="15"/>
      <c r="AV1300" s="15"/>
      <c r="AW1300" s="15"/>
      <c r="AX1300" s="15"/>
      <c r="AY1300" s="15"/>
      <c r="AZ1300" s="18"/>
      <c r="BA1300" s="19">
        <v>0.025000000000000001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ht="14.25">
      <c r="AR1301" s="15" t="s">
        <v>334</v>
      </c>
      <c r="AS1301" s="15" t="s">
        <v>574</v>
      </c>
      <c r="AT1301" s="15" t="s">
        <v>930</v>
      </c>
      <c r="AU1301" s="15"/>
      <c r="AV1301" s="15"/>
      <c r="AW1301" s="15"/>
      <c r="AX1301" s="15"/>
      <c r="AY1301" s="15"/>
      <c r="AZ1301" s="18"/>
      <c r="BA1301" s="19">
        <v>0.025000000000000001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ht="14.25">
      <c r="AR1302" s="15" t="s">
        <v>334</v>
      </c>
      <c r="AS1302" s="15" t="s">
        <v>574</v>
      </c>
      <c r="AT1302" s="15" t="s">
        <v>931</v>
      </c>
      <c r="AU1302" s="15"/>
      <c r="AV1302" s="15"/>
      <c r="AW1302" s="15"/>
      <c r="AX1302" s="15"/>
      <c r="AY1302" s="15"/>
      <c r="AZ1302" s="18"/>
      <c r="BA1302" s="19">
        <v>0.025000000000000001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ht="14.25">
      <c r="AR1303" s="15" t="s">
        <v>334</v>
      </c>
      <c r="AS1303" s="15" t="s">
        <v>574</v>
      </c>
      <c r="AT1303" s="15" t="s">
        <v>932</v>
      </c>
      <c r="AU1303" s="15"/>
      <c r="AV1303" s="15"/>
      <c r="AW1303" s="15"/>
      <c r="AX1303" s="15"/>
      <c r="AY1303" s="15"/>
      <c r="AZ1303" s="18"/>
      <c r="BA1303" s="19">
        <v>0.025000000000000001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ht="14.25">
      <c r="AR1304" s="15" t="s">
        <v>334</v>
      </c>
      <c r="AS1304" s="15" t="s">
        <v>574</v>
      </c>
      <c r="AT1304" s="15" t="s">
        <v>933</v>
      </c>
      <c r="AU1304" s="15"/>
      <c r="AV1304" s="15"/>
      <c r="AW1304" s="15"/>
      <c r="AX1304" s="15"/>
      <c r="AY1304" s="15"/>
      <c r="AZ1304" s="18"/>
      <c r="BA1304" s="19">
        <v>0.025000000000000001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ht="14.25">
      <c r="AR1305" s="15" t="s">
        <v>334</v>
      </c>
      <c r="AS1305" s="15" t="s">
        <v>574</v>
      </c>
      <c r="AT1305" s="15" t="s">
        <v>934</v>
      </c>
      <c r="AU1305" s="15"/>
      <c r="AV1305" s="15"/>
      <c r="AW1305" s="15"/>
      <c r="AX1305" s="15"/>
      <c r="AY1305" s="15"/>
      <c r="AZ1305" s="18"/>
      <c r="BA1305" s="19">
        <v>0.025000000000000001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ht="14.25">
      <c r="AR1306" s="15" t="s">
        <v>334</v>
      </c>
      <c r="AS1306" s="15" t="s">
        <v>574</v>
      </c>
      <c r="AT1306" s="15" t="s">
        <v>935</v>
      </c>
      <c r="AU1306" s="15"/>
      <c r="AV1306" s="15"/>
      <c r="AW1306" s="15"/>
      <c r="AX1306" s="15"/>
      <c r="AY1306" s="15"/>
      <c r="AZ1306" s="18"/>
      <c r="BA1306" s="19">
        <v>0.025000000000000001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ht="14.25">
      <c r="AR1307" s="15" t="s">
        <v>334</v>
      </c>
      <c r="AS1307" s="15" t="s">
        <v>574</v>
      </c>
      <c r="AT1307" s="15" t="s">
        <v>936</v>
      </c>
      <c r="AU1307" s="15"/>
      <c r="AV1307" s="15"/>
      <c r="AW1307" s="15"/>
      <c r="AX1307" s="15"/>
      <c r="AY1307" s="15"/>
      <c r="AZ1307" s="18"/>
      <c r="BA1307" s="19">
        <v>0.025000000000000001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ht="14.25">
      <c r="AR1308" s="15" t="s">
        <v>334</v>
      </c>
      <c r="AS1308" s="15" t="s">
        <v>574</v>
      </c>
      <c r="AT1308" s="15" t="s">
        <v>937</v>
      </c>
      <c r="AU1308" s="15"/>
      <c r="AV1308" s="15"/>
      <c r="AW1308" s="15"/>
      <c r="AX1308" s="15"/>
      <c r="AY1308" s="15"/>
      <c r="AZ1308" s="18"/>
      <c r="BA1308" s="19">
        <v>0.025000000000000001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ht="14.25">
      <c r="AR1309" s="15" t="s">
        <v>334</v>
      </c>
      <c r="AS1309" s="15" t="s">
        <v>574</v>
      </c>
      <c r="AT1309" s="15" t="s">
        <v>938</v>
      </c>
      <c r="AU1309" s="15"/>
      <c r="AV1309" s="15"/>
      <c r="AW1309" s="15"/>
      <c r="AX1309" s="15"/>
      <c r="AY1309" s="15"/>
      <c r="AZ1309" s="18"/>
      <c r="BA1309" s="19">
        <v>0.025000000000000001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ht="14.25">
      <c r="AR1310" s="15" t="s">
        <v>334</v>
      </c>
      <c r="AS1310" s="15" t="s">
        <v>574</v>
      </c>
      <c r="AT1310" s="15" t="s">
        <v>939</v>
      </c>
      <c r="AU1310" s="15"/>
      <c r="AV1310" s="15"/>
      <c r="AW1310" s="15"/>
      <c r="AX1310" s="15"/>
      <c r="AY1310" s="15"/>
      <c r="AZ1310" s="18"/>
      <c r="BA1310" s="19">
        <v>0.025000000000000001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ht="14.25">
      <c r="AR1311" s="15" t="s">
        <v>334</v>
      </c>
      <c r="AS1311" s="15" t="s">
        <v>574</v>
      </c>
      <c r="AT1311" s="15" t="s">
        <v>940</v>
      </c>
      <c r="AU1311" s="15"/>
      <c r="AV1311" s="15"/>
      <c r="AW1311" s="15"/>
      <c r="AX1311" s="15"/>
      <c r="AY1311" s="15"/>
      <c r="AZ1311" s="18"/>
      <c r="BA1311" s="19">
        <v>0.025000000000000001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ht="14.25">
      <c r="AR1312" s="15" t="s">
        <v>334</v>
      </c>
      <c r="AS1312" s="15" t="s">
        <v>574</v>
      </c>
      <c r="AT1312" s="15" t="s">
        <v>941</v>
      </c>
      <c r="AU1312" s="15"/>
      <c r="AV1312" s="15"/>
      <c r="AW1312" s="15"/>
      <c r="AX1312" s="15"/>
      <c r="AY1312" s="15"/>
      <c r="AZ1312" s="18"/>
      <c r="BA1312" s="19">
        <v>0.025000000000000001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ht="14.25">
      <c r="AR1313" s="15" t="s">
        <v>334</v>
      </c>
      <c r="AS1313" s="15" t="s">
        <v>574</v>
      </c>
      <c r="AT1313" s="15" t="s">
        <v>942</v>
      </c>
      <c r="AU1313" s="15"/>
      <c r="AV1313" s="15"/>
      <c r="AW1313" s="15"/>
      <c r="AX1313" s="15"/>
      <c r="AY1313" s="15"/>
      <c r="AZ1313" s="18"/>
      <c r="BA1313" s="19">
        <v>0.025000000000000001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ht="14.25">
      <c r="AR1314" s="15" t="s">
        <v>334</v>
      </c>
      <c r="AS1314" s="15" t="s">
        <v>574</v>
      </c>
      <c r="AT1314" s="15" t="s">
        <v>943</v>
      </c>
      <c r="AU1314" s="15"/>
      <c r="AV1314" s="15"/>
      <c r="AW1314" s="15"/>
      <c r="AX1314" s="15"/>
      <c r="AY1314" s="15"/>
      <c r="AZ1314" s="18"/>
      <c r="BA1314" s="19">
        <v>0.025000000000000001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ht="14.25">
      <c r="AR1315" s="15" t="s">
        <v>334</v>
      </c>
      <c r="AS1315" s="15" t="s">
        <v>574</v>
      </c>
      <c r="AT1315" s="15" t="s">
        <v>944</v>
      </c>
      <c r="AU1315" s="15"/>
      <c r="AV1315" s="15"/>
      <c r="AW1315" s="15"/>
      <c r="AX1315" s="15"/>
      <c r="AY1315" s="15"/>
      <c r="AZ1315" s="18"/>
      <c r="BA1315" s="19">
        <v>0.025000000000000001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ht="14.25">
      <c r="AR1316" s="15" t="s">
        <v>334</v>
      </c>
      <c r="AS1316" s="15" t="s">
        <v>574</v>
      </c>
      <c r="AT1316" s="15" t="s">
        <v>945</v>
      </c>
      <c r="AU1316" s="15"/>
      <c r="AV1316" s="15"/>
      <c r="AW1316" s="15"/>
      <c r="AX1316" s="15"/>
      <c r="AY1316" s="15"/>
      <c r="AZ1316" s="18"/>
      <c r="BA1316" s="19">
        <v>0.025000000000000001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ht="14.25">
      <c r="AR1317" s="15" t="s">
        <v>334</v>
      </c>
      <c r="AS1317" s="15" t="s">
        <v>574</v>
      </c>
      <c r="AT1317" s="15" t="s">
        <v>946</v>
      </c>
      <c r="AU1317" s="15"/>
      <c r="AV1317" s="15"/>
      <c r="AW1317" s="15"/>
      <c r="AX1317" s="15"/>
      <c r="AY1317" s="15"/>
      <c r="AZ1317" s="18"/>
      <c r="BA1317" s="19">
        <v>0.025000000000000001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ht="14.25">
      <c r="AR1318" s="15" t="s">
        <v>334</v>
      </c>
      <c r="AS1318" s="15" t="s">
        <v>574</v>
      </c>
      <c r="AT1318" s="15" t="s">
        <v>947</v>
      </c>
      <c r="AU1318" s="15"/>
      <c r="AV1318" s="15"/>
      <c r="AW1318" s="15"/>
      <c r="AX1318" s="15"/>
      <c r="AY1318" s="15"/>
      <c r="AZ1318" s="18"/>
      <c r="BA1318" s="19">
        <v>0.025000000000000001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ht="14.25">
      <c r="AR1319" s="15" t="s">
        <v>334</v>
      </c>
      <c r="AS1319" s="15" t="s">
        <v>574</v>
      </c>
      <c r="AT1319" s="15" t="s">
        <v>948</v>
      </c>
      <c r="AU1319" s="15"/>
      <c r="AV1319" s="15"/>
      <c r="AW1319" s="15"/>
      <c r="AX1319" s="15"/>
      <c r="AY1319" s="15"/>
      <c r="AZ1319" s="18"/>
      <c r="BA1319" s="19">
        <v>0.025000000000000001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ht="14.25">
      <c r="AR1320" s="15" t="s">
        <v>334</v>
      </c>
      <c r="AS1320" s="15" t="s">
        <v>574</v>
      </c>
      <c r="AT1320" s="15" t="s">
        <v>949</v>
      </c>
      <c r="AU1320" s="15"/>
      <c r="AV1320" s="15"/>
      <c r="AW1320" s="15"/>
      <c r="AX1320" s="15"/>
      <c r="AY1320" s="15"/>
      <c r="AZ1320" s="18"/>
      <c r="BA1320" s="19">
        <v>0.025000000000000001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ht="14.25">
      <c r="AR1321" s="15" t="s">
        <v>334</v>
      </c>
      <c r="AS1321" s="15" t="s">
        <v>574</v>
      </c>
      <c r="AT1321" s="15" t="s">
        <v>950</v>
      </c>
      <c r="AU1321" s="15"/>
      <c r="AV1321" s="15"/>
      <c r="AW1321" s="15"/>
      <c r="AX1321" s="15"/>
      <c r="AY1321" s="15"/>
      <c r="AZ1321" s="18"/>
      <c r="BA1321" s="19">
        <v>0.025000000000000001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ht="14.25">
      <c r="AR1322" s="15" t="s">
        <v>334</v>
      </c>
      <c r="AS1322" s="15" t="s">
        <v>574</v>
      </c>
      <c r="AT1322" s="15" t="s">
        <v>951</v>
      </c>
      <c r="AU1322" s="15"/>
      <c r="AV1322" s="15"/>
      <c r="AW1322" s="15"/>
      <c r="AX1322" s="15"/>
      <c r="AY1322" s="15"/>
      <c r="AZ1322" s="18"/>
      <c r="BA1322" s="19">
        <v>0.025000000000000001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ht="14.25">
      <c r="AR1323" s="15" t="s">
        <v>334</v>
      </c>
      <c r="AS1323" s="15" t="s">
        <v>574</v>
      </c>
      <c r="AT1323" s="15" t="s">
        <v>952</v>
      </c>
      <c r="AU1323" s="15"/>
      <c r="AV1323" s="15"/>
      <c r="AW1323" s="15"/>
      <c r="AX1323" s="15"/>
      <c r="AY1323" s="15"/>
      <c r="AZ1323" s="18"/>
      <c r="BA1323" s="19">
        <v>0.025000000000000001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ht="14.25">
      <c r="AR1324" s="15" t="s">
        <v>334</v>
      </c>
      <c r="AS1324" s="15" t="s">
        <v>574</v>
      </c>
      <c r="AT1324" s="15" t="s">
        <v>953</v>
      </c>
      <c r="AU1324" s="15"/>
      <c r="AV1324" s="15"/>
      <c r="AW1324" s="15"/>
      <c r="AX1324" s="15"/>
      <c r="AY1324" s="15"/>
      <c r="AZ1324" s="18"/>
      <c r="BA1324" s="19">
        <v>0.025000000000000001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ht="14.25">
      <c r="AR1325" s="15" t="s">
        <v>334</v>
      </c>
      <c r="AS1325" s="15" t="s">
        <v>574</v>
      </c>
      <c r="AT1325" s="15" t="s">
        <v>954</v>
      </c>
      <c r="AU1325" s="15"/>
      <c r="AV1325" s="15"/>
      <c r="AW1325" s="15"/>
      <c r="AX1325" s="15"/>
      <c r="AY1325" s="15"/>
      <c r="AZ1325" s="18"/>
      <c r="BA1325" s="19">
        <v>0.025000000000000001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ht="14.25">
      <c r="AR1326" s="15" t="s">
        <v>334</v>
      </c>
      <c r="AS1326" s="15" t="s">
        <v>574</v>
      </c>
      <c r="AT1326" s="15" t="s">
        <v>955</v>
      </c>
      <c r="AU1326" s="15"/>
      <c r="AV1326" s="15"/>
      <c r="AW1326" s="15"/>
      <c r="AX1326" s="15"/>
      <c r="AY1326" s="15"/>
      <c r="AZ1326" s="18"/>
      <c r="BA1326" s="19">
        <v>0.025000000000000001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ht="14.25">
      <c r="AR1327" s="15" t="s">
        <v>334</v>
      </c>
      <c r="AS1327" s="15" t="s">
        <v>574</v>
      </c>
      <c r="AT1327" s="15" t="s">
        <v>956</v>
      </c>
      <c r="AU1327" s="15"/>
      <c r="AV1327" s="15"/>
      <c r="AW1327" s="15"/>
      <c r="AX1327" s="15"/>
      <c r="AY1327" s="15"/>
      <c r="AZ1327" s="18"/>
      <c r="BA1327" s="19">
        <v>0.025000000000000001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ht="14.25">
      <c r="AR1328" s="15" t="s">
        <v>334</v>
      </c>
      <c r="AS1328" s="15" t="s">
        <v>574</v>
      </c>
      <c r="AT1328" s="15" t="s">
        <v>957</v>
      </c>
      <c r="AU1328" s="15"/>
      <c r="AV1328" s="15"/>
      <c r="AW1328" s="15"/>
      <c r="AX1328" s="15"/>
      <c r="AY1328" s="15"/>
      <c r="AZ1328" s="18"/>
      <c r="BA1328" s="19">
        <v>0.025000000000000001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ht="14.25">
      <c r="AR1329" s="15" t="s">
        <v>334</v>
      </c>
      <c r="AS1329" s="15" t="s">
        <v>574</v>
      </c>
      <c r="AT1329" s="15" t="s">
        <v>958</v>
      </c>
      <c r="AU1329" s="15"/>
      <c r="AV1329" s="15"/>
      <c r="AW1329" s="15"/>
      <c r="AX1329" s="15"/>
      <c r="AY1329" s="15"/>
      <c r="AZ1329" s="18"/>
      <c r="BA1329" s="19">
        <v>0.025000000000000001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ht="14.25">
      <c r="AR1330" s="15" t="s">
        <v>334</v>
      </c>
      <c r="AS1330" s="15" t="s">
        <v>574</v>
      </c>
      <c r="AT1330" s="15" t="s">
        <v>959</v>
      </c>
      <c r="AU1330" s="15"/>
      <c r="AV1330" s="15"/>
      <c r="AW1330" s="15"/>
      <c r="AX1330" s="15"/>
      <c r="AY1330" s="15"/>
      <c r="AZ1330" s="18"/>
      <c r="BA1330" s="19">
        <v>0.025000000000000001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ht="14.25">
      <c r="AR1331" s="15" t="s">
        <v>334</v>
      </c>
      <c r="AS1331" s="15" t="s">
        <v>574</v>
      </c>
      <c r="AT1331" s="15" t="s">
        <v>960</v>
      </c>
      <c r="AU1331" s="15"/>
      <c r="AV1331" s="15"/>
      <c r="AW1331" s="15"/>
      <c r="AX1331" s="15"/>
      <c r="AY1331" s="15"/>
      <c r="AZ1331" s="18"/>
      <c r="BA1331" s="19">
        <v>0.025000000000000001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ht="14.25">
      <c r="AR1332" s="15" t="s">
        <v>334</v>
      </c>
      <c r="AS1332" s="15" t="s">
        <v>574</v>
      </c>
      <c r="AT1332" s="15" t="s">
        <v>961</v>
      </c>
      <c r="AU1332" s="15"/>
      <c r="AV1332" s="15"/>
      <c r="AW1332" s="15"/>
      <c r="AX1332" s="15"/>
      <c r="AY1332" s="15"/>
      <c r="AZ1332" s="18"/>
      <c r="BA1332" s="19">
        <v>0.025000000000000001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ht="14.25">
      <c r="AR1333" s="15" t="s">
        <v>334</v>
      </c>
      <c r="AS1333" s="15" t="s">
        <v>574</v>
      </c>
      <c r="AT1333" s="15" t="s">
        <v>962</v>
      </c>
      <c r="AU1333" s="15"/>
      <c r="AV1333" s="15"/>
      <c r="AW1333" s="15"/>
      <c r="AX1333" s="15"/>
      <c r="AY1333" s="15"/>
      <c r="AZ1333" s="18"/>
      <c r="BA1333" s="19">
        <v>0.025000000000000001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ht="14.25">
      <c r="AR1334" s="15" t="s">
        <v>334</v>
      </c>
      <c r="AS1334" s="15" t="s">
        <v>574</v>
      </c>
      <c r="AT1334" s="15" t="s">
        <v>963</v>
      </c>
      <c r="AU1334" s="15"/>
      <c r="AV1334" s="15"/>
      <c r="AW1334" s="15"/>
      <c r="AX1334" s="15"/>
      <c r="AY1334" s="15"/>
      <c r="AZ1334" s="18"/>
      <c r="BA1334" s="19">
        <v>0.025000000000000001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ht="14.25">
      <c r="AR1335" s="15" t="s">
        <v>334</v>
      </c>
      <c r="AS1335" s="15" t="s">
        <v>574</v>
      </c>
      <c r="AT1335" s="15" t="s">
        <v>964</v>
      </c>
      <c r="AU1335" s="15"/>
      <c r="AV1335" s="15"/>
      <c r="AW1335" s="15"/>
      <c r="AX1335" s="15"/>
      <c r="AY1335" s="15"/>
      <c r="AZ1335" s="18"/>
      <c r="BA1335" s="19">
        <v>0.025000000000000001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ht="14.25">
      <c r="AR1336" s="15" t="s">
        <v>334</v>
      </c>
      <c r="AS1336" s="15" t="s">
        <v>574</v>
      </c>
      <c r="AT1336" s="15" t="s">
        <v>965</v>
      </c>
      <c r="AU1336" s="15"/>
      <c r="AV1336" s="15"/>
      <c r="AW1336" s="15"/>
      <c r="AX1336" s="15"/>
      <c r="AY1336" s="15"/>
      <c r="AZ1336" s="18"/>
      <c r="BA1336" s="19">
        <v>0.025000000000000001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ht="14.25">
      <c r="AR1337" s="15" t="s">
        <v>334</v>
      </c>
      <c r="AS1337" s="15" t="s">
        <v>574</v>
      </c>
      <c r="AT1337" s="15" t="s">
        <v>966</v>
      </c>
      <c r="AU1337" s="15"/>
      <c r="AV1337" s="15"/>
      <c r="AW1337" s="15"/>
      <c r="AX1337" s="15"/>
      <c r="AY1337" s="15"/>
      <c r="AZ1337" s="18"/>
      <c r="BA1337" s="19">
        <v>0.025000000000000001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ht="14.25">
      <c r="AR1338" s="15" t="s">
        <v>334</v>
      </c>
      <c r="AS1338" s="15" t="s">
        <v>574</v>
      </c>
      <c r="AT1338" s="15" t="s">
        <v>967</v>
      </c>
      <c r="AU1338" s="15"/>
      <c r="AV1338" s="15"/>
      <c r="AW1338" s="15"/>
      <c r="AX1338" s="15"/>
      <c r="AY1338" s="15"/>
      <c r="AZ1338" s="18"/>
      <c r="BA1338" s="19">
        <v>0.025000000000000001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ht="14.25">
      <c r="AR1339" s="15" t="s">
        <v>334</v>
      </c>
      <c r="AS1339" s="15" t="s">
        <v>574</v>
      </c>
      <c r="AT1339" s="15" t="s">
        <v>968</v>
      </c>
      <c r="AU1339" s="15"/>
      <c r="AV1339" s="15"/>
      <c r="AW1339" s="15"/>
      <c r="AX1339" s="15"/>
      <c r="AY1339" s="15"/>
      <c r="AZ1339" s="18"/>
      <c r="BA1339" s="19">
        <v>0.025000000000000001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ht="14.25">
      <c r="AR1340" s="15" t="s">
        <v>334</v>
      </c>
      <c r="AS1340" s="15" t="s">
        <v>574</v>
      </c>
      <c r="AT1340" s="15" t="s">
        <v>969</v>
      </c>
      <c r="AU1340" s="15"/>
      <c r="AV1340" s="15"/>
      <c r="AW1340" s="15"/>
      <c r="AX1340" s="15"/>
      <c r="AY1340" s="15"/>
      <c r="AZ1340" s="18"/>
      <c r="BA1340" s="19">
        <v>0.025000000000000001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ht="14.25">
      <c r="AR1341" s="15" t="s">
        <v>334</v>
      </c>
      <c r="AS1341" s="15" t="s">
        <v>574</v>
      </c>
      <c r="AT1341" s="15" t="s">
        <v>970</v>
      </c>
      <c r="AU1341" s="15"/>
      <c r="AV1341" s="15"/>
      <c r="AW1341" s="15"/>
      <c r="AX1341" s="15"/>
      <c r="AY1341" s="15"/>
      <c r="AZ1341" s="18"/>
      <c r="BA1341" s="19">
        <v>0.025000000000000001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ht="14.25">
      <c r="AR1342" s="15" t="s">
        <v>334</v>
      </c>
      <c r="AS1342" s="15" t="s">
        <v>574</v>
      </c>
      <c r="AT1342" s="15" t="s">
        <v>971</v>
      </c>
      <c r="AU1342" s="15"/>
      <c r="AV1342" s="15"/>
      <c r="AW1342" s="15"/>
      <c r="AX1342" s="15"/>
      <c r="AY1342" s="15"/>
      <c r="AZ1342" s="18"/>
      <c r="BA1342" s="19">
        <v>0.025000000000000001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ht="14.25">
      <c r="AR1343" s="15" t="s">
        <v>334</v>
      </c>
      <c r="AS1343" s="15" t="s">
        <v>574</v>
      </c>
      <c r="AT1343" s="15" t="s">
        <v>972</v>
      </c>
      <c r="AU1343" s="15"/>
      <c r="AV1343" s="15"/>
      <c r="AW1343" s="15"/>
      <c r="AX1343" s="15"/>
      <c r="AY1343" s="15"/>
      <c r="AZ1343" s="18"/>
      <c r="BA1343" s="19">
        <v>0.025000000000000001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ht="14.25">
      <c r="AR1344" s="15" t="s">
        <v>334</v>
      </c>
      <c r="AS1344" s="15" t="s">
        <v>574</v>
      </c>
      <c r="AT1344" s="15" t="s">
        <v>973</v>
      </c>
      <c r="AU1344" s="15"/>
      <c r="AV1344" s="15"/>
      <c r="AW1344" s="15"/>
      <c r="AX1344" s="15"/>
      <c r="AY1344" s="15"/>
      <c r="AZ1344" s="18"/>
      <c r="BA1344" s="19">
        <v>0.025000000000000001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ht="14.25">
      <c r="AR1345" s="15" t="s">
        <v>334</v>
      </c>
      <c r="AS1345" s="15" t="s">
        <v>574</v>
      </c>
      <c r="AT1345" s="15" t="s">
        <v>974</v>
      </c>
      <c r="AU1345" s="15"/>
      <c r="AV1345" s="15"/>
      <c r="AW1345" s="15"/>
      <c r="AX1345" s="15"/>
      <c r="AY1345" s="15"/>
      <c r="AZ1345" s="18"/>
      <c r="BA1345" s="19">
        <v>0.025000000000000001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ht="14.25">
      <c r="AR1346" s="15" t="s">
        <v>334</v>
      </c>
      <c r="AS1346" s="15" t="s">
        <v>574</v>
      </c>
      <c r="AT1346" s="15" t="s">
        <v>975</v>
      </c>
      <c r="AU1346" s="15"/>
      <c r="AV1346" s="15"/>
      <c r="AW1346" s="15"/>
      <c r="AX1346" s="15"/>
      <c r="AY1346" s="15"/>
      <c r="AZ1346" s="18"/>
      <c r="BA1346" s="19">
        <v>0.025000000000000001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ht="14.25">
      <c r="AR1347" s="15" t="s">
        <v>334</v>
      </c>
      <c r="AS1347" s="15" t="s">
        <v>574</v>
      </c>
      <c r="AT1347" s="15" t="s">
        <v>976</v>
      </c>
      <c r="AU1347" s="15"/>
      <c r="AV1347" s="15"/>
      <c r="AW1347" s="15"/>
      <c r="AX1347" s="15"/>
      <c r="AY1347" s="15"/>
      <c r="AZ1347" s="18"/>
      <c r="BA1347" s="19">
        <v>0.025000000000000001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ht="14.25">
      <c r="AR1348" s="15" t="s">
        <v>334</v>
      </c>
      <c r="AS1348" s="15" t="s">
        <v>574</v>
      </c>
      <c r="AT1348" s="15" t="s">
        <v>977</v>
      </c>
      <c r="AU1348" s="15"/>
      <c r="AV1348" s="15"/>
      <c r="AW1348" s="15"/>
      <c r="AX1348" s="15"/>
      <c r="AY1348" s="15"/>
      <c r="AZ1348" s="18"/>
      <c r="BA1348" s="19">
        <v>0.025000000000000001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ht="14.25">
      <c r="AR1349" s="15" t="s">
        <v>334</v>
      </c>
      <c r="AS1349" s="15" t="s">
        <v>574</v>
      </c>
      <c r="AT1349" s="15" t="s">
        <v>978</v>
      </c>
      <c r="AU1349" s="15"/>
      <c r="AV1349" s="15"/>
      <c r="AW1349" s="15"/>
      <c r="AX1349" s="15"/>
      <c r="AY1349" s="15"/>
      <c r="AZ1349" s="18"/>
      <c r="BA1349" s="19">
        <v>0.025000000000000001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ht="14.25">
      <c r="AR1350" s="15" t="s">
        <v>334</v>
      </c>
      <c r="AS1350" s="15" t="s">
        <v>574</v>
      </c>
      <c r="AT1350" s="15" t="s">
        <v>979</v>
      </c>
      <c r="AU1350" s="15"/>
      <c r="AV1350" s="15"/>
      <c r="AW1350" s="15"/>
      <c r="AX1350" s="15"/>
      <c r="AY1350" s="15"/>
      <c r="AZ1350" s="18"/>
      <c r="BA1350" s="19">
        <v>0.025000000000000001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ht="14.25">
      <c r="AR1351" s="15" t="s">
        <v>334</v>
      </c>
      <c r="AS1351" s="15" t="s">
        <v>574</v>
      </c>
      <c r="AT1351" s="15" t="s">
        <v>980</v>
      </c>
      <c r="AU1351" s="15"/>
      <c r="AV1351" s="15"/>
      <c r="AW1351" s="15"/>
      <c r="AX1351" s="15"/>
      <c r="AY1351" s="15"/>
      <c r="AZ1351" s="18"/>
      <c r="BA1351" s="19">
        <v>0.025000000000000001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ht="14.25">
      <c r="AR1352" s="15" t="s">
        <v>334</v>
      </c>
      <c r="AS1352" s="15" t="s">
        <v>574</v>
      </c>
      <c r="AT1352" s="15" t="s">
        <v>981</v>
      </c>
      <c r="AU1352" s="15"/>
      <c r="AV1352" s="15"/>
      <c r="AW1352" s="15"/>
      <c r="AX1352" s="15"/>
      <c r="AY1352" s="15"/>
      <c r="AZ1352" s="18"/>
      <c r="BA1352" s="19">
        <v>0.025000000000000001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ht="14.25">
      <c r="AR1353" s="15" t="s">
        <v>334</v>
      </c>
      <c r="AS1353" s="15" t="s">
        <v>574</v>
      </c>
      <c r="AT1353" s="15" t="s">
        <v>982</v>
      </c>
      <c r="AU1353" s="15"/>
      <c r="AV1353" s="15"/>
      <c r="AW1353" s="15"/>
      <c r="AX1353" s="15"/>
      <c r="AY1353" s="15"/>
      <c r="AZ1353" s="18"/>
      <c r="BA1353" s="19">
        <v>0.025000000000000001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ht="14.25">
      <c r="AR1354" s="15" t="s">
        <v>334</v>
      </c>
      <c r="AS1354" s="15" t="s">
        <v>574</v>
      </c>
      <c r="AT1354" s="15" t="s">
        <v>983</v>
      </c>
      <c r="AU1354" s="15"/>
      <c r="AV1354" s="15"/>
      <c r="AW1354" s="15"/>
      <c r="AX1354" s="15"/>
      <c r="AY1354" s="15"/>
      <c r="AZ1354" s="18"/>
      <c r="BA1354" s="19">
        <v>0.025000000000000001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ht="14.25">
      <c r="AR1355" s="15" t="s">
        <v>334</v>
      </c>
      <c r="AS1355" s="15" t="s">
        <v>574</v>
      </c>
      <c r="AT1355" s="15" t="s">
        <v>984</v>
      </c>
      <c r="AU1355" s="15"/>
      <c r="AV1355" s="15"/>
      <c r="AW1355" s="15"/>
      <c r="AX1355" s="15"/>
      <c r="AY1355" s="15"/>
      <c r="AZ1355" s="18"/>
      <c r="BA1355" s="19">
        <v>0.025000000000000001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ht="14.25">
      <c r="AR1356" s="15" t="s">
        <v>334</v>
      </c>
      <c r="AS1356" s="15" t="s">
        <v>574</v>
      </c>
      <c r="AT1356" s="15" t="s">
        <v>985</v>
      </c>
      <c r="AU1356" s="15"/>
      <c r="AV1356" s="15"/>
      <c r="AW1356" s="15"/>
      <c r="AX1356" s="15"/>
      <c r="AY1356" s="15"/>
      <c r="AZ1356" s="18"/>
      <c r="BA1356" s="19">
        <v>0.025000000000000001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ht="14.25">
      <c r="AR1357" s="15" t="s">
        <v>334</v>
      </c>
      <c r="AS1357" s="15" t="s">
        <v>574</v>
      </c>
      <c r="AT1357" s="15" t="s">
        <v>986</v>
      </c>
      <c r="AU1357" s="15"/>
      <c r="AV1357" s="15"/>
      <c r="AW1357" s="15"/>
      <c r="AX1357" s="15"/>
      <c r="AY1357" s="15"/>
      <c r="AZ1357" s="18"/>
      <c r="BA1357" s="19">
        <v>0.025000000000000001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ht="14.25">
      <c r="AR1358" s="15" t="s">
        <v>334</v>
      </c>
      <c r="AS1358" s="15" t="s">
        <v>574</v>
      </c>
      <c r="AT1358" s="15" t="s">
        <v>987</v>
      </c>
      <c r="AU1358" s="15"/>
      <c r="AV1358" s="15"/>
      <c r="AW1358" s="15"/>
      <c r="AX1358" s="15"/>
      <c r="AY1358" s="15"/>
      <c r="AZ1358" s="18"/>
      <c r="BA1358" s="19">
        <v>0.025000000000000001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ht="14.25">
      <c r="AR1359" s="15" t="s">
        <v>334</v>
      </c>
      <c r="AS1359" s="15" t="s">
        <v>574</v>
      </c>
      <c r="AT1359" s="15" t="s">
        <v>988</v>
      </c>
      <c r="AU1359" s="15"/>
      <c r="AV1359" s="15"/>
      <c r="AW1359" s="15"/>
      <c r="AX1359" s="15"/>
      <c r="AY1359" s="15"/>
      <c r="AZ1359" s="18"/>
      <c r="BA1359" s="19">
        <v>0.025000000000000001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ht="14.25">
      <c r="AR1360" s="15" t="s">
        <v>334</v>
      </c>
      <c r="AS1360" s="15" t="s">
        <v>574</v>
      </c>
      <c r="AT1360" s="15" t="s">
        <v>989</v>
      </c>
      <c r="AU1360" s="15"/>
      <c r="AV1360" s="15"/>
      <c r="AW1360" s="15"/>
      <c r="AX1360" s="15"/>
      <c r="AY1360" s="15"/>
      <c r="AZ1360" s="18"/>
      <c r="BA1360" s="19">
        <v>0.025000000000000001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ht="14.25">
      <c r="AR1361" s="15" t="s">
        <v>334</v>
      </c>
      <c r="AS1361" s="15" t="s">
        <v>574</v>
      </c>
      <c r="AT1361" s="15" t="s">
        <v>990</v>
      </c>
      <c r="AU1361" s="15"/>
      <c r="AV1361" s="15"/>
      <c r="AW1361" s="15"/>
      <c r="AX1361" s="15"/>
      <c r="AY1361" s="15"/>
      <c r="AZ1361" s="18"/>
      <c r="BA1361" s="19">
        <v>0.025000000000000001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ht="14.25">
      <c r="AR1362" s="15" t="s">
        <v>334</v>
      </c>
      <c r="AS1362" s="15" t="s">
        <v>574</v>
      </c>
      <c r="AT1362" s="15" t="s">
        <v>991</v>
      </c>
      <c r="AU1362" s="15"/>
      <c r="AV1362" s="15"/>
      <c r="AW1362" s="15"/>
      <c r="AX1362" s="15"/>
      <c r="AY1362" s="15"/>
      <c r="AZ1362" s="18"/>
      <c r="BA1362" s="19">
        <v>0.025000000000000001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ht="14.25">
      <c r="AR1363" s="15" t="s">
        <v>334</v>
      </c>
      <c r="AS1363" s="15" t="s">
        <v>574</v>
      </c>
      <c r="AT1363" s="15" t="s">
        <v>992</v>
      </c>
      <c r="AU1363" s="15"/>
      <c r="AV1363" s="15"/>
      <c r="AW1363" s="15"/>
      <c r="AX1363" s="15"/>
      <c r="AY1363" s="15"/>
      <c r="AZ1363" s="18"/>
      <c r="BA1363" s="19">
        <v>0.025000000000000001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ht="14.25">
      <c r="AR1364" s="15" t="s">
        <v>334</v>
      </c>
      <c r="AS1364" s="15" t="s">
        <v>574</v>
      </c>
      <c r="AT1364" s="15" t="s">
        <v>993</v>
      </c>
      <c r="AU1364" s="15"/>
      <c r="AV1364" s="15"/>
      <c r="AW1364" s="15"/>
      <c r="AX1364" s="15"/>
      <c r="AY1364" s="15"/>
      <c r="AZ1364" s="18"/>
      <c r="BA1364" s="19">
        <v>0.025000000000000001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ht="14.25">
      <c r="AR1365" s="15" t="s">
        <v>334</v>
      </c>
      <c r="AS1365" s="15" t="s">
        <v>574</v>
      </c>
      <c r="AT1365" s="15" t="s">
        <v>994</v>
      </c>
      <c r="AU1365" s="15"/>
      <c r="AV1365" s="15"/>
      <c r="AW1365" s="15"/>
      <c r="AX1365" s="15"/>
      <c r="AY1365" s="15"/>
      <c r="AZ1365" s="18"/>
      <c r="BA1365" s="19">
        <v>0.025000000000000001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ht="14.25">
      <c r="AR1366" s="15" t="s">
        <v>334</v>
      </c>
      <c r="AS1366" s="15" t="s">
        <v>574</v>
      </c>
      <c r="AT1366" s="15" t="s">
        <v>996</v>
      </c>
      <c r="AU1366" s="15"/>
      <c r="AV1366" s="15"/>
      <c r="AW1366" s="15"/>
      <c r="AX1366" s="15"/>
      <c r="AY1366" s="15"/>
      <c r="AZ1366" s="18"/>
      <c r="BA1366" s="19">
        <v>0.025000000000000001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ht="14.25">
      <c r="AR1367" s="15" t="s">
        <v>334</v>
      </c>
      <c r="AS1367" s="15" t="s">
        <v>574</v>
      </c>
      <c r="AT1367" s="15" t="s">
        <v>997</v>
      </c>
      <c r="AU1367" s="15"/>
      <c r="AV1367" s="15"/>
      <c r="AW1367" s="15"/>
      <c r="AX1367" s="15"/>
      <c r="AY1367" s="15"/>
      <c r="AZ1367" s="18"/>
      <c r="BA1367" s="19">
        <v>0.025000000000000001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ht="14.25">
      <c r="AR1368" s="15" t="s">
        <v>334</v>
      </c>
      <c r="AS1368" s="15" t="s">
        <v>574</v>
      </c>
      <c r="AT1368" s="15" t="s">
        <v>998</v>
      </c>
      <c r="AU1368" s="15"/>
      <c r="AV1368" s="15"/>
      <c r="AW1368" s="15"/>
      <c r="AX1368" s="15"/>
      <c r="AY1368" s="15"/>
      <c r="AZ1368" s="18"/>
      <c r="BA1368" s="19">
        <v>0.025000000000000001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ht="14.25">
      <c r="AR1369" s="15" t="s">
        <v>334</v>
      </c>
      <c r="AS1369" s="15" t="s">
        <v>574</v>
      </c>
      <c r="AT1369" s="15" t="s">
        <v>999</v>
      </c>
      <c r="AU1369" s="15"/>
      <c r="AV1369" s="15"/>
      <c r="AW1369" s="15"/>
      <c r="AX1369" s="15"/>
      <c r="AY1369" s="15"/>
      <c r="AZ1369" s="18"/>
      <c r="BA1369" s="19">
        <v>0.025000000000000001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ht="14.25">
      <c r="AR1370" s="15" t="s">
        <v>334</v>
      </c>
      <c r="AS1370" s="15" t="s">
        <v>574</v>
      </c>
      <c r="AT1370" s="15" t="s">
        <v>1000</v>
      </c>
      <c r="AU1370" s="15"/>
      <c r="AV1370" s="15"/>
      <c r="AW1370" s="15"/>
      <c r="AX1370" s="15"/>
      <c r="AY1370" s="15"/>
      <c r="AZ1370" s="18"/>
      <c r="BA1370" s="19">
        <v>0.025000000000000001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ht="14.25">
      <c r="AR1371" s="15" t="s">
        <v>334</v>
      </c>
      <c r="AS1371" s="15" t="s">
        <v>574</v>
      </c>
      <c r="AT1371" s="15" t="s">
        <v>1001</v>
      </c>
      <c r="AU1371" s="15"/>
      <c r="AV1371" s="15"/>
      <c r="AW1371" s="15"/>
      <c r="AX1371" s="15"/>
      <c r="AY1371" s="15"/>
      <c r="AZ1371" s="18"/>
      <c r="BA1371" s="19">
        <v>0.025000000000000001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ht="14.25">
      <c r="AR1372" s="15" t="s">
        <v>334</v>
      </c>
      <c r="AS1372" s="15" t="s">
        <v>574</v>
      </c>
      <c r="AT1372" s="15" t="s">
        <v>1002</v>
      </c>
      <c r="AU1372" s="15"/>
      <c r="AV1372" s="15"/>
      <c r="AW1372" s="15"/>
      <c r="AX1372" s="15"/>
      <c r="AY1372" s="15"/>
      <c r="AZ1372" s="18"/>
      <c r="BA1372" s="19">
        <v>0.025000000000000001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ht="14.25">
      <c r="AR1373" s="15" t="s">
        <v>334</v>
      </c>
      <c r="AS1373" s="15" t="s">
        <v>574</v>
      </c>
      <c r="AT1373" s="15" t="s">
        <v>1003</v>
      </c>
      <c r="AU1373" s="15"/>
      <c r="AV1373" s="15"/>
      <c r="AW1373" s="15"/>
      <c r="AX1373" s="15"/>
      <c r="AY1373" s="15"/>
      <c r="AZ1373" s="18"/>
      <c r="BA1373" s="19">
        <v>0.025000000000000001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ht="14.25">
      <c r="AR1374" s="15" t="s">
        <v>334</v>
      </c>
      <c r="AS1374" s="15" t="s">
        <v>574</v>
      </c>
      <c r="AT1374" s="15" t="s">
        <v>1004</v>
      </c>
      <c r="AU1374" s="15"/>
      <c r="AV1374" s="15"/>
      <c r="AW1374" s="15"/>
      <c r="AX1374" s="15"/>
      <c r="AY1374" s="15"/>
      <c r="AZ1374" s="18"/>
      <c r="BA1374" s="19">
        <v>0.025000000000000001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ht="14.25">
      <c r="AR1375" s="15" t="s">
        <v>334</v>
      </c>
      <c r="AS1375" s="15" t="s">
        <v>574</v>
      </c>
      <c r="AT1375" s="15" t="s">
        <v>1005</v>
      </c>
      <c r="AU1375" s="15"/>
      <c r="AV1375" s="15"/>
      <c r="AW1375" s="15"/>
      <c r="AX1375" s="15"/>
      <c r="AY1375" s="15"/>
      <c r="AZ1375" s="18"/>
      <c r="BA1375" s="19">
        <v>0.025000000000000001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ht="14.25">
      <c r="AR1376" s="15" t="s">
        <v>334</v>
      </c>
      <c r="AS1376" s="15" t="s">
        <v>574</v>
      </c>
      <c r="AT1376" s="15" t="s">
        <v>1006</v>
      </c>
      <c r="AU1376" s="15"/>
      <c r="AV1376" s="15"/>
      <c r="AW1376" s="15"/>
      <c r="AX1376" s="15"/>
      <c r="AY1376" s="15"/>
      <c r="AZ1376" s="18"/>
      <c r="BA1376" s="19">
        <v>0.025000000000000001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ht="14.25">
      <c r="AR1377" s="15" t="s">
        <v>334</v>
      </c>
      <c r="AS1377" s="15" t="s">
        <v>574</v>
      </c>
      <c r="AT1377" s="15" t="s">
        <v>1007</v>
      </c>
      <c r="AU1377" s="15"/>
      <c r="AV1377" s="15"/>
      <c r="AW1377" s="15"/>
      <c r="AX1377" s="15"/>
      <c r="AY1377" s="15"/>
      <c r="AZ1377" s="18"/>
      <c r="BA1377" s="19">
        <v>0.025000000000000001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ht="14.25">
      <c r="AR1378" s="15" t="s">
        <v>334</v>
      </c>
      <c r="AS1378" s="15" t="s">
        <v>574</v>
      </c>
      <c r="AT1378" s="15" t="s">
        <v>1008</v>
      </c>
      <c r="AU1378" s="15"/>
      <c r="AV1378" s="15"/>
      <c r="AW1378" s="15"/>
      <c r="AX1378" s="15"/>
      <c r="AY1378" s="15"/>
      <c r="AZ1378" s="18"/>
      <c r="BA1378" s="19">
        <v>0.025000000000000001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ht="14.25">
      <c r="AR1379" s="15" t="s">
        <v>334</v>
      </c>
      <c r="AS1379" s="15" t="s">
        <v>574</v>
      </c>
      <c r="AT1379" s="15" t="s">
        <v>1009</v>
      </c>
      <c r="AU1379" s="15"/>
      <c r="AV1379" s="15"/>
      <c r="AW1379" s="15"/>
      <c r="AX1379" s="15"/>
      <c r="AY1379" s="15"/>
      <c r="AZ1379" s="18"/>
      <c r="BA1379" s="19">
        <v>0.025000000000000001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ht="14.25">
      <c r="AR1380" s="15" t="s">
        <v>334</v>
      </c>
      <c r="AS1380" s="15" t="s">
        <v>574</v>
      </c>
      <c r="AT1380" s="15" t="s">
        <v>1010</v>
      </c>
      <c r="AU1380" s="15"/>
      <c r="AV1380" s="15"/>
      <c r="AW1380" s="15"/>
      <c r="AX1380" s="15"/>
      <c r="AY1380" s="15"/>
      <c r="AZ1380" s="18"/>
      <c r="BA1380" s="19">
        <v>0.025000000000000001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ht="14.25">
      <c r="AR1381" s="15" t="s">
        <v>334</v>
      </c>
      <c r="AS1381" s="15" t="s">
        <v>574</v>
      </c>
      <c r="AT1381" s="15" t="s">
        <v>1011</v>
      </c>
      <c r="AU1381" s="15"/>
      <c r="AV1381" s="15"/>
      <c r="AW1381" s="15"/>
      <c r="AX1381" s="15"/>
      <c r="AY1381" s="15"/>
      <c r="AZ1381" s="18"/>
      <c r="BA1381" s="19">
        <v>0.025000000000000001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ht="14.25">
      <c r="AR1382" s="15" t="s">
        <v>334</v>
      </c>
      <c r="AS1382" s="15" t="s">
        <v>574</v>
      </c>
      <c r="AT1382" s="15" t="s">
        <v>1012</v>
      </c>
      <c r="AU1382" s="15"/>
      <c r="AV1382" s="15"/>
      <c r="AW1382" s="15"/>
      <c r="AX1382" s="15"/>
      <c r="AY1382" s="15"/>
      <c r="AZ1382" s="18"/>
      <c r="BA1382" s="19">
        <v>0.025000000000000001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ht="14.25">
      <c r="AR1383" s="15" t="s">
        <v>334</v>
      </c>
      <c r="AS1383" s="15" t="s">
        <v>574</v>
      </c>
      <c r="AT1383" s="15" t="s">
        <v>1013</v>
      </c>
      <c r="AU1383" s="15"/>
      <c r="AV1383" s="15"/>
      <c r="AW1383" s="15"/>
      <c r="AX1383" s="15"/>
      <c r="AY1383" s="15"/>
      <c r="AZ1383" s="18"/>
      <c r="BA1383" s="19">
        <v>0.025000000000000001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ht="14.25">
      <c r="AR1384" s="15" t="s">
        <v>334</v>
      </c>
      <c r="AS1384" s="15" t="s">
        <v>574</v>
      </c>
      <c r="AT1384" s="15" t="s">
        <v>1014</v>
      </c>
      <c r="AU1384" s="15"/>
      <c r="AV1384" s="15"/>
      <c r="AW1384" s="15"/>
      <c r="AX1384" s="15"/>
      <c r="AY1384" s="15"/>
      <c r="AZ1384" s="18"/>
      <c r="BA1384" s="19">
        <v>0.025000000000000001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ht="14.25">
      <c r="AR1385" s="15" t="s">
        <v>334</v>
      </c>
      <c r="AS1385" s="15" t="s">
        <v>574</v>
      </c>
      <c r="AT1385" s="15" t="s">
        <v>1015</v>
      </c>
      <c r="AU1385" s="15"/>
      <c r="AV1385" s="15"/>
      <c r="AW1385" s="15"/>
      <c r="AX1385" s="15"/>
      <c r="AY1385" s="15"/>
      <c r="AZ1385" s="18"/>
      <c r="BA1385" s="19">
        <v>0.025000000000000001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ht="14.25">
      <c r="AR1386" s="15" t="s">
        <v>334</v>
      </c>
      <c r="AS1386" s="15" t="s">
        <v>574</v>
      </c>
      <c r="AT1386" s="15" t="s">
        <v>1017</v>
      </c>
      <c r="AU1386" s="15"/>
      <c r="AV1386" s="15"/>
      <c r="AW1386" s="15"/>
      <c r="AX1386" s="15"/>
      <c r="AY1386" s="15"/>
      <c r="AZ1386" s="18"/>
      <c r="BA1386" s="19">
        <v>0.025000000000000001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ht="14.25">
      <c r="AR1387" s="15" t="s">
        <v>334</v>
      </c>
      <c r="AS1387" s="15" t="s">
        <v>574</v>
      </c>
      <c r="AT1387" s="15" t="s">
        <v>1018</v>
      </c>
      <c r="AU1387" s="15"/>
      <c r="AV1387" s="15"/>
      <c r="AW1387" s="15"/>
      <c r="AX1387" s="15"/>
      <c r="AY1387" s="15"/>
      <c r="AZ1387" s="18"/>
      <c r="BA1387" s="19">
        <v>0.025000000000000001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ht="14.25">
      <c r="AR1388" s="15" t="s">
        <v>334</v>
      </c>
      <c r="AS1388" s="15" t="s">
        <v>574</v>
      </c>
      <c r="AT1388" s="15" t="s">
        <v>1019</v>
      </c>
      <c r="AU1388" s="15"/>
      <c r="AV1388" s="15"/>
      <c r="AW1388" s="15"/>
      <c r="AX1388" s="15"/>
      <c r="AY1388" s="15"/>
      <c r="AZ1388" s="18"/>
      <c r="BA1388" s="19">
        <v>0.025000000000000001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ht="14.25">
      <c r="AR1389" s="15" t="s">
        <v>334</v>
      </c>
      <c r="AS1389" s="15" t="s">
        <v>574</v>
      </c>
      <c r="AT1389" s="15" t="s">
        <v>1020</v>
      </c>
      <c r="AU1389" s="15"/>
      <c r="AV1389" s="15"/>
      <c r="AW1389" s="15"/>
      <c r="AX1389" s="15"/>
      <c r="AY1389" s="15"/>
      <c r="AZ1389" s="18"/>
      <c r="BA1389" s="19">
        <v>0.025000000000000001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ht="14.25">
      <c r="AR1390" s="15" t="s">
        <v>334</v>
      </c>
      <c r="AS1390" s="15" t="s">
        <v>574</v>
      </c>
      <c r="AT1390" s="15" t="s">
        <v>1021</v>
      </c>
      <c r="AU1390" s="15"/>
      <c r="AV1390" s="15"/>
      <c r="AW1390" s="15"/>
      <c r="AX1390" s="15"/>
      <c r="AY1390" s="15"/>
      <c r="AZ1390" s="18"/>
      <c r="BA1390" s="19">
        <v>0.025000000000000001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ht="14.25">
      <c r="AR1391" s="15" t="s">
        <v>334</v>
      </c>
      <c r="AS1391" s="15" t="s">
        <v>574</v>
      </c>
      <c r="AT1391" s="15" t="s">
        <v>1022</v>
      </c>
      <c r="AU1391" s="15"/>
      <c r="AV1391" s="15"/>
      <c r="AW1391" s="15"/>
      <c r="AX1391" s="15"/>
      <c r="AY1391" s="15"/>
      <c r="AZ1391" s="18"/>
      <c r="BA1391" s="19">
        <v>0.025000000000000001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ht="14.25">
      <c r="AR1392" s="15" t="s">
        <v>334</v>
      </c>
      <c r="AS1392" s="15" t="s">
        <v>574</v>
      </c>
      <c r="AT1392" s="15" t="s">
        <v>1023</v>
      </c>
      <c r="AU1392" s="15"/>
      <c r="AV1392" s="15"/>
      <c r="AW1392" s="15"/>
      <c r="AX1392" s="15"/>
      <c r="AY1392" s="15"/>
      <c r="AZ1392" s="18"/>
      <c r="BA1392" s="19">
        <v>0.025000000000000001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ht="14.25">
      <c r="AR1393" s="15" t="s">
        <v>334</v>
      </c>
      <c r="AS1393" s="15" t="s">
        <v>574</v>
      </c>
      <c r="AT1393" s="15" t="s">
        <v>1024</v>
      </c>
      <c r="AU1393" s="15"/>
      <c r="AV1393" s="15"/>
      <c r="AW1393" s="15"/>
      <c r="AX1393" s="15"/>
      <c r="AY1393" s="15"/>
      <c r="AZ1393" s="18"/>
      <c r="BA1393" s="19">
        <v>0.025000000000000001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ht="14.25">
      <c r="AR1394" s="15" t="s">
        <v>334</v>
      </c>
      <c r="AS1394" s="15" t="s">
        <v>574</v>
      </c>
      <c r="AT1394" s="15" t="s">
        <v>1025</v>
      </c>
      <c r="AU1394" s="15"/>
      <c r="AV1394" s="15"/>
      <c r="AW1394" s="15"/>
      <c r="AX1394" s="15"/>
      <c r="AY1394" s="15"/>
      <c r="AZ1394" s="18"/>
      <c r="BA1394" s="19">
        <v>0.025000000000000001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ht="14.25">
      <c r="AR1395" s="15" t="s">
        <v>334</v>
      </c>
      <c r="AS1395" s="15" t="s">
        <v>574</v>
      </c>
      <c r="AT1395" s="15" t="s">
        <v>1026</v>
      </c>
      <c r="AU1395" s="15"/>
      <c r="AV1395" s="15"/>
      <c r="AW1395" s="15"/>
      <c r="AX1395" s="15"/>
      <c r="AY1395" s="15"/>
      <c r="AZ1395" s="18"/>
      <c r="BA1395" s="19">
        <v>0.025000000000000001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ht="14.25">
      <c r="AR1396" s="15" t="s">
        <v>334</v>
      </c>
      <c r="AS1396" s="15" t="s">
        <v>574</v>
      </c>
      <c r="AT1396" s="15" t="s">
        <v>1027</v>
      </c>
      <c r="AU1396" s="15"/>
      <c r="AV1396" s="15"/>
      <c r="AW1396" s="15"/>
      <c r="AX1396" s="15"/>
      <c r="AY1396" s="15"/>
      <c r="AZ1396" s="18"/>
      <c r="BA1396" s="19">
        <v>0.025000000000000001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ht="14.25">
      <c r="AR1397" s="15" t="s">
        <v>334</v>
      </c>
      <c r="AS1397" s="15" t="s">
        <v>574</v>
      </c>
      <c r="AT1397" s="15" t="s">
        <v>1028</v>
      </c>
      <c r="AU1397" s="15"/>
      <c r="AV1397" s="15"/>
      <c r="AW1397" s="15"/>
      <c r="AX1397" s="15"/>
      <c r="AY1397" s="15"/>
      <c r="AZ1397" s="18"/>
      <c r="BA1397" s="19">
        <v>0.025000000000000001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ht="14.25">
      <c r="AR1398" s="15" t="s">
        <v>334</v>
      </c>
      <c r="AS1398" s="15" t="s">
        <v>574</v>
      </c>
      <c r="AT1398" s="15" t="s">
        <v>1030</v>
      </c>
      <c r="AU1398" s="15"/>
      <c r="AV1398" s="15"/>
      <c r="AW1398" s="15"/>
      <c r="AX1398" s="15"/>
      <c r="AY1398" s="15"/>
      <c r="AZ1398" s="18"/>
      <c r="BA1398" s="19">
        <v>0.025000000000000001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ht="14.25">
      <c r="AR1399" s="15" t="s">
        <v>334</v>
      </c>
      <c r="AS1399" s="15" t="s">
        <v>574</v>
      </c>
      <c r="AT1399" s="15" t="s">
        <v>1031</v>
      </c>
      <c r="AU1399" s="15"/>
      <c r="AV1399" s="15"/>
      <c r="AW1399" s="15"/>
      <c r="AX1399" s="15"/>
      <c r="AY1399" s="15"/>
      <c r="AZ1399" s="18"/>
      <c r="BA1399" s="19">
        <v>0.025000000000000001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ht="14.25">
      <c r="AR1400" s="15" t="s">
        <v>334</v>
      </c>
      <c r="AS1400" s="15" t="s">
        <v>574</v>
      </c>
      <c r="AT1400" s="15" t="s">
        <v>1032</v>
      </c>
      <c r="AU1400" s="15"/>
      <c r="AV1400" s="15"/>
      <c r="AW1400" s="15"/>
      <c r="AX1400" s="15"/>
      <c r="AY1400" s="15"/>
      <c r="AZ1400" s="18"/>
      <c r="BA1400" s="19">
        <v>0.025000000000000001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ht="14.25">
      <c r="AR1401" s="15" t="s">
        <v>334</v>
      </c>
      <c r="AS1401" s="15" t="s">
        <v>574</v>
      </c>
      <c r="AT1401" s="15" t="s">
        <v>1033</v>
      </c>
      <c r="AU1401" s="15"/>
      <c r="AV1401" s="15"/>
      <c r="AW1401" s="15"/>
      <c r="AX1401" s="15"/>
      <c r="AY1401" s="15"/>
      <c r="AZ1401" s="18"/>
      <c r="BA1401" s="19">
        <v>0.025000000000000001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ht="14.25">
      <c r="AR1402" s="15" t="s">
        <v>334</v>
      </c>
      <c r="AS1402" s="15" t="s">
        <v>574</v>
      </c>
      <c r="AT1402" s="15" t="s">
        <v>1035</v>
      </c>
      <c r="AU1402" s="15"/>
      <c r="AV1402" s="15"/>
      <c r="AW1402" s="15"/>
      <c r="AX1402" s="15"/>
      <c r="AY1402" s="15"/>
      <c r="AZ1402" s="18"/>
      <c r="BA1402" s="19">
        <v>0.025000000000000001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ht="14.25">
      <c r="AR1403" s="15" t="s">
        <v>334</v>
      </c>
      <c r="AS1403" s="15" t="s">
        <v>574</v>
      </c>
      <c r="AT1403" s="15" t="s">
        <v>1036</v>
      </c>
      <c r="AU1403" s="15"/>
      <c r="AV1403" s="15"/>
      <c r="AW1403" s="15"/>
      <c r="AX1403" s="15"/>
      <c r="AY1403" s="15"/>
      <c r="AZ1403" s="18"/>
      <c r="BA1403" s="19">
        <v>0.025000000000000001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ht="14.25">
      <c r="AR1404" s="15" t="s">
        <v>334</v>
      </c>
      <c r="AS1404" s="15" t="s">
        <v>574</v>
      </c>
      <c r="AT1404" s="15" t="s">
        <v>1037</v>
      </c>
      <c r="AU1404" s="15"/>
      <c r="AV1404" s="15"/>
      <c r="AW1404" s="15"/>
      <c r="AX1404" s="15"/>
      <c r="AY1404" s="15"/>
      <c r="AZ1404" s="18"/>
      <c r="BA1404" s="19">
        <v>0.025000000000000001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ht="14.25">
      <c r="AR1405" s="15" t="s">
        <v>334</v>
      </c>
      <c r="AS1405" s="15" t="s">
        <v>574</v>
      </c>
      <c r="AT1405" s="15" t="s">
        <v>1038</v>
      </c>
      <c r="AU1405" s="15"/>
      <c r="AV1405" s="15"/>
      <c r="AW1405" s="15"/>
      <c r="AX1405" s="15"/>
      <c r="AY1405" s="15"/>
      <c r="AZ1405" s="18"/>
      <c r="BA1405" s="19">
        <v>0.025000000000000001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ht="14.25">
      <c r="AR1406" s="15" t="s">
        <v>334</v>
      </c>
      <c r="AS1406" s="15" t="s">
        <v>574</v>
      </c>
      <c r="AT1406" s="15" t="s">
        <v>1039</v>
      </c>
      <c r="AU1406" s="15"/>
      <c r="AV1406" s="15"/>
      <c r="AW1406" s="15"/>
      <c r="AX1406" s="15"/>
      <c r="AY1406" s="15"/>
      <c r="AZ1406" s="18"/>
      <c r="BA1406" s="19">
        <v>0.025000000000000001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ht="14.25">
      <c r="AR1407" s="15" t="s">
        <v>334</v>
      </c>
      <c r="AS1407" s="15" t="s">
        <v>574</v>
      </c>
      <c r="AT1407" s="15" t="s">
        <v>1040</v>
      </c>
      <c r="AU1407" s="15"/>
      <c r="AV1407" s="15"/>
      <c r="AW1407" s="15"/>
      <c r="AX1407" s="15"/>
      <c r="AY1407" s="15"/>
      <c r="AZ1407" s="18"/>
      <c r="BA1407" s="19">
        <v>0.025000000000000001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ht="14.25">
      <c r="AR1408" s="15" t="s">
        <v>334</v>
      </c>
      <c r="AS1408" s="15" t="s">
        <v>574</v>
      </c>
      <c r="AT1408" s="15" t="s">
        <v>1041</v>
      </c>
      <c r="AU1408" s="15"/>
      <c r="AV1408" s="15"/>
      <c r="AW1408" s="15"/>
      <c r="AX1408" s="15"/>
      <c r="AY1408" s="15"/>
      <c r="AZ1408" s="18"/>
      <c r="BA1408" s="19">
        <v>0.025000000000000001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ht="14.25">
      <c r="AR1409" s="15" t="s">
        <v>334</v>
      </c>
      <c r="AS1409" s="15" t="s">
        <v>574</v>
      </c>
      <c r="AT1409" s="15" t="s">
        <v>1042</v>
      </c>
      <c r="AU1409" s="15"/>
      <c r="AV1409" s="15"/>
      <c r="AW1409" s="15"/>
      <c r="AX1409" s="15"/>
      <c r="AY1409" s="15"/>
      <c r="AZ1409" s="18"/>
      <c r="BA1409" s="19">
        <v>0.025000000000000001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ht="14.25">
      <c r="AR1410" s="15" t="s">
        <v>334</v>
      </c>
      <c r="AS1410" s="15" t="s">
        <v>574</v>
      </c>
      <c r="AT1410" s="15" t="s">
        <v>1043</v>
      </c>
      <c r="AU1410" s="15"/>
      <c r="AV1410" s="15"/>
      <c r="AW1410" s="15"/>
      <c r="AX1410" s="15"/>
      <c r="AY1410" s="15"/>
      <c r="AZ1410" s="18"/>
      <c r="BA1410" s="19">
        <v>0.025000000000000001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ht="14.25">
      <c r="AR1411" s="15" t="s">
        <v>334</v>
      </c>
      <c r="AS1411" s="15" t="s">
        <v>574</v>
      </c>
      <c r="AT1411" s="15" t="s">
        <v>1044</v>
      </c>
      <c r="AU1411" s="15"/>
      <c r="AV1411" s="15"/>
      <c r="AW1411" s="15"/>
      <c r="AX1411" s="15"/>
      <c r="AY1411" s="15"/>
      <c r="AZ1411" s="18"/>
      <c r="BA1411" s="19">
        <v>0.025000000000000001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ht="14.25">
      <c r="AR1412" s="15" t="s">
        <v>334</v>
      </c>
      <c r="AS1412" s="15" t="s">
        <v>574</v>
      </c>
      <c r="AT1412" s="15" t="s">
        <v>1046</v>
      </c>
      <c r="AU1412" s="15"/>
      <c r="AV1412" s="15"/>
      <c r="AW1412" s="15"/>
      <c r="AX1412" s="15"/>
      <c r="AY1412" s="15"/>
      <c r="AZ1412" s="18"/>
      <c r="BA1412" s="19">
        <v>0.025000000000000001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ht="14.25">
      <c r="AR1413" s="15" t="s">
        <v>334</v>
      </c>
      <c r="AS1413" s="15" t="s">
        <v>574</v>
      </c>
      <c r="AT1413" s="15" t="s">
        <v>1047</v>
      </c>
      <c r="AU1413" s="15"/>
      <c r="AV1413" s="15"/>
      <c r="AW1413" s="15"/>
      <c r="AX1413" s="15"/>
      <c r="AY1413" s="15"/>
      <c r="AZ1413" s="18"/>
      <c r="BA1413" s="19">
        <v>0.025000000000000001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ht="14.25">
      <c r="AR1414" s="15" t="s">
        <v>334</v>
      </c>
      <c r="AS1414" s="15" t="s">
        <v>574</v>
      </c>
      <c r="AT1414" s="15" t="s">
        <v>1048</v>
      </c>
      <c r="AU1414" s="15"/>
      <c r="AV1414" s="15"/>
      <c r="AW1414" s="15"/>
      <c r="AX1414" s="15"/>
      <c r="AY1414" s="15"/>
      <c r="AZ1414" s="18"/>
      <c r="BA1414" s="19">
        <v>0.025000000000000001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ht="14.25">
      <c r="AR1415" s="15" t="s">
        <v>334</v>
      </c>
      <c r="AS1415" s="15" t="s">
        <v>574</v>
      </c>
      <c r="AT1415" s="15" t="s">
        <v>1049</v>
      </c>
      <c r="AU1415" s="15"/>
      <c r="AV1415" s="15"/>
      <c r="AW1415" s="15"/>
      <c r="AX1415" s="15"/>
      <c r="AY1415" s="15"/>
      <c r="AZ1415" s="18"/>
      <c r="BA1415" s="19">
        <v>0.025000000000000001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ht="14.25">
      <c r="AR1416" s="15" t="s">
        <v>334</v>
      </c>
      <c r="AS1416" s="15" t="s">
        <v>574</v>
      </c>
      <c r="AT1416" s="15" t="s">
        <v>1050</v>
      </c>
      <c r="AU1416" s="15"/>
      <c r="AV1416" s="15"/>
      <c r="AW1416" s="15"/>
      <c r="AX1416" s="15"/>
      <c r="AY1416" s="15"/>
      <c r="AZ1416" s="18"/>
      <c r="BA1416" s="19">
        <v>0.025000000000000001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ht="14.25">
      <c r="AR1417" s="15" t="s">
        <v>334</v>
      </c>
      <c r="AS1417" s="15" t="s">
        <v>574</v>
      </c>
      <c r="AT1417" s="15" t="s">
        <v>1051</v>
      </c>
      <c r="AU1417" s="15"/>
      <c r="AV1417" s="15"/>
      <c r="AW1417" s="15"/>
      <c r="AX1417" s="15"/>
      <c r="AY1417" s="15"/>
      <c r="AZ1417" s="18"/>
      <c r="BA1417" s="19">
        <v>0.025000000000000001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ht="14.25">
      <c r="AR1418" s="15" t="s">
        <v>334</v>
      </c>
      <c r="AS1418" s="15" t="s">
        <v>574</v>
      </c>
      <c r="AT1418" s="15" t="s">
        <v>1052</v>
      </c>
      <c r="AU1418" s="15"/>
      <c r="AV1418" s="15"/>
      <c r="AW1418" s="15"/>
      <c r="AX1418" s="15"/>
      <c r="AY1418" s="15"/>
      <c r="AZ1418" s="18"/>
      <c r="BA1418" s="19">
        <v>0.025000000000000001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ht="14.25">
      <c r="AR1419" s="15" t="s">
        <v>334</v>
      </c>
      <c r="AS1419" s="15" t="s">
        <v>574</v>
      </c>
      <c r="AT1419" s="15" t="s">
        <v>1053</v>
      </c>
      <c r="AU1419" s="15"/>
      <c r="AV1419" s="15"/>
      <c r="AW1419" s="15"/>
      <c r="AX1419" s="15"/>
      <c r="AY1419" s="15"/>
      <c r="AZ1419" s="18"/>
      <c r="BA1419" s="19">
        <v>0.025000000000000001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ht="14.25">
      <c r="AR1420" s="15" t="s">
        <v>334</v>
      </c>
      <c r="AS1420" s="15" t="s">
        <v>574</v>
      </c>
      <c r="AT1420" s="15" t="s">
        <v>1054</v>
      </c>
      <c r="AU1420" s="15"/>
      <c r="AV1420" s="15"/>
      <c r="AW1420" s="15"/>
      <c r="AX1420" s="15"/>
      <c r="AY1420" s="15"/>
      <c r="AZ1420" s="18"/>
      <c r="BA1420" s="19">
        <v>0.025000000000000001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ht="14.25">
      <c r="AR1421" s="15" t="s">
        <v>334</v>
      </c>
      <c r="AS1421" s="15" t="s">
        <v>574</v>
      </c>
      <c r="AT1421" s="15" t="s">
        <v>1055</v>
      </c>
      <c r="AU1421" s="15"/>
      <c r="AV1421" s="15"/>
      <c r="AW1421" s="15"/>
      <c r="AX1421" s="15"/>
      <c r="AY1421" s="15"/>
      <c r="AZ1421" s="18"/>
      <c r="BA1421" s="19">
        <v>0.025000000000000001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ht="14.25">
      <c r="AR1422" s="15" t="s">
        <v>334</v>
      </c>
      <c r="AS1422" s="15" t="s">
        <v>574</v>
      </c>
      <c r="AT1422" s="15" t="s">
        <v>1056</v>
      </c>
      <c r="AU1422" s="15"/>
      <c r="AV1422" s="15"/>
      <c r="AW1422" s="15"/>
      <c r="AX1422" s="15"/>
      <c r="AY1422" s="15"/>
      <c r="AZ1422" s="18"/>
      <c r="BA1422" s="19">
        <v>0.025000000000000001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ht="14.25">
      <c r="AR1423" s="15" t="s">
        <v>334</v>
      </c>
      <c r="AS1423" s="15" t="s">
        <v>574</v>
      </c>
      <c r="AT1423" s="15" t="s">
        <v>1057</v>
      </c>
      <c r="AU1423" s="15"/>
      <c r="AV1423" s="15"/>
      <c r="AW1423" s="15"/>
      <c r="AX1423" s="15"/>
      <c r="AY1423" s="15"/>
      <c r="AZ1423" s="18"/>
      <c r="BA1423" s="19">
        <v>0.025000000000000001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ht="14.25">
      <c r="AR1424" s="15" t="s">
        <v>334</v>
      </c>
      <c r="AS1424" s="15" t="s">
        <v>574</v>
      </c>
      <c r="AT1424" s="15" t="s">
        <v>1058</v>
      </c>
      <c r="AU1424" s="15"/>
      <c r="AV1424" s="15"/>
      <c r="AW1424" s="15"/>
      <c r="AX1424" s="15"/>
      <c r="AY1424" s="15"/>
      <c r="AZ1424" s="18"/>
      <c r="BA1424" s="19">
        <v>0.025000000000000001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ht="14.25">
      <c r="AR1425" s="15" t="s">
        <v>334</v>
      </c>
      <c r="AS1425" s="15" t="s">
        <v>574</v>
      </c>
      <c r="AT1425" s="15" t="s">
        <v>1059</v>
      </c>
      <c r="AU1425" s="15"/>
      <c r="AV1425" s="15"/>
      <c r="AW1425" s="15"/>
      <c r="AX1425" s="15"/>
      <c r="AY1425" s="15"/>
      <c r="AZ1425" s="18"/>
      <c r="BA1425" s="19">
        <v>0.025000000000000001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ht="14.25">
      <c r="AR1426" s="15" t="s">
        <v>334</v>
      </c>
      <c r="AS1426" s="15" t="s">
        <v>574</v>
      </c>
      <c r="AT1426" s="15" t="s">
        <v>1060</v>
      </c>
      <c r="AU1426" s="15"/>
      <c r="AV1426" s="15"/>
      <c r="AW1426" s="15"/>
      <c r="AX1426" s="15"/>
      <c r="AY1426" s="15"/>
      <c r="AZ1426" s="18"/>
      <c r="BA1426" s="19">
        <v>0.025000000000000001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ht="14.25">
      <c r="AR1427" s="15" t="s">
        <v>334</v>
      </c>
      <c r="AS1427" s="15" t="s">
        <v>574</v>
      </c>
      <c r="AT1427" s="15" t="s">
        <v>1061</v>
      </c>
      <c r="AU1427" s="15"/>
      <c r="AV1427" s="15"/>
      <c r="AW1427" s="15"/>
      <c r="AX1427" s="15"/>
      <c r="AY1427" s="15"/>
      <c r="AZ1427" s="18"/>
      <c r="BA1427" s="19">
        <v>0.025000000000000001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ht="14.25">
      <c r="AR1428" s="15" t="s">
        <v>334</v>
      </c>
      <c r="AS1428" s="15" t="s">
        <v>574</v>
      </c>
      <c r="AT1428" s="15" t="s">
        <v>1062</v>
      </c>
      <c r="AU1428" s="15"/>
      <c r="AV1428" s="15"/>
      <c r="AW1428" s="15"/>
      <c r="AX1428" s="15"/>
      <c r="AY1428" s="15"/>
      <c r="AZ1428" s="18"/>
      <c r="BA1428" s="19">
        <v>0.025000000000000001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ht="14.25">
      <c r="AR1429" s="15" t="s">
        <v>334</v>
      </c>
      <c r="AS1429" s="15" t="s">
        <v>574</v>
      </c>
      <c r="AT1429" s="15" t="s">
        <v>1063</v>
      </c>
      <c r="AU1429" s="15"/>
      <c r="AV1429" s="15"/>
      <c r="AW1429" s="15"/>
      <c r="AX1429" s="15"/>
      <c r="AY1429" s="15"/>
      <c r="AZ1429" s="18"/>
      <c r="BA1429" s="19">
        <v>0.025000000000000001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ht="14.25">
      <c r="AR1430" s="15" t="s">
        <v>334</v>
      </c>
      <c r="AS1430" s="15" t="s">
        <v>574</v>
      </c>
      <c r="AT1430" s="15" t="s">
        <v>1064</v>
      </c>
      <c r="AU1430" s="15"/>
      <c r="AV1430" s="15"/>
      <c r="AW1430" s="15"/>
      <c r="AX1430" s="15"/>
      <c r="AY1430" s="15"/>
      <c r="AZ1430" s="18"/>
      <c r="BA1430" s="19">
        <v>0.025000000000000001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ht="14.25">
      <c r="AR1431" s="15" t="s">
        <v>334</v>
      </c>
      <c r="AS1431" s="15" t="s">
        <v>574</v>
      </c>
      <c r="AT1431" s="15" t="s">
        <v>1066</v>
      </c>
      <c r="AU1431" s="15"/>
      <c r="AV1431" s="15"/>
      <c r="AW1431" s="15"/>
      <c r="AX1431" s="15"/>
      <c r="AY1431" s="15"/>
      <c r="AZ1431" s="18"/>
      <c r="BA1431" s="19">
        <v>0.025000000000000001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ht="14.25">
      <c r="AR1432" s="15" t="s">
        <v>334</v>
      </c>
      <c r="AS1432" s="15" t="s">
        <v>574</v>
      </c>
      <c r="AT1432" s="15" t="s">
        <v>1067</v>
      </c>
      <c r="AU1432" s="15"/>
      <c r="AV1432" s="15"/>
      <c r="AW1432" s="15"/>
      <c r="AX1432" s="15"/>
      <c r="AY1432" s="15"/>
      <c r="AZ1432" s="18"/>
      <c r="BA1432" s="19">
        <v>0.025000000000000001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ht="14.25">
      <c r="AR1433" s="15" t="s">
        <v>334</v>
      </c>
      <c r="AS1433" s="15" t="s">
        <v>574</v>
      </c>
      <c r="AT1433" s="15" t="s">
        <v>1068</v>
      </c>
      <c r="AU1433" s="15"/>
      <c r="AV1433" s="15"/>
      <c r="AW1433" s="15"/>
      <c r="AX1433" s="15"/>
      <c r="AY1433" s="15"/>
      <c r="AZ1433" s="18"/>
      <c r="BA1433" s="19">
        <v>0.025000000000000001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ht="14.25">
      <c r="AR1434" s="15" t="s">
        <v>334</v>
      </c>
      <c r="AS1434" s="15" t="s">
        <v>574</v>
      </c>
      <c r="AT1434" s="15" t="s">
        <v>1069</v>
      </c>
      <c r="AU1434" s="15"/>
      <c r="AV1434" s="15"/>
      <c r="AW1434" s="15"/>
      <c r="AX1434" s="15"/>
      <c r="AY1434" s="15"/>
      <c r="AZ1434" s="18"/>
      <c r="BA1434" s="19">
        <v>0.025000000000000001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ht="14.25">
      <c r="AR1435" s="15" t="s">
        <v>334</v>
      </c>
      <c r="AS1435" s="15" t="s">
        <v>574</v>
      </c>
      <c r="AT1435" s="15" t="s">
        <v>1070</v>
      </c>
      <c r="AU1435" s="15"/>
      <c r="AV1435" s="15"/>
      <c r="AW1435" s="15"/>
      <c r="AX1435" s="15"/>
      <c r="AY1435" s="15"/>
      <c r="AZ1435" s="18"/>
      <c r="BA1435" s="19">
        <v>0.025000000000000001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ht="14.25">
      <c r="AR1436" s="15" t="s">
        <v>334</v>
      </c>
      <c r="AS1436" s="15" t="s">
        <v>574</v>
      </c>
      <c r="AT1436" s="15" t="s">
        <v>1071</v>
      </c>
      <c r="AU1436" s="15"/>
      <c r="AV1436" s="15"/>
      <c r="AW1436" s="15"/>
      <c r="AX1436" s="15"/>
      <c r="AY1436" s="15"/>
      <c r="AZ1436" s="18"/>
      <c r="BA1436" s="19">
        <v>0.025000000000000001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ht="14.25">
      <c r="AR1437" s="15" t="s">
        <v>334</v>
      </c>
      <c r="AS1437" s="15" t="s">
        <v>574</v>
      </c>
      <c r="AT1437" s="15" t="s">
        <v>1072</v>
      </c>
      <c r="AU1437" s="15"/>
      <c r="AV1437" s="15"/>
      <c r="AW1437" s="15"/>
      <c r="AX1437" s="15"/>
      <c r="AY1437" s="15"/>
      <c r="AZ1437" s="18"/>
      <c r="BA1437" s="19">
        <v>0.025000000000000001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ht="14.25">
      <c r="AR1438" s="15" t="s">
        <v>334</v>
      </c>
      <c r="AS1438" s="15" t="s">
        <v>574</v>
      </c>
      <c r="AT1438" s="15" t="s">
        <v>1074</v>
      </c>
      <c r="AU1438" s="15"/>
      <c r="AV1438" s="15"/>
      <c r="AW1438" s="15"/>
      <c r="AX1438" s="15"/>
      <c r="AY1438" s="15"/>
      <c r="AZ1438" s="18"/>
      <c r="BA1438" s="19">
        <v>0.025000000000000001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ht="14.25">
      <c r="AR1439" s="15" t="s">
        <v>334</v>
      </c>
      <c r="AS1439" s="15" t="s">
        <v>574</v>
      </c>
      <c r="AT1439" s="15" t="s">
        <v>1075</v>
      </c>
      <c r="AU1439" s="15"/>
      <c r="AV1439" s="15"/>
      <c r="AW1439" s="15"/>
      <c r="AX1439" s="15"/>
      <c r="AY1439" s="15"/>
      <c r="AZ1439" s="18"/>
      <c r="BA1439" s="19">
        <v>0.025000000000000001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ht="14.25">
      <c r="AR1440" s="15" t="s">
        <v>334</v>
      </c>
      <c r="AS1440" s="15" t="s">
        <v>574</v>
      </c>
      <c r="AT1440" s="15" t="s">
        <v>1076</v>
      </c>
      <c r="AU1440" s="15"/>
      <c r="AV1440" s="15"/>
      <c r="AW1440" s="15"/>
      <c r="AX1440" s="15"/>
      <c r="AY1440" s="15"/>
      <c r="AZ1440" s="18"/>
      <c r="BA1440" s="19">
        <v>0.025000000000000001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ht="14.25">
      <c r="AR1441" s="15" t="s">
        <v>334</v>
      </c>
      <c r="AS1441" s="15" t="s">
        <v>574</v>
      </c>
      <c r="AT1441" s="15" t="s">
        <v>1078</v>
      </c>
      <c r="AU1441" s="15"/>
      <c r="AV1441" s="15"/>
      <c r="AW1441" s="15"/>
      <c r="AX1441" s="15"/>
      <c r="AY1441" s="15"/>
      <c r="AZ1441" s="18"/>
      <c r="BA1441" s="19">
        <v>0.025000000000000001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ht="14.25">
      <c r="AR1442" s="15" t="s">
        <v>334</v>
      </c>
      <c r="AS1442" s="15" t="s">
        <v>574</v>
      </c>
      <c r="AT1442" s="15" t="s">
        <v>1079</v>
      </c>
      <c r="AU1442" s="15"/>
      <c r="AV1442" s="15"/>
      <c r="AW1442" s="15"/>
      <c r="AX1442" s="15"/>
      <c r="AY1442" s="15"/>
      <c r="AZ1442" s="18"/>
      <c r="BA1442" s="19">
        <v>0.025000000000000001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ht="14.25">
      <c r="AR1443" s="15" t="s">
        <v>334</v>
      </c>
      <c r="AS1443" s="15" t="s">
        <v>574</v>
      </c>
      <c r="AT1443" s="15" t="s">
        <v>1080</v>
      </c>
      <c r="AU1443" s="15"/>
      <c r="AV1443" s="15"/>
      <c r="AW1443" s="15"/>
      <c r="AX1443" s="15"/>
      <c r="AY1443" s="15"/>
      <c r="AZ1443" s="18"/>
      <c r="BA1443" s="19">
        <v>0.025000000000000001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ht="14.25">
      <c r="AR1444" s="15" t="s">
        <v>334</v>
      </c>
      <c r="AS1444" s="15" t="s">
        <v>574</v>
      </c>
      <c r="AT1444" s="15" t="s">
        <v>1081</v>
      </c>
      <c r="AU1444" s="15"/>
      <c r="AV1444" s="15"/>
      <c r="AW1444" s="15"/>
      <c r="AX1444" s="15"/>
      <c r="AY1444" s="15"/>
      <c r="AZ1444" s="18"/>
      <c r="BA1444" s="19">
        <v>0.025000000000000001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ht="14.25">
      <c r="AR1445" s="15" t="s">
        <v>334</v>
      </c>
      <c r="AS1445" s="15" t="s">
        <v>574</v>
      </c>
      <c r="AT1445" s="15" t="s">
        <v>1082</v>
      </c>
      <c r="AU1445" s="15"/>
      <c r="AV1445" s="15"/>
      <c r="AW1445" s="15"/>
      <c r="AX1445" s="15"/>
      <c r="AY1445" s="15"/>
      <c r="AZ1445" s="18"/>
      <c r="BA1445" s="19">
        <v>0.025000000000000001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ht="14.25">
      <c r="AR1446" s="15" t="s">
        <v>334</v>
      </c>
      <c r="AS1446" s="15" t="s">
        <v>574</v>
      </c>
      <c r="AT1446" s="15" t="s">
        <v>1083</v>
      </c>
      <c r="AU1446" s="15"/>
      <c r="AV1446" s="15"/>
      <c r="AW1446" s="15"/>
      <c r="AX1446" s="15"/>
      <c r="AY1446" s="15"/>
      <c r="AZ1446" s="18"/>
      <c r="BA1446" s="19">
        <v>0.025000000000000001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ht="14.25">
      <c r="AR1447" s="15" t="s">
        <v>334</v>
      </c>
      <c r="AS1447" s="15" t="s">
        <v>574</v>
      </c>
      <c r="AT1447" s="15" t="s">
        <v>1084</v>
      </c>
      <c r="AU1447" s="15"/>
      <c r="AV1447" s="15"/>
      <c r="AW1447" s="15"/>
      <c r="AX1447" s="15"/>
      <c r="AY1447" s="15"/>
      <c r="AZ1447" s="18"/>
      <c r="BA1447" s="19">
        <v>0.025000000000000001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ht="14.25">
      <c r="AR1448" s="15" t="s">
        <v>334</v>
      </c>
      <c r="AS1448" s="15" t="s">
        <v>574</v>
      </c>
      <c r="AT1448" s="15" t="s">
        <v>1085</v>
      </c>
      <c r="AU1448" s="15"/>
      <c r="AV1448" s="15"/>
      <c r="AW1448" s="15"/>
      <c r="AX1448" s="15"/>
      <c r="AY1448" s="15"/>
      <c r="AZ1448" s="18"/>
      <c r="BA1448" s="19">
        <v>0.025000000000000001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ht="14.25">
      <c r="AR1449" s="15" t="s">
        <v>334</v>
      </c>
      <c r="AS1449" s="15" t="s">
        <v>574</v>
      </c>
      <c r="AT1449" s="15" t="s">
        <v>1086</v>
      </c>
      <c r="AU1449" s="15"/>
      <c r="AV1449" s="15"/>
      <c r="AW1449" s="15"/>
      <c r="AX1449" s="15"/>
      <c r="AY1449" s="15"/>
      <c r="AZ1449" s="18"/>
      <c r="BA1449" s="19">
        <v>0.025000000000000001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ht="14.25">
      <c r="AR1450" s="15" t="s">
        <v>334</v>
      </c>
      <c r="AS1450" s="15" t="s">
        <v>574</v>
      </c>
      <c r="AT1450" s="15" t="s">
        <v>1087</v>
      </c>
      <c r="AU1450" s="15"/>
      <c r="AV1450" s="15"/>
      <c r="AW1450" s="15"/>
      <c r="AX1450" s="15"/>
      <c r="AY1450" s="15"/>
      <c r="AZ1450" s="18"/>
      <c r="BA1450" s="19">
        <v>0.025000000000000001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ht="14.25">
      <c r="AR1451" s="15" t="s">
        <v>334</v>
      </c>
      <c r="AS1451" s="15" t="s">
        <v>574</v>
      </c>
      <c r="AT1451" s="15" t="s">
        <v>1088</v>
      </c>
      <c r="AU1451" s="15"/>
      <c r="AV1451" s="15"/>
      <c r="AW1451" s="15"/>
      <c r="AX1451" s="15"/>
      <c r="AY1451" s="15"/>
      <c r="AZ1451" s="18"/>
      <c r="BA1451" s="19">
        <v>0.025000000000000001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ht="14.25">
      <c r="AR1452" s="15" t="s">
        <v>334</v>
      </c>
      <c r="AS1452" s="15" t="s">
        <v>574</v>
      </c>
      <c r="AT1452" s="15" t="s">
        <v>1089</v>
      </c>
      <c r="AU1452" s="15"/>
      <c r="AV1452" s="15"/>
      <c r="AW1452" s="15"/>
      <c r="AX1452" s="15"/>
      <c r="AY1452" s="15"/>
      <c r="AZ1452" s="18"/>
      <c r="BA1452" s="19">
        <v>0.025000000000000001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ht="14.25">
      <c r="AR1453" s="15" t="s">
        <v>334</v>
      </c>
      <c r="AS1453" s="15" t="s">
        <v>574</v>
      </c>
      <c r="AT1453" s="15" t="s">
        <v>1090</v>
      </c>
      <c r="AU1453" s="15"/>
      <c r="AV1453" s="15"/>
      <c r="AW1453" s="15"/>
      <c r="AX1453" s="15"/>
      <c r="AY1453" s="15"/>
      <c r="AZ1453" s="18"/>
      <c r="BA1453" s="19">
        <v>0.025000000000000001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ht="14.25">
      <c r="AR1454" s="15" t="s">
        <v>334</v>
      </c>
      <c r="AS1454" s="15" t="s">
        <v>574</v>
      </c>
      <c r="AT1454" s="15" t="s">
        <v>1091</v>
      </c>
      <c r="AU1454" s="15"/>
      <c r="AV1454" s="15"/>
      <c r="AW1454" s="15"/>
      <c r="AX1454" s="15"/>
      <c r="AY1454" s="15"/>
      <c r="AZ1454" s="18"/>
      <c r="BA1454" s="19">
        <v>0.025000000000000001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ht="14.25">
      <c r="AR1455" s="15" t="s">
        <v>334</v>
      </c>
      <c r="AS1455" s="15" t="s">
        <v>574</v>
      </c>
      <c r="AT1455" s="15" t="s">
        <v>1092</v>
      </c>
      <c r="AU1455" s="15"/>
      <c r="AV1455" s="15"/>
      <c r="AW1455" s="15"/>
      <c r="AX1455" s="15"/>
      <c r="AY1455" s="15"/>
      <c r="AZ1455" s="18"/>
      <c r="BA1455" s="19">
        <v>0.025000000000000001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ht="14.25">
      <c r="AR1456" s="15" t="s">
        <v>334</v>
      </c>
      <c r="AS1456" s="15" t="s">
        <v>574</v>
      </c>
      <c r="AT1456" s="15" t="s">
        <v>1093</v>
      </c>
      <c r="AU1456" s="15"/>
      <c r="AV1456" s="15"/>
      <c r="AW1456" s="15"/>
      <c r="AX1456" s="15"/>
      <c r="AY1456" s="15"/>
      <c r="AZ1456" s="18"/>
      <c r="BA1456" s="19">
        <v>0.025000000000000001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ht="14.25">
      <c r="AR1457" s="15" t="s">
        <v>334</v>
      </c>
      <c r="AS1457" s="15" t="s">
        <v>574</v>
      </c>
      <c r="AT1457" s="15" t="s">
        <v>1094</v>
      </c>
      <c r="AU1457" s="15"/>
      <c r="AV1457" s="15"/>
      <c r="AW1457" s="15"/>
      <c r="AX1457" s="15"/>
      <c r="AY1457" s="15"/>
      <c r="AZ1457" s="18"/>
      <c r="BA1457" s="19">
        <v>0.025000000000000001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ht="14.25">
      <c r="AR1458" s="15" t="s">
        <v>334</v>
      </c>
      <c r="AS1458" s="15" t="s">
        <v>574</v>
      </c>
      <c r="AT1458" s="15" t="s">
        <v>1095</v>
      </c>
      <c r="AU1458" s="15"/>
      <c r="AV1458" s="15"/>
      <c r="AW1458" s="15"/>
      <c r="AX1458" s="15"/>
      <c r="AY1458" s="15"/>
      <c r="AZ1458" s="18"/>
      <c r="BA1458" s="19">
        <v>0.025000000000000001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ht="14.25">
      <c r="AR1459" s="15" t="s">
        <v>334</v>
      </c>
      <c r="AS1459" s="15" t="s">
        <v>574</v>
      </c>
      <c r="AT1459" s="15" t="s">
        <v>1096</v>
      </c>
      <c r="AU1459" s="15"/>
      <c r="AV1459" s="15"/>
      <c r="AW1459" s="15"/>
      <c r="AX1459" s="15"/>
      <c r="AY1459" s="15"/>
      <c r="AZ1459" s="18"/>
      <c r="BA1459" s="19">
        <v>0.025000000000000001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ht="14.25">
      <c r="AR1460" s="15" t="s">
        <v>334</v>
      </c>
      <c r="AS1460" s="15" t="s">
        <v>574</v>
      </c>
      <c r="AT1460" s="15" t="s">
        <v>1097</v>
      </c>
      <c r="AU1460" s="15"/>
      <c r="AV1460" s="15"/>
      <c r="AW1460" s="15"/>
      <c r="AX1460" s="15"/>
      <c r="AY1460" s="15"/>
      <c r="AZ1460" s="18"/>
      <c r="BA1460" s="19">
        <v>0.025000000000000001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ht="14.25">
      <c r="AR1461" s="15" t="s">
        <v>334</v>
      </c>
      <c r="AS1461" s="15" t="s">
        <v>574</v>
      </c>
      <c r="AT1461" s="15" t="s">
        <v>1098</v>
      </c>
      <c r="AU1461" s="15"/>
      <c r="AV1461" s="15"/>
      <c r="AW1461" s="15"/>
      <c r="AX1461" s="15"/>
      <c r="AY1461" s="15"/>
      <c r="AZ1461" s="18"/>
      <c r="BA1461" s="19">
        <v>0.025000000000000001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ht="14.25">
      <c r="AR1462" s="15" t="s">
        <v>334</v>
      </c>
      <c r="AS1462" s="15" t="s">
        <v>574</v>
      </c>
      <c r="AT1462" s="15" t="s">
        <v>1099</v>
      </c>
      <c r="AU1462" s="15"/>
      <c r="AV1462" s="15"/>
      <c r="AW1462" s="15"/>
      <c r="AX1462" s="15"/>
      <c r="AY1462" s="15"/>
      <c r="AZ1462" s="18"/>
      <c r="BA1462" s="19">
        <v>0.025000000000000001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ht="14.25">
      <c r="AR1463" s="15" t="s">
        <v>334</v>
      </c>
      <c r="AS1463" s="15" t="s">
        <v>574</v>
      </c>
      <c r="AT1463" s="15" t="s">
        <v>1100</v>
      </c>
      <c r="AU1463" s="15"/>
      <c r="AV1463" s="15"/>
      <c r="AW1463" s="15"/>
      <c r="AX1463" s="15"/>
      <c r="AY1463" s="15"/>
      <c r="AZ1463" s="18"/>
      <c r="BA1463" s="19">
        <v>0.025000000000000001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ht="14.25">
      <c r="AR1464" s="15" t="s">
        <v>334</v>
      </c>
      <c r="AS1464" s="15" t="s">
        <v>574</v>
      </c>
      <c r="AT1464" s="15" t="s">
        <v>1101</v>
      </c>
      <c r="AU1464" s="15"/>
      <c r="AV1464" s="15"/>
      <c r="AW1464" s="15"/>
      <c r="AX1464" s="15"/>
      <c r="AY1464" s="15"/>
      <c r="AZ1464" s="18"/>
      <c r="BA1464" s="19">
        <v>0.025000000000000001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ht="14.25">
      <c r="AR1465" s="15" t="s">
        <v>334</v>
      </c>
      <c r="AS1465" s="15" t="s">
        <v>574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0.025000000000000001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ht="14.25">
      <c r="AR1466" s="15" t="s">
        <v>334</v>
      </c>
      <c r="AS1466" s="15" t="s">
        <v>574</v>
      </c>
      <c r="AT1466" s="15" t="s">
        <v>1102</v>
      </c>
      <c r="AU1466" s="15"/>
      <c r="AV1466" s="15"/>
      <c r="AW1466" s="15"/>
      <c r="AX1466" s="15"/>
      <c r="AY1466" s="15"/>
      <c r="AZ1466" s="18"/>
      <c r="BA1466" s="19">
        <v>0.025000000000000001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ht="14.25">
      <c r="AR1467" s="15" t="s">
        <v>334</v>
      </c>
      <c r="AS1467" s="15" t="s">
        <v>574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0.025000000000000001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ht="14.25">
      <c r="AR1468" s="15" t="s">
        <v>334</v>
      </c>
      <c r="AS1468" s="15" t="s">
        <v>574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0.025000000000000001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ht="14.25">
      <c r="AR1469" s="15" t="s">
        <v>334</v>
      </c>
      <c r="AS1469" s="15" t="s">
        <v>574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0.025000000000000001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ht="14.25">
      <c r="AR1470" s="15" t="s">
        <v>334</v>
      </c>
      <c r="AS1470" s="15" t="s">
        <v>574</v>
      </c>
      <c r="AT1470" s="15" t="s">
        <v>1103</v>
      </c>
      <c r="AU1470" s="15"/>
      <c r="AV1470" s="15"/>
      <c r="AW1470" s="15"/>
      <c r="AX1470" s="15"/>
      <c r="AY1470" s="15"/>
      <c r="AZ1470" s="18"/>
      <c r="BA1470" s="19">
        <v>0.025000000000000001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ht="14.25">
      <c r="AR1471" s="15" t="s">
        <v>334</v>
      </c>
      <c r="AS1471" s="15" t="s">
        <v>574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0.025000000000000001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ht="14.25">
      <c r="AR1472" s="15" t="s">
        <v>334</v>
      </c>
      <c r="AS1472" s="15" t="s">
        <v>574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0.025000000000000001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ht="14.25">
      <c r="AR1473" s="15" t="s">
        <v>334</v>
      </c>
      <c r="AS1473" s="15" t="s">
        <v>574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0.025000000000000001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ht="14.25">
      <c r="AR1474" s="15" t="s">
        <v>334</v>
      </c>
      <c r="AS1474" s="15" t="s">
        <v>574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0.025000000000000001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ht="14.25">
      <c r="AR1475" s="15" t="s">
        <v>334</v>
      </c>
      <c r="AS1475" s="15" t="s">
        <v>574</v>
      </c>
      <c r="AT1475" s="15" t="s">
        <v>1104</v>
      </c>
      <c r="AU1475" s="15"/>
      <c r="AV1475" s="15"/>
      <c r="AW1475" s="15"/>
      <c r="AX1475" s="15"/>
      <c r="AY1475" s="15"/>
      <c r="AZ1475" s="18"/>
      <c r="BA1475" s="19">
        <v>0.025000000000000001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ht="14.25">
      <c r="AR1476" s="15" t="s">
        <v>334</v>
      </c>
      <c r="AS1476" s="15" t="s">
        <v>574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0.025000000000000001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ht="14.25">
      <c r="AR1477" s="15" t="s">
        <v>334</v>
      </c>
      <c r="AS1477" s="15" t="s">
        <v>574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0.025000000000000001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ht="14.25">
      <c r="AR1478" s="15" t="s">
        <v>334</v>
      </c>
      <c r="AS1478" s="15" t="s">
        <v>574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0.025000000000000001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ht="14.25">
      <c r="AR1479" s="15" t="s">
        <v>334</v>
      </c>
      <c r="AS1479" s="15" t="s">
        <v>574</v>
      </c>
      <c r="AT1479" s="15" t="s">
        <v>1105</v>
      </c>
      <c r="AU1479" s="15"/>
      <c r="AV1479" s="15"/>
      <c r="AW1479" s="15"/>
      <c r="AX1479" s="15"/>
      <c r="AY1479" s="15"/>
      <c r="AZ1479" s="18"/>
      <c r="BA1479" s="19">
        <v>0.025000000000000001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ht="14.25">
      <c r="AR1480" s="15" t="s">
        <v>334</v>
      </c>
      <c r="AS1480" s="15" t="s">
        <v>574</v>
      </c>
      <c r="AT1480" s="15" t="s">
        <v>1106</v>
      </c>
      <c r="AU1480" s="15"/>
      <c r="AV1480" s="15"/>
      <c r="AW1480" s="15"/>
      <c r="AX1480" s="15"/>
      <c r="AY1480" s="15"/>
      <c r="AZ1480" s="18"/>
      <c r="BA1480" s="19">
        <v>0.025000000000000001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ht="14.25">
      <c r="AR1481" s="15" t="s">
        <v>334</v>
      </c>
      <c r="AS1481" s="15" t="s">
        <v>574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0.025000000000000001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ht="14.25">
      <c r="AR1482" s="15" t="s">
        <v>334</v>
      </c>
      <c r="AS1482" s="15" t="s">
        <v>574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0.025000000000000001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ht="14.25">
      <c r="AR1483" s="15" t="s">
        <v>334</v>
      </c>
      <c r="AS1483" s="15" t="s">
        <v>330</v>
      </c>
      <c r="AT1483" s="15" t="s">
        <v>1107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ht="14.25">
      <c r="AR1484" s="15" t="s">
        <v>334</v>
      </c>
      <c r="AS1484" s="15" t="s">
        <v>330</v>
      </c>
      <c r="AT1484" s="15" t="s">
        <v>1108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ht="14.25">
      <c r="AR1485" s="15" t="s">
        <v>334</v>
      </c>
      <c r="AS1485" s="15" t="s">
        <v>330</v>
      </c>
      <c r="AT1485" s="15" t="s">
        <v>1109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ht="14.25">
      <c r="AR1486" s="15" t="s">
        <v>334</v>
      </c>
      <c r="AS1486" s="15" t="s">
        <v>330</v>
      </c>
      <c r="AT1486" s="15" t="s">
        <v>1110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ht="14.25">
      <c r="AR1487" s="15" t="s">
        <v>334</v>
      </c>
      <c r="AS1487" s="15" t="s">
        <v>330</v>
      </c>
      <c r="AT1487" s="15" t="s">
        <v>1111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ht="14.25">
      <c r="AR1488" s="15" t="s">
        <v>334</v>
      </c>
      <c r="AS1488" s="15" t="s">
        <v>330</v>
      </c>
      <c r="AT1488" s="15" t="s">
        <v>1112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ht="14.25">
      <c r="AR1489" s="15" t="s">
        <v>334</v>
      </c>
      <c r="AS1489" s="15" t="s">
        <v>330</v>
      </c>
      <c r="AT1489" s="15" t="s">
        <v>1113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tabSelected="1" workbookViewId="0" topLeftCell="A1">
      <selection pane="topLeft" activeCell="F31" sqref="F31"/>
    </sheetView>
  </sheetViews>
  <sheetFormatPr defaultRowHeight="14.25"/>
  <cols>
    <col min="1" max="1" width="2.75" bestFit="1" customWidth="1"/>
    <col min="4" max="4" width="26.5" bestFit="1" customWidth="1"/>
    <col min="5" max="5" width="28.625" bestFit="1" customWidth="1"/>
    <col min="6" max="6" width="7.75" customWidth="1"/>
    <col min="7" max="9" width="5.375" bestFit="1" customWidth="1"/>
    <col min="10" max="10" width="7.75" bestFit="1" customWidth="1"/>
    <col min="11" max="11" width="8.125" bestFit="1" customWidth="1"/>
    <col min="12" max="12" width="10.125" bestFit="1" customWidth="1"/>
    <col min="13" max="13" width="14" customWidth="1"/>
    <col min="14" max="14" width="25.875" bestFit="1" customWidth="1"/>
    <col min="16" max="16" width="11.25" customWidth="1"/>
    <col min="17" max="17" width="4.625" bestFit="1" customWidth="1"/>
    <col min="18" max="18" width="13.75" bestFit="1" customWidth="1"/>
    <col min="19" max="19" width="5.875" bestFit="1" customWidth="1"/>
    <col min="20" max="20" width="13.75" bestFit="1" customWidth="1"/>
    <col min="22" max="22" width="7.625" bestFit="1" customWidth="1"/>
  </cols>
  <sheetData>
    <row r="1" spans="1:5" ht="14.65" thickBot="1">
      <c r="A1" s="3" t="str">
        <f>Veda!$E$5</f>
        <v>kea</v>
      </c>
      <c r="C1" t="s">
        <v>247</v>
      </c>
      <c r="E1" s="21" t="s">
        <v>1116</v>
      </c>
    </row>
    <row r="2" spans="16:16" ht="14.65" thickTop="1">
      <c r="P2" t="s">
        <v>1151</v>
      </c>
    </row>
    <row r="3" spans="16:22" ht="14.25">
      <c r="P3" t="s">
        <v>1152</v>
      </c>
      <c r="V3" t="s">
        <v>1153</v>
      </c>
    </row>
    <row r="4" spans="6:22" ht="14.25">
      <c r="F4" t="s">
        <v>1158</v>
      </c>
      <c r="Q4" t="s">
        <v>1154</v>
      </c>
      <c r="S4" t="s">
        <v>1155</v>
      </c>
      <c r="V4">
        <v>240000</v>
      </c>
    </row>
    <row r="5" spans="4:20" ht="14.25">
      <c r="D5" t="s">
        <v>19</v>
      </c>
      <c r="E5" t="s">
        <v>1126</v>
      </c>
      <c r="F5" t="s">
        <v>1118</v>
      </c>
      <c r="G5">
        <f>IF(A1=C1,2020,2025)</f>
        <v>2020</v>
      </c>
      <c r="H5">
        <f>G5+5</f>
        <v>2025</v>
      </c>
      <c r="I5">
        <f>H5+5</f>
        <v>2030</v>
      </c>
      <c r="J5">
        <f>I5+5</f>
        <v>2035</v>
      </c>
      <c r="K5" t="s">
        <v>1127</v>
      </c>
      <c r="L5" t="s">
        <v>1128</v>
      </c>
      <c r="M5" t="s">
        <v>1122</v>
      </c>
      <c r="Q5" t="s">
        <v>1156</v>
      </c>
      <c r="R5" t="s">
        <v>1157</v>
      </c>
      <c r="S5" t="s">
        <v>1156</v>
      </c>
      <c r="T5" t="s">
        <v>1157</v>
      </c>
    </row>
    <row r="6" spans="4:20" ht="14.25">
      <c r="D6" t="s">
        <v>1129</v>
      </c>
      <c r="E6" t="s">
        <v>1130</v>
      </c>
      <c r="F6" t="s">
        <v>570</v>
      </c>
      <c r="G6">
        <f>+G7-1</f>
        <v>-0.96999999999999997</v>
      </c>
      <c r="H6">
        <f t="shared" si="0" ref="H6:J6">+H7-1</f>
        <v>-0.89000000000000001</v>
      </c>
      <c r="I6">
        <f t="shared" si="0"/>
        <v>-0.58000000000000007</v>
      </c>
      <c r="J6">
        <f t="shared" si="0"/>
        <v>-9.9999999999544897E-06</v>
      </c>
      <c r="K6">
        <v>0</v>
      </c>
      <c r="L6">
        <v>5</v>
      </c>
      <c r="M6" t="s">
        <v>1131</v>
      </c>
      <c r="P6">
        <v>2020</v>
      </c>
      <c r="Q6" s="7">
        <f>+$U$6*R6</f>
        <v>0</v>
      </c>
      <c r="R6" s="7">
        <v>0.03</v>
      </c>
      <c r="S6" s="7">
        <f>+$U$6*T6</f>
        <v>0</v>
      </c>
      <c r="T6" s="7">
        <v>0.01</v>
      </c>
    </row>
    <row r="7" spans="5:20" ht="14.25">
      <c r="E7" t="s">
        <v>1137</v>
      </c>
      <c r="G7">
        <f>+R7</f>
        <v>0.029999999999999999</v>
      </c>
      <c r="H7">
        <f>+R8</f>
        <v>0.11</v>
      </c>
      <c r="I7">
        <f>+R9</f>
        <v>0.41999999999999998</v>
      </c>
      <c r="J7">
        <f>+R10</f>
        <v>0.99999000000000005</v>
      </c>
      <c r="P7">
        <v>2025</v>
      </c>
      <c r="Q7" s="7">
        <f>+$U$6*R7</f>
        <v>0</v>
      </c>
      <c r="R7" s="7">
        <v>0.03</v>
      </c>
      <c r="S7" s="7">
        <f>+$U$6*T7</f>
        <v>0</v>
      </c>
      <c r="T7" s="7">
        <v>0.01</v>
      </c>
    </row>
    <row r="8" spans="16:20" ht="14.25">
      <c r="P8">
        <v>2030</v>
      </c>
      <c r="Q8" s="7">
        <f>+$U$6*R8</f>
        <v>0</v>
      </c>
      <c r="R8" s="7">
        <v>0.11</v>
      </c>
      <c r="S8" s="7">
        <f>+$U$6*T8</f>
        <v>0</v>
      </c>
      <c r="T8" s="7">
        <v>0.02</v>
      </c>
    </row>
    <row r="9" spans="16:20" ht="14.25">
      <c r="P9">
        <v>2035</v>
      </c>
      <c r="Q9" s="7">
        <f>+$U$6*R9</f>
        <v>0</v>
      </c>
      <c r="R9" s="7">
        <v>0.42</v>
      </c>
      <c r="S9" s="7">
        <f>+$U$6*T9</f>
        <v>0</v>
      </c>
      <c r="T9" s="7">
        <v>0.04</v>
      </c>
    </row>
    <row r="10" spans="6:20" ht="14.25">
      <c r="F10" t="s">
        <v>1158</v>
      </c>
      <c r="P10">
        <v>2040</v>
      </c>
      <c r="Q10" s="7">
        <f>+$U$6*R10</f>
        <v>0</v>
      </c>
      <c r="R10" s="7">
        <v>0.99999000000000005</v>
      </c>
      <c r="S10" s="7">
        <f>+$U$6*T10</f>
        <v>0</v>
      </c>
      <c r="T10" s="7">
        <v>0.070000000000000007</v>
      </c>
    </row>
    <row r="11" spans="4:20" ht="14.25">
      <c r="D11" t="s">
        <v>19</v>
      </c>
      <c r="E11" t="s">
        <v>1126</v>
      </c>
      <c r="F11" t="s">
        <v>1118</v>
      </c>
      <c r="G11">
        <f>$G$5</f>
        <v>2020</v>
      </c>
      <c r="H11">
        <f>G11+5</f>
        <v>2025</v>
      </c>
      <c r="I11">
        <f>H11+5</f>
        <v>2030</v>
      </c>
      <c r="J11">
        <f>I11+20</f>
        <v>2050</v>
      </c>
      <c r="K11" t="s">
        <v>1127</v>
      </c>
      <c r="L11" t="s">
        <v>1128</v>
      </c>
      <c r="M11" t="s">
        <v>1122</v>
      </c>
      <c r="P11">
        <v>2045</v>
      </c>
      <c r="Q11" s="7">
        <f>+$U$6*R11</f>
        <v>0</v>
      </c>
      <c r="R11" s="7">
        <v>1</v>
      </c>
      <c r="S11" s="7">
        <f>+$U$6*T11</f>
        <v>0</v>
      </c>
      <c r="T11" s="7">
        <v>0.11</v>
      </c>
    </row>
    <row r="12" spans="4:20" ht="14.25">
      <c r="D12" t="s">
        <v>1140</v>
      </c>
      <c r="E12" t="s">
        <v>1141</v>
      </c>
      <c r="F12" t="s">
        <v>570</v>
      </c>
      <c r="G12">
        <f>+G13-1</f>
        <v>-0.98999999999999999</v>
      </c>
      <c r="H12">
        <f t="shared" si="1" ref="H12:J12">+H13-1</f>
        <v>-0.97999999999999998</v>
      </c>
      <c r="I12">
        <f t="shared" si="1"/>
        <v>-0.95999999999999996</v>
      </c>
      <c r="J12">
        <f t="shared" si="1"/>
        <v>-0.82999999999999996</v>
      </c>
      <c r="K12">
        <v>0</v>
      </c>
      <c r="L12">
        <v>5</v>
      </c>
      <c r="M12" t="s">
        <v>1142</v>
      </c>
      <c r="P12">
        <v>2050</v>
      </c>
      <c r="Q12" s="7">
        <f>+$U$6*R12</f>
        <v>0</v>
      </c>
      <c r="R12" s="7">
        <v>1</v>
      </c>
      <c r="S12" s="7">
        <f>+$U$6*T12</f>
        <v>0</v>
      </c>
      <c r="T12" s="7">
        <v>0.15</v>
      </c>
    </row>
    <row r="13" spans="5:20" ht="14.25">
      <c r="E13" t="s">
        <v>1148</v>
      </c>
      <c r="G13">
        <f>+T7</f>
        <v>0.01</v>
      </c>
      <c r="H13">
        <f>+T8</f>
        <v>0.02</v>
      </c>
      <c r="I13">
        <f>+T9</f>
        <v>0.040000000000000001</v>
      </c>
      <c r="J13">
        <f>+T13</f>
        <v>0.17000000000000001</v>
      </c>
      <c r="P13">
        <v>2055</v>
      </c>
      <c r="Q13" s="7">
        <f>+$U$6*R13</f>
        <v>0</v>
      </c>
      <c r="R13" s="7">
        <v>1</v>
      </c>
      <c r="S13" s="7">
        <f>+$U$6*T13</f>
        <v>0</v>
      </c>
      <c r="T13" s="7">
        <v>0.17</v>
      </c>
    </row>
    <row r="16" spans="6:6" ht="14.25">
      <c r="F16" t="s">
        <v>1158</v>
      </c>
    </row>
    <row r="17" spans="4:13" ht="14.25">
      <c r="D17" t="s">
        <v>19</v>
      </c>
      <c r="E17" t="s">
        <v>1126</v>
      </c>
      <c r="F17" t="s">
        <v>1118</v>
      </c>
      <c r="G17">
        <f>$G$5</f>
        <v>2020</v>
      </c>
      <c r="H17">
        <f t="shared" si="2" ref="H17:J17">G17+5</f>
        <v>2025</v>
      </c>
      <c r="I17">
        <f t="shared" si="2"/>
        <v>2030</v>
      </c>
      <c r="J17">
        <f t="shared" si="2"/>
        <v>2035</v>
      </c>
      <c r="K17" t="s">
        <v>1127</v>
      </c>
      <c r="L17" t="s">
        <v>1128</v>
      </c>
      <c r="M17" t="s">
        <v>1122</v>
      </c>
    </row>
    <row r="18" spans="4:13" ht="14.25">
      <c r="D18" t="s">
        <v>1132</v>
      </c>
      <c r="E18" t="s">
        <v>1133</v>
      </c>
      <c r="F18" t="s">
        <v>570</v>
      </c>
      <c r="G18">
        <v>-0.97</v>
      </c>
      <c r="H18">
        <v>-0.89</v>
      </c>
      <c r="I18">
        <v>-0.58000000000000007</v>
      </c>
      <c r="J18">
        <v>-9.9999999999544897E-06</v>
      </c>
      <c r="K18">
        <v>0</v>
      </c>
      <c r="L18">
        <v>5</v>
      </c>
      <c r="M18" t="s">
        <v>1134</v>
      </c>
    </row>
    <row r="19" spans="5:10" ht="14.25">
      <c r="E19" t="s">
        <v>1138</v>
      </c>
      <c r="G19">
        <v>0.03</v>
      </c>
      <c r="H19">
        <v>0.11</v>
      </c>
      <c r="I19">
        <v>0.42</v>
      </c>
      <c r="J19">
        <v>0.99999000000000005</v>
      </c>
    </row>
    <row r="22" spans="6:6" ht="14.25">
      <c r="F22" t="s">
        <v>1158</v>
      </c>
    </row>
    <row r="23" spans="4:13" ht="14.25">
      <c r="D23" t="s">
        <v>19</v>
      </c>
      <c r="E23" t="s">
        <v>1126</v>
      </c>
      <c r="F23" t="s">
        <v>1118</v>
      </c>
      <c r="G23">
        <f>$G$5</f>
        <v>2020</v>
      </c>
      <c r="H23">
        <f t="shared" si="3" ref="H23:I23">G23+5</f>
        <v>2025</v>
      </c>
      <c r="I23">
        <f t="shared" si="3"/>
        <v>2030</v>
      </c>
      <c r="J23">
        <f>I23+20</f>
        <v>2050</v>
      </c>
      <c r="K23" t="s">
        <v>1127</v>
      </c>
      <c r="L23" t="s">
        <v>1128</v>
      </c>
      <c r="M23" t="s">
        <v>1122</v>
      </c>
    </row>
    <row r="24" spans="4:13" ht="14.25">
      <c r="D24" t="s">
        <v>1143</v>
      </c>
      <c r="E24" t="s">
        <v>1144</v>
      </c>
      <c r="F24" t="s">
        <v>570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1145</v>
      </c>
    </row>
    <row r="25" spans="5:10" ht="14.25">
      <c r="E25" t="s">
        <v>1149</v>
      </c>
      <c r="G25">
        <v>0.01</v>
      </c>
      <c r="H25">
        <v>0.02</v>
      </c>
      <c r="I25">
        <v>0.04</v>
      </c>
      <c r="J25">
        <v>0.17</v>
      </c>
    </row>
    <row r="28" spans="6:6" ht="14.25">
      <c r="F28" t="s">
        <v>1158</v>
      </c>
    </row>
    <row r="29" spans="4:14" ht="14.25">
      <c r="D29" t="s">
        <v>19</v>
      </c>
      <c r="E29" t="s">
        <v>1126</v>
      </c>
      <c r="F29" t="s">
        <v>1118</v>
      </c>
      <c r="G29">
        <f>$G$5</f>
        <v>2020</v>
      </c>
      <c r="H29">
        <f t="shared" si="4" ref="H29:K29">G29+5</f>
        <v>2025</v>
      </c>
      <c r="I29">
        <f t="shared" si="4"/>
        <v>2030</v>
      </c>
      <c r="J29">
        <f t="shared" si="4"/>
        <v>2035</v>
      </c>
      <c r="K29">
        <f t="shared" si="4"/>
        <v>2040</v>
      </c>
      <c r="L29" t="s">
        <v>1127</v>
      </c>
      <c r="M29" t="s">
        <v>1128</v>
      </c>
      <c r="N29" t="s">
        <v>1122</v>
      </c>
    </row>
    <row r="30" spans="4:14" ht="14.25">
      <c r="D30" t="s">
        <v>1135</v>
      </c>
      <c r="E30" t="s">
        <v>1136</v>
      </c>
      <c r="F30" t="s">
        <v>570</v>
      </c>
      <c r="G30">
        <v>-1</v>
      </c>
      <c r="H30">
        <v>-0.75</v>
      </c>
      <c r="I30">
        <v>-0.30</v>
      </c>
      <c r="J30">
        <v>0</v>
      </c>
      <c r="K30">
        <v>-9.9999999999544897E-06</v>
      </c>
      <c r="L30">
        <v>0</v>
      </c>
      <c r="M30">
        <v>5</v>
      </c>
      <c r="N30" t="s">
        <v>1159</v>
      </c>
    </row>
    <row r="31" spans="5:11" ht="14.25">
      <c r="E31" t="s">
        <v>1139</v>
      </c>
      <c r="G31">
        <v>0</v>
      </c>
      <c r="H31">
        <v>0.25</v>
      </c>
      <c r="I31">
        <v>0.70</v>
      </c>
      <c r="J31">
        <v>1</v>
      </c>
      <c r="K31">
        <v>0.99999000000000005</v>
      </c>
    </row>
    <row r="34" spans="6:6" ht="14.25">
      <c r="F34" t="s">
        <v>1158</v>
      </c>
    </row>
    <row r="35" spans="4:14" ht="14.25">
      <c r="D35" t="s">
        <v>19</v>
      </c>
      <c r="E35" t="s">
        <v>1126</v>
      </c>
      <c r="F35" t="s">
        <v>1118</v>
      </c>
      <c r="G35">
        <f>$G$5</f>
        <v>2020</v>
      </c>
      <c r="H35">
        <f t="shared" si="5" ref="H35:K35">G35+5</f>
        <v>2025</v>
      </c>
      <c r="I35">
        <f t="shared" si="5"/>
        <v>2030</v>
      </c>
      <c r="J35">
        <f t="shared" si="5"/>
        <v>2035</v>
      </c>
      <c r="K35">
        <f t="shared" si="5"/>
        <v>2040</v>
      </c>
      <c r="L35" t="s">
        <v>1127</v>
      </c>
      <c r="M35" t="s">
        <v>1128</v>
      </c>
      <c r="N35" t="s">
        <v>1122</v>
      </c>
    </row>
    <row r="36" spans="4:14" ht="14.25">
      <c r="D36" t="s">
        <v>1146</v>
      </c>
      <c r="E36" t="s">
        <v>1147</v>
      </c>
      <c r="F36" t="s">
        <v>570</v>
      </c>
      <c r="G36">
        <v>-0.97</v>
      </c>
      <c r="H36">
        <v>-0.89</v>
      </c>
      <c r="I36">
        <v>-0.58000000000000007</v>
      </c>
      <c r="J36">
        <v>-9.9999999999544897E-06</v>
      </c>
      <c r="K36">
        <v>-9.9999999999544897E-06</v>
      </c>
      <c r="L36">
        <v>0</v>
      </c>
      <c r="M36">
        <v>5</v>
      </c>
      <c r="N36" t="s">
        <v>1160</v>
      </c>
    </row>
    <row r="37" spans="5:11" ht="14.25">
      <c r="E37" t="s">
        <v>1150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workbookViewId="0" topLeftCell="A1">
      <selection pane="topLeft" activeCell="G6" sqref="G6"/>
    </sheetView>
  </sheetViews>
  <sheetFormatPr defaultRowHeight="14.25"/>
  <cols>
    <col min="2" max="2" width="21.25" bestFit="1" customWidth="1"/>
    <col min="4" max="4" width="13.625" bestFit="1" customWidth="1"/>
    <col min="5" max="5" width="9.625" bestFit="1" customWidth="1"/>
    <col min="6" max="6" width="4.75" bestFit="1" customWidth="1"/>
    <col min="7" max="7" width="7.25" bestFit="1" customWidth="1"/>
    <col min="8" max="8" width="10.875" bestFit="1" customWidth="1"/>
    <col min="9" max="9" width="9.125" bestFit="1" customWidth="1"/>
    <col min="10" max="10" width="11.125" bestFit="1" customWidth="1"/>
    <col min="11" max="11" width="17.625" bestFit="1" customWidth="1"/>
  </cols>
  <sheetData>
    <row r="1" spans="1:2" ht="14.65" thickBot="1">
      <c r="A1" s="3" t="str">
        <f>Veda!$E$5</f>
        <v>kea</v>
      </c>
      <c r="B1" t="s">
        <v>247</v>
      </c>
    </row>
    <row r="2" ht="14.65" thickTop="1"/>
    <row r="3" spans="2:2" ht="14.25">
      <c r="B3" t="s">
        <v>1116</v>
      </c>
    </row>
    <row r="4" spans="2:2" ht="14.25">
      <c r="B4" t="s">
        <v>1117</v>
      </c>
    </row>
    <row r="6" spans="7:7" ht="14.25">
      <c r="G6" t="str">
        <f>IF(A1=B1,"~UC_T","No CO2 budget")</f>
        <v>~UC_T</v>
      </c>
    </row>
    <row r="7" spans="4:11" ht="14.25">
      <c r="D7" t="s">
        <v>19</v>
      </c>
      <c r="E7" t="s">
        <v>8</v>
      </c>
      <c r="F7" t="s">
        <v>16</v>
      </c>
      <c r="G7" t="s">
        <v>1118</v>
      </c>
      <c r="H7" t="s">
        <v>1119</v>
      </c>
      <c r="I7" t="s">
        <v>1120</v>
      </c>
      <c r="J7" t="s">
        <v>1121</v>
      </c>
      <c r="K7" t="s">
        <v>1122</v>
      </c>
    </row>
    <row r="8" spans="4:11" ht="14.25">
      <c r="D8" t="s">
        <v>1123</v>
      </c>
      <c r="E8" t="s">
        <v>1124</v>
      </c>
      <c r="F8">
        <v>2025</v>
      </c>
      <c r="G8" t="s">
        <v>326</v>
      </c>
      <c r="H8">
        <v>1</v>
      </c>
      <c r="I8" s="20">
        <v>29443.60</v>
      </c>
      <c r="J8">
        <v>5</v>
      </c>
      <c r="K8" t="s">
        <v>1125</v>
      </c>
    </row>
    <row r="9" spans="5:9" ht="14.25">
      <c r="E9" t="s">
        <v>1124</v>
      </c>
      <c r="F9">
        <v>2030</v>
      </c>
      <c r="G9" t="s">
        <v>326</v>
      </c>
      <c r="H9">
        <v>1</v>
      </c>
      <c r="I9" s="20">
        <v>24951.46</v>
      </c>
    </row>
    <row r="10" spans="5:9" ht="14.25">
      <c r="E10" t="s">
        <v>1124</v>
      </c>
      <c r="F10">
        <v>2035</v>
      </c>
      <c r="G10" t="s">
        <v>326</v>
      </c>
      <c r="H10">
        <v>1</v>
      </c>
      <c r="I10" s="20">
        <v>18884.91</v>
      </c>
    </row>
    <row r="11" spans="5:9" ht="14.25">
      <c r="E11" t="s">
        <v>1124</v>
      </c>
      <c r="F11">
        <v>2040</v>
      </c>
      <c r="G11" t="s">
        <v>326</v>
      </c>
      <c r="H11">
        <v>1</v>
      </c>
      <c r="I11" s="20">
        <v>12911.14</v>
      </c>
    </row>
    <row r="12" spans="5:9" ht="14.25">
      <c r="E12" t="s">
        <v>1124</v>
      </c>
      <c r="F12">
        <v>2045</v>
      </c>
      <c r="G12" t="s">
        <v>326</v>
      </c>
      <c r="H12">
        <v>1</v>
      </c>
      <c r="I12" s="20">
        <v>8366.5869999999995</v>
      </c>
    </row>
    <row r="13" spans="5:9" ht="14.25">
      <c r="E13" t="s">
        <v>1124</v>
      </c>
      <c r="F13">
        <v>2050</v>
      </c>
      <c r="G13" t="s">
        <v>326</v>
      </c>
      <c r="H13">
        <v>1</v>
      </c>
      <c r="I13" s="20">
        <v>5276.3459999999995</v>
      </c>
    </row>
    <row r="14" spans="9:9" ht="14.25">
      <c r="I14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 topLeftCell="A1"/>
  </sheetViews>
  <sheetFormatPr defaultRowHeight="14.25"/>
  <cols>
    <col min="3" max="3" width="18.125" customWidth="1"/>
    <col min="8" max="8" width="20.125" customWidth="1"/>
  </cols>
  <sheetData>
    <row r="10" spans="1:13" ht="14.2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2:13" ht="14.2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2:13" ht="14.2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9:11" ht="14.25">
      <c r="I17" s="8">
        <v>0.75</v>
      </c>
      <c r="K17" s="2" t="s">
        <v>17</v>
      </c>
    </row>
    <row r="18" spans="3:3" ht="17.65" thickBot="1">
      <c r="C18" s="9" t="s">
        <v>18</v>
      </c>
    </row>
    <row r="19" ht="14.65" thickTop="1"/>
    <row r="21" spans="8:8" ht="17.65" thickBot="1">
      <c r="H21" s="9" t="str">
        <f>IF(H23=H24,"Not Required!","~UC_T: LO")</f>
        <v>~UC_T: LO</v>
      </c>
    </row>
    <row r="22" spans="3:11" ht="15" thickTop="1" thickBot="1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ht="14.2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4:13" ht="14.2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 topLeftCell="A1"/>
  </sheetViews>
  <sheetFormatPr defaultRowHeight="14.25"/>
  <sheetData>
    <row r="9" spans="3:37" ht="14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ht="14.2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0.0042037486550773077</v>
      </c>
      <c r="L11" t="s">
        <v>88</v>
      </c>
      <c r="N11" t="s">
        <v>115</v>
      </c>
      <c r="O11" t="s">
        <v>87</v>
      </c>
      <c r="P11">
        <v>0.040922778171950634</v>
      </c>
      <c r="Q11" t="s">
        <v>88</v>
      </c>
      <c r="S11" t="s">
        <v>130</v>
      </c>
      <c r="T11" t="s">
        <v>87</v>
      </c>
      <c r="U11">
        <v>0.053342882258498821</v>
      </c>
      <c r="V11" t="s">
        <v>88</v>
      </c>
      <c r="X11">
        <v>0.04714611872146119</v>
      </c>
      <c r="Y11">
        <v>0.01861886648600718</v>
      </c>
      <c r="Z11" t="s">
        <v>87</v>
      </c>
      <c r="AA11" t="s">
        <v>244</v>
      </c>
      <c r="AC11" t="s">
        <v>245</v>
      </c>
      <c r="AD11" t="s">
        <v>87</v>
      </c>
      <c r="AE11">
        <v>0.051269050374917899</v>
      </c>
      <c r="AG11" t="s">
        <v>29</v>
      </c>
      <c r="AH11" t="s">
        <v>87</v>
      </c>
      <c r="AI11">
        <v>0.05452725543812087</v>
      </c>
      <c r="AK11">
        <v>2020</v>
      </c>
      <c r="AL11" t="s">
        <v>76</v>
      </c>
      <c r="AM11">
        <v>0.4878446094789417</v>
      </c>
      <c r="AN11" t="s">
        <v>172</v>
      </c>
    </row>
    <row r="12" spans="3:40" ht="14.2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0.073425396679711902</v>
      </c>
      <c r="Q12" t="s">
        <v>88</v>
      </c>
      <c r="S12" t="s">
        <v>130</v>
      </c>
      <c r="T12" t="s">
        <v>89</v>
      </c>
      <c r="U12">
        <v>0.09823981665897881</v>
      </c>
      <c r="V12" t="s">
        <v>88</v>
      </c>
      <c r="X12">
        <v>0.080821917808219179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0.066219521980456122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3:40" ht="14.2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0.013078310619717442</v>
      </c>
      <c r="L13" t="s">
        <v>88</v>
      </c>
      <c r="N13" t="s">
        <v>115</v>
      </c>
      <c r="O13" t="s">
        <v>90</v>
      </c>
      <c r="P13">
        <v>0.030778153227287088</v>
      </c>
      <c r="Q13" t="s">
        <v>88</v>
      </c>
      <c r="S13" t="s">
        <v>130</v>
      </c>
      <c r="T13" t="s">
        <v>90</v>
      </c>
      <c r="U13">
        <v>0.040723396661898406</v>
      </c>
      <c r="V13" t="s">
        <v>88</v>
      </c>
      <c r="X13">
        <v>0.033675799086757989</v>
      </c>
      <c r="Y13">
        <v>0.025424922722488794</v>
      </c>
      <c r="Z13" t="s">
        <v>90</v>
      </c>
      <c r="AA13" t="s">
        <v>244</v>
      </c>
      <c r="AC13" t="s">
        <v>245</v>
      </c>
      <c r="AD13" t="s">
        <v>90</v>
      </c>
      <c r="AE13">
        <v>0.035683015976026591</v>
      </c>
      <c r="AG13" t="s">
        <v>29</v>
      </c>
      <c r="AH13" t="s">
        <v>90</v>
      </c>
      <c r="AI13">
        <v>0.074409022887609089</v>
      </c>
      <c r="AK13">
        <v>2020</v>
      </c>
      <c r="AL13" t="s">
        <v>82</v>
      </c>
      <c r="AM13">
        <v>0.50477348197343441</v>
      </c>
      <c r="AN13" t="s">
        <v>172</v>
      </c>
    </row>
    <row r="14" spans="3:40" ht="14.2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0.085836599519152221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0.097488584474885842</v>
      </c>
      <c r="Y14">
        <v>0.038500029004964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9:40" ht="14.2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9:40" ht="14.25">
      <c r="I16" t="s">
        <v>86</v>
      </c>
      <c r="J16" t="s">
        <v>93</v>
      </c>
      <c r="K16">
        <v>0.0013351280726390463</v>
      </c>
      <c r="L16" t="s">
        <v>88</v>
      </c>
      <c r="N16" t="s">
        <v>115</v>
      </c>
      <c r="O16" t="s">
        <v>93</v>
      </c>
      <c r="P16">
        <v>0.06145850412997076</v>
      </c>
      <c r="Q16" t="s">
        <v>88</v>
      </c>
      <c r="S16" t="s">
        <v>130</v>
      </c>
      <c r="T16" t="s">
        <v>93</v>
      </c>
      <c r="U16">
        <v>0.073206054602531892</v>
      </c>
      <c r="V16" t="s">
        <v>88</v>
      </c>
      <c r="X16">
        <v>0.069634703196347028</v>
      </c>
      <c r="Y16">
        <v>0.052573569019383606</v>
      </c>
      <c r="Z16" t="s">
        <v>93</v>
      </c>
      <c r="AA16" t="s">
        <v>244</v>
      </c>
      <c r="AC16" t="s">
        <v>245</v>
      </c>
      <c r="AD16" t="s">
        <v>93</v>
      </c>
      <c r="AE16">
        <v>0.076736712648168795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ht="14.25">
      <c r="I17" t="s">
        <v>86</v>
      </c>
      <c r="J17" t="s">
        <v>94</v>
      </c>
      <c r="K17">
        <v>0.0020006380832013108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0.096729598280484635</v>
      </c>
      <c r="V17" t="s">
        <v>88</v>
      </c>
      <c r="X17">
        <v>0.098287671232876711</v>
      </c>
      <c r="Y17">
        <v>0.038815603013201416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ht="14.2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ht="14.25">
      <c r="I19" t="s">
        <v>86</v>
      </c>
      <c r="J19" t="s">
        <v>96</v>
      </c>
      <c r="K19">
        <v>0.00089412695927761153</v>
      </c>
      <c r="L19" t="s">
        <v>88</v>
      </c>
      <c r="N19" t="s">
        <v>115</v>
      </c>
      <c r="O19" t="s">
        <v>96</v>
      </c>
      <c r="P19">
        <v>0.08331622241541202</v>
      </c>
      <c r="Q19" t="s">
        <v>88</v>
      </c>
      <c r="S19" t="s">
        <v>130</v>
      </c>
      <c r="T19" t="s">
        <v>96</v>
      </c>
      <c r="U19">
        <v>0.067504191777036315</v>
      </c>
      <c r="V19" t="s">
        <v>88</v>
      </c>
      <c r="X19">
        <v>0.070205479452054798</v>
      </c>
      <c r="Y19">
        <v>0.053004499912985108</v>
      </c>
      <c r="Z19" t="s">
        <v>96</v>
      </c>
      <c r="AA19" t="s">
        <v>244</v>
      </c>
      <c r="AC19" t="s">
        <v>245</v>
      </c>
      <c r="AD19" t="s">
        <v>96</v>
      </c>
      <c r="AE19">
        <v>0.082539770616859437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ht="14.25">
      <c r="I20" t="s">
        <v>86</v>
      </c>
      <c r="J20" t="s">
        <v>97</v>
      </c>
      <c r="K20">
        <v>0.0074078848212524922</v>
      </c>
      <c r="L20" t="s">
        <v>88</v>
      </c>
      <c r="N20" t="s">
        <v>115</v>
      </c>
      <c r="O20" t="s">
        <v>97</v>
      </c>
      <c r="P20">
        <v>0.042008123891141565</v>
      </c>
      <c r="Q20" t="s">
        <v>88</v>
      </c>
      <c r="S20" t="s">
        <v>130</v>
      </c>
      <c r="T20" t="s">
        <v>97</v>
      </c>
      <c r="U20">
        <v>0.03336468105807603</v>
      </c>
      <c r="V20" t="s">
        <v>88</v>
      </c>
      <c r="X20">
        <v>0.048744292237442921</v>
      </c>
      <c r="Y20">
        <v>0.019250014502482003</v>
      </c>
      <c r="Z20" t="s">
        <v>97</v>
      </c>
      <c r="AA20" t="s">
        <v>244</v>
      </c>
      <c r="AC20" t="s">
        <v>245</v>
      </c>
      <c r="AD20" t="s">
        <v>97</v>
      </c>
      <c r="AE20">
        <v>0.052561570545679032</v>
      </c>
      <c r="AG20" t="s">
        <v>29</v>
      </c>
      <c r="AH20" t="s">
        <v>97</v>
      </c>
      <c r="AI20">
        <v>0.078199338361619963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ht="14.2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0.083817938056707342</v>
      </c>
      <c r="Q21" t="s">
        <v>88</v>
      </c>
      <c r="S21" t="s">
        <v>130</v>
      </c>
      <c r="T21" t="s">
        <v>98</v>
      </c>
      <c r="U21">
        <v>0.056240401638559027</v>
      </c>
      <c r="V21" t="s">
        <v>88</v>
      </c>
      <c r="X21">
        <v>0.083561643835616442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0.068361801241992912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ht="14.25">
      <c r="I22" t="s">
        <v>86</v>
      </c>
      <c r="J22" t="s">
        <v>99</v>
      </c>
      <c r="K22">
        <v>0.0088775540467846258</v>
      </c>
      <c r="L22" t="s">
        <v>88</v>
      </c>
      <c r="N22" t="s">
        <v>115</v>
      </c>
      <c r="O22" t="s">
        <v>99</v>
      </c>
      <c r="P22">
        <v>0.033086372862809667</v>
      </c>
      <c r="Q22" t="s">
        <v>88</v>
      </c>
      <c r="S22" t="s">
        <v>130</v>
      </c>
      <c r="T22" t="s">
        <v>99</v>
      </c>
      <c r="U22">
        <v>0.023862695114008129</v>
      </c>
      <c r="V22" t="s">
        <v>88</v>
      </c>
      <c r="X22">
        <v>0.034817351598173514</v>
      </c>
      <c r="Y22">
        <v>0.026286784509691803</v>
      </c>
      <c r="Z22" t="s">
        <v>99</v>
      </c>
      <c r="AA22" t="s">
        <v>244</v>
      </c>
      <c r="AC22" t="s">
        <v>245</v>
      </c>
      <c r="AD22" t="s">
        <v>99</v>
      </c>
      <c r="AE22">
        <v>0.036652443895532287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ht="14.25">
      <c r="I23" t="s">
        <v>100</v>
      </c>
      <c r="J23" t="s">
        <v>87</v>
      </c>
      <c r="K23">
        <v>0.011308122088744156</v>
      </c>
      <c r="L23" t="s">
        <v>88</v>
      </c>
      <c r="N23" t="s">
        <v>116</v>
      </c>
      <c r="O23" t="s">
        <v>87</v>
      </c>
      <c r="P23">
        <v>0.037134461224149859</v>
      </c>
      <c r="Q23" t="s">
        <v>88</v>
      </c>
      <c r="S23" t="s">
        <v>131</v>
      </c>
      <c r="T23" t="s">
        <v>87</v>
      </c>
      <c r="U23">
        <v>0.052206153285661083</v>
      </c>
      <c r="V23" t="s">
        <v>88</v>
      </c>
      <c r="AC23" t="s">
        <v>245</v>
      </c>
      <c r="AD23" t="s">
        <v>87</v>
      </c>
      <c r="AE23">
        <v>0.047550272122805215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ht="14.2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0.071483002335481771</v>
      </c>
      <c r="Q24" t="s">
        <v>88</v>
      </c>
      <c r="S24" t="s">
        <v>131</v>
      </c>
      <c r="T24" t="s">
        <v>89</v>
      </c>
      <c r="U24">
        <v>0.090359016273561965</v>
      </c>
      <c r="V24" t="s">
        <v>88</v>
      </c>
      <c r="AC24" t="s">
        <v>245</v>
      </c>
      <c r="AD24" t="s">
        <v>89</v>
      </c>
      <c r="AE24">
        <v>0.080136731610690293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ht="14.25">
      <c r="I25" t="s">
        <v>100</v>
      </c>
      <c r="J25" t="s">
        <v>90</v>
      </c>
      <c r="K25">
        <v>0.0029512368234676047</v>
      </c>
      <c r="L25" t="s">
        <v>88</v>
      </c>
      <c r="N25" t="s">
        <v>116</v>
      </c>
      <c r="O25" t="s">
        <v>90</v>
      </c>
      <c r="P25">
        <v>0.028680979616683127</v>
      </c>
      <c r="Q25" t="s">
        <v>88</v>
      </c>
      <c r="S25" t="s">
        <v>131</v>
      </c>
      <c r="T25" t="s">
        <v>90</v>
      </c>
      <c r="U25">
        <v>0.037253480861582658</v>
      </c>
      <c r="V25" t="s">
        <v>88</v>
      </c>
      <c r="AC25" t="s">
        <v>245</v>
      </c>
      <c r="AD25" t="s">
        <v>90</v>
      </c>
      <c r="AE25">
        <v>0.033904849236109168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ht="14.25">
      <c r="I26" t="s">
        <v>100</v>
      </c>
      <c r="J26" t="s">
        <v>91</v>
      </c>
      <c r="K26">
        <v>0.0019474199826339808</v>
      </c>
      <c r="L26" t="s">
        <v>88</v>
      </c>
      <c r="N26" t="s">
        <v>116</v>
      </c>
      <c r="O26" t="s">
        <v>91</v>
      </c>
      <c r="P26">
        <v>0.081662307088687228</v>
      </c>
      <c r="Q26" t="s">
        <v>88</v>
      </c>
      <c r="S26" t="s">
        <v>131</v>
      </c>
      <c r="T26" t="s">
        <v>91</v>
      </c>
      <c r="U26">
        <v>0.094885371192809848</v>
      </c>
      <c r="V26" t="s">
        <v>88</v>
      </c>
      <c r="AC26" t="s">
        <v>245</v>
      </c>
      <c r="AD26" t="s">
        <v>91</v>
      </c>
      <c r="AE26">
        <v>0.098341437150523681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ht="14.2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ht="14.2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0.058215562853059719</v>
      </c>
      <c r="Q28" t="s">
        <v>88</v>
      </c>
      <c r="S28" t="s">
        <v>131</v>
      </c>
      <c r="T28" t="s">
        <v>93</v>
      </c>
      <c r="U28">
        <v>0.068333220694973246</v>
      </c>
      <c r="V28" t="s">
        <v>88</v>
      </c>
      <c r="AC28" t="s">
        <v>245</v>
      </c>
      <c r="AD28" t="s">
        <v>93</v>
      </c>
      <c r="AE28">
        <v>0.070102730128055041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ht="14.25">
      <c r="I29" t="s">
        <v>100</v>
      </c>
      <c r="J29" t="s">
        <v>94</v>
      </c>
      <c r="K29">
        <v>0.0073032456763559815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0.099194735023698993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ht="14.2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ht="14.2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0.089563654457321951</v>
      </c>
      <c r="Q31" t="s">
        <v>88</v>
      </c>
      <c r="S31" t="s">
        <v>131</v>
      </c>
      <c r="T31" t="s">
        <v>96</v>
      </c>
      <c r="U31">
        <v>0.080075766566654008</v>
      </c>
      <c r="V31" t="s">
        <v>88</v>
      </c>
      <c r="AC31" t="s">
        <v>245</v>
      </c>
      <c r="AD31" t="s">
        <v>96</v>
      </c>
      <c r="AE31">
        <v>0.070757722473281812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ht="14.25">
      <c r="I32" t="s">
        <v>100</v>
      </c>
      <c r="J32" t="s">
        <v>97</v>
      </c>
      <c r="K32">
        <v>0.020455698100443696</v>
      </c>
      <c r="L32" t="s">
        <v>88</v>
      </c>
      <c r="N32" t="s">
        <v>116</v>
      </c>
      <c r="O32" t="s">
        <v>97</v>
      </c>
      <c r="P32">
        <v>0.038940275456274077</v>
      </c>
      <c r="Q32" t="s">
        <v>88</v>
      </c>
      <c r="S32" t="s">
        <v>131</v>
      </c>
      <c r="T32" t="s">
        <v>97</v>
      </c>
      <c r="U32">
        <v>0.035353436442136656</v>
      </c>
      <c r="V32" t="s">
        <v>88</v>
      </c>
      <c r="AC32" t="s">
        <v>245</v>
      </c>
      <c r="AD32" t="s">
        <v>97</v>
      </c>
      <c r="AE32">
        <v>0.049147027247065968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ht="14.2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0.077871236246681463</v>
      </c>
      <c r="Q33" t="s">
        <v>88</v>
      </c>
      <c r="S33" t="s">
        <v>131</v>
      </c>
      <c r="T33" t="s">
        <v>98</v>
      </c>
      <c r="U33">
        <v>0.057648939032421478</v>
      </c>
      <c r="V33" t="s">
        <v>88</v>
      </c>
      <c r="AC33" t="s">
        <v>245</v>
      </c>
      <c r="AD33" t="s">
        <v>98</v>
      </c>
      <c r="AE33">
        <v>0.082869354151694316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ht="14.25">
      <c r="I34" t="s">
        <v>100</v>
      </c>
      <c r="J34" t="s">
        <v>99</v>
      </c>
      <c r="K34">
        <v>0.0010819070776113837</v>
      </c>
      <c r="L34" t="s">
        <v>88</v>
      </c>
      <c r="N34" t="s">
        <v>116</v>
      </c>
      <c r="O34" t="s">
        <v>99</v>
      </c>
      <c r="P34">
        <v>0.029596648586167736</v>
      </c>
      <c r="Q34" t="s">
        <v>88</v>
      </c>
      <c r="S34" t="s">
        <v>131</v>
      </c>
      <c r="T34" t="s">
        <v>99</v>
      </c>
      <c r="U34">
        <v>0.025149234623461438</v>
      </c>
      <c r="V34" t="s">
        <v>88</v>
      </c>
      <c r="AC34" t="s">
        <v>245</v>
      </c>
      <c r="AD34" t="s">
        <v>99</v>
      </c>
      <c r="AE34">
        <v>0.03504832643552843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ht="14.25">
      <c r="I35" t="s">
        <v>101</v>
      </c>
      <c r="J35" t="s">
        <v>87</v>
      </c>
      <c r="K35">
        <v>0.014063770924486548</v>
      </c>
      <c r="L35" t="s">
        <v>88</v>
      </c>
      <c r="N35" t="s">
        <v>117</v>
      </c>
      <c r="O35" t="s">
        <v>87</v>
      </c>
      <c r="P35">
        <v>0.042963910101555557</v>
      </c>
      <c r="Q35" t="s">
        <v>88</v>
      </c>
      <c r="S35" t="s">
        <v>132</v>
      </c>
      <c r="T35" t="s">
        <v>87</v>
      </c>
      <c r="U35">
        <v>0.046947065196822686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ht="14.2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0.084005759925798396</v>
      </c>
      <c r="Q36" t="s">
        <v>88</v>
      </c>
      <c r="S36" t="s">
        <v>132</v>
      </c>
      <c r="T36" t="s">
        <v>89</v>
      </c>
      <c r="U36">
        <v>0.083361253976885347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ht="14.25">
      <c r="I37" t="s">
        <v>101</v>
      </c>
      <c r="J37" t="s">
        <v>90</v>
      </c>
      <c r="K37">
        <v>0.0019026290578419258</v>
      </c>
      <c r="L37" t="s">
        <v>88</v>
      </c>
      <c r="N37" t="s">
        <v>117</v>
      </c>
      <c r="O37" t="s">
        <v>90</v>
      </c>
      <c r="P37">
        <v>0.034061508129517672</v>
      </c>
      <c r="Q37" t="s">
        <v>88</v>
      </c>
      <c r="S37" t="s">
        <v>132</v>
      </c>
      <c r="T37" t="s">
        <v>90</v>
      </c>
      <c r="U37">
        <v>0.034629437048420933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ht="14.25">
      <c r="I38" t="s">
        <v>101</v>
      </c>
      <c r="J38" t="s">
        <v>91</v>
      </c>
      <c r="K38">
        <v>0.0033306356076633933</v>
      </c>
      <c r="L38" t="s">
        <v>88</v>
      </c>
      <c r="N38" t="s">
        <v>117</v>
      </c>
      <c r="O38" t="s">
        <v>91</v>
      </c>
      <c r="P38">
        <v>0.090615516184805678</v>
      </c>
      <c r="Q38" t="s">
        <v>88</v>
      </c>
      <c r="S38" t="s">
        <v>132</v>
      </c>
      <c r="T38" t="s">
        <v>91</v>
      </c>
      <c r="U38">
        <v>0.099803038212084291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ht="14.2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ht="14.2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0.066245407844779905</v>
      </c>
      <c r="Q40" t="s">
        <v>88</v>
      </c>
      <c r="S40" t="s">
        <v>132</v>
      </c>
      <c r="T40" t="s">
        <v>93</v>
      </c>
      <c r="U40">
        <v>0.069309937600515278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ht="14.25">
      <c r="I41" t="s">
        <v>101</v>
      </c>
      <c r="J41" t="s">
        <v>94</v>
      </c>
      <c r="K41">
        <v>0.0083831445718891614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ht="14.2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ht="14.2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0.080810531478761743</v>
      </c>
      <c r="Q43" t="s">
        <v>88</v>
      </c>
      <c r="S43" t="s">
        <v>132</v>
      </c>
      <c r="T43" t="s">
        <v>96</v>
      </c>
      <c r="U43">
        <v>0.077708807447807324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ht="14.25">
      <c r="I44" t="s">
        <v>101</v>
      </c>
      <c r="J44" t="s">
        <v>97</v>
      </c>
      <c r="K44">
        <v>0.021021324354044881</v>
      </c>
      <c r="L44" t="s">
        <v>88</v>
      </c>
      <c r="N44" t="s">
        <v>117</v>
      </c>
      <c r="O44" t="s">
        <v>97</v>
      </c>
      <c r="P44">
        <v>0.035454886916611895</v>
      </c>
      <c r="Q44" t="s">
        <v>88</v>
      </c>
      <c r="S44" t="s">
        <v>132</v>
      </c>
      <c r="T44" t="s">
        <v>97</v>
      </c>
      <c r="U44">
        <v>0.034690647384655243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ht="14.2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0.068101655923478582</v>
      </c>
      <c r="Q45" t="s">
        <v>88</v>
      </c>
      <c r="S45" t="s">
        <v>132</v>
      </c>
      <c r="T45" t="s">
        <v>98</v>
      </c>
      <c r="U45">
        <v>0.059006008583623981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ht="14.25">
      <c r="I46" t="s">
        <v>101</v>
      </c>
      <c r="J46" t="s">
        <v>99</v>
      </c>
      <c r="K46">
        <v>0.00067564542777169686</v>
      </c>
      <c r="L46" t="s">
        <v>88</v>
      </c>
      <c r="N46" t="s">
        <v>117</v>
      </c>
      <c r="O46" t="s">
        <v>99</v>
      </c>
      <c r="P46">
        <v>0.027101002562088475</v>
      </c>
      <c r="Q46" t="s">
        <v>88</v>
      </c>
      <c r="S46" t="s">
        <v>132</v>
      </c>
      <c r="T46" t="s">
        <v>99</v>
      </c>
      <c r="U46">
        <v>0.023210948638372208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ht="14.25">
      <c r="I47" t="s">
        <v>102</v>
      </c>
      <c r="J47" t="s">
        <v>87</v>
      </c>
      <c r="K47">
        <v>0.017048389484935179</v>
      </c>
      <c r="L47" t="s">
        <v>88</v>
      </c>
      <c r="N47" t="s">
        <v>118</v>
      </c>
      <c r="O47" t="s">
        <v>87</v>
      </c>
      <c r="P47">
        <v>0.025453040503302615</v>
      </c>
      <c r="Q47" t="s">
        <v>88</v>
      </c>
      <c r="S47" t="s">
        <v>133</v>
      </c>
      <c r="T47" t="s">
        <v>87</v>
      </c>
      <c r="U47">
        <v>0.045712274921099923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ht="14.2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0.070049049606156086</v>
      </c>
      <c r="Q48" t="s">
        <v>88</v>
      </c>
      <c r="S48" t="s">
        <v>133</v>
      </c>
      <c r="T48" t="s">
        <v>89</v>
      </c>
      <c r="U48">
        <v>0.0829749353517924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ht="14.25">
      <c r="I49" t="s">
        <v>102</v>
      </c>
      <c r="J49" t="s">
        <v>90</v>
      </c>
      <c r="K49">
        <v>0.004789644708291815</v>
      </c>
      <c r="L49" t="s">
        <v>88</v>
      </c>
      <c r="N49" t="s">
        <v>118</v>
      </c>
      <c r="O49" t="s">
        <v>90</v>
      </c>
      <c r="P49">
        <v>0.027437649780070027</v>
      </c>
      <c r="Q49" t="s">
        <v>88</v>
      </c>
      <c r="S49" t="s">
        <v>133</v>
      </c>
      <c r="T49" t="s">
        <v>90</v>
      </c>
      <c r="U49">
        <v>0.036476482461837649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ht="14.25">
      <c r="I50" t="s">
        <v>102</v>
      </c>
      <c r="J50" t="s">
        <v>91</v>
      </c>
      <c r="K50">
        <v>0.0026151972276476352</v>
      </c>
      <c r="L50" t="s">
        <v>88</v>
      </c>
      <c r="N50" t="s">
        <v>118</v>
      </c>
      <c r="O50" t="s">
        <v>91</v>
      </c>
      <c r="P50">
        <v>0.078271873294247091</v>
      </c>
      <c r="Q50" t="s">
        <v>88</v>
      </c>
      <c r="S50" t="s">
        <v>133</v>
      </c>
      <c r="T50" t="s">
        <v>91</v>
      </c>
      <c r="U50">
        <v>0.094876291922855904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ht="14.2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ht="14.2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0.058673366543569055</v>
      </c>
      <c r="Q52" t="s">
        <v>88</v>
      </c>
      <c r="S52" t="s">
        <v>133</v>
      </c>
      <c r="T52" t="s">
        <v>93</v>
      </c>
      <c r="U52">
        <v>0.072043315193110899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ht="14.25">
      <c r="I53" t="s">
        <v>102</v>
      </c>
      <c r="J53" t="s">
        <v>94</v>
      </c>
      <c r="K53">
        <v>0.0080461832859563473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ht="14.2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ht="14.2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0.084434862890154311</v>
      </c>
      <c r="Q55" t="s">
        <v>88</v>
      </c>
      <c r="S55" t="s">
        <v>133</v>
      </c>
      <c r="T55" t="s">
        <v>96</v>
      </c>
      <c r="U55">
        <v>0.074039694701107606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ht="14.25">
      <c r="I56" t="s">
        <v>102</v>
      </c>
      <c r="J56" t="s">
        <v>97</v>
      </c>
      <c r="K56">
        <v>0.021511440921896056</v>
      </c>
      <c r="L56" t="s">
        <v>88</v>
      </c>
      <c r="N56" t="s">
        <v>118</v>
      </c>
      <c r="O56" t="s">
        <v>97</v>
      </c>
      <c r="P56">
        <v>0.032008533477595517</v>
      </c>
      <c r="Q56" t="s">
        <v>88</v>
      </c>
      <c r="S56" t="s">
        <v>133</v>
      </c>
      <c r="T56" t="s">
        <v>97</v>
      </c>
      <c r="U56">
        <v>0.043593567701215946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ht="14.2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0.083679739509819356</v>
      </c>
      <c r="Q57" t="s">
        <v>88</v>
      </c>
      <c r="S57" t="s">
        <v>133</v>
      </c>
      <c r="T57" t="s">
        <v>98</v>
      </c>
      <c r="U57">
        <v>0.075202360464966575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ht="14.25">
      <c r="I58" t="s">
        <v>102</v>
      </c>
      <c r="J58" t="s">
        <v>99</v>
      </c>
      <c r="K58">
        <v>0.0029643030068524376</v>
      </c>
      <c r="L58" t="s">
        <v>88</v>
      </c>
      <c r="N58" t="s">
        <v>118</v>
      </c>
      <c r="O58" t="s">
        <v>99</v>
      </c>
      <c r="P58">
        <v>0.02641044152768016</v>
      </c>
      <c r="Q58" t="s">
        <v>88</v>
      </c>
      <c r="S58" t="s">
        <v>133</v>
      </c>
      <c r="T58" t="s">
        <v>99</v>
      </c>
      <c r="U58">
        <v>0.032884746452590041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ht="14.25">
      <c r="I59" t="s">
        <v>103</v>
      </c>
      <c r="J59" t="s">
        <v>87</v>
      </c>
      <c r="K59">
        <v>0.014871442674368712</v>
      </c>
      <c r="L59" t="s">
        <v>88</v>
      </c>
      <c r="N59" t="s">
        <v>119</v>
      </c>
      <c r="O59" t="s">
        <v>87</v>
      </c>
      <c r="P59">
        <v>0.036206606048083484</v>
      </c>
      <c r="Q59" t="s">
        <v>88</v>
      </c>
      <c r="S59" t="s">
        <v>134</v>
      </c>
      <c r="T59" t="s">
        <v>87</v>
      </c>
      <c r="U59">
        <v>0.035559173783111062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ht="14.2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0.075930480008260262</v>
      </c>
      <c r="Q60" t="s">
        <v>88</v>
      </c>
      <c r="S60" t="s">
        <v>134</v>
      </c>
      <c r="T60" t="s">
        <v>89</v>
      </c>
      <c r="U60">
        <v>0.075930950311250647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ht="14.25">
      <c r="I61" t="s">
        <v>103</v>
      </c>
      <c r="J61" t="s">
        <v>90</v>
      </c>
      <c r="K61">
        <v>0.0037121104351803933</v>
      </c>
      <c r="L61" t="s">
        <v>88</v>
      </c>
      <c r="N61" t="s">
        <v>119</v>
      </c>
      <c r="O61" t="s">
        <v>90</v>
      </c>
      <c r="P61">
        <v>0.031086873434052576</v>
      </c>
      <c r="Q61" t="s">
        <v>88</v>
      </c>
      <c r="S61" t="s">
        <v>134</v>
      </c>
      <c r="T61" t="s">
        <v>90</v>
      </c>
      <c r="U61">
        <v>0.034150808651182703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ht="14.25">
      <c r="I62" t="s">
        <v>103</v>
      </c>
      <c r="J62" t="s">
        <v>91</v>
      </c>
      <c r="K62">
        <v>0.0032475431875624706</v>
      </c>
      <c r="L62" t="s">
        <v>88</v>
      </c>
      <c r="N62" t="s">
        <v>119</v>
      </c>
      <c r="O62" t="s">
        <v>91</v>
      </c>
      <c r="P62">
        <v>0.087052346880094569</v>
      </c>
      <c r="Q62" t="s">
        <v>88</v>
      </c>
      <c r="S62" t="s">
        <v>134</v>
      </c>
      <c r="T62" t="s">
        <v>91</v>
      </c>
      <c r="U62">
        <v>0.086504316484741064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ht="14.2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ht="14.2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0.0644895695645121</v>
      </c>
      <c r="Q64" t="s">
        <v>88</v>
      </c>
      <c r="S64" t="s">
        <v>134</v>
      </c>
      <c r="T64" t="s">
        <v>93</v>
      </c>
      <c r="U64">
        <v>0.068339728004497322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ht="14.25">
      <c r="I65" t="s">
        <v>103</v>
      </c>
      <c r="J65" t="s">
        <v>94</v>
      </c>
      <c r="K65">
        <v>0.0067722202426088512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ht="14.2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ht="14.2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0.083190425168917712</v>
      </c>
      <c r="Q67" t="s">
        <v>88</v>
      </c>
      <c r="S67" t="s">
        <v>134</v>
      </c>
      <c r="T67" t="s">
        <v>96</v>
      </c>
      <c r="U67">
        <v>0.085467052963058815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ht="14.25">
      <c r="I68" t="s">
        <v>103</v>
      </c>
      <c r="J68" t="s">
        <v>97</v>
      </c>
      <c r="K68">
        <v>0.020181483623169745</v>
      </c>
      <c r="L68" t="s">
        <v>88</v>
      </c>
      <c r="N68" t="s">
        <v>119</v>
      </c>
      <c r="O68" t="s">
        <v>97</v>
      </c>
      <c r="P68">
        <v>0.037353684265707301</v>
      </c>
      <c r="Q68" t="s">
        <v>88</v>
      </c>
      <c r="S68" t="s">
        <v>134</v>
      </c>
      <c r="T68" t="s">
        <v>97</v>
      </c>
      <c r="U68">
        <v>0.036351630269662552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ht="14.2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0.071561354976215977</v>
      </c>
      <c r="Q69" t="s">
        <v>88</v>
      </c>
      <c r="S69" t="s">
        <v>134</v>
      </c>
      <c r="T69" t="s">
        <v>98</v>
      </c>
      <c r="U69">
        <v>0.069128590690695227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ht="14.25">
      <c r="I70" t="s">
        <v>103</v>
      </c>
      <c r="J70" t="s">
        <v>99</v>
      </c>
      <c r="K70">
        <v>0.001577498886878863</v>
      </c>
      <c r="L70" t="s">
        <v>88</v>
      </c>
      <c r="N70" t="s">
        <v>119</v>
      </c>
      <c r="O70" t="s">
        <v>99</v>
      </c>
      <c r="P70">
        <v>0.028661846053025002</v>
      </c>
      <c r="Q70" t="s">
        <v>88</v>
      </c>
      <c r="S70" t="s">
        <v>134</v>
      </c>
      <c r="T70" t="s">
        <v>99</v>
      </c>
      <c r="U70">
        <v>0.02952720298999149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ht="14.25">
      <c r="I71" t="s">
        <v>104</v>
      </c>
      <c r="J71" t="s">
        <v>87</v>
      </c>
      <c r="K71">
        <v>0.015509330211355124</v>
      </c>
      <c r="L71" t="s">
        <v>88</v>
      </c>
      <c r="N71" t="s">
        <v>120</v>
      </c>
      <c r="O71" t="s">
        <v>87</v>
      </c>
      <c r="P71">
        <v>0.02641797497257465</v>
      </c>
      <c r="Q71" t="s">
        <v>88</v>
      </c>
      <c r="S71" t="s">
        <v>135</v>
      </c>
      <c r="T71" t="s">
        <v>87</v>
      </c>
      <c r="U71">
        <v>0.037896609776158989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ht="14.2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0.095953787748043265</v>
      </c>
      <c r="Q72" t="s">
        <v>88</v>
      </c>
      <c r="S72" t="s">
        <v>135</v>
      </c>
      <c r="T72" t="s">
        <v>89</v>
      </c>
      <c r="U72">
        <v>0.06729088715120031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ht="14.25">
      <c r="I73" t="s">
        <v>104</v>
      </c>
      <c r="J73" t="s">
        <v>90</v>
      </c>
      <c r="K73">
        <v>0.0042009910296597602</v>
      </c>
      <c r="L73" t="s">
        <v>88</v>
      </c>
      <c r="N73" t="s">
        <v>120</v>
      </c>
      <c r="O73" t="s">
        <v>90</v>
      </c>
      <c r="P73">
        <v>0.026631400194980989</v>
      </c>
      <c r="Q73" t="s">
        <v>88</v>
      </c>
      <c r="S73" t="s">
        <v>135</v>
      </c>
      <c r="T73" t="s">
        <v>90</v>
      </c>
      <c r="U73">
        <v>0.033661719044951313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ht="14.25">
      <c r="I74" t="s">
        <v>104</v>
      </c>
      <c r="J74" t="s">
        <v>91</v>
      </c>
      <c r="K74">
        <v>0.0030487842387893153</v>
      </c>
      <c r="L74" t="s">
        <v>88</v>
      </c>
      <c r="N74" t="s">
        <v>120</v>
      </c>
      <c r="O74" t="s">
        <v>91</v>
      </c>
      <c r="P74">
        <v>0.077585453842366758</v>
      </c>
      <c r="Q74" t="s">
        <v>88</v>
      </c>
      <c r="S74" t="s">
        <v>135</v>
      </c>
      <c r="T74" t="s">
        <v>91</v>
      </c>
      <c r="U74">
        <v>0.095113557102139409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ht="14.2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ht="14.2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0.051975248290341676</v>
      </c>
      <c r="Q76" t="s">
        <v>88</v>
      </c>
      <c r="S76" t="s">
        <v>135</v>
      </c>
      <c r="T76" t="s">
        <v>93</v>
      </c>
      <c r="U76">
        <v>0.073794000419104125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ht="14.25">
      <c r="I77" t="s">
        <v>104</v>
      </c>
      <c r="J77" t="s">
        <v>94</v>
      </c>
      <c r="K77">
        <v>0.006668706595366892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ht="14.2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ht="14.2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0.088656106438732507</v>
      </c>
      <c r="Q79" t="s">
        <v>88</v>
      </c>
      <c r="S79" t="s">
        <v>135</v>
      </c>
      <c r="T79" t="s">
        <v>96</v>
      </c>
      <c r="U79">
        <v>0.077320064954060408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ht="14.25">
      <c r="I80" t="s">
        <v>104</v>
      </c>
      <c r="J80" t="s">
        <v>97</v>
      </c>
      <c r="K80">
        <v>0.020472599915346838</v>
      </c>
      <c r="L80" t="s">
        <v>88</v>
      </c>
      <c r="N80" t="s">
        <v>120</v>
      </c>
      <c r="O80" t="s">
        <v>97</v>
      </c>
      <c r="P80">
        <v>0.02381744400324097</v>
      </c>
      <c r="Q80" t="s">
        <v>88</v>
      </c>
      <c r="S80" t="s">
        <v>135</v>
      </c>
      <c r="T80" t="s">
        <v>97</v>
      </c>
      <c r="U80">
        <v>0.047169294909694494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ht="14.2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0.075434437121689721</v>
      </c>
      <c r="Q81" t="s">
        <v>88</v>
      </c>
      <c r="S81" t="s">
        <v>135</v>
      </c>
      <c r="T81" t="s">
        <v>98</v>
      </c>
      <c r="U81">
        <v>0.075029268220859965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ht="14.25">
      <c r="I82" t="s">
        <v>104</v>
      </c>
      <c r="J82" t="s">
        <v>99</v>
      </c>
      <c r="K82">
        <v>0.0025076997820017728</v>
      </c>
      <c r="L82" t="s">
        <v>88</v>
      </c>
      <c r="N82" t="s">
        <v>120</v>
      </c>
      <c r="O82" t="s">
        <v>99</v>
      </c>
      <c r="P82">
        <v>0.022407119483753634</v>
      </c>
      <c r="Q82" t="s">
        <v>88</v>
      </c>
      <c r="S82" t="s">
        <v>135</v>
      </c>
      <c r="T82" t="s">
        <v>99</v>
      </c>
      <c r="U82">
        <v>0.034940361532661841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ht="14.25">
      <c r="I83" t="s">
        <v>105</v>
      </c>
      <c r="J83" t="s">
        <v>87</v>
      </c>
      <c r="K83">
        <v>0.012622262079475114</v>
      </c>
      <c r="L83" t="s">
        <v>88</v>
      </c>
      <c r="N83" t="s">
        <v>121</v>
      </c>
      <c r="O83" t="s">
        <v>87</v>
      </c>
      <c r="P83">
        <v>0.034774935667757578</v>
      </c>
      <c r="Q83" t="s">
        <v>88</v>
      </c>
      <c r="S83" t="s">
        <v>136</v>
      </c>
      <c r="T83" t="s">
        <v>87</v>
      </c>
      <c r="U83">
        <v>0.041224448109714228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ht="14.2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0.080771054721979291</v>
      </c>
      <c r="Q84" t="s">
        <v>88</v>
      </c>
      <c r="S84" t="s">
        <v>136</v>
      </c>
      <c r="T84" t="s">
        <v>89</v>
      </c>
      <c r="U84">
        <v>0.064953658076820769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ht="14.25">
      <c r="I85" t="s">
        <v>105</v>
      </c>
      <c r="J85" t="s">
        <v>90</v>
      </c>
      <c r="K85">
        <v>0.0099482026393761108</v>
      </c>
      <c r="L85" t="s">
        <v>88</v>
      </c>
      <c r="N85" t="s">
        <v>121</v>
      </c>
      <c r="O85" t="s">
        <v>90</v>
      </c>
      <c r="P85">
        <v>0.026152776687662114</v>
      </c>
      <c r="Q85" t="s">
        <v>88</v>
      </c>
      <c r="S85" t="s">
        <v>136</v>
      </c>
      <c r="T85" t="s">
        <v>90</v>
      </c>
      <c r="U85">
        <v>0.036310694826616627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ht="14.25">
      <c r="I86" t="s">
        <v>105</v>
      </c>
      <c r="J86" t="s">
        <v>91</v>
      </c>
      <c r="K86">
        <v>0.00026306639430922341</v>
      </c>
      <c r="L86" t="s">
        <v>88</v>
      </c>
      <c r="N86" t="s">
        <v>121</v>
      </c>
      <c r="O86" t="s">
        <v>91</v>
      </c>
      <c r="P86">
        <v>0.085979638967543903</v>
      </c>
      <c r="Q86" t="s">
        <v>88</v>
      </c>
      <c r="S86" t="s">
        <v>136</v>
      </c>
      <c r="T86" t="s">
        <v>91</v>
      </c>
      <c r="U86">
        <v>0.091509089292411791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ht="14.2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ht="14.2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0.063781600674975056</v>
      </c>
      <c r="Q88" t="s">
        <v>88</v>
      </c>
      <c r="S88" t="s">
        <v>136</v>
      </c>
      <c r="T88" t="s">
        <v>93</v>
      </c>
      <c r="U88">
        <v>0.068439438119247464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ht="14.25">
      <c r="I89" t="s">
        <v>105</v>
      </c>
      <c r="J89" t="s">
        <v>94</v>
      </c>
      <c r="K89">
        <v>0.00449383647830959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ht="14.2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ht="14.2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0.081532965924561066</v>
      </c>
      <c r="Q91" t="s">
        <v>88</v>
      </c>
      <c r="S91" t="s">
        <v>136</v>
      </c>
      <c r="T91" t="s">
        <v>96</v>
      </c>
      <c r="U91">
        <v>0.087435509138804851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ht="14.25">
      <c r="I92" t="s">
        <v>105</v>
      </c>
      <c r="J92" t="s">
        <v>97</v>
      </c>
      <c r="K92">
        <v>0.019122052708198299</v>
      </c>
      <c r="L92" t="s">
        <v>88</v>
      </c>
      <c r="N92" t="s">
        <v>121</v>
      </c>
      <c r="O92" t="s">
        <v>97</v>
      </c>
      <c r="P92">
        <v>0.033718295123501635</v>
      </c>
      <c r="Q92" t="s">
        <v>88</v>
      </c>
      <c r="S92" t="s">
        <v>136</v>
      </c>
      <c r="T92" t="s">
        <v>97</v>
      </c>
      <c r="U92">
        <v>0.041676938671042225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ht="14.2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0.083343069300477773</v>
      </c>
      <c r="Q93" t="s">
        <v>88</v>
      </c>
      <c r="S93" t="s">
        <v>136</v>
      </c>
      <c r="T93" t="s">
        <v>98</v>
      </c>
      <c r="U93">
        <v>0.06791368334582934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ht="14.25">
      <c r="I94" t="s">
        <v>105</v>
      </c>
      <c r="J94" t="s">
        <v>99</v>
      </c>
      <c r="K94">
        <v>0.0074936914010323413</v>
      </c>
      <c r="L94" t="s">
        <v>88</v>
      </c>
      <c r="N94" t="s">
        <v>121</v>
      </c>
      <c r="O94" t="s">
        <v>99</v>
      </c>
      <c r="P94">
        <v>0.028195457187299506</v>
      </c>
      <c r="Q94" t="s">
        <v>88</v>
      </c>
      <c r="S94" t="s">
        <v>136</v>
      </c>
      <c r="T94" t="s">
        <v>99</v>
      </c>
      <c r="U94">
        <v>0.034514527790690787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ht="14.25">
      <c r="I95" t="s">
        <v>106</v>
      </c>
      <c r="J95" t="s">
        <v>87</v>
      </c>
      <c r="K95">
        <v>0.012394774449933012</v>
      </c>
      <c r="L95" t="s">
        <v>88</v>
      </c>
      <c r="N95" t="s">
        <v>122</v>
      </c>
      <c r="O95" t="s">
        <v>87</v>
      </c>
      <c r="P95">
        <v>0.039008043088329024</v>
      </c>
      <c r="Q95" t="s">
        <v>88</v>
      </c>
      <c r="S95" t="s">
        <v>137</v>
      </c>
      <c r="T95" t="s">
        <v>87</v>
      </c>
      <c r="U95">
        <v>0.049635387031025324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ht="14.2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0.096938699532027828</v>
      </c>
      <c r="Q96" t="s">
        <v>88</v>
      </c>
      <c r="S96" t="s">
        <v>137</v>
      </c>
      <c r="T96" t="s">
        <v>89</v>
      </c>
      <c r="U96">
        <v>0.080464397855380496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ht="14.25">
      <c r="I97" t="s">
        <v>106</v>
      </c>
      <c r="J97" t="s">
        <v>90</v>
      </c>
      <c r="K97">
        <v>0.0091358413059000974</v>
      </c>
      <c r="L97" t="s">
        <v>88</v>
      </c>
      <c r="N97" t="s">
        <v>122</v>
      </c>
      <c r="O97" t="s">
        <v>90</v>
      </c>
      <c r="P97">
        <v>0.028802146460311488</v>
      </c>
      <c r="Q97" t="s">
        <v>88</v>
      </c>
      <c r="S97" t="s">
        <v>137</v>
      </c>
      <c r="T97" t="s">
        <v>90</v>
      </c>
      <c r="U97">
        <v>0.036860441651758273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ht="14.25">
      <c r="I98" t="s">
        <v>106</v>
      </c>
      <c r="J98" t="s">
        <v>91</v>
      </c>
      <c r="K98">
        <v>8.1649006898680605E-05</v>
      </c>
      <c r="L98" t="s">
        <v>88</v>
      </c>
      <c r="N98" t="s">
        <v>122</v>
      </c>
      <c r="O98" t="s">
        <v>91</v>
      </c>
      <c r="P98">
        <v>0.077098372331695711</v>
      </c>
      <c r="Q98" t="s">
        <v>88</v>
      </c>
      <c r="S98" t="s">
        <v>137</v>
      </c>
      <c r="T98" t="s">
        <v>91</v>
      </c>
      <c r="U98">
        <v>0.095340918393966689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ht="14.2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ht="14.2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0.054730402508004976</v>
      </c>
      <c r="Q100" t="s">
        <v>88</v>
      </c>
      <c r="S100" t="s">
        <v>137</v>
      </c>
      <c r="T100" t="s">
        <v>93</v>
      </c>
      <c r="U100">
        <v>0.070259229204297349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ht="14.25">
      <c r="I101" t="s">
        <v>106</v>
      </c>
      <c r="J101" t="s">
        <v>94</v>
      </c>
      <c r="K101">
        <v>0.0062223292143683611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ht="14.2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ht="14.2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0.080104501369228212</v>
      </c>
      <c r="Q103" t="s">
        <v>88</v>
      </c>
      <c r="S103" t="s">
        <v>137</v>
      </c>
      <c r="T103" t="s">
        <v>96</v>
      </c>
      <c r="U103">
        <v>0.080450820638630335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ht="14.25">
      <c r="I104" t="s">
        <v>106</v>
      </c>
      <c r="J104" t="s">
        <v>97</v>
      </c>
      <c r="K104">
        <v>0.020494156987491491</v>
      </c>
      <c r="L104" t="s">
        <v>88</v>
      </c>
      <c r="N104" t="s">
        <v>122</v>
      </c>
      <c r="O104" t="s">
        <v>97</v>
      </c>
      <c r="P104">
        <v>0.022996406081166737</v>
      </c>
      <c r="Q104" t="s">
        <v>88</v>
      </c>
      <c r="S104" t="s">
        <v>137</v>
      </c>
      <c r="T104" t="s">
        <v>97</v>
      </c>
      <c r="U104">
        <v>0.039524144219753254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ht="14.2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0.078221395864680854</v>
      </c>
      <c r="Q105" t="s">
        <v>88</v>
      </c>
      <c r="S105" t="s">
        <v>137</v>
      </c>
      <c r="T105" t="s">
        <v>98</v>
      </c>
      <c r="U105">
        <v>0.060267409816190561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ht="14.25">
      <c r="I106" t="s">
        <v>106</v>
      </c>
      <c r="J106" t="s">
        <v>99</v>
      </c>
      <c r="K106">
        <v>0.0067105740338128175</v>
      </c>
      <c r="L106" t="s">
        <v>88</v>
      </c>
      <c r="N106" t="s">
        <v>122</v>
      </c>
      <c r="O106" t="s">
        <v>99</v>
      </c>
      <c r="P106">
        <v>0.018083859372486646</v>
      </c>
      <c r="Q106" t="s">
        <v>88</v>
      </c>
      <c r="S106" t="s">
        <v>137</v>
      </c>
      <c r="T106" t="s">
        <v>99</v>
      </c>
      <c r="U106">
        <v>0.029079321692100611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ht="14.25">
      <c r="I107" t="s">
        <v>107</v>
      </c>
      <c r="J107" t="s">
        <v>87</v>
      </c>
      <c r="K107">
        <v>0.0088285823201118465</v>
      </c>
      <c r="L107" t="s">
        <v>88</v>
      </c>
      <c r="N107" t="s">
        <v>123</v>
      </c>
      <c r="O107" t="s">
        <v>87</v>
      </c>
      <c r="P107">
        <v>0.043607505859863817</v>
      </c>
      <c r="Q107" t="s">
        <v>88</v>
      </c>
      <c r="S107" t="s">
        <v>138</v>
      </c>
      <c r="T107" t="s">
        <v>87</v>
      </c>
      <c r="U107">
        <v>0.031441121881519853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ht="14.2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0.080552685431036844</v>
      </c>
      <c r="Q108" t="s">
        <v>88</v>
      </c>
      <c r="S108" t="s">
        <v>138</v>
      </c>
      <c r="T108" t="s">
        <v>89</v>
      </c>
      <c r="U108">
        <v>0.073630341582970771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ht="14.25">
      <c r="I109" t="s">
        <v>107</v>
      </c>
      <c r="J109" t="s">
        <v>90</v>
      </c>
      <c r="K109">
        <v>0.010900346864321999</v>
      </c>
      <c r="L109" t="s">
        <v>88</v>
      </c>
      <c r="N109" t="s">
        <v>123</v>
      </c>
      <c r="O109" t="s">
        <v>90</v>
      </c>
      <c r="P109">
        <v>0.031745749997842548</v>
      </c>
      <c r="Q109" t="s">
        <v>88</v>
      </c>
      <c r="S109" t="s">
        <v>138</v>
      </c>
      <c r="T109" t="s">
        <v>90</v>
      </c>
      <c r="U109">
        <v>0.028897636367055692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ht="14.2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0.093177342110748643</v>
      </c>
      <c r="Q110" t="s">
        <v>88</v>
      </c>
      <c r="S110" t="s">
        <v>138</v>
      </c>
      <c r="T110" t="s">
        <v>91</v>
      </c>
      <c r="U110">
        <v>0.081203719347827774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ht="14.2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ht="14.2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0.069601046335434041</v>
      </c>
      <c r="Q112" t="s">
        <v>88</v>
      </c>
      <c r="S112" t="s">
        <v>138</v>
      </c>
      <c r="T112" t="s">
        <v>93</v>
      </c>
      <c r="U112">
        <v>0.060163275841384561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ht="14.25">
      <c r="I113" t="s">
        <v>107</v>
      </c>
      <c r="J113" t="s">
        <v>94</v>
      </c>
      <c r="K113">
        <v>0.002609573389173986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ht="14.2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ht="14.2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0.07735296213544153</v>
      </c>
      <c r="Q115" t="s">
        <v>88</v>
      </c>
      <c r="S115" t="s">
        <v>138</v>
      </c>
      <c r="T115" t="s">
        <v>96</v>
      </c>
      <c r="U115">
        <v>0.087289969204019935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ht="14.25">
      <c r="I116" t="s">
        <v>107</v>
      </c>
      <c r="J116" t="s">
        <v>97</v>
      </c>
      <c r="K116">
        <v>0.016726073556446456</v>
      </c>
      <c r="L116" t="s">
        <v>88</v>
      </c>
      <c r="N116" t="s">
        <v>123</v>
      </c>
      <c r="O116" t="s">
        <v>97</v>
      </c>
      <c r="P116">
        <v>0.036384021890880296</v>
      </c>
      <c r="Q116" t="s">
        <v>88</v>
      </c>
      <c r="S116" t="s">
        <v>138</v>
      </c>
      <c r="T116" t="s">
        <v>97</v>
      </c>
      <c r="U116">
        <v>0.034348310335693709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ht="14.2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0.0757575609069501</v>
      </c>
      <c r="Q117" t="s">
        <v>88</v>
      </c>
      <c r="S117" t="s">
        <v>138</v>
      </c>
      <c r="T117" t="s">
        <v>98</v>
      </c>
      <c r="U117">
        <v>0.074980617884080031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ht="14.25">
      <c r="I118" t="s">
        <v>107</v>
      </c>
      <c r="J118" t="s">
        <v>99</v>
      </c>
      <c r="K118">
        <v>0.0090530307730243859</v>
      </c>
      <c r="L118" t="s">
        <v>88</v>
      </c>
      <c r="N118" t="s">
        <v>123</v>
      </c>
      <c r="O118" t="s">
        <v>99</v>
      </c>
      <c r="P118">
        <v>0.026624597520442141</v>
      </c>
      <c r="Q118" t="s">
        <v>88</v>
      </c>
      <c r="S118" t="s">
        <v>138</v>
      </c>
      <c r="T118" t="s">
        <v>99</v>
      </c>
      <c r="U118">
        <v>0.027356937973557899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ht="14.25">
      <c r="I119" t="s">
        <v>108</v>
      </c>
      <c r="J119" t="s">
        <v>87</v>
      </c>
      <c r="K119">
        <v>0.0078757269201132161</v>
      </c>
      <c r="L119" t="s">
        <v>88</v>
      </c>
      <c r="N119" t="s">
        <v>124</v>
      </c>
      <c r="O119" t="s">
        <v>87</v>
      </c>
      <c r="P119">
        <v>0.040632331246124281</v>
      </c>
      <c r="Q119" t="s">
        <v>88</v>
      </c>
      <c r="S119" t="s">
        <v>139</v>
      </c>
      <c r="T119" t="s">
        <v>87</v>
      </c>
      <c r="U119">
        <v>0.038817986325917479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ht="14.2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0.084501198413458239</v>
      </c>
      <c r="Q120" t="s">
        <v>88</v>
      </c>
      <c r="S120" t="s">
        <v>139</v>
      </c>
      <c r="T120" t="s">
        <v>89</v>
      </c>
      <c r="U120">
        <v>0.064706919318170936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ht="14.25">
      <c r="I121" t="s">
        <v>108</v>
      </c>
      <c r="J121" t="s">
        <v>90</v>
      </c>
      <c r="K121">
        <v>0.011287174560673982</v>
      </c>
      <c r="L121" t="s">
        <v>88</v>
      </c>
      <c r="N121" t="s">
        <v>124</v>
      </c>
      <c r="O121" t="s">
        <v>90</v>
      </c>
      <c r="P121">
        <v>0.030073102661735962</v>
      </c>
      <c r="Q121" t="s">
        <v>88</v>
      </c>
      <c r="S121" t="s">
        <v>139</v>
      </c>
      <c r="T121" t="s">
        <v>90</v>
      </c>
      <c r="U121">
        <v>0.029535919970397707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ht="14.2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0.089984325356923675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ht="14.2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ht="14.25">
      <c r="I124" t="s">
        <v>108</v>
      </c>
      <c r="J124" t="s">
        <v>93</v>
      </c>
      <c r="K124">
        <v>4.8718751896851696E-07</v>
      </c>
      <c r="L124" t="s">
        <v>88</v>
      </c>
      <c r="N124" t="s">
        <v>124</v>
      </c>
      <c r="O124" t="s">
        <v>93</v>
      </c>
      <c r="P124">
        <v>0.062932101263311682</v>
      </c>
      <c r="Q124" t="s">
        <v>88</v>
      </c>
      <c r="S124" t="s">
        <v>139</v>
      </c>
      <c r="T124" t="s">
        <v>93</v>
      </c>
      <c r="U124">
        <v>0.070683556472771109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ht="14.25">
      <c r="I125" t="s">
        <v>108</v>
      </c>
      <c r="J125" t="s">
        <v>94</v>
      </c>
      <c r="K125">
        <v>0.0031704906536423145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ht="14.2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22" ht="14.25">
      <c r="I127" t="s">
        <v>108</v>
      </c>
      <c r="J127" t="s">
        <v>96</v>
      </c>
      <c r="K127">
        <v>0.00017116198804172192</v>
      </c>
      <c r="L127" t="s">
        <v>88</v>
      </c>
      <c r="N127" t="s">
        <v>124</v>
      </c>
      <c r="O127" t="s">
        <v>96</v>
      </c>
      <c r="P127">
        <v>0.076189027685543212</v>
      </c>
      <c r="Q127" t="s">
        <v>88</v>
      </c>
      <c r="S127" t="s">
        <v>139</v>
      </c>
      <c r="T127" t="s">
        <v>96</v>
      </c>
      <c r="U127">
        <v>0.086881012076894193</v>
      </c>
      <c r="V127" t="s">
        <v>88</v>
      </c>
    </row>
    <row r="128" spans="9:22" ht="14.25">
      <c r="I128" t="s">
        <v>108</v>
      </c>
      <c r="J128" t="s">
        <v>97</v>
      </c>
      <c r="K128">
        <v>0.017273012569314846</v>
      </c>
      <c r="L128" t="s">
        <v>88</v>
      </c>
      <c r="N128" t="s">
        <v>124</v>
      </c>
      <c r="O128" t="s">
        <v>97</v>
      </c>
      <c r="P128">
        <v>0.035449875092470391</v>
      </c>
      <c r="Q128" t="s">
        <v>88</v>
      </c>
      <c r="S128" t="s">
        <v>139</v>
      </c>
      <c r="T128" t="s">
        <v>97</v>
      </c>
      <c r="U128">
        <v>0.038227705409135983</v>
      </c>
      <c r="V128" t="s">
        <v>88</v>
      </c>
    </row>
    <row r="129" spans="9:22" ht="14.2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0.08100440489858847</v>
      </c>
      <c r="Q129" t="s">
        <v>88</v>
      </c>
      <c r="S129" t="s">
        <v>139</v>
      </c>
      <c r="T129" t="s">
        <v>98</v>
      </c>
      <c r="U129">
        <v>0.061048528659540018</v>
      </c>
      <c r="V129" t="s">
        <v>88</v>
      </c>
    </row>
    <row r="130" spans="9:22" ht="14.25">
      <c r="I130" t="s">
        <v>108</v>
      </c>
      <c r="J130" t="s">
        <v>99</v>
      </c>
      <c r="K130">
        <v>0.010193856610830677</v>
      </c>
      <c r="L130" t="s">
        <v>88</v>
      </c>
      <c r="N130" t="s">
        <v>124</v>
      </c>
      <c r="O130" t="s">
        <v>99</v>
      </c>
      <c r="P130">
        <v>0.027502644855531829</v>
      </c>
      <c r="Q130" t="s">
        <v>88</v>
      </c>
      <c r="S130" t="s">
        <v>139</v>
      </c>
      <c r="T130" t="s">
        <v>99</v>
      </c>
      <c r="U130">
        <v>0.029551568805111641</v>
      </c>
      <c r="V130" t="s">
        <v>88</v>
      </c>
    </row>
    <row r="131" spans="9:22" ht="14.25">
      <c r="I131" t="s">
        <v>109</v>
      </c>
      <c r="J131" t="s">
        <v>87</v>
      </c>
      <c r="K131">
        <v>0.010547129449808042</v>
      </c>
      <c r="L131" t="s">
        <v>88</v>
      </c>
      <c r="N131" t="s">
        <v>125</v>
      </c>
      <c r="O131" t="s">
        <v>87</v>
      </c>
      <c r="P131">
        <v>0.038695614163150718</v>
      </c>
      <c r="Q131" t="s">
        <v>88</v>
      </c>
      <c r="S131" t="s">
        <v>140</v>
      </c>
      <c r="T131" t="s">
        <v>87</v>
      </c>
      <c r="U131">
        <v>0.040873032115682113</v>
      </c>
      <c r="V131" t="s">
        <v>88</v>
      </c>
    </row>
    <row r="132" spans="9:22" ht="14.2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0.081084353088181405</v>
      </c>
      <c r="Q132" t="s">
        <v>88</v>
      </c>
      <c r="S132" t="s">
        <v>140</v>
      </c>
      <c r="T132" t="s">
        <v>89</v>
      </c>
      <c r="U132">
        <v>0.078601388998476962</v>
      </c>
      <c r="V132" t="s">
        <v>88</v>
      </c>
    </row>
    <row r="133" spans="9:22" ht="14.25">
      <c r="I133" t="s">
        <v>109</v>
      </c>
      <c r="J133" t="s">
        <v>90</v>
      </c>
      <c r="K133">
        <v>0.010845510335911237</v>
      </c>
      <c r="L133" t="s">
        <v>88</v>
      </c>
      <c r="N133" t="s">
        <v>125</v>
      </c>
      <c r="O133" t="s">
        <v>90</v>
      </c>
      <c r="P133">
        <v>0.036870829600755543</v>
      </c>
      <c r="Q133" t="s">
        <v>88</v>
      </c>
      <c r="S133" t="s">
        <v>140</v>
      </c>
      <c r="T133" t="s">
        <v>90</v>
      </c>
      <c r="U133">
        <v>0.032310619478896054</v>
      </c>
      <c r="V133" t="s">
        <v>88</v>
      </c>
    </row>
    <row r="134" spans="9:22" ht="14.25">
      <c r="I134" t="s">
        <v>109</v>
      </c>
      <c r="J134" t="s">
        <v>91</v>
      </c>
      <c r="K134">
        <v>8.3612627583293689E-07</v>
      </c>
      <c r="L134" t="s">
        <v>88</v>
      </c>
      <c r="N134" t="s">
        <v>125</v>
      </c>
      <c r="O134" t="s">
        <v>91</v>
      </c>
      <c r="P134">
        <v>0.086150066525649674</v>
      </c>
      <c r="Q134" t="s">
        <v>88</v>
      </c>
      <c r="S134" t="s">
        <v>140</v>
      </c>
      <c r="T134" t="s">
        <v>91</v>
      </c>
      <c r="U134">
        <v>0.093916469177230122</v>
      </c>
      <c r="V134" t="s">
        <v>88</v>
      </c>
    </row>
    <row r="135" spans="9:22" ht="14.2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ht="14.2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0.068951956248537949</v>
      </c>
      <c r="Q136" t="s">
        <v>88</v>
      </c>
      <c r="S136" t="s">
        <v>140</v>
      </c>
      <c r="T136" t="s">
        <v>93</v>
      </c>
      <c r="U136">
        <v>0.067882936199019292</v>
      </c>
      <c r="V136" t="s">
        <v>88</v>
      </c>
    </row>
    <row r="137" spans="9:22" ht="14.25">
      <c r="I137" t="s">
        <v>109</v>
      </c>
      <c r="J137" t="s">
        <v>94</v>
      </c>
      <c r="K137">
        <v>0.0043419575874307555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ht="14.2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ht="14.25">
      <c r="I139" t="s">
        <v>109</v>
      </c>
      <c r="J139" t="s">
        <v>96</v>
      </c>
      <c r="K139">
        <v>2.9499727082831689E-05</v>
      </c>
      <c r="L139" t="s">
        <v>88</v>
      </c>
      <c r="N139" t="s">
        <v>125</v>
      </c>
      <c r="O139" t="s">
        <v>96</v>
      </c>
      <c r="P139">
        <v>0.093726958103487287</v>
      </c>
      <c r="Q139" t="s">
        <v>88</v>
      </c>
      <c r="S139" t="s">
        <v>140</v>
      </c>
      <c r="T139" t="s">
        <v>96</v>
      </c>
      <c r="U139">
        <v>0.083626554946250611</v>
      </c>
      <c r="V139" t="s">
        <v>88</v>
      </c>
    </row>
    <row r="140" spans="9:22" ht="14.25">
      <c r="I140" t="s">
        <v>109</v>
      </c>
      <c r="J140" t="s">
        <v>97</v>
      </c>
      <c r="K140">
        <v>0.018877185427288213</v>
      </c>
      <c r="L140" t="s">
        <v>88</v>
      </c>
      <c r="N140" t="s">
        <v>125</v>
      </c>
      <c r="O140" t="s">
        <v>97</v>
      </c>
      <c r="P140">
        <v>0.037109024659178744</v>
      </c>
      <c r="Q140" t="s">
        <v>88</v>
      </c>
      <c r="S140" t="s">
        <v>140</v>
      </c>
      <c r="T140" t="s">
        <v>97</v>
      </c>
      <c r="U140">
        <v>0.032591160643461098</v>
      </c>
      <c r="V140" t="s">
        <v>88</v>
      </c>
    </row>
    <row r="141" spans="9:22" ht="14.2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0.06848655504843397</v>
      </c>
      <c r="Q141" t="s">
        <v>88</v>
      </c>
      <c r="S141" t="s">
        <v>140</v>
      </c>
      <c r="T141" t="s">
        <v>98</v>
      </c>
      <c r="U141">
        <v>0.06065369555362804</v>
      </c>
      <c r="V141" t="s">
        <v>88</v>
      </c>
    </row>
    <row r="142" spans="9:22" ht="14.25">
      <c r="I142" t="s">
        <v>109</v>
      </c>
      <c r="J142" t="s">
        <v>99</v>
      </c>
      <c r="K142">
        <v>0.0084733401863554721</v>
      </c>
      <c r="L142" t="s">
        <v>88</v>
      </c>
      <c r="N142" t="s">
        <v>125</v>
      </c>
      <c r="O142" t="s">
        <v>99</v>
      </c>
      <c r="P142">
        <v>0.033319633408546413</v>
      </c>
      <c r="Q142" t="s">
        <v>88</v>
      </c>
      <c r="S142" t="s">
        <v>140</v>
      </c>
      <c r="T142" t="s">
        <v>99</v>
      </c>
      <c r="U142">
        <v>0.025175982304905798</v>
      </c>
      <c r="V142" t="s">
        <v>88</v>
      </c>
    </row>
    <row r="143" spans="9:22" ht="14.25">
      <c r="I143" t="s">
        <v>110</v>
      </c>
      <c r="J143" t="s">
        <v>87</v>
      </c>
      <c r="K143">
        <v>0.015659241293123072</v>
      </c>
      <c r="L143" t="s">
        <v>88</v>
      </c>
      <c r="N143" t="s">
        <v>126</v>
      </c>
      <c r="O143" t="s">
        <v>87</v>
      </c>
      <c r="P143">
        <v>0.038127921626981601</v>
      </c>
      <c r="Q143" t="s">
        <v>88</v>
      </c>
      <c r="S143" t="s">
        <v>141</v>
      </c>
      <c r="T143" t="s">
        <v>87</v>
      </c>
      <c r="U143">
        <v>0.042111509703712857</v>
      </c>
      <c r="V143" t="s">
        <v>88</v>
      </c>
    </row>
    <row r="144" spans="9:22" ht="14.2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0.098734513509267152</v>
      </c>
      <c r="Q144" t="s">
        <v>88</v>
      </c>
      <c r="S144" t="s">
        <v>141</v>
      </c>
      <c r="T144" t="s">
        <v>89</v>
      </c>
      <c r="U144">
        <v>0.070982679787087249</v>
      </c>
      <c r="V144" t="s">
        <v>88</v>
      </c>
    </row>
    <row r="145" spans="9:22" ht="14.25">
      <c r="I145" t="s">
        <v>110</v>
      </c>
      <c r="J145" t="s">
        <v>90</v>
      </c>
      <c r="K145">
        <v>0.0075683106095167027</v>
      </c>
      <c r="L145" t="s">
        <v>88</v>
      </c>
      <c r="N145" t="s">
        <v>126</v>
      </c>
      <c r="O145" t="s">
        <v>90</v>
      </c>
      <c r="P145">
        <v>0.031514284676790294</v>
      </c>
      <c r="Q145" t="s">
        <v>88</v>
      </c>
      <c r="S145" t="s">
        <v>141</v>
      </c>
      <c r="T145" t="s">
        <v>90</v>
      </c>
      <c r="U145">
        <v>0.028676098572450737</v>
      </c>
      <c r="V145" t="s">
        <v>88</v>
      </c>
    </row>
    <row r="146" spans="9:22" ht="14.25">
      <c r="I146" t="s">
        <v>110</v>
      </c>
      <c r="J146" t="s">
        <v>91</v>
      </c>
      <c r="K146">
        <v>0.0012382428885157957</v>
      </c>
      <c r="L146" t="s">
        <v>88</v>
      </c>
      <c r="N146" t="s">
        <v>126</v>
      </c>
      <c r="O146" t="s">
        <v>91</v>
      </c>
      <c r="P146">
        <v>0.084694873525903019</v>
      </c>
      <c r="Q146" t="s">
        <v>88</v>
      </c>
      <c r="S146" t="s">
        <v>141</v>
      </c>
      <c r="T146" t="s">
        <v>91</v>
      </c>
      <c r="U146">
        <v>0.096313868785520299</v>
      </c>
      <c r="V146" t="s">
        <v>88</v>
      </c>
    </row>
    <row r="147" spans="9:22" ht="14.2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ht="14.2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0.061475859560253317</v>
      </c>
      <c r="Q148" t="s">
        <v>88</v>
      </c>
      <c r="S148" t="s">
        <v>141</v>
      </c>
      <c r="T148" t="s">
        <v>93</v>
      </c>
      <c r="U148">
        <v>0.071612532289267811</v>
      </c>
      <c r="V148" t="s">
        <v>88</v>
      </c>
    </row>
    <row r="149" spans="9:22" ht="14.25">
      <c r="I149" t="s">
        <v>110</v>
      </c>
      <c r="J149" t="s">
        <v>94</v>
      </c>
      <c r="K149">
        <v>0.0065686126647732093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ht="14.2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ht="14.2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0.076478594180589332</v>
      </c>
      <c r="Q151" t="s">
        <v>88</v>
      </c>
      <c r="S151" t="s">
        <v>141</v>
      </c>
      <c r="T151" t="s">
        <v>96</v>
      </c>
      <c r="U151">
        <v>0.079628435472653719</v>
      </c>
      <c r="V151" t="s">
        <v>88</v>
      </c>
    </row>
    <row r="152" spans="9:22" ht="14.25">
      <c r="I152" t="s">
        <v>110</v>
      </c>
      <c r="J152" t="s">
        <v>97</v>
      </c>
      <c r="K152">
        <v>0.019808088774423815</v>
      </c>
      <c r="L152" t="s">
        <v>88</v>
      </c>
      <c r="N152" t="s">
        <v>126</v>
      </c>
      <c r="O152" t="s">
        <v>97</v>
      </c>
      <c r="P152">
        <v>0.034472999382024083</v>
      </c>
      <c r="Q152" t="s">
        <v>88</v>
      </c>
      <c r="S152" t="s">
        <v>141</v>
      </c>
      <c r="T152" t="s">
        <v>97</v>
      </c>
      <c r="U152">
        <v>0.037923115182970799</v>
      </c>
      <c r="V152" t="s">
        <v>88</v>
      </c>
    </row>
    <row r="153" spans="9:22" ht="14.2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0.083058573039136954</v>
      </c>
      <c r="Q153" t="s">
        <v>88</v>
      </c>
      <c r="S153" t="s">
        <v>141</v>
      </c>
      <c r="T153" t="s">
        <v>98</v>
      </c>
      <c r="U153">
        <v>0.074748051635982179</v>
      </c>
      <c r="V153" t="s">
        <v>88</v>
      </c>
    </row>
    <row r="154" spans="9:22" ht="14.25">
      <c r="I154" t="s">
        <v>110</v>
      </c>
      <c r="J154" t="s">
        <v>99</v>
      </c>
      <c r="K154">
        <v>0.0041023227879827973</v>
      </c>
      <c r="L154" t="s">
        <v>88</v>
      </c>
      <c r="N154" t="s">
        <v>126</v>
      </c>
      <c r="O154" t="s">
        <v>99</v>
      </c>
      <c r="P154">
        <v>0.02439958627462583</v>
      </c>
      <c r="Q154" t="s">
        <v>88</v>
      </c>
      <c r="S154" t="s">
        <v>141</v>
      </c>
      <c r="T154" t="s">
        <v>99</v>
      </c>
      <c r="U154">
        <v>0.027941102843352775</v>
      </c>
      <c r="V154" t="s">
        <v>88</v>
      </c>
    </row>
    <row r="155" spans="9:22" ht="14.25">
      <c r="I155" t="s">
        <v>111</v>
      </c>
      <c r="J155" t="s">
        <v>87</v>
      </c>
      <c r="K155">
        <v>0.014762668377254365</v>
      </c>
      <c r="L155" t="s">
        <v>88</v>
      </c>
      <c r="N155" t="s">
        <v>127</v>
      </c>
      <c r="O155" t="s">
        <v>87</v>
      </c>
      <c r="P155">
        <v>0.0391230512776213</v>
      </c>
      <c r="Q155" t="s">
        <v>88</v>
      </c>
      <c r="S155" t="s">
        <v>142</v>
      </c>
      <c r="T155" t="s">
        <v>87</v>
      </c>
      <c r="U155">
        <v>0.043878857727994373</v>
      </c>
      <c r="V155" t="s">
        <v>88</v>
      </c>
    </row>
    <row r="156" spans="9:22" ht="14.2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0.083639741515645794</v>
      </c>
      <c r="Q156" t="s">
        <v>88</v>
      </c>
      <c r="S156" t="s">
        <v>142</v>
      </c>
      <c r="T156" t="s">
        <v>89</v>
      </c>
      <c r="U156">
        <v>0.07232346601201621</v>
      </c>
      <c r="V156" t="s">
        <v>88</v>
      </c>
    </row>
    <row r="157" spans="9:22" ht="14.25">
      <c r="I157" t="s">
        <v>111</v>
      </c>
      <c r="J157" t="s">
        <v>90</v>
      </c>
      <c r="K157">
        <v>0.0081679362196757383</v>
      </c>
      <c r="L157" t="s">
        <v>88</v>
      </c>
      <c r="N157" t="s">
        <v>127</v>
      </c>
      <c r="O157" t="s">
        <v>90</v>
      </c>
      <c r="P157">
        <v>0.026416031423414053</v>
      </c>
      <c r="Q157" t="s">
        <v>88</v>
      </c>
      <c r="S157" t="s">
        <v>142</v>
      </c>
      <c r="T157" t="s">
        <v>90</v>
      </c>
      <c r="U157">
        <v>0.030195142014867473</v>
      </c>
      <c r="V157" t="s">
        <v>88</v>
      </c>
    </row>
    <row r="158" spans="9:22" ht="14.25">
      <c r="I158" t="s">
        <v>111</v>
      </c>
      <c r="J158" t="s">
        <v>91</v>
      </c>
      <c r="K158">
        <v>0.00048590255878886313</v>
      </c>
      <c r="L158" t="s">
        <v>88</v>
      </c>
      <c r="N158" t="s">
        <v>127</v>
      </c>
      <c r="O158" t="s">
        <v>91</v>
      </c>
      <c r="P158">
        <v>0.079445400515675516</v>
      </c>
      <c r="Q158" t="s">
        <v>88</v>
      </c>
      <c r="S158" t="s">
        <v>142</v>
      </c>
      <c r="T158" t="s">
        <v>91</v>
      </c>
      <c r="U158">
        <v>0.09858788722980745</v>
      </c>
      <c r="V158" t="s">
        <v>88</v>
      </c>
    </row>
    <row r="159" spans="9:22" ht="14.2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ht="14.2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0.053824054327949809</v>
      </c>
      <c r="Q160" t="s">
        <v>88</v>
      </c>
      <c r="S160" t="s">
        <v>142</v>
      </c>
      <c r="T160" t="s">
        <v>93</v>
      </c>
      <c r="U160">
        <v>0.070901389501972348</v>
      </c>
      <c r="V160" t="s">
        <v>88</v>
      </c>
    </row>
    <row r="161" spans="9:22" ht="14.25">
      <c r="I161" t="s">
        <v>111</v>
      </c>
      <c r="J161" t="s">
        <v>94</v>
      </c>
      <c r="K161">
        <v>0.0063806951251091405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ht="14.2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ht="14.2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0.091705647278972041</v>
      </c>
      <c r="Q163" t="s">
        <v>88</v>
      </c>
      <c r="S163" t="s">
        <v>142</v>
      </c>
      <c r="T163" t="s">
        <v>96</v>
      </c>
      <c r="U163">
        <v>0.075223970182377448</v>
      </c>
      <c r="V163" t="s">
        <v>88</v>
      </c>
    </row>
    <row r="164" spans="9:22" ht="14.25">
      <c r="I164" t="s">
        <v>111</v>
      </c>
      <c r="J164" t="s">
        <v>97</v>
      </c>
      <c r="K164">
        <v>0.018985846721786874</v>
      </c>
      <c r="L164" t="s">
        <v>88</v>
      </c>
      <c r="N164" t="s">
        <v>127</v>
      </c>
      <c r="O164" t="s">
        <v>97</v>
      </c>
      <c r="P164">
        <v>0.029387869774383332</v>
      </c>
      <c r="Q164" t="s">
        <v>88</v>
      </c>
      <c r="S164" t="s">
        <v>142</v>
      </c>
      <c r="T164" t="s">
        <v>97</v>
      </c>
      <c r="U164">
        <v>0.041785871737382053</v>
      </c>
      <c r="V164" t="s">
        <v>88</v>
      </c>
    </row>
    <row r="165" spans="9:22" ht="14.2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0.071543601157305667</v>
      </c>
      <c r="Q165" t="s">
        <v>88</v>
      </c>
      <c r="S165" t="s">
        <v>142</v>
      </c>
      <c r="T165" t="s">
        <v>98</v>
      </c>
      <c r="U165">
        <v>0.076210773815258537</v>
      </c>
      <c r="V165" t="s">
        <v>88</v>
      </c>
    </row>
    <row r="166" spans="9:22" ht="14.25">
      <c r="I166" t="s">
        <v>111</v>
      </c>
      <c r="J166" t="s">
        <v>99</v>
      </c>
      <c r="K166">
        <v>0.0053723763312593306</v>
      </c>
      <c r="L166" t="s">
        <v>88</v>
      </c>
      <c r="N166" t="s">
        <v>127</v>
      </c>
      <c r="O166" t="s">
        <v>99</v>
      </c>
      <c r="P166">
        <v>0.020978925790106663</v>
      </c>
      <c r="Q166" t="s">
        <v>88</v>
      </c>
      <c r="S166" t="s">
        <v>142</v>
      </c>
      <c r="T166" t="s">
        <v>99</v>
      </c>
      <c r="U166">
        <v>0.030273090469109358</v>
      </c>
      <c r="V166" t="s">
        <v>88</v>
      </c>
    </row>
    <row r="167" spans="9:22" ht="14.25">
      <c r="I167" t="s">
        <v>112</v>
      </c>
      <c r="J167" t="s">
        <v>87</v>
      </c>
      <c r="K167">
        <v>0.01269591294138471</v>
      </c>
      <c r="L167" t="s">
        <v>88</v>
      </c>
      <c r="N167" t="s">
        <v>128</v>
      </c>
      <c r="O167" t="s">
        <v>87</v>
      </c>
      <c r="P167">
        <v>0.038162921057989005</v>
      </c>
      <c r="Q167" t="s">
        <v>88</v>
      </c>
      <c r="S167" t="s">
        <v>143</v>
      </c>
      <c r="T167" t="s">
        <v>87</v>
      </c>
      <c r="U167">
        <v>0.048385861909298271</v>
      </c>
      <c r="V167" t="s">
        <v>88</v>
      </c>
    </row>
    <row r="168" spans="9:22" ht="14.2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0.085468626635869419</v>
      </c>
      <c r="V168" t="s">
        <v>88</v>
      </c>
    </row>
    <row r="169" spans="9:22" ht="14.25">
      <c r="I169" t="s">
        <v>112</v>
      </c>
      <c r="J169" t="s">
        <v>90</v>
      </c>
      <c r="K169">
        <v>0.0070153684853649567</v>
      </c>
      <c r="L169" t="s">
        <v>88</v>
      </c>
      <c r="N169" t="s">
        <v>128</v>
      </c>
      <c r="O169" t="s">
        <v>90</v>
      </c>
      <c r="P169">
        <v>0.027088490075067605</v>
      </c>
      <c r="Q169" t="s">
        <v>88</v>
      </c>
      <c r="S169" t="s">
        <v>143</v>
      </c>
      <c r="T169" t="s">
        <v>90</v>
      </c>
      <c r="U169">
        <v>0.034679027892348398</v>
      </c>
      <c r="V169" t="s">
        <v>88</v>
      </c>
    </row>
    <row r="170" spans="9:22" ht="14.25">
      <c r="I170" t="s">
        <v>112</v>
      </c>
      <c r="J170" t="s">
        <v>91</v>
      </c>
      <c r="K170">
        <v>0.0014619897285317383</v>
      </c>
      <c r="L170" t="s">
        <v>88</v>
      </c>
      <c r="N170" t="s">
        <v>128</v>
      </c>
      <c r="O170" t="s">
        <v>91</v>
      </c>
      <c r="P170">
        <v>0.08072927505179707</v>
      </c>
      <c r="Q170" t="s">
        <v>88</v>
      </c>
      <c r="S170" t="s">
        <v>143</v>
      </c>
      <c r="T170" t="s">
        <v>91</v>
      </c>
      <c r="U170">
        <v>0.095908163259834076</v>
      </c>
      <c r="V170" t="s">
        <v>88</v>
      </c>
    </row>
    <row r="171" spans="9:22" ht="14.2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ht="14.2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0.051741483600845635</v>
      </c>
      <c r="Q172" t="s">
        <v>88</v>
      </c>
      <c r="S172" t="s">
        <v>143</v>
      </c>
      <c r="T172" t="s">
        <v>93</v>
      </c>
      <c r="U172">
        <v>0.06984026909836516</v>
      </c>
      <c r="V172" t="s">
        <v>88</v>
      </c>
    </row>
    <row r="173" spans="9:22" ht="14.25">
      <c r="I173" t="s">
        <v>112</v>
      </c>
      <c r="J173" t="s">
        <v>94</v>
      </c>
      <c r="K173">
        <v>0.0044430231817822168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ht="14.2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ht="14.2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0.079368303762034451</v>
      </c>
      <c r="Q175" t="s">
        <v>88</v>
      </c>
      <c r="S175" t="s">
        <v>143</v>
      </c>
      <c r="T175" t="s">
        <v>96</v>
      </c>
      <c r="U175">
        <v>0.070782327736588047</v>
      </c>
      <c r="V175" t="s">
        <v>88</v>
      </c>
    </row>
    <row r="176" spans="9:22" ht="14.25">
      <c r="I176" t="s">
        <v>112</v>
      </c>
      <c r="J176" t="s">
        <v>97</v>
      </c>
      <c r="K176">
        <v>0.019668344742704812</v>
      </c>
      <c r="L176" t="s">
        <v>88</v>
      </c>
      <c r="N176" t="s">
        <v>128</v>
      </c>
      <c r="O176" t="s">
        <v>97</v>
      </c>
      <c r="P176">
        <v>0.030183045257418613</v>
      </c>
      <c r="Q176" t="s">
        <v>88</v>
      </c>
      <c r="S176" t="s">
        <v>143</v>
      </c>
      <c r="T176" t="s">
        <v>97</v>
      </c>
      <c r="U176">
        <v>0.044795528367682191</v>
      </c>
      <c r="V176" t="s">
        <v>88</v>
      </c>
    </row>
    <row r="177" spans="9:22" ht="14.2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0.083398985037874629</v>
      </c>
      <c r="Q177" t="s">
        <v>88</v>
      </c>
      <c r="S177" t="s">
        <v>143</v>
      </c>
      <c r="T177" t="s">
        <v>98</v>
      </c>
      <c r="U177">
        <v>0.077196306273606158</v>
      </c>
      <c r="V177" t="s">
        <v>88</v>
      </c>
    </row>
    <row r="178" spans="9:22" ht="14.25">
      <c r="I178" t="s">
        <v>112</v>
      </c>
      <c r="J178" t="s">
        <v>99</v>
      </c>
      <c r="K178">
        <v>0.0039575274721653604</v>
      </c>
      <c r="L178" t="s">
        <v>88</v>
      </c>
      <c r="N178" t="s">
        <v>128</v>
      </c>
      <c r="O178" t="s">
        <v>99</v>
      </c>
      <c r="P178">
        <v>0.025818342984832949</v>
      </c>
      <c r="Q178" t="s">
        <v>88</v>
      </c>
      <c r="S178" t="s">
        <v>143</v>
      </c>
      <c r="T178" t="s">
        <v>99</v>
      </c>
      <c r="U178">
        <v>0.031362736048274151</v>
      </c>
      <c r="V178" t="s">
        <v>88</v>
      </c>
    </row>
    <row r="179" spans="9:22" ht="14.25">
      <c r="I179" t="s">
        <v>113</v>
      </c>
      <c r="J179" t="s">
        <v>87</v>
      </c>
      <c r="K179">
        <v>0.011283444807366285</v>
      </c>
      <c r="L179" t="s">
        <v>88</v>
      </c>
      <c r="N179" t="s">
        <v>129</v>
      </c>
      <c r="O179" t="s">
        <v>87</v>
      </c>
      <c r="P179">
        <v>0.037317766557931377</v>
      </c>
      <c r="Q179" t="s">
        <v>88</v>
      </c>
      <c r="S179" t="s">
        <v>144</v>
      </c>
      <c r="T179" t="s">
        <v>87</v>
      </c>
      <c r="U179">
        <v>0.049399140203958948</v>
      </c>
      <c r="V179" t="s">
        <v>88</v>
      </c>
    </row>
    <row r="180" spans="9:22" ht="14.2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0.092340674191350086</v>
      </c>
      <c r="Q180" t="s">
        <v>88</v>
      </c>
      <c r="S180" t="s">
        <v>144</v>
      </c>
      <c r="T180" t="s">
        <v>89</v>
      </c>
      <c r="U180">
        <v>0.084290616761816692</v>
      </c>
      <c r="V180" t="s">
        <v>88</v>
      </c>
    </row>
    <row r="181" spans="9:22" ht="14.25">
      <c r="I181" t="s">
        <v>113</v>
      </c>
      <c r="J181" t="s">
        <v>90</v>
      </c>
      <c r="K181">
        <v>0.0097172257229466118</v>
      </c>
      <c r="L181" t="s">
        <v>88</v>
      </c>
      <c r="N181" t="s">
        <v>129</v>
      </c>
      <c r="O181" t="s">
        <v>90</v>
      </c>
      <c r="P181">
        <v>0.027333443117596994</v>
      </c>
      <c r="Q181" t="s">
        <v>88</v>
      </c>
      <c r="S181" t="s">
        <v>144</v>
      </c>
      <c r="T181" t="s">
        <v>90</v>
      </c>
      <c r="U181">
        <v>0.034511427726592901</v>
      </c>
      <c r="V181" t="s">
        <v>88</v>
      </c>
    </row>
    <row r="182" spans="9:22" ht="14.25">
      <c r="I182" t="s">
        <v>113</v>
      </c>
      <c r="J182" t="s">
        <v>91</v>
      </c>
      <c r="K182">
        <v>0.00014619111061697998</v>
      </c>
      <c r="L182" t="s">
        <v>88</v>
      </c>
      <c r="N182" t="s">
        <v>129</v>
      </c>
      <c r="O182" t="s">
        <v>91</v>
      </c>
      <c r="P182">
        <v>0.066451423148156344</v>
      </c>
      <c r="Q182" t="s">
        <v>88</v>
      </c>
      <c r="S182" t="s">
        <v>144</v>
      </c>
      <c r="T182" t="s">
        <v>91</v>
      </c>
      <c r="U182">
        <v>0.092452520312879288</v>
      </c>
      <c r="V182" t="s">
        <v>88</v>
      </c>
    </row>
    <row r="183" spans="9:22" ht="14.2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ht="14.2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0.049932608531903767</v>
      </c>
      <c r="Q184" t="s">
        <v>88</v>
      </c>
      <c r="S184" t="s">
        <v>144</v>
      </c>
      <c r="T184" t="s">
        <v>93</v>
      </c>
      <c r="U184">
        <v>0.066482050033429468</v>
      </c>
      <c r="V184" t="s">
        <v>88</v>
      </c>
    </row>
    <row r="185" spans="9:22" ht="14.25">
      <c r="I185" t="s">
        <v>113</v>
      </c>
      <c r="J185" t="s">
        <v>94</v>
      </c>
      <c r="K185">
        <v>0.0030012302829334524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ht="14.2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ht="14.2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0.088497800601999646</v>
      </c>
      <c r="Q187" t="s">
        <v>88</v>
      </c>
      <c r="S187" t="s">
        <v>144</v>
      </c>
      <c r="T187" t="s">
        <v>96</v>
      </c>
      <c r="U187">
        <v>0.072336378849569241</v>
      </c>
      <c r="V187" t="s">
        <v>88</v>
      </c>
    </row>
    <row r="188" spans="9:22" ht="14.25">
      <c r="I188" t="s">
        <v>113</v>
      </c>
      <c r="J188" t="s">
        <v>97</v>
      </c>
      <c r="K188">
        <v>0.018188394800587114</v>
      </c>
      <c r="L188" t="s">
        <v>88</v>
      </c>
      <c r="N188" t="s">
        <v>129</v>
      </c>
      <c r="O188" t="s">
        <v>97</v>
      </c>
      <c r="P188">
        <v>0.033770963527989438</v>
      </c>
      <c r="Q188" t="s">
        <v>88</v>
      </c>
      <c r="S188" t="s">
        <v>144</v>
      </c>
      <c r="T188" t="s">
        <v>97</v>
      </c>
      <c r="U188">
        <v>0.045487047697644403</v>
      </c>
      <c r="V188" t="s">
        <v>88</v>
      </c>
    </row>
    <row r="189" spans="9:22" ht="14.2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0.087529616565662646</v>
      </c>
      <c r="Q189" t="s">
        <v>88</v>
      </c>
      <c r="S189" t="s">
        <v>144</v>
      </c>
      <c r="T189" t="s">
        <v>98</v>
      </c>
      <c r="U189">
        <v>0.078618250719435886</v>
      </c>
      <c r="V189" t="s">
        <v>88</v>
      </c>
    </row>
    <row r="190" spans="9:22" ht="14.25">
      <c r="I190" t="s">
        <v>113</v>
      </c>
      <c r="J190" t="s">
        <v>99</v>
      </c>
      <c r="K190">
        <v>0.0081281027281435974</v>
      </c>
      <c r="L190" t="s">
        <v>88</v>
      </c>
      <c r="N190" t="s">
        <v>129</v>
      </c>
      <c r="O190" t="s">
        <v>99</v>
      </c>
      <c r="P190">
        <v>0.026114776398533754</v>
      </c>
      <c r="Q190" t="s">
        <v>88</v>
      </c>
      <c r="S190" t="s">
        <v>144</v>
      </c>
      <c r="T190" t="s">
        <v>99</v>
      </c>
      <c r="U190">
        <v>0.031829364796889609</v>
      </c>
      <c r="V190" t="s">
        <v>88</v>
      </c>
    </row>
    <row r="191" spans="9:22" ht="14.25">
      <c r="I191" t="s">
        <v>114</v>
      </c>
      <c r="J191" t="s">
        <v>87</v>
      </c>
      <c r="K191">
        <v>0.01132210356249686</v>
      </c>
      <c r="L191" t="s">
        <v>88</v>
      </c>
      <c r="S191" t="s">
        <v>145</v>
      </c>
      <c r="T191" t="s">
        <v>87</v>
      </c>
      <c r="U191">
        <v>0.044140868047100518</v>
      </c>
      <c r="V191" t="s">
        <v>88</v>
      </c>
    </row>
    <row r="192" spans="9:22" ht="14.2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0.07783992439856835</v>
      </c>
      <c r="V192" t="s">
        <v>88</v>
      </c>
    </row>
    <row r="193" spans="9:22" ht="14.25">
      <c r="I193" t="s">
        <v>114</v>
      </c>
      <c r="J193" t="s">
        <v>90</v>
      </c>
      <c r="K193">
        <v>0.0080577535387607868</v>
      </c>
      <c r="L193" t="s">
        <v>88</v>
      </c>
      <c r="S193" t="s">
        <v>145</v>
      </c>
      <c r="T193" t="s">
        <v>90</v>
      </c>
      <c r="U193">
        <v>0.031080256047825001</v>
      </c>
      <c r="V193" t="s">
        <v>88</v>
      </c>
    </row>
    <row r="194" spans="9:22" ht="14.25">
      <c r="I194" t="s">
        <v>114</v>
      </c>
      <c r="J194" t="s">
        <v>91</v>
      </c>
      <c r="K194">
        <v>0.00061671144346517011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ht="14.2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ht="14.2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0.069954322311064868</v>
      </c>
      <c r="V196" t="s">
        <v>88</v>
      </c>
    </row>
    <row r="197" spans="9:22" ht="14.25">
      <c r="I197" t="s">
        <v>114</v>
      </c>
      <c r="J197" t="s">
        <v>94</v>
      </c>
      <c r="K197">
        <v>0.0033866700319800784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ht="14.2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ht="14.2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0.071658218816553529</v>
      </c>
      <c r="V199" t="s">
        <v>88</v>
      </c>
    </row>
    <row r="200" spans="9:22" ht="14.25">
      <c r="I200" t="s">
        <v>114</v>
      </c>
      <c r="J200" t="s">
        <v>97</v>
      </c>
      <c r="K200">
        <v>0.01807425184029721</v>
      </c>
      <c r="L200" t="s">
        <v>88</v>
      </c>
      <c r="S200" t="s">
        <v>145</v>
      </c>
      <c r="T200" t="s">
        <v>97</v>
      </c>
      <c r="U200">
        <v>0.045313382338302649</v>
      </c>
      <c r="V200" t="s">
        <v>88</v>
      </c>
    </row>
    <row r="201" spans="9:22" ht="14.2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0.073995492254984988</v>
      </c>
      <c r="V201" t="s">
        <v>88</v>
      </c>
    </row>
    <row r="202" spans="9:22" ht="14.25">
      <c r="I202" t="s">
        <v>114</v>
      </c>
      <c r="J202" t="s">
        <v>99</v>
      </c>
      <c r="K202">
        <v>0.0052495760210720917</v>
      </c>
      <c r="L202" t="s">
        <v>88</v>
      </c>
      <c r="S202" t="s">
        <v>145</v>
      </c>
      <c r="T202" t="s">
        <v>99</v>
      </c>
      <c r="U202">
        <v>0.0304621828890838</v>
      </c>
      <c r="V202" t="s">
        <v>88</v>
      </c>
    </row>
    <row r="203" spans="19:22" ht="14.25">
      <c r="S203" t="s">
        <v>146</v>
      </c>
      <c r="T203" t="s">
        <v>87</v>
      </c>
      <c r="U203">
        <v>0.049590834770101136</v>
      </c>
      <c r="V203" t="s">
        <v>88</v>
      </c>
    </row>
    <row r="204" spans="19:22" ht="14.25">
      <c r="S204" t="s">
        <v>146</v>
      </c>
      <c r="T204" t="s">
        <v>89</v>
      </c>
      <c r="U204">
        <v>0.084539059944664458</v>
      </c>
      <c r="V204" t="s">
        <v>88</v>
      </c>
    </row>
    <row r="205" spans="19:22" ht="14.25">
      <c r="S205" t="s">
        <v>146</v>
      </c>
      <c r="T205" t="s">
        <v>90</v>
      </c>
      <c r="U205">
        <v>0.035226357783051353</v>
      </c>
      <c r="V205" t="s">
        <v>88</v>
      </c>
    </row>
    <row r="206" spans="19:22" ht="14.25">
      <c r="S206" t="s">
        <v>146</v>
      </c>
      <c r="T206" t="s">
        <v>91</v>
      </c>
      <c r="U206">
        <v>0.092090600577230522</v>
      </c>
      <c r="V206" t="s">
        <v>88</v>
      </c>
    </row>
    <row r="207" spans="19:22" ht="14.25">
      <c r="S207" t="s">
        <v>146</v>
      </c>
      <c r="T207" t="s">
        <v>92</v>
      </c>
      <c r="U207">
        <v>0.15981722876618254</v>
      </c>
      <c r="V207" t="s">
        <v>88</v>
      </c>
    </row>
    <row r="208" spans="19:22" ht="14.25">
      <c r="S208" t="s">
        <v>146</v>
      </c>
      <c r="T208" t="s">
        <v>93</v>
      </c>
      <c r="U208">
        <v>0.065239280597806912</v>
      </c>
      <c r="V208" t="s">
        <v>88</v>
      </c>
    </row>
    <row r="209" spans="19:22" ht="14.25">
      <c r="S209" t="s">
        <v>146</v>
      </c>
      <c r="T209" t="s">
        <v>94</v>
      </c>
      <c r="U209">
        <v>0.10624413355854975</v>
      </c>
      <c r="V209" t="s">
        <v>88</v>
      </c>
    </row>
    <row r="210" spans="19:22" ht="14.25">
      <c r="S210" t="s">
        <v>146</v>
      </c>
      <c r="T210" t="s">
        <v>95</v>
      </c>
      <c r="U210">
        <v>0.17830924260477415</v>
      </c>
      <c r="V210" t="s">
        <v>88</v>
      </c>
    </row>
    <row r="211" spans="19:22" ht="14.25">
      <c r="S211" t="s">
        <v>146</v>
      </c>
      <c r="T211" t="s">
        <v>96</v>
      </c>
      <c r="U211">
        <v>0.073080524414926906</v>
      </c>
      <c r="V211" t="s">
        <v>88</v>
      </c>
    </row>
    <row r="212" spans="19:22" ht="14.25">
      <c r="S212" t="s">
        <v>146</v>
      </c>
      <c r="T212" t="s">
        <v>97</v>
      </c>
      <c r="U212">
        <v>0.045546417605074524</v>
      </c>
      <c r="V212" t="s">
        <v>88</v>
      </c>
    </row>
    <row r="213" spans="19:22" ht="14.25">
      <c r="S213" t="s">
        <v>146</v>
      </c>
      <c r="T213" t="s">
        <v>98</v>
      </c>
      <c r="U213">
        <v>0.079126295246468692</v>
      </c>
      <c r="V213" t="s">
        <v>88</v>
      </c>
    </row>
    <row r="214" spans="19:22" ht="14.25">
      <c r="S214" t="s">
        <v>146</v>
      </c>
      <c r="T214" t="s">
        <v>99</v>
      </c>
      <c r="U214">
        <v>0.031190024131170658</v>
      </c>
      <c r="V214" t="s">
        <v>88</v>
      </c>
    </row>
    <row r="215" spans="19:22" ht="14.25">
      <c r="S215" t="s">
        <v>147</v>
      </c>
      <c r="T215" t="s">
        <v>87</v>
      </c>
      <c r="U215">
        <v>0.048474794683367295</v>
      </c>
      <c r="V215" t="s">
        <v>88</v>
      </c>
    </row>
    <row r="216" spans="19:22" ht="14.25">
      <c r="S216" t="s">
        <v>147</v>
      </c>
      <c r="T216" t="s">
        <v>89</v>
      </c>
      <c r="U216">
        <v>0.083673408890011486</v>
      </c>
      <c r="V216" t="s">
        <v>88</v>
      </c>
    </row>
    <row r="217" spans="19:22" ht="14.25">
      <c r="S217" t="s">
        <v>147</v>
      </c>
      <c r="T217" t="s">
        <v>90</v>
      </c>
      <c r="U217">
        <v>0.035344833768554906</v>
      </c>
      <c r="V217" t="s">
        <v>88</v>
      </c>
    </row>
    <row r="218" spans="19:22" ht="14.25">
      <c r="S218" t="s">
        <v>147</v>
      </c>
      <c r="T218" t="s">
        <v>91</v>
      </c>
      <c r="U218">
        <v>0.095452828104875223</v>
      </c>
      <c r="V218" t="s">
        <v>88</v>
      </c>
    </row>
    <row r="219" spans="19:22" ht="14.25">
      <c r="S219" t="s">
        <v>147</v>
      </c>
      <c r="T219" t="s">
        <v>92</v>
      </c>
      <c r="U219">
        <v>0.16540892190569467</v>
      </c>
      <c r="V219" t="s">
        <v>88</v>
      </c>
    </row>
    <row r="220" spans="19:22" ht="14.25">
      <c r="S220" t="s">
        <v>147</v>
      </c>
      <c r="T220" t="s">
        <v>93</v>
      </c>
      <c r="U220">
        <v>0.068097220695606933</v>
      </c>
      <c r="V220" t="s">
        <v>88</v>
      </c>
    </row>
    <row r="221" spans="19:22" ht="14.25">
      <c r="S221" t="s">
        <v>147</v>
      </c>
      <c r="T221" t="s">
        <v>94</v>
      </c>
      <c r="U221">
        <v>0.10071812710570528</v>
      </c>
      <c r="V221" t="s">
        <v>88</v>
      </c>
    </row>
    <row r="222" spans="19:22" ht="14.25">
      <c r="S222" t="s">
        <v>147</v>
      </c>
      <c r="T222" t="s">
        <v>95</v>
      </c>
      <c r="U222">
        <v>0.17736215353256263</v>
      </c>
      <c r="V222" t="s">
        <v>88</v>
      </c>
    </row>
    <row r="223" spans="19:22" ht="14.25">
      <c r="S223" t="s">
        <v>147</v>
      </c>
      <c r="T223" t="s">
        <v>96</v>
      </c>
      <c r="U223">
        <v>0.072252838807534692</v>
      </c>
      <c r="V223" t="s">
        <v>88</v>
      </c>
    </row>
    <row r="224" spans="19:22" ht="14.25">
      <c r="S224" t="s">
        <v>147</v>
      </c>
      <c r="T224" t="s">
        <v>97</v>
      </c>
      <c r="U224">
        <v>0.042942925342579236</v>
      </c>
      <c r="V224" t="s">
        <v>88</v>
      </c>
    </row>
    <row r="225" spans="19:22" ht="14.25">
      <c r="S225" t="s">
        <v>147</v>
      </c>
      <c r="T225" t="s">
        <v>98</v>
      </c>
      <c r="U225">
        <v>0.07918984256566515</v>
      </c>
      <c r="V225" t="s">
        <v>88</v>
      </c>
    </row>
    <row r="226" spans="19:22" ht="14.25">
      <c r="S226" t="s">
        <v>147</v>
      </c>
      <c r="T226" t="s">
        <v>99</v>
      </c>
      <c r="U226">
        <v>0.03108210459784164</v>
      </c>
      <c r="V226" t="s">
        <v>88</v>
      </c>
    </row>
    <row r="227" spans="19:22" ht="14.25">
      <c r="S227" t="s">
        <v>148</v>
      </c>
      <c r="T227" t="s">
        <v>87</v>
      </c>
      <c r="U227">
        <v>0.047573097686372717</v>
      </c>
      <c r="V227" t="s">
        <v>88</v>
      </c>
    </row>
    <row r="228" spans="19:22" ht="14.25">
      <c r="S228" t="s">
        <v>148</v>
      </c>
      <c r="T228" t="s">
        <v>89</v>
      </c>
      <c r="U228">
        <v>0.08443062707662137</v>
      </c>
      <c r="V228" t="s">
        <v>88</v>
      </c>
    </row>
    <row r="229" spans="19:22" ht="14.25">
      <c r="S229" t="s">
        <v>148</v>
      </c>
      <c r="T229" t="s">
        <v>90</v>
      </c>
      <c r="U229">
        <v>0.034701268427047016</v>
      </c>
      <c r="V229" t="s">
        <v>88</v>
      </c>
    </row>
    <row r="230" spans="19:22" ht="14.25">
      <c r="S230" t="s">
        <v>148</v>
      </c>
      <c r="T230" t="s">
        <v>91</v>
      </c>
      <c r="U230">
        <v>0.096457503457718141</v>
      </c>
      <c r="V230" t="s">
        <v>88</v>
      </c>
    </row>
    <row r="231" spans="19:22" ht="14.25">
      <c r="S231" t="s">
        <v>148</v>
      </c>
      <c r="T231" t="s">
        <v>92</v>
      </c>
      <c r="U231">
        <v>0.16590034800085132</v>
      </c>
      <c r="V231" t="s">
        <v>88</v>
      </c>
    </row>
    <row r="232" spans="19:22" ht="14.25">
      <c r="S232" t="s">
        <v>148</v>
      </c>
      <c r="T232" t="s">
        <v>93</v>
      </c>
      <c r="U232">
        <v>0.067867105141225542</v>
      </c>
      <c r="V232" t="s">
        <v>88</v>
      </c>
    </row>
    <row r="233" spans="19:22" ht="14.25">
      <c r="S233" t="s">
        <v>148</v>
      </c>
      <c r="T233" t="s">
        <v>94</v>
      </c>
      <c r="U233">
        <v>0.10070965276091741</v>
      </c>
      <c r="V233" t="s">
        <v>88</v>
      </c>
    </row>
    <row r="234" spans="19:22" ht="14.25">
      <c r="S234" t="s">
        <v>148</v>
      </c>
      <c r="T234" t="s">
        <v>95</v>
      </c>
      <c r="U234">
        <v>0.1761409010781651</v>
      </c>
      <c r="V234" t="s">
        <v>88</v>
      </c>
    </row>
    <row r="235" spans="19:22" ht="14.25">
      <c r="S235" t="s">
        <v>148</v>
      </c>
      <c r="T235" t="s">
        <v>96</v>
      </c>
      <c r="U235">
        <v>0.072007756461349992</v>
      </c>
      <c r="V235" t="s">
        <v>88</v>
      </c>
    </row>
    <row r="236" spans="19:22" ht="14.25">
      <c r="S236" t="s">
        <v>148</v>
      </c>
      <c r="T236" t="s">
        <v>97</v>
      </c>
      <c r="U236">
        <v>0.046064824452167315</v>
      </c>
      <c r="V236" t="s">
        <v>88</v>
      </c>
    </row>
    <row r="237" spans="19:22" ht="14.25">
      <c r="S237" t="s">
        <v>148</v>
      </c>
      <c r="T237" t="s">
        <v>98</v>
      </c>
      <c r="U237">
        <v>0.077476497522695101</v>
      </c>
      <c r="V237" t="s">
        <v>88</v>
      </c>
    </row>
    <row r="238" spans="19:22" ht="14.25">
      <c r="S238" t="s">
        <v>148</v>
      </c>
      <c r="T238" t="s">
        <v>99</v>
      </c>
      <c r="U238">
        <v>0.030670417934868435</v>
      </c>
      <c r="V238" t="s">
        <v>88</v>
      </c>
    </row>
    <row r="239" spans="19:22" ht="14.25">
      <c r="S239" t="s">
        <v>149</v>
      </c>
      <c r="T239" t="s">
        <v>87</v>
      </c>
      <c r="U239">
        <v>0.041492678639605152</v>
      </c>
      <c r="V239" t="s">
        <v>88</v>
      </c>
    </row>
    <row r="240" spans="19:22" ht="14.25">
      <c r="S240" t="s">
        <v>149</v>
      </c>
      <c r="T240" t="s">
        <v>89</v>
      </c>
      <c r="U240">
        <v>0.068497695664419753</v>
      </c>
      <c r="V240" t="s">
        <v>88</v>
      </c>
    </row>
    <row r="241" spans="19:22" ht="14.25">
      <c r="S241" t="s">
        <v>149</v>
      </c>
      <c r="T241" t="s">
        <v>90</v>
      </c>
      <c r="U241">
        <v>0.030317158962235091</v>
      </c>
      <c r="V241" t="s">
        <v>88</v>
      </c>
    </row>
    <row r="242" spans="19:22" ht="14.25">
      <c r="S242" t="s">
        <v>149</v>
      </c>
      <c r="T242" t="s">
        <v>91</v>
      </c>
      <c r="U242">
        <v>0.092122677408900996</v>
      </c>
      <c r="V242" t="s">
        <v>88</v>
      </c>
    </row>
    <row r="243" spans="19:22" ht="14.25">
      <c r="S243" t="s">
        <v>149</v>
      </c>
      <c r="T243" t="s">
        <v>92</v>
      </c>
      <c r="U243">
        <v>0.15744631779226573</v>
      </c>
      <c r="V243" t="s">
        <v>88</v>
      </c>
    </row>
    <row r="244" spans="19:22" ht="14.25">
      <c r="S244" t="s">
        <v>149</v>
      </c>
      <c r="T244" t="s">
        <v>93</v>
      </c>
      <c r="U244">
        <v>0.064590595983541291</v>
      </c>
      <c r="V244" t="s">
        <v>88</v>
      </c>
    </row>
    <row r="245" spans="19:22" ht="14.25">
      <c r="S245" t="s">
        <v>149</v>
      </c>
      <c r="T245" t="s">
        <v>94</v>
      </c>
      <c r="U245">
        <v>0.11686770566361619</v>
      </c>
      <c r="V245" t="s">
        <v>88</v>
      </c>
    </row>
    <row r="246" spans="19:22" ht="14.25">
      <c r="S246" t="s">
        <v>149</v>
      </c>
      <c r="T246" t="s">
        <v>95</v>
      </c>
      <c r="U246">
        <v>0.20094135692825205</v>
      </c>
      <c r="V246" t="s">
        <v>88</v>
      </c>
    </row>
    <row r="247" spans="19:22" ht="14.25">
      <c r="S247" t="s">
        <v>149</v>
      </c>
      <c r="T247" t="s">
        <v>96</v>
      </c>
      <c r="U247">
        <v>0.08718013548836015</v>
      </c>
      <c r="V247" t="s">
        <v>88</v>
      </c>
    </row>
    <row r="248" spans="19:22" ht="14.25">
      <c r="S248" t="s">
        <v>149</v>
      </c>
      <c r="T248" t="s">
        <v>97</v>
      </c>
      <c r="U248">
        <v>0.041539019652968349</v>
      </c>
      <c r="V248" t="s">
        <v>88</v>
      </c>
    </row>
    <row r="249" spans="19:22" ht="14.25">
      <c r="S249" t="s">
        <v>149</v>
      </c>
      <c r="T249" t="s">
        <v>98</v>
      </c>
      <c r="U249">
        <v>0.06841125114004841</v>
      </c>
      <c r="V249" t="s">
        <v>88</v>
      </c>
    </row>
    <row r="250" spans="19:22" ht="14.25">
      <c r="S250" t="s">
        <v>149</v>
      </c>
      <c r="T250" t="s">
        <v>99</v>
      </c>
      <c r="U250">
        <v>0.030593406675783759</v>
      </c>
      <c r="V250" t="s">
        <v>88</v>
      </c>
    </row>
    <row r="251" spans="19:22" ht="14.25">
      <c r="S251" t="s">
        <v>150</v>
      </c>
      <c r="T251" t="s">
        <v>87</v>
      </c>
      <c r="U251">
        <v>0.042589050299830233</v>
      </c>
      <c r="V251" t="s">
        <v>88</v>
      </c>
    </row>
    <row r="252" spans="19:22" ht="14.25">
      <c r="S252" t="s">
        <v>150</v>
      </c>
      <c r="T252" t="s">
        <v>89</v>
      </c>
      <c r="U252">
        <v>0.069344465672578334</v>
      </c>
      <c r="V252" t="s">
        <v>88</v>
      </c>
    </row>
    <row r="253" spans="19:22" ht="14.25">
      <c r="S253" t="s">
        <v>150</v>
      </c>
      <c r="T253" t="s">
        <v>90</v>
      </c>
      <c r="U253">
        <v>0.028895058171389064</v>
      </c>
      <c r="V253" t="s">
        <v>88</v>
      </c>
    </row>
    <row r="254" spans="19:22" ht="14.25">
      <c r="S254" t="s">
        <v>150</v>
      </c>
      <c r="T254" t="s">
        <v>91</v>
      </c>
      <c r="U254">
        <v>0.089092990453282728</v>
      </c>
      <c r="V254" t="s">
        <v>88</v>
      </c>
    </row>
    <row r="255" spans="19:22" ht="14.25">
      <c r="S255" t="s">
        <v>150</v>
      </c>
      <c r="T255" t="s">
        <v>92</v>
      </c>
      <c r="U255">
        <v>0.14976772607699218</v>
      </c>
      <c r="V255" t="s">
        <v>88</v>
      </c>
    </row>
    <row r="256" spans="19:22" ht="14.25">
      <c r="S256" t="s">
        <v>150</v>
      </c>
      <c r="T256" t="s">
        <v>93</v>
      </c>
      <c r="U256">
        <v>0.061025526928697116</v>
      </c>
      <c r="V256" t="s">
        <v>88</v>
      </c>
    </row>
    <row r="257" spans="19:22" ht="14.25">
      <c r="S257" t="s">
        <v>150</v>
      </c>
      <c r="T257" t="s">
        <v>94</v>
      </c>
      <c r="U257">
        <v>0.11601925516593056</v>
      </c>
      <c r="V257" t="s">
        <v>88</v>
      </c>
    </row>
    <row r="258" spans="19:22" ht="14.25">
      <c r="S258" t="s">
        <v>150</v>
      </c>
      <c r="T258" t="s">
        <v>95</v>
      </c>
      <c r="U258">
        <v>0.20098443056494969</v>
      </c>
      <c r="V258" t="s">
        <v>88</v>
      </c>
    </row>
    <row r="259" spans="19:22" ht="14.25">
      <c r="S259" t="s">
        <v>150</v>
      </c>
      <c r="T259" t="s">
        <v>96</v>
      </c>
      <c r="U259">
        <v>0.084570987399256795</v>
      </c>
      <c r="V259" t="s">
        <v>88</v>
      </c>
    </row>
    <row r="260" spans="19:22" ht="14.25">
      <c r="S260" t="s">
        <v>150</v>
      </c>
      <c r="T260" t="s">
        <v>97</v>
      </c>
      <c r="U260">
        <v>0.04537371758405391</v>
      </c>
      <c r="V260" t="s">
        <v>88</v>
      </c>
    </row>
    <row r="261" spans="19:22" ht="14.25">
      <c r="S261" t="s">
        <v>150</v>
      </c>
      <c r="T261" t="s">
        <v>98</v>
      </c>
      <c r="U261">
        <v>0.079135034425266176</v>
      </c>
      <c r="V261" t="s">
        <v>88</v>
      </c>
    </row>
    <row r="262" spans="19:22" ht="14.25">
      <c r="S262" t="s">
        <v>150</v>
      </c>
      <c r="T262" t="s">
        <v>99</v>
      </c>
      <c r="U262">
        <v>0.033201757257771088</v>
      </c>
      <c r="V262" t="s">
        <v>88</v>
      </c>
    </row>
    <row r="263" spans="19:22" ht="14.25">
      <c r="S263" t="s">
        <v>151</v>
      </c>
      <c r="T263" t="s">
        <v>87</v>
      </c>
      <c r="U263">
        <v>0.038269022719528326</v>
      </c>
      <c r="V263" t="s">
        <v>88</v>
      </c>
    </row>
    <row r="264" spans="19:22" ht="14.25">
      <c r="S264" t="s">
        <v>151</v>
      </c>
      <c r="T264" t="s">
        <v>89</v>
      </c>
      <c r="U264">
        <v>0.059175395030247172</v>
      </c>
      <c r="V264" t="s">
        <v>88</v>
      </c>
    </row>
    <row r="265" spans="19:22" ht="14.25">
      <c r="S265" t="s">
        <v>151</v>
      </c>
      <c r="T265" t="s">
        <v>90</v>
      </c>
      <c r="U265">
        <v>0.02364714515031793</v>
      </c>
      <c r="V265" t="s">
        <v>88</v>
      </c>
    </row>
    <row r="266" spans="19:22" ht="14.25">
      <c r="S266" t="s">
        <v>151</v>
      </c>
      <c r="T266" t="s">
        <v>91</v>
      </c>
      <c r="U266">
        <v>0.092694102775231754</v>
      </c>
      <c r="V266" t="s">
        <v>88</v>
      </c>
    </row>
    <row r="267" spans="19:22" ht="14.25">
      <c r="S267" t="s">
        <v>151</v>
      </c>
      <c r="T267" t="s">
        <v>92</v>
      </c>
      <c r="U267">
        <v>0.15845085082506435</v>
      </c>
      <c r="V267" t="s">
        <v>88</v>
      </c>
    </row>
    <row r="268" spans="19:22" ht="14.25">
      <c r="S268" t="s">
        <v>151</v>
      </c>
      <c r="T268" t="s">
        <v>93</v>
      </c>
      <c r="U268">
        <v>0.064796113767907976</v>
      </c>
      <c r="V268" t="s">
        <v>88</v>
      </c>
    </row>
    <row r="269" spans="19:22" ht="14.25">
      <c r="S269" t="s">
        <v>151</v>
      </c>
      <c r="T269" t="s">
        <v>94</v>
      </c>
      <c r="U269">
        <v>0.11878987170570067</v>
      </c>
      <c r="V269" t="s">
        <v>88</v>
      </c>
    </row>
    <row r="270" spans="19:22" ht="14.25">
      <c r="S270" t="s">
        <v>151</v>
      </c>
      <c r="T270" t="s">
        <v>95</v>
      </c>
      <c r="U270">
        <v>0.2053919483754382</v>
      </c>
      <c r="V270" t="s">
        <v>88</v>
      </c>
    </row>
    <row r="271" spans="19:22" ht="14.25">
      <c r="S271" t="s">
        <v>151</v>
      </c>
      <c r="T271" t="s">
        <v>96</v>
      </c>
      <c r="U271">
        <v>0.084063049435688764</v>
      </c>
      <c r="V271" t="s">
        <v>88</v>
      </c>
    </row>
    <row r="272" spans="19:22" ht="14.25">
      <c r="S272" t="s">
        <v>151</v>
      </c>
      <c r="T272" t="s">
        <v>97</v>
      </c>
      <c r="U272">
        <v>0.043389673111405937</v>
      </c>
      <c r="V272" t="s">
        <v>88</v>
      </c>
    </row>
    <row r="273" spans="19:22" ht="14.25">
      <c r="S273" t="s">
        <v>151</v>
      </c>
      <c r="T273" t="s">
        <v>98</v>
      </c>
      <c r="U273">
        <v>0.078463368333309275</v>
      </c>
      <c r="V273" t="s">
        <v>88</v>
      </c>
    </row>
    <row r="274" spans="19:22" ht="14.25">
      <c r="S274" t="s">
        <v>151</v>
      </c>
      <c r="T274" t="s">
        <v>99</v>
      </c>
      <c r="U274">
        <v>0.032869458770159829</v>
      </c>
      <c r="V274" t="s">
        <v>88</v>
      </c>
    </row>
    <row r="275" spans="19:22" ht="14.25">
      <c r="S275" t="s">
        <v>152</v>
      </c>
      <c r="T275" t="s">
        <v>87</v>
      </c>
      <c r="U275">
        <v>0.041834293430366258</v>
      </c>
      <c r="V275" t="s">
        <v>88</v>
      </c>
    </row>
    <row r="276" spans="19:22" ht="14.25">
      <c r="S276" t="s">
        <v>152</v>
      </c>
      <c r="T276" t="s">
        <v>89</v>
      </c>
      <c r="U276">
        <v>0.069541684761318306</v>
      </c>
      <c r="V276" t="s">
        <v>88</v>
      </c>
    </row>
    <row r="277" spans="19:22" ht="14.25">
      <c r="S277" t="s">
        <v>152</v>
      </c>
      <c r="T277" t="s">
        <v>90</v>
      </c>
      <c r="U277">
        <v>0.027910901383560848</v>
      </c>
      <c r="V277" t="s">
        <v>88</v>
      </c>
    </row>
    <row r="278" spans="19:22" ht="14.25">
      <c r="S278" t="s">
        <v>152</v>
      </c>
      <c r="T278" t="s">
        <v>91</v>
      </c>
      <c r="U278">
        <v>0.087699504003396572</v>
      </c>
      <c r="V278" t="s">
        <v>88</v>
      </c>
    </row>
    <row r="279" spans="19:22" ht="14.25">
      <c r="S279" t="s">
        <v>152</v>
      </c>
      <c r="T279" t="s">
        <v>92</v>
      </c>
      <c r="U279">
        <v>0.15790475280983493</v>
      </c>
      <c r="V279" t="s">
        <v>88</v>
      </c>
    </row>
    <row r="280" spans="19:22" ht="14.25">
      <c r="S280" t="s">
        <v>152</v>
      </c>
      <c r="T280" t="s">
        <v>93</v>
      </c>
      <c r="U280">
        <v>0.060908483083741458</v>
      </c>
      <c r="V280" t="s">
        <v>88</v>
      </c>
    </row>
    <row r="281" spans="19:22" ht="14.25">
      <c r="S281" t="s">
        <v>152</v>
      </c>
      <c r="T281" t="s">
        <v>94</v>
      </c>
      <c r="U281">
        <v>0.11035368829261626</v>
      </c>
      <c r="V281" t="s">
        <v>88</v>
      </c>
    </row>
    <row r="282" spans="19:22" ht="14.25">
      <c r="S282" t="s">
        <v>152</v>
      </c>
      <c r="T282" t="s">
        <v>95</v>
      </c>
      <c r="U282">
        <v>0.19667665271196594</v>
      </c>
      <c r="V282" t="s">
        <v>88</v>
      </c>
    </row>
    <row r="283" spans="19:22" ht="14.25">
      <c r="S283" t="s">
        <v>152</v>
      </c>
      <c r="T283" t="s">
        <v>96</v>
      </c>
      <c r="U283">
        <v>0.079743800789737793</v>
      </c>
      <c r="V283" t="s">
        <v>88</v>
      </c>
    </row>
    <row r="284" spans="19:22" ht="14.25">
      <c r="S284" t="s">
        <v>152</v>
      </c>
      <c r="T284" t="s">
        <v>97</v>
      </c>
      <c r="U284">
        <v>0.045087983044651787</v>
      </c>
      <c r="V284" t="s">
        <v>88</v>
      </c>
    </row>
    <row r="285" spans="19:22" ht="14.25">
      <c r="S285" t="s">
        <v>152</v>
      </c>
      <c r="T285" t="s">
        <v>98</v>
      </c>
      <c r="U285">
        <v>0.08649971759309702</v>
      </c>
      <c r="V285" t="s">
        <v>88</v>
      </c>
    </row>
    <row r="286" spans="19:22" ht="14.25">
      <c r="S286" t="s">
        <v>152</v>
      </c>
      <c r="T286" t="s">
        <v>99</v>
      </c>
      <c r="U286">
        <v>0.035838538095709666</v>
      </c>
      <c r="V286" t="s">
        <v>88</v>
      </c>
    </row>
    <row r="287" spans="19:22" ht="14.25">
      <c r="S287" t="s">
        <v>153</v>
      </c>
      <c r="T287" t="s">
        <v>87</v>
      </c>
      <c r="U287">
        <v>0.042236915982469932</v>
      </c>
      <c r="V287" t="s">
        <v>88</v>
      </c>
    </row>
    <row r="288" spans="19:22" ht="14.25">
      <c r="S288" t="s">
        <v>153</v>
      </c>
      <c r="T288" t="s">
        <v>89</v>
      </c>
      <c r="U288">
        <v>0.071974373825580723</v>
      </c>
      <c r="V288" t="s">
        <v>88</v>
      </c>
    </row>
    <row r="289" spans="19:22" ht="14.25">
      <c r="S289" t="s">
        <v>153</v>
      </c>
      <c r="T289" t="s">
        <v>90</v>
      </c>
      <c r="U289">
        <v>0.028535739076018092</v>
      </c>
      <c r="V289" t="s">
        <v>88</v>
      </c>
    </row>
    <row r="290" spans="19:22" ht="14.25">
      <c r="S290" t="s">
        <v>153</v>
      </c>
      <c r="T290" t="s">
        <v>91</v>
      </c>
      <c r="U290">
        <v>0.083814502594720258</v>
      </c>
      <c r="V290" t="s">
        <v>88</v>
      </c>
    </row>
    <row r="291" spans="19:22" ht="14.25">
      <c r="S291" t="s">
        <v>153</v>
      </c>
      <c r="T291" t="s">
        <v>92</v>
      </c>
      <c r="U291">
        <v>0.15156687033375488</v>
      </c>
      <c r="V291" t="s">
        <v>88</v>
      </c>
    </row>
    <row r="292" spans="19:22" ht="14.25">
      <c r="S292" t="s">
        <v>153</v>
      </c>
      <c r="T292" t="s">
        <v>93</v>
      </c>
      <c r="U292">
        <v>0.060488147255109467</v>
      </c>
      <c r="V292" t="s">
        <v>88</v>
      </c>
    </row>
    <row r="293" spans="19:22" ht="14.25">
      <c r="S293" t="s">
        <v>153</v>
      </c>
      <c r="T293" t="s">
        <v>94</v>
      </c>
      <c r="U293">
        <v>0.11829327116257286</v>
      </c>
      <c r="V293" t="s">
        <v>88</v>
      </c>
    </row>
    <row r="294" spans="19:22" ht="14.25">
      <c r="S294" t="s">
        <v>153</v>
      </c>
      <c r="T294" t="s">
        <v>95</v>
      </c>
      <c r="U294">
        <v>0.20585160985812329</v>
      </c>
      <c r="V294" t="s">
        <v>88</v>
      </c>
    </row>
    <row r="295" spans="19:22" ht="14.25">
      <c r="S295" t="s">
        <v>153</v>
      </c>
      <c r="T295" t="s">
        <v>96</v>
      </c>
      <c r="U295">
        <v>0.087105812696200768</v>
      </c>
      <c r="V295" t="s">
        <v>88</v>
      </c>
    </row>
    <row r="296" spans="19:22" ht="14.25">
      <c r="S296" t="s">
        <v>153</v>
      </c>
      <c r="T296" t="s">
        <v>97</v>
      </c>
      <c r="U296">
        <v>0.041801583521848068</v>
      </c>
      <c r="V296" t="s">
        <v>88</v>
      </c>
    </row>
    <row r="297" spans="19:22" ht="14.25">
      <c r="S297" t="s">
        <v>153</v>
      </c>
      <c r="T297" t="s">
        <v>98</v>
      </c>
      <c r="U297">
        <v>0.07638397833207769</v>
      </c>
      <c r="V297" t="s">
        <v>88</v>
      </c>
    </row>
    <row r="298" spans="19:22" ht="14.25">
      <c r="S298" t="s">
        <v>153</v>
      </c>
      <c r="T298" t="s">
        <v>99</v>
      </c>
      <c r="U298">
        <v>0.031947195361524634</v>
      </c>
      <c r="V298" t="s">
        <v>88</v>
      </c>
    </row>
    <row r="299" spans="19:22" ht="14.25">
      <c r="S299" t="s">
        <v>154</v>
      </c>
      <c r="T299" t="s">
        <v>87</v>
      </c>
      <c r="U299">
        <v>0.047345309788132235</v>
      </c>
      <c r="V299" t="s">
        <v>88</v>
      </c>
    </row>
    <row r="300" spans="19:22" ht="14.25">
      <c r="S300" t="s">
        <v>154</v>
      </c>
      <c r="T300" t="s">
        <v>89</v>
      </c>
      <c r="U300">
        <v>0.083670366102128413</v>
      </c>
      <c r="V300" t="s">
        <v>88</v>
      </c>
    </row>
    <row r="301" spans="19:22" ht="14.25">
      <c r="S301" t="s">
        <v>154</v>
      </c>
      <c r="T301" t="s">
        <v>90</v>
      </c>
      <c r="U301">
        <v>0.038245374843081902</v>
      </c>
      <c r="V301" t="s">
        <v>88</v>
      </c>
    </row>
    <row r="302" spans="19:22" ht="14.25">
      <c r="S302" t="s">
        <v>154</v>
      </c>
      <c r="T302" t="s">
        <v>91</v>
      </c>
      <c r="U302">
        <v>0.093150845517725261</v>
      </c>
      <c r="V302" t="s">
        <v>88</v>
      </c>
    </row>
    <row r="303" spans="19:22" ht="14.25">
      <c r="S303" t="s">
        <v>154</v>
      </c>
      <c r="T303" t="s">
        <v>92</v>
      </c>
      <c r="U303">
        <v>0.15057954370197749</v>
      </c>
      <c r="V303" t="s">
        <v>88</v>
      </c>
    </row>
    <row r="304" spans="19:22" ht="14.25">
      <c r="S304" t="s">
        <v>154</v>
      </c>
      <c r="T304" t="s">
        <v>93</v>
      </c>
      <c r="U304">
        <v>0.069038165018176445</v>
      </c>
      <c r="V304" t="s">
        <v>88</v>
      </c>
    </row>
    <row r="305" spans="19:22" ht="14.25">
      <c r="S305" t="s">
        <v>154</v>
      </c>
      <c r="T305" t="s">
        <v>94</v>
      </c>
      <c r="U305">
        <v>0.11368199426789687</v>
      </c>
      <c r="V305" t="s">
        <v>88</v>
      </c>
    </row>
    <row r="306" spans="19:22" ht="14.25">
      <c r="S306" t="s">
        <v>154</v>
      </c>
      <c r="T306" t="s">
        <v>95</v>
      </c>
      <c r="U306">
        <v>0.17786305598089869</v>
      </c>
      <c r="V306" t="s">
        <v>88</v>
      </c>
    </row>
    <row r="307" spans="19:22" ht="14.25">
      <c r="S307" t="s">
        <v>154</v>
      </c>
      <c r="T307" t="s">
        <v>96</v>
      </c>
      <c r="U307">
        <v>0.084233991820990117</v>
      </c>
      <c r="V307" t="s">
        <v>88</v>
      </c>
    </row>
    <row r="308" spans="19:22" ht="14.25">
      <c r="S308" t="s">
        <v>154</v>
      </c>
      <c r="T308" t="s">
        <v>97</v>
      </c>
      <c r="U308">
        <v>0.041790452286898573</v>
      </c>
      <c r="V308" t="s">
        <v>88</v>
      </c>
    </row>
    <row r="309" spans="19:22" ht="14.25">
      <c r="S309" t="s">
        <v>154</v>
      </c>
      <c r="T309" t="s">
        <v>98</v>
      </c>
      <c r="U309">
        <v>0.069455901444150411</v>
      </c>
      <c r="V309" t="s">
        <v>88</v>
      </c>
    </row>
    <row r="310" spans="19:22" ht="14.25">
      <c r="S310" t="s">
        <v>154</v>
      </c>
      <c r="T310" t="s">
        <v>99</v>
      </c>
      <c r="U310">
        <v>0.030944999227942718</v>
      </c>
      <c r="V310" t="s">
        <v>88</v>
      </c>
    </row>
    <row r="311" spans="19:22" ht="14.25">
      <c r="S311" t="s">
        <v>155</v>
      </c>
      <c r="T311" t="s">
        <v>87</v>
      </c>
      <c r="U311">
        <v>0.043142704175547636</v>
      </c>
      <c r="V311" t="s">
        <v>88</v>
      </c>
    </row>
    <row r="312" spans="19:22" ht="14.25">
      <c r="S312" t="s">
        <v>155</v>
      </c>
      <c r="T312" t="s">
        <v>89</v>
      </c>
      <c r="U312">
        <v>0.080958911864565442</v>
      </c>
      <c r="V312" t="s">
        <v>88</v>
      </c>
    </row>
    <row r="313" spans="19:22" ht="14.25">
      <c r="S313" t="s">
        <v>155</v>
      </c>
      <c r="T313" t="s">
        <v>90</v>
      </c>
      <c r="U313">
        <v>0.038916410772642678</v>
      </c>
      <c r="V313" t="s">
        <v>88</v>
      </c>
    </row>
    <row r="314" spans="19:22" ht="14.25">
      <c r="S314" t="s">
        <v>155</v>
      </c>
      <c r="T314" t="s">
        <v>91</v>
      </c>
      <c r="U314">
        <v>0.090996073112762713</v>
      </c>
      <c r="V314" t="s">
        <v>88</v>
      </c>
    </row>
    <row r="315" spans="19:22" ht="14.25">
      <c r="S315" t="s">
        <v>155</v>
      </c>
      <c r="T315" t="s">
        <v>92</v>
      </c>
      <c r="U315">
        <v>0.15211061030988682</v>
      </c>
      <c r="V315" t="s">
        <v>88</v>
      </c>
    </row>
    <row r="316" spans="19:22" ht="14.25">
      <c r="S316" t="s">
        <v>155</v>
      </c>
      <c r="T316" t="s">
        <v>93</v>
      </c>
      <c r="U316">
        <v>0.071491431066295616</v>
      </c>
      <c r="V316" t="s">
        <v>88</v>
      </c>
    </row>
    <row r="317" spans="19:22" ht="14.25">
      <c r="S317" t="s">
        <v>155</v>
      </c>
      <c r="T317" t="s">
        <v>94</v>
      </c>
      <c r="U317">
        <v>0.11344821931011488</v>
      </c>
      <c r="V317" t="s">
        <v>88</v>
      </c>
    </row>
    <row r="318" spans="19:22" ht="14.25">
      <c r="S318" t="s">
        <v>155</v>
      </c>
      <c r="T318" t="s">
        <v>95</v>
      </c>
      <c r="U318">
        <v>0.1767012333437572</v>
      </c>
      <c r="V318" t="s">
        <v>88</v>
      </c>
    </row>
    <row r="319" spans="19:22" ht="14.25">
      <c r="S319" t="s">
        <v>155</v>
      </c>
      <c r="T319" t="s">
        <v>96</v>
      </c>
      <c r="U319">
        <v>0.087709745274209786</v>
      </c>
      <c r="V319" t="s">
        <v>88</v>
      </c>
    </row>
    <row r="320" spans="19:22" ht="14.25">
      <c r="S320" t="s">
        <v>155</v>
      </c>
      <c r="T320" t="s">
        <v>97</v>
      </c>
      <c r="U320">
        <v>0.040710779445219267</v>
      </c>
      <c r="V320" t="s">
        <v>88</v>
      </c>
    </row>
    <row r="321" spans="19:22" ht="14.25">
      <c r="S321" t="s">
        <v>155</v>
      </c>
      <c r="T321" t="s">
        <v>98</v>
      </c>
      <c r="U321">
        <v>0.069611131556978526</v>
      </c>
      <c r="V321" t="s">
        <v>88</v>
      </c>
    </row>
    <row r="322" spans="19:22" ht="14.25">
      <c r="S322" t="s">
        <v>155</v>
      </c>
      <c r="T322" t="s">
        <v>99</v>
      </c>
      <c r="U322">
        <v>0.034202749768021151</v>
      </c>
      <c r="V322" t="s">
        <v>88</v>
      </c>
    </row>
    <row r="323" spans="19:22" ht="14.25">
      <c r="S323" t="s">
        <v>156</v>
      </c>
      <c r="T323" t="s">
        <v>87</v>
      </c>
      <c r="U323">
        <v>0.042946161855498849</v>
      </c>
      <c r="V323" t="s">
        <v>88</v>
      </c>
    </row>
    <row r="324" spans="19:22" ht="14.25">
      <c r="S324" t="s">
        <v>156</v>
      </c>
      <c r="T324" t="s">
        <v>89</v>
      </c>
      <c r="U324">
        <v>0.078991570589029253</v>
      </c>
      <c r="V324" t="s">
        <v>88</v>
      </c>
    </row>
    <row r="325" spans="19:22" ht="14.25">
      <c r="S325" t="s">
        <v>156</v>
      </c>
      <c r="T325" t="s">
        <v>90</v>
      </c>
      <c r="U325">
        <v>0.031780196558471939</v>
      </c>
      <c r="V325" t="s">
        <v>88</v>
      </c>
    </row>
    <row r="326" spans="19:22" ht="14.25">
      <c r="S326" t="s">
        <v>156</v>
      </c>
      <c r="T326" t="s">
        <v>91</v>
      </c>
      <c r="U326">
        <v>0.094848916991780219</v>
      </c>
      <c r="V326" t="s">
        <v>88</v>
      </c>
    </row>
    <row r="327" spans="19:22" ht="14.25">
      <c r="S327" t="s">
        <v>156</v>
      </c>
      <c r="T327" t="s">
        <v>92</v>
      </c>
      <c r="U327">
        <v>0.16197245000472116</v>
      </c>
      <c r="V327" t="s">
        <v>88</v>
      </c>
    </row>
    <row r="328" spans="19:22" ht="14.25">
      <c r="S328" t="s">
        <v>156</v>
      </c>
      <c r="T328" t="s">
        <v>93</v>
      </c>
      <c r="U328">
        <v>0.065910822316807088</v>
      </c>
      <c r="V328" t="s">
        <v>88</v>
      </c>
    </row>
    <row r="329" spans="19:22" ht="14.25">
      <c r="S329" t="s">
        <v>156</v>
      </c>
      <c r="T329" t="s">
        <v>94</v>
      </c>
      <c r="U329">
        <v>0.10899240437659803</v>
      </c>
      <c r="V329" t="s">
        <v>88</v>
      </c>
    </row>
    <row r="330" spans="19:22" ht="14.25">
      <c r="S330" t="s">
        <v>156</v>
      </c>
      <c r="T330" t="s">
        <v>95</v>
      </c>
      <c r="U330">
        <v>0.19053130209638267</v>
      </c>
      <c r="V330" t="s">
        <v>88</v>
      </c>
    </row>
    <row r="331" spans="19:22" ht="14.25">
      <c r="S331" t="s">
        <v>156</v>
      </c>
      <c r="T331" t="s">
        <v>96</v>
      </c>
      <c r="U331">
        <v>0.076284115912977971</v>
      </c>
      <c r="V331" t="s">
        <v>88</v>
      </c>
    </row>
    <row r="332" spans="19:22" ht="14.25">
      <c r="S332" t="s">
        <v>156</v>
      </c>
      <c r="T332" t="s">
        <v>97</v>
      </c>
      <c r="U332">
        <v>0.039194261768879003</v>
      </c>
      <c r="V332" t="s">
        <v>88</v>
      </c>
    </row>
    <row r="333" spans="19:22" ht="14.25">
      <c r="S333" t="s">
        <v>156</v>
      </c>
      <c r="T333" t="s">
        <v>98</v>
      </c>
      <c r="U333">
        <v>0.078079354251042149</v>
      </c>
      <c r="V333" t="s">
        <v>88</v>
      </c>
    </row>
    <row r="334" spans="19:22" ht="14.25">
      <c r="S334" t="s">
        <v>156</v>
      </c>
      <c r="T334" t="s">
        <v>99</v>
      </c>
      <c r="U334">
        <v>0.03046844327780919</v>
      </c>
      <c r="V334" t="s">
        <v>88</v>
      </c>
    </row>
    <row r="335" spans="19:22" ht="14.25">
      <c r="S335" t="s">
        <v>157</v>
      </c>
      <c r="T335" t="s">
        <v>87</v>
      </c>
      <c r="U335">
        <v>0.039913943881054167</v>
      </c>
      <c r="V335" t="s">
        <v>88</v>
      </c>
    </row>
    <row r="336" spans="19:22" ht="14.25">
      <c r="S336" t="s">
        <v>157</v>
      </c>
      <c r="T336" t="s">
        <v>89</v>
      </c>
      <c r="U336">
        <v>0.073467538327186582</v>
      </c>
      <c r="V336" t="s">
        <v>88</v>
      </c>
    </row>
    <row r="337" spans="19:22" ht="14.25">
      <c r="S337" t="s">
        <v>157</v>
      </c>
      <c r="T337" t="s">
        <v>90</v>
      </c>
      <c r="U337">
        <v>0.031058637819030357</v>
      </c>
      <c r="V337" t="s">
        <v>88</v>
      </c>
    </row>
    <row r="338" spans="19:22" ht="14.25">
      <c r="S338" t="s">
        <v>157</v>
      </c>
      <c r="T338" t="s">
        <v>91</v>
      </c>
      <c r="U338">
        <v>0.09363756192383095</v>
      </c>
      <c r="V338" t="s">
        <v>88</v>
      </c>
    </row>
    <row r="339" spans="19:22" ht="14.25">
      <c r="S339" t="s">
        <v>157</v>
      </c>
      <c r="T339" t="s">
        <v>92</v>
      </c>
      <c r="U339">
        <v>0.1666329779436998</v>
      </c>
      <c r="V339" t="s">
        <v>88</v>
      </c>
    </row>
    <row r="340" spans="19:22" ht="14.25">
      <c r="S340" t="s">
        <v>157</v>
      </c>
      <c r="T340" t="s">
        <v>93</v>
      </c>
      <c r="U340">
        <v>0.073330341355658607</v>
      </c>
      <c r="V340" t="s">
        <v>88</v>
      </c>
    </row>
    <row r="341" spans="19:22" ht="14.25">
      <c r="S341" t="s">
        <v>157</v>
      </c>
      <c r="T341" t="s">
        <v>94</v>
      </c>
      <c r="U341">
        <v>0.10292579255398225</v>
      </c>
      <c r="V341" t="s">
        <v>88</v>
      </c>
    </row>
    <row r="342" spans="19:22" ht="14.25">
      <c r="S342" t="s">
        <v>157</v>
      </c>
      <c r="T342" t="s">
        <v>95</v>
      </c>
      <c r="U342">
        <v>0.18150026361568558</v>
      </c>
      <c r="V342" t="s">
        <v>88</v>
      </c>
    </row>
    <row r="343" spans="19:22" ht="14.25">
      <c r="S343" t="s">
        <v>157</v>
      </c>
      <c r="T343" t="s">
        <v>96</v>
      </c>
      <c r="U343">
        <v>0.078680097124854381</v>
      </c>
      <c r="V343" t="s">
        <v>88</v>
      </c>
    </row>
    <row r="344" spans="19:22" ht="14.25">
      <c r="S344" t="s">
        <v>157</v>
      </c>
      <c r="T344" t="s">
        <v>97</v>
      </c>
      <c r="U344">
        <v>0.042178863062442652</v>
      </c>
      <c r="V344" t="s">
        <v>88</v>
      </c>
    </row>
    <row r="345" spans="19:22" ht="14.25">
      <c r="S345" t="s">
        <v>157</v>
      </c>
      <c r="T345" t="s">
        <v>98</v>
      </c>
      <c r="U345">
        <v>0.082175077830498197</v>
      </c>
      <c r="V345" t="s">
        <v>88</v>
      </c>
    </row>
    <row r="346" spans="19:22" ht="14.25">
      <c r="S346" t="s">
        <v>157</v>
      </c>
      <c r="T346" t="s">
        <v>99</v>
      </c>
      <c r="U346">
        <v>0.03449890456207845</v>
      </c>
      <c r="V346" t="s">
        <v>88</v>
      </c>
    </row>
    <row r="347" spans="19:22" ht="14.25">
      <c r="S347" t="s">
        <v>158</v>
      </c>
      <c r="T347" t="s">
        <v>87</v>
      </c>
      <c r="U347">
        <v>0.045349515983275419</v>
      </c>
      <c r="V347" t="s">
        <v>88</v>
      </c>
    </row>
    <row r="348" spans="19:22" ht="14.25">
      <c r="S348" t="s">
        <v>158</v>
      </c>
      <c r="T348" t="s">
        <v>89</v>
      </c>
      <c r="U348">
        <v>0.079605960192303982</v>
      </c>
      <c r="V348" t="s">
        <v>88</v>
      </c>
    </row>
    <row r="349" spans="19:22" ht="14.25">
      <c r="S349" t="s">
        <v>158</v>
      </c>
      <c r="T349" t="s">
        <v>90</v>
      </c>
      <c r="U349">
        <v>0.031986414206495249</v>
      </c>
      <c r="V349" t="s">
        <v>88</v>
      </c>
    </row>
    <row r="350" spans="19:22" ht="14.25">
      <c r="S350" t="s">
        <v>158</v>
      </c>
      <c r="T350" t="s">
        <v>91</v>
      </c>
      <c r="U350">
        <v>0.099375040323021163</v>
      </c>
      <c r="V350" t="s">
        <v>88</v>
      </c>
    </row>
    <row r="351" spans="19:22" ht="14.25">
      <c r="S351" t="s">
        <v>158</v>
      </c>
      <c r="T351" t="s">
        <v>92</v>
      </c>
      <c r="U351">
        <v>0.16630223417862083</v>
      </c>
      <c r="V351" t="s">
        <v>88</v>
      </c>
    </row>
    <row r="352" spans="19:22" ht="14.25">
      <c r="S352" t="s">
        <v>158</v>
      </c>
      <c r="T352" t="s">
        <v>93</v>
      </c>
      <c r="U352">
        <v>0.070552222042288837</v>
      </c>
      <c r="V352" t="s">
        <v>88</v>
      </c>
    </row>
    <row r="353" spans="19:22" ht="14.25">
      <c r="S353" t="s">
        <v>158</v>
      </c>
      <c r="T353" t="s">
        <v>94</v>
      </c>
      <c r="U353">
        <v>0.1081823507051899</v>
      </c>
      <c r="V353" t="s">
        <v>88</v>
      </c>
    </row>
    <row r="354" spans="19:22" ht="14.25">
      <c r="S354" t="s">
        <v>158</v>
      </c>
      <c r="T354" t="s">
        <v>95</v>
      </c>
      <c r="U354">
        <v>0.17107583186286221</v>
      </c>
      <c r="V354" t="s">
        <v>88</v>
      </c>
    </row>
    <row r="355" spans="19:22" ht="14.25">
      <c r="S355" t="s">
        <v>158</v>
      </c>
      <c r="T355" t="s">
        <v>96</v>
      </c>
      <c r="U355">
        <v>0.080566597230040907</v>
      </c>
      <c r="V355" t="s">
        <v>88</v>
      </c>
    </row>
    <row r="356" spans="19:22" ht="14.25">
      <c r="S356" t="s">
        <v>158</v>
      </c>
      <c r="T356" t="s">
        <v>97</v>
      </c>
      <c r="U356">
        <v>0.044240292174878154</v>
      </c>
      <c r="V356" t="s">
        <v>88</v>
      </c>
    </row>
    <row r="357" spans="19:22" ht="14.25">
      <c r="S357" t="s">
        <v>158</v>
      </c>
      <c r="T357" t="s">
        <v>98</v>
      </c>
      <c r="U357">
        <v>0.071508888635214748</v>
      </c>
      <c r="V357" t="s">
        <v>88</v>
      </c>
    </row>
    <row r="358" spans="19:22" ht="14.25">
      <c r="S358" t="s">
        <v>158</v>
      </c>
      <c r="T358" t="s">
        <v>99</v>
      </c>
      <c r="U358">
        <v>0.031254652465807616</v>
      </c>
      <c r="V358" t="s">
        <v>88</v>
      </c>
    </row>
    <row r="359" spans="19:22" ht="14.25">
      <c r="S359" t="s">
        <v>159</v>
      </c>
      <c r="T359" t="s">
        <v>87</v>
      </c>
      <c r="U359">
        <v>0.043875013013897478</v>
      </c>
      <c r="V359" t="s">
        <v>88</v>
      </c>
    </row>
    <row r="360" spans="19:22" ht="14.25">
      <c r="S360" t="s">
        <v>159</v>
      </c>
      <c r="T360" t="s">
        <v>89</v>
      </c>
      <c r="U360">
        <v>0.073812678846213911</v>
      </c>
      <c r="V360" t="s">
        <v>88</v>
      </c>
    </row>
    <row r="361" spans="19:22" ht="14.25">
      <c r="S361" t="s">
        <v>159</v>
      </c>
      <c r="T361" t="s">
        <v>90</v>
      </c>
      <c r="U361">
        <v>0.031448721324280074</v>
      </c>
      <c r="V361" t="s">
        <v>88</v>
      </c>
    </row>
    <row r="362" spans="19:22" ht="14.25">
      <c r="S362" t="s">
        <v>159</v>
      </c>
      <c r="T362" t="s">
        <v>91</v>
      </c>
      <c r="U362">
        <v>0.09924166218339335</v>
      </c>
      <c r="V362" t="s">
        <v>88</v>
      </c>
    </row>
    <row r="363" spans="19:22" ht="14.25">
      <c r="S363" t="s">
        <v>159</v>
      </c>
      <c r="T363" t="s">
        <v>92</v>
      </c>
      <c r="U363">
        <v>0.16155327600975494</v>
      </c>
      <c r="V363" t="s">
        <v>88</v>
      </c>
    </row>
    <row r="364" spans="19:22" ht="14.25">
      <c r="S364" t="s">
        <v>159</v>
      </c>
      <c r="T364" t="s">
        <v>93</v>
      </c>
      <c r="U364">
        <v>0.069449755607819449</v>
      </c>
      <c r="V364" t="s">
        <v>88</v>
      </c>
    </row>
    <row r="365" spans="19:22" ht="14.25">
      <c r="S365" t="s">
        <v>159</v>
      </c>
      <c r="T365" t="s">
        <v>94</v>
      </c>
      <c r="U365">
        <v>0.110121512005713</v>
      </c>
      <c r="V365" t="s">
        <v>88</v>
      </c>
    </row>
    <row r="366" spans="19:22" ht="14.25">
      <c r="S366" t="s">
        <v>159</v>
      </c>
      <c r="T366" t="s">
        <v>95</v>
      </c>
      <c r="U366">
        <v>0.17744847364952529</v>
      </c>
      <c r="V366" t="s">
        <v>88</v>
      </c>
    </row>
    <row r="367" spans="19:22" ht="14.25">
      <c r="S367" t="s">
        <v>159</v>
      </c>
      <c r="T367" t="s">
        <v>96</v>
      </c>
      <c r="U367">
        <v>0.078946186707612123</v>
      </c>
      <c r="V367" t="s">
        <v>88</v>
      </c>
    </row>
    <row r="368" spans="19:22" ht="14.25">
      <c r="S368" t="s">
        <v>159</v>
      </c>
      <c r="T368" t="s">
        <v>97</v>
      </c>
      <c r="U368">
        <v>0.045048723786864316</v>
      </c>
      <c r="V368" t="s">
        <v>88</v>
      </c>
    </row>
    <row r="369" spans="19:22" ht="14.25">
      <c r="S369" t="s">
        <v>159</v>
      </c>
      <c r="T369" t="s">
        <v>98</v>
      </c>
      <c r="U369">
        <v>0.07722073484605918</v>
      </c>
      <c r="V369" t="s">
        <v>88</v>
      </c>
    </row>
    <row r="370" spans="19:22" ht="14.25">
      <c r="S370" t="s">
        <v>159</v>
      </c>
      <c r="T370" t="s">
        <v>99</v>
      </c>
      <c r="U370">
        <v>0.031833262018863447</v>
      </c>
      <c r="V370" t="s">
        <v>88</v>
      </c>
    </row>
    <row r="371" spans="19:22" ht="14.25">
      <c r="S371" t="s">
        <v>160</v>
      </c>
      <c r="T371" t="s">
        <v>87</v>
      </c>
      <c r="U371">
        <v>0.040396313354428504</v>
      </c>
      <c r="V371" t="s">
        <v>88</v>
      </c>
    </row>
    <row r="372" spans="19:22" ht="14.25">
      <c r="S372" t="s">
        <v>160</v>
      </c>
      <c r="T372" t="s">
        <v>89</v>
      </c>
      <c r="U372">
        <v>0.067135739172795639</v>
      </c>
      <c r="V372" t="s">
        <v>88</v>
      </c>
    </row>
    <row r="373" spans="19:22" ht="14.25">
      <c r="S373" t="s">
        <v>160</v>
      </c>
      <c r="T373" t="s">
        <v>90</v>
      </c>
      <c r="U373">
        <v>0.031302828528524014</v>
      </c>
      <c r="V373" t="s">
        <v>88</v>
      </c>
    </row>
    <row r="374" spans="19:22" ht="14.25">
      <c r="S374" t="s">
        <v>160</v>
      </c>
      <c r="T374" t="s">
        <v>91</v>
      </c>
      <c r="U374">
        <v>0.089752570434207077</v>
      </c>
      <c r="V374" t="s">
        <v>88</v>
      </c>
    </row>
    <row r="375" spans="19:22" ht="14.25">
      <c r="S375" t="s">
        <v>160</v>
      </c>
      <c r="T375" t="s">
        <v>92</v>
      </c>
      <c r="U375">
        <v>0.15543814987113325</v>
      </c>
      <c r="V375" t="s">
        <v>88</v>
      </c>
    </row>
    <row r="376" spans="19:22" ht="14.25">
      <c r="S376" t="s">
        <v>160</v>
      </c>
      <c r="T376" t="s">
        <v>93</v>
      </c>
      <c r="U376">
        <v>0.066392034452965612</v>
      </c>
      <c r="V376" t="s">
        <v>88</v>
      </c>
    </row>
    <row r="377" spans="19:22" ht="14.25">
      <c r="S377" t="s">
        <v>160</v>
      </c>
      <c r="T377" t="s">
        <v>94</v>
      </c>
      <c r="U377">
        <v>0.12176422577938688</v>
      </c>
      <c r="V377" t="s">
        <v>88</v>
      </c>
    </row>
    <row r="378" spans="19:22" ht="14.25">
      <c r="S378" t="s">
        <v>160</v>
      </c>
      <c r="T378" t="s">
        <v>95</v>
      </c>
      <c r="U378">
        <v>0.19594625946955965</v>
      </c>
      <c r="V378" t="s">
        <v>88</v>
      </c>
    </row>
    <row r="379" spans="19:22" ht="14.25">
      <c r="S379" t="s">
        <v>160</v>
      </c>
      <c r="T379" t="s">
        <v>96</v>
      </c>
      <c r="U379">
        <v>0.082149058809660974</v>
      </c>
      <c r="V379" t="s">
        <v>88</v>
      </c>
    </row>
    <row r="380" spans="19:22" ht="14.25">
      <c r="S380" t="s">
        <v>160</v>
      </c>
      <c r="T380" t="s">
        <v>97</v>
      </c>
      <c r="U380">
        <v>0.044129224031063799</v>
      </c>
      <c r="V380" t="s">
        <v>88</v>
      </c>
    </row>
    <row r="381" spans="19:22" ht="14.25">
      <c r="S381" t="s">
        <v>160</v>
      </c>
      <c r="T381" t="s">
        <v>98</v>
      </c>
      <c r="U381">
        <v>0.073284566235071527</v>
      </c>
      <c r="V381" t="s">
        <v>88</v>
      </c>
    </row>
    <row r="382" spans="19:22" ht="14.25">
      <c r="S382" t="s">
        <v>160</v>
      </c>
      <c r="T382" t="s">
        <v>99</v>
      </c>
      <c r="U382">
        <v>0.032309029861200121</v>
      </c>
      <c r="V382" t="s">
        <v>88</v>
      </c>
    </row>
    <row r="383" spans="19:22" ht="14.25">
      <c r="S383" t="s">
        <v>161</v>
      </c>
      <c r="T383" t="s">
        <v>87</v>
      </c>
      <c r="U383">
        <v>0.038490040886964567</v>
      </c>
      <c r="V383" t="s">
        <v>88</v>
      </c>
    </row>
    <row r="384" spans="19:22" ht="14.25">
      <c r="S384" t="s">
        <v>161</v>
      </c>
      <c r="T384" t="s">
        <v>89</v>
      </c>
      <c r="U384">
        <v>0.068079369880570784</v>
      </c>
      <c r="V384" t="s">
        <v>88</v>
      </c>
    </row>
    <row r="385" spans="19:22" ht="14.25">
      <c r="S385" t="s">
        <v>161</v>
      </c>
      <c r="T385" t="s">
        <v>90</v>
      </c>
      <c r="U385">
        <v>0.030629717198251402</v>
      </c>
      <c r="V385" t="s">
        <v>88</v>
      </c>
    </row>
    <row r="386" spans="19:22" ht="14.25">
      <c r="S386" t="s">
        <v>161</v>
      </c>
      <c r="T386" t="s">
        <v>91</v>
      </c>
      <c r="U386">
        <v>0.084080218261159897</v>
      </c>
      <c r="V386" t="s">
        <v>88</v>
      </c>
    </row>
    <row r="387" spans="19:22" ht="14.25">
      <c r="S387" t="s">
        <v>161</v>
      </c>
      <c r="T387" t="s">
        <v>92</v>
      </c>
      <c r="U387">
        <v>0.14521631226787035</v>
      </c>
      <c r="V387" t="s">
        <v>88</v>
      </c>
    </row>
    <row r="388" spans="19:22" ht="14.25">
      <c r="S388" t="s">
        <v>161</v>
      </c>
      <c r="T388" t="s">
        <v>93</v>
      </c>
      <c r="U388">
        <v>0.059263343700377391</v>
      </c>
      <c r="V388" t="s">
        <v>88</v>
      </c>
    </row>
    <row r="389" spans="19:22" ht="14.25">
      <c r="S389" t="s">
        <v>161</v>
      </c>
      <c r="T389" t="s">
        <v>94</v>
      </c>
      <c r="U389">
        <v>0.11528182832764403</v>
      </c>
      <c r="V389" t="s">
        <v>88</v>
      </c>
    </row>
    <row r="390" spans="19:22" ht="14.25">
      <c r="S390" t="s">
        <v>161</v>
      </c>
      <c r="T390" t="s">
        <v>95</v>
      </c>
      <c r="U390">
        <v>0.2084938440703715</v>
      </c>
      <c r="V390" t="s">
        <v>88</v>
      </c>
    </row>
    <row r="391" spans="19:22" ht="14.25">
      <c r="S391" t="s">
        <v>161</v>
      </c>
      <c r="T391" t="s">
        <v>96</v>
      </c>
      <c r="U391">
        <v>0.089707501075632329</v>
      </c>
      <c r="V391" t="s">
        <v>88</v>
      </c>
    </row>
    <row r="392" spans="19:22" ht="14.25">
      <c r="S392" t="s">
        <v>161</v>
      </c>
      <c r="T392" t="s">
        <v>97</v>
      </c>
      <c r="U392">
        <v>0.042613179035052406</v>
      </c>
      <c r="V392" t="s">
        <v>88</v>
      </c>
    </row>
    <row r="393" spans="19:22" ht="14.25">
      <c r="S393" t="s">
        <v>161</v>
      </c>
      <c r="T393" t="s">
        <v>98</v>
      </c>
      <c r="U393">
        <v>0.082794047334913232</v>
      </c>
      <c r="V393" t="s">
        <v>88</v>
      </c>
    </row>
    <row r="394" spans="19:22" ht="14.25">
      <c r="S394" t="s">
        <v>161</v>
      </c>
      <c r="T394" t="s">
        <v>99</v>
      </c>
      <c r="U394">
        <v>0.03535059796119093</v>
      </c>
      <c r="V394" t="s">
        <v>88</v>
      </c>
    </row>
    <row r="395" spans="19:22" ht="14.25">
      <c r="S395" t="s">
        <v>162</v>
      </c>
      <c r="T395" t="s">
        <v>87</v>
      </c>
      <c r="U395">
        <v>0.043388058293715712</v>
      </c>
      <c r="V395" t="s">
        <v>88</v>
      </c>
    </row>
    <row r="396" spans="19:22" ht="14.25">
      <c r="S396" t="s">
        <v>162</v>
      </c>
      <c r="T396" t="s">
        <v>89</v>
      </c>
      <c r="U396">
        <v>0.077545099036965798</v>
      </c>
      <c r="V396" t="s">
        <v>88</v>
      </c>
    </row>
    <row r="397" spans="19:22" ht="14.25">
      <c r="S397" t="s">
        <v>162</v>
      </c>
      <c r="T397" t="s">
        <v>90</v>
      </c>
      <c r="U397">
        <v>0.033098257758359187</v>
      </c>
      <c r="V397" t="s">
        <v>88</v>
      </c>
    </row>
    <row r="398" spans="19:22" ht="14.25">
      <c r="S398" t="s">
        <v>162</v>
      </c>
      <c r="T398" t="s">
        <v>91</v>
      </c>
      <c r="U398">
        <v>0.089190979535033993</v>
      </c>
      <c r="V398" t="s">
        <v>88</v>
      </c>
    </row>
    <row r="399" spans="19:22" ht="14.25">
      <c r="S399" t="s">
        <v>162</v>
      </c>
      <c r="T399" t="s">
        <v>92</v>
      </c>
      <c r="U399">
        <v>0.15304566132603462</v>
      </c>
      <c r="V399" t="s">
        <v>88</v>
      </c>
    </row>
    <row r="400" spans="19:22" ht="14.25">
      <c r="S400" t="s">
        <v>162</v>
      </c>
      <c r="T400" t="s">
        <v>93</v>
      </c>
      <c r="U400">
        <v>0.064594414546685491</v>
      </c>
      <c r="V400" t="s">
        <v>88</v>
      </c>
    </row>
    <row r="401" spans="19:22" ht="14.25">
      <c r="S401" t="s">
        <v>162</v>
      </c>
      <c r="T401" t="s">
        <v>94</v>
      </c>
      <c r="U401">
        <v>0.10753571614031303</v>
      </c>
      <c r="V401" t="s">
        <v>88</v>
      </c>
    </row>
    <row r="402" spans="19:22" ht="14.25">
      <c r="S402" t="s">
        <v>162</v>
      </c>
      <c r="T402" t="s">
        <v>95</v>
      </c>
      <c r="U402">
        <v>0.18926538287155928</v>
      </c>
      <c r="V402" t="s">
        <v>88</v>
      </c>
    </row>
    <row r="403" spans="19:22" ht="14.25">
      <c r="S403" t="s">
        <v>162</v>
      </c>
      <c r="T403" t="s">
        <v>96</v>
      </c>
      <c r="U403">
        <v>0.080056017253144457</v>
      </c>
      <c r="V403" t="s">
        <v>88</v>
      </c>
    </row>
    <row r="404" spans="19:22" ht="14.25">
      <c r="S404" t="s">
        <v>162</v>
      </c>
      <c r="T404" t="s">
        <v>97</v>
      </c>
      <c r="U404">
        <v>0.044419579474073032</v>
      </c>
      <c r="V404" t="s">
        <v>88</v>
      </c>
    </row>
    <row r="405" spans="19:22" ht="14.25">
      <c r="S405" t="s">
        <v>162</v>
      </c>
      <c r="T405" t="s">
        <v>98</v>
      </c>
      <c r="U405">
        <v>0.084150993969249369</v>
      </c>
      <c r="V405" t="s">
        <v>88</v>
      </c>
    </row>
    <row r="406" spans="19:22" ht="14.25">
      <c r="S406" t="s">
        <v>162</v>
      </c>
      <c r="T406" t="s">
        <v>99</v>
      </c>
      <c r="U406">
        <v>0.033709839794860245</v>
      </c>
      <c r="V406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0.0041842274295740582</v>
      </c>
      <c r="L11" t="s">
        <v>88</v>
      </c>
      <c r="N11" t="s">
        <v>115</v>
      </c>
      <c r="O11" t="s">
        <v>87</v>
      </c>
      <c r="P11">
        <v>0.025936807398782877</v>
      </c>
      <c r="Q11" t="s">
        <v>88</v>
      </c>
      <c r="S11" t="s">
        <v>130</v>
      </c>
      <c r="T11" t="s">
        <v>87</v>
      </c>
      <c r="U11">
        <v>0.023217639751077563</v>
      </c>
      <c r="V11" t="s">
        <v>88</v>
      </c>
      <c r="X11">
        <v>0.024771689497716895</v>
      </c>
      <c r="Y11">
        <v>0.0097827942553597048</v>
      </c>
      <c r="Z11" t="s">
        <v>87</v>
      </c>
      <c r="AA11" t="s">
        <v>244</v>
      </c>
      <c r="AC11" t="s">
        <v>245</v>
      </c>
      <c r="AD11" t="s">
        <v>87</v>
      </c>
      <c r="AE11">
        <v>0.026948593496835788</v>
      </c>
      <c r="AG11" t="s">
        <v>29</v>
      </c>
      <c r="AH11" t="s">
        <v>87</v>
      </c>
      <c r="AI11">
        <v>0.054264398046266926</v>
      </c>
      <c r="AK11">
        <v>2020</v>
      </c>
      <c r="AL11" t="s">
        <v>76</v>
      </c>
      <c r="AM11">
        <v>0.48179554079696391</v>
      </c>
      <c r="AN11" t="s">
        <v>172</v>
      </c>
    </row>
    <row r="12" spans="3:40" ht="14.2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0.039939233176185591</v>
      </c>
      <c r="L12" t="s">
        <v>88</v>
      </c>
      <c r="N12" t="s">
        <v>115</v>
      </c>
      <c r="O12" t="s">
        <v>89</v>
      </c>
      <c r="P12">
        <v>0.014587779726022801</v>
      </c>
      <c r="Q12" t="s">
        <v>88</v>
      </c>
      <c r="S12" t="s">
        <v>130</v>
      </c>
      <c r="T12" t="s">
        <v>89</v>
      </c>
      <c r="U12">
        <v>0.014011286775350327</v>
      </c>
      <c r="V12" t="s">
        <v>88</v>
      </c>
      <c r="X12">
        <v>0.014155251141552512</v>
      </c>
      <c r="Y12">
        <v>0.019277859267914713</v>
      </c>
      <c r="Z12" t="s">
        <v>89</v>
      </c>
      <c r="AA12" t="s">
        <v>244</v>
      </c>
      <c r="AC12" t="s">
        <v>245</v>
      </c>
      <c r="AD12" t="s">
        <v>89</v>
      </c>
      <c r="AE12">
        <v>0.013843155219920246</v>
      </c>
      <c r="AG12" t="s">
        <v>29</v>
      </c>
      <c r="AH12" t="s">
        <v>89</v>
      </c>
      <c r="AI12">
        <v>0.09633220260893971</v>
      </c>
      <c r="AK12">
        <v>2020</v>
      </c>
      <c r="AL12" t="s">
        <v>80</v>
      </c>
      <c r="AM12">
        <v>0.4938936781609195</v>
      </c>
      <c r="AN12" t="s">
        <v>172</v>
      </c>
    </row>
    <row r="13" spans="3:40" ht="14.2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0.073477667041835976</v>
      </c>
      <c r="L13" t="s">
        <v>88</v>
      </c>
      <c r="N13" t="s">
        <v>115</v>
      </c>
      <c r="O13" t="s">
        <v>90</v>
      </c>
      <c r="P13">
        <v>0.025110526590042564</v>
      </c>
      <c r="Q13" t="s">
        <v>88</v>
      </c>
      <c r="S13" t="s">
        <v>130</v>
      </c>
      <c r="T13" t="s">
        <v>90</v>
      </c>
      <c r="U13">
        <v>0.022880024463189829</v>
      </c>
      <c r="V13" t="s">
        <v>88</v>
      </c>
      <c r="X13">
        <v>0.021232876712328767</v>
      </c>
      <c r="Y13">
        <v>0.030283502805194377</v>
      </c>
      <c r="Z13" t="s">
        <v>90</v>
      </c>
      <c r="AA13" t="s">
        <v>244</v>
      </c>
      <c r="AC13" t="s">
        <v>245</v>
      </c>
      <c r="AD13" t="s">
        <v>90</v>
      </c>
      <c r="AE13">
        <v>0.014709479401875421</v>
      </c>
      <c r="AG13" t="s">
        <v>29</v>
      </c>
      <c r="AH13" t="s">
        <v>90</v>
      </c>
      <c r="AI13">
        <v>0.082587404804680631</v>
      </c>
      <c r="AK13">
        <v>2020</v>
      </c>
      <c r="AL13" t="s">
        <v>82</v>
      </c>
      <c r="AM13">
        <v>0.4694418089816571</v>
      </c>
      <c r="AN13" t="s">
        <v>172</v>
      </c>
    </row>
    <row r="14" spans="3:40" ht="14.2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0.010567856299783294</v>
      </c>
      <c r="L14" t="s">
        <v>88</v>
      </c>
      <c r="N14" t="s">
        <v>115</v>
      </c>
      <c r="O14" t="s">
        <v>181</v>
      </c>
      <c r="P14">
        <v>0.0043965162491487351</v>
      </c>
      <c r="Q14" t="s">
        <v>88</v>
      </c>
      <c r="S14" t="s">
        <v>130</v>
      </c>
      <c r="T14" t="s">
        <v>181</v>
      </c>
      <c r="U14">
        <v>0.0039554147195334406</v>
      </c>
      <c r="V14" t="s">
        <v>88</v>
      </c>
      <c r="X14">
        <v>0.0035388127853881279</v>
      </c>
      <c r="Y14">
        <v>0.0068849497385409693</v>
      </c>
      <c r="Z14" t="s">
        <v>181</v>
      </c>
      <c r="AA14" t="s">
        <v>244</v>
      </c>
      <c r="AC14" t="s">
        <v>245</v>
      </c>
      <c r="AD14" t="s">
        <v>181</v>
      </c>
      <c r="AE14">
        <v>0.0028888684085137343</v>
      </c>
      <c r="AG14" t="s">
        <v>29</v>
      </c>
      <c r="AH14" t="s">
        <v>181</v>
      </c>
      <c r="AI14">
        <v>0.04769630815364212</v>
      </c>
      <c r="AK14">
        <v>2020</v>
      </c>
      <c r="AL14" t="s">
        <v>84</v>
      </c>
      <c r="AM14">
        <v>0.46384145055871806</v>
      </c>
      <c r="AN14" t="s">
        <v>172</v>
      </c>
    </row>
    <row r="15" spans="3:40" ht="14.2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0.0094078835258249623</v>
      </c>
      <c r="L15" t="s">
        <v>88</v>
      </c>
      <c r="N15" t="s">
        <v>115</v>
      </c>
      <c r="O15" t="s">
        <v>182</v>
      </c>
      <c r="P15">
        <v>0.0043080541988071578</v>
      </c>
      <c r="Q15" t="s">
        <v>88</v>
      </c>
      <c r="S15" t="s">
        <v>130</v>
      </c>
      <c r="T15" t="s">
        <v>182</v>
      </c>
      <c r="U15">
        <v>0.003911441428243791</v>
      </c>
      <c r="V15" t="s">
        <v>88</v>
      </c>
      <c r="X15">
        <v>0.0035388127853881279</v>
      </c>
      <c r="Y15">
        <v>0.0053435430806586613</v>
      </c>
      <c r="Z15" t="s">
        <v>182</v>
      </c>
      <c r="AA15" t="s">
        <v>244</v>
      </c>
      <c r="AC15" t="s">
        <v>245</v>
      </c>
      <c r="AD15" t="s">
        <v>182</v>
      </c>
      <c r="AE15">
        <v>0.0033517518583378253</v>
      </c>
      <c r="AG15" t="s">
        <v>29</v>
      </c>
      <c r="AH15" t="s">
        <v>182</v>
      </c>
      <c r="AI15">
        <v>0.089389987156230699</v>
      </c>
      <c r="AK15">
        <v>2020</v>
      </c>
      <c r="AL15" t="s">
        <v>175</v>
      </c>
      <c r="AM15">
        <v>0.46211192810457508</v>
      </c>
      <c r="AN15" t="s">
        <v>172</v>
      </c>
    </row>
    <row r="16" spans="3:40" ht="14.2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0.0077347369509369627</v>
      </c>
      <c r="L16" t="s">
        <v>88</v>
      </c>
      <c r="N16" t="s">
        <v>115</v>
      </c>
      <c r="O16" t="s">
        <v>183</v>
      </c>
      <c r="P16">
        <v>0.019443493126073737</v>
      </c>
      <c r="Q16" t="s">
        <v>88</v>
      </c>
      <c r="S16" t="s">
        <v>130</v>
      </c>
      <c r="T16" t="s">
        <v>183</v>
      </c>
      <c r="U16">
        <v>0.018575418220902827</v>
      </c>
      <c r="V16" t="s">
        <v>88</v>
      </c>
      <c r="X16">
        <v>0.017694063926940638</v>
      </c>
      <c r="Y16">
        <v>0.013358857701646654</v>
      </c>
      <c r="Z16" t="s">
        <v>183</v>
      </c>
      <c r="AA16" t="s">
        <v>244</v>
      </c>
      <c r="AC16" t="s">
        <v>245</v>
      </c>
      <c r="AD16" t="s">
        <v>183</v>
      </c>
      <c r="AE16">
        <v>0.018772667685821743</v>
      </c>
      <c r="AG16" t="s">
        <v>29</v>
      </c>
      <c r="AH16" t="s">
        <v>183</v>
      </c>
      <c r="AI16">
        <v>0.073528596507437927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ht="14.25">
      <c r="C17" t="s">
        <v>179</v>
      </c>
      <c r="I17" t="s">
        <v>86</v>
      </c>
      <c r="J17" t="s">
        <v>91</v>
      </c>
      <c r="K17">
        <v>1.9521225503249217E-05</v>
      </c>
      <c r="L17" t="s">
        <v>88</v>
      </c>
      <c r="N17" t="s">
        <v>115</v>
      </c>
      <c r="O17" t="s">
        <v>91</v>
      </c>
      <c r="P17">
        <v>0.014985970773167757</v>
      </c>
      <c r="Q17" t="s">
        <v>88</v>
      </c>
      <c r="S17" t="s">
        <v>130</v>
      </c>
      <c r="T17" t="s">
        <v>91</v>
      </c>
      <c r="U17">
        <v>0.030125242507421254</v>
      </c>
      <c r="V17" t="s">
        <v>88</v>
      </c>
      <c r="X17">
        <v>0.022374429223744292</v>
      </c>
      <c r="Y17">
        <v>0.0088360722306474754</v>
      </c>
      <c r="Z17" t="s">
        <v>91</v>
      </c>
      <c r="AA17" t="s">
        <v>244</v>
      </c>
      <c r="AC17" t="s">
        <v>245</v>
      </c>
      <c r="AD17" t="s">
        <v>91</v>
      </c>
      <c r="AE17">
        <v>0.024320456878082115</v>
      </c>
      <c r="AG17" t="s">
        <v>29</v>
      </c>
      <c r="AH17" t="s">
        <v>91</v>
      </c>
      <c r="AI17">
        <v>0.049179699037579905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ht="14.25">
      <c r="C18" t="s">
        <v>180</v>
      </c>
      <c r="I18" t="s">
        <v>86</v>
      </c>
      <c r="J18" t="s">
        <v>92</v>
      </c>
      <c r="K18">
        <v>0.03066475789032768</v>
      </c>
      <c r="L18" t="s">
        <v>88</v>
      </c>
      <c r="N18" t="s">
        <v>115</v>
      </c>
      <c r="O18" t="s">
        <v>92</v>
      </c>
      <c r="P18">
        <v>0.0076013200465799647</v>
      </c>
      <c r="Q18" t="s">
        <v>88</v>
      </c>
      <c r="S18" t="s">
        <v>130</v>
      </c>
      <c r="T18" t="s">
        <v>92</v>
      </c>
      <c r="U18">
        <v>0.017599311911380141</v>
      </c>
      <c r="V18" t="s">
        <v>88</v>
      </c>
      <c r="X18">
        <v>0.012785388127853882</v>
      </c>
      <c r="Y18">
        <v>0.017412259983922967</v>
      </c>
      <c r="Z18" t="s">
        <v>92</v>
      </c>
      <c r="AA18" t="s">
        <v>244</v>
      </c>
      <c r="AC18" t="s">
        <v>245</v>
      </c>
      <c r="AD18" t="s">
        <v>92</v>
      </c>
      <c r="AE18">
        <v>0.012526760686626118</v>
      </c>
      <c r="AG18" t="s">
        <v>29</v>
      </c>
      <c r="AH18" t="s">
        <v>92</v>
      </c>
      <c r="AI18">
        <v>0.094022736527880513</v>
      </c>
      <c r="AK18">
        <v>2020</v>
      </c>
      <c r="AL18" t="s">
        <v>180</v>
      </c>
      <c r="AM18">
        <v>0.50868549704828159</v>
      </c>
      <c r="AN18" t="s">
        <v>172</v>
      </c>
    </row>
    <row r="19" spans="9:40" ht="14.25">
      <c r="I19" t="s">
        <v>86</v>
      </c>
      <c r="J19" t="s">
        <v>93</v>
      </c>
      <c r="K19">
        <v>0.060385454142001832</v>
      </c>
      <c r="L19" t="s">
        <v>88</v>
      </c>
      <c r="N19" t="s">
        <v>115</v>
      </c>
      <c r="O19" t="s">
        <v>93</v>
      </c>
      <c r="P19">
        <v>0.012823580404344044</v>
      </c>
      <c r="Q19" t="s">
        <v>88</v>
      </c>
      <c r="S19" t="s">
        <v>130</v>
      </c>
      <c r="T19" t="s">
        <v>93</v>
      </c>
      <c r="U19">
        <v>0.026873653520120493</v>
      </c>
      <c r="V19" t="s">
        <v>88</v>
      </c>
      <c r="X19">
        <v>0.019178082191780823</v>
      </c>
      <c r="Y19">
        <v>0.027352841243401378</v>
      </c>
      <c r="Z19" t="s">
        <v>93</v>
      </c>
      <c r="AA19" t="s">
        <v>244</v>
      </c>
      <c r="AC19" t="s">
        <v>245</v>
      </c>
      <c r="AD19" t="s">
        <v>93</v>
      </c>
      <c r="AE19">
        <v>0.013278655344992885</v>
      </c>
      <c r="AG19" t="s">
        <v>29</v>
      </c>
      <c r="AH19" t="s">
        <v>93</v>
      </c>
      <c r="AI19">
        <v>0.070809483913471416</v>
      </c>
      <c r="AK19">
        <v>2021</v>
      </c>
      <c r="AL19" t="s">
        <v>76</v>
      </c>
      <c r="AM19">
        <v>0.43732210626185958</v>
      </c>
      <c r="AN19" t="s">
        <v>172</v>
      </c>
    </row>
    <row r="20" spans="9:40" ht="14.25">
      <c r="I20" t="s">
        <v>86</v>
      </c>
      <c r="J20" t="s">
        <v>184</v>
      </c>
      <c r="K20">
        <v>0.0090524913644038432</v>
      </c>
      <c r="L20" t="s">
        <v>88</v>
      </c>
      <c r="N20" t="s">
        <v>115</v>
      </c>
      <c r="O20" t="s">
        <v>184</v>
      </c>
      <c r="P20">
        <v>0.0023089262048028325</v>
      </c>
      <c r="Q20" t="s">
        <v>88</v>
      </c>
      <c r="S20" t="s">
        <v>130</v>
      </c>
      <c r="T20" t="s">
        <v>184</v>
      </c>
      <c r="U20">
        <v>0.0045180671039036944</v>
      </c>
      <c r="V20" t="s">
        <v>88</v>
      </c>
      <c r="X20">
        <v>0.0031963470319634705</v>
      </c>
      <c r="Y20">
        <v>0.0062186642799724884</v>
      </c>
      <c r="Z20" t="s">
        <v>184</v>
      </c>
      <c r="AA20" t="s">
        <v>244</v>
      </c>
      <c r="AC20" t="s">
        <v>245</v>
      </c>
      <c r="AD20" t="s">
        <v>184</v>
      </c>
      <c r="AE20">
        <v>0.0026016734713987673</v>
      </c>
      <c r="AG20" t="s">
        <v>29</v>
      </c>
      <c r="AH20" t="s">
        <v>184</v>
      </c>
      <c r="AI20">
        <v>0.04295158608391092</v>
      </c>
      <c r="AK20">
        <v>2021</v>
      </c>
      <c r="AL20" t="s">
        <v>80</v>
      </c>
      <c r="AM20">
        <v>0.45135241596638648</v>
      </c>
      <c r="AN20" t="s">
        <v>172</v>
      </c>
    </row>
    <row r="21" spans="9:40" ht="14.25">
      <c r="I21" t="s">
        <v>86</v>
      </c>
      <c r="J21" t="s">
        <v>185</v>
      </c>
      <c r="K21">
        <v>0.0079014363452491951</v>
      </c>
      <c r="L21" t="s">
        <v>88</v>
      </c>
      <c r="N21" t="s">
        <v>115</v>
      </c>
      <c r="O21" t="s">
        <v>185</v>
      </c>
      <c r="P21">
        <v>0.0022886932599637979</v>
      </c>
      <c r="Q21" t="s">
        <v>88</v>
      </c>
      <c r="S21" t="s">
        <v>130</v>
      </c>
      <c r="T21" t="s">
        <v>185</v>
      </c>
      <c r="U21">
        <v>0.004490616737257095</v>
      </c>
      <c r="V21" t="s">
        <v>88</v>
      </c>
      <c r="X21">
        <v>0.0031963470319634705</v>
      </c>
      <c r="Y21">
        <v>0.0048264260083368555</v>
      </c>
      <c r="Z21" t="s">
        <v>185</v>
      </c>
      <c r="AA21" t="s">
        <v>244</v>
      </c>
      <c r="AC21" t="s">
        <v>245</v>
      </c>
      <c r="AD21" t="s">
        <v>185</v>
      </c>
      <c r="AE21">
        <v>0.003019177588791124</v>
      </c>
      <c r="AG21" t="s">
        <v>29</v>
      </c>
      <c r="AH21" t="s">
        <v>185</v>
      </c>
      <c r="AI21">
        <v>0.085249006982327513</v>
      </c>
      <c r="AK21">
        <v>2021</v>
      </c>
      <c r="AL21" t="s">
        <v>82</v>
      </c>
      <c r="AM21">
        <v>0.43238061353573681</v>
      </c>
      <c r="AN21" t="s">
        <v>172</v>
      </c>
    </row>
    <row r="22" spans="9:40" ht="14.25">
      <c r="I22" t="s">
        <v>86</v>
      </c>
      <c r="J22" t="s">
        <v>186</v>
      </c>
      <c r="K22">
        <v>0.0053435736687804788</v>
      </c>
      <c r="L22" t="s">
        <v>88</v>
      </c>
      <c r="N22" t="s">
        <v>115</v>
      </c>
      <c r="O22" t="s">
        <v>186</v>
      </c>
      <c r="P22">
        <v>0.01133466010121335</v>
      </c>
      <c r="Q22" t="s">
        <v>88</v>
      </c>
      <c r="S22" t="s">
        <v>130</v>
      </c>
      <c r="T22" t="s">
        <v>186</v>
      </c>
      <c r="U22">
        <v>0.022147978440995576</v>
      </c>
      <c r="V22" t="s">
        <v>88</v>
      </c>
      <c r="X22">
        <v>0.015981735159817351</v>
      </c>
      <c r="Y22">
        <v>0.012066065020842141</v>
      </c>
      <c r="Z22" t="s">
        <v>186</v>
      </c>
      <c r="AA22" t="s">
        <v>244</v>
      </c>
      <c r="AC22" t="s">
        <v>245</v>
      </c>
      <c r="AD22" t="s">
        <v>186</v>
      </c>
      <c r="AE22">
        <v>0.016910348290204848</v>
      </c>
      <c r="AG22" t="s">
        <v>29</v>
      </c>
      <c r="AH22" t="s">
        <v>186</v>
      </c>
      <c r="AI22">
        <v>0.073855213449832924</v>
      </c>
      <c r="AK22">
        <v>2021</v>
      </c>
      <c r="AL22" t="s">
        <v>84</v>
      </c>
      <c r="AM22">
        <v>0.42295059825005266</v>
      </c>
      <c r="AN22" t="s">
        <v>172</v>
      </c>
    </row>
    <row r="23" spans="9:40" ht="14.2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0.01739423116940355</v>
      </c>
      <c r="Q23" t="s">
        <v>88</v>
      </c>
      <c r="S23" t="s">
        <v>130</v>
      </c>
      <c r="T23" t="s">
        <v>94</v>
      </c>
      <c r="U23">
        <v>0.023754199588401127</v>
      </c>
      <c r="V23" t="s">
        <v>88</v>
      </c>
      <c r="X23">
        <v>0.024771689497716895</v>
      </c>
      <c r="Y23">
        <v>0.0097827942553597048</v>
      </c>
      <c r="Z23" t="s">
        <v>94</v>
      </c>
      <c r="AA23" t="s">
        <v>244</v>
      </c>
      <c r="AC23" t="s">
        <v>245</v>
      </c>
      <c r="AD23" t="s">
        <v>94</v>
      </c>
      <c r="AE23">
        <v>0.02657636522791464</v>
      </c>
      <c r="AG23" t="s">
        <v>29</v>
      </c>
      <c r="AH23" t="s">
        <v>94</v>
      </c>
      <c r="AI23">
        <v>0.063245169905943976</v>
      </c>
      <c r="AK23">
        <v>2021</v>
      </c>
      <c r="AL23" t="s">
        <v>175</v>
      </c>
      <c r="AM23">
        <v>0.4697712418300653</v>
      </c>
      <c r="AN23" t="s">
        <v>172</v>
      </c>
    </row>
    <row r="24" spans="9:40" ht="14.25">
      <c r="I24" t="s">
        <v>86</v>
      </c>
      <c r="J24" t="s">
        <v>95</v>
      </c>
      <c r="K24">
        <v>0.025419241560188842</v>
      </c>
      <c r="L24" t="s">
        <v>88</v>
      </c>
      <c r="N24" t="s">
        <v>115</v>
      </c>
      <c r="O24" t="s">
        <v>95</v>
      </c>
      <c r="P24">
        <v>0.0099353289733509799</v>
      </c>
      <c r="Q24" t="s">
        <v>88</v>
      </c>
      <c r="S24" t="s">
        <v>130</v>
      </c>
      <c r="T24" t="s">
        <v>95</v>
      </c>
      <c r="U24">
        <v>0.013764118276652781</v>
      </c>
      <c r="V24" t="s">
        <v>88</v>
      </c>
      <c r="X24">
        <v>0.014155251141552512</v>
      </c>
      <c r="Y24">
        <v>0.019277859267914713</v>
      </c>
      <c r="Z24" t="s">
        <v>95</v>
      </c>
      <c r="AA24" t="s">
        <v>244</v>
      </c>
      <c r="AC24" t="s">
        <v>245</v>
      </c>
      <c r="AD24" t="s">
        <v>95</v>
      </c>
      <c r="AE24">
        <v>0.013719200476450526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9:40" ht="14.25">
      <c r="I25" t="s">
        <v>86</v>
      </c>
      <c r="J25" t="s">
        <v>96</v>
      </c>
      <c r="K25">
        <v>0.053746392741990792</v>
      </c>
      <c r="L25" t="s">
        <v>88</v>
      </c>
      <c r="N25" t="s">
        <v>115</v>
      </c>
      <c r="O25" t="s">
        <v>96</v>
      </c>
      <c r="P25">
        <v>0.015840702473148675</v>
      </c>
      <c r="Q25" t="s">
        <v>88</v>
      </c>
      <c r="S25" t="s">
        <v>130</v>
      </c>
      <c r="T25" t="s">
        <v>96</v>
      </c>
      <c r="U25">
        <v>0.022001134687296163</v>
      </c>
      <c r="V25" t="s">
        <v>88</v>
      </c>
      <c r="X25">
        <v>0.021232876712328767</v>
      </c>
      <c r="Y25">
        <v>0.030283502805194377</v>
      </c>
      <c r="Z25" t="s">
        <v>96</v>
      </c>
      <c r="AA25" t="s">
        <v>244</v>
      </c>
      <c r="AC25" t="s">
        <v>245</v>
      </c>
      <c r="AD25" t="s">
        <v>96</v>
      </c>
      <c r="AE25">
        <v>0.014603486919803727</v>
      </c>
      <c r="AG25" t="s">
        <v>29</v>
      </c>
      <c r="AH25" t="s">
        <v>96</v>
      </c>
      <c r="AI25">
        <v>0.067234198726643157</v>
      </c>
      <c r="AK25">
        <v>2021</v>
      </c>
      <c r="AL25" t="s">
        <v>179</v>
      </c>
      <c r="AM25">
        <v>0.53862270714737503</v>
      </c>
      <c r="AN25" t="s">
        <v>172</v>
      </c>
    </row>
    <row r="26" spans="9:40" ht="14.25">
      <c r="I26" t="s">
        <v>86</v>
      </c>
      <c r="J26" t="s">
        <v>187</v>
      </c>
      <c r="K26">
        <v>0.0076232417221596994</v>
      </c>
      <c r="L26" t="s">
        <v>88</v>
      </c>
      <c r="N26" t="s">
        <v>115</v>
      </c>
      <c r="O26" t="s">
        <v>187</v>
      </c>
      <c r="P26">
        <v>0.002648894608935747</v>
      </c>
      <c r="Q26" t="s">
        <v>88</v>
      </c>
      <c r="S26" t="s">
        <v>130</v>
      </c>
      <c r="T26" t="s">
        <v>187</v>
      </c>
      <c r="U26">
        <v>0.0038209577525813278</v>
      </c>
      <c r="V26" t="s">
        <v>88</v>
      </c>
      <c r="X26">
        <v>0.0035388127853881279</v>
      </c>
      <c r="Y26">
        <v>0.0068849497385409693</v>
      </c>
      <c r="Z26" t="s">
        <v>187</v>
      </c>
      <c r="AA26" t="s">
        <v>244</v>
      </c>
      <c r="AC26" t="s">
        <v>245</v>
      </c>
      <c r="AD26" t="s">
        <v>187</v>
      </c>
      <c r="AE26">
        <v>0.0028599027211659439</v>
      </c>
      <c r="AG26" t="s">
        <v>29</v>
      </c>
      <c r="AH26" t="s">
        <v>187</v>
      </c>
      <c r="AI26">
        <v>0.054724375036419692</v>
      </c>
      <c r="AK26">
        <v>2021</v>
      </c>
      <c r="AL26" t="s">
        <v>180</v>
      </c>
      <c r="AM26">
        <v>0.52120394528779257</v>
      </c>
      <c r="AN26" t="s">
        <v>172</v>
      </c>
    </row>
    <row r="27" spans="9:40" ht="14.25">
      <c r="I27" t="s">
        <v>86</v>
      </c>
      <c r="J27" t="s">
        <v>188</v>
      </c>
      <c r="K27">
        <v>0.0061286985763506184</v>
      </c>
      <c r="L27" t="s">
        <v>88</v>
      </c>
      <c r="N27" t="s">
        <v>115</v>
      </c>
      <c r="O27" t="s">
        <v>188</v>
      </c>
      <c r="P27">
        <v>0.0026421816970874762</v>
      </c>
      <c r="Q27" t="s">
        <v>88</v>
      </c>
      <c r="S27" t="s">
        <v>130</v>
      </c>
      <c r="T27" t="s">
        <v>188</v>
      </c>
      <c r="U27">
        <v>0.0038358859577114959</v>
      </c>
      <c r="V27" t="s">
        <v>88</v>
      </c>
      <c r="X27">
        <v>0.0035388127853881279</v>
      </c>
      <c r="Y27">
        <v>0.0053435430806586613</v>
      </c>
      <c r="Z27" t="s">
        <v>188</v>
      </c>
      <c r="AA27" t="s">
        <v>244</v>
      </c>
      <c r="AC27" t="s">
        <v>245</v>
      </c>
      <c r="AD27" t="s">
        <v>188</v>
      </c>
      <c r="AE27">
        <v>0.0033137316930342922</v>
      </c>
      <c r="AG27" t="s">
        <v>29</v>
      </c>
      <c r="AH27" t="s">
        <v>188</v>
      </c>
      <c r="AI27">
        <v>0.098500856558169314</v>
      </c>
      <c r="AK27">
        <v>2022</v>
      </c>
      <c r="AL27" t="s">
        <v>76</v>
      </c>
      <c r="AM27">
        <v>0.45670528547629868</v>
      </c>
      <c r="AN27" t="s">
        <v>172</v>
      </c>
    </row>
    <row r="28" spans="9:40" ht="14.25">
      <c r="I28" t="s">
        <v>86</v>
      </c>
      <c r="J28" t="s">
        <v>189</v>
      </c>
      <c r="K28">
        <v>0.0013351280726390463</v>
      </c>
      <c r="L28" t="s">
        <v>88</v>
      </c>
      <c r="N28" t="s">
        <v>115</v>
      </c>
      <c r="O28" t="s">
        <v>189</v>
      </c>
      <c r="P28">
        <v>0.012578828596512064</v>
      </c>
      <c r="Q28" t="s">
        <v>88</v>
      </c>
      <c r="S28" t="s">
        <v>130</v>
      </c>
      <c r="T28" t="s">
        <v>189</v>
      </c>
      <c r="U28">
        <v>0.018359008357708387</v>
      </c>
      <c r="V28" t="s">
        <v>88</v>
      </c>
      <c r="X28">
        <v>0.017694063926940638</v>
      </c>
      <c r="Y28">
        <v>0.013358857701646654</v>
      </c>
      <c r="Z28" t="s">
        <v>189</v>
      </c>
      <c r="AA28" t="s">
        <v>244</v>
      </c>
      <c r="AC28" t="s">
        <v>245</v>
      </c>
      <c r="AD28" t="s">
        <v>189</v>
      </c>
      <c r="AE28">
        <v>0.018478476010364044</v>
      </c>
      <c r="AG28" t="s">
        <v>29</v>
      </c>
      <c r="AH28" t="s">
        <v>189</v>
      </c>
      <c r="AI28">
        <v>0.085831249144549426</v>
      </c>
      <c r="AK28">
        <v>2022</v>
      </c>
      <c r="AL28" t="s">
        <v>80</v>
      </c>
      <c r="AM28">
        <v>0.44276073105298458</v>
      </c>
      <c r="AN28" t="s">
        <v>172</v>
      </c>
    </row>
    <row r="29" spans="9:40" ht="14.2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0.046108664583707999</v>
      </c>
      <c r="Q29" t="s">
        <v>88</v>
      </c>
      <c r="S29" t="s">
        <v>130</v>
      </c>
      <c r="T29" t="s">
        <v>97</v>
      </c>
      <c r="U29">
        <v>0.046980910795041964</v>
      </c>
      <c r="V29" t="s">
        <v>88</v>
      </c>
      <c r="X29">
        <v>0.048744292237442921</v>
      </c>
      <c r="Y29">
        <v>0.019250014502482003</v>
      </c>
      <c r="Z29" t="s">
        <v>97</v>
      </c>
      <c r="AA29" t="s">
        <v>244</v>
      </c>
      <c r="AC29" t="s">
        <v>245</v>
      </c>
      <c r="AD29" t="s">
        <v>97</v>
      </c>
      <c r="AE29">
        <v>0.054699967707002035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9:40" ht="14.25">
      <c r="I30" t="s">
        <v>86</v>
      </c>
      <c r="J30" t="s">
        <v>98</v>
      </c>
      <c r="K30">
        <v>0.027554230834063987</v>
      </c>
      <c r="L30" t="s">
        <v>88</v>
      </c>
      <c r="N30" t="s">
        <v>115</v>
      </c>
      <c r="O30" t="s">
        <v>98</v>
      </c>
      <c r="P30">
        <v>0.026855774217183662</v>
      </c>
      <c r="Q30" t="s">
        <v>88</v>
      </c>
      <c r="S30" t="s">
        <v>130</v>
      </c>
      <c r="T30" t="s">
        <v>98</v>
      </c>
      <c r="U30">
        <v>0.027335634228864817</v>
      </c>
      <c r="V30" t="s">
        <v>88</v>
      </c>
      <c r="X30">
        <v>0.027853881278538814</v>
      </c>
      <c r="Y30">
        <v>0.037933852107832171</v>
      </c>
      <c r="Z30" t="s">
        <v>98</v>
      </c>
      <c r="AA30" t="s">
        <v>244</v>
      </c>
      <c r="AC30" t="s">
        <v>245</v>
      </c>
      <c r="AD30" t="s">
        <v>98</v>
      </c>
      <c r="AE30">
        <v>0.030267741903327598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9:40" ht="14.25">
      <c r="I31" t="s">
        <v>86</v>
      </c>
      <c r="J31" t="s">
        <v>99</v>
      </c>
      <c r="K31">
        <v>0.066179354257908884</v>
      </c>
      <c r="L31" t="s">
        <v>88</v>
      </c>
      <c r="N31" t="s">
        <v>115</v>
      </c>
      <c r="O31" t="s">
        <v>99</v>
      </c>
      <c r="P31">
        <v>0.04243663025707882</v>
      </c>
      <c r="Q31" t="s">
        <v>88</v>
      </c>
      <c r="S31" t="s">
        <v>130</v>
      </c>
      <c r="T31" t="s">
        <v>99</v>
      </c>
      <c r="U31">
        <v>0.040516112795727886</v>
      </c>
      <c r="V31" t="s">
        <v>88</v>
      </c>
      <c r="X31">
        <v>0.041780821917808221</v>
      </c>
      <c r="Y31">
        <v>0.059590118423124429</v>
      </c>
      <c r="Z31" t="s">
        <v>99</v>
      </c>
      <c r="AA31" t="s">
        <v>244</v>
      </c>
      <c r="AC31" t="s">
        <v>245</v>
      </c>
      <c r="AD31" t="s">
        <v>99</v>
      </c>
      <c r="AE31">
        <v>0.03026085027809227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9:40" ht="14.25">
      <c r="I32" t="s">
        <v>86</v>
      </c>
      <c r="J32" t="s">
        <v>190</v>
      </c>
      <c r="K32">
        <v>0.0079950934940566966</v>
      </c>
      <c r="L32" t="s">
        <v>88</v>
      </c>
      <c r="N32" t="s">
        <v>115</v>
      </c>
      <c r="O32" t="s">
        <v>190</v>
      </c>
      <c r="P32">
        <v>0.0070155457536233701</v>
      </c>
      <c r="Q32" t="s">
        <v>88</v>
      </c>
      <c r="S32" t="s">
        <v>130</v>
      </c>
      <c r="T32" t="s">
        <v>190</v>
      </c>
      <c r="U32">
        <v>0.0066093236617444208</v>
      </c>
      <c r="V32" t="s">
        <v>88</v>
      </c>
      <c r="X32">
        <v>0.0069634703196347035</v>
      </c>
      <c r="Y32">
        <v>0.01354780432422577</v>
      </c>
      <c r="Z32" t="s">
        <v>190</v>
      </c>
      <c r="AA32" t="s">
        <v>244</v>
      </c>
      <c r="AC32" t="s">
        <v>245</v>
      </c>
      <c r="AD32" t="s">
        <v>190</v>
      </c>
      <c r="AE32">
        <v>0.0051845918182678715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ht="14.25">
      <c r="I33" t="s">
        <v>86</v>
      </c>
      <c r="J33" t="s">
        <v>191</v>
      </c>
      <c r="K33">
        <v>0.0020066492634273191</v>
      </c>
      <c r="L33" t="s">
        <v>88</v>
      </c>
      <c r="N33" t="s">
        <v>115</v>
      </c>
      <c r="O33" t="s">
        <v>191</v>
      </c>
      <c r="P33">
        <v>0.0070363125166566102</v>
      </c>
      <c r="Q33" t="s">
        <v>88</v>
      </c>
      <c r="S33" t="s">
        <v>130</v>
      </c>
      <c r="T33" t="s">
        <v>191</v>
      </c>
      <c r="U33">
        <v>0.0065145178675228097</v>
      </c>
      <c r="V33" t="s">
        <v>88</v>
      </c>
      <c r="X33">
        <v>0.0069634703196347035</v>
      </c>
      <c r="Y33">
        <v>0.010514713803876726</v>
      </c>
      <c r="Z33" t="s">
        <v>191</v>
      </c>
      <c r="AA33" t="s">
        <v>244</v>
      </c>
      <c r="AC33" t="s">
        <v>245</v>
      </c>
      <c r="AD33" t="s">
        <v>191</v>
      </c>
      <c r="AE33">
        <v>0.0060119358295861094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ht="14.2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0.033157604925628401</v>
      </c>
      <c r="Q34" t="s">
        <v>88</v>
      </c>
      <c r="S34" t="s">
        <v>130</v>
      </c>
      <c r="T34" t="s">
        <v>192</v>
      </c>
      <c r="U34">
        <v>0.032005904830511391</v>
      </c>
      <c r="V34" t="s">
        <v>88</v>
      </c>
      <c r="X34">
        <v>0.034817351598173514</v>
      </c>
      <c r="Y34">
        <v>0.026286784509691803</v>
      </c>
      <c r="Z34" t="s">
        <v>192</v>
      </c>
      <c r="AA34" t="s">
        <v>244</v>
      </c>
      <c r="AC34" t="s">
        <v>245</v>
      </c>
      <c r="AD34" t="s">
        <v>192</v>
      </c>
      <c r="AE34">
        <v>0.037399795080651291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ht="14.2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0.022333703766040672</v>
      </c>
      <c r="Q35" t="s">
        <v>88</v>
      </c>
      <c r="S35" t="s">
        <v>130</v>
      </c>
      <c r="T35" t="s">
        <v>193</v>
      </c>
      <c r="U35">
        <v>0.033925078717178599</v>
      </c>
      <c r="V35" t="s">
        <v>88</v>
      </c>
      <c r="X35">
        <v>0.023972602739726026</v>
      </c>
      <c r="Y35">
        <v>0.0094672202471222967</v>
      </c>
      <c r="Z35" t="s">
        <v>193</v>
      </c>
      <c r="AA35" t="s">
        <v>244</v>
      </c>
      <c r="AC35" t="s">
        <v>245</v>
      </c>
      <c r="AD35" t="s">
        <v>193</v>
      </c>
      <c r="AE35">
        <v>0.029262689938114154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ht="14.25">
      <c r="I36" t="s">
        <v>86</v>
      </c>
      <c r="J36" t="s">
        <v>194</v>
      </c>
      <c r="K36">
        <v>0.0064733097878018862</v>
      </c>
      <c r="L36" t="s">
        <v>88</v>
      </c>
      <c r="N36" t="s">
        <v>115</v>
      </c>
      <c r="O36" t="s">
        <v>194</v>
      </c>
      <c r="P36">
        <v>0.01218070814491445</v>
      </c>
      <c r="Q36" t="s">
        <v>88</v>
      </c>
      <c r="S36" t="s">
        <v>130</v>
      </c>
      <c r="T36" t="s">
        <v>194</v>
      </c>
      <c r="U36">
        <v>0.019247126832521062</v>
      </c>
      <c r="V36" t="s">
        <v>88</v>
      </c>
      <c r="X36">
        <v>0.013698630136986301</v>
      </c>
      <c r="Y36">
        <v>0.018655992839917462</v>
      </c>
      <c r="Z36" t="s">
        <v>194</v>
      </c>
      <c r="AA36" t="s">
        <v>244</v>
      </c>
      <c r="AC36" t="s">
        <v>245</v>
      </c>
      <c r="AD36" t="s">
        <v>194</v>
      </c>
      <c r="AE36">
        <v>0.016594860988737279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ht="14.25">
      <c r="I37" t="s">
        <v>86</v>
      </c>
      <c r="J37" t="s">
        <v>195</v>
      </c>
      <c r="K37">
        <v>0.020585180275666467</v>
      </c>
      <c r="L37" t="s">
        <v>88</v>
      </c>
      <c r="N37" t="s">
        <v>115</v>
      </c>
      <c r="O37" t="s">
        <v>195</v>
      </c>
      <c r="P37">
        <v>0.017566220209362965</v>
      </c>
      <c r="Q37" t="s">
        <v>88</v>
      </c>
      <c r="S37" t="s">
        <v>130</v>
      </c>
      <c r="T37" t="s">
        <v>195</v>
      </c>
      <c r="U37">
        <v>0.028999591132722068</v>
      </c>
      <c r="V37" t="s">
        <v>88</v>
      </c>
      <c r="X37">
        <v>0.020547945205479451</v>
      </c>
      <c r="Y37">
        <v>0.029306615617930045</v>
      </c>
      <c r="Z37" t="s">
        <v>195</v>
      </c>
      <c r="AA37" t="s">
        <v>244</v>
      </c>
      <c r="AC37" t="s">
        <v>245</v>
      </c>
      <c r="AD37" t="s">
        <v>195</v>
      </c>
      <c r="AE37">
        <v>0.016415535562755903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ht="14.25">
      <c r="I38" t="s">
        <v>86</v>
      </c>
      <c r="J38" t="s">
        <v>196</v>
      </c>
      <c r="K38">
        <v>0.002450114261021645</v>
      </c>
      <c r="L38" t="s">
        <v>88</v>
      </c>
      <c r="N38" t="s">
        <v>115</v>
      </c>
      <c r="O38" t="s">
        <v>196</v>
      </c>
      <c r="P38">
        <v>0.0030514463773639996</v>
      </c>
      <c r="Q38" t="s">
        <v>88</v>
      </c>
      <c r="S38" t="s">
        <v>130</v>
      </c>
      <c r="T38" t="s">
        <v>196</v>
      </c>
      <c r="U38">
        <v>0.00480417276534441</v>
      </c>
      <c r="V38" t="s">
        <v>88</v>
      </c>
      <c r="X38">
        <v>0.0034246575342465752</v>
      </c>
      <c r="Y38">
        <v>0.006662854585684809</v>
      </c>
      <c r="Z38" t="s">
        <v>196</v>
      </c>
      <c r="AA38" t="s">
        <v>244</v>
      </c>
      <c r="AC38" t="s">
        <v>245</v>
      </c>
      <c r="AD38" t="s">
        <v>196</v>
      </c>
      <c r="AE38">
        <v>0.0028707238079250961</v>
      </c>
      <c r="AG38" t="s">
        <v>29</v>
      </c>
      <c r="AH38" t="s">
        <v>196</v>
      </c>
      <c r="AI38">
        <v>0.053483883848355118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ht="14.2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0.0030757181953937366</v>
      </c>
      <c r="Q39" t="s">
        <v>88</v>
      </c>
      <c r="S39" t="s">
        <v>130</v>
      </c>
      <c r="T39" t="s">
        <v>197</v>
      </c>
      <c r="U39">
        <v>0.0047407935020689421</v>
      </c>
      <c r="V39" t="s">
        <v>88</v>
      </c>
      <c r="X39">
        <v>0.0034246575342465752</v>
      </c>
      <c r="Y39">
        <v>0.0051711707232180593</v>
      </c>
      <c r="Z39" t="s">
        <v>197</v>
      </c>
      <c r="AA39" t="s">
        <v>244</v>
      </c>
      <c r="AC39" t="s">
        <v>245</v>
      </c>
      <c r="AD39" t="s">
        <v>197</v>
      </c>
      <c r="AE39">
        <v>0.0034975146972787332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ht="14.2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0.015722070607830294</v>
      </c>
      <c r="Q40" t="s">
        <v>88</v>
      </c>
      <c r="S40" t="s">
        <v>130</v>
      </c>
      <c r="T40" t="s">
        <v>198</v>
      </c>
      <c r="U40">
        <v>0.022841141414312118</v>
      </c>
      <c r="V40" t="s">
        <v>88</v>
      </c>
      <c r="X40">
        <v>0.017123287671232876</v>
      </c>
      <c r="Y40">
        <v>0.012927926808045149</v>
      </c>
      <c r="Z40" t="s">
        <v>198</v>
      </c>
      <c r="AA40" t="s">
        <v>244</v>
      </c>
      <c r="AC40" t="s">
        <v>245</v>
      </c>
      <c r="AD40" t="s">
        <v>198</v>
      </c>
      <c r="AE40">
        <v>0.020858441557153454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ht="14.2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0.082351135530327468</v>
      </c>
      <c r="Q41" t="s">
        <v>88</v>
      </c>
      <c r="S41" t="s">
        <v>130</v>
      </c>
      <c r="T41" t="s">
        <v>199</v>
      </c>
      <c r="U41">
        <v>0.081576795158282756</v>
      </c>
      <c r="V41" t="s">
        <v>88</v>
      </c>
      <c r="X41">
        <v>0.073515981735159816</v>
      </c>
      <c r="Y41">
        <v>0.029032808757841703</v>
      </c>
      <c r="Z41" t="s">
        <v>199</v>
      </c>
      <c r="AA41" t="s">
        <v>244</v>
      </c>
      <c r="AC41" t="s">
        <v>245</v>
      </c>
      <c r="AD41" t="s">
        <v>199</v>
      </c>
      <c r="AE41">
        <v>0.089347711205685326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ht="14.25">
      <c r="I42" t="s">
        <v>86</v>
      </c>
      <c r="J42" t="s">
        <v>200</v>
      </c>
      <c r="K42">
        <v>0.040327636738248268</v>
      </c>
      <c r="L42" t="s">
        <v>88</v>
      </c>
      <c r="N42" t="s">
        <v>115</v>
      </c>
      <c r="O42" t="s">
        <v>200</v>
      </c>
      <c r="P42">
        <v>0.047583527367179308</v>
      </c>
      <c r="Q42" t="s">
        <v>88</v>
      </c>
      <c r="S42" t="s">
        <v>130</v>
      </c>
      <c r="T42" t="s">
        <v>200</v>
      </c>
      <c r="U42">
        <v>0.047363487690845966</v>
      </c>
      <c r="V42" t="s">
        <v>88</v>
      </c>
      <c r="X42">
        <v>0.042009132420091327</v>
      </c>
      <c r="Y42">
        <v>0.05721171137574689</v>
      </c>
      <c r="Z42" t="s">
        <v>200</v>
      </c>
      <c r="AA42" t="s">
        <v>244</v>
      </c>
      <c r="AC42" t="s">
        <v>245</v>
      </c>
      <c r="AD42" t="s">
        <v>200</v>
      </c>
      <c r="AE42">
        <v>0.050748904468000976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ht="14.2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0.075202290354931922</v>
      </c>
      <c r="Q43" t="s">
        <v>88</v>
      </c>
      <c r="S43" t="s">
        <v>130</v>
      </c>
      <c r="T43" t="s">
        <v>201</v>
      </c>
      <c r="U43">
        <v>0.071596241175866021</v>
      </c>
      <c r="V43" t="s">
        <v>88</v>
      </c>
      <c r="X43">
        <v>0.063013698630136991</v>
      </c>
      <c r="Y43">
        <v>0.089873621228318795</v>
      </c>
      <c r="Z43" t="s">
        <v>201</v>
      </c>
      <c r="AA43" t="s">
        <v>244</v>
      </c>
      <c r="AC43" t="s">
        <v>245</v>
      </c>
      <c r="AD43" t="s">
        <v>201</v>
      </c>
      <c r="AE43">
        <v>0.049842324488621678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ht="14.25">
      <c r="I44" t="s">
        <v>86</v>
      </c>
      <c r="J44" t="s">
        <v>202</v>
      </c>
      <c r="K44">
        <v>0.013329150491422007</v>
      </c>
      <c r="L44" t="s">
        <v>88</v>
      </c>
      <c r="N44" t="s">
        <v>115</v>
      </c>
      <c r="O44" t="s">
        <v>202</v>
      </c>
      <c r="P44">
        <v>0.012111588318617911</v>
      </c>
      <c r="Q44" t="s">
        <v>88</v>
      </c>
      <c r="S44" t="s">
        <v>130</v>
      </c>
      <c r="T44" t="s">
        <v>202</v>
      </c>
      <c r="U44">
        <v>0.011662432248625702</v>
      </c>
      <c r="V44" t="s">
        <v>88</v>
      </c>
      <c r="X44">
        <v>0.010502283105022832</v>
      </c>
      <c r="Y44">
        <v>0.020432754062766744</v>
      </c>
      <c r="Z44" t="s">
        <v>202</v>
      </c>
      <c r="AA44" t="s">
        <v>244</v>
      </c>
      <c r="AC44" t="s">
        <v>245</v>
      </c>
      <c r="AD44" t="s">
        <v>202</v>
      </c>
      <c r="AE44">
        <v>0.0086422361210374589</v>
      </c>
      <c r="AG44" t="s">
        <v>29</v>
      </c>
      <c r="AH44" t="s">
        <v>202</v>
      </c>
      <c r="AI44">
        <v>0.096447294343016354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ht="14.25">
      <c r="I45" t="s">
        <v>86</v>
      </c>
      <c r="J45" t="s">
        <v>203</v>
      </c>
      <c r="K45">
        <v>0.0053043927842254066</v>
      </c>
      <c r="L45" t="s">
        <v>88</v>
      </c>
      <c r="N45" t="s">
        <v>115</v>
      </c>
      <c r="O45" t="s">
        <v>203</v>
      </c>
      <c r="P45">
        <v>0.012005859634772622</v>
      </c>
      <c r="Q45" t="s">
        <v>88</v>
      </c>
      <c r="S45" t="s">
        <v>130</v>
      </c>
      <c r="T45" t="s">
        <v>203</v>
      </c>
      <c r="U45">
        <v>0.011522787252311709</v>
      </c>
      <c r="V45" t="s">
        <v>88</v>
      </c>
      <c r="X45">
        <v>0.010502283105022832</v>
      </c>
      <c r="Y45">
        <v>0.01585825688453538</v>
      </c>
      <c r="Z45" t="s">
        <v>203</v>
      </c>
      <c r="AA45" t="s">
        <v>244</v>
      </c>
      <c r="AC45" t="s">
        <v>245</v>
      </c>
      <c r="AD45" t="s">
        <v>203</v>
      </c>
      <c r="AE45">
        <v>0.010438979634436277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ht="14.2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0.059431953987398638</v>
      </c>
      <c r="Q46" t="s">
        <v>88</v>
      </c>
      <c r="S46" t="s">
        <v>130</v>
      </c>
      <c r="T46" t="s">
        <v>204</v>
      </c>
      <c r="U46">
        <v>0.057456466648824978</v>
      </c>
      <c r="V46" t="s">
        <v>88</v>
      </c>
      <c r="X46">
        <v>0.052511415525114152</v>
      </c>
      <c r="Y46">
        <v>0.039645642211338455</v>
      </c>
      <c r="Z46" t="s">
        <v>204</v>
      </c>
      <c r="AA46" t="s">
        <v>244</v>
      </c>
      <c r="AC46" t="s">
        <v>245</v>
      </c>
      <c r="AD46" t="s">
        <v>204</v>
      </c>
      <c r="AE46">
        <v>0.062875831290163123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ht="14.25">
      <c r="I47" t="s">
        <v>86</v>
      </c>
      <c r="J47" t="s">
        <v>205</v>
      </c>
      <c r="K47">
        <v>0.0020006380832013108</v>
      </c>
      <c r="L47" t="s">
        <v>88</v>
      </c>
      <c r="N47" t="s">
        <v>115</v>
      </c>
      <c r="O47" t="s">
        <v>205</v>
      </c>
      <c r="P47">
        <v>0.030534403276551065</v>
      </c>
      <c r="Q47" t="s">
        <v>88</v>
      </c>
      <c r="S47" t="s">
        <v>130</v>
      </c>
      <c r="T47" t="s">
        <v>205</v>
      </c>
      <c r="U47">
        <v>0.015152803122201883</v>
      </c>
      <c r="V47" t="s">
        <v>88</v>
      </c>
      <c r="X47">
        <v>0.024771689497716895</v>
      </c>
      <c r="Y47">
        <v>0.0097827942553597048</v>
      </c>
      <c r="Z47" t="s">
        <v>205</v>
      </c>
      <c r="AA47" t="s">
        <v>244</v>
      </c>
      <c r="AC47" t="s">
        <v>245</v>
      </c>
      <c r="AD47" t="s">
        <v>205</v>
      </c>
      <c r="AE47">
        <v>0.028314003582872626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ht="14.25">
      <c r="I48" t="s">
        <v>86</v>
      </c>
      <c r="J48" t="s">
        <v>206</v>
      </c>
      <c r="K48">
        <v>0.034055407361702324</v>
      </c>
      <c r="L48" t="s">
        <v>88</v>
      </c>
      <c r="N48" t="s">
        <v>115</v>
      </c>
      <c r="O48" t="s">
        <v>206</v>
      </c>
      <c r="P48">
        <v>0.017072556389608334</v>
      </c>
      <c r="Q48" t="s">
        <v>88</v>
      </c>
      <c r="S48" t="s">
        <v>130</v>
      </c>
      <c r="T48" t="s">
        <v>206</v>
      </c>
      <c r="U48">
        <v>0.0090962652096434268</v>
      </c>
      <c r="V48" t="s">
        <v>88</v>
      </c>
      <c r="X48">
        <v>0.014155251141552512</v>
      </c>
      <c r="Y48">
        <v>0.019277859267914713</v>
      </c>
      <c r="Z48" t="s">
        <v>206</v>
      </c>
      <c r="AA48" t="s">
        <v>244</v>
      </c>
      <c r="AC48" t="s">
        <v>245</v>
      </c>
      <c r="AD48" t="s">
        <v>206</v>
      </c>
      <c r="AE48">
        <v>0.014818060830846908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ht="14.25">
      <c r="I49" t="s">
        <v>86</v>
      </c>
      <c r="J49" t="s">
        <v>207</v>
      </c>
      <c r="K49">
        <v>0.0605767054327477</v>
      </c>
      <c r="L49" t="s">
        <v>88</v>
      </c>
      <c r="N49" t="s">
        <v>115</v>
      </c>
      <c r="O49" t="s">
        <v>207</v>
      </c>
      <c r="P49">
        <v>0.02875549337847335</v>
      </c>
      <c r="Q49" t="s">
        <v>88</v>
      </c>
      <c r="S49" t="s">
        <v>130</v>
      </c>
      <c r="T49" t="s">
        <v>207</v>
      </c>
      <c r="U49">
        <v>0.014186505819508298</v>
      </c>
      <c r="V49" t="s">
        <v>88</v>
      </c>
      <c r="X49">
        <v>0.021232876712328767</v>
      </c>
      <c r="Y49">
        <v>0.030283502805194377</v>
      </c>
      <c r="Z49" t="s">
        <v>207</v>
      </c>
      <c r="AA49" t="s">
        <v>244</v>
      </c>
      <c r="AC49" t="s">
        <v>245</v>
      </c>
      <c r="AD49" t="s">
        <v>207</v>
      </c>
      <c r="AE49">
        <v>0.014966255466988876</v>
      </c>
      <c r="AG49" t="s">
        <v>29</v>
      </c>
      <c r="AH49" t="s">
        <v>207</v>
      </c>
      <c r="AI49">
        <v>0.077152130777014216</v>
      </c>
      <c r="AK49">
        <v>2026</v>
      </c>
      <c r="AL49" t="s">
        <v>179</v>
      </c>
      <c r="AM49">
        <v>0.5525</v>
      </c>
      <c r="AN49" t="s">
        <v>172</v>
      </c>
    </row>
    <row r="50" spans="9:40" ht="14.25">
      <c r="I50" t="s">
        <v>86</v>
      </c>
      <c r="J50" t="s">
        <v>208</v>
      </c>
      <c r="K50">
        <v>0.0081878257839807546</v>
      </c>
      <c r="L50" t="s">
        <v>88</v>
      </c>
      <c r="N50" t="s">
        <v>115</v>
      </c>
      <c r="O50" t="s">
        <v>208</v>
      </c>
      <c r="P50">
        <v>0.0047096517698128693</v>
      </c>
      <c r="Q50" t="s">
        <v>88</v>
      </c>
      <c r="S50" t="s">
        <v>130</v>
      </c>
      <c r="T50" t="s">
        <v>208</v>
      </c>
      <c r="U50">
        <v>0.0022999689373796044</v>
      </c>
      <c r="V50" t="s">
        <v>88</v>
      </c>
      <c r="X50">
        <v>0.0035388127853881279</v>
      </c>
      <c r="Y50">
        <v>0.0068849497385409693</v>
      </c>
      <c r="Z50" t="s">
        <v>208</v>
      </c>
      <c r="AA50" t="s">
        <v>244</v>
      </c>
      <c r="AC50" t="s">
        <v>245</v>
      </c>
      <c r="AD50" t="s">
        <v>208</v>
      </c>
      <c r="AE50">
        <v>0.0030611125595888921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ht="14.25">
      <c r="I51" t="s">
        <v>86</v>
      </c>
      <c r="J51" t="s">
        <v>209</v>
      </c>
      <c r="K51">
        <v>0.0060994303032090883</v>
      </c>
      <c r="L51" t="s">
        <v>88</v>
      </c>
      <c r="N51" t="s">
        <v>115</v>
      </c>
      <c r="O51" t="s">
        <v>209</v>
      </c>
      <c r="P51">
        <v>0.0047379416014815675</v>
      </c>
      <c r="Q51" t="s">
        <v>88</v>
      </c>
      <c r="S51" t="s">
        <v>130</v>
      </c>
      <c r="T51" t="s">
        <v>209</v>
      </c>
      <c r="U51">
        <v>0.0022090350543717994</v>
      </c>
      <c r="V51" t="s">
        <v>88</v>
      </c>
      <c r="X51">
        <v>0.0035388127853881279</v>
      </c>
      <c r="Y51">
        <v>0.0053435430806586613</v>
      </c>
      <c r="Z51" t="s">
        <v>209</v>
      </c>
      <c r="AA51" t="s">
        <v>244</v>
      </c>
      <c r="AC51" t="s">
        <v>245</v>
      </c>
      <c r="AD51" t="s">
        <v>209</v>
      </c>
      <c r="AE51">
        <v>0.0036574247928316634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ht="14.25">
      <c r="I52" t="s">
        <v>86</v>
      </c>
      <c r="J52" t="s">
        <v>210</v>
      </c>
      <c r="K52">
        <v>0.00089412695927761153</v>
      </c>
      <c r="L52" t="s">
        <v>88</v>
      </c>
      <c r="N52" t="s">
        <v>115</v>
      </c>
      <c r="O52" t="s">
        <v>210</v>
      </c>
      <c r="P52">
        <v>0.023884268428013389</v>
      </c>
      <c r="Q52" t="s">
        <v>88</v>
      </c>
      <c r="S52" t="s">
        <v>130</v>
      </c>
      <c r="T52" t="s">
        <v>210</v>
      </c>
      <c r="U52">
        <v>0.010047725128211334</v>
      </c>
      <c r="V52" t="s">
        <v>88</v>
      </c>
      <c r="X52">
        <v>0.017694063926940638</v>
      </c>
      <c r="Y52">
        <v>0.013358857701646654</v>
      </c>
      <c r="Z52" t="s">
        <v>210</v>
      </c>
      <c r="AA52" t="s">
        <v>244</v>
      </c>
      <c r="AC52" t="s">
        <v>245</v>
      </c>
      <c r="AD52" t="s">
        <v>210</v>
      </c>
      <c r="AE52">
        <v>0.019663939326696311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ht="14.25">
      <c r="I53" t="s">
        <v>86</v>
      </c>
      <c r="J53" t="s">
        <v>211</v>
      </c>
      <c r="K53">
        <v>0.0074078848212524922</v>
      </c>
      <c r="L53" t="s">
        <v>88</v>
      </c>
      <c r="N53" t="s">
        <v>115</v>
      </c>
      <c r="O53" t="s">
        <v>211</v>
      </c>
      <c r="P53">
        <v>0.042008123891141565</v>
      </c>
      <c r="Q53" t="s">
        <v>88</v>
      </c>
      <c r="S53" t="s">
        <v>130</v>
      </c>
      <c r="T53" t="s">
        <v>211</v>
      </c>
      <c r="U53">
        <v>0.03336468105807603</v>
      </c>
      <c r="V53" t="s">
        <v>88</v>
      </c>
      <c r="X53">
        <v>0.048744292237442921</v>
      </c>
      <c r="Y53">
        <v>0.019250014502482003</v>
      </c>
      <c r="Z53" t="s">
        <v>211</v>
      </c>
      <c r="AA53" t="s">
        <v>244</v>
      </c>
      <c r="AC53" t="s">
        <v>245</v>
      </c>
      <c r="AD53" t="s">
        <v>211</v>
      </c>
      <c r="AE53">
        <v>0.052561570545679032</v>
      </c>
      <c r="AG53" t="s">
        <v>29</v>
      </c>
      <c r="AH53" t="s">
        <v>211</v>
      </c>
      <c r="AI53">
        <v>0.078199338361619963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ht="14.25">
      <c r="I54" t="s">
        <v>86</v>
      </c>
      <c r="J54" t="s">
        <v>212</v>
      </c>
      <c r="K54">
        <v>0.071514676059219781</v>
      </c>
      <c r="L54" t="s">
        <v>88</v>
      </c>
      <c r="N54" t="s">
        <v>115</v>
      </c>
      <c r="O54" t="s">
        <v>212</v>
      </c>
      <c r="P54">
        <v>0.025776406569542228</v>
      </c>
      <c r="Q54" t="s">
        <v>88</v>
      </c>
      <c r="S54" t="s">
        <v>130</v>
      </c>
      <c r="T54" t="s">
        <v>212</v>
      </c>
      <c r="U54">
        <v>0.019072133142126975</v>
      </c>
      <c r="V54" t="s">
        <v>88</v>
      </c>
      <c r="X54">
        <v>0.027853881278538814</v>
      </c>
      <c r="Y54">
        <v>0.037933852107832171</v>
      </c>
      <c r="Z54" t="s">
        <v>212</v>
      </c>
      <c r="AA54" t="s">
        <v>244</v>
      </c>
      <c r="AC54" t="s">
        <v>245</v>
      </c>
      <c r="AD54" t="s">
        <v>212</v>
      </c>
      <c r="AE54">
        <v>0.027357603947702952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ht="14.2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0.043959922383678574</v>
      </c>
      <c r="Q55" t="s">
        <v>88</v>
      </c>
      <c r="S55" t="s">
        <v>130</v>
      </c>
      <c r="T55" t="s">
        <v>213</v>
      </c>
      <c r="U55">
        <v>0.027563334539383786</v>
      </c>
      <c r="V55" t="s">
        <v>88</v>
      </c>
      <c r="X55">
        <v>0.041780821917808221</v>
      </c>
      <c r="Y55">
        <v>0.059590118423124429</v>
      </c>
      <c r="Z55" t="s">
        <v>213</v>
      </c>
      <c r="AA55" t="s">
        <v>244</v>
      </c>
      <c r="AC55" t="s">
        <v>245</v>
      </c>
      <c r="AD55" t="s">
        <v>213</v>
      </c>
      <c r="AE55">
        <v>0.028681535103392497</v>
      </c>
      <c r="AG55" t="s">
        <v>29</v>
      </c>
      <c r="AH55" t="s">
        <v>213</v>
      </c>
      <c r="AI55">
        <v>0.059605579371265316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ht="14.25">
      <c r="I56" t="s">
        <v>86</v>
      </c>
      <c r="J56" t="s">
        <v>214</v>
      </c>
      <c r="K56">
        <v>0.016037170489253658</v>
      </c>
      <c r="L56" t="s">
        <v>88</v>
      </c>
      <c r="N56" t="s">
        <v>115</v>
      </c>
      <c r="O56" t="s">
        <v>214</v>
      </c>
      <c r="P56">
        <v>0.0071140787583909198</v>
      </c>
      <c r="Q56" t="s">
        <v>88</v>
      </c>
      <c r="S56" t="s">
        <v>130</v>
      </c>
      <c r="T56" t="s">
        <v>214</v>
      </c>
      <c r="U56">
        <v>0.0047713109685604905</v>
      </c>
      <c r="V56" t="s">
        <v>88</v>
      </c>
      <c r="X56">
        <v>0.0069634703196347035</v>
      </c>
      <c r="Y56">
        <v>0.01354780432422577</v>
      </c>
      <c r="Z56" t="s">
        <v>214</v>
      </c>
      <c r="AA56" t="s">
        <v>244</v>
      </c>
      <c r="AC56" t="s">
        <v>245</v>
      </c>
      <c r="AD56" t="s">
        <v>214</v>
      </c>
      <c r="AE56">
        <v>0.0056920132626679014</v>
      </c>
      <c r="AG56" t="s">
        <v>29</v>
      </c>
      <c r="AH56" t="s">
        <v>214</v>
      </c>
      <c r="AI56">
        <v>0.062906150128901439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ht="14.25">
      <c r="I57" t="s">
        <v>86</v>
      </c>
      <c r="J57" t="s">
        <v>215</v>
      </c>
      <c r="K57">
        <v>0.01328244919390386</v>
      </c>
      <c r="L57" t="s">
        <v>88</v>
      </c>
      <c r="N57" t="s">
        <v>115</v>
      </c>
      <c r="O57" t="s">
        <v>215</v>
      </c>
      <c r="P57">
        <v>0.0069675303450956226</v>
      </c>
      <c r="Q57" t="s">
        <v>88</v>
      </c>
      <c r="S57" t="s">
        <v>130</v>
      </c>
      <c r="T57" t="s">
        <v>215</v>
      </c>
      <c r="U57">
        <v>0.0048336229884877752</v>
      </c>
      <c r="V57" t="s">
        <v>88</v>
      </c>
      <c r="X57">
        <v>0.0069634703196347035</v>
      </c>
      <c r="Y57">
        <v>0.010514713803876726</v>
      </c>
      <c r="Z57" t="s">
        <v>215</v>
      </c>
      <c r="AA57" t="s">
        <v>244</v>
      </c>
      <c r="AC57" t="s">
        <v>245</v>
      </c>
      <c r="AD57" t="s">
        <v>215</v>
      </c>
      <c r="AE57">
        <v>0.0066306489282295595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ht="14.25">
      <c r="I58" t="s">
        <v>86</v>
      </c>
      <c r="J58" t="s">
        <v>216</v>
      </c>
      <c r="K58">
        <v>0.0088775540467846258</v>
      </c>
      <c r="L58" t="s">
        <v>88</v>
      </c>
      <c r="N58" t="s">
        <v>115</v>
      </c>
      <c r="O58" t="s">
        <v>216</v>
      </c>
      <c r="P58">
        <v>0.033086372862809667</v>
      </c>
      <c r="Q58" t="s">
        <v>88</v>
      </c>
      <c r="S58" t="s">
        <v>130</v>
      </c>
      <c r="T58" t="s">
        <v>216</v>
      </c>
      <c r="U58">
        <v>0.023862695114008129</v>
      </c>
      <c r="V58" t="s">
        <v>88</v>
      </c>
      <c r="X58">
        <v>0.034817351598173514</v>
      </c>
      <c r="Y58">
        <v>0.026286784509691803</v>
      </c>
      <c r="Z58" t="s">
        <v>216</v>
      </c>
      <c r="AA58" t="s">
        <v>244</v>
      </c>
      <c r="AC58" t="s">
        <v>245</v>
      </c>
      <c r="AD58" t="s">
        <v>216</v>
      </c>
      <c r="AE58">
        <v>0.036652443895532287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ht="14.25">
      <c r="I59" t="s">
        <v>100</v>
      </c>
      <c r="J59" t="s">
        <v>87</v>
      </c>
      <c r="K59">
        <v>0.0069219745079349797</v>
      </c>
      <c r="L59" t="s">
        <v>88</v>
      </c>
      <c r="N59" t="s">
        <v>116</v>
      </c>
      <c r="O59" t="s">
        <v>87</v>
      </c>
      <c r="P59">
        <v>0.024946850305775467</v>
      </c>
      <c r="Q59" t="s">
        <v>88</v>
      </c>
      <c r="S59" t="s">
        <v>131</v>
      </c>
      <c r="T59" t="s">
        <v>87</v>
      </c>
      <c r="U59">
        <v>0.027752226989257795</v>
      </c>
      <c r="V59" t="s">
        <v>88</v>
      </c>
      <c r="AC59" t="s">
        <v>245</v>
      </c>
      <c r="AD59" t="s">
        <v>87</v>
      </c>
      <c r="AE59">
        <v>0.024984137855619697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ht="14.25">
      <c r="I60" t="s">
        <v>100</v>
      </c>
      <c r="J60" t="s">
        <v>89</v>
      </c>
      <c r="K60">
        <v>0.039238986507721216</v>
      </c>
      <c r="L60" t="s">
        <v>88</v>
      </c>
      <c r="N60" t="s">
        <v>116</v>
      </c>
      <c r="O60" t="s">
        <v>89</v>
      </c>
      <c r="P60">
        <v>0.01493433216301625</v>
      </c>
      <c r="Q60" t="s">
        <v>88</v>
      </c>
      <c r="S60" t="s">
        <v>131</v>
      </c>
      <c r="T60" t="s">
        <v>89</v>
      </c>
      <c r="U60">
        <v>0.015934955719087724</v>
      </c>
      <c r="V60" t="s">
        <v>88</v>
      </c>
      <c r="AC60" t="s">
        <v>245</v>
      </c>
      <c r="AD60" t="s">
        <v>89</v>
      </c>
      <c r="AE60">
        <v>0.0141777010076897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ht="14.25">
      <c r="I61" t="s">
        <v>100</v>
      </c>
      <c r="J61" t="s">
        <v>90</v>
      </c>
      <c r="K61">
        <v>0.069974949651261095</v>
      </c>
      <c r="L61" t="s">
        <v>88</v>
      </c>
      <c r="N61" t="s">
        <v>116</v>
      </c>
      <c r="O61" t="s">
        <v>90</v>
      </c>
      <c r="P61">
        <v>0.025092017743232862</v>
      </c>
      <c r="Q61" t="s">
        <v>88</v>
      </c>
      <c r="S61" t="s">
        <v>131</v>
      </c>
      <c r="T61" t="s">
        <v>90</v>
      </c>
      <c r="U61">
        <v>0.023843764581817618</v>
      </c>
      <c r="V61" t="s">
        <v>88</v>
      </c>
      <c r="AC61" t="s">
        <v>245</v>
      </c>
      <c r="AD61" t="s">
        <v>90</v>
      </c>
      <c r="AE61">
        <v>0.020881495828077575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ht="14.25">
      <c r="I62" t="s">
        <v>100</v>
      </c>
      <c r="J62" t="s">
        <v>181</v>
      </c>
      <c r="K62">
        <v>0.0088912196111583849</v>
      </c>
      <c r="L62" t="s">
        <v>88</v>
      </c>
      <c r="N62" t="s">
        <v>116</v>
      </c>
      <c r="O62" t="s">
        <v>181</v>
      </c>
      <c r="P62">
        <v>0.0041736202292116656</v>
      </c>
      <c r="Q62" t="s">
        <v>88</v>
      </c>
      <c r="S62" t="s">
        <v>131</v>
      </c>
      <c r="T62" t="s">
        <v>181</v>
      </c>
      <c r="U62">
        <v>0.0042263185759843632</v>
      </c>
      <c r="V62" t="s">
        <v>88</v>
      </c>
      <c r="AC62" t="s">
        <v>245</v>
      </c>
      <c r="AD62" t="s">
        <v>181</v>
      </c>
      <c r="AE62">
        <v>0.0035080566338682533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ht="14.25">
      <c r="I63" t="s">
        <v>100</v>
      </c>
      <c r="J63" t="s">
        <v>182</v>
      </c>
      <c r="K63">
        <v>0.0064664385476032463</v>
      </c>
      <c r="L63" t="s">
        <v>88</v>
      </c>
      <c r="N63" t="s">
        <v>116</v>
      </c>
      <c r="O63" t="s">
        <v>182</v>
      </c>
      <c r="P63">
        <v>0.0040339894527872105</v>
      </c>
      <c r="Q63" t="s">
        <v>88</v>
      </c>
      <c r="S63" t="s">
        <v>131</v>
      </c>
      <c r="T63" t="s">
        <v>182</v>
      </c>
      <c r="U63">
        <v>0.0042606251015598366</v>
      </c>
      <c r="V63" t="s">
        <v>88</v>
      </c>
      <c r="AC63" t="s">
        <v>245</v>
      </c>
      <c r="AD63" t="s">
        <v>182</v>
      </c>
      <c r="AE63">
        <v>0.0035374915543471578</v>
      </c>
      <c r="AK63">
        <v>2028</v>
      </c>
      <c r="AL63" t="s">
        <v>175</v>
      </c>
      <c r="AM63">
        <v>0.4874</v>
      </c>
      <c r="AN63" t="s">
        <v>172</v>
      </c>
    </row>
    <row r="64" spans="9:40" ht="14.25">
      <c r="I64" t="s">
        <v>100</v>
      </c>
      <c r="J64" t="s">
        <v>183</v>
      </c>
      <c r="K64">
        <v>0.0029512368234676047</v>
      </c>
      <c r="L64" t="s">
        <v>88</v>
      </c>
      <c r="N64" t="s">
        <v>116</v>
      </c>
      <c r="O64" t="s">
        <v>183</v>
      </c>
      <c r="P64">
        <v>0.01876750700753866</v>
      </c>
      <c r="Q64" t="s">
        <v>88</v>
      </c>
      <c r="S64" t="s">
        <v>131</v>
      </c>
      <c r="T64" t="s">
        <v>183</v>
      </c>
      <c r="U64">
        <v>0.021567870696797279</v>
      </c>
      <c r="V64" t="s">
        <v>88</v>
      </c>
      <c r="AC64" t="s">
        <v>245</v>
      </c>
      <c r="AD64" t="s">
        <v>183</v>
      </c>
      <c r="AE64">
        <v>0.017815522910931452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ht="14.25">
      <c r="I65" t="s">
        <v>100</v>
      </c>
      <c r="J65" t="s">
        <v>91</v>
      </c>
      <c r="K65">
        <v>0.0043861475808091776</v>
      </c>
      <c r="L65" t="s">
        <v>88</v>
      </c>
      <c r="N65" t="s">
        <v>116</v>
      </c>
      <c r="O65" t="s">
        <v>91</v>
      </c>
      <c r="P65">
        <v>0.012187610918374388</v>
      </c>
      <c r="Q65" t="s">
        <v>88</v>
      </c>
      <c r="S65" t="s">
        <v>131</v>
      </c>
      <c r="T65" t="s">
        <v>91</v>
      </c>
      <c r="U65">
        <v>0.024453926296403288</v>
      </c>
      <c r="V65" t="s">
        <v>88</v>
      </c>
      <c r="AC65" t="s">
        <v>245</v>
      </c>
      <c r="AD65" t="s">
        <v>91</v>
      </c>
      <c r="AE65">
        <v>0.022566134267185518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ht="14.25">
      <c r="I66" t="s">
        <v>100</v>
      </c>
      <c r="J66" t="s">
        <v>92</v>
      </c>
      <c r="K66">
        <v>0.032324256329938884</v>
      </c>
      <c r="L66" t="s">
        <v>88</v>
      </c>
      <c r="N66" t="s">
        <v>116</v>
      </c>
      <c r="O66" t="s">
        <v>92</v>
      </c>
      <c r="P66">
        <v>0.0066050792112240034</v>
      </c>
      <c r="Q66" t="s">
        <v>88</v>
      </c>
      <c r="S66" t="s">
        <v>131</v>
      </c>
      <c r="T66" t="s">
        <v>92</v>
      </c>
      <c r="U66">
        <v>0.014606829460743237</v>
      </c>
      <c r="V66" t="s">
        <v>88</v>
      </c>
      <c r="AC66" t="s">
        <v>245</v>
      </c>
      <c r="AD66" t="s">
        <v>92</v>
      </c>
      <c r="AE66">
        <v>0.012807774183680501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ht="14.25">
      <c r="I67" t="s">
        <v>100</v>
      </c>
      <c r="J67" t="s">
        <v>93</v>
      </c>
      <c r="K67">
        <v>0.055196523323726605</v>
      </c>
      <c r="L67" t="s">
        <v>88</v>
      </c>
      <c r="N67" t="s">
        <v>116</v>
      </c>
      <c r="O67" t="s">
        <v>93</v>
      </c>
      <c r="P67">
        <v>0.012117109041099727</v>
      </c>
      <c r="Q67" t="s">
        <v>88</v>
      </c>
      <c r="S67" t="s">
        <v>131</v>
      </c>
      <c r="T67" t="s">
        <v>93</v>
      </c>
      <c r="U67">
        <v>0.02068465548134053</v>
      </c>
      <c r="V67" t="s">
        <v>88</v>
      </c>
      <c r="AC67" t="s">
        <v>245</v>
      </c>
      <c r="AD67" t="s">
        <v>93</v>
      </c>
      <c r="AE67">
        <v>0.018861183973040686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ht="14.25">
      <c r="I68" t="s">
        <v>100</v>
      </c>
      <c r="J68" t="s">
        <v>184</v>
      </c>
      <c r="K68">
        <v>0.0068005047787672145</v>
      </c>
      <c r="L68" t="s">
        <v>88</v>
      </c>
      <c r="N68" t="s">
        <v>116</v>
      </c>
      <c r="O68" t="s">
        <v>184</v>
      </c>
      <c r="P68">
        <v>0.0022974707075910069</v>
      </c>
      <c r="Q68" t="s">
        <v>88</v>
      </c>
      <c r="S68" t="s">
        <v>131</v>
      </c>
      <c r="T68" t="s">
        <v>184</v>
      </c>
      <c r="U68">
        <v>0.0034246628408206958</v>
      </c>
      <c r="V68" t="s">
        <v>88</v>
      </c>
      <c r="AC68" t="s">
        <v>245</v>
      </c>
      <c r="AD68" t="s">
        <v>184</v>
      </c>
      <c r="AE68">
        <v>0.0031682395985646789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ht="14.25">
      <c r="I69" t="s">
        <v>100</v>
      </c>
      <c r="J69" t="s">
        <v>185</v>
      </c>
      <c r="K69">
        <v>0.0048577268531349227</v>
      </c>
      <c r="L69" t="s">
        <v>88</v>
      </c>
      <c r="N69" t="s">
        <v>116</v>
      </c>
      <c r="O69" t="s">
        <v>185</v>
      </c>
      <c r="P69">
        <v>0.0022293837873190434</v>
      </c>
      <c r="Q69" t="s">
        <v>88</v>
      </c>
      <c r="S69" t="s">
        <v>131</v>
      </c>
      <c r="T69" t="s">
        <v>185</v>
      </c>
      <c r="U69">
        <v>0.0033772045122079579</v>
      </c>
      <c r="V69" t="s">
        <v>88</v>
      </c>
      <c r="AC69" t="s">
        <v>245</v>
      </c>
      <c r="AD69" t="s">
        <v>185</v>
      </c>
      <c r="AE69">
        <v>0.0031947888314217392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ht="14.2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0.0099134726091444653</v>
      </c>
      <c r="Q70" t="s">
        <v>88</v>
      </c>
      <c r="S70" t="s">
        <v>131</v>
      </c>
      <c r="T70" t="s">
        <v>186</v>
      </c>
      <c r="U70">
        <v>0.015685610164785379</v>
      </c>
      <c r="V70" t="s">
        <v>88</v>
      </c>
      <c r="AC70" t="s">
        <v>245</v>
      </c>
      <c r="AD70" t="s">
        <v>186</v>
      </c>
      <c r="AE70">
        <v>0.016089326325177719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ht="14.25">
      <c r="I71" t="s">
        <v>100</v>
      </c>
      <c r="J71" t="s">
        <v>94</v>
      </c>
      <c r="K71">
        <v>0.0019474199826339808</v>
      </c>
      <c r="L71" t="s">
        <v>88</v>
      </c>
      <c r="N71" t="s">
        <v>116</v>
      </c>
      <c r="O71" t="s">
        <v>94</v>
      </c>
      <c r="P71">
        <v>0.011559772947138548</v>
      </c>
      <c r="Q71" t="s">
        <v>88</v>
      </c>
      <c r="S71" t="s">
        <v>131</v>
      </c>
      <c r="T71" t="s">
        <v>94</v>
      </c>
      <c r="U71">
        <v>0.023793868851271202</v>
      </c>
      <c r="V71" t="s">
        <v>88</v>
      </c>
      <c r="AC71" t="s">
        <v>245</v>
      </c>
      <c r="AD71" t="s">
        <v>94</v>
      </c>
      <c r="AE71">
        <v>0.02497661123764491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ht="14.25">
      <c r="I72" t="s">
        <v>100</v>
      </c>
      <c r="J72" t="s">
        <v>95</v>
      </c>
      <c r="K72">
        <v>0.030683717964864667</v>
      </c>
      <c r="L72" t="s">
        <v>88</v>
      </c>
      <c r="N72" t="s">
        <v>116</v>
      </c>
      <c r="O72" t="s">
        <v>95</v>
      </c>
      <c r="P72">
        <v>0.0082456140008480838</v>
      </c>
      <c r="Q72" t="s">
        <v>88</v>
      </c>
      <c r="S72" t="s">
        <v>131</v>
      </c>
      <c r="T72" t="s">
        <v>95</v>
      </c>
      <c r="U72">
        <v>0.01396357565508225</v>
      </c>
      <c r="V72" t="s">
        <v>88</v>
      </c>
      <c r="AC72" t="s">
        <v>245</v>
      </c>
      <c r="AD72" t="s">
        <v>95</v>
      </c>
      <c r="AE72">
        <v>0.01417904354382013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ht="14.25">
      <c r="I73" t="s">
        <v>100</v>
      </c>
      <c r="J73" t="s">
        <v>96</v>
      </c>
      <c r="K73">
        <v>0.053215741207007644</v>
      </c>
      <c r="L73" t="s">
        <v>88</v>
      </c>
      <c r="N73" t="s">
        <v>116</v>
      </c>
      <c r="O73" t="s">
        <v>96</v>
      </c>
      <c r="P73">
        <v>0.013466531147174865</v>
      </c>
      <c r="Q73" t="s">
        <v>88</v>
      </c>
      <c r="S73" t="s">
        <v>131</v>
      </c>
      <c r="T73" t="s">
        <v>96</v>
      </c>
      <c r="U73">
        <v>0.019908130930329587</v>
      </c>
      <c r="V73" t="s">
        <v>88</v>
      </c>
      <c r="AC73" t="s">
        <v>245</v>
      </c>
      <c r="AD73" t="s">
        <v>96</v>
      </c>
      <c r="AE73">
        <v>0.020888593021504944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ht="14.25">
      <c r="I74" t="s">
        <v>100</v>
      </c>
      <c r="J74" t="s">
        <v>187</v>
      </c>
      <c r="K74">
        <v>0.0062378250565083976</v>
      </c>
      <c r="L74" t="s">
        <v>88</v>
      </c>
      <c r="N74" t="s">
        <v>116</v>
      </c>
      <c r="O74" t="s">
        <v>187</v>
      </c>
      <c r="P74">
        <v>0.0021649568152047188</v>
      </c>
      <c r="Q74" t="s">
        <v>88</v>
      </c>
      <c r="S74" t="s">
        <v>131</v>
      </c>
      <c r="T74" t="s">
        <v>187</v>
      </c>
      <c r="U74">
        <v>0.003551234813782056</v>
      </c>
      <c r="V74" t="s">
        <v>88</v>
      </c>
      <c r="AC74" t="s">
        <v>245</v>
      </c>
      <c r="AD74" t="s">
        <v>187</v>
      </c>
      <c r="AE74">
        <v>0.0035085209110843167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ht="14.25">
      <c r="I75" t="s">
        <v>100</v>
      </c>
      <c r="J75" t="s">
        <v>188</v>
      </c>
      <c r="K75">
        <v>0.0028681199608725488</v>
      </c>
      <c r="L75" t="s">
        <v>88</v>
      </c>
      <c r="N75" t="s">
        <v>116</v>
      </c>
      <c r="O75" t="s">
        <v>188</v>
      </c>
      <c r="P75">
        <v>0.0020348034359959203</v>
      </c>
      <c r="Q75" t="s">
        <v>88</v>
      </c>
      <c r="S75" t="s">
        <v>131</v>
      </c>
      <c r="T75" t="s">
        <v>188</v>
      </c>
      <c r="U75">
        <v>0.0036340153066660684</v>
      </c>
      <c r="V75" t="s">
        <v>88</v>
      </c>
      <c r="AC75" t="s">
        <v>245</v>
      </c>
      <c r="AD75" t="s">
        <v>188</v>
      </c>
      <c r="AE75">
        <v>0.0035373800541429949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ht="14.2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0.0082567637139011572</v>
      </c>
      <c r="Q76" t="s">
        <v>88</v>
      </c>
      <c r="S76" t="s">
        <v>131</v>
      </c>
      <c r="T76" t="s">
        <v>189</v>
      </c>
      <c r="U76">
        <v>0.017544191122849367</v>
      </c>
      <c r="V76" t="s">
        <v>88</v>
      </c>
      <c r="AC76" t="s">
        <v>245</v>
      </c>
      <c r="AD76" t="s">
        <v>189</v>
      </c>
      <c r="AE76">
        <v>0.01780834623641827</v>
      </c>
      <c r="AK76">
        <v>2030</v>
      </c>
      <c r="AL76" t="s">
        <v>80</v>
      </c>
      <c r="AM76">
        <v>0.5725</v>
      </c>
      <c r="AN76" t="s">
        <v>172</v>
      </c>
    </row>
    <row r="77" spans="9:40" ht="14.2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0.046595477694152773</v>
      </c>
      <c r="Q77" t="s">
        <v>88</v>
      </c>
      <c r="S77" t="s">
        <v>131</v>
      </c>
      <c r="T77" t="s">
        <v>97</v>
      </c>
      <c r="U77">
        <v>0.04253969926083899</v>
      </c>
      <c r="V77" t="s">
        <v>88</v>
      </c>
      <c r="AC77" t="s">
        <v>245</v>
      </c>
      <c r="AD77" t="s">
        <v>97</v>
      </c>
      <c r="AE77">
        <v>0.049178289155769474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ht="14.25">
      <c r="I78" t="s">
        <v>100</v>
      </c>
      <c r="J78" t="s">
        <v>98</v>
      </c>
      <c r="K78">
        <v>0.038346595497577469</v>
      </c>
      <c r="L78" t="s">
        <v>88</v>
      </c>
      <c r="N78" t="s">
        <v>116</v>
      </c>
      <c r="O78" t="s">
        <v>98</v>
      </c>
      <c r="P78">
        <v>0.025401891762551223</v>
      </c>
      <c r="Q78" t="s">
        <v>88</v>
      </c>
      <c r="S78" t="s">
        <v>131</v>
      </c>
      <c r="T78" t="s">
        <v>98</v>
      </c>
      <c r="U78">
        <v>0.023345369164968235</v>
      </c>
      <c r="V78" t="s">
        <v>88</v>
      </c>
      <c r="AC78" t="s">
        <v>245</v>
      </c>
      <c r="AD78" t="s">
        <v>98</v>
      </c>
      <c r="AE78">
        <v>0.028038964338304457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ht="14.25">
      <c r="I79" t="s">
        <v>100</v>
      </c>
      <c r="J79" t="s">
        <v>99</v>
      </c>
      <c r="K79">
        <v>0.0655829334742319</v>
      </c>
      <c r="L79" t="s">
        <v>88</v>
      </c>
      <c r="N79" t="s">
        <v>116</v>
      </c>
      <c r="O79" t="s">
        <v>99</v>
      </c>
      <c r="P79">
        <v>0.041494214019041638</v>
      </c>
      <c r="Q79" t="s">
        <v>88</v>
      </c>
      <c r="S79" t="s">
        <v>131</v>
      </c>
      <c r="T79" t="s">
        <v>99</v>
      </c>
      <c r="U79">
        <v>0.03800001452443226</v>
      </c>
      <c r="V79" t="s">
        <v>88</v>
      </c>
      <c r="AC79" t="s">
        <v>245</v>
      </c>
      <c r="AD79" t="s">
        <v>99</v>
      </c>
      <c r="AE79">
        <v>0.041095640119346757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ht="14.25">
      <c r="I80" t="s">
        <v>100</v>
      </c>
      <c r="J80" t="s">
        <v>190</v>
      </c>
      <c r="K80">
        <v>0.0044319212206143151</v>
      </c>
      <c r="L80" t="s">
        <v>88</v>
      </c>
      <c r="N80" t="s">
        <v>116</v>
      </c>
      <c r="O80" t="s">
        <v>190</v>
      </c>
      <c r="P80">
        <v>0.0069091299697947896</v>
      </c>
      <c r="Q80" t="s">
        <v>88</v>
      </c>
      <c r="S80" t="s">
        <v>131</v>
      </c>
      <c r="T80" t="s">
        <v>190</v>
      </c>
      <c r="U80">
        <v>0.0063817841649166486</v>
      </c>
      <c r="V80" t="s">
        <v>88</v>
      </c>
      <c r="AC80" t="s">
        <v>245</v>
      </c>
      <c r="AD80" t="s">
        <v>190</v>
      </c>
      <c r="AE80">
        <v>0.0068582470181097746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ht="14.2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0.0069301866225709415</v>
      </c>
      <c r="Q81" t="s">
        <v>88</v>
      </c>
      <c r="S81" t="s">
        <v>131</v>
      </c>
      <c r="T81" t="s">
        <v>191</v>
      </c>
      <c r="U81">
        <v>0.0063878509570138046</v>
      </c>
      <c r="V81" t="s">
        <v>88</v>
      </c>
      <c r="AC81" t="s">
        <v>245</v>
      </c>
      <c r="AD81" t="s">
        <v>191</v>
      </c>
      <c r="AE81">
        <v>0.006910858113172917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ht="14.2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0.033810008022765688</v>
      </c>
      <c r="Q82" t="s">
        <v>88</v>
      </c>
      <c r="S82" t="s">
        <v>131</v>
      </c>
      <c r="T82" t="s">
        <v>192</v>
      </c>
      <c r="U82">
        <v>0.031403163712110348</v>
      </c>
      <c r="V82" t="s">
        <v>88</v>
      </c>
      <c r="AC82" t="s">
        <v>245</v>
      </c>
      <c r="AD82" t="s">
        <v>192</v>
      </c>
      <c r="AE82">
        <v>0.035021051105407923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ht="14.2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0.023507056447395914</v>
      </c>
      <c r="Q83" t="s">
        <v>88</v>
      </c>
      <c r="S83" t="s">
        <v>131</v>
      </c>
      <c r="T83" t="s">
        <v>193</v>
      </c>
      <c r="U83">
        <v>0.028551803080699663</v>
      </c>
      <c r="V83" t="s">
        <v>88</v>
      </c>
      <c r="AC83" t="s">
        <v>245</v>
      </c>
      <c r="AD83" t="s">
        <v>193</v>
      </c>
      <c r="AE83">
        <v>0.02418653675710929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ht="14.25">
      <c r="I84" t="s">
        <v>100</v>
      </c>
      <c r="J84" t="s">
        <v>194</v>
      </c>
      <c r="K84">
        <v>0.0098029398944459636</v>
      </c>
      <c r="L84" t="s">
        <v>88</v>
      </c>
      <c r="N84" t="s">
        <v>116</v>
      </c>
      <c r="O84" t="s">
        <v>194</v>
      </c>
      <c r="P84">
        <v>0.013263865204001595</v>
      </c>
      <c r="Q84" t="s">
        <v>88</v>
      </c>
      <c r="S84" t="s">
        <v>131</v>
      </c>
      <c r="T84" t="s">
        <v>194</v>
      </c>
      <c r="U84">
        <v>0.015778690502046867</v>
      </c>
      <c r="V84" t="s">
        <v>88</v>
      </c>
      <c r="AC84" t="s">
        <v>245</v>
      </c>
      <c r="AD84" t="s">
        <v>194</v>
      </c>
      <c r="AE84">
        <v>0.013812822768219856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ht="14.25">
      <c r="I85" t="s">
        <v>100</v>
      </c>
      <c r="J85" t="s">
        <v>195</v>
      </c>
      <c r="K85">
        <v>0.023146303187918257</v>
      </c>
      <c r="L85" t="s">
        <v>88</v>
      </c>
      <c r="N85" t="s">
        <v>116</v>
      </c>
      <c r="O85" t="s">
        <v>195</v>
      </c>
      <c r="P85">
        <v>0.021589514455806091</v>
      </c>
      <c r="Q85" t="s">
        <v>88</v>
      </c>
      <c r="S85" t="s">
        <v>131</v>
      </c>
      <c r="T85" t="s">
        <v>195</v>
      </c>
      <c r="U85">
        <v>0.023618781714178364</v>
      </c>
      <c r="V85" t="s">
        <v>88</v>
      </c>
      <c r="AC85" t="s">
        <v>245</v>
      </c>
      <c r="AD85" t="s">
        <v>195</v>
      </c>
      <c r="AE85">
        <v>0.020180194278405998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ht="14.2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0.0033198903663611357</v>
      </c>
      <c r="Q86" t="s">
        <v>88</v>
      </c>
      <c r="S86" t="s">
        <v>131</v>
      </c>
      <c r="T86" t="s">
        <v>196</v>
      </c>
      <c r="U86">
        <v>0.003740249304390585</v>
      </c>
      <c r="V86" t="s">
        <v>88</v>
      </c>
      <c r="AC86" t="s">
        <v>245</v>
      </c>
      <c r="AD86" t="s">
        <v>196</v>
      </c>
      <c r="AE86">
        <v>0.0033719377694243066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ht="14.2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0.0032849922380741008</v>
      </c>
      <c r="Q87" t="s">
        <v>88</v>
      </c>
      <c r="S87" t="s">
        <v>131</v>
      </c>
      <c r="T87" t="s">
        <v>197</v>
      </c>
      <c r="U87">
        <v>0.003686710823219282</v>
      </c>
      <c r="V87" t="s">
        <v>88</v>
      </c>
      <c r="AC87" t="s">
        <v>245</v>
      </c>
      <c r="AD87" t="s">
        <v>197</v>
      </c>
      <c r="AE87">
        <v>0.0034117956213134538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ht="14.2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0.01614879111639287</v>
      </c>
      <c r="Q88" t="s">
        <v>88</v>
      </c>
      <c r="S88" t="s">
        <v>131</v>
      </c>
      <c r="T88" t="s">
        <v>198</v>
      </c>
      <c r="U88">
        <v>0.019385865860013531</v>
      </c>
      <c r="V88" t="s">
        <v>88</v>
      </c>
      <c r="AC88" t="s">
        <v>245</v>
      </c>
      <c r="AD88" t="s">
        <v>198</v>
      </c>
      <c r="AE88">
        <v>0.017273332786228855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ht="14.25">
      <c r="I89" t="s">
        <v>100</v>
      </c>
      <c r="J89" t="s">
        <v>199</v>
      </c>
      <c r="K89">
        <v>0.0013136516814202422</v>
      </c>
      <c r="L89" t="s">
        <v>88</v>
      </c>
      <c r="N89" t="s">
        <v>116</v>
      </c>
      <c r="O89" t="s">
        <v>199</v>
      </c>
      <c r="P89">
        <v>0.086900087204080712</v>
      </c>
      <c r="Q89" t="s">
        <v>88</v>
      </c>
      <c r="S89" t="s">
        <v>131</v>
      </c>
      <c r="T89" t="s">
        <v>199</v>
      </c>
      <c r="U89">
        <v>0.087877772678790267</v>
      </c>
      <c r="V89" t="s">
        <v>88</v>
      </c>
      <c r="AC89" t="s">
        <v>245</v>
      </c>
      <c r="AD89" t="s">
        <v>199</v>
      </c>
      <c r="AE89">
        <v>0.074190235700681978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ht="14.25">
      <c r="I90" t="s">
        <v>100</v>
      </c>
      <c r="J90" t="s">
        <v>200</v>
      </c>
      <c r="K90">
        <v>0.05406992861982951</v>
      </c>
      <c r="L90" t="s">
        <v>88</v>
      </c>
      <c r="N90" t="s">
        <v>116</v>
      </c>
      <c r="O90" t="s">
        <v>200</v>
      </c>
      <c r="P90">
        <v>0.04847962021359567</v>
      </c>
      <c r="Q90" t="s">
        <v>88</v>
      </c>
      <c r="S90" t="s">
        <v>131</v>
      </c>
      <c r="T90" t="s">
        <v>200</v>
      </c>
      <c r="U90">
        <v>0.047581990841570956</v>
      </c>
      <c r="V90" t="s">
        <v>88</v>
      </c>
      <c r="AC90" t="s">
        <v>245</v>
      </c>
      <c r="AD90" t="s">
        <v>200</v>
      </c>
      <c r="AE90">
        <v>0.042374902582113842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ht="14.25">
      <c r="I91" t="s">
        <v>100</v>
      </c>
      <c r="J91" t="s">
        <v>201</v>
      </c>
      <c r="K91">
        <v>0.099195330745736096</v>
      </c>
      <c r="L91" t="s">
        <v>88</v>
      </c>
      <c r="N91" t="s">
        <v>116</v>
      </c>
      <c r="O91" t="s">
        <v>201</v>
      </c>
      <c r="P91">
        <v>0.081483656742213195</v>
      </c>
      <c r="Q91" t="s">
        <v>88</v>
      </c>
      <c r="S91" t="s">
        <v>131</v>
      </c>
      <c r="T91" t="s">
        <v>201</v>
      </c>
      <c r="U91">
        <v>0.075566882491156576</v>
      </c>
      <c r="V91" t="s">
        <v>88</v>
      </c>
      <c r="AC91" t="s">
        <v>245</v>
      </c>
      <c r="AD91" t="s">
        <v>201</v>
      </c>
      <c r="AE91">
        <v>0.061891133842300473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ht="14.25">
      <c r="I92" t="s">
        <v>100</v>
      </c>
      <c r="J92" t="s">
        <v>202</v>
      </c>
      <c r="K92">
        <v>0.0072209578877565003</v>
      </c>
      <c r="L92" t="s">
        <v>88</v>
      </c>
      <c r="N92" t="s">
        <v>116</v>
      </c>
      <c r="O92" t="s">
        <v>202</v>
      </c>
      <c r="P92">
        <v>0.012936079298975965</v>
      </c>
      <c r="Q92" t="s">
        <v>88</v>
      </c>
      <c r="S92" t="s">
        <v>131</v>
      </c>
      <c r="T92" t="s">
        <v>202</v>
      </c>
      <c r="U92">
        <v>0.012857960492500568</v>
      </c>
      <c r="V92" t="s">
        <v>88</v>
      </c>
      <c r="AC92" t="s">
        <v>245</v>
      </c>
      <c r="AD92" t="s">
        <v>202</v>
      </c>
      <c r="AE92">
        <v>0.010336503316852902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ht="14.2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0.012801309751284056</v>
      </c>
      <c r="Q93" t="s">
        <v>88</v>
      </c>
      <c r="S93" t="s">
        <v>131</v>
      </c>
      <c r="T93" t="s">
        <v>203</v>
      </c>
      <c r="U93">
        <v>0.012795415303213382</v>
      </c>
      <c r="V93" t="s">
        <v>88</v>
      </c>
      <c r="AC93" t="s">
        <v>245</v>
      </c>
      <c r="AD93" t="s">
        <v>203</v>
      </c>
      <c r="AE93">
        <v>0.010450758865324077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ht="14.2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0.063820815100491701</v>
      </c>
      <c r="Q94" t="s">
        <v>88</v>
      </c>
      <c r="S94" t="s">
        <v>131</v>
      </c>
      <c r="T94" t="s">
        <v>204</v>
      </c>
      <c r="U94">
        <v>0.064831871917996442</v>
      </c>
      <c r="V94" t="s">
        <v>88</v>
      </c>
      <c r="AC94" t="s">
        <v>245</v>
      </c>
      <c r="AD94" t="s">
        <v>204</v>
      </c>
      <c r="AE94">
        <v>0.052932998599505426</v>
      </c>
      <c r="AK94">
        <v>2032</v>
      </c>
      <c r="AL94" t="s">
        <v>84</v>
      </c>
      <c r="AM94">
        <v>0.52315</v>
      </c>
      <c r="AN94" t="s">
        <v>172</v>
      </c>
    </row>
    <row r="95" spans="9:40" ht="14.25">
      <c r="I95" t="s">
        <v>100</v>
      </c>
      <c r="J95" t="s">
        <v>205</v>
      </c>
      <c r="K95">
        <v>0.0059895939949357394</v>
      </c>
      <c r="L95" t="s">
        <v>88</v>
      </c>
      <c r="N95" t="s">
        <v>116</v>
      </c>
      <c r="O95" t="s">
        <v>205</v>
      </c>
      <c r="P95">
        <v>0.032769439619879367</v>
      </c>
      <c r="Q95" t="s">
        <v>88</v>
      </c>
      <c r="S95" t="s">
        <v>131</v>
      </c>
      <c r="T95" t="s">
        <v>205</v>
      </c>
      <c r="U95">
        <v>0.021186064460481283</v>
      </c>
      <c r="V95" t="s">
        <v>88</v>
      </c>
      <c r="AC95" t="s">
        <v>245</v>
      </c>
      <c r="AD95" t="s">
        <v>205</v>
      </c>
      <c r="AE95">
        <v>0.025004499323017015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ht="14.25">
      <c r="I96" t="s">
        <v>100</v>
      </c>
      <c r="J96" t="s">
        <v>206</v>
      </c>
      <c r="K96">
        <v>0.038101832438477388</v>
      </c>
      <c r="L96" t="s">
        <v>88</v>
      </c>
      <c r="N96" t="s">
        <v>116</v>
      </c>
      <c r="O96" t="s">
        <v>206</v>
      </c>
      <c r="P96">
        <v>0.019330334453392571</v>
      </c>
      <c r="Q96" t="s">
        <v>88</v>
      </c>
      <c r="S96" t="s">
        <v>131</v>
      </c>
      <c r="T96" t="s">
        <v>206</v>
      </c>
      <c r="U96">
        <v>0.012538351493556648</v>
      </c>
      <c r="V96" t="s">
        <v>88</v>
      </c>
      <c r="AC96" t="s">
        <v>245</v>
      </c>
      <c r="AD96" t="s">
        <v>206</v>
      </c>
      <c r="AE96">
        <v>0.014201715346451611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ht="14.25">
      <c r="I97" t="s">
        <v>100</v>
      </c>
      <c r="J97" t="s">
        <v>207</v>
      </c>
      <c r="K97">
        <v>0.061016267139762444</v>
      </c>
      <c r="L97" t="s">
        <v>88</v>
      </c>
      <c r="N97" t="s">
        <v>116</v>
      </c>
      <c r="O97" t="s">
        <v>207</v>
      </c>
      <c r="P97">
        <v>0.033444802859639217</v>
      </c>
      <c r="Q97" t="s">
        <v>88</v>
      </c>
      <c r="S97" t="s">
        <v>131</v>
      </c>
      <c r="T97" t="s">
        <v>207</v>
      </c>
      <c r="U97">
        <v>0.019815104805632595</v>
      </c>
      <c r="V97" t="s">
        <v>88</v>
      </c>
      <c r="AC97" t="s">
        <v>245</v>
      </c>
      <c r="AD97" t="s">
        <v>207</v>
      </c>
      <c r="AE97">
        <v>0.020840853932821417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ht="14.25">
      <c r="I98" t="s">
        <v>100</v>
      </c>
      <c r="J98" t="s">
        <v>208</v>
      </c>
      <c r="K98">
        <v>0.0065988569812469519</v>
      </c>
      <c r="L98" t="s">
        <v>88</v>
      </c>
      <c r="N98" t="s">
        <v>116</v>
      </c>
      <c r="O98" t="s">
        <v>208</v>
      </c>
      <c r="P98">
        <v>0.005340448820433585</v>
      </c>
      <c r="Q98" t="s">
        <v>88</v>
      </c>
      <c r="S98" t="s">
        <v>131</v>
      </c>
      <c r="T98" t="s">
        <v>208</v>
      </c>
      <c r="U98">
        <v>0.0033028108952673696</v>
      </c>
      <c r="V98" t="s">
        <v>88</v>
      </c>
      <c r="AC98" t="s">
        <v>245</v>
      </c>
      <c r="AD98" t="s">
        <v>208</v>
      </c>
      <c r="AE98">
        <v>0.0035095146371732612</v>
      </c>
      <c r="AK98">
        <v>2032</v>
      </c>
      <c r="AL98" t="s">
        <v>180</v>
      </c>
      <c r="AM98">
        <v>0.59775</v>
      </c>
      <c r="AN98" t="s">
        <v>172</v>
      </c>
    </row>
    <row r="99" spans="9:40" ht="14.25">
      <c r="I99" t="s">
        <v>100</v>
      </c>
      <c r="J99" t="s">
        <v>209</v>
      </c>
      <c r="K99">
        <v>0.0028425094941337643</v>
      </c>
      <c r="L99" t="s">
        <v>88</v>
      </c>
      <c r="N99" t="s">
        <v>116</v>
      </c>
      <c r="O99" t="s">
        <v>209</v>
      </c>
      <c r="P99">
        <v>0.0052605031345742993</v>
      </c>
      <c r="Q99" t="s">
        <v>88</v>
      </c>
      <c r="S99" t="s">
        <v>131</v>
      </c>
      <c r="T99" t="s">
        <v>209</v>
      </c>
      <c r="U99">
        <v>0.0032166197035459932</v>
      </c>
      <c r="V99" t="s">
        <v>88</v>
      </c>
      <c r="AC99" t="s">
        <v>245</v>
      </c>
      <c r="AD99" t="s">
        <v>209</v>
      </c>
      <c r="AE99">
        <v>0.0035474343406596775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ht="14.2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0.025742839356830246</v>
      </c>
      <c r="Q100" t="s">
        <v>88</v>
      </c>
      <c r="S100" t="s">
        <v>131</v>
      </c>
      <c r="T100" t="s">
        <v>210</v>
      </c>
      <c r="U100">
        <v>0.015243894648657566</v>
      </c>
      <c r="V100" t="s">
        <v>88</v>
      </c>
      <c r="AC100" t="s">
        <v>245</v>
      </c>
      <c r="AD100" t="s">
        <v>210</v>
      </c>
      <c r="AE100">
        <v>0.017824723873776378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ht="14.25">
      <c r="I101" t="s">
        <v>100</v>
      </c>
      <c r="J101" t="s">
        <v>211</v>
      </c>
      <c r="K101">
        <v>0.020455698100443696</v>
      </c>
      <c r="L101" t="s">
        <v>88</v>
      </c>
      <c r="N101" t="s">
        <v>116</v>
      </c>
      <c r="O101" t="s">
        <v>211</v>
      </c>
      <c r="P101">
        <v>0.038940275456274077</v>
      </c>
      <c r="Q101" t="s">
        <v>88</v>
      </c>
      <c r="S101" t="s">
        <v>131</v>
      </c>
      <c r="T101" t="s">
        <v>211</v>
      </c>
      <c r="U101">
        <v>0.035353436442136656</v>
      </c>
      <c r="V101" t="s">
        <v>88</v>
      </c>
      <c r="AC101" t="s">
        <v>245</v>
      </c>
      <c r="AD101" t="s">
        <v>211</v>
      </c>
      <c r="AE101">
        <v>0.049147027247065968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ht="14.25">
      <c r="I102" t="s">
        <v>100</v>
      </c>
      <c r="J102" t="s">
        <v>212</v>
      </c>
      <c r="K102">
        <v>0.078638188947176432</v>
      </c>
      <c r="L102" t="s">
        <v>88</v>
      </c>
      <c r="N102" t="s">
        <v>116</v>
      </c>
      <c r="O102" t="s">
        <v>212</v>
      </c>
      <c r="P102">
        <v>0.023635906581980181</v>
      </c>
      <c r="Q102" t="s">
        <v>88</v>
      </c>
      <c r="S102" t="s">
        <v>131</v>
      </c>
      <c r="T102" t="s">
        <v>212</v>
      </c>
      <c r="U102">
        <v>0.01845294745733677</v>
      </c>
      <c r="V102" t="s">
        <v>88</v>
      </c>
      <c r="AC102" t="s">
        <v>245</v>
      </c>
      <c r="AD102" t="s">
        <v>212</v>
      </c>
      <c r="AE102">
        <v>0.027913747370524718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ht="14.2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0.041177772702990972</v>
      </c>
      <c r="Q103" t="s">
        <v>88</v>
      </c>
      <c r="S103" t="s">
        <v>131</v>
      </c>
      <c r="T103" t="s">
        <v>213</v>
      </c>
      <c r="U103">
        <v>0.028644721512792536</v>
      </c>
      <c r="V103" t="s">
        <v>88</v>
      </c>
      <c r="AC103" t="s">
        <v>245</v>
      </c>
      <c r="AD103" t="s">
        <v>213</v>
      </c>
      <c r="AE103">
        <v>0.041084970499047711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ht="14.25">
      <c r="I104" t="s">
        <v>100</v>
      </c>
      <c r="J104" t="s">
        <v>214</v>
      </c>
      <c r="K104">
        <v>0.014548872721168338</v>
      </c>
      <c r="L104" t="s">
        <v>88</v>
      </c>
      <c r="N104" t="s">
        <v>116</v>
      </c>
      <c r="O104" t="s">
        <v>214</v>
      </c>
      <c r="P104">
        <v>0.0066459339742910156</v>
      </c>
      <c r="Q104" t="s">
        <v>88</v>
      </c>
      <c r="S104" t="s">
        <v>131</v>
      </c>
      <c r="T104" t="s">
        <v>214</v>
      </c>
      <c r="U104">
        <v>0.0052467123944751354</v>
      </c>
      <c r="V104" t="s">
        <v>88</v>
      </c>
      <c r="AC104" t="s">
        <v>245</v>
      </c>
      <c r="AD104" t="s">
        <v>214</v>
      </c>
      <c r="AE104">
        <v>0.0069054740559192432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ht="14.25">
      <c r="I105" t="s">
        <v>100</v>
      </c>
      <c r="J105" t="s">
        <v>215</v>
      </c>
      <c r="K105">
        <v>0.0094630248387863446</v>
      </c>
      <c r="L105" t="s">
        <v>88</v>
      </c>
      <c r="N105" t="s">
        <v>116</v>
      </c>
      <c r="O105" t="s">
        <v>215</v>
      </c>
      <c r="P105">
        <v>0.0064116229874192918</v>
      </c>
      <c r="Q105" t="s">
        <v>88</v>
      </c>
      <c r="S105" t="s">
        <v>131</v>
      </c>
      <c r="T105" t="s">
        <v>215</v>
      </c>
      <c r="U105">
        <v>0.0053045576678170349</v>
      </c>
      <c r="V105" t="s">
        <v>88</v>
      </c>
      <c r="AC105" t="s">
        <v>245</v>
      </c>
      <c r="AD105" t="s">
        <v>215</v>
      </c>
      <c r="AE105">
        <v>0.0069651622262026491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ht="14.25">
      <c r="I106" t="s">
        <v>100</v>
      </c>
      <c r="J106" t="s">
        <v>216</v>
      </c>
      <c r="K106">
        <v>0.0010819070776113837</v>
      </c>
      <c r="L106" t="s">
        <v>88</v>
      </c>
      <c r="N106" t="s">
        <v>116</v>
      </c>
      <c r="O106" t="s">
        <v>216</v>
      </c>
      <c r="P106">
        <v>0.029596648586167736</v>
      </c>
      <c r="Q106" t="s">
        <v>88</v>
      </c>
      <c r="S106" t="s">
        <v>131</v>
      </c>
      <c r="T106" t="s">
        <v>216</v>
      </c>
      <c r="U106">
        <v>0.025149234623461438</v>
      </c>
      <c r="V106" t="s">
        <v>88</v>
      </c>
      <c r="AC106" t="s">
        <v>245</v>
      </c>
      <c r="AD106" t="s">
        <v>216</v>
      </c>
      <c r="AE106">
        <v>0.03504832643552843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ht="14.25">
      <c r="I107" t="s">
        <v>101</v>
      </c>
      <c r="J107" t="s">
        <v>87</v>
      </c>
      <c r="K107">
        <v>0.0092102711924524801</v>
      </c>
      <c r="L107" t="s">
        <v>88</v>
      </c>
      <c r="N107" t="s">
        <v>117</v>
      </c>
      <c r="O107" t="s">
        <v>87</v>
      </c>
      <c r="P107">
        <v>0.027252826537809218</v>
      </c>
      <c r="Q107" t="s">
        <v>88</v>
      </c>
      <c r="S107" t="s">
        <v>132</v>
      </c>
      <c r="T107" t="s">
        <v>87</v>
      </c>
      <c r="U107">
        <v>0.027072834220921597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ht="14.25">
      <c r="I108" t="s">
        <v>101</v>
      </c>
      <c r="J108" t="s">
        <v>89</v>
      </c>
      <c r="K108">
        <v>0.041050953519614665</v>
      </c>
      <c r="L108" t="s">
        <v>88</v>
      </c>
      <c r="N108" t="s">
        <v>117</v>
      </c>
      <c r="O108" t="s">
        <v>89</v>
      </c>
      <c r="P108">
        <v>0.016614597730509124</v>
      </c>
      <c r="Q108" t="s">
        <v>88</v>
      </c>
      <c r="S108" t="s">
        <v>132</v>
      </c>
      <c r="T108" t="s">
        <v>89</v>
      </c>
      <c r="U108">
        <v>0.015266328368976642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ht="14.25">
      <c r="I109" t="s">
        <v>101</v>
      </c>
      <c r="J109" t="s">
        <v>90</v>
      </c>
      <c r="K109">
        <v>0.069934590785569489</v>
      </c>
      <c r="L109" t="s">
        <v>88</v>
      </c>
      <c r="N109" t="s">
        <v>117</v>
      </c>
      <c r="O109" t="s">
        <v>90</v>
      </c>
      <c r="P109">
        <v>0.026702116918147421</v>
      </c>
      <c r="Q109" t="s">
        <v>88</v>
      </c>
      <c r="S109" t="s">
        <v>132</v>
      </c>
      <c r="T109" t="s">
        <v>90</v>
      </c>
      <c r="U109">
        <v>0.023446196801703914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ht="14.25">
      <c r="I110" t="s">
        <v>101</v>
      </c>
      <c r="J110" t="s">
        <v>181</v>
      </c>
      <c r="K110">
        <v>0.0088407027381123358</v>
      </c>
      <c r="L110" t="s">
        <v>88</v>
      </c>
      <c r="N110" t="s">
        <v>117</v>
      </c>
      <c r="O110" t="s">
        <v>181</v>
      </c>
      <c r="P110">
        <v>0.0046957658843603967</v>
      </c>
      <c r="Q110" t="s">
        <v>88</v>
      </c>
      <c r="S110" t="s">
        <v>132</v>
      </c>
      <c r="T110" t="s">
        <v>181</v>
      </c>
      <c r="U110">
        <v>0.0041387526357263499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ht="14.25">
      <c r="I111" t="s">
        <v>101</v>
      </c>
      <c r="J111" t="s">
        <v>182</v>
      </c>
      <c r="K111">
        <v>0.006578719552439322</v>
      </c>
      <c r="L111" t="s">
        <v>88</v>
      </c>
      <c r="N111" t="s">
        <v>117</v>
      </c>
      <c r="O111" t="s">
        <v>182</v>
      </c>
      <c r="P111">
        <v>0.0046544077180409316</v>
      </c>
      <c r="Q111" t="s">
        <v>88</v>
      </c>
      <c r="S111" t="s">
        <v>132</v>
      </c>
      <c r="T111" t="s">
        <v>182</v>
      </c>
      <c r="U111">
        <v>0.0042149223076914178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ht="14.25">
      <c r="I112" t="s">
        <v>101</v>
      </c>
      <c r="J112" t="s">
        <v>183</v>
      </c>
      <c r="K112">
        <v>0.0019026290578419258</v>
      </c>
      <c r="L112" t="s">
        <v>88</v>
      </c>
      <c r="N112" t="s">
        <v>117</v>
      </c>
      <c r="O112" t="s">
        <v>183</v>
      </c>
      <c r="P112">
        <v>0.021829564779610625</v>
      </c>
      <c r="Q112" t="s">
        <v>88</v>
      </c>
      <c r="S112" t="s">
        <v>132</v>
      </c>
      <c r="T112" t="s">
        <v>183</v>
      </c>
      <c r="U112">
        <v>0.020703984880846505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ht="14.25">
      <c r="I113" t="s">
        <v>101</v>
      </c>
      <c r="J113" t="s">
        <v>91</v>
      </c>
      <c r="K113">
        <v>0.0048534997320340686</v>
      </c>
      <c r="L113" t="s">
        <v>88</v>
      </c>
      <c r="N113" t="s">
        <v>117</v>
      </c>
      <c r="O113" t="s">
        <v>91</v>
      </c>
      <c r="P113">
        <v>0.015711083563746338</v>
      </c>
      <c r="Q113" t="s">
        <v>88</v>
      </c>
      <c r="S113" t="s">
        <v>132</v>
      </c>
      <c r="T113" t="s">
        <v>91</v>
      </c>
      <c r="U113">
        <v>0.019874230975901089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ht="14.25">
      <c r="I114" t="s">
        <v>101</v>
      </c>
      <c r="J114" t="s">
        <v>92</v>
      </c>
      <c r="K114">
        <v>0.035109743201726502</v>
      </c>
      <c r="L114" t="s">
        <v>88</v>
      </c>
      <c r="N114" t="s">
        <v>117</v>
      </c>
      <c r="O114" t="s">
        <v>92</v>
      </c>
      <c r="P114">
        <v>0.0099557976723854223</v>
      </c>
      <c r="Q114" t="s">
        <v>88</v>
      </c>
      <c r="S114" t="s">
        <v>132</v>
      </c>
      <c r="T114" t="s">
        <v>92</v>
      </c>
      <c r="U114">
        <v>0.012495781482139619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ht="14.25">
      <c r="I115" t="s">
        <v>101</v>
      </c>
      <c r="J115" t="s">
        <v>93</v>
      </c>
      <c r="K115">
        <v>0.060202868656817218</v>
      </c>
      <c r="L115" t="s">
        <v>88</v>
      </c>
      <c r="N115" t="s">
        <v>117</v>
      </c>
      <c r="O115" t="s">
        <v>93</v>
      </c>
      <c r="P115">
        <v>0.015590799680582003</v>
      </c>
      <c r="Q115" t="s">
        <v>88</v>
      </c>
      <c r="S115" t="s">
        <v>132</v>
      </c>
      <c r="T115" t="s">
        <v>93</v>
      </c>
      <c r="U115">
        <v>0.017900631935140621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ht="14.25">
      <c r="I116" t="s">
        <v>101</v>
      </c>
      <c r="J116" t="s">
        <v>184</v>
      </c>
      <c r="K116">
        <v>0.007890831182289745</v>
      </c>
      <c r="L116" t="s">
        <v>88</v>
      </c>
      <c r="N116" t="s">
        <v>117</v>
      </c>
      <c r="O116" t="s">
        <v>184</v>
      </c>
      <c r="P116">
        <v>0.0029185946736372727</v>
      </c>
      <c r="Q116" t="s">
        <v>88</v>
      </c>
      <c r="S116" t="s">
        <v>132</v>
      </c>
      <c r="T116" t="s">
        <v>184</v>
      </c>
      <c r="U116">
        <v>0.0029428778324078813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ht="14.25">
      <c r="I117" t="s">
        <v>101</v>
      </c>
      <c r="J117" t="s">
        <v>185</v>
      </c>
      <c r="K117">
        <v>0.0054523811081887454</v>
      </c>
      <c r="L117" t="s">
        <v>88</v>
      </c>
      <c r="N117" t="s">
        <v>117</v>
      </c>
      <c r="O117" t="s">
        <v>185</v>
      </c>
      <c r="P117">
        <v>0.002873679648135819</v>
      </c>
      <c r="Q117" t="s">
        <v>88</v>
      </c>
      <c r="S117" t="s">
        <v>132</v>
      </c>
      <c r="T117" t="s">
        <v>185</v>
      </c>
      <c r="U117">
        <v>0.0029557626130989056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ht="14.2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0.012231943349907046</v>
      </c>
      <c r="Q118" t="s">
        <v>88</v>
      </c>
      <c r="S118" t="s">
        <v>132</v>
      </c>
      <c r="T118" t="s">
        <v>186</v>
      </c>
      <c r="U118">
        <v>0.013925452167574426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ht="14.25">
      <c r="I119" t="s">
        <v>101</v>
      </c>
      <c r="J119" t="s">
        <v>94</v>
      </c>
      <c r="K119">
        <v>0.0033306356076633933</v>
      </c>
      <c r="L119" t="s">
        <v>88</v>
      </c>
      <c r="N119" t="s">
        <v>117</v>
      </c>
      <c r="O119" t="s">
        <v>94</v>
      </c>
      <c r="P119">
        <v>0.016364913025833046</v>
      </c>
      <c r="Q119" t="s">
        <v>88</v>
      </c>
      <c r="S119" t="s">
        <v>132</v>
      </c>
      <c r="T119" t="s">
        <v>94</v>
      </c>
      <c r="U119">
        <v>0.02141091869781275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ht="14.25">
      <c r="I120" t="s">
        <v>101</v>
      </c>
      <c r="J120" t="s">
        <v>95</v>
      </c>
      <c r="K120">
        <v>0.032437984675639443</v>
      </c>
      <c r="L120" t="s">
        <v>88</v>
      </c>
      <c r="N120" t="s">
        <v>117</v>
      </c>
      <c r="O120" t="s">
        <v>95</v>
      </c>
      <c r="P120">
        <v>0.0096086188550877083</v>
      </c>
      <c r="Q120" t="s">
        <v>88</v>
      </c>
      <c r="S120" t="s">
        <v>132</v>
      </c>
      <c r="T120" t="s">
        <v>95</v>
      </c>
      <c r="U120">
        <v>0.013172925196087365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ht="14.25">
      <c r="I121" t="s">
        <v>101</v>
      </c>
      <c r="J121" t="s">
        <v>96</v>
      </c>
      <c r="K121">
        <v>0.053501274068615538</v>
      </c>
      <c r="L121" t="s">
        <v>88</v>
      </c>
      <c r="N121" t="s">
        <v>117</v>
      </c>
      <c r="O121" t="s">
        <v>96</v>
      </c>
      <c r="P121">
        <v>0.015978069950418158</v>
      </c>
      <c r="Q121" t="s">
        <v>88</v>
      </c>
      <c r="S121" t="s">
        <v>132</v>
      </c>
      <c r="T121" t="s">
        <v>96</v>
      </c>
      <c r="U121">
        <v>0.020246810761676056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ht="14.25">
      <c r="I122" t="s">
        <v>101</v>
      </c>
      <c r="J122" t="s">
        <v>187</v>
      </c>
      <c r="K122">
        <v>0.006244183501480924</v>
      </c>
      <c r="L122" t="s">
        <v>88</v>
      </c>
      <c r="N122" t="s">
        <v>117</v>
      </c>
      <c r="O122" t="s">
        <v>187</v>
      </c>
      <c r="P122">
        <v>0.0030183687205830199</v>
      </c>
      <c r="Q122" t="s">
        <v>88</v>
      </c>
      <c r="S122" t="s">
        <v>132</v>
      </c>
      <c r="T122" t="s">
        <v>187</v>
      </c>
      <c r="U122">
        <v>0.0035816672446215788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ht="14.25">
      <c r="I123" t="s">
        <v>101</v>
      </c>
      <c r="J123" t="s">
        <v>188</v>
      </c>
      <c r="K123">
        <v>0.0024684788440562113</v>
      </c>
      <c r="L123" t="s">
        <v>88</v>
      </c>
      <c r="N123" t="s">
        <v>117</v>
      </c>
      <c r="O123" t="s">
        <v>188</v>
      </c>
      <c r="P123">
        <v>0.0029981109503593711</v>
      </c>
      <c r="Q123" t="s">
        <v>88</v>
      </c>
      <c r="S123" t="s">
        <v>132</v>
      </c>
      <c r="T123" t="s">
        <v>188</v>
      </c>
      <c r="U123">
        <v>0.0035496931278383962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ht="14.2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0.013403099769151354</v>
      </c>
      <c r="Q124" t="s">
        <v>88</v>
      </c>
      <c r="S124" t="s">
        <v>132</v>
      </c>
      <c r="T124" t="s">
        <v>189</v>
      </c>
      <c r="U124">
        <v>0.016698319884334716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ht="14.2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0.045902471811865297</v>
      </c>
      <c r="Q125" t="s">
        <v>88</v>
      </c>
      <c r="S125" t="s">
        <v>132</v>
      </c>
      <c r="T125" t="s">
        <v>97</v>
      </c>
      <c r="U125">
        <v>0.048523993853621342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ht="14.25">
      <c r="I126" t="s">
        <v>101</v>
      </c>
      <c r="J126" t="s">
        <v>98</v>
      </c>
      <c r="K126">
        <v>0.037545137099075539</v>
      </c>
      <c r="L126" t="s">
        <v>88</v>
      </c>
      <c r="N126" t="s">
        <v>117</v>
      </c>
      <c r="O126" t="s">
        <v>98</v>
      </c>
      <c r="P126">
        <v>0.023530301867670071</v>
      </c>
      <c r="Q126" t="s">
        <v>88</v>
      </c>
      <c r="S126" t="s">
        <v>132</v>
      </c>
      <c r="T126" t="s">
        <v>98</v>
      </c>
      <c r="U126">
        <v>0.026998021825956273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ht="14.25">
      <c r="I127" t="s">
        <v>101</v>
      </c>
      <c r="J127" t="s">
        <v>99</v>
      </c>
      <c r="K127">
        <v>0.063998786029758212</v>
      </c>
      <c r="L127" t="s">
        <v>88</v>
      </c>
      <c r="N127" t="s">
        <v>117</v>
      </c>
      <c r="O127" t="s">
        <v>99</v>
      </c>
      <c r="P127">
        <v>0.040863467259062924</v>
      </c>
      <c r="Q127" t="s">
        <v>88</v>
      </c>
      <c r="S127" t="s">
        <v>132</v>
      </c>
      <c r="T127" t="s">
        <v>99</v>
      </c>
      <c r="U127">
        <v>0.042467172687827369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ht="14.25">
      <c r="I128" t="s">
        <v>101</v>
      </c>
      <c r="J128" t="s">
        <v>190</v>
      </c>
      <c r="K128">
        <v>0.003117624891636805</v>
      </c>
      <c r="L128" t="s">
        <v>88</v>
      </c>
      <c r="N128" t="s">
        <v>117</v>
      </c>
      <c r="O128" t="s">
        <v>190</v>
      </c>
      <c r="P128">
        <v>0.0067786858604049153</v>
      </c>
      <c r="Q128" t="s">
        <v>88</v>
      </c>
      <c r="S128" t="s">
        <v>132</v>
      </c>
      <c r="T128" t="s">
        <v>190</v>
      </c>
      <c r="U128">
        <v>0.0067705992160926043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ht="14.2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0.0067149543242297624</v>
      </c>
      <c r="Q129" t="s">
        <v>88</v>
      </c>
      <c r="S129" t="s">
        <v>132</v>
      </c>
      <c r="T129" t="s">
        <v>191</v>
      </c>
      <c r="U129">
        <v>0.0065640969205077474</v>
      </c>
      <c r="V129" t="s">
        <v>88</v>
      </c>
      <c r="AK129">
        <v>2036</v>
      </c>
      <c r="AL129" t="s">
        <v>179</v>
      </c>
      <c r="AM129">
        <v>0.605</v>
      </c>
      <c r="AN129" t="s">
        <v>172</v>
      </c>
    </row>
    <row r="130" spans="9:40" ht="14.2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0.033402123393989624</v>
      </c>
      <c r="Q130" t="s">
        <v>88</v>
      </c>
      <c r="S130" t="s">
        <v>132</v>
      </c>
      <c r="T130" t="s">
        <v>192</v>
      </c>
      <c r="U130">
        <v>0.032127331162418012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ht="14.2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0.028348131347107331</v>
      </c>
      <c r="Q131" t="s">
        <v>88</v>
      </c>
      <c r="S131" t="s">
        <v>132</v>
      </c>
      <c r="T131" t="s">
        <v>193</v>
      </c>
      <c r="U131">
        <v>0.029868125660650207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ht="14.25">
      <c r="I132" t="s">
        <v>101</v>
      </c>
      <c r="J132" t="s">
        <v>194</v>
      </c>
      <c r="K132">
        <v>0.0096984735435570891</v>
      </c>
      <c r="L132" t="s">
        <v>88</v>
      </c>
      <c r="N132" t="s">
        <v>117</v>
      </c>
      <c r="O132" t="s">
        <v>194</v>
      </c>
      <c r="P132">
        <v>0.015404522905097556</v>
      </c>
      <c r="Q132" t="s">
        <v>88</v>
      </c>
      <c r="S132" t="s">
        <v>132</v>
      </c>
      <c r="T132" t="s">
        <v>194</v>
      </c>
      <c r="U132">
        <v>0.017307674149033881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ht="14.25">
      <c r="I133" t="s">
        <v>101</v>
      </c>
      <c r="J133" t="s">
        <v>195</v>
      </c>
      <c r="K133">
        <v>0.020493116930755208</v>
      </c>
      <c r="L133" t="s">
        <v>88</v>
      </c>
      <c r="N133" t="s">
        <v>117</v>
      </c>
      <c r="O133" t="s">
        <v>195</v>
      </c>
      <c r="P133">
        <v>0.024795557654696633</v>
      </c>
      <c r="Q133" t="s">
        <v>88</v>
      </c>
      <c r="S133" t="s">
        <v>132</v>
      </c>
      <c r="T133" t="s">
        <v>195</v>
      </c>
      <c r="U133">
        <v>0.025736364185520579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ht="14.2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0.0040287692821682451</v>
      </c>
      <c r="Q134" t="s">
        <v>88</v>
      </c>
      <c r="S134" t="s">
        <v>132</v>
      </c>
      <c r="T134" t="s">
        <v>196</v>
      </c>
      <c r="U134">
        <v>0.0041753514935250679</v>
      </c>
      <c r="V134" t="s">
        <v>88</v>
      </c>
      <c r="AK134">
        <v>2037</v>
      </c>
      <c r="AL134" t="s">
        <v>84</v>
      </c>
      <c r="AM134">
        <v>0.41</v>
      </c>
      <c r="AN134" t="s">
        <v>172</v>
      </c>
    </row>
    <row r="135" spans="9:40" ht="14.2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0.0040028156298539709</v>
      </c>
      <c r="Q135" t="s">
        <v>88</v>
      </c>
      <c r="S135" t="s">
        <v>132</v>
      </c>
      <c r="T135" t="s">
        <v>197</v>
      </c>
      <c r="U135">
        <v>0.0041325409209915249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ht="14.2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0.019440184681638922</v>
      </c>
      <c r="Q136" t="s">
        <v>88</v>
      </c>
      <c r="S136" t="s">
        <v>132</v>
      </c>
      <c r="T136" t="s">
        <v>198</v>
      </c>
      <c r="U136">
        <v>0.020484286553762547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ht="14.25">
      <c r="I137" t="s">
        <v>101</v>
      </c>
      <c r="J137" t="s">
        <v>199</v>
      </c>
      <c r="K137">
        <v>0.0014742790685089886</v>
      </c>
      <c r="L137" t="s">
        <v>88</v>
      </c>
      <c r="N137" t="s">
        <v>117</v>
      </c>
      <c r="O137" t="s">
        <v>199</v>
      </c>
      <c r="P137">
        <v>0.087496673510031694</v>
      </c>
      <c r="Q137" t="s">
        <v>88</v>
      </c>
      <c r="S137" t="s">
        <v>132</v>
      </c>
      <c r="T137" t="s">
        <v>199</v>
      </c>
      <c r="U137">
        <v>0.08585476419620465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ht="14.25">
      <c r="I138" t="s">
        <v>101</v>
      </c>
      <c r="J138" t="s">
        <v>200</v>
      </c>
      <c r="K138">
        <v>0.053912158547294718</v>
      </c>
      <c r="L138" t="s">
        <v>88</v>
      </c>
      <c r="N138" t="s">
        <v>117</v>
      </c>
      <c r="O138" t="s">
        <v>200</v>
      </c>
      <c r="P138">
        <v>0.047751715128503798</v>
      </c>
      <c r="Q138" t="s">
        <v>88</v>
      </c>
      <c r="S138" t="s">
        <v>132</v>
      </c>
      <c r="T138" t="s">
        <v>200</v>
      </c>
      <c r="U138">
        <v>0.048021962778450888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ht="14.25">
      <c r="I139" t="s">
        <v>101</v>
      </c>
      <c r="J139" t="s">
        <v>201</v>
      </c>
      <c r="K139">
        <v>0.096317784025762299</v>
      </c>
      <c r="L139" t="s">
        <v>88</v>
      </c>
      <c r="N139" t="s">
        <v>117</v>
      </c>
      <c r="O139" t="s">
        <v>201</v>
      </c>
      <c r="P139">
        <v>0.077399095354675693</v>
      </c>
      <c r="Q139" t="s">
        <v>88</v>
      </c>
      <c r="S139" t="s">
        <v>132</v>
      </c>
      <c r="T139" t="s">
        <v>201</v>
      </c>
      <c r="U139">
        <v>0.076704701512730913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ht="14.25">
      <c r="I140" t="s">
        <v>101</v>
      </c>
      <c r="J140" t="s">
        <v>202</v>
      </c>
      <c r="K140">
        <v>0.0057507873107750362</v>
      </c>
      <c r="L140" t="s">
        <v>88</v>
      </c>
      <c r="N140" t="s">
        <v>117</v>
      </c>
      <c r="O140" t="s">
        <v>202</v>
      </c>
      <c r="P140">
        <v>0.012298230163012463</v>
      </c>
      <c r="Q140" t="s">
        <v>88</v>
      </c>
      <c r="S140" t="s">
        <v>132</v>
      </c>
      <c r="T140" t="s">
        <v>202</v>
      </c>
      <c r="U140">
        <v>0.013132721788333402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ht="14.2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0.012135316426031014</v>
      </c>
      <c r="Q141" t="s">
        <v>88</v>
      </c>
      <c r="S141" t="s">
        <v>132</v>
      </c>
      <c r="T141" t="s">
        <v>203</v>
      </c>
      <c r="U141">
        <v>0.013043230480633321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ht="14.2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0.062120124012242713</v>
      </c>
      <c r="Q142" t="s">
        <v>88</v>
      </c>
      <c r="S142" t="s">
        <v>132</v>
      </c>
      <c r="T142" t="s">
        <v>204</v>
      </c>
      <c r="U142">
        <v>0.063506374289776346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ht="14.25">
      <c r="I143" t="s">
        <v>101</v>
      </c>
      <c r="J143" t="s">
        <v>205</v>
      </c>
      <c r="K143">
        <v>0.0069088655033801719</v>
      </c>
      <c r="L143" t="s">
        <v>88</v>
      </c>
      <c r="N143" t="s">
        <v>117</v>
      </c>
      <c r="O143" t="s">
        <v>205</v>
      </c>
      <c r="P143">
        <v>0.024985811142429967</v>
      </c>
      <c r="Q143" t="s">
        <v>88</v>
      </c>
      <c r="S143" t="s">
        <v>132</v>
      </c>
      <c r="T143" t="s">
        <v>205</v>
      </c>
      <c r="U143">
        <v>0.022645731601117252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ht="14.25">
      <c r="I144" t="s">
        <v>101</v>
      </c>
      <c r="J144" t="s">
        <v>206</v>
      </c>
      <c r="K144">
        <v>0.036379868951542958</v>
      </c>
      <c r="L144" t="s">
        <v>88</v>
      </c>
      <c r="N144" t="s">
        <v>117</v>
      </c>
      <c r="O144" t="s">
        <v>206</v>
      </c>
      <c r="P144">
        <v>0.015324281212456294</v>
      </c>
      <c r="Q144" t="s">
        <v>88</v>
      </c>
      <c r="S144" t="s">
        <v>132</v>
      </c>
      <c r="T144" t="s">
        <v>206</v>
      </c>
      <c r="U144">
        <v>0.012350151447033093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ht="14.25">
      <c r="I145" t="s">
        <v>101</v>
      </c>
      <c r="J145" t="s">
        <v>207</v>
      </c>
      <c r="K145">
        <v>0.057377316089166776</v>
      </c>
      <c r="L145" t="s">
        <v>88</v>
      </c>
      <c r="N145" t="s">
        <v>117</v>
      </c>
      <c r="O145" t="s">
        <v>207</v>
      </c>
      <c r="P145">
        <v>0.027020763381087203</v>
      </c>
      <c r="Q145" t="s">
        <v>88</v>
      </c>
      <c r="S145" t="s">
        <v>132</v>
      </c>
      <c r="T145" t="s">
        <v>207</v>
      </c>
      <c r="U145">
        <v>0.018787399702472087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ht="14.25">
      <c r="I146" t="s">
        <v>101</v>
      </c>
      <c r="J146" t="s">
        <v>208</v>
      </c>
      <c r="K146">
        <v>0.0060540292104993565</v>
      </c>
      <c r="L146" t="s">
        <v>88</v>
      </c>
      <c r="N146" t="s">
        <v>117</v>
      </c>
      <c r="O146" t="s">
        <v>208</v>
      </c>
      <c r="P146">
        <v>0.0043386193636784356</v>
      </c>
      <c r="Q146" t="s">
        <v>88</v>
      </c>
      <c r="S146" t="s">
        <v>132</v>
      </c>
      <c r="T146" t="s">
        <v>208</v>
      </c>
      <c r="U146">
        <v>0.0030755831884527432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ht="14.25">
      <c r="I147" t="s">
        <v>101</v>
      </c>
      <c r="J147" t="s">
        <v>209</v>
      </c>
      <c r="K147">
        <v>0.0018495652015111715</v>
      </c>
      <c r="L147" t="s">
        <v>88</v>
      </c>
      <c r="N147" t="s">
        <v>117</v>
      </c>
      <c r="O147" t="s">
        <v>209</v>
      </c>
      <c r="P147">
        <v>0.0041670719910647074</v>
      </c>
      <c r="Q147" t="s">
        <v>88</v>
      </c>
      <c r="S147" t="s">
        <v>132</v>
      </c>
      <c r="T147" t="s">
        <v>209</v>
      </c>
      <c r="U147">
        <v>0.0030136914857066409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ht="14.2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0.018690407466519024</v>
      </c>
      <c r="Q148" t="s">
        <v>88</v>
      </c>
      <c r="S148" t="s">
        <v>132</v>
      </c>
      <c r="T148" t="s">
        <v>210</v>
      </c>
      <c r="U148">
        <v>0.014202433158030981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ht="14.25">
      <c r="I149" t="s">
        <v>101</v>
      </c>
      <c r="J149" t="s">
        <v>211</v>
      </c>
      <c r="K149">
        <v>0.021021324354044881</v>
      </c>
      <c r="L149" t="s">
        <v>88</v>
      </c>
      <c r="N149" t="s">
        <v>117</v>
      </c>
      <c r="O149" t="s">
        <v>211</v>
      </c>
      <c r="P149">
        <v>0.035454886916611895</v>
      </c>
      <c r="Q149" t="s">
        <v>88</v>
      </c>
      <c r="S149" t="s">
        <v>132</v>
      </c>
      <c r="T149" t="s">
        <v>211</v>
      </c>
      <c r="U149">
        <v>0.034690647384655243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ht="14.25">
      <c r="I150" t="s">
        <v>101</v>
      </c>
      <c r="J150" t="s">
        <v>212</v>
      </c>
      <c r="K150">
        <v>0.079437596107474404</v>
      </c>
      <c r="L150" t="s">
        <v>88</v>
      </c>
      <c r="N150" t="s">
        <v>117</v>
      </c>
      <c r="O150" t="s">
        <v>212</v>
      </c>
      <c r="P150">
        <v>0.020308936936926654</v>
      </c>
      <c r="Q150" t="s">
        <v>88</v>
      </c>
      <c r="S150" t="s">
        <v>132</v>
      </c>
      <c r="T150" t="s">
        <v>212</v>
      </c>
      <c r="U150">
        <v>0.018335957000978391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ht="14.2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0.035428950553809277</v>
      </c>
      <c r="Q151" t="s">
        <v>88</v>
      </c>
      <c r="S151" t="s">
        <v>132</v>
      </c>
      <c r="T151" t="s">
        <v>213</v>
      </c>
      <c r="U151">
        <v>0.03050094813983829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ht="14.25">
      <c r="I152" t="s">
        <v>101</v>
      </c>
      <c r="J152" t="s">
        <v>214</v>
      </c>
      <c r="K152">
        <v>0.014584084491767494</v>
      </c>
      <c r="L152" t="s">
        <v>88</v>
      </c>
      <c r="N152" t="s">
        <v>117</v>
      </c>
      <c r="O152" t="s">
        <v>214</v>
      </c>
      <c r="P152">
        <v>0.0062787075943437076</v>
      </c>
      <c r="Q152" t="s">
        <v>88</v>
      </c>
      <c r="S152" t="s">
        <v>132</v>
      </c>
      <c r="T152" t="s">
        <v>214</v>
      </c>
      <c r="U152">
        <v>0.0051370676217294816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ht="14.25">
      <c r="I153" t="s">
        <v>101</v>
      </c>
      <c r="J153" t="s">
        <v>215</v>
      </c>
      <c r="K153">
        <v>0.0094948967343256672</v>
      </c>
      <c r="L153" t="s">
        <v>88</v>
      </c>
      <c r="N153" t="s">
        <v>117</v>
      </c>
      <c r="O153" t="s">
        <v>215</v>
      </c>
      <c r="P153">
        <v>0.0060850608383989516</v>
      </c>
      <c r="Q153" t="s">
        <v>88</v>
      </c>
      <c r="S153" t="s">
        <v>132</v>
      </c>
      <c r="T153" t="s">
        <v>215</v>
      </c>
      <c r="U153">
        <v>0.0050320358210778201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ht="14.25">
      <c r="I154" t="s">
        <v>101</v>
      </c>
      <c r="J154" t="s">
        <v>216</v>
      </c>
      <c r="K154">
        <v>0.00067564542777169686</v>
      </c>
      <c r="L154" t="s">
        <v>88</v>
      </c>
      <c r="N154" t="s">
        <v>117</v>
      </c>
      <c r="O154" t="s">
        <v>216</v>
      </c>
      <c r="P154">
        <v>0.027101002562088475</v>
      </c>
      <c r="Q154" t="s">
        <v>88</v>
      </c>
      <c r="S154" t="s">
        <v>132</v>
      </c>
      <c r="T154" t="s">
        <v>216</v>
      </c>
      <c r="U154">
        <v>0.023210948638372208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ht="14.25">
      <c r="I155" t="s">
        <v>102</v>
      </c>
      <c r="J155" t="s">
        <v>87</v>
      </c>
      <c r="K155">
        <v>0.01162309918323419</v>
      </c>
      <c r="L155" t="s">
        <v>88</v>
      </c>
      <c r="N155" t="s">
        <v>118</v>
      </c>
      <c r="O155" t="s">
        <v>87</v>
      </c>
      <c r="P155">
        <v>0.018501615045555128</v>
      </c>
      <c r="Q155" t="s">
        <v>88</v>
      </c>
      <c r="S155" t="s">
        <v>133</v>
      </c>
      <c r="T155" t="s">
        <v>87</v>
      </c>
      <c r="U155">
        <v>0.027112727373636604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ht="14.25">
      <c r="I156" t="s">
        <v>102</v>
      </c>
      <c r="J156" t="s">
        <v>89</v>
      </c>
      <c r="K156">
        <v>0.044729826554646288</v>
      </c>
      <c r="L156" t="s">
        <v>88</v>
      </c>
      <c r="N156" t="s">
        <v>118</v>
      </c>
      <c r="O156" t="s">
        <v>89</v>
      </c>
      <c r="P156">
        <v>0.013828986343825228</v>
      </c>
      <c r="Q156" t="s">
        <v>88</v>
      </c>
      <c r="S156" t="s">
        <v>133</v>
      </c>
      <c r="T156" t="s">
        <v>89</v>
      </c>
      <c r="U156">
        <v>0.013542254919538459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ht="14.25">
      <c r="I157" t="s">
        <v>102</v>
      </c>
      <c r="J157" t="s">
        <v>90</v>
      </c>
      <c r="K157">
        <v>0.073278204891059573</v>
      </c>
      <c r="L157" t="s">
        <v>88</v>
      </c>
      <c r="N157" t="s">
        <v>118</v>
      </c>
      <c r="O157" t="s">
        <v>90</v>
      </c>
      <c r="P157">
        <v>0.027157125674973862</v>
      </c>
      <c r="Q157" t="s">
        <v>88</v>
      </c>
      <c r="S157" t="s">
        <v>133</v>
      </c>
      <c r="T157" t="s">
        <v>90</v>
      </c>
      <c r="U157">
        <v>0.023248529078826199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ht="14.25">
      <c r="I158" t="s">
        <v>102</v>
      </c>
      <c r="J158" t="s">
        <v>181</v>
      </c>
      <c r="K158">
        <v>0.0096031602425343341</v>
      </c>
      <c r="L158" t="s">
        <v>88</v>
      </c>
      <c r="N158" t="s">
        <v>118</v>
      </c>
      <c r="O158" t="s">
        <v>181</v>
      </c>
      <c r="P158">
        <v>0.0042661348924619433</v>
      </c>
      <c r="Q158" t="s">
        <v>88</v>
      </c>
      <c r="S158" t="s">
        <v>133</v>
      </c>
      <c r="T158" t="s">
        <v>181</v>
      </c>
      <c r="U158">
        <v>0.0042500997919655576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ht="14.25">
      <c r="I159" t="s">
        <v>102</v>
      </c>
      <c r="J159" t="s">
        <v>182</v>
      </c>
      <c r="K159">
        <v>0.0074626828620374553</v>
      </c>
      <c r="L159" t="s">
        <v>88</v>
      </c>
      <c r="N159" t="s">
        <v>118</v>
      </c>
      <c r="O159" t="s">
        <v>182</v>
      </c>
      <c r="P159">
        <v>0.0039640141464253025</v>
      </c>
      <c r="Q159" t="s">
        <v>88</v>
      </c>
      <c r="S159" t="s">
        <v>133</v>
      </c>
      <c r="T159" t="s">
        <v>182</v>
      </c>
      <c r="U159">
        <v>0.0042553851536171489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ht="14.25">
      <c r="I160" t="s">
        <v>102</v>
      </c>
      <c r="J160" t="s">
        <v>183</v>
      </c>
      <c r="K160">
        <v>0.0043572730919387535</v>
      </c>
      <c r="L160" t="s">
        <v>88</v>
      </c>
      <c r="N160" t="s">
        <v>118</v>
      </c>
      <c r="O160" t="s">
        <v>183</v>
      </c>
      <c r="P160">
        <v>0.017140446717158402</v>
      </c>
      <c r="Q160" t="s">
        <v>88</v>
      </c>
      <c r="S160" t="s">
        <v>133</v>
      </c>
      <c r="T160" t="s">
        <v>183</v>
      </c>
      <c r="U160">
        <v>0.020136122260948006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ht="14.25">
      <c r="I161" t="s">
        <v>102</v>
      </c>
      <c r="J161" t="s">
        <v>91</v>
      </c>
      <c r="K161">
        <v>0.0054252903017009916</v>
      </c>
      <c r="L161" t="s">
        <v>88</v>
      </c>
      <c r="N161" t="s">
        <v>118</v>
      </c>
      <c r="O161" t="s">
        <v>91</v>
      </c>
      <c r="P161">
        <v>0.0069514254577474855</v>
      </c>
      <c r="Q161" t="s">
        <v>88</v>
      </c>
      <c r="S161" t="s">
        <v>133</v>
      </c>
      <c r="T161" t="s">
        <v>91</v>
      </c>
      <c r="U161">
        <v>0.018599547547463322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ht="14.25">
      <c r="I162" t="s">
        <v>102</v>
      </c>
      <c r="J162" t="s">
        <v>92</v>
      </c>
      <c r="K162">
        <v>0.036218270821577879</v>
      </c>
      <c r="L162" t="s">
        <v>88</v>
      </c>
      <c r="N162" t="s">
        <v>118</v>
      </c>
      <c r="O162" t="s">
        <v>92</v>
      </c>
      <c r="P162">
        <v>0.0044006646936773685</v>
      </c>
      <c r="Q162" t="s">
        <v>88</v>
      </c>
      <c r="S162" t="s">
        <v>133</v>
      </c>
      <c r="T162" t="s">
        <v>92</v>
      </c>
      <c r="U162">
        <v>0.011086265773029992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ht="14.25">
      <c r="I163" t="s">
        <v>102</v>
      </c>
      <c r="J163" t="s">
        <v>93</v>
      </c>
      <c r="K163">
        <v>0.062628660651491738</v>
      </c>
      <c r="L163" t="s">
        <v>88</v>
      </c>
      <c r="N163" t="s">
        <v>118</v>
      </c>
      <c r="O163" t="s">
        <v>93</v>
      </c>
      <c r="P163">
        <v>0.010613618604182178</v>
      </c>
      <c r="Q163" t="s">
        <v>88</v>
      </c>
      <c r="S163" t="s">
        <v>133</v>
      </c>
      <c r="T163" t="s">
        <v>93</v>
      </c>
      <c r="U163">
        <v>0.019560576344195627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ht="14.25">
      <c r="I164" t="s">
        <v>102</v>
      </c>
      <c r="J164" t="s">
        <v>184</v>
      </c>
      <c r="K164">
        <v>0.0091174883437250293</v>
      </c>
      <c r="L164" t="s">
        <v>88</v>
      </c>
      <c r="N164" t="s">
        <v>118</v>
      </c>
      <c r="O164" t="s">
        <v>184</v>
      </c>
      <c r="P164">
        <v>0.0027474044361212777</v>
      </c>
      <c r="Q164" t="s">
        <v>88</v>
      </c>
      <c r="S164" t="s">
        <v>133</v>
      </c>
      <c r="T164" t="s">
        <v>184</v>
      </c>
      <c r="U164">
        <v>0.0035145882658315524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ht="14.25">
      <c r="I165" t="s">
        <v>102</v>
      </c>
      <c r="J165" t="s">
        <v>185</v>
      </c>
      <c r="K165">
        <v>0.0064922924025618955</v>
      </c>
      <c r="L165" t="s">
        <v>88</v>
      </c>
      <c r="N165" t="s">
        <v>118</v>
      </c>
      <c r="O165" t="s">
        <v>185</v>
      </c>
      <c r="P165">
        <v>0.0030711008144889197</v>
      </c>
      <c r="Q165" t="s">
        <v>88</v>
      </c>
      <c r="S165" t="s">
        <v>133</v>
      </c>
      <c r="T165" t="s">
        <v>185</v>
      </c>
      <c r="U165">
        <v>0.0035172360247878688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ht="14.25">
      <c r="I166" t="s">
        <v>102</v>
      </c>
      <c r="J166" t="s">
        <v>186</v>
      </c>
      <c r="K166">
        <v>0.00043237161635306144</v>
      </c>
      <c r="L166" t="s">
        <v>88</v>
      </c>
      <c r="N166" t="s">
        <v>118</v>
      </c>
      <c r="O166" t="s">
        <v>186</v>
      </c>
      <c r="P166">
        <v>0.010297203062911625</v>
      </c>
      <c r="Q166" t="s">
        <v>88</v>
      </c>
      <c r="S166" t="s">
        <v>133</v>
      </c>
      <c r="T166" t="s">
        <v>186</v>
      </c>
      <c r="U166">
        <v>0.016340360200889643</v>
      </c>
      <c r="V166" t="s">
        <v>88</v>
      </c>
      <c r="AK166">
        <v>2041</v>
      </c>
      <c r="AL166" t="s">
        <v>84</v>
      </c>
      <c r="AM166">
        <v>0.40</v>
      </c>
      <c r="AN166" t="s">
        <v>172</v>
      </c>
    </row>
    <row r="167" spans="9:40" ht="14.25">
      <c r="I167" t="s">
        <v>102</v>
      </c>
      <c r="J167" t="s">
        <v>94</v>
      </c>
      <c r="K167">
        <v>0.0026151972276476352</v>
      </c>
      <c r="L167" t="s">
        <v>88</v>
      </c>
      <c r="N167" t="s">
        <v>118</v>
      </c>
      <c r="O167" t="s">
        <v>94</v>
      </c>
      <c r="P167">
        <v>0.0088262493060485975</v>
      </c>
      <c r="Q167" t="s">
        <v>88</v>
      </c>
      <c r="S167" t="s">
        <v>133</v>
      </c>
      <c r="T167" t="s">
        <v>94</v>
      </c>
      <c r="U167">
        <v>0.021335737603406364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ht="14.25">
      <c r="I168" t="s">
        <v>102</v>
      </c>
      <c r="J168" t="s">
        <v>95</v>
      </c>
      <c r="K168">
        <v>0.030580884313108143</v>
      </c>
      <c r="L168" t="s">
        <v>88</v>
      </c>
      <c r="N168" t="s">
        <v>118</v>
      </c>
      <c r="O168" t="s">
        <v>95</v>
      </c>
      <c r="P168">
        <v>0.0068219269917929905</v>
      </c>
      <c r="Q168" t="s">
        <v>88</v>
      </c>
      <c r="S168" t="s">
        <v>133</v>
      </c>
      <c r="T168" t="s">
        <v>95</v>
      </c>
      <c r="U168">
        <v>0.012273305498355763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ht="14.25">
      <c r="I169" t="s">
        <v>102</v>
      </c>
      <c r="J169" t="s">
        <v>96</v>
      </c>
      <c r="K169">
        <v>0.053097146288299507</v>
      </c>
      <c r="L169" t="s">
        <v>88</v>
      </c>
      <c r="N169" t="s">
        <v>118</v>
      </c>
      <c r="O169" t="s">
        <v>96</v>
      </c>
      <c r="P169">
        <v>0.012521062873371134</v>
      </c>
      <c r="Q169" t="s">
        <v>88</v>
      </c>
      <c r="S169" t="s">
        <v>133</v>
      </c>
      <c r="T169" t="s">
        <v>96</v>
      </c>
      <c r="U169">
        <v>0.020745452238477645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ht="14.25">
      <c r="I170" t="s">
        <v>102</v>
      </c>
      <c r="J170" t="s">
        <v>187</v>
      </c>
      <c r="K170">
        <v>0.0067192712348037613</v>
      </c>
      <c r="L170" t="s">
        <v>88</v>
      </c>
      <c r="N170" t="s">
        <v>118</v>
      </c>
      <c r="O170" t="s">
        <v>187</v>
      </c>
      <c r="P170">
        <v>0.0024603213706034465</v>
      </c>
      <c r="Q170" t="s">
        <v>88</v>
      </c>
      <c r="S170" t="s">
        <v>133</v>
      </c>
      <c r="T170" t="s">
        <v>187</v>
      </c>
      <c r="U170">
        <v>0.0038036450704110681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ht="14.25">
      <c r="I171" t="s">
        <v>102</v>
      </c>
      <c r="J171" t="s">
        <v>188</v>
      </c>
      <c r="K171">
        <v>0.0026693580910309694</v>
      </c>
      <c r="L171" t="s">
        <v>88</v>
      </c>
      <c r="N171" t="s">
        <v>118</v>
      </c>
      <c r="O171" t="s">
        <v>188</v>
      </c>
      <c r="P171">
        <v>0.0024816309298888346</v>
      </c>
      <c r="Q171" t="s">
        <v>88</v>
      </c>
      <c r="S171" t="s">
        <v>133</v>
      </c>
      <c r="T171" t="s">
        <v>188</v>
      </c>
      <c r="U171">
        <v>0.0037946462864459477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ht="14.2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0.0080743192691315226</v>
      </c>
      <c r="Q172" t="s">
        <v>88</v>
      </c>
      <c r="S172" t="s">
        <v>133</v>
      </c>
      <c r="T172" t="s">
        <v>189</v>
      </c>
      <c r="U172">
        <v>0.017223428584317965</v>
      </c>
      <c r="V172" t="s">
        <v>88</v>
      </c>
      <c r="AK172">
        <v>2042</v>
      </c>
      <c r="AL172" t="s">
        <v>80</v>
      </c>
      <c r="AM172">
        <v>0.385</v>
      </c>
      <c r="AN172" t="s">
        <v>172</v>
      </c>
    </row>
    <row r="173" spans="9:40" ht="14.2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0.0461499157082269</v>
      </c>
      <c r="Q173" t="s">
        <v>88</v>
      </c>
      <c r="S173" t="s">
        <v>133</v>
      </c>
      <c r="T173" t="s">
        <v>97</v>
      </c>
      <c r="U173">
        <v>0.048000509390643493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ht="14.25">
      <c r="I174" t="s">
        <v>102</v>
      </c>
      <c r="J174" t="s">
        <v>98</v>
      </c>
      <c r="K174">
        <v>0.032241817019291324</v>
      </c>
      <c r="L174" t="s">
        <v>88</v>
      </c>
      <c r="N174" t="s">
        <v>118</v>
      </c>
      <c r="O174" t="s">
        <v>98</v>
      </c>
      <c r="P174">
        <v>0.02270496715328171</v>
      </c>
      <c r="Q174" t="s">
        <v>88</v>
      </c>
      <c r="S174" t="s">
        <v>133</v>
      </c>
      <c r="T174" t="s">
        <v>98</v>
      </c>
      <c r="U174">
        <v>0.024361951750812232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ht="14.25">
      <c r="I175" t="s">
        <v>102</v>
      </c>
      <c r="J175" t="s">
        <v>99</v>
      </c>
      <c r="K175">
        <v>0.059185546836007949</v>
      </c>
      <c r="L175" t="s">
        <v>88</v>
      </c>
      <c r="N175" t="s">
        <v>118</v>
      </c>
      <c r="O175" t="s">
        <v>99</v>
      </c>
      <c r="P175">
        <v>0.043677221396781436</v>
      </c>
      <c r="Q175" t="s">
        <v>88</v>
      </c>
      <c r="S175" t="s">
        <v>133</v>
      </c>
      <c r="T175" t="s">
        <v>99</v>
      </c>
      <c r="U175">
        <v>0.039166743248732962</v>
      </c>
      <c r="V175" t="s">
        <v>88</v>
      </c>
      <c r="AK175">
        <v>2042</v>
      </c>
      <c r="AL175" t="s">
        <v>175</v>
      </c>
      <c r="AM175">
        <v>0.4575</v>
      </c>
      <c r="AN175" t="s">
        <v>172</v>
      </c>
    </row>
    <row r="176" spans="9:40" ht="14.25">
      <c r="I176" t="s">
        <v>102</v>
      </c>
      <c r="J176" t="s">
        <v>190</v>
      </c>
      <c r="K176">
        <v>0.0024662382012910038</v>
      </c>
      <c r="L176" t="s">
        <v>88</v>
      </c>
      <c r="N176" t="s">
        <v>118</v>
      </c>
      <c r="O176" t="s">
        <v>190</v>
      </c>
      <c r="P176">
        <v>0.0065624601178513693</v>
      </c>
      <c r="Q176" t="s">
        <v>88</v>
      </c>
      <c r="S176" t="s">
        <v>133</v>
      </c>
      <c r="T176" t="s">
        <v>190</v>
      </c>
      <c r="U176">
        <v>0.0069678100232216343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ht="14.2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0.006727149091411519</v>
      </c>
      <c r="Q177" t="s">
        <v>88</v>
      </c>
      <c r="S177" t="s">
        <v>133</v>
      </c>
      <c r="T177" t="s">
        <v>191</v>
      </c>
      <c r="U177">
        <v>0.0069305859461600743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ht="14.2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0.035943676689608128</v>
      </c>
      <c r="Q178" t="s">
        <v>88</v>
      </c>
      <c r="S178" t="s">
        <v>133</v>
      </c>
      <c r="T178" t="s">
        <v>192</v>
      </c>
      <c r="U178">
        <v>0.034974555191805916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ht="14.2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0.023295708279971596</v>
      </c>
      <c r="Q179" t="s">
        <v>88</v>
      </c>
      <c r="S179" t="s">
        <v>133</v>
      </c>
      <c r="T179" t="s">
        <v>193</v>
      </c>
      <c r="U179">
        <v>0.025540044928806054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ht="14.25">
      <c r="I180" t="s">
        <v>102</v>
      </c>
      <c r="J180" t="s">
        <v>194</v>
      </c>
      <c r="K180">
        <v>0.0076358211769694505</v>
      </c>
      <c r="L180" t="s">
        <v>88</v>
      </c>
      <c r="N180" t="s">
        <v>118</v>
      </c>
      <c r="O180" t="s">
        <v>194</v>
      </c>
      <c r="P180">
        <v>0.014159305877056071</v>
      </c>
      <c r="Q180" t="s">
        <v>88</v>
      </c>
      <c r="S180" t="s">
        <v>133</v>
      </c>
      <c r="T180" t="s">
        <v>194</v>
      </c>
      <c r="U180">
        <v>0.013979920081420752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ht="14.25">
      <c r="I181" t="s">
        <v>102</v>
      </c>
      <c r="J181" t="s">
        <v>195</v>
      </c>
      <c r="K181">
        <v>0.01692895000936703</v>
      </c>
      <c r="L181" t="s">
        <v>88</v>
      </c>
      <c r="N181" t="s">
        <v>118</v>
      </c>
      <c r="O181" t="s">
        <v>195</v>
      </c>
      <c r="P181">
        <v>0.025351872047457803</v>
      </c>
      <c r="Q181" t="s">
        <v>88</v>
      </c>
      <c r="S181" t="s">
        <v>133</v>
      </c>
      <c r="T181" t="s">
        <v>195</v>
      </c>
      <c r="U181">
        <v>0.023994228999367477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ht="14.2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0.0037486557377215033</v>
      </c>
      <c r="Q182" t="s">
        <v>88</v>
      </c>
      <c r="S182" t="s">
        <v>133</v>
      </c>
      <c r="T182" t="s">
        <v>196</v>
      </c>
      <c r="U182">
        <v>0.0041430157032202129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ht="14.2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0.0034838971334120016</v>
      </c>
      <c r="Q183" t="s">
        <v>88</v>
      </c>
      <c r="S183" t="s">
        <v>133</v>
      </c>
      <c r="T183" t="s">
        <v>197</v>
      </c>
      <c r="U183">
        <v>0.004116610652861152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ht="14.2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0.014655370584829403</v>
      </c>
      <c r="Q184" t="s">
        <v>88</v>
      </c>
      <c r="S184" t="s">
        <v>133</v>
      </c>
      <c r="T184" t="s">
        <v>198</v>
      </c>
      <c r="U184">
        <v>0.019845331416987022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ht="14.25">
      <c r="I185" t="s">
        <v>102</v>
      </c>
      <c r="J185" t="s">
        <v>199</v>
      </c>
      <c r="K185">
        <v>0.0012934519299620524</v>
      </c>
      <c r="L185" t="s">
        <v>88</v>
      </c>
      <c r="N185" t="s">
        <v>118</v>
      </c>
      <c r="O185" t="s">
        <v>199</v>
      </c>
      <c r="P185">
        <v>0.08692733794209552</v>
      </c>
      <c r="Q185" t="s">
        <v>88</v>
      </c>
      <c r="S185" t="s">
        <v>133</v>
      </c>
      <c r="T185" t="s">
        <v>199</v>
      </c>
      <c r="U185">
        <v>0.077809035202886706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ht="14.25">
      <c r="I186" t="s">
        <v>102</v>
      </c>
      <c r="J186" t="s">
        <v>200</v>
      </c>
      <c r="K186">
        <v>0.051852491793907142</v>
      </c>
      <c r="L186" t="s">
        <v>88</v>
      </c>
      <c r="N186" t="s">
        <v>118</v>
      </c>
      <c r="O186" t="s">
        <v>200</v>
      </c>
      <c r="P186">
        <v>0.050803640770573325</v>
      </c>
      <c r="Q186" t="s">
        <v>88</v>
      </c>
      <c r="S186" t="s">
        <v>133</v>
      </c>
      <c r="T186" t="s">
        <v>200</v>
      </c>
      <c r="U186">
        <v>0.042938164746614937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ht="14.25">
      <c r="I187" t="s">
        <v>102</v>
      </c>
      <c r="J187" t="s">
        <v>201</v>
      </c>
      <c r="K187">
        <v>0.098571684607712415</v>
      </c>
      <c r="L187" t="s">
        <v>88</v>
      </c>
      <c r="N187" t="s">
        <v>118</v>
      </c>
      <c r="O187" t="s">
        <v>201</v>
      </c>
      <c r="P187">
        <v>0.091784089971325811</v>
      </c>
      <c r="Q187" t="s">
        <v>88</v>
      </c>
      <c r="S187" t="s">
        <v>133</v>
      </c>
      <c r="T187" t="s">
        <v>201</v>
      </c>
      <c r="U187">
        <v>0.067256327663115942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ht="14.25">
      <c r="I188" t="s">
        <v>102</v>
      </c>
      <c r="J188" t="s">
        <v>202</v>
      </c>
      <c r="K188">
        <v>0.0064662219983677351</v>
      </c>
      <c r="L188" t="s">
        <v>88</v>
      </c>
      <c r="N188" t="s">
        <v>118</v>
      </c>
      <c r="O188" t="s">
        <v>202</v>
      </c>
      <c r="P188">
        <v>0.012410854097756201</v>
      </c>
      <c r="Q188" t="s">
        <v>88</v>
      </c>
      <c r="S188" t="s">
        <v>133</v>
      </c>
      <c r="T188" t="s">
        <v>202</v>
      </c>
      <c r="U188">
        <v>0.011106032909069669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ht="14.2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0.011983264463288458</v>
      </c>
      <c r="Q189" t="s">
        <v>88</v>
      </c>
      <c r="S189" t="s">
        <v>133</v>
      </c>
      <c r="T189" t="s">
        <v>203</v>
      </c>
      <c r="U189">
        <v>0.010967429296901025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ht="14.2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0.060868334912103812</v>
      </c>
      <c r="Q190" t="s">
        <v>88</v>
      </c>
      <c r="S190" t="s">
        <v>133</v>
      </c>
      <c r="T190" t="s">
        <v>204</v>
      </c>
      <c r="U190">
        <v>0.054429258797171025</v>
      </c>
      <c r="V190" t="s">
        <v>88</v>
      </c>
      <c r="AK190">
        <v>2044</v>
      </c>
      <c r="AL190" t="s">
        <v>84</v>
      </c>
      <c r="AM190">
        <v>0.405</v>
      </c>
      <c r="AN190" t="s">
        <v>172</v>
      </c>
    </row>
    <row r="191" spans="9:40" ht="14.25">
      <c r="I191" t="s">
        <v>102</v>
      </c>
      <c r="J191" t="s">
        <v>205</v>
      </c>
      <c r="K191">
        <v>0.0067527313559942962</v>
      </c>
      <c r="L191" t="s">
        <v>88</v>
      </c>
      <c r="N191" t="s">
        <v>118</v>
      </c>
      <c r="O191" t="s">
        <v>205</v>
      </c>
      <c r="P191">
        <v>0.029266503006062681</v>
      </c>
      <c r="Q191" t="s">
        <v>88</v>
      </c>
      <c r="S191" t="s">
        <v>133</v>
      </c>
      <c r="T191" t="s">
        <v>205</v>
      </c>
      <c r="U191">
        <v>0.025224562894928835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ht="14.25">
      <c r="I192" t="s">
        <v>102</v>
      </c>
      <c r="J192" t="s">
        <v>206</v>
      </c>
      <c r="K192">
        <v>0.034456788875640555</v>
      </c>
      <c r="L192" t="s">
        <v>88</v>
      </c>
      <c r="N192" t="s">
        <v>118</v>
      </c>
      <c r="O192" t="s">
        <v>206</v>
      </c>
      <c r="P192">
        <v>0.023595530648478635</v>
      </c>
      <c r="Q192" t="s">
        <v>88</v>
      </c>
      <c r="S192" t="s">
        <v>133</v>
      </c>
      <c r="T192" t="s">
        <v>206</v>
      </c>
      <c r="U192">
        <v>0.013253465641079799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ht="14.25">
      <c r="I193" t="s">
        <v>102</v>
      </c>
      <c r="J193" t="s">
        <v>207</v>
      </c>
      <c r="K193">
        <v>0.055655162705388034</v>
      </c>
      <c r="L193" t="s">
        <v>88</v>
      </c>
      <c r="N193" t="s">
        <v>118</v>
      </c>
      <c r="O193" t="s">
        <v>207</v>
      </c>
      <c r="P193">
        <v>0.044379791762065246</v>
      </c>
      <c r="Q193" t="s">
        <v>88</v>
      </c>
      <c r="S193" t="s">
        <v>133</v>
      </c>
      <c r="T193" t="s">
        <v>207</v>
      </c>
      <c r="U193">
        <v>0.021472837659404904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ht="14.25">
      <c r="I194" t="s">
        <v>102</v>
      </c>
      <c r="J194" t="s">
        <v>208</v>
      </c>
      <c r="K194">
        <v>0.0061289934149500848</v>
      </c>
      <c r="L194" t="s">
        <v>88</v>
      </c>
      <c r="N194" t="s">
        <v>118</v>
      </c>
      <c r="O194" t="s">
        <v>208</v>
      </c>
      <c r="P194">
        <v>0.0061080070739713164</v>
      </c>
      <c r="Q194" t="s">
        <v>88</v>
      </c>
      <c r="S194" t="s">
        <v>133</v>
      </c>
      <c r="T194" t="s">
        <v>208</v>
      </c>
      <c r="U194">
        <v>0.0039285893317100393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ht="14.25">
      <c r="I195" t="s">
        <v>102</v>
      </c>
      <c r="J195" t="s">
        <v>209</v>
      </c>
      <c r="K195">
        <v>0.0026639276121120702</v>
      </c>
      <c r="L195" t="s">
        <v>88</v>
      </c>
      <c r="N195" t="s">
        <v>118</v>
      </c>
      <c r="O195" t="s">
        <v>209</v>
      </c>
      <c r="P195">
        <v>0.0056219524111589605</v>
      </c>
      <c r="Q195" t="s">
        <v>88</v>
      </c>
      <c r="S195" t="s">
        <v>133</v>
      </c>
      <c r="T195" t="s">
        <v>209</v>
      </c>
      <c r="U195">
        <v>0.0039619699842233999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ht="14.2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0.023566527978050499</v>
      </c>
      <c r="Q196" t="s">
        <v>88</v>
      </c>
      <c r="S196" t="s">
        <v>133</v>
      </c>
      <c r="T196" t="s">
        <v>210</v>
      </c>
      <c r="U196">
        <v>0.019610435903936581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ht="14.25">
      <c r="I197" t="s">
        <v>102</v>
      </c>
      <c r="J197" t="s">
        <v>211</v>
      </c>
      <c r="K197">
        <v>0.021511440921896056</v>
      </c>
      <c r="L197" t="s">
        <v>88</v>
      </c>
      <c r="N197" t="s">
        <v>118</v>
      </c>
      <c r="O197" t="s">
        <v>211</v>
      </c>
      <c r="P197">
        <v>0.032008533477595517</v>
      </c>
      <c r="Q197" t="s">
        <v>88</v>
      </c>
      <c r="S197" t="s">
        <v>133</v>
      </c>
      <c r="T197" t="s">
        <v>211</v>
      </c>
      <c r="U197">
        <v>0.043593567701215946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ht="14.25">
      <c r="I198" t="s">
        <v>102</v>
      </c>
      <c r="J198" t="s">
        <v>212</v>
      </c>
      <c r="K198">
        <v>0.077691975355620876</v>
      </c>
      <c r="L198" t="s">
        <v>88</v>
      </c>
      <c r="N198" t="s">
        <v>118</v>
      </c>
      <c r="O198" t="s">
        <v>212</v>
      </c>
      <c r="P198">
        <v>0.024733755717555771</v>
      </c>
      <c r="Q198" t="s">
        <v>88</v>
      </c>
      <c r="S198" t="s">
        <v>133</v>
      </c>
      <c r="T198" t="s">
        <v>212</v>
      </c>
      <c r="U198">
        <v>0.022696701422051262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ht="14.2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0.044947384251684284</v>
      </c>
      <c r="Q199" t="s">
        <v>88</v>
      </c>
      <c r="S199" t="s">
        <v>133</v>
      </c>
      <c r="T199" t="s">
        <v>213</v>
      </c>
      <c r="U199">
        <v>0.0390100749227087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ht="14.25">
      <c r="I200" t="s">
        <v>102</v>
      </c>
      <c r="J200" t="s">
        <v>214</v>
      </c>
      <c r="K200">
        <v>0.014682887691022151</v>
      </c>
      <c r="L200" t="s">
        <v>88</v>
      </c>
      <c r="N200" t="s">
        <v>118</v>
      </c>
      <c r="O200" t="s">
        <v>214</v>
      </c>
      <c r="P200">
        <v>0.0072699687016120418</v>
      </c>
      <c r="Q200" t="s">
        <v>88</v>
      </c>
      <c r="S200" t="s">
        <v>133</v>
      </c>
      <c r="T200" t="s">
        <v>214</v>
      </c>
      <c r="U200">
        <v>0.0068126975092413933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ht="14.25">
      <c r="I201" t="s">
        <v>102</v>
      </c>
      <c r="J201" t="s">
        <v>215</v>
      </c>
      <c r="K201">
        <v>0.010238874663108568</v>
      </c>
      <c r="L201" t="s">
        <v>88</v>
      </c>
      <c r="N201" t="s">
        <v>118</v>
      </c>
      <c r="O201" t="s">
        <v>215</v>
      </c>
      <c r="P201">
        <v>0.0067286308389672648</v>
      </c>
      <c r="Q201" t="s">
        <v>88</v>
      </c>
      <c r="S201" t="s">
        <v>133</v>
      </c>
      <c r="T201" t="s">
        <v>215</v>
      </c>
      <c r="U201">
        <v>0.0066828866109652288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ht="14.25">
      <c r="I202" t="s">
        <v>102</v>
      </c>
      <c r="J202" t="s">
        <v>216</v>
      </c>
      <c r="K202">
        <v>0.0029643030068524376</v>
      </c>
      <c r="L202" t="s">
        <v>88</v>
      </c>
      <c r="N202" t="s">
        <v>118</v>
      </c>
      <c r="O202" t="s">
        <v>216</v>
      </c>
      <c r="P202">
        <v>0.02641044152768016</v>
      </c>
      <c r="Q202" t="s">
        <v>88</v>
      </c>
      <c r="S202" t="s">
        <v>133</v>
      </c>
      <c r="T202" t="s">
        <v>216</v>
      </c>
      <c r="U202">
        <v>0.032884746452590041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ht="14.25">
      <c r="I203" t="s">
        <v>103</v>
      </c>
      <c r="J203" t="s">
        <v>87</v>
      </c>
      <c r="K203">
        <v>0.0095101177234689169</v>
      </c>
      <c r="L203" t="s">
        <v>88</v>
      </c>
      <c r="N203" t="s">
        <v>119</v>
      </c>
      <c r="O203" t="s">
        <v>87</v>
      </c>
      <c r="P203">
        <v>0.023383687306677142</v>
      </c>
      <c r="Q203" t="s">
        <v>88</v>
      </c>
      <c r="S203" t="s">
        <v>134</v>
      </c>
      <c r="T203" t="s">
        <v>87</v>
      </c>
      <c r="U203">
        <v>0.021627076345128445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ht="14.25">
      <c r="I204" t="s">
        <v>103</v>
      </c>
      <c r="J204" t="s">
        <v>89</v>
      </c>
      <c r="K204">
        <v>0.042605317220434119</v>
      </c>
      <c r="L204" t="s">
        <v>88</v>
      </c>
      <c r="N204" t="s">
        <v>119</v>
      </c>
      <c r="O204" t="s">
        <v>89</v>
      </c>
      <c r="P204">
        <v>0.013248783017107378</v>
      </c>
      <c r="Q204" t="s">
        <v>88</v>
      </c>
      <c r="S204" t="s">
        <v>134</v>
      </c>
      <c r="T204" t="s">
        <v>89</v>
      </c>
      <c r="U204">
        <v>0.01079208936100693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ht="14.25">
      <c r="I205" t="s">
        <v>103</v>
      </c>
      <c r="J205" t="s">
        <v>90</v>
      </c>
      <c r="K205">
        <v>0.074066765946739888</v>
      </c>
      <c r="L205" t="s">
        <v>88</v>
      </c>
      <c r="N205" t="s">
        <v>119</v>
      </c>
      <c r="O205" t="s">
        <v>90</v>
      </c>
      <c r="P205">
        <v>0.024684314971702599</v>
      </c>
      <c r="Q205" t="s">
        <v>88</v>
      </c>
      <c r="S205" t="s">
        <v>134</v>
      </c>
      <c r="T205" t="s">
        <v>90</v>
      </c>
      <c r="U205">
        <v>0.021264280617425711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ht="14.25">
      <c r="I206" t="s">
        <v>103</v>
      </c>
      <c r="J206" t="s">
        <v>181</v>
      </c>
      <c r="K206">
        <v>0.0096603050436452776</v>
      </c>
      <c r="L206" t="s">
        <v>88</v>
      </c>
      <c r="N206" t="s">
        <v>119</v>
      </c>
      <c r="O206" t="s">
        <v>181</v>
      </c>
      <c r="P206">
        <v>0.0044851988629479944</v>
      </c>
      <c r="Q206" t="s">
        <v>88</v>
      </c>
      <c r="S206" t="s">
        <v>134</v>
      </c>
      <c r="T206" t="s">
        <v>181</v>
      </c>
      <c r="U206">
        <v>0.0044269843976601359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ht="14.25">
      <c r="I207" t="s">
        <v>103</v>
      </c>
      <c r="J207" t="s">
        <v>182</v>
      </c>
      <c r="K207">
        <v>0.0078752351106753122</v>
      </c>
      <c r="L207" t="s">
        <v>88</v>
      </c>
      <c r="N207" t="s">
        <v>119</v>
      </c>
      <c r="O207" t="s">
        <v>182</v>
      </c>
      <c r="P207">
        <v>0.004238831715113826</v>
      </c>
      <c r="Q207" t="s">
        <v>88</v>
      </c>
      <c r="S207" t="s">
        <v>134</v>
      </c>
      <c r="T207" t="s">
        <v>182</v>
      </c>
      <c r="U207">
        <v>0.004246568387118144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ht="14.25">
      <c r="I208" t="s">
        <v>103</v>
      </c>
      <c r="J208" t="s">
        <v>183</v>
      </c>
      <c r="K208">
        <v>0.0037121104351803933</v>
      </c>
      <c r="L208" t="s">
        <v>88</v>
      </c>
      <c r="N208" t="s">
        <v>119</v>
      </c>
      <c r="O208" t="s">
        <v>183</v>
      </c>
      <c r="P208">
        <v>0.01856277792156677</v>
      </c>
      <c r="Q208" t="s">
        <v>88</v>
      </c>
      <c r="S208" t="s">
        <v>134</v>
      </c>
      <c r="T208" t="s">
        <v>183</v>
      </c>
      <c r="U208">
        <v>0.019523146249040883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ht="14.25">
      <c r="I209" t="s">
        <v>103</v>
      </c>
      <c r="J209" t="s">
        <v>91</v>
      </c>
      <c r="K209">
        <v>0.0053613249508997944</v>
      </c>
      <c r="L209" t="s">
        <v>88</v>
      </c>
      <c r="N209" t="s">
        <v>119</v>
      </c>
      <c r="O209" t="s">
        <v>91</v>
      </c>
      <c r="P209">
        <v>0.012822918741406345</v>
      </c>
      <c r="Q209" t="s">
        <v>88</v>
      </c>
      <c r="S209" t="s">
        <v>134</v>
      </c>
      <c r="T209" t="s">
        <v>91</v>
      </c>
      <c r="U209">
        <v>0.013932097437982616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ht="14.25">
      <c r="I210" t="s">
        <v>103</v>
      </c>
      <c r="J210" t="s">
        <v>92</v>
      </c>
      <c r="K210">
        <v>0.038297859062559864</v>
      </c>
      <c r="L210" t="s">
        <v>88</v>
      </c>
      <c r="N210" t="s">
        <v>119</v>
      </c>
      <c r="O210" t="s">
        <v>92</v>
      </c>
      <c r="P210">
        <v>0.0077167011766884593</v>
      </c>
      <c r="Q210" t="s">
        <v>88</v>
      </c>
      <c r="S210" t="s">
        <v>134</v>
      </c>
      <c r="T210" t="s">
        <v>92</v>
      </c>
      <c r="U210">
        <v>0.0085875707511694783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ht="14.25">
      <c r="I211" t="s">
        <v>103</v>
      </c>
      <c r="J211" t="s">
        <v>93</v>
      </c>
      <c r="K211">
        <v>0.06452898134109393</v>
      </c>
      <c r="L211" t="s">
        <v>88</v>
      </c>
      <c r="N211" t="s">
        <v>119</v>
      </c>
      <c r="O211" t="s">
        <v>93</v>
      </c>
      <c r="P211">
        <v>0.015276298136331173</v>
      </c>
      <c r="Q211" t="s">
        <v>88</v>
      </c>
      <c r="S211" t="s">
        <v>134</v>
      </c>
      <c r="T211" t="s">
        <v>93</v>
      </c>
      <c r="U211">
        <v>0.018661034563919314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ht="14.25">
      <c r="I212" t="s">
        <v>103</v>
      </c>
      <c r="J212" t="s">
        <v>184</v>
      </c>
      <c r="K212">
        <v>0.0092521145792464794</v>
      </c>
      <c r="L212" t="s">
        <v>88</v>
      </c>
      <c r="N212" t="s">
        <v>119</v>
      </c>
      <c r="O212" t="s">
        <v>184</v>
      </c>
      <c r="P212">
        <v>0.0031876116168918652</v>
      </c>
      <c r="Q212" t="s">
        <v>88</v>
      </c>
      <c r="S212" t="s">
        <v>134</v>
      </c>
      <c r="T212" t="s">
        <v>184</v>
      </c>
      <c r="U212">
        <v>0.0040778449176137668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ht="14.25">
      <c r="I213" t="s">
        <v>103</v>
      </c>
      <c r="J213" t="s">
        <v>185</v>
      </c>
      <c r="K213">
        <v>0.0066705349991273526</v>
      </c>
      <c r="L213" t="s">
        <v>88</v>
      </c>
      <c r="N213" t="s">
        <v>119</v>
      </c>
      <c r="O213" t="s">
        <v>185</v>
      </c>
      <c r="P213">
        <v>0.0030927405114769685</v>
      </c>
      <c r="Q213" t="s">
        <v>88</v>
      </c>
      <c r="S213" t="s">
        <v>134</v>
      </c>
      <c r="T213" t="s">
        <v>185</v>
      </c>
      <c r="U213">
        <v>0.0038745773153371667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ht="14.2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0.012524095512485805</v>
      </c>
      <c r="Q214" t="s">
        <v>88</v>
      </c>
      <c r="S214" t="s">
        <v>134</v>
      </c>
      <c r="T214" t="s">
        <v>186</v>
      </c>
      <c r="U214">
        <v>0.014627662402141816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ht="14.25">
      <c r="I215" t="s">
        <v>103</v>
      </c>
      <c r="J215" t="s">
        <v>94</v>
      </c>
      <c r="K215">
        <v>0.0032475431875624706</v>
      </c>
      <c r="L215" t="s">
        <v>88</v>
      </c>
      <c r="N215" t="s">
        <v>119</v>
      </c>
      <c r="O215" t="s">
        <v>94</v>
      </c>
      <c r="P215">
        <v>0.014060479538189407</v>
      </c>
      <c r="Q215" t="s">
        <v>88</v>
      </c>
      <c r="S215" t="s">
        <v>134</v>
      </c>
      <c r="T215" t="s">
        <v>94</v>
      </c>
      <c r="U215">
        <v>0.012123574377033481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ht="14.25">
      <c r="I216" t="s">
        <v>103</v>
      </c>
      <c r="J216" t="s">
        <v>95</v>
      </c>
      <c r="K216">
        <v>0.033710644246441733</v>
      </c>
      <c r="L216" t="s">
        <v>88</v>
      </c>
      <c r="N216" t="s">
        <v>119</v>
      </c>
      <c r="O216" t="s">
        <v>95</v>
      </c>
      <c r="P216">
        <v>0.0094021137554810841</v>
      </c>
      <c r="Q216" t="s">
        <v>88</v>
      </c>
      <c r="S216" t="s">
        <v>134</v>
      </c>
      <c r="T216" t="s">
        <v>95</v>
      </c>
      <c r="U216">
        <v>0.0079581744748911873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ht="14.25">
      <c r="I217" t="s">
        <v>103</v>
      </c>
      <c r="J217" t="s">
        <v>96</v>
      </c>
      <c r="K217">
        <v>0.054092080081807339</v>
      </c>
      <c r="L217" t="s">
        <v>88</v>
      </c>
      <c r="N217" t="s">
        <v>119</v>
      </c>
      <c r="O217" t="s">
        <v>96</v>
      </c>
      <c r="P217">
        <v>0.016993576146493564</v>
      </c>
      <c r="Q217" t="s">
        <v>88</v>
      </c>
      <c r="S217" t="s">
        <v>134</v>
      </c>
      <c r="T217" t="s">
        <v>96</v>
      </c>
      <c r="U217">
        <v>0.01742235782482135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ht="14.25">
      <c r="I218" t="s">
        <v>103</v>
      </c>
      <c r="J218" t="s">
        <v>187</v>
      </c>
      <c r="K218">
        <v>0.0060375766559796771</v>
      </c>
      <c r="L218" t="s">
        <v>88</v>
      </c>
      <c r="N218" t="s">
        <v>119</v>
      </c>
      <c r="O218" t="s">
        <v>187</v>
      </c>
      <c r="P218">
        <v>0.0031059589187836184</v>
      </c>
      <c r="Q218" t="s">
        <v>88</v>
      </c>
      <c r="S218" t="s">
        <v>134</v>
      </c>
      <c r="T218" t="s">
        <v>187</v>
      </c>
      <c r="U218">
        <v>0.0035707361599799582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ht="14.25">
      <c r="I219" t="s">
        <v>103</v>
      </c>
      <c r="J219" t="s">
        <v>188</v>
      </c>
      <c r="K219">
        <v>0.0025506979058109412</v>
      </c>
      <c r="L219" t="s">
        <v>88</v>
      </c>
      <c r="N219" t="s">
        <v>119</v>
      </c>
      <c r="O219" t="s">
        <v>188</v>
      </c>
      <c r="P219">
        <v>0.0029685362002036969</v>
      </c>
      <c r="Q219" t="s">
        <v>88</v>
      </c>
      <c r="S219" t="s">
        <v>134</v>
      </c>
      <c r="T219" t="s">
        <v>188</v>
      </c>
      <c r="U219">
        <v>0.0035032419318293041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ht="14.2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0.012067265788429954</v>
      </c>
      <c r="Q220" t="s">
        <v>88</v>
      </c>
      <c r="S220" t="s">
        <v>134</v>
      </c>
      <c r="T220" t="s">
        <v>189</v>
      </c>
      <c r="U220">
        <v>0.012944594546721823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ht="14.2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0.049189725579923703</v>
      </c>
      <c r="Q221" t="s">
        <v>88</v>
      </c>
      <c r="S221" t="s">
        <v>134</v>
      </c>
      <c r="T221" t="s">
        <v>97</v>
      </c>
      <c r="U221">
        <v>0.048518339688895316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ht="14.25">
      <c r="I222" t="s">
        <v>103</v>
      </c>
      <c r="J222" t="s">
        <v>98</v>
      </c>
      <c r="K222">
        <v>0.035319656661890325</v>
      </c>
      <c r="L222" t="s">
        <v>88</v>
      </c>
      <c r="N222" t="s">
        <v>119</v>
      </c>
      <c r="O222" t="s">
        <v>98</v>
      </c>
      <c r="P222">
        <v>0.024035164558186644</v>
      </c>
      <c r="Q222" t="s">
        <v>88</v>
      </c>
      <c r="S222" t="s">
        <v>134</v>
      </c>
      <c r="T222" t="s">
        <v>98</v>
      </c>
      <c r="U222">
        <v>0.023542230447725177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ht="14.25">
      <c r="I223" t="s">
        <v>103</v>
      </c>
      <c r="J223" t="s">
        <v>99</v>
      </c>
      <c r="K223">
        <v>0.062449707266185921</v>
      </c>
      <c r="L223" t="s">
        <v>88</v>
      </c>
      <c r="N223" t="s">
        <v>119</v>
      </c>
      <c r="O223" t="s">
        <v>99</v>
      </c>
      <c r="P223">
        <v>0.041264262411589862</v>
      </c>
      <c r="Q223" t="s">
        <v>88</v>
      </c>
      <c r="S223" t="s">
        <v>134</v>
      </c>
      <c r="T223" t="s">
        <v>99</v>
      </c>
      <c r="U223">
        <v>0.040311023658764669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ht="14.25">
      <c r="I224" t="s">
        <v>103</v>
      </c>
      <c r="J224" t="s">
        <v>190</v>
      </c>
      <c r="K224">
        <v>0.002702868808296116</v>
      </c>
      <c r="L224" t="s">
        <v>88</v>
      </c>
      <c r="N224" t="s">
        <v>119</v>
      </c>
      <c r="O224" t="s">
        <v>190</v>
      </c>
      <c r="P224">
        <v>0.006491460652569744</v>
      </c>
      <c r="Q224" t="s">
        <v>88</v>
      </c>
      <c r="S224" t="s">
        <v>134</v>
      </c>
      <c r="T224" t="s">
        <v>190</v>
      </c>
      <c r="U224">
        <v>0.0067096023905300521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ht="14.2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0.0064394897012586055</v>
      </c>
      <c r="Q225" t="s">
        <v>88</v>
      </c>
      <c r="S225" t="s">
        <v>134</v>
      </c>
      <c r="T225" t="s">
        <v>191</v>
      </c>
      <c r="U225">
        <v>0.0066338084926887498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ht="14.2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0.033796549580115687</v>
      </c>
      <c r="Q226" t="s">
        <v>88</v>
      </c>
      <c r="S226" t="s">
        <v>134</v>
      </c>
      <c r="T226" t="s">
        <v>192</v>
      </c>
      <c r="U226">
        <v>0.034151972367308707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ht="14.2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0.023802141761981459</v>
      </c>
      <c r="Q227" t="s">
        <v>88</v>
      </c>
      <c r="S227" t="s">
        <v>134</v>
      </c>
      <c r="T227" t="s">
        <v>193</v>
      </c>
      <c r="U227">
        <v>0.025862402418812269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ht="14.25">
      <c r="I228" t="s">
        <v>103</v>
      </c>
      <c r="J228" t="s">
        <v>194</v>
      </c>
      <c r="K228">
        <v>0.0090408175380450352</v>
      </c>
      <c r="L228" t="s">
        <v>88</v>
      </c>
      <c r="N228" t="s">
        <v>119</v>
      </c>
      <c r="O228" t="s">
        <v>194</v>
      </c>
      <c r="P228">
        <v>0.013454242422584188</v>
      </c>
      <c r="Q228" t="s">
        <v>88</v>
      </c>
      <c r="S228" t="s">
        <v>134</v>
      </c>
      <c r="T228" t="s">
        <v>194</v>
      </c>
      <c r="U228">
        <v>0.014733755066782093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ht="14.25">
      <c r="I229" t="s">
        <v>103</v>
      </c>
      <c r="J229" t="s">
        <v>195</v>
      </c>
      <c r="K229">
        <v>0.019962560936667682</v>
      </c>
      <c r="L229" t="s">
        <v>88</v>
      </c>
      <c r="N229" t="s">
        <v>119</v>
      </c>
      <c r="O229" t="s">
        <v>195</v>
      </c>
      <c r="P229">
        <v>0.024095894006332441</v>
      </c>
      <c r="Q229" t="s">
        <v>88</v>
      </c>
      <c r="S229" t="s">
        <v>134</v>
      </c>
      <c r="T229" t="s">
        <v>195</v>
      </c>
      <c r="U229">
        <v>0.025770892594080521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ht="14.2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0.0039387100143004321</v>
      </c>
      <c r="Q230" t="s">
        <v>88</v>
      </c>
      <c r="S230" t="s">
        <v>134</v>
      </c>
      <c r="T230" t="s">
        <v>196</v>
      </c>
      <c r="U230">
        <v>0.0043991013969563193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ht="14.2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0.0039067694662590028</v>
      </c>
      <c r="Q231" t="s">
        <v>88</v>
      </c>
      <c r="S231" t="s">
        <v>134</v>
      </c>
      <c r="T231" t="s">
        <v>197</v>
      </c>
      <c r="U231">
        <v>0.0044758321771525044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ht="14.2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0.018625754195966453</v>
      </c>
      <c r="Q232" t="s">
        <v>88</v>
      </c>
      <c r="S232" t="s">
        <v>134</v>
      </c>
      <c r="T232" t="s">
        <v>198</v>
      </c>
      <c r="U232">
        <v>0.02124316109046679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ht="14.25">
      <c r="I233" t="s">
        <v>103</v>
      </c>
      <c r="J233" t="s">
        <v>199</v>
      </c>
      <c r="K233">
        <v>0.0012546812474976644</v>
      </c>
      <c r="L233" t="s">
        <v>88</v>
      </c>
      <c r="N233" t="s">
        <v>119</v>
      </c>
      <c r="O233" t="s">
        <v>199</v>
      </c>
      <c r="P233">
        <v>0.087252406940059465</v>
      </c>
      <c r="Q233" t="s">
        <v>88</v>
      </c>
      <c r="S233" t="s">
        <v>134</v>
      </c>
      <c r="T233" t="s">
        <v>199</v>
      </c>
      <c r="U233">
        <v>0.088963716403020296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ht="14.25">
      <c r="I234" t="s">
        <v>103</v>
      </c>
      <c r="J234" t="s">
        <v>200</v>
      </c>
      <c r="K234">
        <v>0.049307007248273221</v>
      </c>
      <c r="L234" t="s">
        <v>88</v>
      </c>
      <c r="N234" t="s">
        <v>119</v>
      </c>
      <c r="O234" t="s">
        <v>200</v>
      </c>
      <c r="P234">
        <v>0.047699357538494067</v>
      </c>
      <c r="Q234" t="s">
        <v>88</v>
      </c>
      <c r="S234" t="s">
        <v>134</v>
      </c>
      <c r="T234" t="s">
        <v>200</v>
      </c>
      <c r="U234">
        <v>0.045652677554171864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ht="14.25">
      <c r="I235" t="s">
        <v>103</v>
      </c>
      <c r="J235" t="s">
        <v>201</v>
      </c>
      <c r="K235">
        <v>0.09490847389575674</v>
      </c>
      <c r="L235" t="s">
        <v>88</v>
      </c>
      <c r="N235" t="s">
        <v>119</v>
      </c>
      <c r="O235" t="s">
        <v>201</v>
      </c>
      <c r="P235">
        <v>0.080344333061427672</v>
      </c>
      <c r="Q235" t="s">
        <v>88</v>
      </c>
      <c r="S235" t="s">
        <v>134</v>
      </c>
      <c r="T235" t="s">
        <v>201</v>
      </c>
      <c r="U235">
        <v>0.075917217056808997</v>
      </c>
      <c r="V235" t="s">
        <v>88</v>
      </c>
      <c r="AK235">
        <v>2050</v>
      </c>
      <c r="AL235" t="s">
        <v>76</v>
      </c>
      <c r="AM235">
        <v>0.485</v>
      </c>
      <c r="AN235" t="s">
        <v>172</v>
      </c>
    </row>
    <row r="236" spans="9:40" ht="14.25">
      <c r="I236" t="s">
        <v>103</v>
      </c>
      <c r="J236" t="s">
        <v>202</v>
      </c>
      <c r="K236">
        <v>0.00605103189536763</v>
      </c>
      <c r="L236" t="s">
        <v>88</v>
      </c>
      <c r="N236" t="s">
        <v>119</v>
      </c>
      <c r="O236" t="s">
        <v>202</v>
      </c>
      <c r="P236">
        <v>0.012315182555443529</v>
      </c>
      <c r="Q236" t="s">
        <v>88</v>
      </c>
      <c r="S236" t="s">
        <v>134</v>
      </c>
      <c r="T236" t="s">
        <v>202</v>
      </c>
      <c r="U236">
        <v>0.012133363248081178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ht="14.2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0.012114323871480707</v>
      </c>
      <c r="Q237" t="s">
        <v>88</v>
      </c>
      <c r="S237" t="s">
        <v>134</v>
      </c>
      <c r="T237" t="s">
        <v>203</v>
      </c>
      <c r="U237">
        <v>0.012161784432952495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ht="14.2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0.060060442038396243</v>
      </c>
      <c r="Q238" t="s">
        <v>88</v>
      </c>
      <c r="S238" t="s">
        <v>134</v>
      </c>
      <c r="T238" t="s">
        <v>204</v>
      </c>
      <c r="U238">
        <v>0.062703198806356067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ht="14.25">
      <c r="I239" t="s">
        <v>103</v>
      </c>
      <c r="J239" t="s">
        <v>205</v>
      </c>
      <c r="K239">
        <v>0.0055175389951111868</v>
      </c>
      <c r="L239" t="s">
        <v>88</v>
      </c>
      <c r="N239" t="s">
        <v>119</v>
      </c>
      <c r="O239" t="s">
        <v>205</v>
      </c>
      <c r="P239">
        <v>0.030571391694049415</v>
      </c>
      <c r="Q239" t="s">
        <v>88</v>
      </c>
      <c r="S239" t="s">
        <v>134</v>
      </c>
      <c r="T239" t="s">
        <v>205</v>
      </c>
      <c r="U239">
        <v>0.031921690598580771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ht="14.25">
      <c r="I240" t="s">
        <v>103</v>
      </c>
      <c r="J240" t="s">
        <v>206</v>
      </c>
      <c r="K240">
        <v>0.03135615021538582</v>
      </c>
      <c r="L240" t="s">
        <v>88</v>
      </c>
      <c r="N240" t="s">
        <v>119</v>
      </c>
      <c r="O240" t="s">
        <v>206</v>
      </c>
      <c r="P240">
        <v>0.017393155181707649</v>
      </c>
      <c r="Q240" t="s">
        <v>88</v>
      </c>
      <c r="S240" t="s">
        <v>134</v>
      </c>
      <c r="T240" t="s">
        <v>206</v>
      </c>
      <c r="U240">
        <v>0.017539265989237812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ht="14.25">
      <c r="I241" t="s">
        <v>103</v>
      </c>
      <c r="J241" t="s">
        <v>207</v>
      </c>
      <c r="K241">
        <v>0.05361507652256451</v>
      </c>
      <c r="L241" t="s">
        <v>88</v>
      </c>
      <c r="N241" t="s">
        <v>119</v>
      </c>
      <c r="O241" t="s">
        <v>207</v>
      </c>
      <c r="P241">
        <v>0.030752923087790544</v>
      </c>
      <c r="Q241" t="s">
        <v>88</v>
      </c>
      <c r="S241" t="s">
        <v>134</v>
      </c>
      <c r="T241" t="s">
        <v>207</v>
      </c>
      <c r="U241">
        <v>0.026683429416918338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ht="14.25">
      <c r="I242" t="s">
        <v>103</v>
      </c>
      <c r="J242" t="s">
        <v>208</v>
      </c>
      <c r="K242">
        <v>0.0061000126623460211</v>
      </c>
      <c r="L242" t="s">
        <v>88</v>
      </c>
      <c r="N242" t="s">
        <v>119</v>
      </c>
      <c r="O242" t="s">
        <v>208</v>
      </c>
      <c r="P242">
        <v>0.0050352749601516988</v>
      </c>
      <c r="Q242" t="s">
        <v>88</v>
      </c>
      <c r="S242" t="s">
        <v>134</v>
      </c>
      <c r="T242" t="s">
        <v>208</v>
      </c>
      <c r="U242">
        <v>0.0044916220037344492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22" ht="14.25">
      <c r="I243" t="s">
        <v>103</v>
      </c>
      <c r="J243" t="s">
        <v>209</v>
      </c>
      <c r="K243">
        <v>0.0017899603446025743</v>
      </c>
      <c r="L243" t="s">
        <v>88</v>
      </c>
      <c r="N243" t="s">
        <v>119</v>
      </c>
      <c r="O243" t="s">
        <v>209</v>
      </c>
      <c r="P243">
        <v>0.0048922864564847814</v>
      </c>
      <c r="Q243" t="s">
        <v>88</v>
      </c>
      <c r="S243" t="s">
        <v>134</v>
      </c>
      <c r="T243" t="s">
        <v>209</v>
      </c>
      <c r="U243">
        <v>0.0045450225321030735</v>
      </c>
      <c r="V243" t="s">
        <v>88</v>
      </c>
    </row>
    <row r="244" spans="9:22" ht="14.2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0.023129983130521461</v>
      </c>
      <c r="Q244" t="s">
        <v>88</v>
      </c>
      <c r="S244" t="s">
        <v>134</v>
      </c>
      <c r="T244" t="s">
        <v>210</v>
      </c>
      <c r="U244">
        <v>0.022763854156702752</v>
      </c>
      <c r="V244" t="s">
        <v>88</v>
      </c>
    </row>
    <row r="245" spans="9:22" ht="14.25">
      <c r="I245" t="s">
        <v>103</v>
      </c>
      <c r="J245" t="s">
        <v>211</v>
      </c>
      <c r="K245">
        <v>0.020181483623169745</v>
      </c>
      <c r="L245" t="s">
        <v>88</v>
      </c>
      <c r="N245" t="s">
        <v>119</v>
      </c>
      <c r="O245" t="s">
        <v>211</v>
      </c>
      <c r="P245">
        <v>0.037353684265707301</v>
      </c>
      <c r="Q245" t="s">
        <v>88</v>
      </c>
      <c r="S245" t="s">
        <v>134</v>
      </c>
      <c r="T245" t="s">
        <v>211</v>
      </c>
      <c r="U245">
        <v>0.036351630269662552</v>
      </c>
      <c r="V245" t="s">
        <v>88</v>
      </c>
    </row>
    <row r="246" spans="9:22" ht="14.25">
      <c r="I246" t="s">
        <v>103</v>
      </c>
      <c r="J246" t="s">
        <v>212</v>
      </c>
      <c r="K246">
        <v>0.081305000160776852</v>
      </c>
      <c r="L246" t="s">
        <v>88</v>
      </c>
      <c r="N246" t="s">
        <v>119</v>
      </c>
      <c r="O246" t="s">
        <v>212</v>
      </c>
      <c r="P246">
        <v>0.020906945005780119</v>
      </c>
      <c r="Q246" t="s">
        <v>88</v>
      </c>
      <c r="S246" t="s">
        <v>134</v>
      </c>
      <c r="T246" t="s">
        <v>212</v>
      </c>
      <c r="U246">
        <v>0.019642150113168604</v>
      </c>
      <c r="V246" t="s">
        <v>88</v>
      </c>
    </row>
    <row r="247" spans="9:22" ht="14.2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0.037742480797463701</v>
      </c>
      <c r="Q247" t="s">
        <v>88</v>
      </c>
      <c r="S247" t="s">
        <v>134</v>
      </c>
      <c r="T247" t="s">
        <v>213</v>
      </c>
      <c r="U247">
        <v>0.035870189377399025</v>
      </c>
      <c r="V247" t="s">
        <v>88</v>
      </c>
    </row>
    <row r="248" spans="9:22" ht="14.25">
      <c r="I248" t="s">
        <v>103</v>
      </c>
      <c r="J248" t="s">
        <v>214</v>
      </c>
      <c r="K248">
        <v>0.014726550693058728</v>
      </c>
      <c r="L248" t="s">
        <v>88</v>
      </c>
      <c r="N248" t="s">
        <v>119</v>
      </c>
      <c r="O248" t="s">
        <v>214</v>
      </c>
      <c r="P248">
        <v>0.0066641666611696147</v>
      </c>
      <c r="Q248" t="s">
        <v>88</v>
      </c>
      <c r="S248" t="s">
        <v>134</v>
      </c>
      <c r="T248" t="s">
        <v>214</v>
      </c>
      <c r="U248">
        <v>0.0069827336863397919</v>
      </c>
      <c r="V248" t="s">
        <v>88</v>
      </c>
    </row>
    <row r="249" spans="9:22" ht="14.25">
      <c r="I249" t="s">
        <v>103</v>
      </c>
      <c r="J249" t="s">
        <v>215</v>
      </c>
      <c r="K249">
        <v>0.0099236236333029217</v>
      </c>
      <c r="L249" t="s">
        <v>88</v>
      </c>
      <c r="N249" t="s">
        <v>119</v>
      </c>
      <c r="O249" t="s">
        <v>215</v>
      </c>
      <c r="P249">
        <v>0.0062477625118025409</v>
      </c>
      <c r="Q249" t="s">
        <v>88</v>
      </c>
      <c r="S249" t="s">
        <v>134</v>
      </c>
      <c r="T249" t="s">
        <v>215</v>
      </c>
      <c r="U249">
        <v>0.0066335175137877981</v>
      </c>
      <c r="V249" t="s">
        <v>88</v>
      </c>
    </row>
    <row r="250" spans="9:22" ht="14.25">
      <c r="I250" t="s">
        <v>103</v>
      </c>
      <c r="J250" t="s">
        <v>216</v>
      </c>
      <c r="K250">
        <v>0.001577498886878863</v>
      </c>
      <c r="L250" t="s">
        <v>88</v>
      </c>
      <c r="N250" t="s">
        <v>119</v>
      </c>
      <c r="O250" t="s">
        <v>216</v>
      </c>
      <c r="P250">
        <v>0.028661846053025002</v>
      </c>
      <c r="Q250" t="s">
        <v>88</v>
      </c>
      <c r="S250" t="s">
        <v>134</v>
      </c>
      <c r="T250" t="s">
        <v>216</v>
      </c>
      <c r="U250">
        <v>0.02952720298999149</v>
      </c>
      <c r="V250" t="s">
        <v>88</v>
      </c>
    </row>
    <row r="251" spans="9:22" ht="14.25">
      <c r="I251" t="s">
        <v>104</v>
      </c>
      <c r="J251" t="s">
        <v>87</v>
      </c>
      <c r="K251">
        <v>0.010211278190469646</v>
      </c>
      <c r="L251" t="s">
        <v>88</v>
      </c>
      <c r="N251" t="s">
        <v>120</v>
      </c>
      <c r="O251" t="s">
        <v>87</v>
      </c>
      <c r="P251">
        <v>0.019741769052151765</v>
      </c>
      <c r="Q251" t="s">
        <v>88</v>
      </c>
      <c r="S251" t="s">
        <v>135</v>
      </c>
      <c r="T251" t="s">
        <v>87</v>
      </c>
      <c r="U251">
        <v>0.020715861096833967</v>
      </c>
      <c r="V251" t="s">
        <v>88</v>
      </c>
    </row>
    <row r="252" spans="9:22" ht="14.25">
      <c r="I252" t="s">
        <v>104</v>
      </c>
      <c r="J252" t="s">
        <v>89</v>
      </c>
      <c r="K252">
        <v>0.044155683513636003</v>
      </c>
      <c r="L252" t="s">
        <v>88</v>
      </c>
      <c r="N252" t="s">
        <v>120</v>
      </c>
      <c r="O252" t="s">
        <v>89</v>
      </c>
      <c r="P252">
        <v>0.015228565049321692</v>
      </c>
      <c r="Q252" t="s">
        <v>88</v>
      </c>
      <c r="S252" t="s">
        <v>135</v>
      </c>
      <c r="T252" t="s">
        <v>89</v>
      </c>
      <c r="U252">
        <v>0.010772884083674071</v>
      </c>
      <c r="V252" t="s">
        <v>88</v>
      </c>
    </row>
    <row r="253" spans="9:22" ht="14.25">
      <c r="I253" t="s">
        <v>104</v>
      </c>
      <c r="J253" t="s">
        <v>90</v>
      </c>
      <c r="K253">
        <v>0.074869383510304158</v>
      </c>
      <c r="L253" t="s">
        <v>88</v>
      </c>
      <c r="N253" t="s">
        <v>120</v>
      </c>
      <c r="O253" t="s">
        <v>90</v>
      </c>
      <c r="P253">
        <v>0.043902302719009655</v>
      </c>
      <c r="Q253" t="s">
        <v>88</v>
      </c>
      <c r="S253" t="s">
        <v>135</v>
      </c>
      <c r="T253" t="s">
        <v>90</v>
      </c>
      <c r="U253">
        <v>0.017616027228734503</v>
      </c>
      <c r="V253" t="s">
        <v>88</v>
      </c>
    </row>
    <row r="254" spans="9:22" ht="14.25">
      <c r="I254" t="s">
        <v>104</v>
      </c>
      <c r="J254" t="s">
        <v>181</v>
      </c>
      <c r="K254">
        <v>0.010141383277617344</v>
      </c>
      <c r="L254" t="s">
        <v>88</v>
      </c>
      <c r="N254" t="s">
        <v>120</v>
      </c>
      <c r="O254" t="s">
        <v>181</v>
      </c>
      <c r="P254">
        <v>0.0062597532319200238</v>
      </c>
      <c r="Q254" t="s">
        <v>88</v>
      </c>
      <c r="S254" t="s">
        <v>135</v>
      </c>
      <c r="T254" t="s">
        <v>181</v>
      </c>
      <c r="U254">
        <v>0.0035420357895074401</v>
      </c>
      <c r="V254" t="s">
        <v>88</v>
      </c>
    </row>
    <row r="255" spans="9:22" ht="14.25">
      <c r="I255" t="s">
        <v>104</v>
      </c>
      <c r="J255" t="s">
        <v>182</v>
      </c>
      <c r="K255">
        <v>0.0077762843675890734</v>
      </c>
      <c r="L255" t="s">
        <v>88</v>
      </c>
      <c r="N255" t="s">
        <v>120</v>
      </c>
      <c r="O255" t="s">
        <v>182</v>
      </c>
      <c r="P255">
        <v>0.0054836596558104876</v>
      </c>
      <c r="Q255" t="s">
        <v>88</v>
      </c>
      <c r="S255" t="s">
        <v>135</v>
      </c>
      <c r="T255" t="s">
        <v>182</v>
      </c>
      <c r="U255">
        <v>0.0036897266349954793</v>
      </c>
      <c r="V255" t="s">
        <v>88</v>
      </c>
    </row>
    <row r="256" spans="9:22" ht="14.25">
      <c r="I256" t="s">
        <v>104</v>
      </c>
      <c r="J256" t="s">
        <v>183</v>
      </c>
      <c r="K256">
        <v>0.0041283611276079924</v>
      </c>
      <c r="L256" t="s">
        <v>88</v>
      </c>
      <c r="N256" t="s">
        <v>120</v>
      </c>
      <c r="O256" t="s">
        <v>183</v>
      </c>
      <c r="P256">
        <v>0.020371960429152635</v>
      </c>
      <c r="Q256" t="s">
        <v>88</v>
      </c>
      <c r="S256" t="s">
        <v>135</v>
      </c>
      <c r="T256" t="s">
        <v>183</v>
      </c>
      <c r="U256">
        <v>0.01899206222897919</v>
      </c>
      <c r="V256" t="s">
        <v>88</v>
      </c>
    </row>
    <row r="257" spans="9:22" ht="14.25">
      <c r="I257" t="s">
        <v>104</v>
      </c>
      <c r="J257" t="s">
        <v>91</v>
      </c>
      <c r="K257">
        <v>0.0052980520208854784</v>
      </c>
      <c r="L257" t="s">
        <v>88</v>
      </c>
      <c r="N257" t="s">
        <v>120</v>
      </c>
      <c r="O257" t="s">
        <v>91</v>
      </c>
      <c r="P257">
        <v>0.0066762059204228839</v>
      </c>
      <c r="Q257" t="s">
        <v>88</v>
      </c>
      <c r="S257" t="s">
        <v>135</v>
      </c>
      <c r="T257" t="s">
        <v>91</v>
      </c>
      <c r="U257">
        <v>0.017180748679325026</v>
      </c>
      <c r="V257" t="s">
        <v>88</v>
      </c>
    </row>
    <row r="258" spans="9:22" ht="14.25">
      <c r="I258" t="s">
        <v>104</v>
      </c>
      <c r="J258" t="s">
        <v>92</v>
      </c>
      <c r="K258">
        <v>0.037322135540583556</v>
      </c>
      <c r="L258" t="s">
        <v>88</v>
      </c>
      <c r="N258" t="s">
        <v>120</v>
      </c>
      <c r="O258" t="s">
        <v>92</v>
      </c>
      <c r="P258">
        <v>0.0058290615606294534</v>
      </c>
      <c r="Q258" t="s">
        <v>88</v>
      </c>
      <c r="S258" t="s">
        <v>135</v>
      </c>
      <c r="T258" t="s">
        <v>92</v>
      </c>
      <c r="U258">
        <v>0.0093412003904414995</v>
      </c>
      <c r="V258" t="s">
        <v>88</v>
      </c>
    </row>
    <row r="259" spans="9:22" ht="14.25">
      <c r="I259" t="s">
        <v>104</v>
      </c>
      <c r="J259" t="s">
        <v>93</v>
      </c>
      <c r="K259">
        <v>0.064213454066030698</v>
      </c>
      <c r="L259" t="s">
        <v>88</v>
      </c>
      <c r="N259" t="s">
        <v>120</v>
      </c>
      <c r="O259" t="s">
        <v>93</v>
      </c>
      <c r="P259">
        <v>0.014993770650169862</v>
      </c>
      <c r="Q259" t="s">
        <v>88</v>
      </c>
      <c r="S259" t="s">
        <v>135</v>
      </c>
      <c r="T259" t="s">
        <v>93</v>
      </c>
      <c r="U259">
        <v>0.01583361506294553</v>
      </c>
      <c r="V259" t="s">
        <v>88</v>
      </c>
    </row>
    <row r="260" spans="9:22" ht="14.25">
      <c r="I260" t="s">
        <v>104</v>
      </c>
      <c r="J260" t="s">
        <v>184</v>
      </c>
      <c r="K260">
        <v>0.0094677502968843214</v>
      </c>
      <c r="L260" t="s">
        <v>88</v>
      </c>
      <c r="N260" t="s">
        <v>120</v>
      </c>
      <c r="O260" t="s">
        <v>184</v>
      </c>
      <c r="P260">
        <v>0.0023217751114050578</v>
      </c>
      <c r="Q260" t="s">
        <v>88</v>
      </c>
      <c r="S260" t="s">
        <v>135</v>
      </c>
      <c r="T260" t="s">
        <v>184</v>
      </c>
      <c r="U260">
        <v>0.0032224295241393402</v>
      </c>
      <c r="V260" t="s">
        <v>88</v>
      </c>
    </row>
    <row r="261" spans="9:22" ht="14.25">
      <c r="I261" t="s">
        <v>104</v>
      </c>
      <c r="J261" t="s">
        <v>185</v>
      </c>
      <c r="K261">
        <v>0.0067116157450215434</v>
      </c>
      <c r="L261" t="s">
        <v>88</v>
      </c>
      <c r="N261" t="s">
        <v>120</v>
      </c>
      <c r="O261" t="s">
        <v>185</v>
      </c>
      <c r="P261">
        <v>0.0019348997697770278</v>
      </c>
      <c r="Q261" t="s">
        <v>88</v>
      </c>
      <c r="S261" t="s">
        <v>135</v>
      </c>
      <c r="T261" t="s">
        <v>185</v>
      </c>
      <c r="U261">
        <v>0.0032729684367624494</v>
      </c>
      <c r="V261" t="s">
        <v>88</v>
      </c>
    </row>
    <row r="262" spans="9:22" ht="14.25">
      <c r="I262" t="s">
        <v>104</v>
      </c>
      <c r="J262" t="s">
        <v>186</v>
      </c>
      <c r="K262">
        <v>7.2629902051767604E-05</v>
      </c>
      <c r="L262" t="s">
        <v>88</v>
      </c>
      <c r="N262" t="s">
        <v>120</v>
      </c>
      <c r="O262" t="s">
        <v>186</v>
      </c>
      <c r="P262">
        <v>0.0062594397658283559</v>
      </c>
      <c r="Q262" t="s">
        <v>88</v>
      </c>
      <c r="S262" t="s">
        <v>135</v>
      </c>
      <c r="T262" t="s">
        <v>186</v>
      </c>
      <c r="U262">
        <v>0.014669656815972123</v>
      </c>
      <c r="V262" t="s">
        <v>88</v>
      </c>
    </row>
    <row r="263" spans="9:22" ht="14.25">
      <c r="I263" t="s">
        <v>104</v>
      </c>
      <c r="J263" t="s">
        <v>94</v>
      </c>
      <c r="K263">
        <v>0.0030487842387893153</v>
      </c>
      <c r="L263" t="s">
        <v>88</v>
      </c>
      <c r="N263" t="s">
        <v>120</v>
      </c>
      <c r="O263" t="s">
        <v>94</v>
      </c>
      <c r="P263">
        <v>0.011111166710040041</v>
      </c>
      <c r="Q263" t="s">
        <v>88</v>
      </c>
      <c r="S263" t="s">
        <v>135</v>
      </c>
      <c r="T263" t="s">
        <v>94</v>
      </c>
      <c r="U263">
        <v>0.015097457144227843</v>
      </c>
      <c r="V263" t="s">
        <v>88</v>
      </c>
    </row>
    <row r="264" spans="9:22" ht="14.25">
      <c r="I264" t="s">
        <v>104</v>
      </c>
      <c r="J264" t="s">
        <v>95</v>
      </c>
      <c r="K264">
        <v>0.033519197439220966</v>
      </c>
      <c r="L264" t="s">
        <v>88</v>
      </c>
      <c r="N264" t="s">
        <v>120</v>
      </c>
      <c r="O264" t="s">
        <v>95</v>
      </c>
      <c r="P264">
        <v>0.006211505011855167</v>
      </c>
      <c r="Q264" t="s">
        <v>88</v>
      </c>
      <c r="S264" t="s">
        <v>135</v>
      </c>
      <c r="T264" t="s">
        <v>95</v>
      </c>
      <c r="U264">
        <v>0.0085667466939698591</v>
      </c>
      <c r="V264" t="s">
        <v>88</v>
      </c>
    </row>
    <row r="265" spans="9:22" ht="14.25">
      <c r="I265" t="s">
        <v>104</v>
      </c>
      <c r="J265" t="s">
        <v>96</v>
      </c>
      <c r="K265">
        <v>0.056563032763629242</v>
      </c>
      <c r="L265" t="s">
        <v>88</v>
      </c>
      <c r="N265" t="s">
        <v>120</v>
      </c>
      <c r="O265" t="s">
        <v>96</v>
      </c>
      <c r="P265">
        <v>0.016720221411525384</v>
      </c>
      <c r="Q265" t="s">
        <v>88</v>
      </c>
      <c r="S265" t="s">
        <v>135</v>
      </c>
      <c r="T265" t="s">
        <v>96</v>
      </c>
      <c r="U265">
        <v>0.015400714563188674</v>
      </c>
      <c r="V265" t="s">
        <v>88</v>
      </c>
    </row>
    <row r="266" spans="9:22" ht="14.25">
      <c r="I266" t="s">
        <v>104</v>
      </c>
      <c r="J266" t="s">
        <v>187</v>
      </c>
      <c r="K266">
        <v>0.0069538362125866216</v>
      </c>
      <c r="L266" t="s">
        <v>88</v>
      </c>
      <c r="N266" t="s">
        <v>120</v>
      </c>
      <c r="O266" t="s">
        <v>187</v>
      </c>
      <c r="P266">
        <v>0.0022653375875328449</v>
      </c>
      <c r="Q266" t="s">
        <v>88</v>
      </c>
      <c r="S266" t="s">
        <v>135</v>
      </c>
      <c r="T266" t="s">
        <v>187</v>
      </c>
      <c r="U266">
        <v>0.0032540632317494332</v>
      </c>
      <c r="V266" t="s">
        <v>88</v>
      </c>
    </row>
    <row r="267" spans="9:22" ht="14.25">
      <c r="I267" t="s">
        <v>104</v>
      </c>
      <c r="J267" t="s">
        <v>188</v>
      </c>
      <c r="K267">
        <v>0.0028806826473205044</v>
      </c>
      <c r="L267" t="s">
        <v>88</v>
      </c>
      <c r="N267" t="s">
        <v>120</v>
      </c>
      <c r="O267" t="s">
        <v>188</v>
      </c>
      <c r="P267">
        <v>0.0018620031613444236</v>
      </c>
      <c r="Q267" t="s">
        <v>88</v>
      </c>
      <c r="S267" t="s">
        <v>135</v>
      </c>
      <c r="T267" t="s">
        <v>188</v>
      </c>
      <c r="U267">
        <v>0.0033623040950079897</v>
      </c>
      <c r="V267" t="s">
        <v>88</v>
      </c>
    </row>
    <row r="268" spans="9:22" ht="14.2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0.0071086165333800874</v>
      </c>
      <c r="Q268" t="s">
        <v>88</v>
      </c>
      <c r="S268" t="s">
        <v>135</v>
      </c>
      <c r="T268" t="s">
        <v>189</v>
      </c>
      <c r="U268">
        <v>0.014759231539622657</v>
      </c>
      <c r="V268" t="s">
        <v>88</v>
      </c>
    </row>
    <row r="269" spans="9:22" ht="14.2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0.043919511029525654</v>
      </c>
      <c r="Q269" t="s">
        <v>88</v>
      </c>
      <c r="S269" t="s">
        <v>135</v>
      </c>
      <c r="T269" t="s">
        <v>97</v>
      </c>
      <c r="U269">
        <v>0.051379174945182793</v>
      </c>
      <c r="V269" t="s">
        <v>88</v>
      </c>
    </row>
    <row r="270" spans="9:22" ht="14.25">
      <c r="I270" t="s">
        <v>104</v>
      </c>
      <c r="J270" t="s">
        <v>98</v>
      </c>
      <c r="K270">
        <v>0.034653975429448099</v>
      </c>
      <c r="L270" t="s">
        <v>88</v>
      </c>
      <c r="N270" t="s">
        <v>120</v>
      </c>
      <c r="O270" t="s">
        <v>98</v>
      </c>
      <c r="P270">
        <v>0.020920008581771805</v>
      </c>
      <c r="Q270" t="s">
        <v>88</v>
      </c>
      <c r="S270" t="s">
        <v>135</v>
      </c>
      <c r="T270" t="s">
        <v>98</v>
      </c>
      <c r="U270">
        <v>0.027365521741011617</v>
      </c>
      <c r="V270" t="s">
        <v>88</v>
      </c>
    </row>
    <row r="271" spans="9:22" ht="14.25">
      <c r="I271" t="s">
        <v>104</v>
      </c>
      <c r="J271" t="s">
        <v>99</v>
      </c>
      <c r="K271">
        <v>0.060415898813314134</v>
      </c>
      <c r="L271" t="s">
        <v>88</v>
      </c>
      <c r="N271" t="s">
        <v>120</v>
      </c>
      <c r="O271" t="s">
        <v>99</v>
      </c>
      <c r="P271">
        <v>0.048952972307437614</v>
      </c>
      <c r="Q271" t="s">
        <v>88</v>
      </c>
      <c r="S271" t="s">
        <v>135</v>
      </c>
      <c r="T271" t="s">
        <v>99</v>
      </c>
      <c r="U271">
        <v>0.043217700220201827</v>
      </c>
      <c r="V271" t="s">
        <v>88</v>
      </c>
    </row>
    <row r="272" spans="9:22" ht="14.25">
      <c r="I272" t="s">
        <v>104</v>
      </c>
      <c r="J272" t="s">
        <v>190</v>
      </c>
      <c r="K272">
        <v>0.0024927121982627398</v>
      </c>
      <c r="L272" t="s">
        <v>88</v>
      </c>
      <c r="N272" t="s">
        <v>120</v>
      </c>
      <c r="O272" t="s">
        <v>190</v>
      </c>
      <c r="P272">
        <v>0.0075413793605986924</v>
      </c>
      <c r="Q272" t="s">
        <v>88</v>
      </c>
      <c r="S272" t="s">
        <v>135</v>
      </c>
      <c r="T272" t="s">
        <v>190</v>
      </c>
      <c r="U272">
        <v>0.007373274025704017</v>
      </c>
      <c r="V272" t="s">
        <v>88</v>
      </c>
    </row>
    <row r="273" spans="9:22" ht="14.2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0.0069535253165741266</v>
      </c>
      <c r="Q273" t="s">
        <v>88</v>
      </c>
      <c r="S273" t="s">
        <v>135</v>
      </c>
      <c r="T273" t="s">
        <v>191</v>
      </c>
      <c r="U273">
        <v>0.0074292784552217987</v>
      </c>
      <c r="V273" t="s">
        <v>88</v>
      </c>
    </row>
    <row r="274" spans="9:22" ht="14.2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0.031210330802746659</v>
      </c>
      <c r="Q274" t="s">
        <v>88</v>
      </c>
      <c r="S274" t="s">
        <v>135</v>
      </c>
      <c r="T274" t="s">
        <v>192</v>
      </c>
      <c r="U274">
        <v>0.038281238991089733</v>
      </c>
      <c r="V274" t="s">
        <v>88</v>
      </c>
    </row>
    <row r="275" spans="9:22" ht="14.2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0.022554776102801065</v>
      </c>
      <c r="Q275" t="s">
        <v>88</v>
      </c>
      <c r="S275" t="s">
        <v>135</v>
      </c>
      <c r="T275" t="s">
        <v>193</v>
      </c>
      <c r="U275">
        <v>0.028636925012728777</v>
      </c>
      <c r="V275" t="s">
        <v>88</v>
      </c>
    </row>
    <row r="276" spans="9:22" ht="14.25">
      <c r="I276" t="s">
        <v>104</v>
      </c>
      <c r="J276" t="s">
        <v>194</v>
      </c>
      <c r="K276">
        <v>0.0076005955892487747</v>
      </c>
      <c r="L276" t="s">
        <v>88</v>
      </c>
      <c r="N276" t="s">
        <v>120</v>
      </c>
      <c r="O276" t="s">
        <v>194</v>
      </c>
      <c r="P276">
        <v>0.013951349259243446</v>
      </c>
      <c r="Q276" t="s">
        <v>88</v>
      </c>
      <c r="S276" t="s">
        <v>135</v>
      </c>
      <c r="T276" t="s">
        <v>194</v>
      </c>
      <c r="U276">
        <v>0.016318610484094893</v>
      </c>
      <c r="V276" t="s">
        <v>88</v>
      </c>
    </row>
    <row r="277" spans="9:22" ht="14.25">
      <c r="I277" t="s">
        <v>104</v>
      </c>
      <c r="J277" t="s">
        <v>195</v>
      </c>
      <c r="K277">
        <v>0.017958311822763487</v>
      </c>
      <c r="L277" t="s">
        <v>88</v>
      </c>
      <c r="N277" t="s">
        <v>120</v>
      </c>
      <c r="O277" t="s">
        <v>195</v>
      </c>
      <c r="P277">
        <v>0.017950900716346887</v>
      </c>
      <c r="Q277" t="s">
        <v>88</v>
      </c>
      <c r="S277" t="s">
        <v>135</v>
      </c>
      <c r="T277" t="s">
        <v>195</v>
      </c>
      <c r="U277">
        <v>0.024573040868900504</v>
      </c>
      <c r="V277" t="s">
        <v>88</v>
      </c>
    </row>
    <row r="278" spans="9:22" ht="14.2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0.0026523039913211649</v>
      </c>
      <c r="Q278" t="s">
        <v>88</v>
      </c>
      <c r="S278" t="s">
        <v>135</v>
      </c>
      <c r="T278" t="s">
        <v>196</v>
      </c>
      <c r="U278">
        <v>0.0042245064746677238</v>
      </c>
      <c r="V278" t="s">
        <v>88</v>
      </c>
    </row>
    <row r="279" spans="9:22" ht="14.2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0.0025669252905251359</v>
      </c>
      <c r="Q279" t="s">
        <v>88</v>
      </c>
      <c r="S279" t="s">
        <v>135</v>
      </c>
      <c r="T279" t="s">
        <v>197</v>
      </c>
      <c r="U279">
        <v>0.0041973844689553418</v>
      </c>
      <c r="V279" t="s">
        <v>88</v>
      </c>
    </row>
    <row r="280" spans="9:22" ht="14.2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0.013656300954214929</v>
      </c>
      <c r="Q280" t="s">
        <v>88</v>
      </c>
      <c r="S280" t="s">
        <v>135</v>
      </c>
      <c r="T280" t="s">
        <v>198</v>
      </c>
      <c r="U280">
        <v>0.020753529888391731</v>
      </c>
      <c r="V280" t="s">
        <v>88</v>
      </c>
    </row>
    <row r="281" spans="9:22" ht="14.25">
      <c r="I281" t="s">
        <v>104</v>
      </c>
      <c r="J281" t="s">
        <v>199</v>
      </c>
      <c r="K281">
        <v>0.001280861029964913</v>
      </c>
      <c r="L281" t="s">
        <v>88</v>
      </c>
      <c r="N281" t="s">
        <v>120</v>
      </c>
      <c r="O281" t="s">
        <v>199</v>
      </c>
      <c r="P281">
        <v>0.075316907272894029</v>
      </c>
      <c r="Q281" t="s">
        <v>88</v>
      </c>
      <c r="S281" t="s">
        <v>135</v>
      </c>
      <c r="T281" t="s">
        <v>199</v>
      </c>
      <c r="U281">
        <v>0.084253619238344957</v>
      </c>
      <c r="V281" t="s">
        <v>88</v>
      </c>
    </row>
    <row r="282" spans="9:22" ht="14.25">
      <c r="I282" t="s">
        <v>104</v>
      </c>
      <c r="J282" t="s">
        <v>200</v>
      </c>
      <c r="K282">
        <v>0.050368057406216554</v>
      </c>
      <c r="L282" t="s">
        <v>88</v>
      </c>
      <c r="N282" t="s">
        <v>120</v>
      </c>
      <c r="O282" t="s">
        <v>200</v>
      </c>
      <c r="P282">
        <v>0.038401987470134645</v>
      </c>
      <c r="Q282" t="s">
        <v>88</v>
      </c>
      <c r="S282" t="s">
        <v>135</v>
      </c>
      <c r="T282" t="s">
        <v>200</v>
      </c>
      <c r="U282">
        <v>0.04835082181540979</v>
      </c>
      <c r="V282" t="s">
        <v>88</v>
      </c>
    </row>
    <row r="283" spans="9:22" ht="14.25">
      <c r="I283" t="s">
        <v>104</v>
      </c>
      <c r="J283" t="s">
        <v>201</v>
      </c>
      <c r="K283">
        <v>0.096429723884530263</v>
      </c>
      <c r="L283" t="s">
        <v>88</v>
      </c>
      <c r="N283" t="s">
        <v>120</v>
      </c>
      <c r="O283" t="s">
        <v>201</v>
      </c>
      <c r="P283">
        <v>0.081322665515273507</v>
      </c>
      <c r="Q283" t="s">
        <v>88</v>
      </c>
      <c r="S283" t="s">
        <v>135</v>
      </c>
      <c r="T283" t="s">
        <v>201</v>
      </c>
      <c r="U283">
        <v>0.069235055672531853</v>
      </c>
      <c r="V283" t="s">
        <v>88</v>
      </c>
    </row>
    <row r="284" spans="9:22" ht="14.25">
      <c r="I284" t="s">
        <v>104</v>
      </c>
      <c r="J284" t="s">
        <v>202</v>
      </c>
      <c r="K284">
        <v>0.0063788753602831436</v>
      </c>
      <c r="L284" t="s">
        <v>88</v>
      </c>
      <c r="N284" t="s">
        <v>120</v>
      </c>
      <c r="O284" t="s">
        <v>202</v>
      </c>
      <c r="P284">
        <v>0.012037745057790263</v>
      </c>
      <c r="Q284" t="s">
        <v>88</v>
      </c>
      <c r="S284" t="s">
        <v>135</v>
      </c>
      <c r="T284" t="s">
        <v>202</v>
      </c>
      <c r="U284">
        <v>0.010897152550447752</v>
      </c>
      <c r="V284" t="s">
        <v>88</v>
      </c>
    </row>
    <row r="285" spans="9:22" ht="14.2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0.0115044604818098</v>
      </c>
      <c r="Q285" t="s">
        <v>88</v>
      </c>
      <c r="S285" t="s">
        <v>135</v>
      </c>
      <c r="T285" t="s">
        <v>203</v>
      </c>
      <c r="U285">
        <v>0.010948332604135294</v>
      </c>
      <c r="V285" t="s">
        <v>88</v>
      </c>
    </row>
    <row r="286" spans="9:22" ht="14.2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0.058881189210960728</v>
      </c>
      <c r="Q286" t="s">
        <v>88</v>
      </c>
      <c r="S286" t="s">
        <v>135</v>
      </c>
      <c r="T286" t="s">
        <v>204</v>
      </c>
      <c r="U286">
        <v>0.057896424948563542</v>
      </c>
      <c r="V286" t="s">
        <v>88</v>
      </c>
    </row>
    <row r="287" spans="9:22" ht="14.25">
      <c r="I287" t="s">
        <v>104</v>
      </c>
      <c r="J287" t="s">
        <v>205</v>
      </c>
      <c r="K287">
        <v>0.0053878455654019792</v>
      </c>
      <c r="L287" t="s">
        <v>88</v>
      </c>
      <c r="N287" t="s">
        <v>120</v>
      </c>
      <c r="O287" t="s">
        <v>205</v>
      </c>
      <c r="P287">
        <v>0.040877210116652324</v>
      </c>
      <c r="Q287" t="s">
        <v>88</v>
      </c>
      <c r="S287" t="s">
        <v>135</v>
      </c>
      <c r="T287" t="s">
        <v>205</v>
      </c>
      <c r="U287">
        <v>0.028220833266294296</v>
      </c>
      <c r="V287" t="s">
        <v>88</v>
      </c>
    </row>
    <row r="288" spans="9:22" ht="14.25">
      <c r="I288" t="s">
        <v>104</v>
      </c>
      <c r="J288" t="s">
        <v>206</v>
      </c>
      <c r="K288">
        <v>0.030957510673183589</v>
      </c>
      <c r="L288" t="s">
        <v>88</v>
      </c>
      <c r="N288" t="s">
        <v>120</v>
      </c>
      <c r="O288" t="s">
        <v>206</v>
      </c>
      <c r="P288">
        <v>0.024728326447725529</v>
      </c>
      <c r="Q288" t="s">
        <v>88</v>
      </c>
      <c r="S288" t="s">
        <v>135</v>
      </c>
      <c r="T288" t="s">
        <v>206</v>
      </c>
      <c r="U288">
        <v>0.014672608821571717</v>
      </c>
      <c r="V288" t="s">
        <v>88</v>
      </c>
    </row>
    <row r="289" spans="9:22" ht="14.25">
      <c r="I289" t="s">
        <v>104</v>
      </c>
      <c r="J289" t="s">
        <v>207</v>
      </c>
      <c r="K289">
        <v>0.053288328373863866</v>
      </c>
      <c r="L289" t="s">
        <v>88</v>
      </c>
      <c r="N289" t="s">
        <v>120</v>
      </c>
      <c r="O289" t="s">
        <v>207</v>
      </c>
      <c r="P289">
        <v>0.062195559130510197</v>
      </c>
      <c r="Q289" t="s">
        <v>88</v>
      </c>
      <c r="S289" t="s">
        <v>135</v>
      </c>
      <c r="T289" t="s">
        <v>207</v>
      </c>
      <c r="U289">
        <v>0.01891938863931748</v>
      </c>
      <c r="V289" t="s">
        <v>88</v>
      </c>
    </row>
    <row r="290" spans="9:22" ht="14.25">
      <c r="I290" t="s">
        <v>104</v>
      </c>
      <c r="J290" t="s">
        <v>208</v>
      </c>
      <c r="K290">
        <v>0.0059211218804853223</v>
      </c>
      <c r="L290" t="s">
        <v>88</v>
      </c>
      <c r="N290" t="s">
        <v>120</v>
      </c>
      <c r="O290" t="s">
        <v>208</v>
      </c>
      <c r="P290">
        <v>0.0082395655768635195</v>
      </c>
      <c r="Q290" t="s">
        <v>88</v>
      </c>
      <c r="S290" t="s">
        <v>135</v>
      </c>
      <c r="T290" t="s">
        <v>208</v>
      </c>
      <c r="U290">
        <v>0.0034088892900252851</v>
      </c>
      <c r="V290" t="s">
        <v>88</v>
      </c>
    </row>
    <row r="291" spans="9:22" ht="14.25">
      <c r="I291" t="s">
        <v>104</v>
      </c>
      <c r="J291" t="s">
        <v>209</v>
      </c>
      <c r="K291">
        <v>0.0022550563160178031</v>
      </c>
      <c r="L291" t="s">
        <v>88</v>
      </c>
      <c r="N291" t="s">
        <v>120</v>
      </c>
      <c r="O291" t="s">
        <v>209</v>
      </c>
      <c r="P291">
        <v>0.0079481688385463854</v>
      </c>
      <c r="Q291" t="s">
        <v>88</v>
      </c>
      <c r="S291" t="s">
        <v>135</v>
      </c>
      <c r="T291" t="s">
        <v>209</v>
      </c>
      <c r="U291">
        <v>0.0035943896684184199</v>
      </c>
      <c r="V291" t="s">
        <v>88</v>
      </c>
    </row>
    <row r="292" spans="9:22" ht="14.2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0.029774917227771786</v>
      </c>
      <c r="Q292" t="s">
        <v>88</v>
      </c>
      <c r="S292" t="s">
        <v>135</v>
      </c>
      <c r="T292" t="s">
        <v>210</v>
      </c>
      <c r="U292">
        <v>0.019423640005496869</v>
      </c>
      <c r="V292" t="s">
        <v>88</v>
      </c>
    </row>
    <row r="293" spans="9:22" ht="14.25">
      <c r="I293" t="s">
        <v>104</v>
      </c>
      <c r="J293" t="s">
        <v>211</v>
      </c>
      <c r="K293">
        <v>0.020472599915346838</v>
      </c>
      <c r="L293" t="s">
        <v>88</v>
      </c>
      <c r="N293" t="s">
        <v>120</v>
      </c>
      <c r="O293" t="s">
        <v>211</v>
      </c>
      <c r="P293">
        <v>0.02381744400324097</v>
      </c>
      <c r="Q293" t="s">
        <v>88</v>
      </c>
      <c r="S293" t="s">
        <v>135</v>
      </c>
      <c r="T293" t="s">
        <v>211</v>
      </c>
      <c r="U293">
        <v>0.047169294909694494</v>
      </c>
      <c r="V293" t="s">
        <v>88</v>
      </c>
    </row>
    <row r="294" spans="9:22" ht="14.25">
      <c r="I294" t="s">
        <v>104</v>
      </c>
      <c r="J294" t="s">
        <v>212</v>
      </c>
      <c r="K294">
        <v>0.078609837749471154</v>
      </c>
      <c r="L294" t="s">
        <v>88</v>
      </c>
      <c r="N294" t="s">
        <v>120</v>
      </c>
      <c r="O294" t="s">
        <v>212</v>
      </c>
      <c r="P294">
        <v>0.017817785318580154</v>
      </c>
      <c r="Q294" t="s">
        <v>88</v>
      </c>
      <c r="S294" t="s">
        <v>135</v>
      </c>
      <c r="T294" t="s">
        <v>212</v>
      </c>
      <c r="U294">
        <v>0.024965645234472339</v>
      </c>
      <c r="V294" t="s">
        <v>88</v>
      </c>
    </row>
    <row r="295" spans="9:22" ht="14.2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0.045111113904222191</v>
      </c>
      <c r="Q295" t="s">
        <v>88</v>
      </c>
      <c r="S295" t="s">
        <v>135</v>
      </c>
      <c r="T295" t="s">
        <v>213</v>
      </c>
      <c r="U295">
        <v>0.036258604229691183</v>
      </c>
      <c r="V295" t="s">
        <v>88</v>
      </c>
    </row>
    <row r="296" spans="9:22" ht="14.25">
      <c r="I296" t="s">
        <v>104</v>
      </c>
      <c r="J296" t="s">
        <v>214</v>
      </c>
      <c r="K296">
        <v>0.014303480356462646</v>
      </c>
      <c r="L296" t="s">
        <v>88</v>
      </c>
      <c r="N296" t="s">
        <v>120</v>
      </c>
      <c r="O296" t="s">
        <v>214</v>
      </c>
      <c r="P296">
        <v>0.0064882406635227144</v>
      </c>
      <c r="Q296" t="s">
        <v>88</v>
      </c>
      <c r="S296" t="s">
        <v>135</v>
      </c>
      <c r="T296" t="s">
        <v>214</v>
      </c>
      <c r="U296">
        <v>0.0068411037273796663</v>
      </c>
      <c r="V296" t="s">
        <v>88</v>
      </c>
    </row>
    <row r="297" spans="9:22" ht="14.25">
      <c r="I297" t="s">
        <v>104</v>
      </c>
      <c r="J297" t="s">
        <v>215</v>
      </c>
      <c r="K297">
        <v>0.0097406622653492016</v>
      </c>
      <c r="L297" t="s">
        <v>88</v>
      </c>
      <c r="N297" t="s">
        <v>120</v>
      </c>
      <c r="O297" t="s">
        <v>215</v>
      </c>
      <c r="P297">
        <v>0.0060172972353646553</v>
      </c>
      <c r="Q297" t="s">
        <v>88</v>
      </c>
      <c r="S297" t="s">
        <v>135</v>
      </c>
      <c r="T297" t="s">
        <v>215</v>
      </c>
      <c r="U297">
        <v>0.0069639150293167723</v>
      </c>
      <c r="V297" t="s">
        <v>88</v>
      </c>
    </row>
    <row r="298" spans="9:22" ht="14.25">
      <c r="I298" t="s">
        <v>104</v>
      </c>
      <c r="J298" t="s">
        <v>216</v>
      </c>
      <c r="K298">
        <v>0.0025076997820017728</v>
      </c>
      <c r="L298" t="s">
        <v>88</v>
      </c>
      <c r="N298" t="s">
        <v>120</v>
      </c>
      <c r="O298" t="s">
        <v>216</v>
      </c>
      <c r="P298">
        <v>0.022407119483753634</v>
      </c>
      <c r="Q298" t="s">
        <v>88</v>
      </c>
      <c r="S298" t="s">
        <v>135</v>
      </c>
      <c r="T298" t="s">
        <v>216</v>
      </c>
      <c r="U298">
        <v>0.034940361532661841</v>
      </c>
      <c r="V298" t="s">
        <v>88</v>
      </c>
    </row>
    <row r="299" spans="9:22" ht="14.25">
      <c r="I299" t="s">
        <v>105</v>
      </c>
      <c r="J299" t="s">
        <v>87</v>
      </c>
      <c r="K299">
        <v>0.0079943530471960674</v>
      </c>
      <c r="L299" t="s">
        <v>88</v>
      </c>
      <c r="N299" t="s">
        <v>121</v>
      </c>
      <c r="O299" t="s">
        <v>87</v>
      </c>
      <c r="P299">
        <v>0.021748801051019579</v>
      </c>
      <c r="Q299" t="s">
        <v>88</v>
      </c>
      <c r="S299" t="s">
        <v>136</v>
      </c>
      <c r="T299" t="s">
        <v>87</v>
      </c>
      <c r="U299">
        <v>0.026771106155210053</v>
      </c>
      <c r="V299" t="s">
        <v>88</v>
      </c>
    </row>
    <row r="300" spans="9:22" ht="14.25">
      <c r="I300" t="s">
        <v>105</v>
      </c>
      <c r="J300" t="s">
        <v>89</v>
      </c>
      <c r="K300">
        <v>0.043016702687801535</v>
      </c>
      <c r="L300" t="s">
        <v>88</v>
      </c>
      <c r="N300" t="s">
        <v>121</v>
      </c>
      <c r="O300" t="s">
        <v>89</v>
      </c>
      <c r="P300">
        <v>0.014147433565153045</v>
      </c>
      <c r="Q300" t="s">
        <v>88</v>
      </c>
      <c r="S300" t="s">
        <v>136</v>
      </c>
      <c r="T300" t="s">
        <v>89</v>
      </c>
      <c r="U300">
        <v>0.013511131881731047</v>
      </c>
      <c r="V300" t="s">
        <v>88</v>
      </c>
    </row>
    <row r="301" spans="9:22" ht="14.25">
      <c r="I301" t="s">
        <v>105</v>
      </c>
      <c r="J301" t="s">
        <v>90</v>
      </c>
      <c r="K301">
        <v>0.075378701720726762</v>
      </c>
      <c r="L301" t="s">
        <v>88</v>
      </c>
      <c r="N301" t="s">
        <v>121</v>
      </c>
      <c r="O301" t="s">
        <v>90</v>
      </c>
      <c r="P301">
        <v>0.029129102472929966</v>
      </c>
      <c r="Q301" t="s">
        <v>88</v>
      </c>
      <c r="S301" t="s">
        <v>136</v>
      </c>
      <c r="T301" t="s">
        <v>90</v>
      </c>
      <c r="U301">
        <v>0.021872322308024848</v>
      </c>
      <c r="V301" t="s">
        <v>88</v>
      </c>
    </row>
    <row r="302" spans="9:22" ht="14.25">
      <c r="I302" t="s">
        <v>105</v>
      </c>
      <c r="J302" t="s">
        <v>181</v>
      </c>
      <c r="K302">
        <v>0.010142795998964199</v>
      </c>
      <c r="L302" t="s">
        <v>88</v>
      </c>
      <c r="N302" t="s">
        <v>121</v>
      </c>
      <c r="O302" t="s">
        <v>181</v>
      </c>
      <c r="P302">
        <v>0.004228890898407593</v>
      </c>
      <c r="Q302" t="s">
        <v>88</v>
      </c>
      <c r="S302" t="s">
        <v>136</v>
      </c>
      <c r="T302" t="s">
        <v>181</v>
      </c>
      <c r="U302">
        <v>0.0045880031787646682</v>
      </c>
      <c r="V302" t="s">
        <v>88</v>
      </c>
    </row>
    <row r="303" spans="9:22" ht="14.25">
      <c r="I303" t="s">
        <v>105</v>
      </c>
      <c r="J303" t="s">
        <v>182</v>
      </c>
      <c r="K303">
        <v>0.0087521249823289699</v>
      </c>
      <c r="L303" t="s">
        <v>88</v>
      </c>
      <c r="N303" t="s">
        <v>121</v>
      </c>
      <c r="O303" t="s">
        <v>182</v>
      </c>
      <c r="P303">
        <v>0.0038453558936236377</v>
      </c>
      <c r="Q303" t="s">
        <v>88</v>
      </c>
      <c r="S303" t="s">
        <v>136</v>
      </c>
      <c r="T303" t="s">
        <v>182</v>
      </c>
      <c r="U303">
        <v>0.0047784995401055595</v>
      </c>
      <c r="V303" t="s">
        <v>88</v>
      </c>
    </row>
    <row r="304" spans="9:22" ht="14.25">
      <c r="I304" t="s">
        <v>105</v>
      </c>
      <c r="J304" t="s">
        <v>183</v>
      </c>
      <c r="K304">
        <v>0.0058050739462003516</v>
      </c>
      <c r="L304" t="s">
        <v>88</v>
      </c>
      <c r="N304" t="s">
        <v>121</v>
      </c>
      <c r="O304" t="s">
        <v>183</v>
      </c>
      <c r="P304">
        <v>0.016633785255125651</v>
      </c>
      <c r="Q304" t="s">
        <v>88</v>
      </c>
      <c r="S304" t="s">
        <v>136</v>
      </c>
      <c r="T304" t="s">
        <v>183</v>
      </c>
      <c r="U304">
        <v>0.022954843986737652</v>
      </c>
      <c r="V304" t="s">
        <v>88</v>
      </c>
    </row>
    <row r="305" spans="9:22" ht="14.25">
      <c r="I305" t="s">
        <v>105</v>
      </c>
      <c r="J305" t="s">
        <v>91</v>
      </c>
      <c r="K305">
        <v>0.0046279090322790461</v>
      </c>
      <c r="L305" t="s">
        <v>88</v>
      </c>
      <c r="N305" t="s">
        <v>121</v>
      </c>
      <c r="O305" t="s">
        <v>91</v>
      </c>
      <c r="P305">
        <v>0.013026134616738001</v>
      </c>
      <c r="Q305" t="s">
        <v>88</v>
      </c>
      <c r="S305" t="s">
        <v>136</v>
      </c>
      <c r="T305" t="s">
        <v>91</v>
      </c>
      <c r="U305">
        <v>0.014453341954504173</v>
      </c>
      <c r="V305" t="s">
        <v>88</v>
      </c>
    </row>
    <row r="306" spans="9:22" ht="14.25">
      <c r="I306" t="s">
        <v>105</v>
      </c>
      <c r="J306" t="s">
        <v>92</v>
      </c>
      <c r="K306">
        <v>0.038020572415616953</v>
      </c>
      <c r="L306" t="s">
        <v>88</v>
      </c>
      <c r="N306" t="s">
        <v>121</v>
      </c>
      <c r="O306" t="s">
        <v>92</v>
      </c>
      <c r="P306">
        <v>0.0082530557309266634</v>
      </c>
      <c r="Q306" t="s">
        <v>88</v>
      </c>
      <c r="S306" t="s">
        <v>136</v>
      </c>
      <c r="T306" t="s">
        <v>92</v>
      </c>
      <c r="U306">
        <v>0.0068540989214898092</v>
      </c>
      <c r="V306" t="s">
        <v>88</v>
      </c>
    </row>
    <row r="307" spans="9:22" ht="14.25">
      <c r="I307" t="s">
        <v>105</v>
      </c>
      <c r="J307" t="s">
        <v>93</v>
      </c>
      <c r="K307">
        <v>0.063987618794694168</v>
      </c>
      <c r="L307" t="s">
        <v>88</v>
      </c>
      <c r="N307" t="s">
        <v>121</v>
      </c>
      <c r="O307" t="s">
        <v>93</v>
      </c>
      <c r="P307">
        <v>0.016249851141001175</v>
      </c>
      <c r="Q307" t="s">
        <v>88</v>
      </c>
      <c r="S307" t="s">
        <v>136</v>
      </c>
      <c r="T307" t="s">
        <v>93</v>
      </c>
      <c r="U307">
        <v>0.0090054934561915496</v>
      </c>
      <c r="V307" t="s">
        <v>88</v>
      </c>
    </row>
    <row r="308" spans="9:22" ht="14.25">
      <c r="I308" t="s">
        <v>105</v>
      </c>
      <c r="J308" t="s">
        <v>184</v>
      </c>
      <c r="K308">
        <v>0.0091220088197462371</v>
      </c>
      <c r="L308" t="s">
        <v>88</v>
      </c>
      <c r="N308" t="s">
        <v>121</v>
      </c>
      <c r="O308" t="s">
        <v>184</v>
      </c>
      <c r="P308">
        <v>0.0026204717691620844</v>
      </c>
      <c r="Q308" t="s">
        <v>88</v>
      </c>
      <c r="S308" t="s">
        <v>136</v>
      </c>
      <c r="T308" t="s">
        <v>184</v>
      </c>
      <c r="U308">
        <v>0.0020607679165430934</v>
      </c>
      <c r="V308" t="s">
        <v>88</v>
      </c>
    </row>
    <row r="309" spans="9:22" ht="14.25">
      <c r="I309" t="s">
        <v>105</v>
      </c>
      <c r="J309" t="s">
        <v>185</v>
      </c>
      <c r="K309">
        <v>0.0076816152843127055</v>
      </c>
      <c r="L309" t="s">
        <v>88</v>
      </c>
      <c r="N309" t="s">
        <v>121</v>
      </c>
      <c r="O309" t="s">
        <v>185</v>
      </c>
      <c r="P309">
        <v>0.0022968932507751263</v>
      </c>
      <c r="Q309" t="s">
        <v>88</v>
      </c>
      <c r="S309" t="s">
        <v>136</v>
      </c>
      <c r="T309" t="s">
        <v>185</v>
      </c>
      <c r="U309">
        <v>0.0022833408739701935</v>
      </c>
      <c r="V309" t="s">
        <v>88</v>
      </c>
    </row>
    <row r="310" spans="9:22" ht="14.25">
      <c r="I310" t="s">
        <v>105</v>
      </c>
      <c r="J310" t="s">
        <v>186</v>
      </c>
      <c r="K310">
        <v>0.0041431286931757592</v>
      </c>
      <c r="L310" t="s">
        <v>88</v>
      </c>
      <c r="N310" t="s">
        <v>121</v>
      </c>
      <c r="O310" t="s">
        <v>186</v>
      </c>
      <c r="P310">
        <v>0.0095189914325364625</v>
      </c>
      <c r="Q310" t="s">
        <v>88</v>
      </c>
      <c r="S310" t="s">
        <v>136</v>
      </c>
      <c r="T310" t="s">
        <v>186</v>
      </c>
      <c r="U310">
        <v>0.013355850839878976</v>
      </c>
      <c r="V310" t="s">
        <v>88</v>
      </c>
    </row>
    <row r="311" spans="9:22" ht="14.25">
      <c r="I311" t="s">
        <v>105</v>
      </c>
      <c r="J311" t="s">
        <v>94</v>
      </c>
      <c r="K311">
        <v>0.00026306639430922341</v>
      </c>
      <c r="L311" t="s">
        <v>88</v>
      </c>
      <c r="N311" t="s">
        <v>121</v>
      </c>
      <c r="O311" t="s">
        <v>94</v>
      </c>
      <c r="P311">
        <v>0.014838842937922836</v>
      </c>
      <c r="Q311" t="s">
        <v>88</v>
      </c>
      <c r="S311" t="s">
        <v>136</v>
      </c>
      <c r="T311" t="s">
        <v>94</v>
      </c>
      <c r="U311">
        <v>0.015086018099939945</v>
      </c>
      <c r="V311" t="s">
        <v>88</v>
      </c>
    </row>
    <row r="312" spans="9:22" ht="14.25">
      <c r="I312" t="s">
        <v>105</v>
      </c>
      <c r="J312" t="s">
        <v>95</v>
      </c>
      <c r="K312">
        <v>0.025973200707368221</v>
      </c>
      <c r="L312" t="s">
        <v>88</v>
      </c>
      <c r="N312" t="s">
        <v>121</v>
      </c>
      <c r="O312" t="s">
        <v>95</v>
      </c>
      <c r="P312">
        <v>0.0081740984850994843</v>
      </c>
      <c r="Q312" t="s">
        <v>88</v>
      </c>
      <c r="S312" t="s">
        <v>136</v>
      </c>
      <c r="T312" t="s">
        <v>95</v>
      </c>
      <c r="U312">
        <v>0.0083527122726753562</v>
      </c>
      <c r="V312" t="s">
        <v>88</v>
      </c>
    </row>
    <row r="313" spans="9:22" ht="14.25">
      <c r="I313" t="s">
        <v>105</v>
      </c>
      <c r="J313" t="s">
        <v>96</v>
      </c>
      <c r="K313">
        <v>0.050589744935721957</v>
      </c>
      <c r="L313" t="s">
        <v>88</v>
      </c>
      <c r="N313" t="s">
        <v>121</v>
      </c>
      <c r="O313" t="s">
        <v>96</v>
      </c>
      <c r="P313">
        <v>0.015100289787780784</v>
      </c>
      <c r="Q313" t="s">
        <v>88</v>
      </c>
      <c r="S313" t="s">
        <v>136</v>
      </c>
      <c r="T313" t="s">
        <v>96</v>
      </c>
      <c r="U313">
        <v>0.011267088460832487</v>
      </c>
      <c r="V313" t="s">
        <v>88</v>
      </c>
    </row>
    <row r="314" spans="9:22" ht="14.25">
      <c r="I314" t="s">
        <v>105</v>
      </c>
      <c r="J314" t="s">
        <v>187</v>
      </c>
      <c r="K314">
        <v>0.0065988622489403541</v>
      </c>
      <c r="L314" t="s">
        <v>88</v>
      </c>
      <c r="N314" t="s">
        <v>121</v>
      </c>
      <c r="O314" t="s">
        <v>187</v>
      </c>
      <c r="P314">
        <v>0.0024061813489722255</v>
      </c>
      <c r="Q314" t="s">
        <v>88</v>
      </c>
      <c r="S314" t="s">
        <v>136</v>
      </c>
      <c r="T314" t="s">
        <v>187</v>
      </c>
      <c r="U314">
        <v>0.0021968461375600043</v>
      </c>
      <c r="V314" t="s">
        <v>88</v>
      </c>
    </row>
    <row r="315" spans="9:22" ht="14.25">
      <c r="I315" t="s">
        <v>105</v>
      </c>
      <c r="J315" t="s">
        <v>188</v>
      </c>
      <c r="K315">
        <v>0.0043871784910376023</v>
      </c>
      <c r="L315" t="s">
        <v>88</v>
      </c>
      <c r="N315" t="s">
        <v>121</v>
      </c>
      <c r="O315" t="s">
        <v>188</v>
      </c>
      <c r="P315">
        <v>0.0022911617172421588</v>
      </c>
      <c r="Q315" t="s">
        <v>88</v>
      </c>
      <c r="S315" t="s">
        <v>136</v>
      </c>
      <c r="T315" t="s">
        <v>188</v>
      </c>
      <c r="U315">
        <v>0.0023663508543528768</v>
      </c>
      <c r="V315" t="s">
        <v>88</v>
      </c>
    </row>
    <row r="316" spans="9:22" ht="14.2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0.010872639461743159</v>
      </c>
      <c r="Q316" t="s">
        <v>88</v>
      </c>
      <c r="S316" t="s">
        <v>136</v>
      </c>
      <c r="T316" t="s">
        <v>189</v>
      </c>
      <c r="U316">
        <v>0.01283508426263355</v>
      </c>
      <c r="V316" t="s">
        <v>88</v>
      </c>
    </row>
    <row r="317" spans="9:22" ht="14.2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0.047129181417993812</v>
      </c>
      <c r="Q317" t="s">
        <v>88</v>
      </c>
      <c r="S317" t="s">
        <v>136</v>
      </c>
      <c r="T317" t="s">
        <v>97</v>
      </c>
      <c r="U317">
        <v>0.050925549514566903</v>
      </c>
      <c r="V317" t="s">
        <v>88</v>
      </c>
    </row>
    <row r="318" spans="9:22" ht="14.25">
      <c r="I318" t="s">
        <v>105</v>
      </c>
      <c r="J318" t="s">
        <v>98</v>
      </c>
      <c r="K318">
        <v>0.025408172778601995</v>
      </c>
      <c r="L318" t="s">
        <v>88</v>
      </c>
      <c r="N318" t="s">
        <v>121</v>
      </c>
      <c r="O318" t="s">
        <v>98</v>
      </c>
      <c r="P318">
        <v>0.026269694726415192</v>
      </c>
      <c r="Q318" t="s">
        <v>88</v>
      </c>
      <c r="S318" t="s">
        <v>136</v>
      </c>
      <c r="T318" t="s">
        <v>98</v>
      </c>
      <c r="U318">
        <v>0.024527926384777986</v>
      </c>
      <c r="V318" t="s">
        <v>88</v>
      </c>
    </row>
    <row r="319" spans="9:22" ht="14.25">
      <c r="I319" t="s">
        <v>105</v>
      </c>
      <c r="J319" t="s">
        <v>99</v>
      </c>
      <c r="K319">
        <v>0.058560001887967526</v>
      </c>
      <c r="L319" t="s">
        <v>88</v>
      </c>
      <c r="N319" t="s">
        <v>121</v>
      </c>
      <c r="O319" t="s">
        <v>99</v>
      </c>
      <c r="P319">
        <v>0.048455321386712158</v>
      </c>
      <c r="Q319" t="s">
        <v>88</v>
      </c>
      <c r="S319" t="s">
        <v>136</v>
      </c>
      <c r="T319" t="s">
        <v>99</v>
      </c>
      <c r="U319">
        <v>0.037659815127222843</v>
      </c>
      <c r="V319" t="s">
        <v>88</v>
      </c>
    </row>
    <row r="320" spans="9:22" ht="14.25">
      <c r="I320" t="s">
        <v>105</v>
      </c>
      <c r="J320" t="s">
        <v>190</v>
      </c>
      <c r="K320">
        <v>0.0043013885163001074</v>
      </c>
      <c r="L320" t="s">
        <v>88</v>
      </c>
      <c r="N320" t="s">
        <v>121</v>
      </c>
      <c r="O320" t="s">
        <v>190</v>
      </c>
      <c r="P320">
        <v>0.0077157054130119725</v>
      </c>
      <c r="Q320" t="s">
        <v>88</v>
      </c>
      <c r="S320" t="s">
        <v>136</v>
      </c>
      <c r="T320" t="s">
        <v>190</v>
      </c>
      <c r="U320">
        <v>0.0068837822344948556</v>
      </c>
      <c r="V320" t="s">
        <v>88</v>
      </c>
    </row>
    <row r="321" spans="9:22" ht="14.2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0.0075718989843001358</v>
      </c>
      <c r="Q321" t="s">
        <v>88</v>
      </c>
      <c r="S321" t="s">
        <v>136</v>
      </c>
      <c r="T321" t="s">
        <v>191</v>
      </c>
      <c r="U321">
        <v>0.0069637851450353727</v>
      </c>
      <c r="V321" t="s">
        <v>88</v>
      </c>
    </row>
    <row r="322" spans="9:22" ht="14.2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0.035800906390282723</v>
      </c>
      <c r="Q322" t="s">
        <v>88</v>
      </c>
      <c r="S322" t="s">
        <v>136</v>
      </c>
      <c r="T322" t="s">
        <v>192</v>
      </c>
      <c r="U322">
        <v>0.035996743274993755</v>
      </c>
      <c r="V322" t="s">
        <v>88</v>
      </c>
    </row>
    <row r="323" spans="9:22" ht="14.2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0.024011614611627256</v>
      </c>
      <c r="Q323" t="s">
        <v>88</v>
      </c>
      <c r="S323" t="s">
        <v>136</v>
      </c>
      <c r="T323" t="s">
        <v>193</v>
      </c>
      <c r="U323">
        <v>0.025497521677904953</v>
      </c>
      <c r="V323" t="s">
        <v>88</v>
      </c>
    </row>
    <row r="324" spans="9:22" ht="14.25">
      <c r="I324" t="s">
        <v>105</v>
      </c>
      <c r="J324" t="s">
        <v>194</v>
      </c>
      <c r="K324">
        <v>0.0048017274426813477</v>
      </c>
      <c r="L324" t="s">
        <v>88</v>
      </c>
      <c r="N324" t="s">
        <v>121</v>
      </c>
      <c r="O324" t="s">
        <v>194</v>
      </c>
      <c r="P324">
        <v>0.014218734477585036</v>
      </c>
      <c r="Q324" t="s">
        <v>88</v>
      </c>
      <c r="S324" t="s">
        <v>136</v>
      </c>
      <c r="T324" t="s">
        <v>194</v>
      </c>
      <c r="U324">
        <v>0.013794589845748616</v>
      </c>
      <c r="V324" t="s">
        <v>88</v>
      </c>
    </row>
    <row r="325" spans="9:22" ht="14.25">
      <c r="I325" t="s">
        <v>105</v>
      </c>
      <c r="J325" t="s">
        <v>195</v>
      </c>
      <c r="K325">
        <v>0.016622886940765851</v>
      </c>
      <c r="L325" t="s">
        <v>88</v>
      </c>
      <c r="N325" t="s">
        <v>121</v>
      </c>
      <c r="O325" t="s">
        <v>195</v>
      </c>
      <c r="P325">
        <v>0.021230309747115875</v>
      </c>
      <c r="Q325" t="s">
        <v>88</v>
      </c>
      <c r="S325" t="s">
        <v>136</v>
      </c>
      <c r="T325" t="s">
        <v>195</v>
      </c>
      <c r="U325">
        <v>0.022633088510285854</v>
      </c>
      <c r="V325" t="s">
        <v>88</v>
      </c>
    </row>
    <row r="326" spans="9:22" ht="14.2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0.0034153007824992425</v>
      </c>
      <c r="Q326" t="s">
        <v>88</v>
      </c>
      <c r="S326" t="s">
        <v>136</v>
      </c>
      <c r="T326" t="s">
        <v>196</v>
      </c>
      <c r="U326">
        <v>0.0041839476925415427</v>
      </c>
      <c r="V326" t="s">
        <v>88</v>
      </c>
    </row>
    <row r="327" spans="9:22" ht="14.2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0.0034700198220850081</v>
      </c>
      <c r="Q327" t="s">
        <v>88</v>
      </c>
      <c r="S327" t="s">
        <v>136</v>
      </c>
      <c r="T327" t="s">
        <v>197</v>
      </c>
      <c r="U327">
        <v>0.0041179660008672063</v>
      </c>
      <c r="V327" t="s">
        <v>88</v>
      </c>
    </row>
    <row r="328" spans="9:22" ht="14.2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0.017108054822949168</v>
      </c>
      <c r="Q328" t="s">
        <v>88</v>
      </c>
      <c r="S328" t="s">
        <v>136</v>
      </c>
      <c r="T328" t="s">
        <v>198</v>
      </c>
      <c r="U328">
        <v>0.019607610581620163</v>
      </c>
      <c r="V328" t="s">
        <v>88</v>
      </c>
    </row>
    <row r="329" spans="9:22" ht="14.25">
      <c r="I329" t="s">
        <v>105</v>
      </c>
      <c r="J329" t="s">
        <v>199</v>
      </c>
      <c r="K329">
        <v>0.00011620306686259321</v>
      </c>
      <c r="L329" t="s">
        <v>88</v>
      </c>
      <c r="N329" t="s">
        <v>121</v>
      </c>
      <c r="O329" t="s">
        <v>199</v>
      </c>
      <c r="P329">
        <v>0.076493442431473491</v>
      </c>
      <c r="Q329" t="s">
        <v>88</v>
      </c>
      <c r="S329" t="s">
        <v>136</v>
      </c>
      <c r="T329" t="s">
        <v>199</v>
      </c>
      <c r="U329">
        <v>0.088777753376816801</v>
      </c>
      <c r="V329" t="s">
        <v>88</v>
      </c>
    </row>
    <row r="330" spans="9:22" ht="14.25">
      <c r="I330" t="s">
        <v>105</v>
      </c>
      <c r="J330" t="s">
        <v>200</v>
      </c>
      <c r="K330">
        <v>0.044130977315555868</v>
      </c>
      <c r="L330" t="s">
        <v>88</v>
      </c>
      <c r="N330" t="s">
        <v>121</v>
      </c>
      <c r="O330" t="s">
        <v>200</v>
      </c>
      <c r="P330">
        <v>0.040824759951258283</v>
      </c>
      <c r="Q330" t="s">
        <v>88</v>
      </c>
      <c r="S330" t="s">
        <v>136</v>
      </c>
      <c r="T330" t="s">
        <v>200</v>
      </c>
      <c r="U330">
        <v>0.049257792652321677</v>
      </c>
      <c r="V330" t="s">
        <v>88</v>
      </c>
    </row>
    <row r="331" spans="9:22" ht="14.2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0.076865815955039912</v>
      </c>
      <c r="Q331" t="s">
        <v>88</v>
      </c>
      <c r="S331" t="s">
        <v>136</v>
      </c>
      <c r="T331" t="s">
        <v>201</v>
      </c>
      <c r="U331">
        <v>0.076960401049888758</v>
      </c>
      <c r="V331" t="s">
        <v>88</v>
      </c>
    </row>
    <row r="332" spans="9:22" ht="14.25">
      <c r="I332" t="s">
        <v>105</v>
      </c>
      <c r="J332" t="s">
        <v>202</v>
      </c>
      <c r="K332">
        <v>0.0090327774504613215</v>
      </c>
      <c r="L332" t="s">
        <v>88</v>
      </c>
      <c r="N332" t="s">
        <v>121</v>
      </c>
      <c r="O332" t="s">
        <v>202</v>
      </c>
      <c r="P332">
        <v>0.012182775289180704</v>
      </c>
      <c r="Q332" t="s">
        <v>88</v>
      </c>
      <c r="S332" t="s">
        <v>136</v>
      </c>
      <c r="T332" t="s">
        <v>202</v>
      </c>
      <c r="U332">
        <v>0.013003713999639812</v>
      </c>
      <c r="V332" t="s">
        <v>88</v>
      </c>
    </row>
    <row r="333" spans="9:22" ht="14.25">
      <c r="I333" t="s">
        <v>105</v>
      </c>
      <c r="J333" t="s">
        <v>203</v>
      </c>
      <c r="K333">
        <v>0.0010799001765970948</v>
      </c>
      <c r="L333" t="s">
        <v>88</v>
      </c>
      <c r="N333" t="s">
        <v>121</v>
      </c>
      <c r="O333" t="s">
        <v>203</v>
      </c>
      <c r="P333">
        <v>0.01180764414671945</v>
      </c>
      <c r="Q333" t="s">
        <v>88</v>
      </c>
      <c r="S333" t="s">
        <v>136</v>
      </c>
      <c r="T333" t="s">
        <v>203</v>
      </c>
      <c r="U333">
        <v>0.012774296954059919</v>
      </c>
      <c r="V333" t="s">
        <v>88</v>
      </c>
    </row>
    <row r="334" spans="9:22" ht="14.2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0.057326879388878142</v>
      </c>
      <c r="Q334" t="s">
        <v>88</v>
      </c>
      <c r="S334" t="s">
        <v>136</v>
      </c>
      <c r="T334" t="s">
        <v>204</v>
      </c>
      <c r="U334">
        <v>0.062032882400304017</v>
      </c>
      <c r="V334" t="s">
        <v>88</v>
      </c>
    </row>
    <row r="335" spans="9:22" ht="14.25">
      <c r="I335" t="s">
        <v>105</v>
      </c>
      <c r="J335" t="s">
        <v>205</v>
      </c>
      <c r="K335">
        <v>0.0043776334114469968</v>
      </c>
      <c r="L335" t="s">
        <v>88</v>
      </c>
      <c r="N335" t="s">
        <v>121</v>
      </c>
      <c r="O335" t="s">
        <v>205</v>
      </c>
      <c r="P335">
        <v>0.031581673688520502</v>
      </c>
      <c r="Q335" t="s">
        <v>88</v>
      </c>
      <c r="S335" t="s">
        <v>136</v>
      </c>
      <c r="T335" t="s">
        <v>205</v>
      </c>
      <c r="U335">
        <v>0.027721383716178445</v>
      </c>
      <c r="V335" t="s">
        <v>88</v>
      </c>
    </row>
    <row r="336" spans="9:22" ht="14.25">
      <c r="I336" t="s">
        <v>105</v>
      </c>
      <c r="J336" t="s">
        <v>206</v>
      </c>
      <c r="K336">
        <v>0.033685444980821926</v>
      </c>
      <c r="L336" t="s">
        <v>88</v>
      </c>
      <c r="N336" t="s">
        <v>121</v>
      </c>
      <c r="O336" t="s">
        <v>206</v>
      </c>
      <c r="P336">
        <v>0.018998867125564169</v>
      </c>
      <c r="Q336" t="s">
        <v>88</v>
      </c>
      <c r="S336" t="s">
        <v>136</v>
      </c>
      <c r="T336" t="s">
        <v>206</v>
      </c>
      <c r="U336">
        <v>0.014978036078522194</v>
      </c>
      <c r="V336" t="s">
        <v>88</v>
      </c>
    </row>
    <row r="337" spans="9:22" ht="14.25">
      <c r="I337" t="s">
        <v>105</v>
      </c>
      <c r="J337" t="s">
        <v>207</v>
      </c>
      <c r="K337">
        <v>0.060343413963922739</v>
      </c>
      <c r="L337" t="s">
        <v>88</v>
      </c>
      <c r="N337" t="s">
        <v>121</v>
      </c>
      <c r="O337" t="s">
        <v>207</v>
      </c>
      <c r="P337">
        <v>0.040509656580713364</v>
      </c>
      <c r="Q337" t="s">
        <v>88</v>
      </c>
      <c r="S337" t="s">
        <v>136</v>
      </c>
      <c r="T337" t="s">
        <v>207</v>
      </c>
      <c r="U337">
        <v>0.026767129611846234</v>
      </c>
      <c r="V337" t="s">
        <v>88</v>
      </c>
    </row>
    <row r="338" spans="9:22" ht="14.25">
      <c r="I338" t="s">
        <v>105</v>
      </c>
      <c r="J338" t="s">
        <v>208</v>
      </c>
      <c r="K338">
        <v>0.0074475482695628183</v>
      </c>
      <c r="L338" t="s">
        <v>88</v>
      </c>
      <c r="N338" t="s">
        <v>121</v>
      </c>
      <c r="O338" t="s">
        <v>208</v>
      </c>
      <c r="P338">
        <v>0.0061400488377712711</v>
      </c>
      <c r="Q338" t="s">
        <v>88</v>
      </c>
      <c r="S338" t="s">
        <v>136</v>
      </c>
      <c r="T338" t="s">
        <v>208</v>
      </c>
      <c r="U338">
        <v>0.0053693008065180559</v>
      </c>
      <c r="V338" t="s">
        <v>88</v>
      </c>
    </row>
    <row r="339" spans="9:22" ht="14.25">
      <c r="I339" t="s">
        <v>105</v>
      </c>
      <c r="J339" t="s">
        <v>209</v>
      </c>
      <c r="K339">
        <v>0.0052622327635085666</v>
      </c>
      <c r="L339" t="s">
        <v>88</v>
      </c>
      <c r="N339" t="s">
        <v>121</v>
      </c>
      <c r="O339" t="s">
        <v>209</v>
      </c>
      <c r="P339">
        <v>0.0060268050591794943</v>
      </c>
      <c r="Q339" t="s">
        <v>88</v>
      </c>
      <c r="S339" t="s">
        <v>136</v>
      </c>
      <c r="T339" t="s">
        <v>209</v>
      </c>
      <c r="U339">
        <v>0.0054643057166340846</v>
      </c>
      <c r="V339" t="s">
        <v>88</v>
      </c>
    </row>
    <row r="340" spans="9:22" ht="14.2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0.024206086535682927</v>
      </c>
      <c r="Q340" t="s">
        <v>88</v>
      </c>
      <c r="S340" t="s">
        <v>136</v>
      </c>
      <c r="T340" t="s">
        <v>210</v>
      </c>
      <c r="U340">
        <v>0.025402626738500841</v>
      </c>
      <c r="V340" t="s">
        <v>88</v>
      </c>
    </row>
    <row r="341" spans="9:22" ht="14.25">
      <c r="I341" t="s">
        <v>105</v>
      </c>
      <c r="J341" t="s">
        <v>211</v>
      </c>
      <c r="K341">
        <v>0.019122052708198299</v>
      </c>
      <c r="L341" t="s">
        <v>88</v>
      </c>
      <c r="N341" t="s">
        <v>121</v>
      </c>
      <c r="O341" t="s">
        <v>211</v>
      </c>
      <c r="P341">
        <v>0.033718295123501635</v>
      </c>
      <c r="Q341" t="s">
        <v>88</v>
      </c>
      <c r="S341" t="s">
        <v>136</v>
      </c>
      <c r="T341" t="s">
        <v>211</v>
      </c>
      <c r="U341">
        <v>0.041676938671042225</v>
      </c>
      <c r="V341" t="s">
        <v>88</v>
      </c>
    </row>
    <row r="342" spans="9:22" ht="14.25">
      <c r="I342" t="s">
        <v>105</v>
      </c>
      <c r="J342" t="s">
        <v>212</v>
      </c>
      <c r="K342">
        <v>0.077621874911965746</v>
      </c>
      <c r="L342" t="s">
        <v>88</v>
      </c>
      <c r="N342" t="s">
        <v>121</v>
      </c>
      <c r="O342" t="s">
        <v>212</v>
      </c>
      <c r="P342">
        <v>0.023180621064127469</v>
      </c>
      <c r="Q342" t="s">
        <v>88</v>
      </c>
      <c r="S342" t="s">
        <v>136</v>
      </c>
      <c r="T342" t="s">
        <v>212</v>
      </c>
      <c r="U342">
        <v>0.021094259724393643</v>
      </c>
      <c r="V342" t="s">
        <v>88</v>
      </c>
    </row>
    <row r="343" spans="9:22" ht="14.2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0.045952837959619706</v>
      </c>
      <c r="Q343" t="s">
        <v>88</v>
      </c>
      <c r="S343" t="s">
        <v>136</v>
      </c>
      <c r="T343" t="s">
        <v>213</v>
      </c>
      <c r="U343">
        <v>0.033586384609483766</v>
      </c>
      <c r="V343" t="s">
        <v>88</v>
      </c>
    </row>
    <row r="344" spans="9:22" ht="14.25">
      <c r="I344" t="s">
        <v>105</v>
      </c>
      <c r="J344" t="s">
        <v>214</v>
      </c>
      <c r="K344">
        <v>0.015322877954733539</v>
      </c>
      <c r="L344" t="s">
        <v>88</v>
      </c>
      <c r="N344" t="s">
        <v>121</v>
      </c>
      <c r="O344" t="s">
        <v>214</v>
      </c>
      <c r="P344">
        <v>0.0073922064765882369</v>
      </c>
      <c r="Q344" t="s">
        <v>88</v>
      </c>
      <c r="S344" t="s">
        <v>136</v>
      </c>
      <c r="T344" t="s">
        <v>214</v>
      </c>
      <c r="U344">
        <v>0.0065198586979317514</v>
      </c>
      <c r="V344" t="s">
        <v>88</v>
      </c>
    </row>
    <row r="345" spans="9:22" ht="14.25">
      <c r="I345" t="s">
        <v>105</v>
      </c>
      <c r="J345" t="s">
        <v>215</v>
      </c>
      <c r="K345">
        <v>0.012894979789697574</v>
      </c>
      <c r="L345" t="s">
        <v>88</v>
      </c>
      <c r="N345" t="s">
        <v>121</v>
      </c>
      <c r="O345" t="s">
        <v>215</v>
      </c>
      <c r="P345">
        <v>0.0068174038001423704</v>
      </c>
      <c r="Q345" t="s">
        <v>88</v>
      </c>
      <c r="S345" t="s">
        <v>136</v>
      </c>
      <c r="T345" t="s">
        <v>215</v>
      </c>
      <c r="U345">
        <v>0.0067131803140201727</v>
      </c>
      <c r="V345" t="s">
        <v>88</v>
      </c>
    </row>
    <row r="346" spans="9:22" ht="14.25">
      <c r="I346" t="s">
        <v>105</v>
      </c>
      <c r="J346" t="s">
        <v>216</v>
      </c>
      <c r="K346">
        <v>0.0074936914010323413</v>
      </c>
      <c r="L346" t="s">
        <v>88</v>
      </c>
      <c r="N346" t="s">
        <v>121</v>
      </c>
      <c r="O346" t="s">
        <v>216</v>
      </c>
      <c r="P346">
        <v>0.028195457187299506</v>
      </c>
      <c r="Q346" t="s">
        <v>88</v>
      </c>
      <c r="S346" t="s">
        <v>136</v>
      </c>
      <c r="T346" t="s">
        <v>216</v>
      </c>
      <c r="U346">
        <v>0.034514527790690787</v>
      </c>
      <c r="V346" t="s">
        <v>88</v>
      </c>
    </row>
    <row r="347" spans="9:22" ht="14.25">
      <c r="I347" t="s">
        <v>106</v>
      </c>
      <c r="J347" t="s">
        <v>87</v>
      </c>
      <c r="K347">
        <v>0.0087275638183257793</v>
      </c>
      <c r="L347" t="s">
        <v>88</v>
      </c>
      <c r="N347" t="s">
        <v>122</v>
      </c>
      <c r="O347" t="s">
        <v>87</v>
      </c>
      <c r="P347">
        <v>0.026856037000953282</v>
      </c>
      <c r="Q347" t="s">
        <v>88</v>
      </c>
      <c r="S347" t="s">
        <v>137</v>
      </c>
      <c r="T347" t="s">
        <v>87</v>
      </c>
      <c r="U347">
        <v>0.028776403260890874</v>
      </c>
      <c r="V347" t="s">
        <v>88</v>
      </c>
    </row>
    <row r="348" spans="9:22" ht="14.25">
      <c r="I348" t="s">
        <v>106</v>
      </c>
      <c r="J348" t="s">
        <v>89</v>
      </c>
      <c r="K348">
        <v>0.044398380981876297</v>
      </c>
      <c r="L348" t="s">
        <v>88</v>
      </c>
      <c r="N348" t="s">
        <v>122</v>
      </c>
      <c r="O348" t="s">
        <v>89</v>
      </c>
      <c r="P348">
        <v>0.01721098787917414</v>
      </c>
      <c r="Q348" t="s">
        <v>88</v>
      </c>
      <c r="S348" t="s">
        <v>137</v>
      </c>
      <c r="T348" t="s">
        <v>89</v>
      </c>
      <c r="U348">
        <v>0.015663439251264451</v>
      </c>
      <c r="V348" t="s">
        <v>88</v>
      </c>
    </row>
    <row r="349" spans="9:22" ht="14.25">
      <c r="I349" t="s">
        <v>106</v>
      </c>
      <c r="J349" t="s">
        <v>90</v>
      </c>
      <c r="K349">
        <v>0.075468400665149274</v>
      </c>
      <c r="L349" t="s">
        <v>88</v>
      </c>
      <c r="N349" t="s">
        <v>122</v>
      </c>
      <c r="O349" t="s">
        <v>90</v>
      </c>
      <c r="P349">
        <v>0.037376704024488609</v>
      </c>
      <c r="Q349" t="s">
        <v>88</v>
      </c>
      <c r="S349" t="s">
        <v>137</v>
      </c>
      <c r="T349" t="s">
        <v>90</v>
      </c>
      <c r="U349">
        <v>0.024018859979941735</v>
      </c>
      <c r="V349" t="s">
        <v>88</v>
      </c>
    </row>
    <row r="350" spans="9:22" ht="14.25">
      <c r="I350" t="s">
        <v>106</v>
      </c>
      <c r="J350" t="s">
        <v>181</v>
      </c>
      <c r="K350">
        <v>0.0098507601668856287</v>
      </c>
      <c r="L350" t="s">
        <v>88</v>
      </c>
      <c r="N350" t="s">
        <v>122</v>
      </c>
      <c r="O350" t="s">
        <v>181</v>
      </c>
      <c r="P350">
        <v>0.0056574116204049481</v>
      </c>
      <c r="Q350" t="s">
        <v>88</v>
      </c>
      <c r="S350" t="s">
        <v>137</v>
      </c>
      <c r="T350" t="s">
        <v>181</v>
      </c>
      <c r="U350">
        <v>0.0042576248579844211</v>
      </c>
      <c r="V350" t="s">
        <v>88</v>
      </c>
    </row>
    <row r="351" spans="9:22" ht="14.25">
      <c r="I351" t="s">
        <v>106</v>
      </c>
      <c r="J351" t="s">
        <v>182</v>
      </c>
      <c r="K351">
        <v>0.0084471911576629918</v>
      </c>
      <c r="L351" t="s">
        <v>88</v>
      </c>
      <c r="N351" t="s">
        <v>122</v>
      </c>
      <c r="O351" t="s">
        <v>182</v>
      </c>
      <c r="P351">
        <v>0.0047912245924507648</v>
      </c>
      <c r="Q351" t="s">
        <v>88</v>
      </c>
      <c r="S351" t="s">
        <v>137</v>
      </c>
      <c r="T351" t="s">
        <v>182</v>
      </c>
      <c r="U351">
        <v>0.0043164016375702666</v>
      </c>
      <c r="V351" t="s">
        <v>88</v>
      </c>
    </row>
    <row r="352" spans="9:22" ht="14.25">
      <c r="I352" t="s">
        <v>106</v>
      </c>
      <c r="J352" t="s">
        <v>183</v>
      </c>
      <c r="K352">
        <v>0.0056581266569582615</v>
      </c>
      <c r="L352" t="s">
        <v>88</v>
      </c>
      <c r="N352" t="s">
        <v>122</v>
      </c>
      <c r="O352" t="s">
        <v>183</v>
      </c>
      <c r="P352">
        <v>0.01831171238796913</v>
      </c>
      <c r="Q352" t="s">
        <v>88</v>
      </c>
      <c r="S352" t="s">
        <v>137</v>
      </c>
      <c r="T352" t="s">
        <v>183</v>
      </c>
      <c r="U352">
        <v>0.021959303922138691</v>
      </c>
      <c r="V352" t="s">
        <v>88</v>
      </c>
    </row>
    <row r="353" spans="9:22" ht="14.25">
      <c r="I353" t="s">
        <v>106</v>
      </c>
      <c r="J353" t="s">
        <v>91</v>
      </c>
      <c r="K353">
        <v>0.0036672106316072328</v>
      </c>
      <c r="L353" t="s">
        <v>88</v>
      </c>
      <c r="N353" t="s">
        <v>122</v>
      </c>
      <c r="O353" t="s">
        <v>91</v>
      </c>
      <c r="P353">
        <v>0.01215200608737574</v>
      </c>
      <c r="Q353" t="s">
        <v>88</v>
      </c>
      <c r="S353" t="s">
        <v>137</v>
      </c>
      <c r="T353" t="s">
        <v>91</v>
      </c>
      <c r="U353">
        <v>0.020858983770134454</v>
      </c>
      <c r="V353" t="s">
        <v>88</v>
      </c>
    </row>
    <row r="354" spans="9:22" ht="14.25">
      <c r="I354" t="s">
        <v>106</v>
      </c>
      <c r="J354" t="s">
        <v>92</v>
      </c>
      <c r="K354">
        <v>0.032627770548881913</v>
      </c>
      <c r="L354" t="s">
        <v>88</v>
      </c>
      <c r="N354" t="s">
        <v>122</v>
      </c>
      <c r="O354" t="s">
        <v>92</v>
      </c>
      <c r="P354">
        <v>0.006514315930501031</v>
      </c>
      <c r="Q354" t="s">
        <v>88</v>
      </c>
      <c r="S354" t="s">
        <v>137</v>
      </c>
      <c r="T354" t="s">
        <v>92</v>
      </c>
      <c r="U354">
        <v>0.011450746127792275</v>
      </c>
      <c r="V354" t="s">
        <v>88</v>
      </c>
    </row>
    <row r="355" spans="9:22" ht="14.25">
      <c r="I355" t="s">
        <v>106</v>
      </c>
      <c r="J355" t="s">
        <v>93</v>
      </c>
      <c r="K355">
        <v>0.060669828842021246</v>
      </c>
      <c r="L355" t="s">
        <v>88</v>
      </c>
      <c r="N355" t="s">
        <v>122</v>
      </c>
      <c r="O355" t="s">
        <v>93</v>
      </c>
      <c r="P355">
        <v>0.019640406884432075</v>
      </c>
      <c r="Q355" t="s">
        <v>88</v>
      </c>
      <c r="S355" t="s">
        <v>137</v>
      </c>
      <c r="T355" t="s">
        <v>93</v>
      </c>
      <c r="U355">
        <v>0.015521339355948674</v>
      </c>
      <c r="V355" t="s">
        <v>88</v>
      </c>
    </row>
    <row r="356" spans="9:22" ht="14.25">
      <c r="I356" t="s">
        <v>106</v>
      </c>
      <c r="J356" t="s">
        <v>184</v>
      </c>
      <c r="K356">
        <v>0.0081211084030270182</v>
      </c>
      <c r="L356" t="s">
        <v>88</v>
      </c>
      <c r="N356" t="s">
        <v>122</v>
      </c>
      <c r="O356" t="s">
        <v>184</v>
      </c>
      <c r="P356">
        <v>0.0030661585996678855</v>
      </c>
      <c r="Q356" t="s">
        <v>88</v>
      </c>
      <c r="S356" t="s">
        <v>137</v>
      </c>
      <c r="T356" t="s">
        <v>184</v>
      </c>
      <c r="U356">
        <v>0.0025656600545549638</v>
      </c>
      <c r="V356" t="s">
        <v>88</v>
      </c>
    </row>
    <row r="357" spans="9:22" ht="14.25">
      <c r="I357" t="s">
        <v>106</v>
      </c>
      <c r="J357" t="s">
        <v>185</v>
      </c>
      <c r="K357">
        <v>0.0064695472224673475</v>
      </c>
      <c r="L357" t="s">
        <v>88</v>
      </c>
      <c r="N357" t="s">
        <v>122</v>
      </c>
      <c r="O357" t="s">
        <v>185</v>
      </c>
      <c r="P357">
        <v>0.0026814900009083744</v>
      </c>
      <c r="Q357" t="s">
        <v>88</v>
      </c>
      <c r="S357" t="s">
        <v>137</v>
      </c>
      <c r="T357" t="s">
        <v>185</v>
      </c>
      <c r="U357">
        <v>0.0026703265903237025</v>
      </c>
      <c r="V357" t="s">
        <v>88</v>
      </c>
    </row>
    <row r="358" spans="9:22" ht="14.25">
      <c r="I358" t="s">
        <v>106</v>
      </c>
      <c r="J358" t="s">
        <v>186</v>
      </c>
      <c r="K358">
        <v>0.0034777146489418367</v>
      </c>
      <c r="L358" t="s">
        <v>88</v>
      </c>
      <c r="N358" t="s">
        <v>122</v>
      </c>
      <c r="O358" t="s">
        <v>186</v>
      </c>
      <c r="P358">
        <v>0.010490434072342354</v>
      </c>
      <c r="Q358" t="s">
        <v>88</v>
      </c>
      <c r="S358" t="s">
        <v>137</v>
      </c>
      <c r="T358" t="s">
        <v>186</v>
      </c>
      <c r="U358">
        <v>0.014901137729619585</v>
      </c>
      <c r="V358" t="s">
        <v>88</v>
      </c>
    </row>
    <row r="359" spans="9:22" ht="14.25">
      <c r="I359" t="s">
        <v>106</v>
      </c>
      <c r="J359" t="s">
        <v>94</v>
      </c>
      <c r="K359">
        <v>8.1649006898680605E-05</v>
      </c>
      <c r="L359" t="s">
        <v>88</v>
      </c>
      <c r="N359" t="s">
        <v>122</v>
      </c>
      <c r="O359" t="s">
        <v>94</v>
      </c>
      <c r="P359">
        <v>0.016490744595713345</v>
      </c>
      <c r="Q359" t="s">
        <v>88</v>
      </c>
      <c r="S359" t="s">
        <v>137</v>
      </c>
      <c r="T359" t="s">
        <v>94</v>
      </c>
      <c r="U359">
        <v>0.021203175900478727</v>
      </c>
      <c r="V359" t="s">
        <v>88</v>
      </c>
    </row>
    <row r="360" spans="9:22" ht="14.25">
      <c r="I360" t="s">
        <v>106</v>
      </c>
      <c r="J360" t="s">
        <v>95</v>
      </c>
      <c r="K360">
        <v>0.024697346779570657</v>
      </c>
      <c r="L360" t="s">
        <v>88</v>
      </c>
      <c r="N360" t="s">
        <v>122</v>
      </c>
      <c r="O360" t="s">
        <v>95</v>
      </c>
      <c r="P360">
        <v>0.0077247997430791096</v>
      </c>
      <c r="Q360" t="s">
        <v>88</v>
      </c>
      <c r="S360" t="s">
        <v>137</v>
      </c>
      <c r="T360" t="s">
        <v>95</v>
      </c>
      <c r="U360">
        <v>0.01154266237059192</v>
      </c>
      <c r="V360" t="s">
        <v>88</v>
      </c>
    </row>
    <row r="361" spans="9:22" ht="14.25">
      <c r="I361" t="s">
        <v>106</v>
      </c>
      <c r="J361" t="s">
        <v>96</v>
      </c>
      <c r="K361">
        <v>0.049015728574135997</v>
      </c>
      <c r="L361" t="s">
        <v>88</v>
      </c>
      <c r="N361" t="s">
        <v>122</v>
      </c>
      <c r="O361" t="s">
        <v>96</v>
      </c>
      <c r="P361">
        <v>0.021087507571700984</v>
      </c>
      <c r="Q361" t="s">
        <v>88</v>
      </c>
      <c r="S361" t="s">
        <v>137</v>
      </c>
      <c r="T361" t="s">
        <v>96</v>
      </c>
      <c r="U361">
        <v>0.017435636672508387</v>
      </c>
      <c r="V361" t="s">
        <v>88</v>
      </c>
    </row>
    <row r="362" spans="9:22" ht="14.25">
      <c r="I362" t="s">
        <v>106</v>
      </c>
      <c r="J362" t="s">
        <v>187</v>
      </c>
      <c r="K362">
        <v>0.006774290604326722</v>
      </c>
      <c r="L362" t="s">
        <v>88</v>
      </c>
      <c r="N362" t="s">
        <v>122</v>
      </c>
      <c r="O362" t="s">
        <v>187</v>
      </c>
      <c r="P362">
        <v>0.0029576242972505205</v>
      </c>
      <c r="Q362" t="s">
        <v>88</v>
      </c>
      <c r="S362" t="s">
        <v>137</v>
      </c>
      <c r="T362" t="s">
        <v>187</v>
      </c>
      <c r="U362">
        <v>0.0031159444894412404</v>
      </c>
      <c r="V362" t="s">
        <v>88</v>
      </c>
    </row>
    <row r="363" spans="9:22" ht="14.25">
      <c r="I363" t="s">
        <v>106</v>
      </c>
      <c r="J363" t="s">
        <v>188</v>
      </c>
      <c r="K363">
        <v>0.0044269768416731652</v>
      </c>
      <c r="L363" t="s">
        <v>88</v>
      </c>
      <c r="N363" t="s">
        <v>122</v>
      </c>
      <c r="O363" t="s">
        <v>188</v>
      </c>
      <c r="P363">
        <v>0.0029816912442353107</v>
      </c>
      <c r="Q363" t="s">
        <v>88</v>
      </c>
      <c r="S363" t="s">
        <v>137</v>
      </c>
      <c r="T363" t="s">
        <v>188</v>
      </c>
      <c r="U363">
        <v>0.0031884783142946843</v>
      </c>
      <c r="V363" t="s">
        <v>88</v>
      </c>
    </row>
    <row r="364" spans="9:22" ht="14.2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0.013630293045085414</v>
      </c>
      <c r="Q364" t="s">
        <v>88</v>
      </c>
      <c r="S364" t="s">
        <v>137</v>
      </c>
      <c r="T364" t="s">
        <v>189</v>
      </c>
      <c r="U364">
        <v>0.016683271086003794</v>
      </c>
      <c r="V364" t="s">
        <v>88</v>
      </c>
    </row>
    <row r="365" spans="9:22" ht="14.2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0.044077305969373294</v>
      </c>
      <c r="Q365" t="s">
        <v>88</v>
      </c>
      <c r="S365" t="s">
        <v>137</v>
      </c>
      <c r="T365" t="s">
        <v>97</v>
      </c>
      <c r="U365">
        <v>0.046103278698370241</v>
      </c>
      <c r="V365" t="s">
        <v>88</v>
      </c>
    </row>
    <row r="366" spans="9:22" ht="14.25">
      <c r="I366" t="s">
        <v>106</v>
      </c>
      <c r="J366" t="s">
        <v>98</v>
      </c>
      <c r="K366">
        <v>0.028028790008895441</v>
      </c>
      <c r="L366" t="s">
        <v>88</v>
      </c>
      <c r="N366" t="s">
        <v>122</v>
      </c>
      <c r="O366" t="s">
        <v>98</v>
      </c>
      <c r="P366">
        <v>0.025886227336375345</v>
      </c>
      <c r="Q366" t="s">
        <v>88</v>
      </c>
      <c r="S366" t="s">
        <v>137</v>
      </c>
      <c r="T366" t="s">
        <v>98</v>
      </c>
      <c r="U366">
        <v>0.023847214482049905</v>
      </c>
      <c r="V366" t="s">
        <v>88</v>
      </c>
    </row>
    <row r="367" spans="9:22" ht="14.25">
      <c r="I367" t="s">
        <v>106</v>
      </c>
      <c r="J367" t="s">
        <v>99</v>
      </c>
      <c r="K367">
        <v>0.055886570840875685</v>
      </c>
      <c r="L367" t="s">
        <v>88</v>
      </c>
      <c r="N367" t="s">
        <v>122</v>
      </c>
      <c r="O367" t="s">
        <v>99</v>
      </c>
      <c r="P367">
        <v>0.051165817296527819</v>
      </c>
      <c r="Q367" t="s">
        <v>88</v>
      </c>
      <c r="S367" t="s">
        <v>137</v>
      </c>
      <c r="T367" t="s">
        <v>99</v>
      </c>
      <c r="U367">
        <v>0.037473546558366932</v>
      </c>
      <c r="V367" t="s">
        <v>88</v>
      </c>
    </row>
    <row r="368" spans="9:22" ht="14.25">
      <c r="I368" t="s">
        <v>106</v>
      </c>
      <c r="J368" t="s">
        <v>190</v>
      </c>
      <c r="K368">
        <v>0.0036684165095946216</v>
      </c>
      <c r="L368" t="s">
        <v>88</v>
      </c>
      <c r="N368" t="s">
        <v>122</v>
      </c>
      <c r="O368" t="s">
        <v>190</v>
      </c>
      <c r="P368">
        <v>0.0070625921611514311</v>
      </c>
      <c r="Q368" t="s">
        <v>88</v>
      </c>
      <c r="S368" t="s">
        <v>137</v>
      </c>
      <c r="T368" t="s">
        <v>190</v>
      </c>
      <c r="U368">
        <v>0.006690115927944577</v>
      </c>
      <c r="V368" t="s">
        <v>88</v>
      </c>
    </row>
    <row r="369" spans="9:22" ht="14.2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0.0063203976863358277</v>
      </c>
      <c r="Q369" t="s">
        <v>88</v>
      </c>
      <c r="S369" t="s">
        <v>137</v>
      </c>
      <c r="T369" t="s">
        <v>191</v>
      </c>
      <c r="U369">
        <v>0.0067355825152887391</v>
      </c>
      <c r="V369" t="s">
        <v>88</v>
      </c>
    </row>
    <row r="370" spans="9:22" ht="14.2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0.029223719510988646</v>
      </c>
      <c r="Q370" t="s">
        <v>88</v>
      </c>
      <c r="S370" t="s">
        <v>137</v>
      </c>
      <c r="T370" t="s">
        <v>192</v>
      </c>
      <c r="U370">
        <v>0.033944618470622669</v>
      </c>
      <c r="V370" t="s">
        <v>88</v>
      </c>
    </row>
    <row r="371" spans="9:22" ht="14.2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0.016530321766609079</v>
      </c>
      <c r="Q371" t="s">
        <v>88</v>
      </c>
      <c r="S371" t="s">
        <v>137</v>
      </c>
      <c r="T371" t="s">
        <v>193</v>
      </c>
      <c r="U371">
        <v>0.028034463795117714</v>
      </c>
      <c r="V371" t="s">
        <v>88</v>
      </c>
    </row>
    <row r="372" spans="9:22" ht="14.25">
      <c r="I372" t="s">
        <v>106</v>
      </c>
      <c r="J372" t="s">
        <v>194</v>
      </c>
      <c r="K372">
        <v>0.0040578929898232698</v>
      </c>
      <c r="L372" t="s">
        <v>88</v>
      </c>
      <c r="N372" t="s">
        <v>122</v>
      </c>
      <c r="O372" t="s">
        <v>194</v>
      </c>
      <c r="P372">
        <v>0.0085075013232565454</v>
      </c>
      <c r="Q372" t="s">
        <v>88</v>
      </c>
      <c r="S372" t="s">
        <v>137</v>
      </c>
      <c r="T372" t="s">
        <v>194</v>
      </c>
      <c r="U372">
        <v>0.015630155587733223</v>
      </c>
      <c r="V372" t="s">
        <v>88</v>
      </c>
    </row>
    <row r="373" spans="9:22" ht="14.25">
      <c r="I373" t="s">
        <v>106</v>
      </c>
      <c r="J373" t="s">
        <v>195</v>
      </c>
      <c r="K373">
        <v>0.014918121959292744</v>
      </c>
      <c r="L373" t="s">
        <v>88</v>
      </c>
      <c r="N373" t="s">
        <v>122</v>
      </c>
      <c r="O373" t="s">
        <v>195</v>
      </c>
      <c r="P373">
        <v>0.013583948443635908</v>
      </c>
      <c r="Q373" t="s">
        <v>88</v>
      </c>
      <c r="S373" t="s">
        <v>137</v>
      </c>
      <c r="T373" t="s">
        <v>195</v>
      </c>
      <c r="U373">
        <v>0.02265074749196978</v>
      </c>
      <c r="V373" t="s">
        <v>88</v>
      </c>
    </row>
    <row r="374" spans="9:22" ht="14.2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0.0024908632056733658</v>
      </c>
      <c r="Q374" t="s">
        <v>88</v>
      </c>
      <c r="S374" t="s">
        <v>137</v>
      </c>
      <c r="T374" t="s">
        <v>196</v>
      </c>
      <c r="U374">
        <v>0.0038642515978666455</v>
      </c>
      <c r="V374" t="s">
        <v>88</v>
      </c>
    </row>
    <row r="375" spans="9:22" ht="14.2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0.002404759079702664</v>
      </c>
      <c r="Q375" t="s">
        <v>88</v>
      </c>
      <c r="S375" t="s">
        <v>137</v>
      </c>
      <c r="T375" t="s">
        <v>197</v>
      </c>
      <c r="U375">
        <v>0.0039243834412455245</v>
      </c>
      <c r="V375" t="s">
        <v>88</v>
      </c>
    </row>
    <row r="376" spans="9:22" ht="14.2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0.011876389951930915</v>
      </c>
      <c r="Q376" t="s">
        <v>88</v>
      </c>
      <c r="S376" t="s">
        <v>137</v>
      </c>
      <c r="T376" t="s">
        <v>198</v>
      </c>
      <c r="U376">
        <v>0.01963133964767089</v>
      </c>
      <c r="V376" t="s">
        <v>88</v>
      </c>
    </row>
    <row r="377" spans="9:22" ht="14.25">
      <c r="I377" t="s">
        <v>106</v>
      </c>
      <c r="J377" t="s">
        <v>199</v>
      </c>
      <c r="K377">
        <v>0.00025146919265714234</v>
      </c>
      <c r="L377" t="s">
        <v>88</v>
      </c>
      <c r="N377" t="s">
        <v>122</v>
      </c>
      <c r="O377" t="s">
        <v>199</v>
      </c>
      <c r="P377">
        <v>0.073181701979415134</v>
      </c>
      <c r="Q377" t="s">
        <v>88</v>
      </c>
      <c r="S377" t="s">
        <v>137</v>
      </c>
      <c r="T377" t="s">
        <v>199</v>
      </c>
      <c r="U377">
        <v>0.088337345183020041</v>
      </c>
      <c r="V377" t="s">
        <v>88</v>
      </c>
    </row>
    <row r="378" spans="9:22" ht="14.25">
      <c r="I378" t="s">
        <v>106</v>
      </c>
      <c r="J378" t="s">
        <v>200</v>
      </c>
      <c r="K378">
        <v>0.050196319691144194</v>
      </c>
      <c r="L378" t="s">
        <v>88</v>
      </c>
      <c r="N378" t="s">
        <v>122</v>
      </c>
      <c r="O378" t="s">
        <v>200</v>
      </c>
      <c r="P378">
        <v>0.040538157028628667</v>
      </c>
      <c r="Q378" t="s">
        <v>88</v>
      </c>
      <c r="S378" t="s">
        <v>137</v>
      </c>
      <c r="T378" t="s">
        <v>200</v>
      </c>
      <c r="U378">
        <v>0.048539288927033873</v>
      </c>
      <c r="V378" t="s">
        <v>88</v>
      </c>
    </row>
    <row r="379" spans="9:22" ht="14.2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0.073513189433583537</v>
      </c>
      <c r="Q379" t="s">
        <v>88</v>
      </c>
      <c r="S379" t="s">
        <v>137</v>
      </c>
      <c r="T379" t="s">
        <v>201</v>
      </c>
      <c r="U379">
        <v>0.072713957117199843</v>
      </c>
      <c r="V379" t="s">
        <v>88</v>
      </c>
    </row>
    <row r="380" spans="9:22" ht="14.25">
      <c r="I380" t="s">
        <v>106</v>
      </c>
      <c r="J380" t="s">
        <v>202</v>
      </c>
      <c r="K380">
        <v>0.0089294099143698517</v>
      </c>
      <c r="L380" t="s">
        <v>88</v>
      </c>
      <c r="N380" t="s">
        <v>122</v>
      </c>
      <c r="O380" t="s">
        <v>202</v>
      </c>
      <c r="P380">
        <v>0.010743045084534851</v>
      </c>
      <c r="Q380" t="s">
        <v>88</v>
      </c>
      <c r="S380" t="s">
        <v>137</v>
      </c>
      <c r="T380" t="s">
        <v>202</v>
      </c>
      <c r="U380">
        <v>0.012162215313917039</v>
      </c>
      <c r="V380" t="s">
        <v>88</v>
      </c>
    </row>
    <row r="381" spans="9:22" ht="14.25">
      <c r="I381" t="s">
        <v>106</v>
      </c>
      <c r="J381" t="s">
        <v>203</v>
      </c>
      <c r="K381">
        <v>0.0013576921646201816</v>
      </c>
      <c r="L381" t="s">
        <v>88</v>
      </c>
      <c r="N381" t="s">
        <v>122</v>
      </c>
      <c r="O381" t="s">
        <v>203</v>
      </c>
      <c r="P381">
        <v>0.010423302720397513</v>
      </c>
      <c r="Q381" t="s">
        <v>88</v>
      </c>
      <c r="S381" t="s">
        <v>137</v>
      </c>
      <c r="T381" t="s">
        <v>203</v>
      </c>
      <c r="U381">
        <v>0.012152098585984285</v>
      </c>
      <c r="V381" t="s">
        <v>88</v>
      </c>
    </row>
    <row r="382" spans="9:22" ht="14.2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0.051211742200523158</v>
      </c>
      <c r="Q382" t="s">
        <v>88</v>
      </c>
      <c r="S382" t="s">
        <v>137</v>
      </c>
      <c r="T382" t="s">
        <v>204</v>
      </c>
      <c r="U382">
        <v>0.060680234849871652</v>
      </c>
      <c r="V382" t="s">
        <v>88</v>
      </c>
    </row>
    <row r="383" spans="9:22" ht="14.25">
      <c r="I383" t="s">
        <v>106</v>
      </c>
      <c r="J383" t="s">
        <v>205</v>
      </c>
      <c r="K383">
        <v>0.0059708600217112185</v>
      </c>
      <c r="L383" t="s">
        <v>88</v>
      </c>
      <c r="N383" t="s">
        <v>122</v>
      </c>
      <c r="O383" t="s">
        <v>205</v>
      </c>
      <c r="P383">
        <v>0.046429092779344823</v>
      </c>
      <c r="Q383" t="s">
        <v>88</v>
      </c>
      <c r="S383" t="s">
        <v>137</v>
      </c>
      <c r="T383" t="s">
        <v>205</v>
      </c>
      <c r="U383">
        <v>0.024815310526927297</v>
      </c>
      <c r="V383" t="s">
        <v>88</v>
      </c>
    </row>
    <row r="384" spans="9:22" ht="14.25">
      <c r="I384" t="s">
        <v>106</v>
      </c>
      <c r="J384" t="s">
        <v>206</v>
      </c>
      <c r="K384">
        <v>0.038396640869078055</v>
      </c>
      <c r="L384" t="s">
        <v>88</v>
      </c>
      <c r="N384" t="s">
        <v>122</v>
      </c>
      <c r="O384" t="s">
        <v>206</v>
      </c>
      <c r="P384">
        <v>0.028750458687750682</v>
      </c>
      <c r="Q384" t="s">
        <v>88</v>
      </c>
      <c r="S384" t="s">
        <v>137</v>
      </c>
      <c r="T384" t="s">
        <v>206</v>
      </c>
      <c r="U384">
        <v>0.013283938111835127</v>
      </c>
      <c r="V384" t="s">
        <v>88</v>
      </c>
    </row>
    <row r="385" spans="9:22" ht="14.25">
      <c r="I385" t="s">
        <v>106</v>
      </c>
      <c r="J385" t="s">
        <v>207</v>
      </c>
      <c r="K385">
        <v>0.061741142750010081</v>
      </c>
      <c r="L385" t="s">
        <v>88</v>
      </c>
      <c r="N385" t="s">
        <v>122</v>
      </c>
      <c r="O385" t="s">
        <v>207</v>
      </c>
      <c r="P385">
        <v>0.053915225522737843</v>
      </c>
      <c r="Q385" t="s">
        <v>88</v>
      </c>
      <c r="S385" t="s">
        <v>137</v>
      </c>
      <c r="T385" t="s">
        <v>207</v>
      </c>
      <c r="U385">
        <v>0.022106651749587432</v>
      </c>
      <c r="V385" t="s">
        <v>88</v>
      </c>
    </row>
    <row r="386" spans="9:22" ht="14.25">
      <c r="I386" t="s">
        <v>106</v>
      </c>
      <c r="J386" t="s">
        <v>208</v>
      </c>
      <c r="K386">
        <v>0.0075273334577179631</v>
      </c>
      <c r="L386" t="s">
        <v>88</v>
      </c>
      <c r="N386" t="s">
        <v>122</v>
      </c>
      <c r="O386" t="s">
        <v>208</v>
      </c>
      <c r="P386">
        <v>0.0074482010419545646</v>
      </c>
      <c r="Q386" t="s">
        <v>88</v>
      </c>
      <c r="S386" t="s">
        <v>137</v>
      </c>
      <c r="T386" t="s">
        <v>208</v>
      </c>
      <c r="U386">
        <v>0.0039465986131940129</v>
      </c>
      <c r="V386" t="s">
        <v>88</v>
      </c>
    </row>
    <row r="387" spans="9:22" ht="14.25">
      <c r="I387" t="s">
        <v>106</v>
      </c>
      <c r="J387" t="s">
        <v>209</v>
      </c>
      <c r="K387">
        <v>0.0054209777018717096</v>
      </c>
      <c r="L387" t="s">
        <v>88</v>
      </c>
      <c r="N387" t="s">
        <v>122</v>
      </c>
      <c r="O387" t="s">
        <v>209</v>
      </c>
      <c r="P387">
        <v>0.0069000697247936808</v>
      </c>
      <c r="Q387" t="s">
        <v>88</v>
      </c>
      <c r="S387" t="s">
        <v>137</v>
      </c>
      <c r="T387" t="s">
        <v>209</v>
      </c>
      <c r="U387">
        <v>0.0039618059188946658</v>
      </c>
      <c r="V387" t="s">
        <v>88</v>
      </c>
    </row>
    <row r="388" spans="9:22" ht="14.2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0.02889275916870505</v>
      </c>
      <c r="Q388" t="s">
        <v>88</v>
      </c>
      <c r="S388" t="s">
        <v>137</v>
      </c>
      <c r="T388" t="s">
        <v>210</v>
      </c>
      <c r="U388">
        <v>0.01977058578875868</v>
      </c>
      <c r="V388" t="s">
        <v>88</v>
      </c>
    </row>
    <row r="389" spans="9:22" ht="14.25">
      <c r="I389" t="s">
        <v>106</v>
      </c>
      <c r="J389" t="s">
        <v>211</v>
      </c>
      <c r="K389">
        <v>0.020494156987491491</v>
      </c>
      <c r="L389" t="s">
        <v>88</v>
      </c>
      <c r="N389" t="s">
        <v>122</v>
      </c>
      <c r="O389" t="s">
        <v>211</v>
      </c>
      <c r="P389">
        <v>0.022996406081166737</v>
      </c>
      <c r="Q389" t="s">
        <v>88</v>
      </c>
      <c r="S389" t="s">
        <v>137</v>
      </c>
      <c r="T389" t="s">
        <v>211</v>
      </c>
      <c r="U389">
        <v>0.039524144219753254</v>
      </c>
      <c r="V389" t="s">
        <v>88</v>
      </c>
    </row>
    <row r="390" spans="9:22" ht="14.25">
      <c r="I390" t="s">
        <v>106</v>
      </c>
      <c r="J390" t="s">
        <v>212</v>
      </c>
      <c r="K390">
        <v>0.078851862714480858</v>
      </c>
      <c r="L390" t="s">
        <v>88</v>
      </c>
      <c r="N390" t="s">
        <v>122</v>
      </c>
      <c r="O390" t="s">
        <v>212</v>
      </c>
      <c r="P390">
        <v>0.019850633932736516</v>
      </c>
      <c r="Q390" t="s">
        <v>88</v>
      </c>
      <c r="S390" t="s">
        <v>137</v>
      </c>
      <c r="T390" t="s">
        <v>212</v>
      </c>
      <c r="U390">
        <v>0.020472879836511595</v>
      </c>
      <c r="V390" t="s">
        <v>88</v>
      </c>
    </row>
    <row r="391" spans="9:22" ht="14.2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0.047288475426810153</v>
      </c>
      <c r="Q391" t="s">
        <v>88</v>
      </c>
      <c r="S391" t="s">
        <v>137</v>
      </c>
      <c r="T391" t="s">
        <v>213</v>
      </c>
      <c r="U391">
        <v>0.029181832473907227</v>
      </c>
      <c r="V391" t="s">
        <v>88</v>
      </c>
    </row>
    <row r="392" spans="9:22" ht="14.25">
      <c r="I392" t="s">
        <v>106</v>
      </c>
      <c r="J392" t="s">
        <v>214</v>
      </c>
      <c r="K392">
        <v>0.014678844404184776</v>
      </c>
      <c r="L392" t="s">
        <v>88</v>
      </c>
      <c r="N392" t="s">
        <v>122</v>
      </c>
      <c r="O392" t="s">
        <v>214</v>
      </c>
      <c r="P392">
        <v>0.0060469374891290771</v>
      </c>
      <c r="Q392" t="s">
        <v>88</v>
      </c>
      <c r="S392" t="s">
        <v>137</v>
      </c>
      <c r="T392" t="s">
        <v>214</v>
      </c>
      <c r="U392">
        <v>0.0051820957763008902</v>
      </c>
      <c r="V392" t="s">
        <v>88</v>
      </c>
    </row>
    <row r="393" spans="9:22" ht="14.25">
      <c r="I393" t="s">
        <v>106</v>
      </c>
      <c r="J393" t="s">
        <v>215</v>
      </c>
      <c r="K393">
        <v>0.011634432047109105</v>
      </c>
      <c r="L393" t="s">
        <v>88</v>
      </c>
      <c r="N393" t="s">
        <v>122</v>
      </c>
      <c r="O393" t="s">
        <v>215</v>
      </c>
      <c r="P393">
        <v>0.0050353490160051136</v>
      </c>
      <c r="Q393" t="s">
        <v>88</v>
      </c>
      <c r="S393" t="s">
        <v>137</v>
      </c>
      <c r="T393" t="s">
        <v>215</v>
      </c>
      <c r="U393">
        <v>0.0054306017294708424</v>
      </c>
      <c r="V393" t="s">
        <v>88</v>
      </c>
    </row>
    <row r="394" spans="9:22" ht="14.25">
      <c r="I394" t="s">
        <v>106</v>
      </c>
      <c r="J394" t="s">
        <v>216</v>
      </c>
      <c r="K394">
        <v>0.0067105740338128175</v>
      </c>
      <c r="L394" t="s">
        <v>88</v>
      </c>
      <c r="N394" t="s">
        <v>122</v>
      </c>
      <c r="O394" t="s">
        <v>216</v>
      </c>
      <c r="P394">
        <v>0.018083859372486646</v>
      </c>
      <c r="Q394" t="s">
        <v>88</v>
      </c>
      <c r="S394" t="s">
        <v>137</v>
      </c>
      <c r="T394" t="s">
        <v>216</v>
      </c>
      <c r="U394">
        <v>0.029079321692100611</v>
      </c>
      <c r="V394" t="s">
        <v>88</v>
      </c>
    </row>
    <row r="395" spans="9:22" ht="14.25">
      <c r="I395" t="s">
        <v>107</v>
      </c>
      <c r="J395" t="s">
        <v>87</v>
      </c>
      <c r="K395">
        <v>0.0053951592681080506</v>
      </c>
      <c r="L395" t="s">
        <v>88</v>
      </c>
      <c r="N395" t="s">
        <v>123</v>
      </c>
      <c r="O395" t="s">
        <v>87</v>
      </c>
      <c r="P395">
        <v>0.026737397812918888</v>
      </c>
      <c r="Q395" t="s">
        <v>88</v>
      </c>
      <c r="S395" t="s">
        <v>138</v>
      </c>
      <c r="T395" t="s">
        <v>87</v>
      </c>
      <c r="U395">
        <v>0.021566374664203341</v>
      </c>
      <c r="V395" t="s">
        <v>88</v>
      </c>
    </row>
    <row r="396" spans="9:22" ht="14.25">
      <c r="I396" t="s">
        <v>107</v>
      </c>
      <c r="J396" t="s">
        <v>89</v>
      </c>
      <c r="K396">
        <v>0.040600756363833992</v>
      </c>
      <c r="L396" t="s">
        <v>88</v>
      </c>
      <c r="N396" t="s">
        <v>123</v>
      </c>
      <c r="O396" t="s">
        <v>89</v>
      </c>
      <c r="P396">
        <v>0.014897958491951755</v>
      </c>
      <c r="Q396" t="s">
        <v>88</v>
      </c>
      <c r="S396" t="s">
        <v>138</v>
      </c>
      <c r="T396" t="s">
        <v>89</v>
      </c>
      <c r="U396">
        <v>0.014058846291075943</v>
      </c>
      <c r="V396" t="s">
        <v>88</v>
      </c>
    </row>
    <row r="397" spans="9:22" ht="14.25">
      <c r="I397" t="s">
        <v>107</v>
      </c>
      <c r="J397" t="s">
        <v>90</v>
      </c>
      <c r="K397">
        <v>0.076574385446251891</v>
      </c>
      <c r="L397" t="s">
        <v>88</v>
      </c>
      <c r="N397" t="s">
        <v>123</v>
      </c>
      <c r="O397" t="s">
        <v>90</v>
      </c>
      <c r="P397">
        <v>0.025353490289798993</v>
      </c>
      <c r="Q397" t="s">
        <v>88</v>
      </c>
      <c r="S397" t="s">
        <v>138</v>
      </c>
      <c r="T397" t="s">
        <v>90</v>
      </c>
      <c r="U397">
        <v>0.026615899101131962</v>
      </c>
      <c r="V397" t="s">
        <v>88</v>
      </c>
    </row>
    <row r="398" spans="9:22" ht="14.25">
      <c r="I398" t="s">
        <v>107</v>
      </c>
      <c r="J398" t="s">
        <v>181</v>
      </c>
      <c r="K398">
        <v>0.010092617892724467</v>
      </c>
      <c r="L398" t="s">
        <v>88</v>
      </c>
      <c r="N398" t="s">
        <v>123</v>
      </c>
      <c r="O398" t="s">
        <v>181</v>
      </c>
      <c r="P398">
        <v>0.0039754543683521481</v>
      </c>
      <c r="Q398" t="s">
        <v>88</v>
      </c>
      <c r="S398" t="s">
        <v>138</v>
      </c>
      <c r="T398" t="s">
        <v>181</v>
      </c>
      <c r="U398">
        <v>0.0045236354471314914</v>
      </c>
      <c r="V398" t="s">
        <v>88</v>
      </c>
    </row>
    <row r="399" spans="9:22" ht="14.25">
      <c r="I399" t="s">
        <v>107</v>
      </c>
      <c r="J399" t="s">
        <v>182</v>
      </c>
      <c r="K399">
        <v>0.0090207585007907702</v>
      </c>
      <c r="L399" t="s">
        <v>88</v>
      </c>
      <c r="N399" t="s">
        <v>123</v>
      </c>
      <c r="O399" t="s">
        <v>182</v>
      </c>
      <c r="P399">
        <v>0.0037724867646274618</v>
      </c>
      <c r="Q399" t="s">
        <v>88</v>
      </c>
      <c r="S399" t="s">
        <v>138</v>
      </c>
      <c r="T399" t="s">
        <v>182</v>
      </c>
      <c r="U399">
        <v>0.0041952299940400213</v>
      </c>
      <c r="V399" t="s">
        <v>88</v>
      </c>
    </row>
    <row r="400" spans="9:22" ht="14.25">
      <c r="I400" t="s">
        <v>107</v>
      </c>
      <c r="J400" t="s">
        <v>183</v>
      </c>
      <c r="K400">
        <v>0.0059084145227329696</v>
      </c>
      <c r="L400" t="s">
        <v>88</v>
      </c>
      <c r="N400" t="s">
        <v>123</v>
      </c>
      <c r="O400" t="s">
        <v>183</v>
      </c>
      <c r="P400">
        <v>0.017750284376316004</v>
      </c>
      <c r="Q400" t="s">
        <v>88</v>
      </c>
      <c r="S400" t="s">
        <v>138</v>
      </c>
      <c r="T400" t="s">
        <v>183</v>
      </c>
      <c r="U400">
        <v>0.018487675227174458</v>
      </c>
      <c r="V400" t="s">
        <v>88</v>
      </c>
    </row>
    <row r="401" spans="9:22" ht="14.25">
      <c r="I401" t="s">
        <v>107</v>
      </c>
      <c r="J401" t="s">
        <v>91</v>
      </c>
      <c r="K401">
        <v>0.0034334230520037959</v>
      </c>
      <c r="L401" t="s">
        <v>88</v>
      </c>
      <c r="N401" t="s">
        <v>123</v>
      </c>
      <c r="O401" t="s">
        <v>91</v>
      </c>
      <c r="P401">
        <v>0.016870108046944929</v>
      </c>
      <c r="Q401" t="s">
        <v>88</v>
      </c>
      <c r="S401" t="s">
        <v>138</v>
      </c>
      <c r="T401" t="s">
        <v>91</v>
      </c>
      <c r="U401">
        <v>0.0098747472173165117</v>
      </c>
      <c r="V401" t="s">
        <v>88</v>
      </c>
    </row>
    <row r="402" spans="9:22" ht="14.25">
      <c r="I402" t="s">
        <v>107</v>
      </c>
      <c r="J402" t="s">
        <v>92</v>
      </c>
      <c r="K402">
        <v>0.033919394455076871</v>
      </c>
      <c r="L402" t="s">
        <v>88</v>
      </c>
      <c r="N402" t="s">
        <v>123</v>
      </c>
      <c r="O402" t="s">
        <v>92</v>
      </c>
      <c r="P402">
        <v>0.0090619712315647399</v>
      </c>
      <c r="Q402" t="s">
        <v>88</v>
      </c>
      <c r="S402" t="s">
        <v>138</v>
      </c>
      <c r="T402" t="s">
        <v>92</v>
      </c>
      <c r="U402">
        <v>0.0057468643223093138</v>
      </c>
      <c r="V402" t="s">
        <v>88</v>
      </c>
    </row>
    <row r="403" spans="9:22" ht="14.25">
      <c r="I403" t="s">
        <v>107</v>
      </c>
      <c r="J403" t="s">
        <v>93</v>
      </c>
      <c r="K403">
        <v>0.065568484995961226</v>
      </c>
      <c r="L403" t="s">
        <v>88</v>
      </c>
      <c r="N403" t="s">
        <v>123</v>
      </c>
      <c r="O403" t="s">
        <v>93</v>
      </c>
      <c r="P403">
        <v>0.017489149045311559</v>
      </c>
      <c r="Q403" t="s">
        <v>88</v>
      </c>
      <c r="S403" t="s">
        <v>138</v>
      </c>
      <c r="T403" t="s">
        <v>93</v>
      </c>
      <c r="U403">
        <v>0.012719337068070569</v>
      </c>
      <c r="V403" t="s">
        <v>88</v>
      </c>
    </row>
    <row r="404" spans="9:22" ht="14.25">
      <c r="I404" t="s">
        <v>107</v>
      </c>
      <c r="J404" t="s">
        <v>184</v>
      </c>
      <c r="K404">
        <v>0.0093862786900528027</v>
      </c>
      <c r="L404" t="s">
        <v>88</v>
      </c>
      <c r="N404" t="s">
        <v>123</v>
      </c>
      <c r="O404" t="s">
        <v>184</v>
      </c>
      <c r="P404">
        <v>0.0029989376058822768</v>
      </c>
      <c r="Q404" t="s">
        <v>88</v>
      </c>
      <c r="S404" t="s">
        <v>138</v>
      </c>
      <c r="T404" t="s">
        <v>184</v>
      </c>
      <c r="U404">
        <v>0.0029043316693030778</v>
      </c>
      <c r="V404" t="s">
        <v>88</v>
      </c>
    </row>
    <row r="405" spans="9:22" ht="14.25">
      <c r="I405" t="s">
        <v>107</v>
      </c>
      <c r="J405" t="s">
        <v>185</v>
      </c>
      <c r="K405">
        <v>0.0079440768516049129</v>
      </c>
      <c r="L405" t="s">
        <v>88</v>
      </c>
      <c r="N405" t="s">
        <v>123</v>
      </c>
      <c r="O405" t="s">
        <v>185</v>
      </c>
      <c r="P405">
        <v>0.0030032376335479036</v>
      </c>
      <c r="Q405" t="s">
        <v>88</v>
      </c>
      <c r="S405" t="s">
        <v>138</v>
      </c>
      <c r="T405" t="s">
        <v>185</v>
      </c>
      <c r="U405">
        <v>0.0028661976899083852</v>
      </c>
      <c r="V405" t="s">
        <v>88</v>
      </c>
    </row>
    <row r="406" spans="9:22" ht="14.25">
      <c r="I406" t="s">
        <v>107</v>
      </c>
      <c r="J406" t="s">
        <v>186</v>
      </c>
      <c r="K406">
        <v>0.0049919323415890306</v>
      </c>
      <c r="L406" t="s">
        <v>88</v>
      </c>
      <c r="N406" t="s">
        <v>123</v>
      </c>
      <c r="O406" t="s">
        <v>186</v>
      </c>
      <c r="P406">
        <v>0.013995465621526546</v>
      </c>
      <c r="Q406" t="s">
        <v>88</v>
      </c>
      <c r="S406" t="s">
        <v>138</v>
      </c>
      <c r="T406" t="s">
        <v>186</v>
      </c>
      <c r="U406">
        <v>0.010409961139881232</v>
      </c>
      <c r="V406" t="s">
        <v>88</v>
      </c>
    </row>
    <row r="407" spans="9:22" ht="14.2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0.017734138175326684</v>
      </c>
      <c r="Q407" t="s">
        <v>88</v>
      </c>
      <c r="S407" t="s">
        <v>138</v>
      </c>
      <c r="T407" t="s">
        <v>94</v>
      </c>
      <c r="U407">
        <v>0.010544516593747172</v>
      </c>
      <c r="V407" t="s">
        <v>88</v>
      </c>
    </row>
    <row r="408" spans="9:22" ht="14.25">
      <c r="I408" t="s">
        <v>107</v>
      </c>
      <c r="J408" t="s">
        <v>95</v>
      </c>
      <c r="K408">
        <v>0.024458056821217274</v>
      </c>
      <c r="L408" t="s">
        <v>88</v>
      </c>
      <c r="N408" t="s">
        <v>123</v>
      </c>
      <c r="O408" t="s">
        <v>95</v>
      </c>
      <c r="P408">
        <v>0.0088109869169107052</v>
      </c>
      <c r="Q408" t="s">
        <v>88</v>
      </c>
      <c r="S408" t="s">
        <v>138</v>
      </c>
      <c r="T408" t="s">
        <v>95</v>
      </c>
      <c r="U408">
        <v>0.0066776038431532831</v>
      </c>
      <c r="V408" t="s">
        <v>88</v>
      </c>
    </row>
    <row r="409" spans="9:22" ht="14.25">
      <c r="I409" t="s">
        <v>107</v>
      </c>
      <c r="J409" t="s">
        <v>96</v>
      </c>
      <c r="K409">
        <v>0.051096700422266092</v>
      </c>
      <c r="L409" t="s">
        <v>88</v>
      </c>
      <c r="N409" t="s">
        <v>123</v>
      </c>
      <c r="O409" t="s">
        <v>96</v>
      </c>
      <c r="P409">
        <v>0.016491542502155745</v>
      </c>
      <c r="Q409" t="s">
        <v>88</v>
      </c>
      <c r="S409" t="s">
        <v>138</v>
      </c>
      <c r="T409" t="s">
        <v>96</v>
      </c>
      <c r="U409">
        <v>0.013440619449697643</v>
      </c>
      <c r="V409" t="s">
        <v>88</v>
      </c>
    </row>
    <row r="410" spans="9:22" ht="14.25">
      <c r="I410" t="s">
        <v>107</v>
      </c>
      <c r="J410" t="s">
        <v>187</v>
      </c>
      <c r="K410">
        <v>0.0070833692887296582</v>
      </c>
      <c r="L410" t="s">
        <v>88</v>
      </c>
      <c r="N410" t="s">
        <v>123</v>
      </c>
      <c r="O410" t="s">
        <v>187</v>
      </c>
      <c r="P410">
        <v>0.0028905129819456537</v>
      </c>
      <c r="Q410" t="s">
        <v>88</v>
      </c>
      <c r="S410" t="s">
        <v>138</v>
      </c>
      <c r="T410" t="s">
        <v>187</v>
      </c>
      <c r="U410">
        <v>0.0026834192108476668</v>
      </c>
      <c r="V410" t="s">
        <v>88</v>
      </c>
    </row>
    <row r="411" spans="9:22" ht="14.25">
      <c r="I411" t="s">
        <v>107</v>
      </c>
      <c r="J411" t="s">
        <v>188</v>
      </c>
      <c r="K411">
        <v>0.0054959725082033535</v>
      </c>
      <c r="L411" t="s">
        <v>88</v>
      </c>
      <c r="N411" t="s">
        <v>123</v>
      </c>
      <c r="O411" t="s">
        <v>188</v>
      </c>
      <c r="P411">
        <v>0.0029783718716865876</v>
      </c>
      <c r="Q411" t="s">
        <v>88</v>
      </c>
      <c r="S411" t="s">
        <v>138</v>
      </c>
      <c r="T411" t="s">
        <v>188</v>
      </c>
      <c r="U411">
        <v>0.0025912416120513564</v>
      </c>
      <c r="V411" t="s">
        <v>88</v>
      </c>
    </row>
    <row r="412" spans="9:22" ht="14.2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0.014809099685823236</v>
      </c>
      <c r="Q412" t="s">
        <v>88</v>
      </c>
      <c r="S412" t="s">
        <v>138</v>
      </c>
      <c r="T412" t="s">
        <v>189</v>
      </c>
      <c r="U412">
        <v>0.0094380232853920523</v>
      </c>
      <c r="V412" t="s">
        <v>88</v>
      </c>
    </row>
    <row r="413" spans="9:22" ht="14.2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0.052551990845177102</v>
      </c>
      <c r="Q413" t="s">
        <v>88</v>
      </c>
      <c r="S413" t="s">
        <v>138</v>
      </c>
      <c r="T413" t="s">
        <v>97</v>
      </c>
      <c r="U413">
        <v>0.047175946438178122</v>
      </c>
      <c r="V413" t="s">
        <v>88</v>
      </c>
    </row>
    <row r="414" spans="9:22" ht="14.25">
      <c r="I414" t="s">
        <v>107</v>
      </c>
      <c r="J414" t="s">
        <v>98</v>
      </c>
      <c r="K414">
        <v>0.025337374036576002</v>
      </c>
      <c r="L414" t="s">
        <v>88</v>
      </c>
      <c r="N414" t="s">
        <v>123</v>
      </c>
      <c r="O414" t="s">
        <v>98</v>
      </c>
      <c r="P414">
        <v>0.029525760686179448</v>
      </c>
      <c r="Q414" t="s">
        <v>88</v>
      </c>
      <c r="S414" t="s">
        <v>138</v>
      </c>
      <c r="T414" t="s">
        <v>98</v>
      </c>
      <c r="U414">
        <v>0.022664159999563383</v>
      </c>
      <c r="V414" t="s">
        <v>88</v>
      </c>
    </row>
    <row r="415" spans="9:22" ht="14.25">
      <c r="I415" t="s">
        <v>107</v>
      </c>
      <c r="J415" t="s">
        <v>99</v>
      </c>
      <c r="K415">
        <v>0.059581209446498994</v>
      </c>
      <c r="L415" t="s">
        <v>88</v>
      </c>
      <c r="N415" t="s">
        <v>123</v>
      </c>
      <c r="O415" t="s">
        <v>99</v>
      </c>
      <c r="P415">
        <v>0.047893694264945275</v>
      </c>
      <c r="Q415" t="s">
        <v>88</v>
      </c>
      <c r="S415" t="s">
        <v>138</v>
      </c>
      <c r="T415" t="s">
        <v>99</v>
      </c>
      <c r="U415">
        <v>0.041153611984491661</v>
      </c>
      <c r="V415" t="s">
        <v>88</v>
      </c>
    </row>
    <row r="416" spans="9:22" ht="14.25">
      <c r="I416" t="s">
        <v>107</v>
      </c>
      <c r="J416" t="s">
        <v>190</v>
      </c>
      <c r="K416">
        <v>0.004809034222390529</v>
      </c>
      <c r="L416" t="s">
        <v>88</v>
      </c>
      <c r="N416" t="s">
        <v>123</v>
      </c>
      <c r="O416" t="s">
        <v>190</v>
      </c>
      <c r="P416">
        <v>0.0080150172609641055</v>
      </c>
      <c r="Q416" t="s">
        <v>88</v>
      </c>
      <c r="S416" t="s">
        <v>138</v>
      </c>
      <c r="T416" t="s">
        <v>190</v>
      </c>
      <c r="U416">
        <v>0.0067792481481870883</v>
      </c>
      <c r="V416" t="s">
        <v>88</v>
      </c>
    </row>
    <row r="417" spans="9:22" ht="14.25">
      <c r="I417" t="s">
        <v>107</v>
      </c>
      <c r="J417" t="s">
        <v>191</v>
      </c>
      <c r="K417">
        <v>8.7079376234935778E-06</v>
      </c>
      <c r="L417" t="s">
        <v>88</v>
      </c>
      <c r="N417" t="s">
        <v>123</v>
      </c>
      <c r="O417" t="s">
        <v>191</v>
      </c>
      <c r="P417">
        <v>0.00800505245204307</v>
      </c>
      <c r="Q417" t="s">
        <v>88</v>
      </c>
      <c r="S417" t="s">
        <v>138</v>
      </c>
      <c r="T417" t="s">
        <v>191</v>
      </c>
      <c r="U417">
        <v>0.0069625990318921841</v>
      </c>
      <c r="V417" t="s">
        <v>88</v>
      </c>
    </row>
    <row r="418" spans="9:22" ht="14.2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0.038258365050309974</v>
      </c>
      <c r="Q418" t="s">
        <v>88</v>
      </c>
      <c r="S418" t="s">
        <v>138</v>
      </c>
      <c r="T418" t="s">
        <v>192</v>
      </c>
      <c r="U418">
        <v>0.035636926425942531</v>
      </c>
      <c r="V418" t="s">
        <v>88</v>
      </c>
    </row>
    <row r="419" spans="9:22" ht="14.2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0.022891213090244854</v>
      </c>
      <c r="Q419" t="s">
        <v>88</v>
      </c>
      <c r="S419" t="s">
        <v>138</v>
      </c>
      <c r="T419" t="s">
        <v>193</v>
      </c>
      <c r="U419">
        <v>0.023483256315902482</v>
      </c>
      <c r="V419" t="s">
        <v>88</v>
      </c>
    </row>
    <row r="420" spans="9:22" ht="14.25">
      <c r="I420" t="s">
        <v>107</v>
      </c>
      <c r="J420" t="s">
        <v>194</v>
      </c>
      <c r="K420">
        <v>0.0052421829193682757</v>
      </c>
      <c r="L420" t="s">
        <v>88</v>
      </c>
      <c r="N420" t="s">
        <v>123</v>
      </c>
      <c r="O420" t="s">
        <v>194</v>
      </c>
      <c r="P420">
        <v>0.0122540742362561</v>
      </c>
      <c r="Q420" t="s">
        <v>88</v>
      </c>
      <c r="S420" t="s">
        <v>138</v>
      </c>
      <c r="T420" t="s">
        <v>194</v>
      </c>
      <c r="U420">
        <v>0.014625557307105871</v>
      </c>
      <c r="V420" t="s">
        <v>88</v>
      </c>
    </row>
    <row r="421" spans="9:22" ht="14.25">
      <c r="I421" t="s">
        <v>107</v>
      </c>
      <c r="J421" t="s">
        <v>195</v>
      </c>
      <c r="K421">
        <v>0.018754639795785816</v>
      </c>
      <c r="L421" t="s">
        <v>88</v>
      </c>
      <c r="N421" t="s">
        <v>123</v>
      </c>
      <c r="O421" t="s">
        <v>195</v>
      </c>
      <c r="P421">
        <v>0.018488682589242956</v>
      </c>
      <c r="Q421" t="s">
        <v>88</v>
      </c>
      <c r="S421" t="s">
        <v>138</v>
      </c>
      <c r="T421" t="s">
        <v>195</v>
      </c>
      <c r="U421">
        <v>0.025565764285149166</v>
      </c>
      <c r="V421" t="s">
        <v>88</v>
      </c>
    </row>
    <row r="422" spans="9:22" ht="14.2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0.003162596383689232</v>
      </c>
      <c r="Q422" t="s">
        <v>88</v>
      </c>
      <c r="S422" t="s">
        <v>138</v>
      </c>
      <c r="T422" t="s">
        <v>196</v>
      </c>
      <c r="U422">
        <v>0.0038525049719523303</v>
      </c>
      <c r="V422" t="s">
        <v>88</v>
      </c>
    </row>
    <row r="423" spans="9:22" ht="14.2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0.0032285340818708095</v>
      </c>
      <c r="Q423" t="s">
        <v>88</v>
      </c>
      <c r="S423" t="s">
        <v>138</v>
      </c>
      <c r="T423" t="s">
        <v>197</v>
      </c>
      <c r="U423">
        <v>0.0036671465749262078</v>
      </c>
      <c r="V423" t="s">
        <v>88</v>
      </c>
    </row>
    <row r="424" spans="9:22" ht="14.2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0.016533581599300833</v>
      </c>
      <c r="Q424" t="s">
        <v>88</v>
      </c>
      <c r="S424" t="s">
        <v>138</v>
      </c>
      <c r="T424" t="s">
        <v>198</v>
      </c>
      <c r="U424">
        <v>0.01508832613004998</v>
      </c>
      <c r="V424" t="s">
        <v>88</v>
      </c>
    </row>
    <row r="425" spans="9:22" ht="14.25">
      <c r="I425" t="s">
        <v>107</v>
      </c>
      <c r="J425" t="s">
        <v>199</v>
      </c>
      <c r="K425">
        <v>3.638748555392258E-06</v>
      </c>
      <c r="L425" t="s">
        <v>88</v>
      </c>
      <c r="N425" t="s">
        <v>123</v>
      </c>
      <c r="O425" t="s">
        <v>199</v>
      </c>
      <c r="P425">
        <v>0.073956819345248948</v>
      </c>
      <c r="Q425" t="s">
        <v>88</v>
      </c>
      <c r="S425" t="s">
        <v>138</v>
      </c>
      <c r="T425" t="s">
        <v>199</v>
      </c>
      <c r="U425">
        <v>0.089956997130008265</v>
      </c>
      <c r="V425" t="s">
        <v>88</v>
      </c>
    </row>
    <row r="426" spans="9:22" ht="14.25">
      <c r="I426" t="s">
        <v>107</v>
      </c>
      <c r="J426" t="s">
        <v>200</v>
      </c>
      <c r="K426">
        <v>0.043877847372907515</v>
      </c>
      <c r="L426" t="s">
        <v>88</v>
      </c>
      <c r="N426" t="s">
        <v>123</v>
      </c>
      <c r="O426" t="s">
        <v>200</v>
      </c>
      <c r="P426">
        <v>0.041289444507265141</v>
      </c>
      <c r="Q426" t="s">
        <v>88</v>
      </c>
      <c r="S426" t="s">
        <v>138</v>
      </c>
      <c r="T426" t="s">
        <v>200</v>
      </c>
      <c r="U426">
        <v>0.04820518291528262</v>
      </c>
      <c r="V426" t="s">
        <v>88</v>
      </c>
    </row>
    <row r="427" spans="9:22" ht="14.2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0.065821699355129132</v>
      </c>
      <c r="Q427" t="s">
        <v>88</v>
      </c>
      <c r="S427" t="s">
        <v>138</v>
      </c>
      <c r="T427" t="s">
        <v>201</v>
      </c>
      <c r="U427">
        <v>0.084404372711171557</v>
      </c>
      <c r="V427" t="s">
        <v>88</v>
      </c>
    </row>
    <row r="428" spans="9:22" ht="14.25">
      <c r="I428" t="s">
        <v>107</v>
      </c>
      <c r="J428" t="s">
        <v>202</v>
      </c>
      <c r="K428">
        <v>0.0093778440460033467</v>
      </c>
      <c r="L428" t="s">
        <v>88</v>
      </c>
      <c r="N428" t="s">
        <v>123</v>
      </c>
      <c r="O428" t="s">
        <v>202</v>
      </c>
      <c r="P428">
        <v>0.010907116321902536</v>
      </c>
      <c r="Q428" t="s">
        <v>88</v>
      </c>
      <c r="S428" t="s">
        <v>138</v>
      </c>
      <c r="T428" t="s">
        <v>202</v>
      </c>
      <c r="U428">
        <v>0.012343758856444257</v>
      </c>
      <c r="V428" t="s">
        <v>88</v>
      </c>
    </row>
    <row r="429" spans="9:22" ht="14.25">
      <c r="I429" t="s">
        <v>107</v>
      </c>
      <c r="J429" t="s">
        <v>203</v>
      </c>
      <c r="K429">
        <v>0.0018325513322048274</v>
      </c>
      <c r="L429" t="s">
        <v>88</v>
      </c>
      <c r="N429" t="s">
        <v>123</v>
      </c>
      <c r="O429" t="s">
        <v>203</v>
      </c>
      <c r="P429">
        <v>0.010832293336517928</v>
      </c>
      <c r="Q429" t="s">
        <v>88</v>
      </c>
      <c r="S429" t="s">
        <v>138</v>
      </c>
      <c r="T429" t="s">
        <v>203</v>
      </c>
      <c r="U429">
        <v>0.012178624216611566</v>
      </c>
      <c r="V429" t="s">
        <v>88</v>
      </c>
    </row>
    <row r="430" spans="9:22" ht="14.2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0.053982225848233263</v>
      </c>
      <c r="Q430" t="s">
        <v>88</v>
      </c>
      <c r="S430" t="s">
        <v>138</v>
      </c>
      <c r="T430" t="s">
        <v>204</v>
      </c>
      <c r="U430">
        <v>0.063207083602928871</v>
      </c>
      <c r="V430" t="s">
        <v>88</v>
      </c>
    </row>
    <row r="431" spans="9:22" ht="14.25">
      <c r="I431" t="s">
        <v>107</v>
      </c>
      <c r="J431" t="s">
        <v>205</v>
      </c>
      <c r="K431">
        <v>0.0026059346406185936</v>
      </c>
      <c r="L431" t="s">
        <v>88</v>
      </c>
      <c r="N431" t="s">
        <v>123</v>
      </c>
      <c r="O431" t="s">
        <v>205</v>
      </c>
      <c r="P431">
        <v>0.036039238990891904</v>
      </c>
      <c r="Q431" t="s">
        <v>88</v>
      </c>
      <c r="S431" t="s">
        <v>138</v>
      </c>
      <c r="T431" t="s">
        <v>205</v>
      </c>
      <c r="U431">
        <v>0.030927611018422434</v>
      </c>
      <c r="V431" t="s">
        <v>88</v>
      </c>
    </row>
    <row r="432" spans="9:22" ht="14.25">
      <c r="I432" t="s">
        <v>107</v>
      </c>
      <c r="J432" t="s">
        <v>206</v>
      </c>
      <c r="K432">
        <v>0.0281175246507336</v>
      </c>
      <c r="L432" t="s">
        <v>88</v>
      </c>
      <c r="N432" t="s">
        <v>123</v>
      </c>
      <c r="O432" t="s">
        <v>206</v>
      </c>
      <c r="P432">
        <v>0.020342322261232809</v>
      </c>
      <c r="Q432" t="s">
        <v>88</v>
      </c>
      <c r="S432" t="s">
        <v>138</v>
      </c>
      <c r="T432" t="s">
        <v>206</v>
      </c>
      <c r="U432">
        <v>0.021504624224803759</v>
      </c>
      <c r="V432" t="s">
        <v>88</v>
      </c>
    </row>
    <row r="433" spans="9:22" ht="14.25">
      <c r="I433" t="s">
        <v>107</v>
      </c>
      <c r="J433" t="s">
        <v>207</v>
      </c>
      <c r="K433">
        <v>0.056222643760957564</v>
      </c>
      <c r="L433" t="s">
        <v>88</v>
      </c>
      <c r="N433" t="s">
        <v>123</v>
      </c>
      <c r="O433" t="s">
        <v>207</v>
      </c>
      <c r="P433">
        <v>0.033774648279891982</v>
      </c>
      <c r="Q433" t="s">
        <v>88</v>
      </c>
      <c r="S433" t="s">
        <v>138</v>
      </c>
      <c r="T433" t="s">
        <v>207</v>
      </c>
      <c r="U433">
        <v>0.039428538214683513</v>
      </c>
      <c r="V433" t="s">
        <v>88</v>
      </c>
    </row>
    <row r="434" spans="9:22" ht="14.25">
      <c r="I434" t="s">
        <v>107</v>
      </c>
      <c r="J434" t="s">
        <v>208</v>
      </c>
      <c r="K434">
        <v>0.0063934001151168254</v>
      </c>
      <c r="L434" t="s">
        <v>88</v>
      </c>
      <c r="N434" t="s">
        <v>123</v>
      </c>
      <c r="O434" t="s">
        <v>208</v>
      </c>
      <c r="P434">
        <v>0.0053308276753781785</v>
      </c>
      <c r="Q434" t="s">
        <v>88</v>
      </c>
      <c r="S434" t="s">
        <v>138</v>
      </c>
      <c r="T434" t="s">
        <v>208</v>
      </c>
      <c r="U434">
        <v>0.0056869820238452705</v>
      </c>
      <c r="V434" t="s">
        <v>88</v>
      </c>
    </row>
    <row r="435" spans="9:22" ht="14.25">
      <c r="I435" t="s">
        <v>107</v>
      </c>
      <c r="J435" t="s">
        <v>209</v>
      </c>
      <c r="K435">
        <v>0.0045137519173658507</v>
      </c>
      <c r="L435" t="s">
        <v>88</v>
      </c>
      <c r="N435" t="s">
        <v>123</v>
      </c>
      <c r="O435" t="s">
        <v>209</v>
      </c>
      <c r="P435">
        <v>0.0051572915100120834</v>
      </c>
      <c r="Q435" t="s">
        <v>88</v>
      </c>
      <c r="S435" t="s">
        <v>138</v>
      </c>
      <c r="T435" t="s">
        <v>209</v>
      </c>
      <c r="U435">
        <v>0.0053879018516007444</v>
      </c>
      <c r="V435" t="s">
        <v>88</v>
      </c>
    </row>
    <row r="436" spans="9:22" ht="14.2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0.02337073628720826</v>
      </c>
      <c r="Q436" t="s">
        <v>88</v>
      </c>
      <c r="S436" t="s">
        <v>138</v>
      </c>
      <c r="T436" t="s">
        <v>210</v>
      </c>
      <c r="U436">
        <v>0.024082885601091068</v>
      </c>
      <c r="V436" t="s">
        <v>88</v>
      </c>
    </row>
    <row r="437" spans="9:22" ht="14.25">
      <c r="I437" t="s">
        <v>107</v>
      </c>
      <c r="J437" t="s">
        <v>211</v>
      </c>
      <c r="K437">
        <v>0.016726073556446456</v>
      </c>
      <c r="L437" t="s">
        <v>88</v>
      </c>
      <c r="N437" t="s">
        <v>123</v>
      </c>
      <c r="O437" t="s">
        <v>211</v>
      </c>
      <c r="P437">
        <v>0.036384021890880296</v>
      </c>
      <c r="Q437" t="s">
        <v>88</v>
      </c>
      <c r="S437" t="s">
        <v>138</v>
      </c>
      <c r="T437" t="s">
        <v>211</v>
      </c>
      <c r="U437">
        <v>0.034348310335693709</v>
      </c>
      <c r="V437" t="s">
        <v>88</v>
      </c>
    </row>
    <row r="438" spans="9:22" ht="14.25">
      <c r="I438" t="s">
        <v>107</v>
      </c>
      <c r="J438" t="s">
        <v>212</v>
      </c>
      <c r="K438">
        <v>0.07798854401818435</v>
      </c>
      <c r="L438" t="s">
        <v>88</v>
      </c>
      <c r="N438" t="s">
        <v>123</v>
      </c>
      <c r="O438" t="s">
        <v>212</v>
      </c>
      <c r="P438">
        <v>0.0235796297081926</v>
      </c>
      <c r="Q438" t="s">
        <v>88</v>
      </c>
      <c r="S438" t="s">
        <v>138</v>
      </c>
      <c r="T438" t="s">
        <v>212</v>
      </c>
      <c r="U438">
        <v>0.022268794308779417</v>
      </c>
      <c r="V438" t="s">
        <v>88</v>
      </c>
    </row>
    <row r="439" spans="9:22" ht="14.2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0.039961125128135822</v>
      </c>
      <c r="Q439" t="s">
        <v>88</v>
      </c>
      <c r="S439" t="s">
        <v>138</v>
      </c>
      <c r="T439" t="s">
        <v>213</v>
      </c>
      <c r="U439">
        <v>0.039520917998404556</v>
      </c>
      <c r="V439" t="s">
        <v>88</v>
      </c>
    </row>
    <row r="440" spans="9:22" ht="14.25">
      <c r="I440" t="s">
        <v>107</v>
      </c>
      <c r="J440" t="s">
        <v>214</v>
      </c>
      <c r="K440">
        <v>0.017237288238229665</v>
      </c>
      <c r="L440" t="s">
        <v>88</v>
      </c>
      <c r="N440" t="s">
        <v>123</v>
      </c>
      <c r="O440" t="s">
        <v>214</v>
      </c>
      <c r="P440">
        <v>0.0062813768233772414</v>
      </c>
      <c r="Q440" t="s">
        <v>88</v>
      </c>
      <c r="S440" t="s">
        <v>138</v>
      </c>
      <c r="T440" t="s">
        <v>214</v>
      </c>
      <c r="U440">
        <v>0.0067434624551525628</v>
      </c>
      <c r="V440" t="s">
        <v>88</v>
      </c>
    </row>
    <row r="441" spans="9:22" ht="14.25">
      <c r="I441" t="s">
        <v>107</v>
      </c>
      <c r="J441" t="s">
        <v>215</v>
      </c>
      <c r="K441">
        <v>0.014595946110348925</v>
      </c>
      <c r="L441" t="s">
        <v>88</v>
      </c>
      <c r="N441" t="s">
        <v>123</v>
      </c>
      <c r="O441" t="s">
        <v>215</v>
      </c>
      <c r="P441">
        <v>0.0059354292472444375</v>
      </c>
      <c r="Q441" t="s">
        <v>88</v>
      </c>
      <c r="S441" t="s">
        <v>138</v>
      </c>
      <c r="T441" t="s">
        <v>215</v>
      </c>
      <c r="U441">
        <v>0.0064474431217434978</v>
      </c>
      <c r="V441" t="s">
        <v>88</v>
      </c>
    </row>
    <row r="442" spans="9:22" ht="14.25">
      <c r="I442" t="s">
        <v>107</v>
      </c>
      <c r="J442" t="s">
        <v>216</v>
      </c>
      <c r="K442">
        <v>0.0090530307730243859</v>
      </c>
      <c r="L442" t="s">
        <v>88</v>
      </c>
      <c r="N442" t="s">
        <v>123</v>
      </c>
      <c r="O442" t="s">
        <v>216</v>
      </c>
      <c r="P442">
        <v>0.026624597520442141</v>
      </c>
      <c r="Q442" t="s">
        <v>88</v>
      </c>
      <c r="S442" t="s">
        <v>138</v>
      </c>
      <c r="T442" t="s">
        <v>216</v>
      </c>
      <c r="U442">
        <v>0.027356937973557899</v>
      </c>
      <c r="V442" t="s">
        <v>88</v>
      </c>
    </row>
    <row r="443" spans="9:22" ht="14.25">
      <c r="I443" t="s">
        <v>108</v>
      </c>
      <c r="J443" t="s">
        <v>87</v>
      </c>
      <c r="K443">
        <v>0.0054810360802704534</v>
      </c>
      <c r="L443" t="s">
        <v>88</v>
      </c>
      <c r="N443" t="s">
        <v>124</v>
      </c>
      <c r="O443" t="s">
        <v>87</v>
      </c>
      <c r="P443">
        <v>0.026298944304332321</v>
      </c>
      <c r="Q443" t="s">
        <v>88</v>
      </c>
      <c r="S443" t="s">
        <v>139</v>
      </c>
      <c r="T443" t="s">
        <v>87</v>
      </c>
      <c r="U443">
        <v>0.027096631865888152</v>
      </c>
      <c r="V443" t="s">
        <v>88</v>
      </c>
    </row>
    <row r="444" spans="9:22" ht="14.25">
      <c r="I444" t="s">
        <v>108</v>
      </c>
      <c r="J444" t="s">
        <v>89</v>
      </c>
      <c r="K444">
        <v>0.042257375949130829</v>
      </c>
      <c r="L444" t="s">
        <v>88</v>
      </c>
      <c r="N444" t="s">
        <v>124</v>
      </c>
      <c r="O444" t="s">
        <v>89</v>
      </c>
      <c r="P444">
        <v>0.014599110728906987</v>
      </c>
      <c r="Q444" t="s">
        <v>88</v>
      </c>
      <c r="S444" t="s">
        <v>139</v>
      </c>
      <c r="T444" t="s">
        <v>89</v>
      </c>
      <c r="U444">
        <v>0.014798103429585267</v>
      </c>
      <c r="V444" t="s">
        <v>88</v>
      </c>
    </row>
    <row r="445" spans="9:22" ht="14.25">
      <c r="I445" t="s">
        <v>108</v>
      </c>
      <c r="J445" t="s">
        <v>90</v>
      </c>
      <c r="K445">
        <v>0.078901411001671348</v>
      </c>
      <c r="L445" t="s">
        <v>88</v>
      </c>
      <c r="N445" t="s">
        <v>124</v>
      </c>
      <c r="O445" t="s">
        <v>90</v>
      </c>
      <c r="P445">
        <v>0.028797937605648742</v>
      </c>
      <c r="Q445" t="s">
        <v>88</v>
      </c>
      <c r="S445" t="s">
        <v>139</v>
      </c>
      <c r="T445" t="s">
        <v>90</v>
      </c>
      <c r="U445">
        <v>0.021276095973441638</v>
      </c>
      <c r="V445" t="s">
        <v>88</v>
      </c>
    </row>
    <row r="446" spans="9:22" ht="14.25">
      <c r="I446" t="s">
        <v>108</v>
      </c>
      <c r="J446" t="s">
        <v>181</v>
      </c>
      <c r="K446">
        <v>0.01034257296855828</v>
      </c>
      <c r="L446" t="s">
        <v>88</v>
      </c>
      <c r="N446" t="s">
        <v>124</v>
      </c>
      <c r="O446" t="s">
        <v>181</v>
      </c>
      <c r="P446">
        <v>0.004446314591512862</v>
      </c>
      <c r="Q446" t="s">
        <v>88</v>
      </c>
      <c r="S446" t="s">
        <v>139</v>
      </c>
      <c r="T446" t="s">
        <v>181</v>
      </c>
      <c r="U446">
        <v>0.0039485148743854904</v>
      </c>
      <c r="V446" t="s">
        <v>88</v>
      </c>
    </row>
    <row r="447" spans="9:22" ht="14.25">
      <c r="I447" t="s">
        <v>108</v>
      </c>
      <c r="J447" t="s">
        <v>182</v>
      </c>
      <c r="K447">
        <v>0.0090868628331636798</v>
      </c>
      <c r="L447" t="s">
        <v>88</v>
      </c>
      <c r="N447" t="s">
        <v>124</v>
      </c>
      <c r="O447" t="s">
        <v>182</v>
      </c>
      <c r="P447">
        <v>0.0041547173969965013</v>
      </c>
      <c r="Q447" t="s">
        <v>88</v>
      </c>
      <c r="S447" t="s">
        <v>139</v>
      </c>
      <c r="T447" t="s">
        <v>182</v>
      </c>
      <c r="U447">
        <v>0.0039918682532394728</v>
      </c>
      <c r="V447" t="s">
        <v>88</v>
      </c>
    </row>
    <row r="448" spans="9:22" ht="14.25">
      <c r="I448" t="s">
        <v>108</v>
      </c>
      <c r="J448" t="s">
        <v>183</v>
      </c>
      <c r="K448">
        <v>0.0068819857248610047</v>
      </c>
      <c r="L448" t="s">
        <v>88</v>
      </c>
      <c r="N448" t="s">
        <v>124</v>
      </c>
      <c r="O448" t="s">
        <v>183</v>
      </c>
      <c r="P448">
        <v>0.018483297995409289</v>
      </c>
      <c r="Q448" t="s">
        <v>88</v>
      </c>
      <c r="S448" t="s">
        <v>139</v>
      </c>
      <c r="T448" t="s">
        <v>183</v>
      </c>
      <c r="U448">
        <v>0.019445521658160193</v>
      </c>
      <c r="V448" t="s">
        <v>88</v>
      </c>
    </row>
    <row r="449" spans="9:22" ht="14.25">
      <c r="I449" t="s">
        <v>108</v>
      </c>
      <c r="J449" t="s">
        <v>91</v>
      </c>
      <c r="K449">
        <v>0.0023946908398427631</v>
      </c>
      <c r="L449" t="s">
        <v>88</v>
      </c>
      <c r="N449" t="s">
        <v>124</v>
      </c>
      <c r="O449" t="s">
        <v>91</v>
      </c>
      <c r="P449">
        <v>0.01433338694179196</v>
      </c>
      <c r="Q449" t="s">
        <v>88</v>
      </c>
      <c r="S449" t="s">
        <v>139</v>
      </c>
      <c r="T449" t="s">
        <v>91</v>
      </c>
      <c r="U449">
        <v>0.011721354460029329</v>
      </c>
      <c r="V449" t="s">
        <v>88</v>
      </c>
    </row>
    <row r="450" spans="9:22" ht="14.25">
      <c r="I450" t="s">
        <v>108</v>
      </c>
      <c r="J450" t="s">
        <v>92</v>
      </c>
      <c r="K450">
        <v>0.031797288960364802</v>
      </c>
      <c r="L450" t="s">
        <v>88</v>
      </c>
      <c r="N450" t="s">
        <v>124</v>
      </c>
      <c r="O450" t="s">
        <v>92</v>
      </c>
      <c r="P450">
        <v>0.008692534788224196</v>
      </c>
      <c r="Q450" t="s">
        <v>88</v>
      </c>
      <c r="S450" t="s">
        <v>139</v>
      </c>
      <c r="T450" t="s">
        <v>92</v>
      </c>
      <c r="U450">
        <v>0.0061502461796275791</v>
      </c>
      <c r="V450" t="s">
        <v>88</v>
      </c>
    </row>
    <row r="451" spans="9:22" ht="14.25">
      <c r="I451" t="s">
        <v>108</v>
      </c>
      <c r="J451" t="s">
        <v>93</v>
      </c>
      <c r="K451">
        <v>0.066053791580189425</v>
      </c>
      <c r="L451" t="s">
        <v>88</v>
      </c>
      <c r="N451" t="s">
        <v>124</v>
      </c>
      <c r="O451" t="s">
        <v>93</v>
      </c>
      <c r="P451">
        <v>0.018027381498578771</v>
      </c>
      <c r="Q451" t="s">
        <v>88</v>
      </c>
      <c r="S451" t="s">
        <v>139</v>
      </c>
      <c r="T451" t="s">
        <v>93</v>
      </c>
      <c r="U451">
        <v>0.01007897744373668</v>
      </c>
      <c r="V451" t="s">
        <v>88</v>
      </c>
    </row>
    <row r="452" spans="9:22" ht="14.25">
      <c r="I452" t="s">
        <v>108</v>
      </c>
      <c r="J452" t="s">
        <v>184</v>
      </c>
      <c r="K452">
        <v>0.0087848650003079804</v>
      </c>
      <c r="L452" t="s">
        <v>88</v>
      </c>
      <c r="N452" t="s">
        <v>124</v>
      </c>
      <c r="O452" t="s">
        <v>184</v>
      </c>
      <c r="P452">
        <v>0.0030099031770532618</v>
      </c>
      <c r="Q452" t="s">
        <v>88</v>
      </c>
      <c r="S452" t="s">
        <v>139</v>
      </c>
      <c r="T452" t="s">
        <v>184</v>
      </c>
      <c r="U452">
        <v>0.0021937910098261217</v>
      </c>
      <c r="V452" t="s">
        <v>88</v>
      </c>
    </row>
    <row r="453" spans="9:22" ht="14.25">
      <c r="I453" t="s">
        <v>108</v>
      </c>
      <c r="J453" t="s">
        <v>185</v>
      </c>
      <c r="K453">
        <v>0.0070841371891588517</v>
      </c>
      <c r="L453" t="s">
        <v>88</v>
      </c>
      <c r="N453" t="s">
        <v>124</v>
      </c>
      <c r="O453" t="s">
        <v>185</v>
      </c>
      <c r="P453">
        <v>0.0027732986265369178</v>
      </c>
      <c r="Q453" t="s">
        <v>88</v>
      </c>
      <c r="S453" t="s">
        <v>139</v>
      </c>
      <c r="T453" t="s">
        <v>185</v>
      </c>
      <c r="U453">
        <v>0.0022693221543286864</v>
      </c>
      <c r="V453" t="s">
        <v>88</v>
      </c>
    </row>
    <row r="454" spans="9:22" ht="14.25">
      <c r="I454" t="s">
        <v>108</v>
      </c>
      <c r="J454" t="s">
        <v>186</v>
      </c>
      <c r="K454">
        <v>0.004405188835812977</v>
      </c>
      <c r="L454" t="s">
        <v>88</v>
      </c>
      <c r="N454" t="s">
        <v>124</v>
      </c>
      <c r="O454" t="s">
        <v>186</v>
      </c>
      <c r="P454">
        <v>0.011589804666326671</v>
      </c>
      <c r="Q454" t="s">
        <v>88</v>
      </c>
      <c r="S454" t="s">
        <v>139</v>
      </c>
      <c r="T454" t="s">
        <v>186</v>
      </c>
      <c r="U454">
        <v>0.010090398312237516</v>
      </c>
      <c r="V454" t="s">
        <v>88</v>
      </c>
    </row>
    <row r="455" spans="9:22" ht="14.2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0.020585899374762549</v>
      </c>
      <c r="Q455" t="s">
        <v>88</v>
      </c>
      <c r="S455" t="s">
        <v>139</v>
      </c>
      <c r="T455" t="s">
        <v>94</v>
      </c>
      <c r="U455">
        <v>0.014031061802012548</v>
      </c>
      <c r="V455" t="s">
        <v>88</v>
      </c>
    </row>
    <row r="456" spans="9:22" ht="14.25">
      <c r="I456" t="s">
        <v>108</v>
      </c>
      <c r="J456" t="s">
        <v>95</v>
      </c>
      <c r="K456">
        <v>0.02411405886929258</v>
      </c>
      <c r="L456" t="s">
        <v>88</v>
      </c>
      <c r="N456" t="s">
        <v>124</v>
      </c>
      <c r="O456" t="s">
        <v>95</v>
      </c>
      <c r="P456">
        <v>0.01080239660736901</v>
      </c>
      <c r="Q456" t="s">
        <v>88</v>
      </c>
      <c r="S456" t="s">
        <v>139</v>
      </c>
      <c r="T456" t="s">
        <v>95</v>
      </c>
      <c r="U456">
        <v>0.0070282174910019724</v>
      </c>
      <c r="V456" t="s">
        <v>88</v>
      </c>
    </row>
    <row r="457" spans="9:22" ht="14.25">
      <c r="I457" t="s">
        <v>108</v>
      </c>
      <c r="J457" t="s">
        <v>96</v>
      </c>
      <c r="K457">
        <v>0.053891259546445539</v>
      </c>
      <c r="L457" t="s">
        <v>88</v>
      </c>
      <c r="N457" t="s">
        <v>124</v>
      </c>
      <c r="O457" t="s">
        <v>96</v>
      </c>
      <c r="P457">
        <v>0.020097654608048243</v>
      </c>
      <c r="Q457" t="s">
        <v>88</v>
      </c>
      <c r="S457" t="s">
        <v>139</v>
      </c>
      <c r="T457" t="s">
        <v>96</v>
      </c>
      <c r="U457">
        <v>0.012163233565380634</v>
      </c>
      <c r="V457" t="s">
        <v>88</v>
      </c>
    </row>
    <row r="458" spans="9:22" ht="14.25">
      <c r="I458" t="s">
        <v>108</v>
      </c>
      <c r="J458" t="s">
        <v>187</v>
      </c>
      <c r="K458">
        <v>0.0069335207898558685</v>
      </c>
      <c r="L458" t="s">
        <v>88</v>
      </c>
      <c r="N458" t="s">
        <v>124</v>
      </c>
      <c r="O458" t="s">
        <v>187</v>
      </c>
      <c r="P458">
        <v>0.0031735553293621944</v>
      </c>
      <c r="Q458" t="s">
        <v>88</v>
      </c>
      <c r="S458" t="s">
        <v>139</v>
      </c>
      <c r="T458" t="s">
        <v>187</v>
      </c>
      <c r="U458">
        <v>0.0026629295673722521</v>
      </c>
      <c r="V458" t="s">
        <v>88</v>
      </c>
    </row>
    <row r="459" spans="9:22" ht="14.25">
      <c r="I459" t="s">
        <v>108</v>
      </c>
      <c r="J459" t="s">
        <v>188</v>
      </c>
      <c r="K459">
        <v>0.0051256197124648507</v>
      </c>
      <c r="L459" t="s">
        <v>88</v>
      </c>
      <c r="N459" t="s">
        <v>124</v>
      </c>
      <c r="O459" t="s">
        <v>188</v>
      </c>
      <c r="P459">
        <v>0.0030876184378047394</v>
      </c>
      <c r="Q459" t="s">
        <v>88</v>
      </c>
      <c r="S459" t="s">
        <v>139</v>
      </c>
      <c r="T459" t="s">
        <v>188</v>
      </c>
      <c r="U459">
        <v>0.0027264976840545817</v>
      </c>
      <c r="V459" t="s">
        <v>88</v>
      </c>
    </row>
    <row r="460" spans="9:22" ht="14.25">
      <c r="I460" t="s">
        <v>108</v>
      </c>
      <c r="J460" t="s">
        <v>189</v>
      </c>
      <c r="K460">
        <v>4.8718751896851696E-07</v>
      </c>
      <c r="L460" t="s">
        <v>88</v>
      </c>
      <c r="N460" t="s">
        <v>124</v>
      </c>
      <c r="O460" t="s">
        <v>189</v>
      </c>
      <c r="P460">
        <v>0.015385679085646429</v>
      </c>
      <c r="Q460" t="s">
        <v>88</v>
      </c>
      <c r="S460" t="s">
        <v>139</v>
      </c>
      <c r="T460" t="s">
        <v>189</v>
      </c>
      <c r="U460">
        <v>0.012357229691437415</v>
      </c>
      <c r="V460" t="s">
        <v>88</v>
      </c>
    </row>
    <row r="461" spans="9:22" ht="14.2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0.045644102638238829</v>
      </c>
      <c r="Q461" t="s">
        <v>88</v>
      </c>
      <c r="S461" t="s">
        <v>139</v>
      </c>
      <c r="T461" t="s">
        <v>97</v>
      </c>
      <c r="U461">
        <v>0.052612719840430811</v>
      </c>
      <c r="V461" t="s">
        <v>88</v>
      </c>
    </row>
    <row r="462" spans="9:22" ht="14.25">
      <c r="I462" t="s">
        <v>108</v>
      </c>
      <c r="J462" t="s">
        <v>98</v>
      </c>
      <c r="K462">
        <v>0.023015145900720121</v>
      </c>
      <c r="L462" t="s">
        <v>88</v>
      </c>
      <c r="N462" t="s">
        <v>124</v>
      </c>
      <c r="O462" t="s">
        <v>98</v>
      </c>
      <c r="P462">
        <v>0.024639217328588196</v>
      </c>
      <c r="Q462" t="s">
        <v>88</v>
      </c>
      <c r="S462" t="s">
        <v>139</v>
      </c>
      <c r="T462" t="s">
        <v>98</v>
      </c>
      <c r="U462">
        <v>0.027433757868646626</v>
      </c>
      <c r="V462" t="s">
        <v>88</v>
      </c>
    </row>
    <row r="463" spans="9:22" ht="14.25">
      <c r="I463" t="s">
        <v>108</v>
      </c>
      <c r="J463" t="s">
        <v>99</v>
      </c>
      <c r="K463">
        <v>0.051385350151998951</v>
      </c>
      <c r="L463" t="s">
        <v>88</v>
      </c>
      <c r="N463" t="s">
        <v>124</v>
      </c>
      <c r="O463" t="s">
        <v>99</v>
      </c>
      <c r="P463">
        <v>0.043215375066777841</v>
      </c>
      <c r="Q463" t="s">
        <v>88</v>
      </c>
      <c r="S463" t="s">
        <v>139</v>
      </c>
      <c r="T463" t="s">
        <v>99</v>
      </c>
      <c r="U463">
        <v>0.04116481284456007</v>
      </c>
      <c r="V463" t="s">
        <v>88</v>
      </c>
    </row>
    <row r="464" spans="9:22" ht="14.25">
      <c r="I464" t="s">
        <v>108</v>
      </c>
      <c r="J464" t="s">
        <v>190</v>
      </c>
      <c r="K464">
        <v>0.0041375581829691671</v>
      </c>
      <c r="L464" t="s">
        <v>88</v>
      </c>
      <c r="N464" t="s">
        <v>124</v>
      </c>
      <c r="O464" t="s">
        <v>190</v>
      </c>
      <c r="P464">
        <v>0.0068806710772194935</v>
      </c>
      <c r="Q464" t="s">
        <v>88</v>
      </c>
      <c r="S464" t="s">
        <v>139</v>
      </c>
      <c r="T464" t="s">
        <v>190</v>
      </c>
      <c r="U464">
        <v>0.0070063201973499635</v>
      </c>
      <c r="V464" t="s">
        <v>88</v>
      </c>
    </row>
    <row r="465" spans="9:22" ht="14.25">
      <c r="I465" t="s">
        <v>108</v>
      </c>
      <c r="J465" t="s">
        <v>191</v>
      </c>
      <c r="K465">
        <v>0.00013617096505845339</v>
      </c>
      <c r="L465" t="s">
        <v>88</v>
      </c>
      <c r="N465" t="s">
        <v>124</v>
      </c>
      <c r="O465" t="s">
        <v>191</v>
      </c>
      <c r="P465">
        <v>0.0065488401182963738</v>
      </c>
      <c r="Q465" t="s">
        <v>88</v>
      </c>
      <c r="S465" t="s">
        <v>139</v>
      </c>
      <c r="T465" t="s">
        <v>191</v>
      </c>
      <c r="U465">
        <v>0.0071617247156027519</v>
      </c>
      <c r="V465" t="s">
        <v>88</v>
      </c>
    </row>
    <row r="466" spans="9:22" ht="14.2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0.031138887409747518</v>
      </c>
      <c r="Q466" t="s">
        <v>88</v>
      </c>
      <c r="S466" t="s">
        <v>139</v>
      </c>
      <c r="T466" t="s">
        <v>192</v>
      </c>
      <c r="U466">
        <v>0.03643573429957269</v>
      </c>
      <c r="V466" t="s">
        <v>88</v>
      </c>
    </row>
    <row r="467" spans="9:22" ht="14.2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0.023754323343922305</v>
      </c>
      <c r="Q467" t="s">
        <v>88</v>
      </c>
      <c r="S467" t="s">
        <v>139</v>
      </c>
      <c r="T467" t="s">
        <v>193</v>
      </c>
      <c r="U467">
        <v>0.033598059796341395</v>
      </c>
      <c r="V467" t="s">
        <v>88</v>
      </c>
    </row>
    <row r="468" spans="9:22" ht="14.25">
      <c r="I468" t="s">
        <v>108</v>
      </c>
      <c r="J468" t="s">
        <v>194</v>
      </c>
      <c r="K468">
        <v>0.004596299960005751</v>
      </c>
      <c r="L468" t="s">
        <v>88</v>
      </c>
      <c r="N468" t="s">
        <v>124</v>
      </c>
      <c r="O468" t="s">
        <v>194</v>
      </c>
      <c r="P468">
        <v>0.01384957236949369</v>
      </c>
      <c r="Q468" t="s">
        <v>88</v>
      </c>
      <c r="S468" t="s">
        <v>139</v>
      </c>
      <c r="T468" t="s">
        <v>194</v>
      </c>
      <c r="U468">
        <v>0.017513553380436815</v>
      </c>
      <c r="V468" t="s">
        <v>88</v>
      </c>
    </row>
    <row r="469" spans="9:22" ht="14.25">
      <c r="I469" t="s">
        <v>108</v>
      </c>
      <c r="J469" t="s">
        <v>195</v>
      </c>
      <c r="K469">
        <v>0.016352829205644834</v>
      </c>
      <c r="L469" t="s">
        <v>88</v>
      </c>
      <c r="N469" t="s">
        <v>124</v>
      </c>
      <c r="O469" t="s">
        <v>195</v>
      </c>
      <c r="P469">
        <v>0.022525278538618399</v>
      </c>
      <c r="Q469" t="s">
        <v>88</v>
      </c>
      <c r="S469" t="s">
        <v>139</v>
      </c>
      <c r="T469" t="s">
        <v>195</v>
      </c>
      <c r="U469">
        <v>0.026660419317233865</v>
      </c>
      <c r="V469" t="s">
        <v>88</v>
      </c>
    </row>
    <row r="470" spans="9:22" ht="14.2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0.0036612009584248992</v>
      </c>
      <c r="Q470" t="s">
        <v>88</v>
      </c>
      <c r="S470" t="s">
        <v>139</v>
      </c>
      <c r="T470" t="s">
        <v>196</v>
      </c>
      <c r="U470">
        <v>0.0043489495011924334</v>
      </c>
      <c r="V470" t="s">
        <v>88</v>
      </c>
    </row>
    <row r="471" spans="9:22" ht="14.2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0.0035486323989117894</v>
      </c>
      <c r="Q471" t="s">
        <v>88</v>
      </c>
      <c r="S471" t="s">
        <v>139</v>
      </c>
      <c r="T471" t="s">
        <v>197</v>
      </c>
      <c r="U471">
        <v>0.0043571221085741954</v>
      </c>
      <c r="V471" t="s">
        <v>88</v>
      </c>
    </row>
    <row r="472" spans="9:22" ht="14.2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0.016407534767917731</v>
      </c>
      <c r="Q472" t="s">
        <v>88</v>
      </c>
      <c r="S472" t="s">
        <v>139</v>
      </c>
      <c r="T472" t="s">
        <v>198</v>
      </c>
      <c r="U472">
        <v>0.021890592481761003</v>
      </c>
      <c r="V472" t="s">
        <v>88</v>
      </c>
    </row>
    <row r="473" spans="9:22" ht="14.2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0.076810961611780776</v>
      </c>
      <c r="Q473" t="s">
        <v>88</v>
      </c>
      <c r="S473" t="s">
        <v>139</v>
      </c>
      <c r="T473" t="s">
        <v>199</v>
      </c>
      <c r="U473">
        <v>0.092702847070353422</v>
      </c>
      <c r="V473" t="s">
        <v>88</v>
      </c>
    </row>
    <row r="474" spans="9:22" ht="14.25">
      <c r="I474" t="s">
        <v>108</v>
      </c>
      <c r="J474" t="s">
        <v>200</v>
      </c>
      <c r="K474">
        <v>0.041659362870992034</v>
      </c>
      <c r="L474" t="s">
        <v>88</v>
      </c>
      <c r="N474" t="s">
        <v>124</v>
      </c>
      <c r="O474" t="s">
        <v>200</v>
      </c>
      <c r="P474">
        <v>0.040725652962111773</v>
      </c>
      <c r="Q474" t="s">
        <v>88</v>
      </c>
      <c r="S474" t="s">
        <v>139</v>
      </c>
      <c r="T474" t="s">
        <v>200</v>
      </c>
      <c r="U474">
        <v>0.04876424877435135</v>
      </c>
      <c r="V474" t="s">
        <v>88</v>
      </c>
    </row>
    <row r="475" spans="9:22" ht="14.25">
      <c r="I475" t="s">
        <v>108</v>
      </c>
      <c r="J475" t="s">
        <v>201</v>
      </c>
      <c r="K475">
        <v>0.094856725115775947</v>
      </c>
      <c r="L475" t="s">
        <v>88</v>
      </c>
      <c r="N475" t="s">
        <v>124</v>
      </c>
      <c r="O475" t="s">
        <v>201</v>
      </c>
      <c r="P475">
        <v>0.070744441347115786</v>
      </c>
      <c r="Q475" t="s">
        <v>88</v>
      </c>
      <c r="S475" t="s">
        <v>139</v>
      </c>
      <c r="T475" t="s">
        <v>201</v>
      </c>
      <c r="U475">
        <v>0.072943586234170243</v>
      </c>
      <c r="V475" t="s">
        <v>88</v>
      </c>
    </row>
    <row r="476" spans="9:22" ht="14.25">
      <c r="I476" t="s">
        <v>108</v>
      </c>
      <c r="J476" t="s">
        <v>202</v>
      </c>
      <c r="K476">
        <v>0.0092201555280243524</v>
      </c>
      <c r="L476" t="s">
        <v>88</v>
      </c>
      <c r="N476" t="s">
        <v>124</v>
      </c>
      <c r="O476" t="s">
        <v>202</v>
      </c>
      <c r="P476">
        <v>0.011365680251801187</v>
      </c>
      <c r="Q476" t="s">
        <v>88</v>
      </c>
      <c r="S476" t="s">
        <v>139</v>
      </c>
      <c r="T476" t="s">
        <v>202</v>
      </c>
      <c r="U476">
        <v>0.01244929128496684</v>
      </c>
      <c r="V476" t="s">
        <v>88</v>
      </c>
    </row>
    <row r="477" spans="9:22" ht="14.25">
      <c r="I477" t="s">
        <v>108</v>
      </c>
      <c r="J477" t="s">
        <v>203</v>
      </c>
      <c r="K477">
        <v>0.0023344371037711956</v>
      </c>
      <c r="L477" t="s">
        <v>88</v>
      </c>
      <c r="N477" t="s">
        <v>124</v>
      </c>
      <c r="O477" t="s">
        <v>203</v>
      </c>
      <c r="P477">
        <v>0.011158080869860292</v>
      </c>
      <c r="Q477" t="s">
        <v>88</v>
      </c>
      <c r="S477" t="s">
        <v>139</v>
      </c>
      <c r="T477" t="s">
        <v>203</v>
      </c>
      <c r="U477">
        <v>0.012662625989308106</v>
      </c>
      <c r="V477" t="s">
        <v>88</v>
      </c>
    </row>
    <row r="478" spans="9:22" ht="14.2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0.05525200409659313</v>
      </c>
      <c r="Q478" t="s">
        <v>88</v>
      </c>
      <c r="S478" t="s">
        <v>139</v>
      </c>
      <c r="T478" t="s">
        <v>204</v>
      </c>
      <c r="U478">
        <v>0.065537422001502699</v>
      </c>
      <c r="V478" t="s">
        <v>88</v>
      </c>
    </row>
    <row r="479" spans="9:22" ht="14.25">
      <c r="I479" t="s">
        <v>108</v>
      </c>
      <c r="J479" t="s">
        <v>205</v>
      </c>
      <c r="K479">
        <v>0.0031704906536423145</v>
      </c>
      <c r="L479" t="s">
        <v>88</v>
      </c>
      <c r="N479" t="s">
        <v>124</v>
      </c>
      <c r="O479" t="s">
        <v>205</v>
      </c>
      <c r="P479">
        <v>0.033166430356322954</v>
      </c>
      <c r="Q479" t="s">
        <v>88</v>
      </c>
      <c r="S479" t="s">
        <v>139</v>
      </c>
      <c r="T479" t="s">
        <v>205</v>
      </c>
      <c r="U479">
        <v>0.029723548158579072</v>
      </c>
      <c r="V479" t="s">
        <v>88</v>
      </c>
    </row>
    <row r="480" spans="9:22" ht="14.25">
      <c r="I480" t="s">
        <v>108</v>
      </c>
      <c r="J480" t="s">
        <v>206</v>
      </c>
      <c r="K480">
        <v>0.028674416117201628</v>
      </c>
      <c r="L480" t="s">
        <v>88</v>
      </c>
      <c r="N480" t="s">
        <v>124</v>
      </c>
      <c r="O480" t="s">
        <v>206</v>
      </c>
      <c r="P480">
        <v>0.021233074418298307</v>
      </c>
      <c r="Q480" t="s">
        <v>88</v>
      </c>
      <c r="S480" t="s">
        <v>139</v>
      </c>
      <c r="T480" t="s">
        <v>206</v>
      </c>
      <c r="U480">
        <v>0.016439529333190567</v>
      </c>
      <c r="V480" t="s">
        <v>88</v>
      </c>
    </row>
    <row r="481" spans="9:22" ht="14.25">
      <c r="I481" t="s">
        <v>108</v>
      </c>
      <c r="J481" t="s">
        <v>207</v>
      </c>
      <c r="K481">
        <v>0.059899728327068504</v>
      </c>
      <c r="L481" t="s">
        <v>88</v>
      </c>
      <c r="N481" t="s">
        <v>124</v>
      </c>
      <c r="O481" t="s">
        <v>207</v>
      </c>
      <c r="P481">
        <v>0.034569113911047195</v>
      </c>
      <c r="Q481" t="s">
        <v>88</v>
      </c>
      <c r="S481" t="s">
        <v>139</v>
      </c>
      <c r="T481" t="s">
        <v>207</v>
      </c>
      <c r="U481">
        <v>0.025732996552744754</v>
      </c>
      <c r="V481" t="s">
        <v>88</v>
      </c>
    </row>
    <row r="482" spans="9:22" ht="14.25">
      <c r="I482" t="s">
        <v>108</v>
      </c>
      <c r="J482" t="s">
        <v>208</v>
      </c>
      <c r="K482">
        <v>0.0073735128957192076</v>
      </c>
      <c r="L482" t="s">
        <v>88</v>
      </c>
      <c r="N482" t="s">
        <v>124</v>
      </c>
      <c r="O482" t="s">
        <v>208</v>
      </c>
      <c r="P482">
        <v>0.0051432486802389134</v>
      </c>
      <c r="Q482" t="s">
        <v>88</v>
      </c>
      <c r="S482" t="s">
        <v>139</v>
      </c>
      <c r="T482" t="s">
        <v>208</v>
      </c>
      <c r="U482">
        <v>0.0043303576243324199</v>
      </c>
      <c r="V482" t="s">
        <v>88</v>
      </c>
    </row>
    <row r="483" spans="9:22" ht="14.25">
      <c r="I483" t="s">
        <v>108</v>
      </c>
      <c r="J483" t="s">
        <v>209</v>
      </c>
      <c r="K483">
        <v>0.0051560614933850108</v>
      </c>
      <c r="L483" t="s">
        <v>88</v>
      </c>
      <c r="N483" t="s">
        <v>124</v>
      </c>
      <c r="O483" t="s">
        <v>209</v>
      </c>
      <c r="P483">
        <v>0.0047842912788210812</v>
      </c>
      <c r="Q483" t="s">
        <v>88</v>
      </c>
      <c r="S483" t="s">
        <v>139</v>
      </c>
      <c r="T483" t="s">
        <v>209</v>
      </c>
      <c r="U483">
        <v>0.0043283922598744903</v>
      </c>
      <c r="V483" t="s">
        <v>88</v>
      </c>
    </row>
    <row r="484" spans="9:22" ht="14.25">
      <c r="I484" t="s">
        <v>108</v>
      </c>
      <c r="J484" t="s">
        <v>210</v>
      </c>
      <c r="K484">
        <v>0.00017116198804172192</v>
      </c>
      <c r="L484" t="s">
        <v>88</v>
      </c>
      <c r="N484" t="s">
        <v>124</v>
      </c>
      <c r="O484" t="s">
        <v>210</v>
      </c>
      <c r="P484">
        <v>0.020937023588950082</v>
      </c>
      <c r="Q484" t="s">
        <v>88</v>
      </c>
      <c r="S484" t="s">
        <v>139</v>
      </c>
      <c r="T484" t="s">
        <v>210</v>
      </c>
      <c r="U484">
        <v>0.021343590075391487</v>
      </c>
      <c r="V484" t="s">
        <v>88</v>
      </c>
    </row>
    <row r="485" spans="9:22" ht="14.25">
      <c r="I485" t="s">
        <v>108</v>
      </c>
      <c r="J485" t="s">
        <v>211</v>
      </c>
      <c r="K485">
        <v>0.017273012569314846</v>
      </c>
      <c r="L485" t="s">
        <v>88</v>
      </c>
      <c r="N485" t="s">
        <v>124</v>
      </c>
      <c r="O485" t="s">
        <v>211</v>
      </c>
      <c r="P485">
        <v>0.035449875092470391</v>
      </c>
      <c r="Q485" t="s">
        <v>88</v>
      </c>
      <c r="S485" t="s">
        <v>139</v>
      </c>
      <c r="T485" t="s">
        <v>211</v>
      </c>
      <c r="U485">
        <v>0.038227705409135983</v>
      </c>
      <c r="V485" t="s">
        <v>88</v>
      </c>
    </row>
    <row r="486" spans="9:22" ht="14.25">
      <c r="I486" t="s">
        <v>108</v>
      </c>
      <c r="J486" t="s">
        <v>212</v>
      </c>
      <c r="K486">
        <v>0.083006031720868984</v>
      </c>
      <c r="L486" t="s">
        <v>88</v>
      </c>
      <c r="N486" t="s">
        <v>124</v>
      </c>
      <c r="O486" t="s">
        <v>212</v>
      </c>
      <c r="P486">
        <v>0.023051760366313134</v>
      </c>
      <c r="Q486" t="s">
        <v>88</v>
      </c>
      <c r="S486" t="s">
        <v>139</v>
      </c>
      <c r="T486" t="s">
        <v>212</v>
      </c>
      <c r="U486">
        <v>0.0191189389653184</v>
      </c>
      <c r="V486" t="s">
        <v>88</v>
      </c>
    </row>
    <row r="487" spans="9:22" ht="14.2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0.044497332455093366</v>
      </c>
      <c r="Q487" t="s">
        <v>88</v>
      </c>
      <c r="S487" t="s">
        <v>139</v>
      </c>
      <c r="T487" t="s">
        <v>213</v>
      </c>
      <c r="U487">
        <v>0.030204231667981338</v>
      </c>
      <c r="V487" t="s">
        <v>88</v>
      </c>
    </row>
    <row r="488" spans="9:22" ht="14.25">
      <c r="I488" t="s">
        <v>108</v>
      </c>
      <c r="J488" t="s">
        <v>214</v>
      </c>
      <c r="K488">
        <v>0.0179356328901875</v>
      </c>
      <c r="L488" t="s">
        <v>88</v>
      </c>
      <c r="N488" t="s">
        <v>124</v>
      </c>
      <c r="O488" t="s">
        <v>214</v>
      </c>
      <c r="P488">
        <v>0.0069915441203288065</v>
      </c>
      <c r="Q488" t="s">
        <v>88</v>
      </c>
      <c r="S488" t="s">
        <v>139</v>
      </c>
      <c r="T488" t="s">
        <v>214</v>
      </c>
      <c r="U488">
        <v>0.0058039289603464021</v>
      </c>
      <c r="V488" t="s">
        <v>88</v>
      </c>
    </row>
    <row r="489" spans="9:22" ht="14.25">
      <c r="I489" t="s">
        <v>108</v>
      </c>
      <c r="J489" t="s">
        <v>215</v>
      </c>
      <c r="K489">
        <v>0.01429257330959316</v>
      </c>
      <c r="L489" t="s">
        <v>88</v>
      </c>
      <c r="N489" t="s">
        <v>124</v>
      </c>
      <c r="O489" t="s">
        <v>215</v>
      </c>
      <c r="P489">
        <v>0.0064637679568531579</v>
      </c>
      <c r="Q489" t="s">
        <v>88</v>
      </c>
      <c r="S489" t="s">
        <v>139</v>
      </c>
      <c r="T489" t="s">
        <v>215</v>
      </c>
      <c r="U489">
        <v>0.0059214290658938769</v>
      </c>
      <c r="V489" t="s">
        <v>88</v>
      </c>
    </row>
    <row r="490" spans="9:22" ht="14.25">
      <c r="I490" t="s">
        <v>108</v>
      </c>
      <c r="J490" t="s">
        <v>216</v>
      </c>
      <c r="K490">
        <v>0.010193856610830677</v>
      </c>
      <c r="L490" t="s">
        <v>88</v>
      </c>
      <c r="N490" t="s">
        <v>124</v>
      </c>
      <c r="O490" t="s">
        <v>216</v>
      </c>
      <c r="P490">
        <v>0.027502644855531829</v>
      </c>
      <c r="Q490" t="s">
        <v>88</v>
      </c>
      <c r="S490" t="s">
        <v>139</v>
      </c>
      <c r="T490" t="s">
        <v>216</v>
      </c>
      <c r="U490">
        <v>0.029551568805111641</v>
      </c>
      <c r="V490" t="s">
        <v>88</v>
      </c>
    </row>
    <row r="491" spans="9:22" ht="14.25">
      <c r="I491" t="s">
        <v>109</v>
      </c>
      <c r="J491" t="s">
        <v>87</v>
      </c>
      <c r="K491">
        <v>0.0074313291490238865</v>
      </c>
      <c r="L491" t="s">
        <v>88</v>
      </c>
      <c r="N491" t="s">
        <v>125</v>
      </c>
      <c r="O491" t="s">
        <v>87</v>
      </c>
      <c r="P491">
        <v>0.026217419216599029</v>
      </c>
      <c r="Q491" t="s">
        <v>88</v>
      </c>
      <c r="S491" t="s">
        <v>140</v>
      </c>
      <c r="T491" t="s">
        <v>87</v>
      </c>
      <c r="U491">
        <v>0.028655790058485137</v>
      </c>
      <c r="V491" t="s">
        <v>88</v>
      </c>
    </row>
    <row r="492" spans="9:22" ht="14.25">
      <c r="I492" t="s">
        <v>109</v>
      </c>
      <c r="J492" t="s">
        <v>89</v>
      </c>
      <c r="K492">
        <v>0.043636616900282151</v>
      </c>
      <c r="L492" t="s">
        <v>88</v>
      </c>
      <c r="N492" t="s">
        <v>125</v>
      </c>
      <c r="O492" t="s">
        <v>89</v>
      </c>
      <c r="P492">
        <v>0.013386232471581534</v>
      </c>
      <c r="Q492" t="s">
        <v>88</v>
      </c>
      <c r="S492" t="s">
        <v>140</v>
      </c>
      <c r="T492" t="s">
        <v>89</v>
      </c>
      <c r="U492">
        <v>0.016600524445164088</v>
      </c>
      <c r="V492" t="s">
        <v>88</v>
      </c>
    </row>
    <row r="493" spans="9:22" ht="14.25">
      <c r="I493" t="s">
        <v>109</v>
      </c>
      <c r="J493" t="s">
        <v>90</v>
      </c>
      <c r="K493">
        <v>0.07851595897168076</v>
      </c>
      <c r="L493" t="s">
        <v>88</v>
      </c>
      <c r="N493" t="s">
        <v>125</v>
      </c>
      <c r="O493" t="s">
        <v>90</v>
      </c>
      <c r="P493">
        <v>0.029252563508920262</v>
      </c>
      <c r="Q493" t="s">
        <v>88</v>
      </c>
      <c r="S493" t="s">
        <v>140</v>
      </c>
      <c r="T493" t="s">
        <v>90</v>
      </c>
      <c r="U493">
        <v>0.026115957848483456</v>
      </c>
      <c r="V493" t="s">
        <v>88</v>
      </c>
    </row>
    <row r="494" spans="9:22" ht="14.25">
      <c r="I494" t="s">
        <v>109</v>
      </c>
      <c r="J494" t="s">
        <v>181</v>
      </c>
      <c r="K494">
        <v>0.010445649491522655</v>
      </c>
      <c r="L494" t="s">
        <v>88</v>
      </c>
      <c r="N494" t="s">
        <v>125</v>
      </c>
      <c r="O494" t="s">
        <v>181</v>
      </c>
      <c r="P494">
        <v>0.0057664882034913264</v>
      </c>
      <c r="Q494" t="s">
        <v>88</v>
      </c>
      <c r="S494" t="s">
        <v>140</v>
      </c>
      <c r="T494" t="s">
        <v>181</v>
      </c>
      <c r="U494">
        <v>0.0047549478107384389</v>
      </c>
      <c r="V494" t="s">
        <v>88</v>
      </c>
    </row>
    <row r="495" spans="9:22" ht="14.25">
      <c r="I495" t="s">
        <v>109</v>
      </c>
      <c r="J495" t="s">
        <v>182</v>
      </c>
      <c r="K495">
        <v>0.0092555845114997808</v>
      </c>
      <c r="L495" t="s">
        <v>88</v>
      </c>
      <c r="N495" t="s">
        <v>125</v>
      </c>
      <c r="O495" t="s">
        <v>182</v>
      </c>
      <c r="P495">
        <v>0.0054619792971663502</v>
      </c>
      <c r="Q495" t="s">
        <v>88</v>
      </c>
      <c r="S495" t="s">
        <v>140</v>
      </c>
      <c r="T495" t="s">
        <v>182</v>
      </c>
      <c r="U495">
        <v>0.0047430689726686891</v>
      </c>
      <c r="V495" t="s">
        <v>88</v>
      </c>
    </row>
    <row r="496" spans="9:22" ht="14.25">
      <c r="I496" t="s">
        <v>109</v>
      </c>
      <c r="J496" t="s">
        <v>183</v>
      </c>
      <c r="K496">
        <v>0.0066087472309461675</v>
      </c>
      <c r="L496" t="s">
        <v>88</v>
      </c>
      <c r="N496" t="s">
        <v>125</v>
      </c>
      <c r="O496" t="s">
        <v>183</v>
      </c>
      <c r="P496">
        <v>0.023826105509913299</v>
      </c>
      <c r="Q496" t="s">
        <v>88</v>
      </c>
      <c r="S496" t="s">
        <v>140</v>
      </c>
      <c r="T496" t="s">
        <v>183</v>
      </c>
      <c r="U496">
        <v>0.022273221385129976</v>
      </c>
      <c r="V496" t="s">
        <v>88</v>
      </c>
    </row>
    <row r="497" spans="9:22" ht="14.25">
      <c r="I497" t="s">
        <v>109</v>
      </c>
      <c r="J497" t="s">
        <v>91</v>
      </c>
      <c r="K497">
        <v>0.0031158003007841551</v>
      </c>
      <c r="L497" t="s">
        <v>88</v>
      </c>
      <c r="N497" t="s">
        <v>125</v>
      </c>
      <c r="O497" t="s">
        <v>91</v>
      </c>
      <c r="P497">
        <v>0.012478194946551691</v>
      </c>
      <c r="Q497" t="s">
        <v>88</v>
      </c>
      <c r="S497" t="s">
        <v>140</v>
      </c>
      <c r="T497" t="s">
        <v>91</v>
      </c>
      <c r="U497">
        <v>0.012217242057196976</v>
      </c>
      <c r="V497" t="s">
        <v>88</v>
      </c>
    </row>
    <row r="498" spans="9:22" ht="14.25">
      <c r="I498" t="s">
        <v>109</v>
      </c>
      <c r="J498" t="s">
        <v>92</v>
      </c>
      <c r="K498">
        <v>0.031470479768856655</v>
      </c>
      <c r="L498" t="s">
        <v>88</v>
      </c>
      <c r="N498" t="s">
        <v>125</v>
      </c>
      <c r="O498" t="s">
        <v>92</v>
      </c>
      <c r="P498">
        <v>0.0060520542883449931</v>
      </c>
      <c r="Q498" t="s">
        <v>88</v>
      </c>
      <c r="S498" t="s">
        <v>140</v>
      </c>
      <c r="T498" t="s">
        <v>92</v>
      </c>
      <c r="U498">
        <v>0.0080011802412825635</v>
      </c>
      <c r="V498" t="s">
        <v>88</v>
      </c>
    </row>
    <row r="499" spans="9:22" ht="14.25">
      <c r="I499" t="s">
        <v>109</v>
      </c>
      <c r="J499" t="s">
        <v>93</v>
      </c>
      <c r="K499">
        <v>0.063008186838969374</v>
      </c>
      <c r="L499" t="s">
        <v>88</v>
      </c>
      <c r="N499" t="s">
        <v>125</v>
      </c>
      <c r="O499" t="s">
        <v>93</v>
      </c>
      <c r="P499">
        <v>0.014851256362527992</v>
      </c>
      <c r="Q499" t="s">
        <v>88</v>
      </c>
      <c r="S499" t="s">
        <v>140</v>
      </c>
      <c r="T499" t="s">
        <v>93</v>
      </c>
      <c r="U499">
        <v>0.013321415237507428</v>
      </c>
      <c r="V499" t="s">
        <v>88</v>
      </c>
    </row>
    <row r="500" spans="9:22" ht="14.25">
      <c r="I500" t="s">
        <v>109</v>
      </c>
      <c r="J500" t="s">
        <v>184</v>
      </c>
      <c r="K500">
        <v>0.0085961785156902486</v>
      </c>
      <c r="L500" t="s">
        <v>88</v>
      </c>
      <c r="N500" t="s">
        <v>125</v>
      </c>
      <c r="O500" t="s">
        <v>184</v>
      </c>
      <c r="P500">
        <v>0.0032252713980023251</v>
      </c>
      <c r="Q500" t="s">
        <v>88</v>
      </c>
      <c r="S500" t="s">
        <v>140</v>
      </c>
      <c r="T500" t="s">
        <v>184</v>
      </c>
      <c r="U500">
        <v>0.0025647492508883373</v>
      </c>
      <c r="V500" t="s">
        <v>88</v>
      </c>
    </row>
    <row r="501" spans="9:22" ht="14.25">
      <c r="I501" t="s">
        <v>109</v>
      </c>
      <c r="J501" t="s">
        <v>185</v>
      </c>
      <c r="K501">
        <v>0.0070712911517493461</v>
      </c>
      <c r="L501" t="s">
        <v>88</v>
      </c>
      <c r="N501" t="s">
        <v>125</v>
      </c>
      <c r="O501" t="s">
        <v>185</v>
      </c>
      <c r="P501">
        <v>0.0030885075581466278</v>
      </c>
      <c r="Q501" t="s">
        <v>88</v>
      </c>
      <c r="S501" t="s">
        <v>140</v>
      </c>
      <c r="T501" t="s">
        <v>185</v>
      </c>
      <c r="U501">
        <v>0.0024995451917439611</v>
      </c>
      <c r="V501" t="s">
        <v>88</v>
      </c>
    </row>
    <row r="502" spans="9:22" ht="14.25">
      <c r="I502" t="s">
        <v>109</v>
      </c>
      <c r="J502" t="s">
        <v>186</v>
      </c>
      <c r="K502">
        <v>0.0042367631049650698</v>
      </c>
      <c r="L502" t="s">
        <v>88</v>
      </c>
      <c r="N502" t="s">
        <v>125</v>
      </c>
      <c r="O502" t="s">
        <v>186</v>
      </c>
      <c r="P502">
        <v>0.013044724090842244</v>
      </c>
      <c r="Q502" t="s">
        <v>88</v>
      </c>
      <c r="S502" t="s">
        <v>140</v>
      </c>
      <c r="T502" t="s">
        <v>186</v>
      </c>
      <c r="U502">
        <v>0.010037398093766081</v>
      </c>
      <c r="V502" t="s">
        <v>88</v>
      </c>
    </row>
    <row r="503" spans="9:22" ht="14.25">
      <c r="I503" t="s">
        <v>109</v>
      </c>
      <c r="J503" t="s">
        <v>94</v>
      </c>
      <c r="K503">
        <v>8.3612627583293689E-07</v>
      </c>
      <c r="L503" t="s">
        <v>88</v>
      </c>
      <c r="N503" t="s">
        <v>125</v>
      </c>
      <c r="O503" t="s">
        <v>94</v>
      </c>
      <c r="P503">
        <v>0.013233747263713517</v>
      </c>
      <c r="Q503" t="s">
        <v>88</v>
      </c>
      <c r="S503" t="s">
        <v>140</v>
      </c>
      <c r="T503" t="s">
        <v>94</v>
      </c>
      <c r="U503">
        <v>0.014655081471141151</v>
      </c>
      <c r="V503" t="s">
        <v>88</v>
      </c>
    </row>
    <row r="504" spans="9:22" ht="14.25">
      <c r="I504" t="s">
        <v>109</v>
      </c>
      <c r="J504" t="s">
        <v>95</v>
      </c>
      <c r="K504">
        <v>0.023967148864570749</v>
      </c>
      <c r="L504" t="s">
        <v>88</v>
      </c>
      <c r="N504" t="s">
        <v>125</v>
      </c>
      <c r="O504" t="s">
        <v>95</v>
      </c>
      <c r="P504">
        <v>0.0070380197369844279</v>
      </c>
      <c r="Q504" t="s">
        <v>88</v>
      </c>
      <c r="S504" t="s">
        <v>140</v>
      </c>
      <c r="T504" t="s">
        <v>95</v>
      </c>
      <c r="U504">
        <v>0.0082477659042895762</v>
      </c>
      <c r="V504" t="s">
        <v>88</v>
      </c>
    </row>
    <row r="505" spans="9:22" ht="14.25">
      <c r="I505" t="s">
        <v>109</v>
      </c>
      <c r="J505" t="s">
        <v>96</v>
      </c>
      <c r="K505">
        <v>0.051354278716071337</v>
      </c>
      <c r="L505" t="s">
        <v>88</v>
      </c>
      <c r="N505" t="s">
        <v>125</v>
      </c>
      <c r="O505" t="s">
        <v>96</v>
      </c>
      <c r="P505">
        <v>0.014750289007634736</v>
      </c>
      <c r="Q505" t="s">
        <v>88</v>
      </c>
      <c r="S505" t="s">
        <v>140</v>
      </c>
      <c r="T505" t="s">
        <v>96</v>
      </c>
      <c r="U505">
        <v>0.013849733091287442</v>
      </c>
      <c r="V505" t="s">
        <v>88</v>
      </c>
    </row>
    <row r="506" spans="9:22" ht="14.25">
      <c r="I506" t="s">
        <v>109</v>
      </c>
      <c r="J506" t="s">
        <v>187</v>
      </c>
      <c r="K506">
        <v>0.0069641228690033976</v>
      </c>
      <c r="L506" t="s">
        <v>88</v>
      </c>
      <c r="N506" t="s">
        <v>125</v>
      </c>
      <c r="O506" t="s">
        <v>187</v>
      </c>
      <c r="P506">
        <v>0.0032866092664959098</v>
      </c>
      <c r="Q506" t="s">
        <v>88</v>
      </c>
      <c r="S506" t="s">
        <v>140</v>
      </c>
      <c r="T506" t="s">
        <v>187</v>
      </c>
      <c r="U506">
        <v>0.0028427125022976569</v>
      </c>
      <c r="V506" t="s">
        <v>88</v>
      </c>
    </row>
    <row r="507" spans="9:22" ht="14.25">
      <c r="I507" t="s">
        <v>109</v>
      </c>
      <c r="J507" t="s">
        <v>188</v>
      </c>
      <c r="K507">
        <v>0.0050193769566182957</v>
      </c>
      <c r="L507" t="s">
        <v>88</v>
      </c>
      <c r="N507" t="s">
        <v>125</v>
      </c>
      <c r="O507" t="s">
        <v>188</v>
      </c>
      <c r="P507">
        <v>0.0033997942397586247</v>
      </c>
      <c r="Q507" t="s">
        <v>88</v>
      </c>
      <c r="S507" t="s">
        <v>140</v>
      </c>
      <c r="T507" t="s">
        <v>188</v>
      </c>
      <c r="U507">
        <v>0.0028952807491155327</v>
      </c>
      <c r="V507" t="s">
        <v>88</v>
      </c>
    </row>
    <row r="508" spans="9:22" ht="14.2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0.014978845609519132</v>
      </c>
      <c r="Q508" t="s">
        <v>88</v>
      </c>
      <c r="S508" t="s">
        <v>140</v>
      </c>
      <c r="T508" t="s">
        <v>189</v>
      </c>
      <c r="U508">
        <v>0.012845521512559847</v>
      </c>
      <c r="V508" t="s">
        <v>88</v>
      </c>
    </row>
    <row r="509" spans="9:22" ht="14.2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0.050527447965463351</v>
      </c>
      <c r="Q509" t="s">
        <v>88</v>
      </c>
      <c r="S509" t="s">
        <v>140</v>
      </c>
      <c r="T509" t="s">
        <v>97</v>
      </c>
      <c r="U509">
        <v>0.04754984389497053</v>
      </c>
      <c r="V509" t="s">
        <v>88</v>
      </c>
    </row>
    <row r="510" spans="9:22" ht="14.25">
      <c r="I510" t="s">
        <v>109</v>
      </c>
      <c r="J510" t="s">
        <v>98</v>
      </c>
      <c r="K510">
        <v>0.023781214059691091</v>
      </c>
      <c r="L510" t="s">
        <v>88</v>
      </c>
      <c r="N510" t="s">
        <v>125</v>
      </c>
      <c r="O510" t="s">
        <v>98</v>
      </c>
      <c r="P510">
        <v>0.024321929677503851</v>
      </c>
      <c r="Q510" t="s">
        <v>88</v>
      </c>
      <c r="S510" t="s">
        <v>140</v>
      </c>
      <c r="T510" t="s">
        <v>98</v>
      </c>
      <c r="U510">
        <v>0.025479907216612138</v>
      </c>
      <c r="V510" t="s">
        <v>88</v>
      </c>
    </row>
    <row r="511" spans="9:22" ht="14.25">
      <c r="I511" t="s">
        <v>109</v>
      </c>
      <c r="J511" t="s">
        <v>99</v>
      </c>
      <c r="K511">
        <v>0.05279952479128263</v>
      </c>
      <c r="L511" t="s">
        <v>88</v>
      </c>
      <c r="N511" t="s">
        <v>125</v>
      </c>
      <c r="O511" t="s">
        <v>99</v>
      </c>
      <c r="P511">
        <v>0.037712188710925368</v>
      </c>
      <c r="Q511" t="s">
        <v>88</v>
      </c>
      <c r="S511" t="s">
        <v>140</v>
      </c>
      <c r="T511" t="s">
        <v>99</v>
      </c>
      <c r="U511">
        <v>0.043050318182027085</v>
      </c>
      <c r="V511" t="s">
        <v>88</v>
      </c>
    </row>
    <row r="512" spans="9:22" ht="14.25">
      <c r="I512" t="s">
        <v>109</v>
      </c>
      <c r="J512" t="s">
        <v>190</v>
      </c>
      <c r="K512">
        <v>0.0037940068906161927</v>
      </c>
      <c r="L512" t="s">
        <v>88</v>
      </c>
      <c r="N512" t="s">
        <v>125</v>
      </c>
      <c r="O512" t="s">
        <v>190</v>
      </c>
      <c r="P512">
        <v>0.0070929978113453539</v>
      </c>
      <c r="Q512" t="s">
        <v>88</v>
      </c>
      <c r="S512" t="s">
        <v>140</v>
      </c>
      <c r="T512" t="s">
        <v>190</v>
      </c>
      <c r="U512">
        <v>0.0069532029142235358</v>
      </c>
      <c r="V512" t="s">
        <v>88</v>
      </c>
    </row>
    <row r="513" spans="9:22" ht="14.2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0.0072332947459020826</v>
      </c>
      <c r="Q513" t="s">
        <v>88</v>
      </c>
      <c r="S513" t="s">
        <v>140</v>
      </c>
      <c r="T513" t="s">
        <v>191</v>
      </c>
      <c r="U513">
        <v>0.0068396473679706738</v>
      </c>
      <c r="V513" t="s">
        <v>88</v>
      </c>
    </row>
    <row r="514" spans="9:22" ht="14.2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0.036263471539435273</v>
      </c>
      <c r="Q514" t="s">
        <v>88</v>
      </c>
      <c r="S514" t="s">
        <v>140</v>
      </c>
      <c r="T514" t="s">
        <v>192</v>
      </c>
      <c r="U514">
        <v>0.03367873428126774</v>
      </c>
      <c r="V514" t="s">
        <v>88</v>
      </c>
    </row>
    <row r="515" spans="9:22" ht="14.2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0.022388871296472802</v>
      </c>
      <c r="Q515" t="s">
        <v>88</v>
      </c>
      <c r="S515" t="s">
        <v>140</v>
      </c>
      <c r="T515" t="s">
        <v>193</v>
      </c>
      <c r="U515">
        <v>0.031711543811118438</v>
      </c>
      <c r="V515" t="s">
        <v>88</v>
      </c>
    </row>
    <row r="516" spans="9:22" ht="14.25">
      <c r="I516" t="s">
        <v>109</v>
      </c>
      <c r="J516" t="s">
        <v>194</v>
      </c>
      <c r="K516">
        <v>0.0039628298923690165</v>
      </c>
      <c r="L516" t="s">
        <v>88</v>
      </c>
      <c r="N516" t="s">
        <v>125</v>
      </c>
      <c r="O516" t="s">
        <v>194</v>
      </c>
      <c r="P516">
        <v>0.012708251953238693</v>
      </c>
      <c r="Q516" t="s">
        <v>88</v>
      </c>
      <c r="S516" t="s">
        <v>140</v>
      </c>
      <c r="T516" t="s">
        <v>194</v>
      </c>
      <c r="U516">
        <v>0.017531605309083011</v>
      </c>
      <c r="V516" t="s">
        <v>88</v>
      </c>
    </row>
    <row r="517" spans="9:22" ht="14.25">
      <c r="I517" t="s">
        <v>109</v>
      </c>
      <c r="J517" t="s">
        <v>195</v>
      </c>
      <c r="K517">
        <v>0.015510550689622159</v>
      </c>
      <c r="L517" t="s">
        <v>88</v>
      </c>
      <c r="N517" t="s">
        <v>125</v>
      </c>
      <c r="O517" t="s">
        <v>195</v>
      </c>
      <c r="P517">
        <v>0.01989927069914953</v>
      </c>
      <c r="Q517" t="s">
        <v>88</v>
      </c>
      <c r="S517" t="s">
        <v>140</v>
      </c>
      <c r="T517" t="s">
        <v>195</v>
      </c>
      <c r="U517">
        <v>0.026929896339791905</v>
      </c>
      <c r="V517" t="s">
        <v>88</v>
      </c>
    </row>
    <row r="518" spans="9:22" ht="14.2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0.003562002669943254</v>
      </c>
      <c r="Q518" t="s">
        <v>88</v>
      </c>
      <c r="S518" t="s">
        <v>140</v>
      </c>
      <c r="T518" t="s">
        <v>196</v>
      </c>
      <c r="U518">
        <v>0.0042920079553615776</v>
      </c>
      <c r="V518" t="s">
        <v>88</v>
      </c>
    </row>
    <row r="519" spans="9:22" ht="14.2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0.0035992642106557429</v>
      </c>
      <c r="Q519" t="s">
        <v>88</v>
      </c>
      <c r="S519" t="s">
        <v>140</v>
      </c>
      <c r="T519" t="s">
        <v>197</v>
      </c>
      <c r="U519">
        <v>0.0042394385848742678</v>
      </c>
      <c r="V519" t="s">
        <v>88</v>
      </c>
    </row>
    <row r="520" spans="9:22" ht="14.2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0.017709639099583549</v>
      </c>
      <c r="Q520" t="s">
        <v>88</v>
      </c>
      <c r="S520" t="s">
        <v>140</v>
      </c>
      <c r="T520" t="s">
        <v>198</v>
      </c>
      <c r="U520">
        <v>0.021358680405191708</v>
      </c>
      <c r="V520" t="s">
        <v>88</v>
      </c>
    </row>
    <row r="521" spans="9:22" ht="14.25">
      <c r="I521" t="s">
        <v>109</v>
      </c>
      <c r="J521" t="s">
        <v>199</v>
      </c>
      <c r="K521">
        <v>4.5929808816063733E-05</v>
      </c>
      <c r="L521" t="s">
        <v>88</v>
      </c>
      <c r="N521" t="s">
        <v>125</v>
      </c>
      <c r="O521" t="s">
        <v>199</v>
      </c>
      <c r="P521">
        <v>0.089011914651969809</v>
      </c>
      <c r="Q521" t="s">
        <v>88</v>
      </c>
      <c r="S521" t="s">
        <v>140</v>
      </c>
      <c r="T521" t="s">
        <v>199</v>
      </c>
      <c r="U521">
        <v>0.090760447580114367</v>
      </c>
      <c r="V521" t="s">
        <v>88</v>
      </c>
    </row>
    <row r="522" spans="9:22" ht="14.25">
      <c r="I522" t="s">
        <v>109</v>
      </c>
      <c r="J522" t="s">
        <v>200</v>
      </c>
      <c r="K522">
        <v>0.04421038568379998</v>
      </c>
      <c r="L522" t="s">
        <v>88</v>
      </c>
      <c r="N522" t="s">
        <v>125</v>
      </c>
      <c r="O522" t="s">
        <v>200</v>
      </c>
      <c r="P522">
        <v>0.040420488145238583</v>
      </c>
      <c r="Q522" t="s">
        <v>88</v>
      </c>
      <c r="S522" t="s">
        <v>140</v>
      </c>
      <c r="T522" t="s">
        <v>200</v>
      </c>
      <c r="U522">
        <v>0.049952366460510447</v>
      </c>
      <c r="V522" t="s">
        <v>88</v>
      </c>
    </row>
    <row r="523" spans="9:22" ht="14.25">
      <c r="I523" t="s">
        <v>109</v>
      </c>
      <c r="J523" t="s">
        <v>201</v>
      </c>
      <c r="K523">
        <v>0.098469762718099679</v>
      </c>
      <c r="L523" t="s">
        <v>88</v>
      </c>
      <c r="N523" t="s">
        <v>125</v>
      </c>
      <c r="O523" t="s">
        <v>201</v>
      </c>
      <c r="P523">
        <v>0.061283109672058189</v>
      </c>
      <c r="Q523" t="s">
        <v>88</v>
      </c>
      <c r="S523" t="s">
        <v>140</v>
      </c>
      <c r="T523" t="s">
        <v>201</v>
      </c>
      <c r="U523">
        <v>0.078332793135388726</v>
      </c>
      <c r="V523" t="s">
        <v>88</v>
      </c>
    </row>
    <row r="524" spans="9:22" ht="14.25">
      <c r="I524" t="s">
        <v>109</v>
      </c>
      <c r="J524" t="s">
        <v>202</v>
      </c>
      <c r="K524">
        <v>0.0089843152419157961</v>
      </c>
      <c r="L524" t="s">
        <v>88</v>
      </c>
      <c r="N524" t="s">
        <v>125</v>
      </c>
      <c r="O524" t="s">
        <v>202</v>
      </c>
      <c r="P524">
        <v>0.012039143570017447</v>
      </c>
      <c r="Q524" t="s">
        <v>88</v>
      </c>
      <c r="S524" t="s">
        <v>140</v>
      </c>
      <c r="T524" t="s">
        <v>202</v>
      </c>
      <c r="U524">
        <v>0.012754899317041888</v>
      </c>
      <c r="V524" t="s">
        <v>88</v>
      </c>
    </row>
    <row r="525" spans="9:22" ht="14.25">
      <c r="I525" t="s">
        <v>109</v>
      </c>
      <c r="J525" t="s">
        <v>203</v>
      </c>
      <c r="K525">
        <v>0.0016616754787803509</v>
      </c>
      <c r="L525" t="s">
        <v>88</v>
      </c>
      <c r="N525" t="s">
        <v>125</v>
      </c>
      <c r="O525" t="s">
        <v>203</v>
      </c>
      <c r="P525">
        <v>0.012414719054285773</v>
      </c>
      <c r="Q525" t="s">
        <v>88</v>
      </c>
      <c r="S525" t="s">
        <v>140</v>
      </c>
      <c r="T525" t="s">
        <v>203</v>
      </c>
      <c r="U525">
        <v>0.012745071766745535</v>
      </c>
      <c r="V525" t="s">
        <v>88</v>
      </c>
    </row>
    <row r="526" spans="9:22" ht="14.2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0.065656006055173272</v>
      </c>
      <c r="Q526" t="s">
        <v>88</v>
      </c>
      <c r="S526" t="s">
        <v>140</v>
      </c>
      <c r="T526" t="s">
        <v>204</v>
      </c>
      <c r="U526">
        <v>0.064827850822728808</v>
      </c>
      <c r="V526" t="s">
        <v>88</v>
      </c>
    </row>
    <row r="527" spans="9:22" ht="14.25">
      <c r="I527" t="s">
        <v>109</v>
      </c>
      <c r="J527" t="s">
        <v>205</v>
      </c>
      <c r="K527">
        <v>0.0042960277786146918</v>
      </c>
      <c r="L527" t="s">
        <v>88</v>
      </c>
      <c r="N527" t="s">
        <v>125</v>
      </c>
      <c r="O527" t="s">
        <v>205</v>
      </c>
      <c r="P527">
        <v>0.034098063053861094</v>
      </c>
      <c r="Q527" t="s">
        <v>88</v>
      </c>
      <c r="S527" t="s">
        <v>140</v>
      </c>
      <c r="T527" t="s">
        <v>205</v>
      </c>
      <c r="U527">
        <v>0.027163701457744816</v>
      </c>
      <c r="V527" t="s">
        <v>88</v>
      </c>
    </row>
    <row r="528" spans="9:22" ht="14.25">
      <c r="I528" t="s">
        <v>109</v>
      </c>
      <c r="J528" t="s">
        <v>206</v>
      </c>
      <c r="K528">
        <v>0.033625874408341951</v>
      </c>
      <c r="L528" t="s">
        <v>88</v>
      </c>
      <c r="N528" t="s">
        <v>125</v>
      </c>
      <c r="O528" t="s">
        <v>206</v>
      </c>
      <c r="P528">
        <v>0.018365174225727549</v>
      </c>
      <c r="Q528" t="s">
        <v>88</v>
      </c>
      <c r="S528" t="s">
        <v>140</v>
      </c>
      <c r="T528" t="s">
        <v>206</v>
      </c>
      <c r="U528">
        <v>0.015432876483805686</v>
      </c>
      <c r="V528" t="s">
        <v>88</v>
      </c>
    </row>
    <row r="529" spans="9:22" ht="14.25">
      <c r="I529" t="s">
        <v>109</v>
      </c>
      <c r="J529" t="s">
        <v>207</v>
      </c>
      <c r="K529">
        <v>0.062191464533922547</v>
      </c>
      <c r="L529" t="s">
        <v>88</v>
      </c>
      <c r="N529" t="s">
        <v>125</v>
      </c>
      <c r="O529" t="s">
        <v>207</v>
      </c>
      <c r="P529">
        <v>0.031922928994636716</v>
      </c>
      <c r="Q529" t="s">
        <v>88</v>
      </c>
      <c r="S529" t="s">
        <v>140</v>
      </c>
      <c r="T529" t="s">
        <v>207</v>
      </c>
      <c r="U529">
        <v>0.026016476570710032</v>
      </c>
      <c r="V529" t="s">
        <v>88</v>
      </c>
    </row>
    <row r="530" spans="9:22" ht="14.25">
      <c r="I530" t="s">
        <v>109</v>
      </c>
      <c r="J530" t="s">
        <v>208</v>
      </c>
      <c r="K530">
        <v>0.00782319592783433</v>
      </c>
      <c r="L530" t="s">
        <v>88</v>
      </c>
      <c r="N530" t="s">
        <v>125</v>
      </c>
      <c r="O530" t="s">
        <v>208</v>
      </c>
      <c r="P530">
        <v>0.0056830429541787153</v>
      </c>
      <c r="Q530" t="s">
        <v>88</v>
      </c>
      <c r="S530" t="s">
        <v>140</v>
      </c>
      <c r="T530" t="s">
        <v>208</v>
      </c>
      <c r="U530">
        <v>0.0040956242913790701</v>
      </c>
      <c r="V530" t="s">
        <v>88</v>
      </c>
    </row>
    <row r="531" spans="9:22" ht="14.25">
      <c r="I531" t="s">
        <v>109</v>
      </c>
      <c r="J531" t="s">
        <v>209</v>
      </c>
      <c r="K531">
        <v>0.0058154038913764156</v>
      </c>
      <c r="L531" t="s">
        <v>88</v>
      </c>
      <c r="N531" t="s">
        <v>125</v>
      </c>
      <c r="O531" t="s">
        <v>209</v>
      </c>
      <c r="P531">
        <v>0.0057625121025661388</v>
      </c>
      <c r="Q531" t="s">
        <v>88</v>
      </c>
      <c r="S531" t="s">
        <v>140</v>
      </c>
      <c r="T531" t="s">
        <v>209</v>
      </c>
      <c r="U531">
        <v>0.0039623874020764992</v>
      </c>
      <c r="V531" t="s">
        <v>88</v>
      </c>
    </row>
    <row r="532" spans="9:22" ht="14.25">
      <c r="I532" t="s">
        <v>109</v>
      </c>
      <c r="J532" t="s">
        <v>210</v>
      </c>
      <c r="K532">
        <v>2.9499727082831689E-05</v>
      </c>
      <c r="L532" t="s">
        <v>88</v>
      </c>
      <c r="N532" t="s">
        <v>125</v>
      </c>
      <c r="O532" t="s">
        <v>210</v>
      </c>
      <c r="P532">
        <v>0.028070952048314016</v>
      </c>
      <c r="Q532" t="s">
        <v>88</v>
      </c>
      <c r="S532" t="s">
        <v>140</v>
      </c>
      <c r="T532" t="s">
        <v>210</v>
      </c>
      <c r="U532">
        <v>0.018798704123521796</v>
      </c>
      <c r="V532" t="s">
        <v>88</v>
      </c>
    </row>
    <row r="533" spans="9:22" ht="14.25">
      <c r="I533" t="s">
        <v>109</v>
      </c>
      <c r="J533" t="s">
        <v>211</v>
      </c>
      <c r="K533">
        <v>0.018877185427288213</v>
      </c>
      <c r="L533" t="s">
        <v>88</v>
      </c>
      <c r="N533" t="s">
        <v>125</v>
      </c>
      <c r="O533" t="s">
        <v>211</v>
      </c>
      <c r="P533">
        <v>0.037109024659178744</v>
      </c>
      <c r="Q533" t="s">
        <v>88</v>
      </c>
      <c r="S533" t="s">
        <v>140</v>
      </c>
      <c r="T533" t="s">
        <v>211</v>
      </c>
      <c r="U533">
        <v>0.032591160643461098</v>
      </c>
      <c r="V533" t="s">
        <v>88</v>
      </c>
    </row>
    <row r="534" spans="9:22" ht="14.25">
      <c r="I534" t="s">
        <v>109</v>
      </c>
      <c r="J534" t="s">
        <v>212</v>
      </c>
      <c r="K534">
        <v>0.080685371202061401</v>
      </c>
      <c r="L534" t="s">
        <v>88</v>
      </c>
      <c r="N534" t="s">
        <v>125</v>
      </c>
      <c r="O534" t="s">
        <v>212</v>
      </c>
      <c r="P534">
        <v>0.016882012085657129</v>
      </c>
      <c r="Q534" t="s">
        <v>88</v>
      </c>
      <c r="S534" t="s">
        <v>140</v>
      </c>
      <c r="T534" t="s">
        <v>212</v>
      </c>
      <c r="U534">
        <v>0.017857121055738015</v>
      </c>
      <c r="V534" t="s">
        <v>88</v>
      </c>
    </row>
    <row r="535" spans="9:22" ht="14.2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0.037490699487124163</v>
      </c>
      <c r="Q535" t="s">
        <v>88</v>
      </c>
      <c r="S535" t="s">
        <v>140</v>
      </c>
      <c r="T535" t="s">
        <v>213</v>
      </c>
      <c r="U535">
        <v>0.031666231110146853</v>
      </c>
      <c r="V535" t="s">
        <v>88</v>
      </c>
    </row>
    <row r="536" spans="9:22" ht="14.25">
      <c r="I536" t="s">
        <v>109</v>
      </c>
      <c r="J536" t="s">
        <v>214</v>
      </c>
      <c r="K536">
        <v>0.016209048220661739</v>
      </c>
      <c r="L536" t="s">
        <v>88</v>
      </c>
      <c r="N536" t="s">
        <v>125</v>
      </c>
      <c r="O536" t="s">
        <v>214</v>
      </c>
      <c r="P536">
        <v>0.0071713665363881953</v>
      </c>
      <c r="Q536" t="s">
        <v>88</v>
      </c>
      <c r="S536" t="s">
        <v>140</v>
      </c>
      <c r="T536" t="s">
        <v>214</v>
      </c>
      <c r="U536">
        <v>0.0056074783819856427</v>
      </c>
      <c r="V536" t="s">
        <v>88</v>
      </c>
    </row>
    <row r="537" spans="9:22" ht="14.25">
      <c r="I537" t="s">
        <v>109</v>
      </c>
      <c r="J537" t="s">
        <v>215</v>
      </c>
      <c r="K537">
        <v>0.013223746575845217</v>
      </c>
      <c r="L537" t="s">
        <v>88</v>
      </c>
      <c r="N537" t="s">
        <v>125</v>
      </c>
      <c r="O537" t="s">
        <v>215</v>
      </c>
      <c r="P537">
        <v>0.0069424769392644921</v>
      </c>
      <c r="Q537" t="s">
        <v>88</v>
      </c>
      <c r="S537" t="s">
        <v>140</v>
      </c>
      <c r="T537" t="s">
        <v>215</v>
      </c>
      <c r="U537">
        <v>0.0055228650057575273</v>
      </c>
      <c r="V537" t="s">
        <v>88</v>
      </c>
    </row>
    <row r="538" spans="9:22" ht="14.25">
      <c r="I538" t="s">
        <v>109</v>
      </c>
      <c r="J538" t="s">
        <v>216</v>
      </c>
      <c r="K538">
        <v>0.0084733401863554721</v>
      </c>
      <c r="L538" t="s">
        <v>88</v>
      </c>
      <c r="N538" t="s">
        <v>125</v>
      </c>
      <c r="O538" t="s">
        <v>216</v>
      </c>
      <c r="P538">
        <v>0.033319633408546413</v>
      </c>
      <c r="Q538" t="s">
        <v>88</v>
      </c>
      <c r="S538" t="s">
        <v>140</v>
      </c>
      <c r="T538" t="s">
        <v>216</v>
      </c>
      <c r="U538">
        <v>0.025175982304905798</v>
      </c>
      <c r="V538" t="s">
        <v>88</v>
      </c>
    </row>
    <row r="539" spans="9:22" ht="14.25">
      <c r="I539" t="s">
        <v>110</v>
      </c>
      <c r="J539" t="s">
        <v>87</v>
      </c>
      <c r="K539">
        <v>0.010569467710853648</v>
      </c>
      <c r="L539" t="s">
        <v>88</v>
      </c>
      <c r="N539" t="s">
        <v>126</v>
      </c>
      <c r="O539" t="s">
        <v>87</v>
      </c>
      <c r="P539">
        <v>0.023692498832477864</v>
      </c>
      <c r="Q539" t="s">
        <v>88</v>
      </c>
      <c r="S539" t="s">
        <v>141</v>
      </c>
      <c r="T539" t="s">
        <v>87</v>
      </c>
      <c r="U539">
        <v>0.026074265083958111</v>
      </c>
      <c r="V539" t="s">
        <v>88</v>
      </c>
    </row>
    <row r="540" spans="9:22" ht="14.25">
      <c r="I540" t="s">
        <v>110</v>
      </c>
      <c r="J540" t="s">
        <v>89</v>
      </c>
      <c r="K540">
        <v>0.044280260446683636</v>
      </c>
      <c r="L540" t="s">
        <v>88</v>
      </c>
      <c r="N540" t="s">
        <v>126</v>
      </c>
      <c r="O540" t="s">
        <v>89</v>
      </c>
      <c r="P540">
        <v>0.016641039972999948</v>
      </c>
      <c r="Q540" t="s">
        <v>88</v>
      </c>
      <c r="S540" t="s">
        <v>141</v>
      </c>
      <c r="T540" t="s">
        <v>89</v>
      </c>
      <c r="U540">
        <v>0.013926704328176732</v>
      </c>
      <c r="V540" t="s">
        <v>88</v>
      </c>
    </row>
    <row r="541" spans="9:22" ht="14.25">
      <c r="I541" t="s">
        <v>110</v>
      </c>
      <c r="J541" t="s">
        <v>90</v>
      </c>
      <c r="K541">
        <v>0.072832822396131175</v>
      </c>
      <c r="L541" t="s">
        <v>88</v>
      </c>
      <c r="N541" t="s">
        <v>126</v>
      </c>
      <c r="O541" t="s">
        <v>90</v>
      </c>
      <c r="P541">
        <v>0.038812731897328881</v>
      </c>
      <c r="Q541" t="s">
        <v>88</v>
      </c>
      <c r="S541" t="s">
        <v>141</v>
      </c>
      <c r="T541" t="s">
        <v>90</v>
      </c>
      <c r="U541">
        <v>0.022644682228604381</v>
      </c>
      <c r="V541" t="s">
        <v>88</v>
      </c>
    </row>
    <row r="542" spans="9:22" ht="14.25">
      <c r="I542" t="s">
        <v>110</v>
      </c>
      <c r="J542" t="s">
        <v>181</v>
      </c>
      <c r="K542">
        <v>0.010307345103050685</v>
      </c>
      <c r="L542" t="s">
        <v>88</v>
      </c>
      <c r="N542" t="s">
        <v>126</v>
      </c>
      <c r="O542" t="s">
        <v>181</v>
      </c>
      <c r="P542">
        <v>0.0060916366873519168</v>
      </c>
      <c r="Q542" t="s">
        <v>88</v>
      </c>
      <c r="S542" t="s">
        <v>141</v>
      </c>
      <c r="T542" t="s">
        <v>181</v>
      </c>
      <c r="U542">
        <v>0.0036836937728957865</v>
      </c>
      <c r="V542" t="s">
        <v>88</v>
      </c>
    </row>
    <row r="543" spans="9:22" ht="14.25">
      <c r="I543" t="s">
        <v>110</v>
      </c>
      <c r="J543" t="s">
        <v>182</v>
      </c>
      <c r="K543">
        <v>0.0088141815352942143</v>
      </c>
      <c r="L543" t="s">
        <v>88</v>
      </c>
      <c r="N543" t="s">
        <v>126</v>
      </c>
      <c r="O543" t="s">
        <v>182</v>
      </c>
      <c r="P543">
        <v>0.0052567247068525929</v>
      </c>
      <c r="Q543" t="s">
        <v>88</v>
      </c>
      <c r="S543" t="s">
        <v>141</v>
      </c>
      <c r="T543" t="s">
        <v>182</v>
      </c>
      <c r="U543">
        <v>0.0034702893340075088</v>
      </c>
      <c r="V543" t="s">
        <v>88</v>
      </c>
    </row>
    <row r="544" spans="9:22" ht="14.25">
      <c r="I544" t="s">
        <v>110</v>
      </c>
      <c r="J544" t="s">
        <v>183</v>
      </c>
      <c r="K544">
        <v>0.0056117460445020192</v>
      </c>
      <c r="L544" t="s">
        <v>88</v>
      </c>
      <c r="N544" t="s">
        <v>126</v>
      </c>
      <c r="O544" t="s">
        <v>183</v>
      </c>
      <c r="P544">
        <v>0.020472367229854564</v>
      </c>
      <c r="Q544" t="s">
        <v>88</v>
      </c>
      <c r="S544" t="s">
        <v>141</v>
      </c>
      <c r="T544" t="s">
        <v>183</v>
      </c>
      <c r="U544">
        <v>0.016153868789769765</v>
      </c>
      <c r="V544" t="s">
        <v>88</v>
      </c>
    </row>
    <row r="545" spans="9:22" ht="14.25">
      <c r="I545" t="s">
        <v>110</v>
      </c>
      <c r="J545" t="s">
        <v>91</v>
      </c>
      <c r="K545">
        <v>0.0050897735822694233</v>
      </c>
      <c r="L545" t="s">
        <v>88</v>
      </c>
      <c r="N545" t="s">
        <v>126</v>
      </c>
      <c r="O545" t="s">
        <v>91</v>
      </c>
      <c r="P545">
        <v>0.014435422794503733</v>
      </c>
      <c r="Q545" t="s">
        <v>88</v>
      </c>
      <c r="S545" t="s">
        <v>141</v>
      </c>
      <c r="T545" t="s">
        <v>91</v>
      </c>
      <c r="U545">
        <v>0.016037244619754743</v>
      </c>
      <c r="V545" t="s">
        <v>88</v>
      </c>
    </row>
    <row r="546" spans="9:22" ht="14.25">
      <c r="I546" t="s">
        <v>110</v>
      </c>
      <c r="J546" t="s">
        <v>92</v>
      </c>
      <c r="K546">
        <v>0.036789502648551575</v>
      </c>
      <c r="L546" t="s">
        <v>88</v>
      </c>
      <c r="N546" t="s">
        <v>126</v>
      </c>
      <c r="O546" t="s">
        <v>92</v>
      </c>
      <c r="P546">
        <v>0.0084562556919307655</v>
      </c>
      <c r="Q546" t="s">
        <v>88</v>
      </c>
      <c r="S546" t="s">
        <v>141</v>
      </c>
      <c r="T546" t="s">
        <v>92</v>
      </c>
      <c r="U546">
        <v>0.0081943243261623517</v>
      </c>
      <c r="V546" t="s">
        <v>88</v>
      </c>
    </row>
    <row r="547" spans="9:22" ht="14.25">
      <c r="I547" t="s">
        <v>110</v>
      </c>
      <c r="J547" t="s">
        <v>93</v>
      </c>
      <c r="K547">
        <v>0.063150870421646424</v>
      </c>
      <c r="L547" t="s">
        <v>88</v>
      </c>
      <c r="N547" t="s">
        <v>126</v>
      </c>
      <c r="O547" t="s">
        <v>93</v>
      </c>
      <c r="P547">
        <v>0.017856341236170709</v>
      </c>
      <c r="Q547" t="s">
        <v>88</v>
      </c>
      <c r="S547" t="s">
        <v>141</v>
      </c>
      <c r="T547" t="s">
        <v>93</v>
      </c>
      <c r="U547">
        <v>0.01401520977886251</v>
      </c>
      <c r="V547" t="s">
        <v>88</v>
      </c>
    </row>
    <row r="548" spans="9:22" ht="14.25">
      <c r="I548" t="s">
        <v>110</v>
      </c>
      <c r="J548" t="s">
        <v>184</v>
      </c>
      <c r="K548">
        <v>0.0088396283294991124</v>
      </c>
      <c r="L548" t="s">
        <v>88</v>
      </c>
      <c r="N548" t="s">
        <v>126</v>
      </c>
      <c r="O548" t="s">
        <v>184</v>
      </c>
      <c r="P548">
        <v>0.0029439813830411722</v>
      </c>
      <c r="Q548" t="s">
        <v>88</v>
      </c>
      <c r="S548" t="s">
        <v>141</v>
      </c>
      <c r="T548" t="s">
        <v>184</v>
      </c>
      <c r="U548">
        <v>0.0024916878240448439</v>
      </c>
      <c r="V548" t="s">
        <v>88</v>
      </c>
    </row>
    <row r="549" spans="9:22" ht="14.25">
      <c r="I549" t="s">
        <v>110</v>
      </c>
      <c r="J549" t="s">
        <v>185</v>
      </c>
      <c r="K549">
        <v>0.0068428999681725581</v>
      </c>
      <c r="L549" t="s">
        <v>88</v>
      </c>
      <c r="N549" t="s">
        <v>126</v>
      </c>
      <c r="O549" t="s">
        <v>185</v>
      </c>
      <c r="P549">
        <v>0.0026758019335911707</v>
      </c>
      <c r="Q549" t="s">
        <v>88</v>
      </c>
      <c r="S549" t="s">
        <v>141</v>
      </c>
      <c r="T549" t="s">
        <v>185</v>
      </c>
      <c r="U549">
        <v>0.0025560881943331362</v>
      </c>
      <c r="V549" t="s">
        <v>88</v>
      </c>
    </row>
    <row r="550" spans="9:22" ht="14.25">
      <c r="I550" t="s">
        <v>110</v>
      </c>
      <c r="J550" t="s">
        <v>186</v>
      </c>
      <c r="K550">
        <v>0.001956564565014684</v>
      </c>
      <c r="L550" t="s">
        <v>88</v>
      </c>
      <c r="N550" t="s">
        <v>126</v>
      </c>
      <c r="O550" t="s">
        <v>186</v>
      </c>
      <c r="P550">
        <v>0.011041917446935728</v>
      </c>
      <c r="Q550" t="s">
        <v>88</v>
      </c>
      <c r="S550" t="s">
        <v>141</v>
      </c>
      <c r="T550" t="s">
        <v>186</v>
      </c>
      <c r="U550">
        <v>0.012522229782680973</v>
      </c>
      <c r="V550" t="s">
        <v>88</v>
      </c>
    </row>
    <row r="551" spans="9:22" ht="14.25">
      <c r="I551" t="s">
        <v>110</v>
      </c>
      <c r="J551" t="s">
        <v>94</v>
      </c>
      <c r="K551">
        <v>0.0012382428885157957</v>
      </c>
      <c r="L551" t="s">
        <v>88</v>
      </c>
      <c r="N551" t="s">
        <v>126</v>
      </c>
      <c r="O551" t="s">
        <v>94</v>
      </c>
      <c r="P551">
        <v>0.011175387851651669</v>
      </c>
      <c r="Q551" t="s">
        <v>88</v>
      </c>
      <c r="S551" t="s">
        <v>141</v>
      </c>
      <c r="T551" t="s">
        <v>94</v>
      </c>
      <c r="U551">
        <v>0.016264522898314728</v>
      </c>
      <c r="V551" t="s">
        <v>88</v>
      </c>
    </row>
    <row r="552" spans="9:22" ht="14.25">
      <c r="I552" t="s">
        <v>110</v>
      </c>
      <c r="J552" t="s">
        <v>95</v>
      </c>
      <c r="K552">
        <v>0.028667186472056686</v>
      </c>
      <c r="L552" t="s">
        <v>88</v>
      </c>
      <c r="N552" t="s">
        <v>126</v>
      </c>
      <c r="O552" t="s">
        <v>95</v>
      </c>
      <c r="P552">
        <v>0.0067407602532087848</v>
      </c>
      <c r="Q552" t="s">
        <v>88</v>
      </c>
      <c r="S552" t="s">
        <v>141</v>
      </c>
      <c r="T552" t="s">
        <v>95</v>
      </c>
      <c r="U552">
        <v>0.0082480648082283517</v>
      </c>
      <c r="V552" t="s">
        <v>88</v>
      </c>
    </row>
    <row r="553" spans="9:22" ht="14.25">
      <c r="I553" t="s">
        <v>110</v>
      </c>
      <c r="J553" t="s">
        <v>96</v>
      </c>
      <c r="K553">
        <v>0.053183332318810381</v>
      </c>
      <c r="L553" t="s">
        <v>88</v>
      </c>
      <c r="N553" t="s">
        <v>126</v>
      </c>
      <c r="O553" t="s">
        <v>96</v>
      </c>
      <c r="P553">
        <v>0.016285203915126122</v>
      </c>
      <c r="Q553" t="s">
        <v>88</v>
      </c>
      <c r="S553" t="s">
        <v>141</v>
      </c>
      <c r="T553" t="s">
        <v>96</v>
      </c>
      <c r="U553">
        <v>0.013875300866793949</v>
      </c>
      <c r="V553" t="s">
        <v>88</v>
      </c>
    </row>
    <row r="554" spans="9:22" ht="14.25">
      <c r="I554" t="s">
        <v>110</v>
      </c>
      <c r="J554" t="s">
        <v>187</v>
      </c>
      <c r="K554">
        <v>0.0066404702118600294</v>
      </c>
      <c r="L554" t="s">
        <v>88</v>
      </c>
      <c r="N554" t="s">
        <v>126</v>
      </c>
      <c r="O554" t="s">
        <v>187</v>
      </c>
      <c r="P554">
        <v>0.0023917939972821515</v>
      </c>
      <c r="Q554" t="s">
        <v>88</v>
      </c>
      <c r="S554" t="s">
        <v>141</v>
      </c>
      <c r="T554" t="s">
        <v>187</v>
      </c>
      <c r="U554">
        <v>0.0025530173497557767</v>
      </c>
      <c r="V554" t="s">
        <v>88</v>
      </c>
    </row>
    <row r="555" spans="9:22" ht="14.25">
      <c r="I555" t="s">
        <v>110</v>
      </c>
      <c r="J555" t="s">
        <v>188</v>
      </c>
      <c r="K555">
        <v>0.0030812648175063688</v>
      </c>
      <c r="L555" t="s">
        <v>88</v>
      </c>
      <c r="N555" t="s">
        <v>126</v>
      </c>
      <c r="O555" t="s">
        <v>188</v>
      </c>
      <c r="P555">
        <v>0.0022622754965160715</v>
      </c>
      <c r="Q555" t="s">
        <v>88</v>
      </c>
      <c r="S555" t="s">
        <v>141</v>
      </c>
      <c r="T555" t="s">
        <v>188</v>
      </c>
      <c r="U555">
        <v>0.0026662144692009733</v>
      </c>
      <c r="V555" t="s">
        <v>88</v>
      </c>
    </row>
    <row r="556" spans="9:22" ht="14.2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0.0087641773920065277</v>
      </c>
      <c r="Q556" t="s">
        <v>88</v>
      </c>
      <c r="S556" t="s">
        <v>141</v>
      </c>
      <c r="T556" t="s">
        <v>189</v>
      </c>
      <c r="U556">
        <v>0.013527246105237875</v>
      </c>
      <c r="V556" t="s">
        <v>88</v>
      </c>
    </row>
    <row r="557" spans="9:22" ht="14.2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0.043105907991286302</v>
      </c>
      <c r="Q557" t="s">
        <v>88</v>
      </c>
      <c r="S557" t="s">
        <v>141</v>
      </c>
      <c r="T557" t="s">
        <v>97</v>
      </c>
      <c r="U557">
        <v>0.05555796142097754</v>
      </c>
      <c r="V557" t="s">
        <v>88</v>
      </c>
    </row>
    <row r="558" spans="9:22" ht="14.25">
      <c r="I558" t="s">
        <v>110</v>
      </c>
      <c r="J558" t="s">
        <v>98</v>
      </c>
      <c r="K558">
        <v>0.028591516433526795</v>
      </c>
      <c r="L558" t="s">
        <v>88</v>
      </c>
      <c r="N558" t="s">
        <v>126</v>
      </c>
      <c r="O558" t="s">
        <v>98</v>
      </c>
      <c r="P558">
        <v>0.024886392392217044</v>
      </c>
      <c r="Q558" t="s">
        <v>88</v>
      </c>
      <c r="S558" t="s">
        <v>141</v>
      </c>
      <c r="T558" t="s">
        <v>98</v>
      </c>
      <c r="U558">
        <v>0.031312137459478265</v>
      </c>
      <c r="V558" t="s">
        <v>88</v>
      </c>
    </row>
    <row r="559" spans="9:22" ht="14.25">
      <c r="I559" t="s">
        <v>110</v>
      </c>
      <c r="J559" t="s">
        <v>99</v>
      </c>
      <c r="K559">
        <v>0.057250622261700773</v>
      </c>
      <c r="L559" t="s">
        <v>88</v>
      </c>
      <c r="N559" t="s">
        <v>126</v>
      </c>
      <c r="O559" t="s">
        <v>99</v>
      </c>
      <c r="P559">
        <v>0.041320079159233698</v>
      </c>
      <c r="Q559" t="s">
        <v>88</v>
      </c>
      <c r="S559" t="s">
        <v>141</v>
      </c>
      <c r="T559" t="s">
        <v>99</v>
      </c>
      <c r="U559">
        <v>0.049870141855744878</v>
      </c>
      <c r="V559" t="s">
        <v>88</v>
      </c>
    </row>
    <row r="560" spans="9:22" ht="14.25">
      <c r="I560" t="s">
        <v>110</v>
      </c>
      <c r="J560" t="s">
        <v>190</v>
      </c>
      <c r="K560">
        <v>0.0030485399567326617</v>
      </c>
      <c r="L560" t="s">
        <v>88</v>
      </c>
      <c r="N560" t="s">
        <v>126</v>
      </c>
      <c r="O560" t="s">
        <v>190</v>
      </c>
      <c r="P560">
        <v>0.0062523635699188685</v>
      </c>
      <c r="Q560" t="s">
        <v>88</v>
      </c>
      <c r="S560" t="s">
        <v>141</v>
      </c>
      <c r="T560" t="s">
        <v>190</v>
      </c>
      <c r="U560">
        <v>0.0085024729154321785</v>
      </c>
      <c r="V560" t="s">
        <v>88</v>
      </c>
    </row>
    <row r="561" spans="9:22" ht="14.2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0.0059850686243967674</v>
      </c>
      <c r="Q561" t="s">
        <v>88</v>
      </c>
      <c r="S561" t="s">
        <v>141</v>
      </c>
      <c r="T561" t="s">
        <v>191</v>
      </c>
      <c r="U561">
        <v>0.0084868779773090534</v>
      </c>
      <c r="V561" t="s">
        <v>88</v>
      </c>
    </row>
    <row r="562" spans="9:22" ht="14.2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0.029169235705118739</v>
      </c>
      <c r="Q562" t="s">
        <v>88</v>
      </c>
      <c r="S562" t="s">
        <v>141</v>
      </c>
      <c r="T562" t="s">
        <v>192</v>
      </c>
      <c r="U562">
        <v>0.040807235024072311</v>
      </c>
      <c r="V562" t="s">
        <v>88</v>
      </c>
    </row>
    <row r="563" spans="9:22" ht="14.2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0.030413577682965057</v>
      </c>
      <c r="Q563" t="s">
        <v>88</v>
      </c>
      <c r="S563" t="s">
        <v>141</v>
      </c>
      <c r="T563" t="s">
        <v>193</v>
      </c>
      <c r="U563">
        <v>0.024491384466228033</v>
      </c>
      <c r="V563" t="s">
        <v>88</v>
      </c>
    </row>
    <row r="564" spans="9:22" ht="14.25">
      <c r="I564" t="s">
        <v>110</v>
      </c>
      <c r="J564" t="s">
        <v>194</v>
      </c>
      <c r="K564">
        <v>0.0075493227299475857</v>
      </c>
      <c r="L564" t="s">
        <v>88</v>
      </c>
      <c r="N564" t="s">
        <v>126</v>
      </c>
      <c r="O564" t="s">
        <v>194</v>
      </c>
      <c r="P564">
        <v>0.014189002342011805</v>
      </c>
      <c r="Q564" t="s">
        <v>88</v>
      </c>
      <c r="S564" t="s">
        <v>141</v>
      </c>
      <c r="T564" t="s">
        <v>194</v>
      </c>
      <c r="U564">
        <v>0.01294739271561865</v>
      </c>
      <c r="V564" t="s">
        <v>88</v>
      </c>
    </row>
    <row r="565" spans="9:22" ht="14.25">
      <c r="I565" t="s">
        <v>110</v>
      </c>
      <c r="J565" t="s">
        <v>195</v>
      </c>
      <c r="K565">
        <v>0.01702736404507689</v>
      </c>
      <c r="L565" t="s">
        <v>88</v>
      </c>
      <c r="N565" t="s">
        <v>126</v>
      </c>
      <c r="O565" t="s">
        <v>195</v>
      </c>
      <c r="P565">
        <v>0.023603645406903805</v>
      </c>
      <c r="Q565" t="s">
        <v>88</v>
      </c>
      <c r="S565" t="s">
        <v>141</v>
      </c>
      <c r="T565" t="s">
        <v>195</v>
      </c>
      <c r="U565">
        <v>0.019355823600533603</v>
      </c>
      <c r="V565" t="s">
        <v>88</v>
      </c>
    </row>
    <row r="566" spans="9:22" ht="14.2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0.0045655382026745205</v>
      </c>
      <c r="Q566" t="s">
        <v>88</v>
      </c>
      <c r="S566" t="s">
        <v>141</v>
      </c>
      <c r="T566" t="s">
        <v>196</v>
      </c>
      <c r="U566">
        <v>0.0033504576840955869</v>
      </c>
      <c r="V566" t="s">
        <v>88</v>
      </c>
    </row>
    <row r="567" spans="9:22" ht="14.2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0.0046796569460688386</v>
      </c>
      <c r="Q567" t="s">
        <v>88</v>
      </c>
      <c r="S567" t="s">
        <v>141</v>
      </c>
      <c r="T567" t="s">
        <v>197</v>
      </c>
      <c r="U567">
        <v>0.0033921671058951752</v>
      </c>
      <c r="V567" t="s">
        <v>88</v>
      </c>
    </row>
    <row r="568" spans="9:22" ht="14.2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0.023542446463128051</v>
      </c>
      <c r="Q568" t="s">
        <v>88</v>
      </c>
      <c r="S568" t="s">
        <v>141</v>
      </c>
      <c r="T568" t="s">
        <v>198</v>
      </c>
      <c r="U568">
        <v>0.017278051159957623</v>
      </c>
      <c r="V568" t="s">
        <v>88</v>
      </c>
    </row>
    <row r="569" spans="9:22" ht="14.25">
      <c r="I569" t="s">
        <v>110</v>
      </c>
      <c r="J569" t="s">
        <v>199</v>
      </c>
      <c r="K569">
        <v>0.00053705299028858485</v>
      </c>
      <c r="L569" t="s">
        <v>88</v>
      </c>
      <c r="N569" t="s">
        <v>126</v>
      </c>
      <c r="O569" t="s">
        <v>199</v>
      </c>
      <c r="P569">
        <v>0.078260730844081541</v>
      </c>
      <c r="Q569" t="s">
        <v>88</v>
      </c>
      <c r="S569" t="s">
        <v>141</v>
      </c>
      <c r="T569" t="s">
        <v>199</v>
      </c>
      <c r="U569">
        <v>0.076824532962582612</v>
      </c>
      <c r="V569" t="s">
        <v>88</v>
      </c>
    </row>
    <row r="570" spans="9:22" ht="14.25">
      <c r="I570" t="s">
        <v>110</v>
      </c>
      <c r="J570" t="s">
        <v>200</v>
      </c>
      <c r="K570">
        <v>0.049140152158142894</v>
      </c>
      <c r="L570" t="s">
        <v>88</v>
      </c>
      <c r="N570" t="s">
        <v>126</v>
      </c>
      <c r="O570" t="s">
        <v>200</v>
      </c>
      <c r="P570">
        <v>0.042654547748789164</v>
      </c>
      <c r="Q570" t="s">
        <v>88</v>
      </c>
      <c r="S570" t="s">
        <v>141</v>
      </c>
      <c r="T570" t="s">
        <v>200</v>
      </c>
      <c r="U570">
        <v>0.042348665016144184</v>
      </c>
      <c r="V570" t="s">
        <v>88</v>
      </c>
    </row>
    <row r="571" spans="9:22" ht="14.2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0.072838418629081178</v>
      </c>
      <c r="Q571" t="s">
        <v>88</v>
      </c>
      <c r="S571" t="s">
        <v>141</v>
      </c>
      <c r="T571" t="s">
        <v>201</v>
      </c>
      <c r="U571">
        <v>0.066824847411718735</v>
      </c>
      <c r="V571" t="s">
        <v>88</v>
      </c>
    </row>
    <row r="572" spans="9:22" ht="14.25">
      <c r="I572" t="s">
        <v>110</v>
      </c>
      <c r="J572" t="s">
        <v>202</v>
      </c>
      <c r="K572">
        <v>0.0080455898049147431</v>
      </c>
      <c r="L572" t="s">
        <v>88</v>
      </c>
      <c r="N572" t="s">
        <v>126</v>
      </c>
      <c r="O572" t="s">
        <v>202</v>
      </c>
      <c r="P572">
        <v>0.011399817878388153</v>
      </c>
      <c r="Q572" t="s">
        <v>88</v>
      </c>
      <c r="S572" t="s">
        <v>141</v>
      </c>
      <c r="T572" t="s">
        <v>202</v>
      </c>
      <c r="U572">
        <v>0.011294845710458846</v>
      </c>
      <c r="V572" t="s">
        <v>88</v>
      </c>
    </row>
    <row r="573" spans="9:22" ht="14.2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0.011318318400431465</v>
      </c>
      <c r="Q573" t="s">
        <v>88</v>
      </c>
      <c r="S573" t="s">
        <v>141</v>
      </c>
      <c r="T573" t="s">
        <v>203</v>
      </c>
      <c r="U573">
        <v>0.011367588974145052</v>
      </c>
      <c r="V573" t="s">
        <v>88</v>
      </c>
    </row>
    <row r="574" spans="9:22" ht="14.2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0.055469039948866351</v>
      </c>
      <c r="Q574" t="s">
        <v>88</v>
      </c>
      <c r="S574" t="s">
        <v>141</v>
      </c>
      <c r="T574" t="s">
        <v>204</v>
      </c>
      <c r="U574">
        <v>0.056565964416525748</v>
      </c>
      <c r="V574" t="s">
        <v>88</v>
      </c>
    </row>
    <row r="575" spans="9:22" ht="14.25">
      <c r="I575" t="s">
        <v>110</v>
      </c>
      <c r="J575" t="s">
        <v>205</v>
      </c>
      <c r="K575">
        <v>0.006031559674484625</v>
      </c>
      <c r="L575" t="s">
        <v>88</v>
      </c>
      <c r="N575" t="s">
        <v>126</v>
      </c>
      <c r="O575" t="s">
        <v>205</v>
      </c>
      <c r="P575">
        <v>0.027163182806202071</v>
      </c>
      <c r="Q575" t="s">
        <v>88</v>
      </c>
      <c r="S575" t="s">
        <v>141</v>
      </c>
      <c r="T575" t="s">
        <v>205</v>
      </c>
      <c r="U575">
        <v>0.034948205247675279</v>
      </c>
      <c r="V575" t="s">
        <v>88</v>
      </c>
    </row>
    <row r="576" spans="9:22" ht="14.25">
      <c r="I576" t="s">
        <v>110</v>
      </c>
      <c r="J576" t="s">
        <v>206</v>
      </c>
      <c r="K576">
        <v>0.03516286729981527</v>
      </c>
      <c r="L576" t="s">
        <v>88</v>
      </c>
      <c r="N576" t="s">
        <v>126</v>
      </c>
      <c r="O576" t="s">
        <v>206</v>
      </c>
      <c r="P576">
        <v>0.020087749990774308</v>
      </c>
      <c r="Q576" t="s">
        <v>88</v>
      </c>
      <c r="S576" t="s">
        <v>141</v>
      </c>
      <c r="T576" t="s">
        <v>206</v>
      </c>
      <c r="U576">
        <v>0.019983878493963041</v>
      </c>
      <c r="V576" t="s">
        <v>88</v>
      </c>
    </row>
    <row r="577" spans="9:22" ht="14.25">
      <c r="I577" t="s">
        <v>110</v>
      </c>
      <c r="J577" t="s">
        <v>207</v>
      </c>
      <c r="K577">
        <v>0.058391454744174627</v>
      </c>
      <c r="L577" t="s">
        <v>88</v>
      </c>
      <c r="N577" t="s">
        <v>126</v>
      </c>
      <c r="O577" t="s">
        <v>207</v>
      </c>
      <c r="P577">
        <v>0.040267052949103072</v>
      </c>
      <c r="Q577" t="s">
        <v>88</v>
      </c>
      <c r="S577" t="s">
        <v>141</v>
      </c>
      <c r="T577" t="s">
        <v>207</v>
      </c>
      <c r="U577">
        <v>0.031736738732596859</v>
      </c>
      <c r="V577" t="s">
        <v>88</v>
      </c>
    </row>
    <row r="578" spans="9:22" ht="14.25">
      <c r="I578" t="s">
        <v>110</v>
      </c>
      <c r="J578" t="s">
        <v>208</v>
      </c>
      <c r="K578">
        <v>0.006600559299367665</v>
      </c>
      <c r="L578" t="s">
        <v>88</v>
      </c>
      <c r="N578" t="s">
        <v>126</v>
      </c>
      <c r="O578" t="s">
        <v>208</v>
      </c>
      <c r="P578">
        <v>0.0052236582682863584</v>
      </c>
      <c r="Q578" t="s">
        <v>88</v>
      </c>
      <c r="S578" t="s">
        <v>141</v>
      </c>
      <c r="T578" t="s">
        <v>208</v>
      </c>
      <c r="U578">
        <v>0.0051459183833175992</v>
      </c>
      <c r="V578" t="s">
        <v>88</v>
      </c>
    </row>
    <row r="579" spans="9:22" ht="14.25">
      <c r="I579" t="s">
        <v>110</v>
      </c>
      <c r="J579" t="s">
        <v>209</v>
      </c>
      <c r="K579">
        <v>0.0038605911591348529</v>
      </c>
      <c r="L579" t="s">
        <v>88</v>
      </c>
      <c r="N579" t="s">
        <v>126</v>
      </c>
      <c r="O579" t="s">
        <v>209</v>
      </c>
      <c r="P579">
        <v>0.0046675364037311205</v>
      </c>
      <c r="Q579" t="s">
        <v>88</v>
      </c>
      <c r="S579" t="s">
        <v>141</v>
      </c>
      <c r="T579" t="s">
        <v>209</v>
      </c>
      <c r="U579">
        <v>0.0050273159863112506</v>
      </c>
      <c r="V579" t="s">
        <v>88</v>
      </c>
    </row>
    <row r="580" spans="9:22" ht="14.2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0.021009554231722988</v>
      </c>
      <c r="Q580" t="s">
        <v>88</v>
      </c>
      <c r="S580" t="s">
        <v>141</v>
      </c>
      <c r="T580" t="s">
        <v>210</v>
      </c>
      <c r="U580">
        <v>0.023062471056127978</v>
      </c>
      <c r="V580" t="s">
        <v>88</v>
      </c>
    </row>
    <row r="581" spans="9:22" ht="14.25">
      <c r="I581" t="s">
        <v>110</v>
      </c>
      <c r="J581" t="s">
        <v>211</v>
      </c>
      <c r="K581">
        <v>0.019808088774423815</v>
      </c>
      <c r="L581" t="s">
        <v>88</v>
      </c>
      <c r="N581" t="s">
        <v>126</v>
      </c>
      <c r="O581" t="s">
        <v>211</v>
      </c>
      <c r="P581">
        <v>0.034472999382024083</v>
      </c>
      <c r="Q581" t="s">
        <v>88</v>
      </c>
      <c r="S581" t="s">
        <v>141</v>
      </c>
      <c r="T581" t="s">
        <v>211</v>
      </c>
      <c r="U581">
        <v>0.037923115182970799</v>
      </c>
      <c r="V581" t="s">
        <v>88</v>
      </c>
    </row>
    <row r="582" spans="9:22" ht="14.25">
      <c r="I582" t="s">
        <v>110</v>
      </c>
      <c r="J582" t="s">
        <v>212</v>
      </c>
      <c r="K582">
        <v>0.076680914221898114</v>
      </c>
      <c r="L582" t="s">
        <v>88</v>
      </c>
      <c r="N582" t="s">
        <v>126</v>
      </c>
      <c r="O582" t="s">
        <v>212</v>
      </c>
      <c r="P582">
        <v>0.02217662512419764</v>
      </c>
      <c r="Q582" t="s">
        <v>88</v>
      </c>
      <c r="S582" t="s">
        <v>141</v>
      </c>
      <c r="T582" t="s">
        <v>212</v>
      </c>
      <c r="U582">
        <v>0.024053169844634403</v>
      </c>
      <c r="V582" t="s">
        <v>88</v>
      </c>
    </row>
    <row r="583" spans="9:22" ht="14.2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0.048797769494153216</v>
      </c>
      <c r="Q583" t="s">
        <v>88</v>
      </c>
      <c r="S583" t="s">
        <v>141</v>
      </c>
      <c r="T583" t="s">
        <v>213</v>
      </c>
      <c r="U583">
        <v>0.038252166143805236</v>
      </c>
      <c r="V583" t="s">
        <v>88</v>
      </c>
    </row>
    <row r="584" spans="9:22" ht="14.25">
      <c r="I584" t="s">
        <v>110</v>
      </c>
      <c r="J584" t="s">
        <v>214</v>
      </c>
      <c r="K584">
        <v>0.014418531529876266</v>
      </c>
      <c r="L584" t="s">
        <v>88</v>
      </c>
      <c r="N584" t="s">
        <v>126</v>
      </c>
      <c r="O584" t="s">
        <v>214</v>
      </c>
      <c r="P584">
        <v>0.0064015860507597305</v>
      </c>
      <c r="Q584" t="s">
        <v>88</v>
      </c>
      <c r="S584" t="s">
        <v>141</v>
      </c>
      <c r="T584" t="s">
        <v>214</v>
      </c>
      <c r="U584">
        <v>0.0064291935185904082</v>
      </c>
      <c r="V584" t="s">
        <v>88</v>
      </c>
    </row>
    <row r="585" spans="9:22" ht="14.25">
      <c r="I585" t="s">
        <v>110</v>
      </c>
      <c r="J585" t="s">
        <v>215</v>
      </c>
      <c r="K585">
        <v>0.010924727654186263</v>
      </c>
      <c r="L585" t="s">
        <v>88</v>
      </c>
      <c r="N585" t="s">
        <v>126</v>
      </c>
      <c r="O585" t="s">
        <v>215</v>
      </c>
      <c r="P585">
        <v>0.005682592370026363</v>
      </c>
      <c r="Q585" t="s">
        <v>88</v>
      </c>
      <c r="S585" t="s">
        <v>141</v>
      </c>
      <c r="T585" t="s">
        <v>215</v>
      </c>
      <c r="U585">
        <v>0.0060135221289521323</v>
      </c>
      <c r="V585" t="s">
        <v>88</v>
      </c>
    </row>
    <row r="586" spans="9:22" ht="14.25">
      <c r="I586" t="s">
        <v>110</v>
      </c>
      <c r="J586" t="s">
        <v>216</v>
      </c>
      <c r="K586">
        <v>0.0041023227879827973</v>
      </c>
      <c r="L586" t="s">
        <v>88</v>
      </c>
      <c r="N586" t="s">
        <v>126</v>
      </c>
      <c r="O586" t="s">
        <v>216</v>
      </c>
      <c r="P586">
        <v>0.02439958627462583</v>
      </c>
      <c r="Q586" t="s">
        <v>88</v>
      </c>
      <c r="S586" t="s">
        <v>141</v>
      </c>
      <c r="T586" t="s">
        <v>216</v>
      </c>
      <c r="U586">
        <v>0.027941102843352775</v>
      </c>
      <c r="V586" t="s">
        <v>88</v>
      </c>
    </row>
    <row r="587" spans="9:22" ht="14.25">
      <c r="I587" t="s">
        <v>111</v>
      </c>
      <c r="J587" t="s">
        <v>87</v>
      </c>
      <c r="K587">
        <v>0.0098004702223207004</v>
      </c>
      <c r="L587" t="s">
        <v>88</v>
      </c>
      <c r="N587" t="s">
        <v>127</v>
      </c>
      <c r="O587" t="s">
        <v>87</v>
      </c>
      <c r="P587">
        <v>0.03084723282405985</v>
      </c>
      <c r="Q587" t="s">
        <v>88</v>
      </c>
      <c r="S587" t="s">
        <v>142</v>
      </c>
      <c r="T587" t="s">
        <v>87</v>
      </c>
      <c r="U587">
        <v>0.024732841006062167</v>
      </c>
      <c r="V587" t="s">
        <v>88</v>
      </c>
    </row>
    <row r="588" spans="9:22" ht="14.25">
      <c r="I588" t="s">
        <v>111</v>
      </c>
      <c r="J588" t="s">
        <v>89</v>
      </c>
      <c r="K588">
        <v>0.043949579347565527</v>
      </c>
      <c r="L588" t="s">
        <v>88</v>
      </c>
      <c r="N588" t="s">
        <v>127</v>
      </c>
      <c r="O588" t="s">
        <v>89</v>
      </c>
      <c r="P588">
        <v>0.018884934122020677</v>
      </c>
      <c r="Q588" t="s">
        <v>88</v>
      </c>
      <c r="S588" t="s">
        <v>142</v>
      </c>
      <c r="T588" t="s">
        <v>89</v>
      </c>
      <c r="U588">
        <v>0.013695981676393422</v>
      </c>
      <c r="V588" t="s">
        <v>88</v>
      </c>
    </row>
    <row r="589" spans="9:22" ht="14.25">
      <c r="I589" t="s">
        <v>111</v>
      </c>
      <c r="J589" t="s">
        <v>90</v>
      </c>
      <c r="K589">
        <v>0.073410036099189113</v>
      </c>
      <c r="L589" t="s">
        <v>88</v>
      </c>
      <c r="N589" t="s">
        <v>127</v>
      </c>
      <c r="O589" t="s">
        <v>90</v>
      </c>
      <c r="P589">
        <v>0.041715712211050603</v>
      </c>
      <c r="Q589" t="s">
        <v>88</v>
      </c>
      <c r="S589" t="s">
        <v>142</v>
      </c>
      <c r="T589" t="s">
        <v>90</v>
      </c>
      <c r="U589">
        <v>0.019885578234954373</v>
      </c>
      <c r="V589" t="s">
        <v>88</v>
      </c>
    </row>
    <row r="590" spans="9:22" ht="14.25">
      <c r="I590" t="s">
        <v>111</v>
      </c>
      <c r="J590" t="s">
        <v>181</v>
      </c>
      <c r="K590">
        <v>0.0099997574550196866</v>
      </c>
      <c r="L590" t="s">
        <v>88</v>
      </c>
      <c r="N590" t="s">
        <v>127</v>
      </c>
      <c r="O590" t="s">
        <v>181</v>
      </c>
      <c r="P590">
        <v>0.0056096840386403541</v>
      </c>
      <c r="Q590" t="s">
        <v>88</v>
      </c>
      <c r="S590" t="s">
        <v>142</v>
      </c>
      <c r="T590" t="s">
        <v>181</v>
      </c>
      <c r="U590">
        <v>0.0033043183414472074</v>
      </c>
      <c r="V590" t="s">
        <v>88</v>
      </c>
    </row>
    <row r="591" spans="9:22" ht="14.25">
      <c r="I591" t="s">
        <v>111</v>
      </c>
      <c r="J591" t="s">
        <v>182</v>
      </c>
      <c r="K591">
        <v>0.0084357264821257501</v>
      </c>
      <c r="L591" t="s">
        <v>88</v>
      </c>
      <c r="N591" t="s">
        <v>127</v>
      </c>
      <c r="O591" t="s">
        <v>182</v>
      </c>
      <c r="P591">
        <v>0.0047523659010750485</v>
      </c>
      <c r="Q591" t="s">
        <v>88</v>
      </c>
      <c r="S591" t="s">
        <v>142</v>
      </c>
      <c r="T591" t="s">
        <v>182</v>
      </c>
      <c r="U591">
        <v>0.0032509584872203565</v>
      </c>
      <c r="V591" t="s">
        <v>88</v>
      </c>
    </row>
    <row r="592" spans="9:22" ht="14.25">
      <c r="I592" t="s">
        <v>111</v>
      </c>
      <c r="J592" t="s">
        <v>183</v>
      </c>
      <c r="K592">
        <v>0.0054410028281286112</v>
      </c>
      <c r="L592" t="s">
        <v>88</v>
      </c>
      <c r="N592" t="s">
        <v>127</v>
      </c>
      <c r="O592" t="s">
        <v>183</v>
      </c>
      <c r="P592">
        <v>0.02160416093003846</v>
      </c>
      <c r="Q592" t="s">
        <v>88</v>
      </c>
      <c r="S592" t="s">
        <v>142</v>
      </c>
      <c r="T592" t="s">
        <v>183</v>
      </c>
      <c r="U592">
        <v>0.01609055933664031</v>
      </c>
      <c r="V592" t="s">
        <v>88</v>
      </c>
    </row>
    <row r="593" spans="9:22" ht="14.25">
      <c r="I593" t="s">
        <v>111</v>
      </c>
      <c r="J593" t="s">
        <v>91</v>
      </c>
      <c r="K593">
        <v>0.0049621981549336641</v>
      </c>
      <c r="L593" t="s">
        <v>88</v>
      </c>
      <c r="N593" t="s">
        <v>127</v>
      </c>
      <c r="O593" t="s">
        <v>91</v>
      </c>
      <c r="P593">
        <v>0.0082758184535614478</v>
      </c>
      <c r="Q593" t="s">
        <v>88</v>
      </c>
      <c r="S593" t="s">
        <v>142</v>
      </c>
      <c r="T593" t="s">
        <v>91</v>
      </c>
      <c r="U593">
        <v>0.019146016721932207</v>
      </c>
      <c r="V593" t="s">
        <v>88</v>
      </c>
    </row>
    <row r="594" spans="9:22" ht="14.25">
      <c r="I594" t="s">
        <v>111</v>
      </c>
      <c r="J594" t="s">
        <v>92</v>
      </c>
      <c r="K594">
        <v>0.037149994041470305</v>
      </c>
      <c r="L594" t="s">
        <v>88</v>
      </c>
      <c r="N594" t="s">
        <v>127</v>
      </c>
      <c r="O594" t="s">
        <v>92</v>
      </c>
      <c r="P594">
        <v>0.0034715389835871381</v>
      </c>
      <c r="Q594" t="s">
        <v>88</v>
      </c>
      <c r="S594" t="s">
        <v>142</v>
      </c>
      <c r="T594" t="s">
        <v>92</v>
      </c>
      <c r="U594">
        <v>0.010310761637381854</v>
      </c>
      <c r="V594" t="s">
        <v>88</v>
      </c>
    </row>
    <row r="595" spans="9:22" ht="14.25">
      <c r="I595" t="s">
        <v>111</v>
      </c>
      <c r="J595" t="s">
        <v>93</v>
      </c>
      <c r="K595">
        <v>0.062133541738378713</v>
      </c>
      <c r="L595" t="s">
        <v>88</v>
      </c>
      <c r="N595" t="s">
        <v>127</v>
      </c>
      <c r="O595" t="s">
        <v>93</v>
      </c>
      <c r="P595">
        <v>0.0073490462503780123</v>
      </c>
      <c r="Q595" t="s">
        <v>88</v>
      </c>
      <c r="S595" t="s">
        <v>142</v>
      </c>
      <c r="T595" t="s">
        <v>93</v>
      </c>
      <c r="U595">
        <v>0.016333535323388073</v>
      </c>
      <c r="V595" t="s">
        <v>88</v>
      </c>
    </row>
    <row r="596" spans="9:22" ht="14.25">
      <c r="I596" t="s">
        <v>111</v>
      </c>
      <c r="J596" t="s">
        <v>184</v>
      </c>
      <c r="K596">
        <v>0.0082902377758074988</v>
      </c>
      <c r="L596" t="s">
        <v>88</v>
      </c>
      <c r="N596" t="s">
        <v>127</v>
      </c>
      <c r="O596" t="s">
        <v>184</v>
      </c>
      <c r="P596">
        <v>0.001013319861896891</v>
      </c>
      <c r="Q596" t="s">
        <v>88</v>
      </c>
      <c r="S596" t="s">
        <v>142</v>
      </c>
      <c r="T596" t="s">
        <v>184</v>
      </c>
      <c r="U596">
        <v>0.002738239892841061</v>
      </c>
      <c r="V596" t="s">
        <v>88</v>
      </c>
    </row>
    <row r="597" spans="9:22" ht="14.25">
      <c r="I597" t="s">
        <v>111</v>
      </c>
      <c r="J597" t="s">
        <v>185</v>
      </c>
      <c r="K597">
        <v>0.0066326526502750996</v>
      </c>
      <c r="L597" t="s">
        <v>88</v>
      </c>
      <c r="N597" t="s">
        <v>127</v>
      </c>
      <c r="O597" t="s">
        <v>185</v>
      </c>
      <c r="P597">
        <v>0.00084314014699707904</v>
      </c>
      <c r="Q597" t="s">
        <v>88</v>
      </c>
      <c r="S597" t="s">
        <v>142</v>
      </c>
      <c r="T597" t="s">
        <v>185</v>
      </c>
      <c r="U597">
        <v>0.0028040924183898698</v>
      </c>
      <c r="V597" t="s">
        <v>88</v>
      </c>
    </row>
    <row r="598" spans="9:22" ht="14.25">
      <c r="I598" t="s">
        <v>111</v>
      </c>
      <c r="J598" t="s">
        <v>186</v>
      </c>
      <c r="K598">
        <v>0.002726933391547128</v>
      </c>
      <c r="L598" t="s">
        <v>88</v>
      </c>
      <c r="N598" t="s">
        <v>127</v>
      </c>
      <c r="O598" t="s">
        <v>186</v>
      </c>
      <c r="P598">
        <v>0.0048118704933755941</v>
      </c>
      <c r="Q598" t="s">
        <v>88</v>
      </c>
      <c r="S598" t="s">
        <v>142</v>
      </c>
      <c r="T598" t="s">
        <v>186</v>
      </c>
      <c r="U598">
        <v>0.014104582678227161</v>
      </c>
      <c r="V598" t="s">
        <v>88</v>
      </c>
    </row>
    <row r="599" spans="9:22" ht="14.25">
      <c r="I599" t="s">
        <v>111</v>
      </c>
      <c r="J599" t="s">
        <v>94</v>
      </c>
      <c r="K599">
        <v>0.00048590255878886313</v>
      </c>
      <c r="L599" t="s">
        <v>88</v>
      </c>
      <c r="N599" t="s">
        <v>127</v>
      </c>
      <c r="O599" t="s">
        <v>94</v>
      </c>
      <c r="P599">
        <v>0.011762497153529996</v>
      </c>
      <c r="Q599" t="s">
        <v>88</v>
      </c>
      <c r="S599" t="s">
        <v>142</v>
      </c>
      <c r="T599" t="s">
        <v>94</v>
      </c>
      <c r="U599">
        <v>0.019313755126550199</v>
      </c>
      <c r="V599" t="s">
        <v>88</v>
      </c>
    </row>
    <row r="600" spans="9:22" ht="14.25">
      <c r="I600" t="s">
        <v>111</v>
      </c>
      <c r="J600" t="s">
        <v>95</v>
      </c>
      <c r="K600">
        <v>0.02578825539757176</v>
      </c>
      <c r="L600" t="s">
        <v>88</v>
      </c>
      <c r="N600" t="s">
        <v>127</v>
      </c>
      <c r="O600" t="s">
        <v>95</v>
      </c>
      <c r="P600">
        <v>0.0059759923457386663</v>
      </c>
      <c r="Q600" t="s">
        <v>88</v>
      </c>
      <c r="S600" t="s">
        <v>142</v>
      </c>
      <c r="T600" t="s">
        <v>95</v>
      </c>
      <c r="U600">
        <v>0.0099571666792329493</v>
      </c>
      <c r="V600" t="s">
        <v>88</v>
      </c>
    </row>
    <row r="601" spans="9:22" ht="14.25">
      <c r="I601" t="s">
        <v>111</v>
      </c>
      <c r="J601" t="s">
        <v>96</v>
      </c>
      <c r="K601">
        <v>0.04899911942339371</v>
      </c>
      <c r="L601" t="s">
        <v>88</v>
      </c>
      <c r="N601" t="s">
        <v>127</v>
      </c>
      <c r="O601" t="s">
        <v>96</v>
      </c>
      <c r="P601">
        <v>0.014527748571235052</v>
      </c>
      <c r="Q601" t="s">
        <v>88</v>
      </c>
      <c r="S601" t="s">
        <v>142</v>
      </c>
      <c r="T601" t="s">
        <v>96</v>
      </c>
      <c r="U601">
        <v>0.016558535796570892</v>
      </c>
      <c r="V601" t="s">
        <v>88</v>
      </c>
    </row>
    <row r="602" spans="9:22" ht="14.25">
      <c r="I602" t="s">
        <v>111</v>
      </c>
      <c r="J602" t="s">
        <v>187</v>
      </c>
      <c r="K602">
        <v>0.0059184543551179169</v>
      </c>
      <c r="L602" t="s">
        <v>88</v>
      </c>
      <c r="N602" t="s">
        <v>127</v>
      </c>
      <c r="O602" t="s">
        <v>187</v>
      </c>
      <c r="P602">
        <v>0.0019939480544942795</v>
      </c>
      <c r="Q602" t="s">
        <v>88</v>
      </c>
      <c r="S602" t="s">
        <v>142</v>
      </c>
      <c r="T602" t="s">
        <v>187</v>
      </c>
      <c r="U602">
        <v>0.0029780429108499026</v>
      </c>
      <c r="V602" t="s">
        <v>88</v>
      </c>
    </row>
    <row r="603" spans="9:22" ht="14.25">
      <c r="I603" t="s">
        <v>111</v>
      </c>
      <c r="J603" t="s">
        <v>188</v>
      </c>
      <c r="K603">
        <v>0.0030387328633165456</v>
      </c>
      <c r="L603" t="s">
        <v>88</v>
      </c>
      <c r="N603" t="s">
        <v>127</v>
      </c>
      <c r="O603" t="s">
        <v>188</v>
      </c>
      <c r="P603">
        <v>0.0018307440103109652</v>
      </c>
      <c r="Q603" t="s">
        <v>88</v>
      </c>
      <c r="S603" t="s">
        <v>142</v>
      </c>
      <c r="T603" t="s">
        <v>188</v>
      </c>
      <c r="U603">
        <v>0.0030561890233099208</v>
      </c>
      <c r="V603" t="s">
        <v>88</v>
      </c>
    </row>
    <row r="604" spans="9:22" ht="14.2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0.0087033896228036738</v>
      </c>
      <c r="Q604" t="s">
        <v>88</v>
      </c>
      <c r="S604" t="s">
        <v>142</v>
      </c>
      <c r="T604" t="s">
        <v>189</v>
      </c>
      <c r="U604">
        <v>0.015120728516727577</v>
      </c>
      <c r="V604" t="s">
        <v>88</v>
      </c>
    </row>
    <row r="605" spans="9:22" ht="14.2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0.048357674696335069</v>
      </c>
      <c r="Q605" t="s">
        <v>88</v>
      </c>
      <c r="S605" t="s">
        <v>142</v>
      </c>
      <c r="T605" t="s">
        <v>97</v>
      </c>
      <c r="U605">
        <v>0.055643638174273799</v>
      </c>
      <c r="V605" t="s">
        <v>88</v>
      </c>
    </row>
    <row r="606" spans="9:22" ht="14.25">
      <c r="I606" t="s">
        <v>111</v>
      </c>
      <c r="J606" t="s">
        <v>98</v>
      </c>
      <c r="K606">
        <v>0.028621555684472843</v>
      </c>
      <c r="L606" t="s">
        <v>88</v>
      </c>
      <c r="N606" t="s">
        <v>127</v>
      </c>
      <c r="O606" t="s">
        <v>98</v>
      </c>
      <c r="P606">
        <v>0.02239915664764771</v>
      </c>
      <c r="Q606" t="s">
        <v>88</v>
      </c>
      <c r="S606" t="s">
        <v>142</v>
      </c>
      <c r="T606" t="s">
        <v>98</v>
      </c>
      <c r="U606">
        <v>0.031528023106814226</v>
      </c>
      <c r="V606" t="s">
        <v>88</v>
      </c>
    </row>
    <row r="607" spans="9:22" ht="14.25">
      <c r="I607" t="s">
        <v>111</v>
      </c>
      <c r="J607" t="s">
        <v>99</v>
      </c>
      <c r="K607">
        <v>0.057294988543536221</v>
      </c>
      <c r="L607" t="s">
        <v>88</v>
      </c>
      <c r="N607" t="s">
        <v>127</v>
      </c>
      <c r="O607" t="s">
        <v>99</v>
      </c>
      <c r="P607">
        <v>0.039664996995191923</v>
      </c>
      <c r="Q607" t="s">
        <v>88</v>
      </c>
      <c r="S607" t="s">
        <v>142</v>
      </c>
      <c r="T607" t="s">
        <v>99</v>
      </c>
      <c r="U607">
        <v>0.045932441141495695</v>
      </c>
      <c r="V607" t="s">
        <v>88</v>
      </c>
    </row>
    <row r="608" spans="9:22" ht="14.25">
      <c r="I608" t="s">
        <v>111</v>
      </c>
      <c r="J608" t="s">
        <v>190</v>
      </c>
      <c r="K608">
        <v>0.0036162917425553412</v>
      </c>
      <c r="L608" t="s">
        <v>88</v>
      </c>
      <c r="N608" t="s">
        <v>127</v>
      </c>
      <c r="O608" t="s">
        <v>190</v>
      </c>
      <c r="P608">
        <v>0.0064013966897552149</v>
      </c>
      <c r="Q608" t="s">
        <v>88</v>
      </c>
      <c r="S608" t="s">
        <v>142</v>
      </c>
      <c r="T608" t="s">
        <v>190</v>
      </c>
      <c r="U608">
        <v>0.0076406380655779076</v>
      </c>
      <c r="V608" t="s">
        <v>88</v>
      </c>
    </row>
    <row r="609" spans="9:22" ht="14.2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0.0061956681011670692</v>
      </c>
      <c r="Q609" t="s">
        <v>88</v>
      </c>
      <c r="S609" t="s">
        <v>142</v>
      </c>
      <c r="T609" t="s">
        <v>191</v>
      </c>
      <c r="U609">
        <v>0.0076501272734189165</v>
      </c>
      <c r="V609" t="s">
        <v>88</v>
      </c>
    </row>
    <row r="610" spans="9:22" ht="14.2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0.029798163842051067</v>
      </c>
      <c r="Q610" t="s">
        <v>88</v>
      </c>
      <c r="S610" t="s">
        <v>142</v>
      </c>
      <c r="T610" t="s">
        <v>192</v>
      </c>
      <c r="U610">
        <v>0.038404881104856486</v>
      </c>
      <c r="V610" t="s">
        <v>88</v>
      </c>
    </row>
    <row r="611" spans="9:22" ht="14.2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0.019325228665810452</v>
      </c>
      <c r="Q611" t="s">
        <v>88</v>
      </c>
      <c r="S611" t="s">
        <v>142</v>
      </c>
      <c r="T611" t="s">
        <v>193</v>
      </c>
      <c r="U611">
        <v>0.023630493928983448</v>
      </c>
      <c r="V611" t="s">
        <v>88</v>
      </c>
    </row>
    <row r="612" spans="9:22" ht="14.25">
      <c r="I612" t="s">
        <v>111</v>
      </c>
      <c r="J612" t="s">
        <v>194</v>
      </c>
      <c r="K612">
        <v>0.0072316106539265824</v>
      </c>
      <c r="L612" t="s">
        <v>88</v>
      </c>
      <c r="N612" t="s">
        <v>127</v>
      </c>
      <c r="O612" t="s">
        <v>194</v>
      </c>
      <c r="P612">
        <v>0.0096656565830672315</v>
      </c>
      <c r="Q612" t="s">
        <v>88</v>
      </c>
      <c r="S612" t="s">
        <v>142</v>
      </c>
      <c r="T612" t="s">
        <v>194</v>
      </c>
      <c r="U612">
        <v>0.013574065363552528</v>
      </c>
      <c r="V612" t="s">
        <v>88</v>
      </c>
    </row>
    <row r="613" spans="9:22" ht="14.25">
      <c r="I613" t="s">
        <v>111</v>
      </c>
      <c r="J613" t="s">
        <v>195</v>
      </c>
      <c r="K613">
        <v>0.01803533298447578</v>
      </c>
      <c r="L613" t="s">
        <v>88</v>
      </c>
      <c r="N613" t="s">
        <v>127</v>
      </c>
      <c r="O613" t="s">
        <v>195</v>
      </c>
      <c r="P613">
        <v>0.018624563653044116</v>
      </c>
      <c r="Q613" t="s">
        <v>88</v>
      </c>
      <c r="S613" t="s">
        <v>142</v>
      </c>
      <c r="T613" t="s">
        <v>195</v>
      </c>
      <c r="U613">
        <v>0.020767253631381599</v>
      </c>
      <c r="V613" t="s">
        <v>88</v>
      </c>
    </row>
    <row r="614" spans="9:22" ht="14.2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0.0032684298528021837</v>
      </c>
      <c r="Q614" t="s">
        <v>88</v>
      </c>
      <c r="S614" t="s">
        <v>142</v>
      </c>
      <c r="T614" t="s">
        <v>196</v>
      </c>
      <c r="U614">
        <v>0.0034348807402839617</v>
      </c>
      <c r="V614" t="s">
        <v>88</v>
      </c>
    </row>
    <row r="615" spans="9:22" ht="14.2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0.0033046339338901544</v>
      </c>
      <c r="Q615" t="s">
        <v>88</v>
      </c>
      <c r="S615" t="s">
        <v>142</v>
      </c>
      <c r="T615" t="s">
        <v>197</v>
      </c>
      <c r="U615">
        <v>0.0034268699040939971</v>
      </c>
      <c r="V615" t="s">
        <v>88</v>
      </c>
    </row>
    <row r="616" spans="9:22" ht="14.2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0.015322500863095069</v>
      </c>
      <c r="Q616" t="s">
        <v>88</v>
      </c>
      <c r="S616" t="s">
        <v>142</v>
      </c>
      <c r="T616" t="s">
        <v>198</v>
      </c>
      <c r="U616">
        <v>0.017375779880388287</v>
      </c>
      <c r="V616" t="s">
        <v>88</v>
      </c>
    </row>
    <row r="617" spans="9:22" ht="14.25">
      <c r="I617" t="s">
        <v>111</v>
      </c>
      <c r="J617" t="s">
        <v>199</v>
      </c>
      <c r="K617">
        <v>0.00045721840421858424</v>
      </c>
      <c r="L617" t="s">
        <v>88</v>
      </c>
      <c r="N617" t="s">
        <v>127</v>
      </c>
      <c r="O617" t="s">
        <v>199</v>
      </c>
      <c r="P617">
        <v>0.09015644568210765</v>
      </c>
      <c r="Q617" t="s">
        <v>88</v>
      </c>
      <c r="S617" t="s">
        <v>142</v>
      </c>
      <c r="T617" t="s">
        <v>199</v>
      </c>
      <c r="U617">
        <v>0.080366998483211147</v>
      </c>
      <c r="V617" t="s">
        <v>88</v>
      </c>
    </row>
    <row r="618" spans="9:22" ht="14.25">
      <c r="I618" t="s">
        <v>111</v>
      </c>
      <c r="J618" t="s">
        <v>200</v>
      </c>
      <c r="K618">
        <v>0.05143943174393082</v>
      </c>
      <c r="L618" t="s">
        <v>88</v>
      </c>
      <c r="N618" t="s">
        <v>127</v>
      </c>
      <c r="O618" t="s">
        <v>200</v>
      </c>
      <c r="P618">
        <v>0.043285976118008655</v>
      </c>
      <c r="Q618" t="s">
        <v>88</v>
      </c>
      <c r="S618" t="s">
        <v>142</v>
      </c>
      <c r="T618" t="s">
        <v>200</v>
      </c>
      <c r="U618">
        <v>0.044618723639762131</v>
      </c>
      <c r="V618" t="s">
        <v>88</v>
      </c>
    </row>
    <row r="619" spans="9:22" ht="14.2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0.07918965431207492</v>
      </c>
      <c r="Q619" t="s">
        <v>88</v>
      </c>
      <c r="S619" t="s">
        <v>142</v>
      </c>
      <c r="T619" t="s">
        <v>201</v>
      </c>
      <c r="U619">
        <v>0.066242610569680269</v>
      </c>
      <c r="V619" t="s">
        <v>88</v>
      </c>
    </row>
    <row r="620" spans="9:22" ht="14.25">
      <c r="I620" t="s">
        <v>111</v>
      </c>
      <c r="J620" t="s">
        <v>202</v>
      </c>
      <c r="K620">
        <v>0.0083453891465247003</v>
      </c>
      <c r="L620" t="s">
        <v>88</v>
      </c>
      <c r="N620" t="s">
        <v>127</v>
      </c>
      <c r="O620" t="s">
        <v>202</v>
      </c>
      <c r="P620">
        <v>0.012291101133543975</v>
      </c>
      <c r="Q620" t="s">
        <v>88</v>
      </c>
      <c r="S620" t="s">
        <v>142</v>
      </c>
      <c r="T620" t="s">
        <v>202</v>
      </c>
      <c r="U620">
        <v>0.01073518853018912</v>
      </c>
      <c r="V620" t="s">
        <v>88</v>
      </c>
    </row>
    <row r="621" spans="9:22" ht="14.25">
      <c r="I621" t="s">
        <v>111</v>
      </c>
      <c r="J621" t="s">
        <v>203</v>
      </c>
      <c r="K621">
        <v>0.00029362694483487745</v>
      </c>
      <c r="L621" t="s">
        <v>88</v>
      </c>
      <c r="N621" t="s">
        <v>127</v>
      </c>
      <c r="O621" t="s">
        <v>203</v>
      </c>
      <c r="P621">
        <v>0.011666343379583314</v>
      </c>
      <c r="Q621" t="s">
        <v>88</v>
      </c>
      <c r="S621" t="s">
        <v>142</v>
      </c>
      <c r="T621" t="s">
        <v>203</v>
      </c>
      <c r="U621">
        <v>0.010776218359796254</v>
      </c>
      <c r="V621" t="s">
        <v>88</v>
      </c>
    </row>
    <row r="622" spans="9:22" ht="14.2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0.058968015009592062</v>
      </c>
      <c r="Q622" t="s">
        <v>88</v>
      </c>
      <c r="S622" t="s">
        <v>142</v>
      </c>
      <c r="T622" t="s">
        <v>204</v>
      </c>
      <c r="U622">
        <v>0.055441462108522577</v>
      </c>
      <c r="V622" t="s">
        <v>88</v>
      </c>
    </row>
    <row r="623" spans="9:22" ht="14.25">
      <c r="I623" t="s">
        <v>111</v>
      </c>
      <c r="J623" t="s">
        <v>205</v>
      </c>
      <c r="K623">
        <v>0.005923476720890556</v>
      </c>
      <c r="L623" t="s">
        <v>88</v>
      </c>
      <c r="N623" t="s">
        <v>127</v>
      </c>
      <c r="O623" t="s">
        <v>205</v>
      </c>
      <c r="P623">
        <v>0.043992627699099361</v>
      </c>
      <c r="Q623" t="s">
        <v>88</v>
      </c>
      <c r="S623" t="s">
        <v>142</v>
      </c>
      <c r="T623" t="s">
        <v>205</v>
      </c>
      <c r="U623">
        <v>0.030935515394399409</v>
      </c>
      <c r="V623" t="s">
        <v>88</v>
      </c>
    </row>
    <row r="624" spans="9:22" ht="14.25">
      <c r="I624" t="s">
        <v>111</v>
      </c>
      <c r="J624" t="s">
        <v>206</v>
      </c>
      <c r="K624">
        <v>0.037122875895711289</v>
      </c>
      <c r="L624" t="s">
        <v>88</v>
      </c>
      <c r="N624" t="s">
        <v>127</v>
      </c>
      <c r="O624" t="s">
        <v>206</v>
      </c>
      <c r="P624">
        <v>0.025225488740595287</v>
      </c>
      <c r="Q624" t="s">
        <v>88</v>
      </c>
      <c r="S624" t="s">
        <v>142</v>
      </c>
      <c r="T624" t="s">
        <v>206</v>
      </c>
      <c r="U624">
        <v>0.017572926631604521</v>
      </c>
      <c r="V624" t="s">
        <v>88</v>
      </c>
    </row>
    <row r="625" spans="9:22" ht="14.25">
      <c r="I625" t="s">
        <v>111</v>
      </c>
      <c r="J625" t="s">
        <v>207</v>
      </c>
      <c r="K625">
        <v>0.058457494345351989</v>
      </c>
      <c r="L625" t="s">
        <v>88</v>
      </c>
      <c r="N625" t="s">
        <v>127</v>
      </c>
      <c r="O625" t="s">
        <v>207</v>
      </c>
      <c r="P625">
        <v>0.049632320873343856</v>
      </c>
      <c r="Q625" t="s">
        <v>88</v>
      </c>
      <c r="S625" t="s">
        <v>142</v>
      </c>
      <c r="T625" t="s">
        <v>207</v>
      </c>
      <c r="U625">
        <v>0.024849386402485421</v>
      </c>
      <c r="V625" t="s">
        <v>88</v>
      </c>
    </row>
    <row r="626" spans="9:22" ht="14.25">
      <c r="I626" t="s">
        <v>111</v>
      </c>
      <c r="J626" t="s">
        <v>208</v>
      </c>
      <c r="K626">
        <v>0.0069507673561605985</v>
      </c>
      <c r="L626" t="s">
        <v>88</v>
      </c>
      <c r="N626" t="s">
        <v>127</v>
      </c>
      <c r="O626" t="s">
        <v>208</v>
      </c>
      <c r="P626">
        <v>0.0073063462951719659</v>
      </c>
      <c r="Q626" t="s">
        <v>88</v>
      </c>
      <c r="S626" t="s">
        <v>142</v>
      </c>
      <c r="T626" t="s">
        <v>208</v>
      </c>
      <c r="U626">
        <v>0.0040081615066770914</v>
      </c>
      <c r="V626" t="s">
        <v>88</v>
      </c>
    </row>
    <row r="627" spans="9:22" ht="14.25">
      <c r="I627" t="s">
        <v>111</v>
      </c>
      <c r="J627" t="s">
        <v>209</v>
      </c>
      <c r="K627">
        <v>0.0047718450207092523</v>
      </c>
      <c r="L627" t="s">
        <v>88</v>
      </c>
      <c r="N627" t="s">
        <v>127</v>
      </c>
      <c r="O627" t="s">
        <v>209</v>
      </c>
      <c r="P627">
        <v>0.0073364372670507976</v>
      </c>
      <c r="Q627" t="s">
        <v>88</v>
      </c>
      <c r="S627" t="s">
        <v>142</v>
      </c>
      <c r="T627" t="s">
        <v>209</v>
      </c>
      <c r="U627">
        <v>0.0040095881548222285</v>
      </c>
      <c r="V627" t="s">
        <v>88</v>
      </c>
    </row>
    <row r="628" spans="9:22" ht="14.2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0.032737632269379979</v>
      </c>
      <c r="Q628" t="s">
        <v>88</v>
      </c>
      <c r="S628" t="s">
        <v>142</v>
      </c>
      <c r="T628" t="s">
        <v>210</v>
      </c>
      <c r="U628">
        <v>0.019782508073854871</v>
      </c>
      <c r="V628" t="s">
        <v>88</v>
      </c>
    </row>
    <row r="629" spans="9:22" ht="14.25">
      <c r="I629" t="s">
        <v>111</v>
      </c>
      <c r="J629" t="s">
        <v>211</v>
      </c>
      <c r="K629">
        <v>0.018985846721786874</v>
      </c>
      <c r="L629" t="s">
        <v>88</v>
      </c>
      <c r="N629" t="s">
        <v>127</v>
      </c>
      <c r="O629" t="s">
        <v>211</v>
      </c>
      <c r="P629">
        <v>0.029387869774383332</v>
      </c>
      <c r="Q629" t="s">
        <v>88</v>
      </c>
      <c r="S629" t="s">
        <v>142</v>
      </c>
      <c r="T629" t="s">
        <v>211</v>
      </c>
      <c r="U629">
        <v>0.041785871737382053</v>
      </c>
      <c r="V629" t="s">
        <v>88</v>
      </c>
    </row>
    <row r="630" spans="9:22" ht="14.25">
      <c r="I630" t="s">
        <v>111</v>
      </c>
      <c r="J630" t="s">
        <v>212</v>
      </c>
      <c r="K630">
        <v>0.076998722547808207</v>
      </c>
      <c r="L630" t="s">
        <v>88</v>
      </c>
      <c r="N630" t="s">
        <v>127</v>
      </c>
      <c r="O630" t="s">
        <v>212</v>
      </c>
      <c r="P630">
        <v>0.020259789507420599</v>
      </c>
      <c r="Q630" t="s">
        <v>88</v>
      </c>
      <c r="S630" t="s">
        <v>142</v>
      </c>
      <c r="T630" t="s">
        <v>212</v>
      </c>
      <c r="U630">
        <v>0.025335392081438143</v>
      </c>
      <c r="V630" t="s">
        <v>88</v>
      </c>
    </row>
    <row r="631" spans="9:22" ht="14.2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0.041262061428438183</v>
      </c>
      <c r="Q631" t="s">
        <v>88</v>
      </c>
      <c r="S631" t="s">
        <v>142</v>
      </c>
      <c r="T631" t="s">
        <v>213</v>
      </c>
      <c r="U631">
        <v>0.0385118802418047</v>
      </c>
      <c r="V631" t="s">
        <v>88</v>
      </c>
    </row>
    <row r="632" spans="9:22" ht="14.25">
      <c r="I632" t="s">
        <v>111</v>
      </c>
      <c r="J632" t="s">
        <v>214</v>
      </c>
      <c r="K632">
        <v>0.014345273699341656</v>
      </c>
      <c r="L632" t="s">
        <v>88</v>
      </c>
      <c r="N632" t="s">
        <v>127</v>
      </c>
      <c r="O632" t="s">
        <v>214</v>
      </c>
      <c r="P632">
        <v>0.0053064123461391286</v>
      </c>
      <c r="Q632" t="s">
        <v>88</v>
      </c>
      <c r="S632" t="s">
        <v>142</v>
      </c>
      <c r="T632" t="s">
        <v>214</v>
      </c>
      <c r="U632">
        <v>0.0062426114266501548</v>
      </c>
      <c r="V632" t="s">
        <v>88</v>
      </c>
    </row>
    <row r="633" spans="9:22" ht="14.25">
      <c r="I633" t="s">
        <v>111</v>
      </c>
      <c r="J633" t="s">
        <v>215</v>
      </c>
      <c r="K633">
        <v>0.011233169627808771</v>
      </c>
      <c r="L633" t="s">
        <v>88</v>
      </c>
      <c r="N633" t="s">
        <v>127</v>
      </c>
      <c r="O633" t="s">
        <v>215</v>
      </c>
      <c r="P633">
        <v>0.0047153378753077534</v>
      </c>
      <c r="Q633" t="s">
        <v>88</v>
      </c>
      <c r="S633" t="s">
        <v>142</v>
      </c>
      <c r="T633" t="s">
        <v>215</v>
      </c>
      <c r="U633">
        <v>0.0061208900653655328</v>
      </c>
      <c r="V633" t="s">
        <v>88</v>
      </c>
    </row>
    <row r="634" spans="9:22" ht="14.25">
      <c r="I634" t="s">
        <v>111</v>
      </c>
      <c r="J634" t="s">
        <v>216</v>
      </c>
      <c r="K634">
        <v>0.0053723763312593306</v>
      </c>
      <c r="L634" t="s">
        <v>88</v>
      </c>
      <c r="N634" t="s">
        <v>127</v>
      </c>
      <c r="O634" t="s">
        <v>216</v>
      </c>
      <c r="P634">
        <v>0.020978925790106663</v>
      </c>
      <c r="Q634" t="s">
        <v>88</v>
      </c>
      <c r="S634" t="s">
        <v>142</v>
      </c>
      <c r="T634" t="s">
        <v>216</v>
      </c>
      <c r="U634">
        <v>0.030273090469109358</v>
      </c>
      <c r="V634" t="s">
        <v>88</v>
      </c>
    </row>
    <row r="635" spans="9:22" ht="14.25">
      <c r="I635" t="s">
        <v>112</v>
      </c>
      <c r="J635" t="s">
        <v>87</v>
      </c>
      <c r="K635">
        <v>0.0078689247455969308</v>
      </c>
      <c r="L635" t="s">
        <v>88</v>
      </c>
      <c r="N635" t="s">
        <v>128</v>
      </c>
      <c r="O635" t="s">
        <v>87</v>
      </c>
      <c r="P635">
        <v>0.030234411892928473</v>
      </c>
      <c r="Q635" t="s">
        <v>88</v>
      </c>
      <c r="S635" t="s">
        <v>143</v>
      </c>
      <c r="T635" t="s">
        <v>87</v>
      </c>
      <c r="U635">
        <v>0.027622189813516242</v>
      </c>
      <c r="V635" t="s">
        <v>88</v>
      </c>
    </row>
    <row r="636" spans="9:22" ht="14.25">
      <c r="I636" t="s">
        <v>112</v>
      </c>
      <c r="J636" t="s">
        <v>89</v>
      </c>
      <c r="K636">
        <v>0.042206940841194265</v>
      </c>
      <c r="L636" t="s">
        <v>88</v>
      </c>
      <c r="N636" t="s">
        <v>128</v>
      </c>
      <c r="O636" t="s">
        <v>89</v>
      </c>
      <c r="P636">
        <v>0.018589164763721654</v>
      </c>
      <c r="Q636" t="s">
        <v>88</v>
      </c>
      <c r="S636" t="s">
        <v>143</v>
      </c>
      <c r="T636" t="s">
        <v>89</v>
      </c>
      <c r="U636">
        <v>0.01498690679321452</v>
      </c>
      <c r="V636" t="s">
        <v>88</v>
      </c>
    </row>
    <row r="637" spans="9:22" ht="14.25">
      <c r="I637" t="s">
        <v>112</v>
      </c>
      <c r="J637" t="s">
        <v>90</v>
      </c>
      <c r="K637">
        <v>0.073063158657969168</v>
      </c>
      <c r="L637" t="s">
        <v>88</v>
      </c>
      <c r="N637" t="s">
        <v>128</v>
      </c>
      <c r="O637" t="s">
        <v>90</v>
      </c>
      <c r="P637">
        <v>0.045955778777863041</v>
      </c>
      <c r="Q637" t="s">
        <v>88</v>
      </c>
      <c r="S637" t="s">
        <v>143</v>
      </c>
      <c r="T637" t="s">
        <v>90</v>
      </c>
      <c r="U637">
        <v>0.023793434384621677</v>
      </c>
      <c r="V637" t="s">
        <v>88</v>
      </c>
    </row>
    <row r="638" spans="9:22" ht="14.25">
      <c r="I638" t="s">
        <v>112</v>
      </c>
      <c r="J638" t="s">
        <v>181</v>
      </c>
      <c r="K638">
        <v>0.009755589166489791</v>
      </c>
      <c r="L638" t="s">
        <v>88</v>
      </c>
      <c r="N638" t="s">
        <v>128</v>
      </c>
      <c r="O638" t="s">
        <v>181</v>
      </c>
      <c r="P638">
        <v>0.0062004279116260243</v>
      </c>
      <c r="Q638" t="s">
        <v>88</v>
      </c>
      <c r="S638" t="s">
        <v>143</v>
      </c>
      <c r="T638" t="s">
        <v>181</v>
      </c>
      <c r="U638">
        <v>0.0039796565796406938</v>
      </c>
      <c r="V638" t="s">
        <v>88</v>
      </c>
    </row>
    <row r="639" spans="9:22" ht="14.25">
      <c r="I639" t="s">
        <v>112</v>
      </c>
      <c r="J639" t="s">
        <v>182</v>
      </c>
      <c r="K639">
        <v>0.0078940946927161821</v>
      </c>
      <c r="L639" t="s">
        <v>88</v>
      </c>
      <c r="N639" t="s">
        <v>128</v>
      </c>
      <c r="O639" t="s">
        <v>182</v>
      </c>
      <c r="P639">
        <v>0.0052626427027845394</v>
      </c>
      <c r="Q639" t="s">
        <v>88</v>
      </c>
      <c r="S639" t="s">
        <v>143</v>
      </c>
      <c r="T639" t="s">
        <v>182</v>
      </c>
      <c r="U639">
        <v>0.0039365544851663247</v>
      </c>
      <c r="V639" t="s">
        <v>88</v>
      </c>
    </row>
    <row r="640" spans="9:22" ht="14.25">
      <c r="I640" t="s">
        <v>112</v>
      </c>
      <c r="J640" t="s">
        <v>183</v>
      </c>
      <c r="K640">
        <v>0.0050730033218508285</v>
      </c>
      <c r="L640" t="s">
        <v>88</v>
      </c>
      <c r="N640" t="s">
        <v>128</v>
      </c>
      <c r="O640" t="s">
        <v>183</v>
      </c>
      <c r="P640">
        <v>0.020406927972919386</v>
      </c>
      <c r="Q640" t="s">
        <v>88</v>
      </c>
      <c r="S640" t="s">
        <v>143</v>
      </c>
      <c r="T640" t="s">
        <v>183</v>
      </c>
      <c r="U640">
        <v>0.019386539854685317</v>
      </c>
      <c r="V640" t="s">
        <v>88</v>
      </c>
    </row>
    <row r="641" spans="9:22" ht="14.25">
      <c r="I641" t="s">
        <v>112</v>
      </c>
      <c r="J641" t="s">
        <v>91</v>
      </c>
      <c r="K641">
        <v>0.0048269881957877792</v>
      </c>
      <c r="L641" t="s">
        <v>88</v>
      </c>
      <c r="N641" t="s">
        <v>128</v>
      </c>
      <c r="O641" t="s">
        <v>91</v>
      </c>
      <c r="P641">
        <v>0.0079285091650605315</v>
      </c>
      <c r="Q641" t="s">
        <v>88</v>
      </c>
      <c r="S641" t="s">
        <v>143</v>
      </c>
      <c r="T641" t="s">
        <v>91</v>
      </c>
      <c r="U641">
        <v>0.020763672095782029</v>
      </c>
      <c r="V641" t="s">
        <v>88</v>
      </c>
    </row>
    <row r="642" spans="9:22" ht="14.25">
      <c r="I642" t="s">
        <v>112</v>
      </c>
      <c r="J642" t="s">
        <v>92</v>
      </c>
      <c r="K642">
        <v>0.038921361338752188</v>
      </c>
      <c r="L642" t="s">
        <v>88</v>
      </c>
      <c r="N642" t="s">
        <v>128</v>
      </c>
      <c r="O642" t="s">
        <v>92</v>
      </c>
      <c r="P642">
        <v>0.0036955113341145518</v>
      </c>
      <c r="Q642" t="s">
        <v>88</v>
      </c>
      <c r="S642" t="s">
        <v>143</v>
      </c>
      <c r="T642" t="s">
        <v>92</v>
      </c>
      <c r="U642">
        <v>0.011944120965313266</v>
      </c>
      <c r="V642" t="s">
        <v>88</v>
      </c>
    </row>
    <row r="643" spans="9:22" ht="14.25">
      <c r="I643" t="s">
        <v>112</v>
      </c>
      <c r="J643" t="s">
        <v>93</v>
      </c>
      <c r="K643">
        <v>0.06686520301789671</v>
      </c>
      <c r="L643" t="s">
        <v>88</v>
      </c>
      <c r="N643" t="s">
        <v>128</v>
      </c>
      <c r="O643" t="s">
        <v>93</v>
      </c>
      <c r="P643">
        <v>0.017089285986710692</v>
      </c>
      <c r="Q643" t="s">
        <v>88</v>
      </c>
      <c r="S643" t="s">
        <v>143</v>
      </c>
      <c r="T643" t="s">
        <v>93</v>
      </c>
      <c r="U643">
        <v>0.020136322698289685</v>
      </c>
      <c r="V643" t="s">
        <v>88</v>
      </c>
    </row>
    <row r="644" spans="9:22" ht="14.25">
      <c r="I644" t="s">
        <v>112</v>
      </c>
      <c r="J644" t="s">
        <v>184</v>
      </c>
      <c r="K644">
        <v>0.0093215433900745749</v>
      </c>
      <c r="L644" t="s">
        <v>88</v>
      </c>
      <c r="N644" t="s">
        <v>128</v>
      </c>
      <c r="O644" t="s">
        <v>184</v>
      </c>
      <c r="P644">
        <v>0.0029653034046993503</v>
      </c>
      <c r="Q644" t="s">
        <v>88</v>
      </c>
      <c r="S644" t="s">
        <v>143</v>
      </c>
      <c r="T644" t="s">
        <v>184</v>
      </c>
      <c r="U644">
        <v>0.003380897543066533</v>
      </c>
      <c r="V644" t="s">
        <v>88</v>
      </c>
    </row>
    <row r="645" spans="9:22" ht="14.25">
      <c r="I645" t="s">
        <v>112</v>
      </c>
      <c r="J645" t="s">
        <v>185</v>
      </c>
      <c r="K645">
        <v>0.0071967942071195432</v>
      </c>
      <c r="L645" t="s">
        <v>88</v>
      </c>
      <c r="N645" t="s">
        <v>128</v>
      </c>
      <c r="O645" t="s">
        <v>185</v>
      </c>
      <c r="P645">
        <v>0.0024103870040889357</v>
      </c>
      <c r="Q645" t="s">
        <v>88</v>
      </c>
      <c r="S645" t="s">
        <v>143</v>
      </c>
      <c r="T645" t="s">
        <v>185</v>
      </c>
      <c r="U645">
        <v>0.0033107331865567255</v>
      </c>
      <c r="V645" t="s">
        <v>88</v>
      </c>
    </row>
    <row r="646" spans="9:22" ht="14.25">
      <c r="I646" t="s">
        <v>112</v>
      </c>
      <c r="J646" t="s">
        <v>186</v>
      </c>
      <c r="K646">
        <v>0.0019423651635141288</v>
      </c>
      <c r="L646" t="s">
        <v>88</v>
      </c>
      <c r="N646" t="s">
        <v>128</v>
      </c>
      <c r="O646" t="s">
        <v>186</v>
      </c>
      <c r="P646">
        <v>0.006681562102148219</v>
      </c>
      <c r="Q646" t="s">
        <v>88</v>
      </c>
      <c r="S646" t="s">
        <v>143</v>
      </c>
      <c r="T646" t="s">
        <v>186</v>
      </c>
      <c r="U646">
        <v>0.015292488037663084</v>
      </c>
      <c r="V646" t="s">
        <v>88</v>
      </c>
    </row>
    <row r="647" spans="9:22" ht="14.25">
      <c r="I647" t="s">
        <v>112</v>
      </c>
      <c r="J647" t="s">
        <v>94</v>
      </c>
      <c r="K647">
        <v>0.0014619897285317383</v>
      </c>
      <c r="L647" t="s">
        <v>88</v>
      </c>
      <c r="N647" t="s">
        <v>128</v>
      </c>
      <c r="O647" t="s">
        <v>94</v>
      </c>
      <c r="P647">
        <v>0.011598945932399846</v>
      </c>
      <c r="Q647" t="s">
        <v>88</v>
      </c>
      <c r="S647" t="s">
        <v>143</v>
      </c>
      <c r="T647" t="s">
        <v>94</v>
      </c>
      <c r="U647">
        <v>0.019994821911606012</v>
      </c>
      <c r="V647" t="s">
        <v>88</v>
      </c>
    </row>
    <row r="648" spans="9:22" ht="14.25">
      <c r="I648" t="s">
        <v>112</v>
      </c>
      <c r="J648" t="s">
        <v>95</v>
      </c>
      <c r="K648">
        <v>0.030434031224902125</v>
      </c>
      <c r="L648" t="s">
        <v>88</v>
      </c>
      <c r="N648" t="s">
        <v>128</v>
      </c>
      <c r="O648" t="s">
        <v>95</v>
      </c>
      <c r="P648">
        <v>0.0082828625262770933</v>
      </c>
      <c r="Q648" t="s">
        <v>88</v>
      </c>
      <c r="S648" t="s">
        <v>143</v>
      </c>
      <c r="T648" t="s">
        <v>95</v>
      </c>
      <c r="U648">
        <v>0.011048670497596046</v>
      </c>
      <c r="V648" t="s">
        <v>88</v>
      </c>
    </row>
    <row r="649" spans="9:22" ht="14.25">
      <c r="I649" t="s">
        <v>112</v>
      </c>
      <c r="J649" t="s">
        <v>96</v>
      </c>
      <c r="K649">
        <v>0.053570824399440137</v>
      </c>
      <c r="L649" t="s">
        <v>88</v>
      </c>
      <c r="N649" t="s">
        <v>128</v>
      </c>
      <c r="O649" t="s">
        <v>96</v>
      </c>
      <c r="P649">
        <v>0.018319406349124181</v>
      </c>
      <c r="Q649" t="s">
        <v>88</v>
      </c>
      <c r="S649" t="s">
        <v>143</v>
      </c>
      <c r="T649" t="s">
        <v>96</v>
      </c>
      <c r="U649">
        <v>0.019583103833294039</v>
      </c>
      <c r="V649" t="s">
        <v>88</v>
      </c>
    </row>
    <row r="650" spans="9:22" ht="14.25">
      <c r="I650" t="s">
        <v>112</v>
      </c>
      <c r="J650" t="s">
        <v>187</v>
      </c>
      <c r="K650">
        <v>0.0068592331785753942</v>
      </c>
      <c r="L650" t="s">
        <v>88</v>
      </c>
      <c r="N650" t="s">
        <v>128</v>
      </c>
      <c r="O650" t="s">
        <v>187</v>
      </c>
      <c r="P650">
        <v>0.0021069584718610311</v>
      </c>
      <c r="Q650" t="s">
        <v>88</v>
      </c>
      <c r="S650" t="s">
        <v>143</v>
      </c>
      <c r="T650" t="s">
        <v>187</v>
      </c>
      <c r="U650">
        <v>0.0034447618699712441</v>
      </c>
      <c r="V650" t="s">
        <v>88</v>
      </c>
    </row>
    <row r="651" spans="9:22" ht="14.25">
      <c r="I651" t="s">
        <v>112</v>
      </c>
      <c r="J651" t="s">
        <v>188</v>
      </c>
      <c r="K651">
        <v>0.0035103487080904959</v>
      </c>
      <c r="L651" t="s">
        <v>88</v>
      </c>
      <c r="N651" t="s">
        <v>128</v>
      </c>
      <c r="O651" t="s">
        <v>188</v>
      </c>
      <c r="P651">
        <v>0.001764171141508251</v>
      </c>
      <c r="Q651" t="s">
        <v>88</v>
      </c>
      <c r="S651" t="s">
        <v>143</v>
      </c>
      <c r="T651" t="s">
        <v>188</v>
      </c>
      <c r="U651">
        <v>0.0033940939008119588</v>
      </c>
      <c r="V651" t="s">
        <v>88</v>
      </c>
    </row>
    <row r="652" spans="9:22" ht="14.2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0.0068421414692288697</v>
      </c>
      <c r="Q652" t="s">
        <v>88</v>
      </c>
      <c r="S652" t="s">
        <v>143</v>
      </c>
      <c r="T652" t="s">
        <v>189</v>
      </c>
      <c r="U652">
        <v>0.015826386824544084</v>
      </c>
      <c r="V652" t="s">
        <v>88</v>
      </c>
    </row>
    <row r="653" spans="9:22" ht="14.2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0.044356652037910602</v>
      </c>
      <c r="Q653" t="s">
        <v>88</v>
      </c>
      <c r="S653" t="s">
        <v>143</v>
      </c>
      <c r="T653" t="s">
        <v>97</v>
      </c>
      <c r="U653">
        <v>0.050491886516312666</v>
      </c>
      <c r="V653" t="s">
        <v>88</v>
      </c>
    </row>
    <row r="654" spans="9:22" ht="14.25">
      <c r="I654" t="s">
        <v>112</v>
      </c>
      <c r="J654" t="s">
        <v>98</v>
      </c>
      <c r="K654">
        <v>0.028924237119134055</v>
      </c>
      <c r="L654" t="s">
        <v>88</v>
      </c>
      <c r="N654" t="s">
        <v>128</v>
      </c>
      <c r="O654" t="s">
        <v>98</v>
      </c>
      <c r="P654">
        <v>0.020340725988062299</v>
      </c>
      <c r="Q654" t="s">
        <v>88</v>
      </c>
      <c r="S654" t="s">
        <v>143</v>
      </c>
      <c r="T654" t="s">
        <v>98</v>
      </c>
      <c r="U654">
        <v>0.0279471345419301</v>
      </c>
      <c r="V654" t="s">
        <v>88</v>
      </c>
    </row>
    <row r="655" spans="9:22" ht="14.25">
      <c r="I655" t="s">
        <v>112</v>
      </c>
      <c r="J655" t="s">
        <v>99</v>
      </c>
      <c r="K655">
        <v>0.06000054887558786</v>
      </c>
      <c r="L655" t="s">
        <v>88</v>
      </c>
      <c r="N655" t="s">
        <v>128</v>
      </c>
      <c r="O655" t="s">
        <v>99</v>
      </c>
      <c r="P655">
        <v>0.033815906948483118</v>
      </c>
      <c r="Q655" t="s">
        <v>88</v>
      </c>
      <c r="S655" t="s">
        <v>143</v>
      </c>
      <c r="T655" t="s">
        <v>99</v>
      </c>
      <c r="U655">
        <v>0.042844864978287156</v>
      </c>
      <c r="V655" t="s">
        <v>88</v>
      </c>
    </row>
    <row r="656" spans="9:22" ht="14.25">
      <c r="I656" t="s">
        <v>112</v>
      </c>
      <c r="J656" t="s">
        <v>190</v>
      </c>
      <c r="K656">
        <v>0.0035180478560695614</v>
      </c>
      <c r="L656" t="s">
        <v>88</v>
      </c>
      <c r="N656" t="s">
        <v>128</v>
      </c>
      <c r="O656" t="s">
        <v>190</v>
      </c>
      <c r="P656">
        <v>0.0057829502277545871</v>
      </c>
      <c r="Q656" t="s">
        <v>88</v>
      </c>
      <c r="S656" t="s">
        <v>143</v>
      </c>
      <c r="T656" t="s">
        <v>190</v>
      </c>
      <c r="U656">
        <v>0.0074766900643619214</v>
      </c>
      <c r="V656" t="s">
        <v>88</v>
      </c>
    </row>
    <row r="657" spans="9:22" ht="14.2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0.0054417490566023227</v>
      </c>
      <c r="Q657" t="s">
        <v>88</v>
      </c>
      <c r="S657" t="s">
        <v>143</v>
      </c>
      <c r="T657" t="s">
        <v>191</v>
      </c>
      <c r="U657">
        <v>0.007544162352915224</v>
      </c>
      <c r="V657" t="s">
        <v>88</v>
      </c>
    </row>
    <row r="658" spans="9:22" ht="14.2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0.025078244752899586</v>
      </c>
      <c r="Q658" t="s">
        <v>88</v>
      </c>
      <c r="S658" t="s">
        <v>143</v>
      </c>
      <c r="T658" t="s">
        <v>192</v>
      </c>
      <c r="U658">
        <v>0.036415847309771453</v>
      </c>
      <c r="V658" t="s">
        <v>88</v>
      </c>
    </row>
    <row r="659" spans="9:22" ht="14.2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0.024773677081486617</v>
      </c>
      <c r="Q659" t="s">
        <v>88</v>
      </c>
      <c r="S659" t="s">
        <v>143</v>
      </c>
      <c r="T659" t="s">
        <v>193</v>
      </c>
      <c r="U659">
        <v>0.025421454831915397</v>
      </c>
      <c r="V659" t="s">
        <v>88</v>
      </c>
    </row>
    <row r="660" spans="9:22" ht="14.25">
      <c r="I660" t="s">
        <v>112</v>
      </c>
      <c r="J660" t="s">
        <v>194</v>
      </c>
      <c r="K660">
        <v>0.0084780324640729501</v>
      </c>
      <c r="L660" t="s">
        <v>88</v>
      </c>
      <c r="N660" t="s">
        <v>128</v>
      </c>
      <c r="O660" t="s">
        <v>194</v>
      </c>
      <c r="P660">
        <v>0.012796249944196611</v>
      </c>
      <c r="Q660" t="s">
        <v>88</v>
      </c>
      <c r="S660" t="s">
        <v>143</v>
      </c>
      <c r="T660" t="s">
        <v>194</v>
      </c>
      <c r="U660">
        <v>0.014336406212466514</v>
      </c>
      <c r="V660" t="s">
        <v>88</v>
      </c>
    </row>
    <row r="661" spans="9:22" ht="14.25">
      <c r="I661" t="s">
        <v>112</v>
      </c>
      <c r="J661" t="s">
        <v>195</v>
      </c>
      <c r="K661">
        <v>0.019470632344799354</v>
      </c>
      <c r="L661" t="s">
        <v>88</v>
      </c>
      <c r="N661" t="s">
        <v>128</v>
      </c>
      <c r="O661" t="s">
        <v>195</v>
      </c>
      <c r="P661">
        <v>0.024262424167650558</v>
      </c>
      <c r="Q661" t="s">
        <v>88</v>
      </c>
      <c r="S661" t="s">
        <v>143</v>
      </c>
      <c r="T661" t="s">
        <v>195</v>
      </c>
      <c r="U661">
        <v>0.021041391300447663</v>
      </c>
      <c r="V661" t="s">
        <v>88</v>
      </c>
    </row>
    <row r="662" spans="9:22" ht="14.2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0.0044558877720098566</v>
      </c>
      <c r="Q662" t="s">
        <v>88</v>
      </c>
      <c r="S662" t="s">
        <v>143</v>
      </c>
      <c r="T662" t="s">
        <v>196</v>
      </c>
      <c r="U662">
        <v>0.0034888047626839237</v>
      </c>
      <c r="V662" t="s">
        <v>88</v>
      </c>
    </row>
    <row r="663" spans="9:22" ht="14.2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0.0044812595989914463</v>
      </c>
      <c r="Q663" t="s">
        <v>88</v>
      </c>
      <c r="S663" t="s">
        <v>143</v>
      </c>
      <c r="T663" t="s">
        <v>197</v>
      </c>
      <c r="U663">
        <v>0.0035055799787997877</v>
      </c>
      <c r="V663" t="s">
        <v>88</v>
      </c>
    </row>
    <row r="664" spans="9:22" ht="14.2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0.019821097378717178</v>
      </c>
      <c r="Q664" t="s">
        <v>88</v>
      </c>
      <c r="S664" t="s">
        <v>143</v>
      </c>
      <c r="T664" t="s">
        <v>198</v>
      </c>
      <c r="U664">
        <v>0.017598034964049613</v>
      </c>
      <c r="V664" t="s">
        <v>88</v>
      </c>
    </row>
    <row r="665" spans="9:22" ht="14.25">
      <c r="I665" t="s">
        <v>112</v>
      </c>
      <c r="J665" t="s">
        <v>199</v>
      </c>
      <c r="K665">
        <v>0.0006624241165516146</v>
      </c>
      <c r="L665" t="s">
        <v>88</v>
      </c>
      <c r="N665" t="s">
        <v>128</v>
      </c>
      <c r="O665" t="s">
        <v>199</v>
      </c>
      <c r="P665">
        <v>0.077765129152561105</v>
      </c>
      <c r="Q665" t="s">
        <v>88</v>
      </c>
      <c r="S665" t="s">
        <v>143</v>
      </c>
      <c r="T665" t="s">
        <v>199</v>
      </c>
      <c r="U665">
        <v>0.070992122690983553</v>
      </c>
      <c r="V665" t="s">
        <v>88</v>
      </c>
    </row>
    <row r="666" spans="9:22" ht="14.25">
      <c r="I666" t="s">
        <v>112</v>
      </c>
      <c r="J666" t="s">
        <v>200</v>
      </c>
      <c r="K666">
        <v>0.047750787502385067</v>
      </c>
      <c r="L666" t="s">
        <v>88</v>
      </c>
      <c r="N666" t="s">
        <v>128</v>
      </c>
      <c r="O666" t="s">
        <v>200</v>
      </c>
      <c r="P666">
        <v>0.038887723008755898</v>
      </c>
      <c r="Q666" t="s">
        <v>88</v>
      </c>
      <c r="S666" t="s">
        <v>143</v>
      </c>
      <c r="T666" t="s">
        <v>200</v>
      </c>
      <c r="U666">
        <v>0.040061163927580676</v>
      </c>
      <c r="V666" t="s">
        <v>88</v>
      </c>
    </row>
    <row r="667" spans="9:22" ht="14.25">
      <c r="I667" t="s">
        <v>112</v>
      </c>
      <c r="J667" t="s">
        <v>201</v>
      </c>
      <c r="K667">
        <v>0.099973587729481617</v>
      </c>
      <c r="L667" t="s">
        <v>88</v>
      </c>
      <c r="N667" t="s">
        <v>128</v>
      </c>
      <c r="O667" t="s">
        <v>201</v>
      </c>
      <c r="P667">
        <v>0.078703181074602849</v>
      </c>
      <c r="Q667" t="s">
        <v>88</v>
      </c>
      <c r="S667" t="s">
        <v>143</v>
      </c>
      <c r="T667" t="s">
        <v>201</v>
      </c>
      <c r="U667">
        <v>0.063016381617968603</v>
      </c>
      <c r="V667" t="s">
        <v>88</v>
      </c>
    </row>
    <row r="668" spans="9:22" ht="14.25">
      <c r="I668" t="s">
        <v>112</v>
      </c>
      <c r="J668" t="s">
        <v>202</v>
      </c>
      <c r="K668">
        <v>0.0073712706264163269</v>
      </c>
      <c r="L668" t="s">
        <v>88</v>
      </c>
      <c r="N668" t="s">
        <v>128</v>
      </c>
      <c r="O668" t="s">
        <v>202</v>
      </c>
      <c r="P668">
        <v>0.011871887200903913</v>
      </c>
      <c r="Q668" t="s">
        <v>88</v>
      </c>
      <c r="S668" t="s">
        <v>143</v>
      </c>
      <c r="T668" t="s">
        <v>202</v>
      </c>
      <c r="U668">
        <v>0.010549542744023341</v>
      </c>
      <c r="V668" t="s">
        <v>88</v>
      </c>
    </row>
    <row r="669" spans="9:22" ht="14.2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0.01075096764641667</v>
      </c>
      <c r="Q669" t="s">
        <v>88</v>
      </c>
      <c r="S669" t="s">
        <v>143</v>
      </c>
      <c r="T669" t="s">
        <v>203</v>
      </c>
      <c r="U669">
        <v>0.010462410233181604</v>
      </c>
      <c r="V669" t="s">
        <v>88</v>
      </c>
    </row>
    <row r="670" spans="9:22" ht="14.2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0.054143473130265005</v>
      </c>
      <c r="Q670" t="s">
        <v>88</v>
      </c>
      <c r="S670" t="s">
        <v>143</v>
      </c>
      <c r="T670" t="s">
        <v>204</v>
      </c>
      <c r="U670">
        <v>0.051141287288163202</v>
      </c>
      <c r="V670" t="s">
        <v>88</v>
      </c>
    </row>
    <row r="671" spans="9:22" ht="14.25">
      <c r="I671" t="s">
        <v>112</v>
      </c>
      <c r="J671" t="s">
        <v>205</v>
      </c>
      <c r="K671">
        <v>0.0037805990652306025</v>
      </c>
      <c r="L671" t="s">
        <v>88</v>
      </c>
      <c r="N671" t="s">
        <v>128</v>
      </c>
      <c r="O671" t="s">
        <v>205</v>
      </c>
      <c r="P671">
        <v>0.034865440743709418</v>
      </c>
      <c r="Q671" t="s">
        <v>88</v>
      </c>
      <c r="S671" t="s">
        <v>143</v>
      </c>
      <c r="T671" t="s">
        <v>205</v>
      </c>
      <c r="U671">
        <v>0.030030360407989592</v>
      </c>
      <c r="V671" t="s">
        <v>88</v>
      </c>
    </row>
    <row r="672" spans="9:22" ht="14.25">
      <c r="I672" t="s">
        <v>112</v>
      </c>
      <c r="J672" t="s">
        <v>206</v>
      </c>
      <c r="K672">
        <v>0.029294532773603995</v>
      </c>
      <c r="L672" t="s">
        <v>88</v>
      </c>
      <c r="N672" t="s">
        <v>128</v>
      </c>
      <c r="O672" t="s">
        <v>206</v>
      </c>
      <c r="P672">
        <v>0.022366144649463897</v>
      </c>
      <c r="Q672" t="s">
        <v>88</v>
      </c>
      <c r="S672" t="s">
        <v>143</v>
      </c>
      <c r="T672" t="s">
        <v>206</v>
      </c>
      <c r="U672">
        <v>0.017104142370135533</v>
      </c>
      <c r="V672" t="s">
        <v>88</v>
      </c>
    </row>
    <row r="673" spans="9:22" ht="14.25">
      <c r="I673" t="s">
        <v>112</v>
      </c>
      <c r="J673" t="s">
        <v>207</v>
      </c>
      <c r="K673">
        <v>0.052241919962164624</v>
      </c>
      <c r="L673" t="s">
        <v>88</v>
      </c>
      <c r="N673" t="s">
        <v>128</v>
      </c>
      <c r="O673" t="s">
        <v>207</v>
      </c>
      <c r="P673">
        <v>0.050771960089677486</v>
      </c>
      <c r="Q673" t="s">
        <v>88</v>
      </c>
      <c r="S673" t="s">
        <v>143</v>
      </c>
      <c r="T673" t="s">
        <v>207</v>
      </c>
      <c r="U673">
        <v>0.025604832877953218</v>
      </c>
      <c r="V673" t="s">
        <v>88</v>
      </c>
    </row>
    <row r="674" spans="9:22" ht="14.25">
      <c r="I674" t="s">
        <v>112</v>
      </c>
      <c r="J674" t="s">
        <v>208</v>
      </c>
      <c r="K674">
        <v>0.0055943604774878718</v>
      </c>
      <c r="L674" t="s">
        <v>88</v>
      </c>
      <c r="N674" t="s">
        <v>128</v>
      </c>
      <c r="O674" t="s">
        <v>208</v>
      </c>
      <c r="P674">
        <v>0.0070999345981317043</v>
      </c>
      <c r="Q674" t="s">
        <v>88</v>
      </c>
      <c r="S674" t="s">
        <v>143</v>
      </c>
      <c r="T674" t="s">
        <v>208</v>
      </c>
      <c r="U674">
        <v>0.0041043811889370186</v>
      </c>
      <c r="V674" t="s">
        <v>88</v>
      </c>
    </row>
    <row r="675" spans="9:22" ht="14.25">
      <c r="I675" t="s">
        <v>112</v>
      </c>
      <c r="J675" t="s">
        <v>209</v>
      </c>
      <c r="K675">
        <v>0.0030123789268459741</v>
      </c>
      <c r="L675" t="s">
        <v>88</v>
      </c>
      <c r="N675" t="s">
        <v>128</v>
      </c>
      <c r="O675" t="s">
        <v>209</v>
      </c>
      <c r="P675">
        <v>0.0064077309297815811</v>
      </c>
      <c r="Q675" t="s">
        <v>88</v>
      </c>
      <c r="S675" t="s">
        <v>143</v>
      </c>
      <c r="T675" t="s">
        <v>209</v>
      </c>
      <c r="U675">
        <v>0.0040001504258168636</v>
      </c>
      <c r="V675" t="s">
        <v>88</v>
      </c>
    </row>
    <row r="676" spans="9:22" ht="14.2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0.025224830631769449</v>
      </c>
      <c r="Q676" t="s">
        <v>88</v>
      </c>
      <c r="S676" t="s">
        <v>143</v>
      </c>
      <c r="T676" t="s">
        <v>210</v>
      </c>
      <c r="U676">
        <v>0.019641040448424841</v>
      </c>
      <c r="V676" t="s">
        <v>88</v>
      </c>
    </row>
    <row r="677" spans="9:22" ht="14.25">
      <c r="I677" t="s">
        <v>112</v>
      </c>
      <c r="J677" t="s">
        <v>211</v>
      </c>
      <c r="K677">
        <v>0.019668344742704812</v>
      </c>
      <c r="L677" t="s">
        <v>88</v>
      </c>
      <c r="N677" t="s">
        <v>128</v>
      </c>
      <c r="O677" t="s">
        <v>211</v>
      </c>
      <c r="P677">
        <v>0.030183045257418613</v>
      </c>
      <c r="Q677" t="s">
        <v>88</v>
      </c>
      <c r="S677" t="s">
        <v>143</v>
      </c>
      <c r="T677" t="s">
        <v>211</v>
      </c>
      <c r="U677">
        <v>0.044795528367682191</v>
      </c>
      <c r="V677" t="s">
        <v>88</v>
      </c>
    </row>
    <row r="678" spans="9:22" ht="14.25">
      <c r="I678" t="s">
        <v>112</v>
      </c>
      <c r="J678" t="s">
        <v>212</v>
      </c>
      <c r="K678">
        <v>0.079856619077721888</v>
      </c>
      <c r="L678" t="s">
        <v>88</v>
      </c>
      <c r="N678" t="s">
        <v>128</v>
      </c>
      <c r="O678" t="s">
        <v>212</v>
      </c>
      <c r="P678">
        <v>0.02135009313213437</v>
      </c>
      <c r="Q678" t="s">
        <v>88</v>
      </c>
      <c r="S678" t="s">
        <v>143</v>
      </c>
      <c r="T678" t="s">
        <v>212</v>
      </c>
      <c r="U678">
        <v>0.0258591200459862</v>
      </c>
      <c r="V678" t="s">
        <v>88</v>
      </c>
    </row>
    <row r="679" spans="9:22" ht="14.2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0.048778025191433413</v>
      </c>
      <c r="Q679" t="s">
        <v>88</v>
      </c>
      <c r="S679" t="s">
        <v>143</v>
      </c>
      <c r="T679" t="s">
        <v>213</v>
      </c>
      <c r="U679">
        <v>0.038526079442153985</v>
      </c>
      <c r="V679" t="s">
        <v>88</v>
      </c>
    </row>
    <row r="680" spans="9:22" ht="14.25">
      <c r="I680" t="s">
        <v>112</v>
      </c>
      <c r="J680" t="s">
        <v>214</v>
      </c>
      <c r="K680">
        <v>0.015466572472763432</v>
      </c>
      <c r="L680" t="s">
        <v>88</v>
      </c>
      <c r="N680" t="s">
        <v>128</v>
      </c>
      <c r="O680" t="s">
        <v>214</v>
      </c>
      <c r="P680">
        <v>0.0070099708925841289</v>
      </c>
      <c r="Q680" t="s">
        <v>88</v>
      </c>
      <c r="S680" t="s">
        <v>143</v>
      </c>
      <c r="T680" t="s">
        <v>214</v>
      </c>
      <c r="U680">
        <v>0.0064233158406594298</v>
      </c>
      <c r="V680" t="s">
        <v>88</v>
      </c>
    </row>
    <row r="681" spans="9:22" ht="14.25">
      <c r="I681" t="s">
        <v>112</v>
      </c>
      <c r="J681" t="s">
        <v>215</v>
      </c>
      <c r="K681">
        <v>0.011585168148437068</v>
      </c>
      <c r="L681" t="s">
        <v>88</v>
      </c>
      <c r="N681" t="s">
        <v>128</v>
      </c>
      <c r="O681" t="s">
        <v>215</v>
      </c>
      <c r="P681">
        <v>0.0062608958217227097</v>
      </c>
      <c r="Q681" t="s">
        <v>88</v>
      </c>
      <c r="S681" t="s">
        <v>143</v>
      </c>
      <c r="T681" t="s">
        <v>215</v>
      </c>
      <c r="U681">
        <v>0.0063877909448065368</v>
      </c>
      <c r="V681" t="s">
        <v>88</v>
      </c>
    </row>
    <row r="682" spans="9:22" ht="14.25">
      <c r="I682" t="s">
        <v>112</v>
      </c>
      <c r="J682" t="s">
        <v>216</v>
      </c>
      <c r="K682">
        <v>0.0039575274721653604</v>
      </c>
      <c r="L682" t="s">
        <v>88</v>
      </c>
      <c r="N682" t="s">
        <v>128</v>
      </c>
      <c r="O682" t="s">
        <v>216</v>
      </c>
      <c r="P682">
        <v>0.025818342984832949</v>
      </c>
      <c r="Q682" t="s">
        <v>88</v>
      </c>
      <c r="S682" t="s">
        <v>143</v>
      </c>
      <c r="T682" t="s">
        <v>216</v>
      </c>
      <c r="U682">
        <v>0.031362736048274151</v>
      </c>
      <c r="V682" t="s">
        <v>88</v>
      </c>
    </row>
    <row r="683" spans="9:22" ht="14.25">
      <c r="I683" t="s">
        <v>113</v>
      </c>
      <c r="J683" t="s">
        <v>87</v>
      </c>
      <c r="K683">
        <v>0.0064804943132863143</v>
      </c>
      <c r="L683" t="s">
        <v>88</v>
      </c>
      <c r="N683" t="s">
        <v>129</v>
      </c>
      <c r="O683" t="s">
        <v>87</v>
      </c>
      <c r="P683">
        <v>0.027668691795904723</v>
      </c>
      <c r="Q683" t="s">
        <v>88</v>
      </c>
      <c r="S683" t="s">
        <v>144</v>
      </c>
      <c r="T683" t="s">
        <v>87</v>
      </c>
      <c r="U683">
        <v>0.026394632723858773</v>
      </c>
      <c r="V683" t="s">
        <v>88</v>
      </c>
    </row>
    <row r="684" spans="9:22" ht="14.25">
      <c r="I684" t="s">
        <v>113</v>
      </c>
      <c r="J684" t="s">
        <v>89</v>
      </c>
      <c r="K684">
        <v>0.040058575649439418</v>
      </c>
      <c r="L684" t="s">
        <v>88</v>
      </c>
      <c r="N684" t="s">
        <v>129</v>
      </c>
      <c r="O684" t="s">
        <v>89</v>
      </c>
      <c r="P684">
        <v>0.017978264972615982</v>
      </c>
      <c r="Q684" t="s">
        <v>88</v>
      </c>
      <c r="S684" t="s">
        <v>144</v>
      </c>
      <c r="T684" t="s">
        <v>89</v>
      </c>
      <c r="U684">
        <v>0.014733934385751763</v>
      </c>
      <c r="V684" t="s">
        <v>88</v>
      </c>
    </row>
    <row r="685" spans="9:22" ht="14.25">
      <c r="I685" t="s">
        <v>113</v>
      </c>
      <c r="J685" t="s">
        <v>90</v>
      </c>
      <c r="K685">
        <v>0.073579785674152534</v>
      </c>
      <c r="L685" t="s">
        <v>88</v>
      </c>
      <c r="N685" t="s">
        <v>129</v>
      </c>
      <c r="O685" t="s">
        <v>90</v>
      </c>
      <c r="P685">
        <v>0.038937232824128178</v>
      </c>
      <c r="Q685" t="s">
        <v>88</v>
      </c>
      <c r="S685" t="s">
        <v>144</v>
      </c>
      <c r="T685" t="s">
        <v>90</v>
      </c>
      <c r="U685">
        <v>0.022172066205958345</v>
      </c>
      <c r="V685" t="s">
        <v>88</v>
      </c>
    </row>
    <row r="686" spans="9:22" ht="14.25">
      <c r="I686" t="s">
        <v>113</v>
      </c>
      <c r="J686" t="s">
        <v>181</v>
      </c>
      <c r="K686">
        <v>0.010289303259231143</v>
      </c>
      <c r="L686" t="s">
        <v>88</v>
      </c>
      <c r="N686" t="s">
        <v>129</v>
      </c>
      <c r="O686" t="s">
        <v>181</v>
      </c>
      <c r="P686">
        <v>0.0059258829572101423</v>
      </c>
      <c r="Q686" t="s">
        <v>88</v>
      </c>
      <c r="S686" t="s">
        <v>144</v>
      </c>
      <c r="T686" t="s">
        <v>181</v>
      </c>
      <c r="U686">
        <v>0.0036481706473961584</v>
      </c>
      <c r="V686" t="s">
        <v>88</v>
      </c>
    </row>
    <row r="687" spans="9:22" ht="14.25">
      <c r="I687" t="s">
        <v>113</v>
      </c>
      <c r="J687" t="s">
        <v>182</v>
      </c>
      <c r="K687">
        <v>0.0086009385681431114</v>
      </c>
      <c r="L687" t="s">
        <v>88</v>
      </c>
      <c r="N687" t="s">
        <v>129</v>
      </c>
      <c r="O687" t="s">
        <v>182</v>
      </c>
      <c r="P687">
        <v>0.0052769975255166643</v>
      </c>
      <c r="Q687" t="s">
        <v>88</v>
      </c>
      <c r="S687" t="s">
        <v>144</v>
      </c>
      <c r="T687" t="s">
        <v>182</v>
      </c>
      <c r="U687">
        <v>0.0036030711146931055</v>
      </c>
      <c r="V687" t="s">
        <v>88</v>
      </c>
    </row>
    <row r="688" spans="9:22" ht="14.25">
      <c r="I688" t="s">
        <v>113</v>
      </c>
      <c r="J688" t="s">
        <v>183</v>
      </c>
      <c r="K688">
        <v>0.0056079484782675226</v>
      </c>
      <c r="L688" t="s">
        <v>88</v>
      </c>
      <c r="N688" t="s">
        <v>129</v>
      </c>
      <c r="O688" t="s">
        <v>183</v>
      </c>
      <c r="P688">
        <v>0.019441252636168447</v>
      </c>
      <c r="Q688" t="s">
        <v>88</v>
      </c>
      <c r="S688" t="s">
        <v>144</v>
      </c>
      <c r="T688" t="s">
        <v>183</v>
      </c>
      <c r="U688">
        <v>0.017781540464478593</v>
      </c>
      <c r="V688" t="s">
        <v>88</v>
      </c>
    </row>
    <row r="689" spans="9:22" ht="14.25">
      <c r="I689" t="s">
        <v>113</v>
      </c>
      <c r="J689" t="s">
        <v>91</v>
      </c>
      <c r="K689">
        <v>0.0048029504940799708</v>
      </c>
      <c r="L689" t="s">
        <v>88</v>
      </c>
      <c r="N689" t="s">
        <v>129</v>
      </c>
      <c r="O689" t="s">
        <v>91</v>
      </c>
      <c r="P689">
        <v>0.0096490747620266541</v>
      </c>
      <c r="Q689" t="s">
        <v>88</v>
      </c>
      <c r="S689" t="s">
        <v>144</v>
      </c>
      <c r="T689" t="s">
        <v>91</v>
      </c>
      <c r="U689">
        <v>0.023004507480100175</v>
      </c>
      <c r="V689" t="s">
        <v>88</v>
      </c>
    </row>
    <row r="690" spans="9:22" ht="14.25">
      <c r="I690" t="s">
        <v>113</v>
      </c>
      <c r="J690" t="s">
        <v>92</v>
      </c>
      <c r="K690">
        <v>0.039207349110897058</v>
      </c>
      <c r="L690" t="s">
        <v>88</v>
      </c>
      <c r="N690" t="s">
        <v>129</v>
      </c>
      <c r="O690" t="s">
        <v>92</v>
      </c>
      <c r="P690">
        <v>0.0055071113630654383</v>
      </c>
      <c r="Q690" t="s">
        <v>88</v>
      </c>
      <c r="S690" t="s">
        <v>144</v>
      </c>
      <c r="T690" t="s">
        <v>92</v>
      </c>
      <c r="U690">
        <v>0.012807916322584774</v>
      </c>
      <c r="V690" t="s">
        <v>88</v>
      </c>
    </row>
    <row r="691" spans="9:22" ht="14.25">
      <c r="I691" t="s">
        <v>113</v>
      </c>
      <c r="J691" t="s">
        <v>93</v>
      </c>
      <c r="K691">
        <v>0.066919098242915351</v>
      </c>
      <c r="L691" t="s">
        <v>88</v>
      </c>
      <c r="N691" t="s">
        <v>129</v>
      </c>
      <c r="O691" t="s">
        <v>93</v>
      </c>
      <c r="P691">
        <v>0.014132430639370183</v>
      </c>
      <c r="Q691" t="s">
        <v>88</v>
      </c>
      <c r="S691" t="s">
        <v>144</v>
      </c>
      <c r="T691" t="s">
        <v>93</v>
      </c>
      <c r="U691">
        <v>0.02039562309359574</v>
      </c>
      <c r="V691" t="s">
        <v>88</v>
      </c>
    </row>
    <row r="692" spans="9:22" ht="14.25">
      <c r="I692" t="s">
        <v>113</v>
      </c>
      <c r="J692" t="s">
        <v>184</v>
      </c>
      <c r="K692">
        <v>0.0094067952679785429</v>
      </c>
      <c r="L692" t="s">
        <v>88</v>
      </c>
      <c r="N692" t="s">
        <v>129</v>
      </c>
      <c r="O692" t="s">
        <v>184</v>
      </c>
      <c r="P692">
        <v>0.0024108505660984589</v>
      </c>
      <c r="Q692" t="s">
        <v>88</v>
      </c>
      <c r="S692" t="s">
        <v>144</v>
      </c>
      <c r="T692" t="s">
        <v>184</v>
      </c>
      <c r="U692">
        <v>0.0034760003706426376</v>
      </c>
      <c r="V692" t="s">
        <v>88</v>
      </c>
    </row>
    <row r="693" spans="9:22" ht="14.25">
      <c r="I693" t="s">
        <v>113</v>
      </c>
      <c r="J693" t="s">
        <v>185</v>
      </c>
      <c r="K693">
        <v>0.0081676007960314548</v>
      </c>
      <c r="L693" t="s">
        <v>88</v>
      </c>
      <c r="N693" t="s">
        <v>129</v>
      </c>
      <c r="O693" t="s">
        <v>185</v>
      </c>
      <c r="P693">
        <v>0.0021719033433450332</v>
      </c>
      <c r="Q693" t="s">
        <v>88</v>
      </c>
      <c r="S693" t="s">
        <v>144</v>
      </c>
      <c r="T693" t="s">
        <v>185</v>
      </c>
      <c r="U693">
        <v>0.0034538346211941589</v>
      </c>
      <c r="V693" t="s">
        <v>88</v>
      </c>
    </row>
    <row r="694" spans="9:22" ht="14.25">
      <c r="I694" t="s">
        <v>113</v>
      </c>
      <c r="J694" t="s">
        <v>186</v>
      </c>
      <c r="K694">
        <v>0.0041092772446790892</v>
      </c>
      <c r="L694" t="s">
        <v>88</v>
      </c>
      <c r="N694" t="s">
        <v>129</v>
      </c>
      <c r="O694" t="s">
        <v>186</v>
      </c>
      <c r="P694">
        <v>0.0078921904814285467</v>
      </c>
      <c r="Q694" t="s">
        <v>88</v>
      </c>
      <c r="S694" t="s">
        <v>144</v>
      </c>
      <c r="T694" t="s">
        <v>186</v>
      </c>
      <c r="U694">
        <v>0.016729887262114308</v>
      </c>
      <c r="V694" t="s">
        <v>88</v>
      </c>
    </row>
    <row r="695" spans="9:22" ht="14.25">
      <c r="I695" t="s">
        <v>113</v>
      </c>
      <c r="J695" t="s">
        <v>94</v>
      </c>
      <c r="K695">
        <v>0.00014619111061697998</v>
      </c>
      <c r="L695" t="s">
        <v>88</v>
      </c>
      <c r="N695" t="s">
        <v>129</v>
      </c>
      <c r="O695" t="s">
        <v>94</v>
      </c>
      <c r="P695">
        <v>0.0090180909127396281</v>
      </c>
      <c r="Q695" t="s">
        <v>88</v>
      </c>
      <c r="S695" t="s">
        <v>144</v>
      </c>
      <c r="T695" t="s">
        <v>94</v>
      </c>
      <c r="U695">
        <v>0.019860478983530175</v>
      </c>
      <c r="V695" t="s">
        <v>88</v>
      </c>
    </row>
    <row r="696" spans="9:22" ht="14.25">
      <c r="I696" t="s">
        <v>113</v>
      </c>
      <c r="J696" t="s">
        <v>95</v>
      </c>
      <c r="K696">
        <v>0.02667485381696531</v>
      </c>
      <c r="L696" t="s">
        <v>88</v>
      </c>
      <c r="N696" t="s">
        <v>129</v>
      </c>
      <c r="O696" t="s">
        <v>95</v>
      </c>
      <c r="P696">
        <v>0.0073154980903954326</v>
      </c>
      <c r="Q696" t="s">
        <v>88</v>
      </c>
      <c r="S696" t="s">
        <v>144</v>
      </c>
      <c r="T696" t="s">
        <v>95</v>
      </c>
      <c r="U696">
        <v>0.011803186568235032</v>
      </c>
      <c r="V696" t="s">
        <v>88</v>
      </c>
    </row>
    <row r="697" spans="9:22" ht="14.25">
      <c r="I697" t="s">
        <v>113</v>
      </c>
      <c r="J697" t="s">
        <v>96</v>
      </c>
      <c r="K697">
        <v>0.051253332218843005</v>
      </c>
      <c r="L697" t="s">
        <v>88</v>
      </c>
      <c r="N697" t="s">
        <v>129</v>
      </c>
      <c r="O697" t="s">
        <v>96</v>
      </c>
      <c r="P697">
        <v>0.016768209181046437</v>
      </c>
      <c r="Q697" t="s">
        <v>88</v>
      </c>
      <c r="S697" t="s">
        <v>144</v>
      </c>
      <c r="T697" t="s">
        <v>96</v>
      </c>
      <c r="U697">
        <v>0.019485279214457293</v>
      </c>
      <c r="V697" t="s">
        <v>88</v>
      </c>
    </row>
    <row r="698" spans="9:22" ht="14.25">
      <c r="I698" t="s">
        <v>113</v>
      </c>
      <c r="J698" t="s">
        <v>187</v>
      </c>
      <c r="K698">
        <v>0.0063098007401626265</v>
      </c>
      <c r="L698" t="s">
        <v>88</v>
      </c>
      <c r="N698" t="s">
        <v>129</v>
      </c>
      <c r="O698" t="s">
        <v>187</v>
      </c>
      <c r="P698">
        <v>0.0020833136400649748</v>
      </c>
      <c r="Q698" t="s">
        <v>88</v>
      </c>
      <c r="S698" t="s">
        <v>144</v>
      </c>
      <c r="T698" t="s">
        <v>187</v>
      </c>
      <c r="U698">
        <v>0.0032589041935357508</v>
      </c>
      <c r="V698" t="s">
        <v>88</v>
      </c>
    </row>
    <row r="699" spans="9:22" ht="14.25">
      <c r="I699" t="s">
        <v>113</v>
      </c>
      <c r="J699" t="s">
        <v>188</v>
      </c>
      <c r="K699">
        <v>0.0040345837979169968</v>
      </c>
      <c r="L699" t="s">
        <v>88</v>
      </c>
      <c r="N699" t="s">
        <v>129</v>
      </c>
      <c r="O699" t="s">
        <v>188</v>
      </c>
      <c r="P699">
        <v>0.0016954496256347542</v>
      </c>
      <c r="Q699" t="s">
        <v>88</v>
      </c>
      <c r="S699" t="s">
        <v>144</v>
      </c>
      <c r="T699" t="s">
        <v>188</v>
      </c>
      <c r="U699">
        <v>0.0032084702485644738</v>
      </c>
      <c r="V699" t="s">
        <v>88</v>
      </c>
    </row>
    <row r="700" spans="9:22" ht="14.2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0.0051070034793149633</v>
      </c>
      <c r="Q700" t="s">
        <v>88</v>
      </c>
      <c r="S700" t="s">
        <v>144</v>
      </c>
      <c r="T700" t="s">
        <v>189</v>
      </c>
      <c r="U700">
        <v>0.014868573809334389</v>
      </c>
      <c r="V700" t="s">
        <v>88</v>
      </c>
    </row>
    <row r="701" spans="9:22" ht="14.2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0.037866747749738194</v>
      </c>
      <c r="Q701" t="s">
        <v>88</v>
      </c>
      <c r="S701" t="s">
        <v>144</v>
      </c>
      <c r="T701" t="s">
        <v>97</v>
      </c>
      <c r="U701">
        <v>0.049652108277665849</v>
      </c>
      <c r="V701" t="s">
        <v>88</v>
      </c>
    </row>
    <row r="702" spans="9:22" ht="14.25">
      <c r="I702" t="s">
        <v>113</v>
      </c>
      <c r="J702" t="s">
        <v>98</v>
      </c>
      <c r="K702">
        <v>0.02715347293091849</v>
      </c>
      <c r="L702" t="s">
        <v>88</v>
      </c>
      <c r="N702" t="s">
        <v>129</v>
      </c>
      <c r="O702" t="s">
        <v>98</v>
      </c>
      <c r="P702">
        <v>0.020214366801352975</v>
      </c>
      <c r="Q702" t="s">
        <v>88</v>
      </c>
      <c r="S702" t="s">
        <v>144</v>
      </c>
      <c r="T702" t="s">
        <v>98</v>
      </c>
      <c r="U702">
        <v>0.02748295998658104</v>
      </c>
      <c r="V702" t="s">
        <v>88</v>
      </c>
    </row>
    <row r="703" spans="9:22" ht="14.25">
      <c r="I703" t="s">
        <v>113</v>
      </c>
      <c r="J703" t="s">
        <v>99</v>
      </c>
      <c r="K703">
        <v>0.059717619972053874</v>
      </c>
      <c r="L703" t="s">
        <v>88</v>
      </c>
      <c r="N703" t="s">
        <v>129</v>
      </c>
      <c r="O703" t="s">
        <v>99</v>
      </c>
      <c r="P703">
        <v>0.037474258702978783</v>
      </c>
      <c r="Q703" t="s">
        <v>88</v>
      </c>
      <c r="S703" t="s">
        <v>144</v>
      </c>
      <c r="T703" t="s">
        <v>99</v>
      </c>
      <c r="U703">
        <v>0.041763211432098143</v>
      </c>
      <c r="V703" t="s">
        <v>88</v>
      </c>
    </row>
    <row r="704" spans="9:22" ht="14.25">
      <c r="I704" t="s">
        <v>113</v>
      </c>
      <c r="J704" t="s">
        <v>190</v>
      </c>
      <c r="K704">
        <v>0.0044102043178563645</v>
      </c>
      <c r="L704" t="s">
        <v>88</v>
      </c>
      <c r="N704" t="s">
        <v>129</v>
      </c>
      <c r="O704" t="s">
        <v>190</v>
      </c>
      <c r="P704">
        <v>0.0061745714610533893</v>
      </c>
      <c r="Q704" t="s">
        <v>88</v>
      </c>
      <c r="S704" t="s">
        <v>144</v>
      </c>
      <c r="T704" t="s">
        <v>190</v>
      </c>
      <c r="U704">
        <v>0.007061961337650133</v>
      </c>
      <c r="V704" t="s">
        <v>88</v>
      </c>
    </row>
    <row r="705" spans="9:22" ht="14.2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0.0061147336470159432</v>
      </c>
      <c r="Q705" t="s">
        <v>88</v>
      </c>
      <c r="S705" t="s">
        <v>144</v>
      </c>
      <c r="T705" t="s">
        <v>191</v>
      </c>
      <c r="U705">
        <v>0.0070672524763113467</v>
      </c>
      <c r="V705" t="s">
        <v>88</v>
      </c>
    </row>
    <row r="706" spans="9:22" ht="14.2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0.027382192396604794</v>
      </c>
      <c r="Q706" t="s">
        <v>88</v>
      </c>
      <c r="S706" t="s">
        <v>144</v>
      </c>
      <c r="T706" t="s">
        <v>192</v>
      </c>
      <c r="U706">
        <v>0.034829133228465543</v>
      </c>
      <c r="V706" t="s">
        <v>88</v>
      </c>
    </row>
    <row r="707" spans="9:22" ht="14.2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0.019566584485678516</v>
      </c>
      <c r="Q707" t="s">
        <v>88</v>
      </c>
      <c r="S707" t="s">
        <v>144</v>
      </c>
      <c r="T707" t="s">
        <v>193</v>
      </c>
      <c r="U707">
        <v>0.022939933051683264</v>
      </c>
      <c r="V707" t="s">
        <v>88</v>
      </c>
    </row>
    <row r="708" spans="9:22" ht="14.25">
      <c r="I708" t="s">
        <v>113</v>
      </c>
      <c r="J708" t="s">
        <v>194</v>
      </c>
      <c r="K708">
        <v>0.0073575715268832838</v>
      </c>
      <c r="L708" t="s">
        <v>88</v>
      </c>
      <c r="N708" t="s">
        <v>129</v>
      </c>
      <c r="O708" t="s">
        <v>194</v>
      </c>
      <c r="P708">
        <v>0.0095915544996636407</v>
      </c>
      <c r="Q708" t="s">
        <v>88</v>
      </c>
      <c r="S708" t="s">
        <v>144</v>
      </c>
      <c r="T708" t="s">
        <v>194</v>
      </c>
      <c r="U708">
        <v>0.013454504545124472</v>
      </c>
      <c r="V708" t="s">
        <v>88</v>
      </c>
    </row>
    <row r="709" spans="9:22" ht="14.25">
      <c r="I709" t="s">
        <v>113</v>
      </c>
      <c r="J709" t="s">
        <v>195</v>
      </c>
      <c r="K709">
        <v>0.018646107846336926</v>
      </c>
      <c r="L709" t="s">
        <v>88</v>
      </c>
      <c r="N709" t="s">
        <v>129</v>
      </c>
      <c r="O709" t="s">
        <v>195</v>
      </c>
      <c r="P709">
        <v>0.018461226946433627</v>
      </c>
      <c r="Q709" t="s">
        <v>88</v>
      </c>
      <c r="S709" t="s">
        <v>144</v>
      </c>
      <c r="T709" t="s">
        <v>195</v>
      </c>
      <c r="U709">
        <v>0.020595512232079123</v>
      </c>
      <c r="V709" t="s">
        <v>88</v>
      </c>
    </row>
    <row r="710" spans="9:22" ht="14.2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0.003562856652647477</v>
      </c>
      <c r="Q710" t="s">
        <v>88</v>
      </c>
      <c r="S710" t="s">
        <v>144</v>
      </c>
      <c r="T710" t="s">
        <v>196</v>
      </c>
      <c r="U710">
        <v>0.0034306825574770368</v>
      </c>
      <c r="V710" t="s">
        <v>88</v>
      </c>
    </row>
    <row r="711" spans="9:22" ht="14.2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0.0036069548487003768</v>
      </c>
      <c r="Q711" t="s">
        <v>88</v>
      </c>
      <c r="S711" t="s">
        <v>144</v>
      </c>
      <c r="T711" t="s">
        <v>197</v>
      </c>
      <c r="U711">
        <v>0.0034232964571158397</v>
      </c>
      <c r="V711" t="s">
        <v>88</v>
      </c>
    </row>
    <row r="712" spans="9:22" ht="14.2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0.017443412655984009</v>
      </c>
      <c r="Q712" t="s">
        <v>88</v>
      </c>
      <c r="S712" t="s">
        <v>144</v>
      </c>
      <c r="T712" t="s">
        <v>198</v>
      </c>
      <c r="U712">
        <v>0.016784342995629538</v>
      </c>
      <c r="V712" t="s">
        <v>88</v>
      </c>
    </row>
    <row r="713" spans="9:22" ht="14.25">
      <c r="I713" t="s">
        <v>113</v>
      </c>
      <c r="J713" t="s">
        <v>199</v>
      </c>
      <c r="K713">
        <v>0.00020788978413507632</v>
      </c>
      <c r="L713" t="s">
        <v>88</v>
      </c>
      <c r="N713" t="s">
        <v>129</v>
      </c>
      <c r="O713" t="s">
        <v>199</v>
      </c>
      <c r="P713">
        <v>0.079291429695622723</v>
      </c>
      <c r="Q713" t="s">
        <v>88</v>
      </c>
      <c r="S713" t="s">
        <v>144</v>
      </c>
      <c r="T713" t="s">
        <v>199</v>
      </c>
      <c r="U713">
        <v>0.075903178081017916</v>
      </c>
      <c r="V713" t="s">
        <v>88</v>
      </c>
    </row>
    <row r="714" spans="9:22" ht="14.25">
      <c r="I714" t="s">
        <v>113</v>
      </c>
      <c r="J714" t="s">
        <v>200</v>
      </c>
      <c r="K714">
        <v>0.046227692719839585</v>
      </c>
      <c r="L714" t="s">
        <v>88</v>
      </c>
      <c r="N714" t="s">
        <v>129</v>
      </c>
      <c r="O714" t="s">
        <v>200</v>
      </c>
      <c r="P714">
        <v>0.042521325933070439</v>
      </c>
      <c r="Q714" t="s">
        <v>88</v>
      </c>
      <c r="S714" t="s">
        <v>144</v>
      </c>
      <c r="T714" t="s">
        <v>200</v>
      </c>
      <c r="U714">
        <v>0.042262620475374851</v>
      </c>
      <c r="V714" t="s">
        <v>88</v>
      </c>
    </row>
    <row r="715" spans="9:22" ht="14.2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0.088201433945088573</v>
      </c>
      <c r="Q715" t="s">
        <v>88</v>
      </c>
      <c r="S715" t="s">
        <v>144</v>
      </c>
      <c r="T715" t="s">
        <v>201</v>
      </c>
      <c r="U715">
        <v>0.063925473988822826</v>
      </c>
      <c r="V715" t="s">
        <v>88</v>
      </c>
    </row>
    <row r="716" spans="9:22" ht="14.25">
      <c r="I716" t="s">
        <v>113</v>
      </c>
      <c r="J716" t="s">
        <v>202</v>
      </c>
      <c r="K716">
        <v>0.008430882964640618</v>
      </c>
      <c r="L716" t="s">
        <v>88</v>
      </c>
      <c r="N716" t="s">
        <v>129</v>
      </c>
      <c r="O716" t="s">
        <v>202</v>
      </c>
      <c r="P716">
        <v>0.014129549064022627</v>
      </c>
      <c r="Q716" t="s">
        <v>88</v>
      </c>
      <c r="S716" t="s">
        <v>144</v>
      </c>
      <c r="T716" t="s">
        <v>202</v>
      </c>
      <c r="U716">
        <v>0.010558673029891155</v>
      </c>
      <c r="V716" t="s">
        <v>88</v>
      </c>
    </row>
    <row r="717" spans="9:22" ht="14.25">
      <c r="I717" t="s">
        <v>113</v>
      </c>
      <c r="J717" t="s">
        <v>203</v>
      </c>
      <c r="K717">
        <v>0.0010663499935002088</v>
      </c>
      <c r="L717" t="s">
        <v>88</v>
      </c>
      <c r="N717" t="s">
        <v>129</v>
      </c>
      <c r="O717" t="s">
        <v>203</v>
      </c>
      <c r="P717">
        <v>0.013221892755380738</v>
      </c>
      <c r="Q717" t="s">
        <v>88</v>
      </c>
      <c r="S717" t="s">
        <v>144</v>
      </c>
      <c r="T717" t="s">
        <v>203</v>
      </c>
      <c r="U717">
        <v>0.010519126648928036</v>
      </c>
      <c r="V717" t="s">
        <v>88</v>
      </c>
    </row>
    <row r="718" spans="9:22" ht="14.2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0.059343709022926537</v>
      </c>
      <c r="Q718" t="s">
        <v>88</v>
      </c>
      <c r="S718" t="s">
        <v>144</v>
      </c>
      <c r="T718" t="s">
        <v>204</v>
      </c>
      <c r="U718">
        <v>0.052693166585641889</v>
      </c>
      <c r="V718" t="s">
        <v>88</v>
      </c>
    </row>
    <row r="719" spans="9:22" ht="14.25">
      <c r="I719" t="s">
        <v>113</v>
      </c>
      <c r="J719" t="s">
        <v>205</v>
      </c>
      <c r="K719">
        <v>0.0027933404987983759</v>
      </c>
      <c r="L719" t="s">
        <v>88</v>
      </c>
      <c r="N719" t="s">
        <v>129</v>
      </c>
      <c r="O719" t="s">
        <v>205</v>
      </c>
      <c r="P719">
        <v>0.037953039678333751</v>
      </c>
      <c r="Q719" t="s">
        <v>88</v>
      </c>
      <c r="S719" t="s">
        <v>144</v>
      </c>
      <c r="T719" t="s">
        <v>205</v>
      </c>
      <c r="U719">
        <v>0.03016743426856739</v>
      </c>
      <c r="V719" t="s">
        <v>88</v>
      </c>
    </row>
    <row r="720" spans="9:22" ht="14.25">
      <c r="I720" t="s">
        <v>113</v>
      </c>
      <c r="J720" t="s">
        <v>206</v>
      </c>
      <c r="K720">
        <v>0.02691086339741219</v>
      </c>
      <c r="L720" t="s">
        <v>88</v>
      </c>
      <c r="N720" t="s">
        <v>129</v>
      </c>
      <c r="O720" t="s">
        <v>206</v>
      </c>
      <c r="P720">
        <v>0.022159494960901423</v>
      </c>
      <c r="Q720" t="s">
        <v>88</v>
      </c>
      <c r="S720" t="s">
        <v>144</v>
      </c>
      <c r="T720" t="s">
        <v>206</v>
      </c>
      <c r="U720">
        <v>0.016840940872470504</v>
      </c>
      <c r="V720" t="s">
        <v>88</v>
      </c>
    </row>
    <row r="721" spans="9:22" ht="14.25">
      <c r="I721" t="s">
        <v>113</v>
      </c>
      <c r="J721" t="s">
        <v>207</v>
      </c>
      <c r="K721">
        <v>0.052733831023632147</v>
      </c>
      <c r="L721" t="s">
        <v>88</v>
      </c>
      <c r="N721" t="s">
        <v>129</v>
      </c>
      <c r="O721" t="s">
        <v>207</v>
      </c>
      <c r="P721">
        <v>0.046507655420957285</v>
      </c>
      <c r="Q721" t="s">
        <v>88</v>
      </c>
      <c r="S721" t="s">
        <v>144</v>
      </c>
      <c r="T721" t="s">
        <v>207</v>
      </c>
      <c r="U721">
        <v>0.024543737737156124</v>
      </c>
      <c r="V721" t="s">
        <v>88</v>
      </c>
    </row>
    <row r="722" spans="9:22" ht="14.25">
      <c r="I722" t="s">
        <v>113</v>
      </c>
      <c r="J722" t="s">
        <v>208</v>
      </c>
      <c r="K722">
        <v>0.00566209130245499</v>
      </c>
      <c r="L722" t="s">
        <v>88</v>
      </c>
      <c r="N722" t="s">
        <v>129</v>
      </c>
      <c r="O722" t="s">
        <v>208</v>
      </c>
      <c r="P722">
        <v>0.0071073222339101162</v>
      </c>
      <c r="Q722" t="s">
        <v>88</v>
      </c>
      <c r="S722" t="s">
        <v>144</v>
      </c>
      <c r="T722" t="s">
        <v>208</v>
      </c>
      <c r="U722">
        <v>0.0039365162441579137</v>
      </c>
      <c r="V722" t="s">
        <v>88</v>
      </c>
    </row>
    <row r="723" spans="9:22" ht="14.25">
      <c r="I723" t="s">
        <v>113</v>
      </c>
      <c r="J723" t="s">
        <v>209</v>
      </c>
      <c r="K723">
        <v>0.0037676301819042548</v>
      </c>
      <c r="L723" t="s">
        <v>88</v>
      </c>
      <c r="N723" t="s">
        <v>129</v>
      </c>
      <c r="O723" t="s">
        <v>209</v>
      </c>
      <c r="P723">
        <v>0.006554789574602057</v>
      </c>
      <c r="Q723" t="s">
        <v>88</v>
      </c>
      <c r="S723" t="s">
        <v>144</v>
      </c>
      <c r="T723" t="s">
        <v>209</v>
      </c>
      <c r="U723">
        <v>0.0039002803021686398</v>
      </c>
      <c r="V723" t="s">
        <v>88</v>
      </c>
    </row>
    <row r="724" spans="9:22" ht="14.2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0.029154091579073112</v>
      </c>
      <c r="Q724" t="s">
        <v>88</v>
      </c>
      <c r="S724" t="s">
        <v>144</v>
      </c>
      <c r="T724" t="s">
        <v>210</v>
      </c>
      <c r="U724">
        <v>0.019643212263927349</v>
      </c>
      <c r="V724" t="s">
        <v>88</v>
      </c>
    </row>
    <row r="725" spans="9:22" ht="14.25">
      <c r="I725" t="s">
        <v>113</v>
      </c>
      <c r="J725" t="s">
        <v>211</v>
      </c>
      <c r="K725">
        <v>0.018188394800587114</v>
      </c>
      <c r="L725" t="s">
        <v>88</v>
      </c>
      <c r="N725" t="s">
        <v>129</v>
      </c>
      <c r="O725" t="s">
        <v>211</v>
      </c>
      <c r="P725">
        <v>0.033770963527989438</v>
      </c>
      <c r="Q725" t="s">
        <v>88</v>
      </c>
      <c r="S725" t="s">
        <v>144</v>
      </c>
      <c r="T725" t="s">
        <v>211</v>
      </c>
      <c r="U725">
        <v>0.045487047697644403</v>
      </c>
      <c r="V725" t="s">
        <v>88</v>
      </c>
    </row>
    <row r="726" spans="9:22" ht="14.25">
      <c r="I726" t="s">
        <v>113</v>
      </c>
      <c r="J726" t="s">
        <v>212</v>
      </c>
      <c r="K726">
        <v>0.08063882828813497</v>
      </c>
      <c r="L726" t="s">
        <v>88</v>
      </c>
      <c r="N726" t="s">
        <v>129</v>
      </c>
      <c r="O726" t="s">
        <v>212</v>
      </c>
      <c r="P726">
        <v>0.021217054835214091</v>
      </c>
      <c r="Q726" t="s">
        <v>88</v>
      </c>
      <c r="S726" t="s">
        <v>144</v>
      </c>
      <c r="T726" t="s">
        <v>212</v>
      </c>
      <c r="U726">
        <v>0.026322411082306475</v>
      </c>
      <c r="V726" t="s">
        <v>88</v>
      </c>
    </row>
    <row r="727" spans="9:22" ht="14.2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0.052486495713267314</v>
      </c>
      <c r="Q727" t="s">
        <v>88</v>
      </c>
      <c r="S727" t="s">
        <v>144</v>
      </c>
      <c r="T727" t="s">
        <v>213</v>
      </c>
      <c r="U727">
        <v>0.039439196780727631</v>
      </c>
      <c r="V727" t="s">
        <v>88</v>
      </c>
    </row>
    <row r="728" spans="9:22" ht="14.25">
      <c r="I728" t="s">
        <v>113</v>
      </c>
      <c r="J728" t="s">
        <v>214</v>
      </c>
      <c r="K728">
        <v>0.017217069633659321</v>
      </c>
      <c r="L728" t="s">
        <v>88</v>
      </c>
      <c r="N728" t="s">
        <v>129</v>
      </c>
      <c r="O728" t="s">
        <v>214</v>
      </c>
      <c r="P728">
        <v>0.0073169986701222449</v>
      </c>
      <c r="Q728" t="s">
        <v>88</v>
      </c>
      <c r="S728" t="s">
        <v>144</v>
      </c>
      <c r="T728" t="s">
        <v>214</v>
      </c>
      <c r="U728">
        <v>0.0064344311402215497</v>
      </c>
      <c r="V728" t="s">
        <v>88</v>
      </c>
    </row>
    <row r="729" spans="9:22" ht="14.25">
      <c r="I729" t="s">
        <v>113</v>
      </c>
      <c r="J729" t="s">
        <v>215</v>
      </c>
      <c r="K729">
        <v>0.014347854539440447</v>
      </c>
      <c r="L729" t="s">
        <v>88</v>
      </c>
      <c r="N729" t="s">
        <v>129</v>
      </c>
      <c r="O729" t="s">
        <v>215</v>
      </c>
      <c r="P729">
        <v>0.0065090673470589869</v>
      </c>
      <c r="Q729" t="s">
        <v>88</v>
      </c>
      <c r="S729" t="s">
        <v>144</v>
      </c>
      <c r="T729" t="s">
        <v>215</v>
      </c>
      <c r="U729">
        <v>0.0064222117161802355</v>
      </c>
      <c r="V729" t="s">
        <v>88</v>
      </c>
    </row>
    <row r="730" spans="9:22" ht="14.25">
      <c r="I730" t="s">
        <v>113</v>
      </c>
      <c r="J730" t="s">
        <v>216</v>
      </c>
      <c r="K730">
        <v>0.0081281027281435974</v>
      </c>
      <c r="L730" t="s">
        <v>88</v>
      </c>
      <c r="N730" t="s">
        <v>129</v>
      </c>
      <c r="O730" t="s">
        <v>216</v>
      </c>
      <c r="P730">
        <v>0.026114776398533754</v>
      </c>
      <c r="Q730" t="s">
        <v>88</v>
      </c>
      <c r="S730" t="s">
        <v>144</v>
      </c>
      <c r="T730" t="s">
        <v>216</v>
      </c>
      <c r="U730">
        <v>0.031829364796889609</v>
      </c>
      <c r="V730" t="s">
        <v>88</v>
      </c>
    </row>
    <row r="731" spans="9:22" ht="14.25">
      <c r="I731" t="s">
        <v>114</v>
      </c>
      <c r="J731" t="s">
        <v>87</v>
      </c>
      <c r="K731">
        <v>0.0064276849916241781</v>
      </c>
      <c r="L731" t="s">
        <v>88</v>
      </c>
      <c r="S731" t="s">
        <v>145</v>
      </c>
      <c r="T731" t="s">
        <v>87</v>
      </c>
      <c r="U731">
        <v>0.022049689091509818</v>
      </c>
      <c r="V731" t="s">
        <v>88</v>
      </c>
    </row>
    <row r="732" spans="9:22" ht="14.25">
      <c r="I732" t="s">
        <v>114</v>
      </c>
      <c r="J732" t="s">
        <v>89</v>
      </c>
      <c r="K732">
        <v>0.04147887466624936</v>
      </c>
      <c r="L732" t="s">
        <v>88</v>
      </c>
      <c r="S732" t="s">
        <v>145</v>
      </c>
      <c r="T732" t="s">
        <v>89</v>
      </c>
      <c r="U732">
        <v>0.013465027565648487</v>
      </c>
      <c r="V732" t="s">
        <v>88</v>
      </c>
    </row>
    <row r="733" spans="9:22" ht="14.25">
      <c r="I733" t="s">
        <v>114</v>
      </c>
      <c r="J733" t="s">
        <v>90</v>
      </c>
      <c r="K733">
        <v>0.073884318110877589</v>
      </c>
      <c r="L733" t="s">
        <v>88</v>
      </c>
      <c r="S733" t="s">
        <v>145</v>
      </c>
      <c r="T733" t="s">
        <v>90</v>
      </c>
      <c r="U733">
        <v>0.021464901821234228</v>
      </c>
      <c r="V733" t="s">
        <v>88</v>
      </c>
    </row>
    <row r="734" spans="9:22" ht="14.25">
      <c r="I734" t="s">
        <v>114</v>
      </c>
      <c r="J734" t="s">
        <v>181</v>
      </c>
      <c r="K734">
        <v>0.010292166859735026</v>
      </c>
      <c r="L734" t="s">
        <v>88</v>
      </c>
      <c r="S734" t="s">
        <v>145</v>
      </c>
      <c r="T734" t="s">
        <v>181</v>
      </c>
      <c r="U734">
        <v>0.00349962770572795</v>
      </c>
      <c r="V734" t="s">
        <v>88</v>
      </c>
    </row>
    <row r="735" spans="9:22" ht="14.25">
      <c r="I735" t="s">
        <v>114</v>
      </c>
      <c r="J735" t="s">
        <v>182</v>
      </c>
      <c r="K735">
        <v>0.0085753385944452101</v>
      </c>
      <c r="L735" t="s">
        <v>88</v>
      </c>
      <c r="S735" t="s">
        <v>145</v>
      </c>
      <c r="T735" t="s">
        <v>182</v>
      </c>
      <c r="U735">
        <v>0.0034043622270621601</v>
      </c>
      <c r="V735" t="s">
        <v>88</v>
      </c>
    </row>
    <row r="736" spans="9:22" ht="14.25">
      <c r="I736" t="s">
        <v>114</v>
      </c>
      <c r="J736" t="s">
        <v>183</v>
      </c>
      <c r="K736">
        <v>0.0054685334404785133</v>
      </c>
      <c r="L736" t="s">
        <v>88</v>
      </c>
      <c r="S736" t="s">
        <v>145</v>
      </c>
      <c r="T736" t="s">
        <v>183</v>
      </c>
      <c r="U736">
        <v>0.016000686821206735</v>
      </c>
      <c r="V736" t="s">
        <v>88</v>
      </c>
    </row>
    <row r="737" spans="9:22" ht="14.25">
      <c r="I737" t="s">
        <v>114</v>
      </c>
      <c r="J737" t="s">
        <v>91</v>
      </c>
      <c r="K737">
        <v>0.0048944185708726818</v>
      </c>
      <c r="L737" t="s">
        <v>88</v>
      </c>
      <c r="S737" t="s">
        <v>145</v>
      </c>
      <c r="T737" t="s">
        <v>91</v>
      </c>
      <c r="U737">
        <v>0.022091178955590703</v>
      </c>
      <c r="V737" t="s">
        <v>88</v>
      </c>
    </row>
    <row r="738" spans="9:22" ht="14.25">
      <c r="I738" t="s">
        <v>114</v>
      </c>
      <c r="J738" t="s">
        <v>92</v>
      </c>
      <c r="K738">
        <v>0.038973991528178473</v>
      </c>
      <c r="L738" t="s">
        <v>88</v>
      </c>
      <c r="S738" t="s">
        <v>145</v>
      </c>
      <c r="T738" t="s">
        <v>92</v>
      </c>
      <c r="U738">
        <v>0.01212921387077708</v>
      </c>
      <c r="V738" t="s">
        <v>88</v>
      </c>
    </row>
    <row r="739" spans="9:22" ht="14.25">
      <c r="I739" t="s">
        <v>114</v>
      </c>
      <c r="J739" t="s">
        <v>93</v>
      </c>
      <c r="K739">
        <v>0.068155612913894659</v>
      </c>
      <c r="L739" t="s">
        <v>88</v>
      </c>
      <c r="S739" t="s">
        <v>145</v>
      </c>
      <c r="T739" t="s">
        <v>93</v>
      </c>
      <c r="U739">
        <v>0.017780200925356638</v>
      </c>
      <c r="V739" t="s">
        <v>88</v>
      </c>
    </row>
    <row r="740" spans="9:22" ht="14.25">
      <c r="I740" t="s">
        <v>114</v>
      </c>
      <c r="J740" t="s">
        <v>184</v>
      </c>
      <c r="K740">
        <v>0.0091916298850652535</v>
      </c>
      <c r="L740" t="s">
        <v>88</v>
      </c>
      <c r="S740" t="s">
        <v>145</v>
      </c>
      <c r="T740" t="s">
        <v>184</v>
      </c>
      <c r="U740">
        <v>0.0030470461902388827</v>
      </c>
      <c r="V740" t="s">
        <v>88</v>
      </c>
    </row>
    <row r="741" spans="9:22" ht="14.25">
      <c r="I741" t="s">
        <v>114</v>
      </c>
      <c r="J741" t="s">
        <v>185</v>
      </c>
      <c r="K741">
        <v>0.0068737889462894752</v>
      </c>
      <c r="L741" t="s">
        <v>88</v>
      </c>
      <c r="S741" t="s">
        <v>145</v>
      </c>
      <c r="T741" t="s">
        <v>185</v>
      </c>
      <c r="U741">
        <v>0.0030495440925229229</v>
      </c>
      <c r="V741" t="s">
        <v>88</v>
      </c>
    </row>
    <row r="742" spans="9:22" ht="14.25">
      <c r="I742" t="s">
        <v>114</v>
      </c>
      <c r="J742" t="s">
        <v>186</v>
      </c>
      <c r="K742">
        <v>0.0025892200982822744</v>
      </c>
      <c r="L742" t="s">
        <v>88</v>
      </c>
      <c r="S742" t="s">
        <v>145</v>
      </c>
      <c r="T742" t="s">
        <v>186</v>
      </c>
      <c r="U742">
        <v>0.015079569226618265</v>
      </c>
      <c r="V742" t="s">
        <v>88</v>
      </c>
    </row>
    <row r="743" spans="9:22" ht="14.25">
      <c r="I743" t="s">
        <v>114</v>
      </c>
      <c r="J743" t="s">
        <v>94</v>
      </c>
      <c r="K743">
        <v>0.00061671144346517011</v>
      </c>
      <c r="L743" t="s">
        <v>88</v>
      </c>
      <c r="S743" t="s">
        <v>145</v>
      </c>
      <c r="T743" t="s">
        <v>94</v>
      </c>
      <c r="U743">
        <v>0.023653500972136931</v>
      </c>
      <c r="V743" t="s">
        <v>88</v>
      </c>
    </row>
    <row r="744" spans="9:22" ht="14.25">
      <c r="I744" t="s">
        <v>114</v>
      </c>
      <c r="J744" t="s">
        <v>95</v>
      </c>
      <c r="K744">
        <v>0.026859068210673961</v>
      </c>
      <c r="L744" t="s">
        <v>88</v>
      </c>
      <c r="S744" t="s">
        <v>145</v>
      </c>
      <c r="T744" t="s">
        <v>95</v>
      </c>
      <c r="U744">
        <v>0.012926675942886687</v>
      </c>
      <c r="V744" t="s">
        <v>88</v>
      </c>
    </row>
    <row r="745" spans="9:22" ht="14.25">
      <c r="I745" t="s">
        <v>114</v>
      </c>
      <c r="J745" t="s">
        <v>96</v>
      </c>
      <c r="K745">
        <v>0.054637079238228227</v>
      </c>
      <c r="L745" t="s">
        <v>88</v>
      </c>
      <c r="S745" t="s">
        <v>145</v>
      </c>
      <c r="T745" t="s">
        <v>96</v>
      </c>
      <c r="U745">
        <v>0.0184738408064598</v>
      </c>
      <c r="V745" t="s">
        <v>88</v>
      </c>
    </row>
    <row r="746" spans="9:22" ht="14.25">
      <c r="I746" t="s">
        <v>114</v>
      </c>
      <c r="J746" t="s">
        <v>187</v>
      </c>
      <c r="K746">
        <v>0.0062275086777079909</v>
      </c>
      <c r="L746" t="s">
        <v>88</v>
      </c>
      <c r="S746" t="s">
        <v>145</v>
      </c>
      <c r="T746" t="s">
        <v>187</v>
      </c>
      <c r="U746">
        <v>0.003081843965751944</v>
      </c>
      <c r="V746" t="s">
        <v>88</v>
      </c>
    </row>
    <row r="747" spans="9:22" ht="14.25">
      <c r="I747" t="s">
        <v>114</v>
      </c>
      <c r="J747" t="s">
        <v>188</v>
      </c>
      <c r="K747">
        <v>0.0032984677016671712</v>
      </c>
      <c r="L747" t="s">
        <v>88</v>
      </c>
      <c r="S747" t="s">
        <v>145</v>
      </c>
      <c r="T747" t="s">
        <v>188</v>
      </c>
      <c r="U747">
        <v>0.0030905123684617968</v>
      </c>
      <c r="V747" t="s">
        <v>88</v>
      </c>
    </row>
    <row r="748" spans="9:22" ht="14.2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0.015242624477238188</v>
      </c>
      <c r="V748" t="s">
        <v>88</v>
      </c>
    </row>
    <row r="749" spans="9:22" ht="14.2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0.054311626179459192</v>
      </c>
      <c r="V749" t="s">
        <v>88</v>
      </c>
    </row>
    <row r="750" spans="9:22" ht="14.25">
      <c r="I750" t="s">
        <v>114</v>
      </c>
      <c r="J750" t="s">
        <v>98</v>
      </c>
      <c r="K750">
        <v>0.027818356218960796</v>
      </c>
      <c r="L750" t="s">
        <v>88</v>
      </c>
      <c r="S750" t="s">
        <v>145</v>
      </c>
      <c r="T750" t="s">
        <v>98</v>
      </c>
      <c r="U750">
        <v>0.031108436196796801</v>
      </c>
      <c r="V750" t="s">
        <v>88</v>
      </c>
    </row>
    <row r="751" spans="9:22" ht="14.25">
      <c r="I751" t="s">
        <v>114</v>
      </c>
      <c r="J751" t="s">
        <v>99</v>
      </c>
      <c r="K751">
        <v>0.060807373631858425</v>
      </c>
      <c r="L751" t="s">
        <v>88</v>
      </c>
      <c r="S751" t="s">
        <v>145</v>
      </c>
      <c r="T751" t="s">
        <v>99</v>
      </c>
      <c r="U751">
        <v>0.047587838561050033</v>
      </c>
      <c r="V751" t="s">
        <v>88</v>
      </c>
    </row>
    <row r="752" spans="9:22" ht="14.25">
      <c r="I752" t="s">
        <v>114</v>
      </c>
      <c r="J752" t="s">
        <v>190</v>
      </c>
      <c r="K752">
        <v>0.0036213291242344001</v>
      </c>
      <c r="L752" t="s">
        <v>88</v>
      </c>
      <c r="S752" t="s">
        <v>145</v>
      </c>
      <c r="T752" t="s">
        <v>190</v>
      </c>
      <c r="U752">
        <v>0.0077614280473061589</v>
      </c>
      <c r="V752" t="s">
        <v>88</v>
      </c>
    </row>
    <row r="753" spans="9:22" ht="14.2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0.0076742584402435714</v>
      </c>
      <c r="V753" t="s">
        <v>88</v>
      </c>
    </row>
    <row r="754" spans="9:22" ht="14.2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0.038108460507939097</v>
      </c>
      <c r="V754" t="s">
        <v>88</v>
      </c>
    </row>
    <row r="755" spans="9:22" ht="14.2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0.024629515039757733</v>
      </c>
      <c r="V755" t="s">
        <v>88</v>
      </c>
    </row>
    <row r="756" spans="9:22" ht="14.25">
      <c r="I756" t="s">
        <v>114</v>
      </c>
      <c r="J756" t="s">
        <v>194</v>
      </c>
      <c r="K756">
        <v>0.0080635740882116901</v>
      </c>
      <c r="L756" t="s">
        <v>88</v>
      </c>
      <c r="S756" t="s">
        <v>145</v>
      </c>
      <c r="T756" t="s">
        <v>194</v>
      </c>
      <c r="U756">
        <v>0.013818425654338353</v>
      </c>
      <c r="V756" t="s">
        <v>88</v>
      </c>
    </row>
    <row r="757" spans="9:22" ht="14.25">
      <c r="I757" t="s">
        <v>114</v>
      </c>
      <c r="J757" t="s">
        <v>195</v>
      </c>
      <c r="K757">
        <v>0.019238982279709337</v>
      </c>
      <c r="L757" t="s">
        <v>88</v>
      </c>
      <c r="S757" t="s">
        <v>145</v>
      </c>
      <c r="T757" t="s">
        <v>195</v>
      </c>
      <c r="U757">
        <v>0.020406998966455273</v>
      </c>
      <c r="V757" t="s">
        <v>88</v>
      </c>
    </row>
    <row r="758" spans="9:22" ht="14.2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0.003335116739960444</v>
      </c>
      <c r="V758" t="s">
        <v>88</v>
      </c>
    </row>
    <row r="759" spans="9:22" ht="14.2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0.0033122329604672075</v>
      </c>
      <c r="V759" t="s">
        <v>88</v>
      </c>
    </row>
    <row r="760" spans="9:22" ht="14.2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0.016603237325887584</v>
      </c>
      <c r="V760" t="s">
        <v>88</v>
      </c>
    </row>
    <row r="761" spans="9:22" ht="14.25">
      <c r="I761" t="s">
        <v>114</v>
      </c>
      <c r="J761" t="s">
        <v>199</v>
      </c>
      <c r="K761">
        <v>0.00032168942391322852</v>
      </c>
      <c r="L761" t="s">
        <v>88</v>
      </c>
      <c r="S761" t="s">
        <v>145</v>
      </c>
      <c r="T761" t="s">
        <v>199</v>
      </c>
      <c r="U761">
        <v>0.075885200287561808</v>
      </c>
      <c r="V761" t="s">
        <v>88</v>
      </c>
    </row>
    <row r="762" spans="9:22" ht="14.25">
      <c r="I762" t="s">
        <v>114</v>
      </c>
      <c r="J762" t="s">
        <v>200</v>
      </c>
      <c r="K762">
        <v>0.045924533067214508</v>
      </c>
      <c r="L762" t="s">
        <v>88</v>
      </c>
      <c r="S762" t="s">
        <v>145</v>
      </c>
      <c r="T762" t="s">
        <v>200</v>
      </c>
      <c r="U762">
        <v>0.043800420161036142</v>
      </c>
      <c r="V762" t="s">
        <v>88</v>
      </c>
    </row>
    <row r="763" spans="9:22" ht="14.2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0.065763150085112396</v>
      </c>
      <c r="V763" t="s">
        <v>88</v>
      </c>
    </row>
    <row r="764" spans="9:22" ht="14.25">
      <c r="I764" t="s">
        <v>114</v>
      </c>
      <c r="J764" t="s">
        <v>202</v>
      </c>
      <c r="K764">
        <v>0.0075731879699763045</v>
      </c>
      <c r="L764" t="s">
        <v>88</v>
      </c>
      <c r="S764" t="s">
        <v>145</v>
      </c>
      <c r="T764" t="s">
        <v>202</v>
      </c>
      <c r="U764">
        <v>0.010642513328365879</v>
      </c>
      <c r="V764" t="s">
        <v>88</v>
      </c>
    </row>
    <row r="765" spans="9:22" ht="14.25">
      <c r="I765" t="s">
        <v>114</v>
      </c>
      <c r="J765" t="s">
        <v>203</v>
      </c>
      <c r="K765">
        <v>0.00019658100114206033</v>
      </c>
      <c r="L765" t="s">
        <v>88</v>
      </c>
      <c r="S765" t="s">
        <v>145</v>
      </c>
      <c r="T765" t="s">
        <v>203</v>
      </c>
      <c r="U765">
        <v>0.010446637668093912</v>
      </c>
      <c r="V765" t="s">
        <v>88</v>
      </c>
    </row>
    <row r="766" spans="9:22" ht="14.2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0.052055092411284774</v>
      </c>
      <c r="V766" t="s">
        <v>88</v>
      </c>
    </row>
    <row r="767" spans="9:22" ht="14.25">
      <c r="I767" t="s">
        <v>114</v>
      </c>
      <c r="J767" t="s">
        <v>205</v>
      </c>
      <c r="K767">
        <v>0.00306498060806685</v>
      </c>
      <c r="L767" t="s">
        <v>88</v>
      </c>
      <c r="S767" t="s">
        <v>145</v>
      </c>
      <c r="T767" t="s">
        <v>205</v>
      </c>
      <c r="U767">
        <v>0.026315276721014649</v>
      </c>
      <c r="V767" t="s">
        <v>88</v>
      </c>
    </row>
    <row r="768" spans="9:22" ht="14.25">
      <c r="I768" t="s">
        <v>114</v>
      </c>
      <c r="J768" t="s">
        <v>206</v>
      </c>
      <c r="K768">
        <v>0.026736332755387216</v>
      </c>
      <c r="L768" t="s">
        <v>88</v>
      </c>
      <c r="S768" t="s">
        <v>145</v>
      </c>
      <c r="T768" t="s">
        <v>206</v>
      </c>
      <c r="U768">
        <v>0.014666923614310297</v>
      </c>
      <c r="V768" t="s">
        <v>88</v>
      </c>
    </row>
    <row r="769" spans="9:22" ht="14.25">
      <c r="I769" t="s">
        <v>114</v>
      </c>
      <c r="J769" t="s">
        <v>207</v>
      </c>
      <c r="K769">
        <v>0.051866046881593554</v>
      </c>
      <c r="L769" t="s">
        <v>88</v>
      </c>
      <c r="S769" t="s">
        <v>145</v>
      </c>
      <c r="T769" t="s">
        <v>207</v>
      </c>
      <c r="U769">
        <v>0.024691935476992818</v>
      </c>
      <c r="V769" t="s">
        <v>88</v>
      </c>
    </row>
    <row r="770" spans="9:22" ht="14.25">
      <c r="I770" t="s">
        <v>114</v>
      </c>
      <c r="J770" t="s">
        <v>208</v>
      </c>
      <c r="K770">
        <v>0.0052342202025962526</v>
      </c>
      <c r="L770" t="s">
        <v>88</v>
      </c>
      <c r="S770" t="s">
        <v>145</v>
      </c>
      <c r="T770" t="s">
        <v>208</v>
      </c>
      <c r="U770">
        <v>0.0041086393299131279</v>
      </c>
      <c r="V770" t="s">
        <v>88</v>
      </c>
    </row>
    <row r="771" spans="9:22" ht="14.25">
      <c r="I771" t="s">
        <v>114</v>
      </c>
      <c r="J771" t="s">
        <v>209</v>
      </c>
      <c r="K771">
        <v>0.0032420761411008584</v>
      </c>
      <c r="L771" t="s">
        <v>88</v>
      </c>
      <c r="S771" t="s">
        <v>145</v>
      </c>
      <c r="T771" t="s">
        <v>209</v>
      </c>
      <c r="U771">
        <v>0.0040624053825827917</v>
      </c>
      <c r="V771" t="s">
        <v>88</v>
      </c>
    </row>
    <row r="772" spans="9:22" ht="14.2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0.019603126405268755</v>
      </c>
      <c r="V772" t="s">
        <v>88</v>
      </c>
    </row>
    <row r="773" spans="9:22" ht="14.25">
      <c r="I773" t="s">
        <v>114</v>
      </c>
      <c r="J773" t="s">
        <v>211</v>
      </c>
      <c r="K773">
        <v>0.01807425184029721</v>
      </c>
      <c r="L773" t="s">
        <v>88</v>
      </c>
      <c r="S773" t="s">
        <v>145</v>
      </c>
      <c r="T773" t="s">
        <v>211</v>
      </c>
      <c r="U773">
        <v>0.045313382338302649</v>
      </c>
      <c r="V773" t="s">
        <v>88</v>
      </c>
    </row>
    <row r="774" spans="9:22" ht="14.25">
      <c r="I774" t="s">
        <v>114</v>
      </c>
      <c r="J774" t="s">
        <v>212</v>
      </c>
      <c r="K774">
        <v>0.081092223235852745</v>
      </c>
      <c r="L774" t="s">
        <v>88</v>
      </c>
      <c r="S774" t="s">
        <v>145</v>
      </c>
      <c r="T774" t="s">
        <v>212</v>
      </c>
      <c r="U774">
        <v>0.024709814801712124</v>
      </c>
      <c r="V774" t="s">
        <v>88</v>
      </c>
    </row>
    <row r="775" spans="9:22" ht="14.2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0.037093015008160216</v>
      </c>
      <c r="V775" t="s">
        <v>88</v>
      </c>
    </row>
    <row r="776" spans="9:22" ht="14.25">
      <c r="I776" t="s">
        <v>114</v>
      </c>
      <c r="J776" t="s">
        <v>214</v>
      </c>
      <c r="K776">
        <v>0.016304642025242368</v>
      </c>
      <c r="L776" t="s">
        <v>88</v>
      </c>
      <c r="S776" t="s">
        <v>145</v>
      </c>
      <c r="T776" t="s">
        <v>214</v>
      </c>
      <c r="U776">
        <v>0.0061185806654995931</v>
      </c>
      <c r="V776" t="s">
        <v>88</v>
      </c>
    </row>
    <row r="777" spans="9:22" ht="14.25">
      <c r="I777" t="s">
        <v>114</v>
      </c>
      <c r="J777" t="s">
        <v>215</v>
      </c>
      <c r="K777">
        <v>0.012112531386220092</v>
      </c>
      <c r="L777" t="s">
        <v>88</v>
      </c>
      <c r="S777" t="s">
        <v>145</v>
      </c>
      <c r="T777" t="s">
        <v>215</v>
      </c>
      <c r="U777">
        <v>0.0060740817796130489</v>
      </c>
      <c r="V777" t="s">
        <v>88</v>
      </c>
    </row>
    <row r="778" spans="9:22" ht="14.25">
      <c r="I778" t="s">
        <v>114</v>
      </c>
      <c r="J778" t="s">
        <v>216</v>
      </c>
      <c r="K778">
        <v>0.0052495760210720917</v>
      </c>
      <c r="L778" t="s">
        <v>88</v>
      </c>
      <c r="S778" t="s">
        <v>145</v>
      </c>
      <c r="T778" t="s">
        <v>216</v>
      </c>
      <c r="U778">
        <v>0.0304621828890838</v>
      </c>
      <c r="V778" t="s">
        <v>88</v>
      </c>
    </row>
    <row r="779" spans="19:22" ht="14.25">
      <c r="S779" t="s">
        <v>146</v>
      </c>
      <c r="T779" t="s">
        <v>87</v>
      </c>
      <c r="U779">
        <v>0.025474533656326737</v>
      </c>
      <c r="V779" t="s">
        <v>88</v>
      </c>
    </row>
    <row r="780" spans="19:22" ht="14.25">
      <c r="S780" t="s">
        <v>146</v>
      </c>
      <c r="T780" t="s">
        <v>89</v>
      </c>
      <c r="U780">
        <v>0.01446509170484573</v>
      </c>
      <c r="V780" t="s">
        <v>88</v>
      </c>
    </row>
    <row r="781" spans="19:22" ht="14.25">
      <c r="S781" t="s">
        <v>146</v>
      </c>
      <c r="T781" t="s">
        <v>90</v>
      </c>
      <c r="U781">
        <v>0.022108148148490998</v>
      </c>
      <c r="V781" t="s">
        <v>88</v>
      </c>
    </row>
    <row r="782" spans="19:22" ht="14.25">
      <c r="S782" t="s">
        <v>146</v>
      </c>
      <c r="T782" t="s">
        <v>181</v>
      </c>
      <c r="U782">
        <v>0.0036276462248489953</v>
      </c>
      <c r="V782" t="s">
        <v>88</v>
      </c>
    </row>
    <row r="783" spans="19:22" ht="14.25">
      <c r="S783" t="s">
        <v>146</v>
      </c>
      <c r="T783" t="s">
        <v>182</v>
      </c>
      <c r="U783">
        <v>0.0035919023529771832</v>
      </c>
      <c r="V783" t="s">
        <v>88</v>
      </c>
    </row>
    <row r="784" spans="19:22" ht="14.25">
      <c r="S784" t="s">
        <v>146</v>
      </c>
      <c r="T784" t="s">
        <v>183</v>
      </c>
      <c r="U784">
        <v>0.017619581837715524</v>
      </c>
      <c r="V784" t="s">
        <v>88</v>
      </c>
    </row>
    <row r="785" spans="19:22" ht="14.25">
      <c r="S785" t="s">
        <v>146</v>
      </c>
      <c r="T785" t="s">
        <v>91</v>
      </c>
      <c r="U785">
        <v>0.024116301113774399</v>
      </c>
      <c r="V785" t="s">
        <v>88</v>
      </c>
    </row>
    <row r="786" spans="19:22" ht="14.25">
      <c r="S786" t="s">
        <v>146</v>
      </c>
      <c r="T786" t="s">
        <v>92</v>
      </c>
      <c r="U786">
        <v>0.012862471464152852</v>
      </c>
      <c r="V786" t="s">
        <v>88</v>
      </c>
    </row>
    <row r="787" spans="19:22" ht="14.25">
      <c r="S787" t="s">
        <v>146</v>
      </c>
      <c r="T787" t="s">
        <v>93</v>
      </c>
      <c r="U787">
        <v>0.020707293885964952</v>
      </c>
      <c r="V787" t="s">
        <v>88</v>
      </c>
    </row>
    <row r="788" spans="19:22" ht="14.25">
      <c r="S788" t="s">
        <v>146</v>
      </c>
      <c r="T788" t="s">
        <v>184</v>
      </c>
      <c r="U788">
        <v>0.003581219431081719</v>
      </c>
      <c r="V788" t="s">
        <v>88</v>
      </c>
    </row>
    <row r="789" spans="19:22" ht="14.25">
      <c r="S789" t="s">
        <v>146</v>
      </c>
      <c r="T789" t="s">
        <v>185</v>
      </c>
      <c r="U789">
        <v>0.0035952867323020212</v>
      </c>
      <c r="V789" t="s">
        <v>88</v>
      </c>
    </row>
    <row r="790" spans="19:22" ht="14.25">
      <c r="S790" t="s">
        <v>146</v>
      </c>
      <c r="T790" t="s">
        <v>186</v>
      </c>
      <c r="U790">
        <v>0.017606775945335832</v>
      </c>
      <c r="V790" t="s">
        <v>88</v>
      </c>
    </row>
    <row r="791" spans="19:22" ht="14.25">
      <c r="S791" t="s">
        <v>146</v>
      </c>
      <c r="T791" t="s">
        <v>94</v>
      </c>
      <c r="U791">
        <v>0.022524741987755205</v>
      </c>
      <c r="V791" t="s">
        <v>88</v>
      </c>
    </row>
    <row r="792" spans="19:22" ht="14.25">
      <c r="S792" t="s">
        <v>146</v>
      </c>
      <c r="T792" t="s">
        <v>95</v>
      </c>
      <c r="U792">
        <v>0.013226460414293763</v>
      </c>
      <c r="V792" t="s">
        <v>88</v>
      </c>
    </row>
    <row r="793" spans="19:22" ht="14.25">
      <c r="S793" t="s">
        <v>146</v>
      </c>
      <c r="T793" t="s">
        <v>96</v>
      </c>
      <c r="U793">
        <v>0.021263933707765234</v>
      </c>
      <c r="V793" t="s">
        <v>88</v>
      </c>
    </row>
    <row r="794" spans="19:22" ht="14.25">
      <c r="S794" t="s">
        <v>146</v>
      </c>
      <c r="T794" t="s">
        <v>187</v>
      </c>
      <c r="U794">
        <v>0.0034844936430500203</v>
      </c>
      <c r="V794" t="s">
        <v>88</v>
      </c>
    </row>
    <row r="795" spans="19:22" ht="14.25">
      <c r="S795" t="s">
        <v>146</v>
      </c>
      <c r="T795" t="s">
        <v>188</v>
      </c>
      <c r="U795">
        <v>0.0034085558118525216</v>
      </c>
      <c r="V795" t="s">
        <v>88</v>
      </c>
    </row>
    <row r="796" spans="19:22" ht="14.25">
      <c r="S796" t="s">
        <v>146</v>
      </c>
      <c r="T796" t="s">
        <v>189</v>
      </c>
      <c r="U796">
        <v>0.016040793818139224</v>
      </c>
      <c r="V796" t="s">
        <v>88</v>
      </c>
    </row>
    <row r="797" spans="19:22" ht="14.25">
      <c r="S797" t="s">
        <v>146</v>
      </c>
      <c r="T797" t="s">
        <v>97</v>
      </c>
      <c r="U797">
        <v>0.047346312025611549</v>
      </c>
      <c r="V797" t="s">
        <v>88</v>
      </c>
    </row>
    <row r="798" spans="19:22" ht="14.25">
      <c r="S798" t="s">
        <v>146</v>
      </c>
      <c r="T798" t="s">
        <v>98</v>
      </c>
      <c r="U798">
        <v>0.026190776937151369</v>
      </c>
      <c r="V798" t="s">
        <v>88</v>
      </c>
    </row>
    <row r="799" spans="19:22" ht="14.25">
      <c r="S799" t="s">
        <v>146</v>
      </c>
      <c r="T799" t="s">
        <v>99</v>
      </c>
      <c r="U799">
        <v>0.040143045279265994</v>
      </c>
      <c r="V799" t="s">
        <v>88</v>
      </c>
    </row>
    <row r="800" spans="19:22" ht="14.25">
      <c r="S800" t="s">
        <v>146</v>
      </c>
      <c r="T800" t="s">
        <v>190</v>
      </c>
      <c r="U800">
        <v>0.0067968966548542439</v>
      </c>
      <c r="V800" t="s">
        <v>88</v>
      </c>
    </row>
    <row r="801" spans="19:22" ht="14.25">
      <c r="S801" t="s">
        <v>146</v>
      </c>
      <c r="T801" t="s">
        <v>191</v>
      </c>
      <c r="U801">
        <v>0.0067260586403772278</v>
      </c>
      <c r="V801" t="s">
        <v>88</v>
      </c>
    </row>
    <row r="802" spans="19:22" ht="14.25">
      <c r="S802" t="s">
        <v>146</v>
      </c>
      <c r="T802" t="s">
        <v>192</v>
      </c>
      <c r="U802">
        <v>0.033040604883288395</v>
      </c>
      <c r="V802" t="s">
        <v>88</v>
      </c>
    </row>
    <row r="803" spans="19:22" ht="14.25">
      <c r="S803" t="s">
        <v>146</v>
      </c>
      <c r="T803" t="s">
        <v>193</v>
      </c>
      <c r="U803">
        <v>0.022219546563863771</v>
      </c>
      <c r="V803" t="s">
        <v>88</v>
      </c>
    </row>
    <row r="804" spans="19:22" ht="14.25">
      <c r="S804" t="s">
        <v>146</v>
      </c>
      <c r="T804" t="s">
        <v>194</v>
      </c>
      <c r="U804">
        <v>0.012598240814496349</v>
      </c>
      <c r="V804" t="s">
        <v>88</v>
      </c>
    </row>
    <row r="805" spans="19:22" ht="14.25">
      <c r="S805" t="s">
        <v>146</v>
      </c>
      <c r="T805" t="s">
        <v>195</v>
      </c>
      <c r="U805">
        <v>0.01947784970253396</v>
      </c>
      <c r="V805" t="s">
        <v>88</v>
      </c>
    </row>
    <row r="806" spans="19:22" ht="14.25">
      <c r="S806" t="s">
        <v>146</v>
      </c>
      <c r="T806" t="s">
        <v>196</v>
      </c>
      <c r="U806">
        <v>0.0032532471979627941</v>
      </c>
      <c r="V806" t="s">
        <v>88</v>
      </c>
    </row>
    <row r="807" spans="19:22" ht="14.25">
      <c r="S807" t="s">
        <v>146</v>
      </c>
      <c r="T807" t="s">
        <v>197</v>
      </c>
      <c r="U807">
        <v>0.0032476699625790745</v>
      </c>
      <c r="V807" t="s">
        <v>88</v>
      </c>
    </row>
    <row r="808" spans="19:22" ht="14.25">
      <c r="S808" t="s">
        <v>146</v>
      </c>
      <c r="T808" t="s">
        <v>198</v>
      </c>
      <c r="U808">
        <v>0.016157881896379296</v>
      </c>
      <c r="V808" t="s">
        <v>88</v>
      </c>
    </row>
    <row r="809" spans="19:22" ht="14.25">
      <c r="S809" t="s">
        <v>146</v>
      </c>
      <c r="T809" t="s">
        <v>199</v>
      </c>
      <c r="U809">
        <v>0.077780566464727335</v>
      </c>
      <c r="V809" t="s">
        <v>88</v>
      </c>
    </row>
    <row r="810" spans="19:22" ht="14.25">
      <c r="S810" t="s">
        <v>146</v>
      </c>
      <c r="T810" t="s">
        <v>200</v>
      </c>
      <c r="U810">
        <v>0.043925204997596272</v>
      </c>
      <c r="V810" t="s">
        <v>88</v>
      </c>
    </row>
    <row r="811" spans="19:22" ht="14.25">
      <c r="S811" t="s">
        <v>146</v>
      </c>
      <c r="T811" t="s">
        <v>201</v>
      </c>
      <c r="U811">
        <v>0.064706321550345641</v>
      </c>
      <c r="V811" t="s">
        <v>88</v>
      </c>
    </row>
    <row r="812" spans="19:22" ht="14.25">
      <c r="S812" t="s">
        <v>146</v>
      </c>
      <c r="T812" t="s">
        <v>202</v>
      </c>
      <c r="U812">
        <v>0.010657527093996109</v>
      </c>
      <c r="V812" t="s">
        <v>88</v>
      </c>
    </row>
    <row r="813" spans="19:22" ht="14.25">
      <c r="S813" t="s">
        <v>146</v>
      </c>
      <c r="T813" t="s">
        <v>203</v>
      </c>
      <c r="U813">
        <v>0.010647354744786343</v>
      </c>
      <c r="V813" t="s">
        <v>88</v>
      </c>
    </row>
    <row r="814" spans="19:22" ht="14.25">
      <c r="S814" t="s">
        <v>146</v>
      </c>
      <c r="T814" t="s">
        <v>204</v>
      </c>
      <c r="U814">
        <v>0.053402394787907925</v>
      </c>
      <c r="V814" t="s">
        <v>88</v>
      </c>
    </row>
    <row r="815" spans="19:22" ht="14.25">
      <c r="S815" t="s">
        <v>146</v>
      </c>
      <c r="T815" t="s">
        <v>205</v>
      </c>
      <c r="U815">
        <v>0.028463567093822424</v>
      </c>
      <c r="V815" t="s">
        <v>88</v>
      </c>
    </row>
    <row r="816" spans="19:22" ht="14.25">
      <c r="S816" t="s">
        <v>146</v>
      </c>
      <c r="T816" t="s">
        <v>206</v>
      </c>
      <c r="U816">
        <v>0.016626311595202094</v>
      </c>
      <c r="V816" t="s">
        <v>88</v>
      </c>
    </row>
    <row r="817" spans="19:22" ht="14.25">
      <c r="S817" t="s">
        <v>146</v>
      </c>
      <c r="T817" t="s">
        <v>207</v>
      </c>
      <c r="U817">
        <v>0.024142573301363966</v>
      </c>
      <c r="V817" t="s">
        <v>88</v>
      </c>
    </row>
    <row r="818" spans="19:22" ht="14.25">
      <c r="S818" t="s">
        <v>146</v>
      </c>
      <c r="T818" t="s">
        <v>208</v>
      </c>
      <c r="U818">
        <v>0.0038404498421867974</v>
      </c>
      <c r="V818" t="s">
        <v>88</v>
      </c>
    </row>
    <row r="819" spans="19:22" ht="14.25">
      <c r="S819" t="s">
        <v>146</v>
      </c>
      <c r="T819" t="s">
        <v>209</v>
      </c>
      <c r="U819">
        <v>0.003763499479296929</v>
      </c>
      <c r="V819" t="s">
        <v>88</v>
      </c>
    </row>
    <row r="820" spans="19:22" ht="14.25">
      <c r="S820" t="s">
        <v>146</v>
      </c>
      <c r="T820" t="s">
        <v>210</v>
      </c>
      <c r="U820">
        <v>0.019678129627018974</v>
      </c>
      <c r="V820" t="s">
        <v>88</v>
      </c>
    </row>
    <row r="821" spans="19:22" ht="14.25">
      <c r="S821" t="s">
        <v>146</v>
      </c>
      <c r="T821" t="s">
        <v>211</v>
      </c>
      <c r="U821">
        <v>0.045546417605074524</v>
      </c>
      <c r="V821" t="s">
        <v>88</v>
      </c>
    </row>
    <row r="822" spans="19:22" ht="14.25">
      <c r="S822" t="s">
        <v>146</v>
      </c>
      <c r="T822" t="s">
        <v>212</v>
      </c>
      <c r="U822">
        <v>0.026512339357207246</v>
      </c>
      <c r="V822" t="s">
        <v>88</v>
      </c>
    </row>
    <row r="823" spans="19:22" ht="14.25">
      <c r="S823" t="s">
        <v>146</v>
      </c>
      <c r="T823" t="s">
        <v>213</v>
      </c>
      <c r="U823">
        <v>0.04001562933343545</v>
      </c>
      <c r="V823" t="s">
        <v>88</v>
      </c>
    </row>
    <row r="824" spans="19:22" ht="14.25">
      <c r="S824" t="s">
        <v>146</v>
      </c>
      <c r="T824" t="s">
        <v>214</v>
      </c>
      <c r="U824">
        <v>0.0063482290239490749</v>
      </c>
      <c r="V824" t="s">
        <v>88</v>
      </c>
    </row>
    <row r="825" spans="19:22" ht="14.25">
      <c r="S825" t="s">
        <v>146</v>
      </c>
      <c r="T825" t="s">
        <v>215</v>
      </c>
      <c r="U825">
        <v>0.006250097531876918</v>
      </c>
      <c r="V825" t="s">
        <v>88</v>
      </c>
    </row>
    <row r="826" spans="19:22" ht="14.25">
      <c r="S826" t="s">
        <v>146</v>
      </c>
      <c r="T826" t="s">
        <v>216</v>
      </c>
      <c r="U826">
        <v>0.031190024131170658</v>
      </c>
      <c r="V826" t="s">
        <v>88</v>
      </c>
    </row>
    <row r="827" spans="19:22" ht="14.25">
      <c r="S827" t="s">
        <v>147</v>
      </c>
      <c r="T827" t="s">
        <v>87</v>
      </c>
      <c r="U827">
        <v>0.02494529071906158</v>
      </c>
      <c r="V827" t="s">
        <v>88</v>
      </c>
    </row>
    <row r="828" spans="19:22" ht="14.25">
      <c r="S828" t="s">
        <v>147</v>
      </c>
      <c r="T828" t="s">
        <v>89</v>
      </c>
      <c r="U828">
        <v>0.01429684395232156</v>
      </c>
      <c r="V828" t="s">
        <v>88</v>
      </c>
    </row>
    <row r="829" spans="19:22" ht="14.25">
      <c r="S829" t="s">
        <v>147</v>
      </c>
      <c r="T829" t="s">
        <v>90</v>
      </c>
      <c r="U829">
        <v>0.022076260671397712</v>
      </c>
      <c r="V829" t="s">
        <v>88</v>
      </c>
    </row>
    <row r="830" spans="19:22" ht="14.25">
      <c r="S830" t="s">
        <v>147</v>
      </c>
      <c r="T830" t="s">
        <v>181</v>
      </c>
      <c r="U830">
        <v>0.0036290267979997826</v>
      </c>
      <c r="V830" t="s">
        <v>88</v>
      </c>
    </row>
    <row r="831" spans="19:22" ht="14.25">
      <c r="S831" t="s">
        <v>147</v>
      </c>
      <c r="T831" t="s">
        <v>182</v>
      </c>
      <c r="U831">
        <v>0.0036240687181689811</v>
      </c>
      <c r="V831" t="s">
        <v>88</v>
      </c>
    </row>
    <row r="832" spans="19:22" ht="14.25">
      <c r="S832" t="s">
        <v>147</v>
      </c>
      <c r="T832" t="s">
        <v>183</v>
      </c>
      <c r="U832">
        <v>0.01778903103010878</v>
      </c>
      <c r="V832" t="s">
        <v>88</v>
      </c>
    </row>
    <row r="833" spans="19:22" ht="14.25">
      <c r="S833" t="s">
        <v>147</v>
      </c>
      <c r="T833" t="s">
        <v>91</v>
      </c>
      <c r="U833">
        <v>0.023529503964305719</v>
      </c>
      <c r="V833" t="s">
        <v>88</v>
      </c>
    </row>
    <row r="834" spans="19:22" ht="14.25">
      <c r="S834" t="s">
        <v>147</v>
      </c>
      <c r="T834" t="s">
        <v>92</v>
      </c>
      <c r="U834">
        <v>0.012296469893046173</v>
      </c>
      <c r="V834" t="s">
        <v>88</v>
      </c>
    </row>
    <row r="835" spans="19:22" ht="14.25">
      <c r="S835" t="s">
        <v>147</v>
      </c>
      <c r="T835" t="s">
        <v>93</v>
      </c>
      <c r="U835">
        <v>0.020537739519580073</v>
      </c>
      <c r="V835" t="s">
        <v>88</v>
      </c>
    </row>
    <row r="836" spans="19:22" ht="14.25">
      <c r="S836" t="s">
        <v>147</v>
      </c>
      <c r="T836" t="s">
        <v>184</v>
      </c>
      <c r="U836">
        <v>0.0036045082862512655</v>
      </c>
      <c r="V836" t="s">
        <v>88</v>
      </c>
    </row>
    <row r="837" spans="19:22" ht="14.25">
      <c r="S837" t="s">
        <v>147</v>
      </c>
      <c r="T837" t="s">
        <v>185</v>
      </c>
      <c r="U837">
        <v>0.0036084910512459377</v>
      </c>
      <c r="V837" t="s">
        <v>88</v>
      </c>
    </row>
    <row r="838" spans="19:22" ht="14.25">
      <c r="S838" t="s">
        <v>147</v>
      </c>
      <c r="T838" t="s">
        <v>186</v>
      </c>
      <c r="U838">
        <v>0.017555802738446129</v>
      </c>
      <c r="V838" t="s">
        <v>88</v>
      </c>
    </row>
    <row r="839" spans="19:22" ht="14.25">
      <c r="S839" t="s">
        <v>147</v>
      </c>
      <c r="T839" t="s">
        <v>94</v>
      </c>
      <c r="U839">
        <v>0.024831204217913322</v>
      </c>
      <c r="V839" t="s">
        <v>88</v>
      </c>
    </row>
    <row r="840" spans="19:22" ht="14.25">
      <c r="S840" t="s">
        <v>147</v>
      </c>
      <c r="T840" t="s">
        <v>95</v>
      </c>
      <c r="U840">
        <v>0.014150826278015782</v>
      </c>
      <c r="V840" t="s">
        <v>88</v>
      </c>
    </row>
    <row r="841" spans="19:22" ht="14.25">
      <c r="S841" t="s">
        <v>147</v>
      </c>
      <c r="T841" t="s">
        <v>96</v>
      </c>
      <c r="U841">
        <v>0.022637954747045143</v>
      </c>
      <c r="V841" t="s">
        <v>88</v>
      </c>
    </row>
    <row r="842" spans="19:22" ht="14.25">
      <c r="S842" t="s">
        <v>147</v>
      </c>
      <c r="T842" t="s">
        <v>187</v>
      </c>
      <c r="U842">
        <v>0.0038046097647571218</v>
      </c>
      <c r="V842" t="s">
        <v>88</v>
      </c>
    </row>
    <row r="843" spans="19:22" ht="14.25">
      <c r="S843" t="s">
        <v>147</v>
      </c>
      <c r="T843" t="s">
        <v>188</v>
      </c>
      <c r="U843">
        <v>0.0037740599231396448</v>
      </c>
      <c r="V843" t="s">
        <v>88</v>
      </c>
    </row>
    <row r="844" spans="19:22" ht="14.25">
      <c r="S844" t="s">
        <v>147</v>
      </c>
      <c r="T844" t="s">
        <v>189</v>
      </c>
      <c r="U844">
        <v>0.018254511517809689</v>
      </c>
      <c r="V844" t="s">
        <v>88</v>
      </c>
    </row>
    <row r="845" spans="19:22" ht="14.25">
      <c r="S845" t="s">
        <v>147</v>
      </c>
      <c r="T845" t="s">
        <v>97</v>
      </c>
      <c r="U845">
        <v>0.046837301191992885</v>
      </c>
      <c r="V845" t="s">
        <v>88</v>
      </c>
    </row>
    <row r="846" spans="19:22" ht="14.25">
      <c r="S846" t="s">
        <v>147</v>
      </c>
      <c r="T846" t="s">
        <v>98</v>
      </c>
      <c r="U846">
        <v>0.02709882809992694</v>
      </c>
      <c r="V846" t="s">
        <v>88</v>
      </c>
    </row>
    <row r="847" spans="19:22" ht="14.25">
      <c r="S847" t="s">
        <v>147</v>
      </c>
      <c r="T847" t="s">
        <v>99</v>
      </c>
      <c r="U847">
        <v>0.040401637310593437</v>
      </c>
      <c r="V847" t="s">
        <v>88</v>
      </c>
    </row>
    <row r="848" spans="19:22" ht="14.25">
      <c r="S848" t="s">
        <v>147</v>
      </c>
      <c r="T848" t="s">
        <v>190</v>
      </c>
      <c r="U848">
        <v>0.0067679910789795704</v>
      </c>
      <c r="V848" t="s">
        <v>88</v>
      </c>
    </row>
    <row r="849" spans="19:22" ht="14.25">
      <c r="S849" t="s">
        <v>147</v>
      </c>
      <c r="T849" t="s">
        <v>191</v>
      </c>
      <c r="U849">
        <v>0.0067580266839377132</v>
      </c>
      <c r="V849" t="s">
        <v>88</v>
      </c>
    </row>
    <row r="850" spans="19:22" ht="14.25">
      <c r="S850" t="s">
        <v>147</v>
      </c>
      <c r="T850" t="s">
        <v>192</v>
      </c>
      <c r="U850">
        <v>0.033303829513806692</v>
      </c>
      <c r="V850" t="s">
        <v>88</v>
      </c>
    </row>
    <row r="851" spans="19:22" ht="14.25">
      <c r="S851" t="s">
        <v>147</v>
      </c>
      <c r="T851" t="s">
        <v>193</v>
      </c>
      <c r="U851">
        <v>0.023784322694969013</v>
      </c>
      <c r="V851" t="s">
        <v>88</v>
      </c>
    </row>
    <row r="852" spans="19:22" ht="14.25">
      <c r="S852" t="s">
        <v>147</v>
      </c>
      <c r="T852" t="s">
        <v>194</v>
      </c>
      <c r="U852">
        <v>0.013051614619414672</v>
      </c>
      <c r="V852" t="s">
        <v>88</v>
      </c>
    </row>
    <row r="853" spans="19:22" ht="14.25">
      <c r="S853" t="s">
        <v>147</v>
      </c>
      <c r="T853" t="s">
        <v>195</v>
      </c>
      <c r="U853">
        <v>0.020325345599466874</v>
      </c>
      <c r="V853" t="s">
        <v>88</v>
      </c>
    </row>
    <row r="854" spans="19:22" ht="14.25">
      <c r="S854" t="s">
        <v>147</v>
      </c>
      <c r="T854" t="s">
        <v>196</v>
      </c>
      <c r="U854">
        <v>0.0033359392191194925</v>
      </c>
      <c r="V854" t="s">
        <v>88</v>
      </c>
    </row>
    <row r="855" spans="19:22" ht="14.25">
      <c r="S855" t="s">
        <v>147</v>
      </c>
      <c r="T855" t="s">
        <v>197</v>
      </c>
      <c r="U855">
        <v>0.0033020885812982941</v>
      </c>
      <c r="V855" t="s">
        <v>88</v>
      </c>
    </row>
    <row r="856" spans="19:22" ht="14.25">
      <c r="S856" t="s">
        <v>147</v>
      </c>
      <c r="T856" t="s">
        <v>198</v>
      </c>
      <c r="U856">
        <v>0.016538879663990549</v>
      </c>
      <c r="V856" t="s">
        <v>88</v>
      </c>
    </row>
    <row r="857" spans="19:22" ht="14.25">
      <c r="S857" t="s">
        <v>147</v>
      </c>
      <c r="T857" t="s">
        <v>199</v>
      </c>
      <c r="U857">
        <v>0.074003240729370687</v>
      </c>
      <c r="V857" t="s">
        <v>88</v>
      </c>
    </row>
    <row r="858" spans="19:22" ht="14.25">
      <c r="S858" t="s">
        <v>147</v>
      </c>
      <c r="T858" t="s">
        <v>200</v>
      </c>
      <c r="U858">
        <v>0.043085957611343054</v>
      </c>
      <c r="V858" t="s">
        <v>88</v>
      </c>
    </row>
    <row r="859" spans="19:22" ht="14.25">
      <c r="S859" t="s">
        <v>147</v>
      </c>
      <c r="T859" t="s">
        <v>201</v>
      </c>
      <c r="U859">
        <v>0.065661877903786831</v>
      </c>
      <c r="V859" t="s">
        <v>88</v>
      </c>
    </row>
    <row r="860" spans="19:22" ht="14.25">
      <c r="S860" t="s">
        <v>147</v>
      </c>
      <c r="T860" t="s">
        <v>202</v>
      </c>
      <c r="U860">
        <v>0.01070656124417497</v>
      </c>
      <c r="V860" t="s">
        <v>88</v>
      </c>
    </row>
    <row r="861" spans="19:22" ht="14.25">
      <c r="S861" t="s">
        <v>147</v>
      </c>
      <c r="T861" t="s">
        <v>203</v>
      </c>
      <c r="U861">
        <v>0.010648005431450421</v>
      </c>
      <c r="V861" t="s">
        <v>88</v>
      </c>
    </row>
    <row r="862" spans="19:22" ht="14.25">
      <c r="S862" t="s">
        <v>147</v>
      </c>
      <c r="T862" t="s">
        <v>204</v>
      </c>
      <c r="U862">
        <v>0.053094014331746771</v>
      </c>
      <c r="V862" t="s">
        <v>88</v>
      </c>
    </row>
    <row r="863" spans="19:22" ht="14.25">
      <c r="S863" t="s">
        <v>147</v>
      </c>
      <c r="T863" t="s">
        <v>205</v>
      </c>
      <c r="U863">
        <v>0.026714886376334596</v>
      </c>
      <c r="V863" t="s">
        <v>88</v>
      </c>
    </row>
    <row r="864" spans="19:22" ht="14.25">
      <c r="S864" t="s">
        <v>147</v>
      </c>
      <c r="T864" t="s">
        <v>206</v>
      </c>
      <c r="U864">
        <v>0.015289791757576991</v>
      </c>
      <c r="V864" t="s">
        <v>88</v>
      </c>
    </row>
    <row r="865" spans="19:22" ht="14.25">
      <c r="S865" t="s">
        <v>147</v>
      </c>
      <c r="T865" t="s">
        <v>207</v>
      </c>
      <c r="U865">
        <v>0.024116155073442058</v>
      </c>
      <c r="V865" t="s">
        <v>88</v>
      </c>
    </row>
    <row r="866" spans="19:22" ht="14.25">
      <c r="S866" t="s">
        <v>147</v>
      </c>
      <c r="T866" t="s">
        <v>208</v>
      </c>
      <c r="U866">
        <v>0.0039700400205181785</v>
      </c>
      <c r="V866" t="s">
        <v>88</v>
      </c>
    </row>
    <row r="867" spans="19:22" ht="14.25">
      <c r="S867" t="s">
        <v>147</v>
      </c>
      <c r="T867" t="s">
        <v>209</v>
      </c>
      <c r="U867">
        <v>0.0038837644902701188</v>
      </c>
      <c r="V867" t="s">
        <v>88</v>
      </c>
    </row>
    <row r="868" spans="19:22" ht="14.25">
      <c r="S868" t="s">
        <v>147</v>
      </c>
      <c r="T868" t="s">
        <v>210</v>
      </c>
      <c r="U868">
        <v>0.019158824475787917</v>
      </c>
      <c r="V868" t="s">
        <v>88</v>
      </c>
    </row>
    <row r="869" spans="19:22" ht="14.25">
      <c r="S869" t="s">
        <v>147</v>
      </c>
      <c r="T869" t="s">
        <v>211</v>
      </c>
      <c r="U869">
        <v>0.042942925342579236</v>
      </c>
      <c r="V869" t="s">
        <v>88</v>
      </c>
    </row>
    <row r="870" spans="19:22" ht="14.25">
      <c r="S870" t="s">
        <v>147</v>
      </c>
      <c r="T870" t="s">
        <v>212</v>
      </c>
      <c r="U870">
        <v>0.02575632851398146</v>
      </c>
      <c r="V870" t="s">
        <v>88</v>
      </c>
    </row>
    <row r="871" spans="19:22" ht="14.25">
      <c r="S871" t="s">
        <v>147</v>
      </c>
      <c r="T871" t="s">
        <v>213</v>
      </c>
      <c r="U871">
        <v>0.040524441988641684</v>
      </c>
      <c r="V871" t="s">
        <v>88</v>
      </c>
    </row>
    <row r="872" spans="19:22" ht="14.25">
      <c r="S872" t="s">
        <v>147</v>
      </c>
      <c r="T872" t="s">
        <v>214</v>
      </c>
      <c r="U872">
        <v>0.0065172290902900318</v>
      </c>
      <c r="V872" t="s">
        <v>88</v>
      </c>
    </row>
    <row r="873" spans="19:22" ht="14.25">
      <c r="S873" t="s">
        <v>147</v>
      </c>
      <c r="T873" t="s">
        <v>215</v>
      </c>
      <c r="U873">
        <v>0.0063918429727519771</v>
      </c>
      <c r="V873" t="s">
        <v>88</v>
      </c>
    </row>
    <row r="874" spans="19:22" ht="14.25">
      <c r="S874" t="s">
        <v>147</v>
      </c>
      <c r="T874" t="s">
        <v>216</v>
      </c>
      <c r="U874">
        <v>0.03108210459784164</v>
      </c>
      <c r="V874" t="s">
        <v>88</v>
      </c>
    </row>
    <row r="875" spans="19:22" ht="14.25">
      <c r="S875" t="s">
        <v>148</v>
      </c>
      <c r="T875" t="s">
        <v>87</v>
      </c>
      <c r="U875">
        <v>0.024508498066552468</v>
      </c>
      <c r="V875" t="s">
        <v>88</v>
      </c>
    </row>
    <row r="876" spans="19:22" ht="14.25">
      <c r="S876" t="s">
        <v>148</v>
      </c>
      <c r="T876" t="s">
        <v>89</v>
      </c>
      <c r="U876">
        <v>0.014190892395366654</v>
      </c>
      <c r="V876" t="s">
        <v>88</v>
      </c>
    </row>
    <row r="877" spans="19:22" ht="14.25">
      <c r="S877" t="s">
        <v>148</v>
      </c>
      <c r="T877" t="s">
        <v>90</v>
      </c>
      <c r="U877">
        <v>0.022099047509457809</v>
      </c>
      <c r="V877" t="s">
        <v>88</v>
      </c>
    </row>
    <row r="878" spans="19:22" ht="14.25">
      <c r="S878" t="s">
        <v>148</v>
      </c>
      <c r="T878" t="s">
        <v>181</v>
      </c>
      <c r="U878">
        <v>0.0036471070697605946</v>
      </c>
      <c r="V878" t="s">
        <v>88</v>
      </c>
    </row>
    <row r="879" spans="19:22" ht="14.25">
      <c r="S879" t="s">
        <v>148</v>
      </c>
      <c r="T879" t="s">
        <v>182</v>
      </c>
      <c r="U879">
        <v>0.0036145609851626656</v>
      </c>
      <c r="V879" t="s">
        <v>88</v>
      </c>
    </row>
    <row r="880" spans="19:22" ht="14.25">
      <c r="S880" t="s">
        <v>148</v>
      </c>
      <c r="T880" t="s">
        <v>183</v>
      </c>
      <c r="U880">
        <v>0.017672472913422839</v>
      </c>
      <c r="V880" t="s">
        <v>88</v>
      </c>
    </row>
    <row r="881" spans="19:22" ht="14.25">
      <c r="S881" t="s">
        <v>148</v>
      </c>
      <c r="T881" t="s">
        <v>91</v>
      </c>
      <c r="U881">
        <v>0.023064599619820249</v>
      </c>
      <c r="V881" t="s">
        <v>88</v>
      </c>
    </row>
    <row r="882" spans="19:22" ht="14.25">
      <c r="S882" t="s">
        <v>148</v>
      </c>
      <c r="T882" t="s">
        <v>92</v>
      </c>
      <c r="U882">
        <v>0.012756638713690543</v>
      </c>
      <c r="V882" t="s">
        <v>88</v>
      </c>
    </row>
    <row r="883" spans="19:22" ht="14.25">
      <c r="S883" t="s">
        <v>148</v>
      </c>
      <c r="T883" t="s">
        <v>93</v>
      </c>
      <c r="U883">
        <v>0.020967989129106857</v>
      </c>
      <c r="V883" t="s">
        <v>88</v>
      </c>
    </row>
    <row r="884" spans="19:22" ht="14.25">
      <c r="S884" t="s">
        <v>148</v>
      </c>
      <c r="T884" t="s">
        <v>184</v>
      </c>
      <c r="U884">
        <v>0.0035832917548213562</v>
      </c>
      <c r="V884" t="s">
        <v>88</v>
      </c>
    </row>
    <row r="885" spans="19:22" ht="14.25">
      <c r="S885" t="s">
        <v>148</v>
      </c>
      <c r="T885" t="s">
        <v>185</v>
      </c>
      <c r="U885">
        <v>0.0035710995192548933</v>
      </c>
      <c r="V885" t="s">
        <v>88</v>
      </c>
    </row>
    <row r="886" spans="19:22" ht="14.25">
      <c r="S886" t="s">
        <v>148</v>
      </c>
      <c r="T886" t="s">
        <v>186</v>
      </c>
      <c r="U886">
        <v>0.017028795513624177</v>
      </c>
      <c r="V886" t="s">
        <v>88</v>
      </c>
    </row>
    <row r="887" spans="19:22" ht="14.25">
      <c r="S887" t="s">
        <v>148</v>
      </c>
      <c r="T887" t="s">
        <v>94</v>
      </c>
      <c r="U887">
        <v>0.025200867939279184</v>
      </c>
      <c r="V887" t="s">
        <v>88</v>
      </c>
    </row>
    <row r="888" spans="19:22" ht="14.25">
      <c r="S888" t="s">
        <v>148</v>
      </c>
      <c r="T888" t="s">
        <v>95</v>
      </c>
      <c r="U888">
        <v>0.014629329222147833</v>
      </c>
      <c r="V888" t="s">
        <v>88</v>
      </c>
    </row>
    <row r="889" spans="19:22" ht="14.25">
      <c r="S889" t="s">
        <v>148</v>
      </c>
      <c r="T889" t="s">
        <v>96</v>
      </c>
      <c r="U889">
        <v>0.022976964510061901</v>
      </c>
      <c r="V889" t="s">
        <v>88</v>
      </c>
    </row>
    <row r="890" spans="19:22" ht="14.25">
      <c r="S890" t="s">
        <v>148</v>
      </c>
      <c r="T890" t="s">
        <v>187</v>
      </c>
      <c r="U890">
        <v>0.0037592849113690934</v>
      </c>
      <c r="V890" t="s">
        <v>88</v>
      </c>
    </row>
    <row r="891" spans="19:22" ht="14.25">
      <c r="S891" t="s">
        <v>148</v>
      </c>
      <c r="T891" t="s">
        <v>188</v>
      </c>
      <c r="U891">
        <v>0.003702027756750222</v>
      </c>
      <c r="V891" t="s">
        <v>88</v>
      </c>
    </row>
    <row r="892" spans="19:22" ht="14.25">
      <c r="S892" t="s">
        <v>148</v>
      </c>
      <c r="T892" t="s">
        <v>189</v>
      </c>
      <c r="U892">
        <v>0.017934303410219853</v>
      </c>
      <c r="V892" t="s">
        <v>88</v>
      </c>
    </row>
    <row r="893" spans="19:22" ht="14.25">
      <c r="S893" t="s">
        <v>148</v>
      </c>
      <c r="T893" t="s">
        <v>97</v>
      </c>
      <c r="U893">
        <v>0.04763245410024089</v>
      </c>
      <c r="V893" t="s">
        <v>88</v>
      </c>
    </row>
    <row r="894" spans="19:22" ht="14.25">
      <c r="S894" t="s">
        <v>148</v>
      </c>
      <c r="T894" t="s">
        <v>98</v>
      </c>
      <c r="U894">
        <v>0.026891386813147612</v>
      </c>
      <c r="V894" t="s">
        <v>88</v>
      </c>
    </row>
    <row r="895" spans="19:22" ht="14.25">
      <c r="S895" t="s">
        <v>148</v>
      </c>
      <c r="T895" t="s">
        <v>99</v>
      </c>
      <c r="U895">
        <v>0.041657872099081304</v>
      </c>
      <c r="V895" t="s">
        <v>88</v>
      </c>
    </row>
    <row r="896" spans="19:22" ht="14.25">
      <c r="S896" t="s">
        <v>148</v>
      </c>
      <c r="T896" t="s">
        <v>190</v>
      </c>
      <c r="U896">
        <v>0.0069434378240610271</v>
      </c>
      <c r="V896" t="s">
        <v>88</v>
      </c>
    </row>
    <row r="897" spans="19:22" ht="14.25">
      <c r="S897" t="s">
        <v>148</v>
      </c>
      <c r="T897" t="s">
        <v>191</v>
      </c>
      <c r="U897">
        <v>0.0068446629905231891</v>
      </c>
      <c r="V897" t="s">
        <v>88</v>
      </c>
    </row>
    <row r="898" spans="19:22" ht="14.25">
      <c r="S898" t="s">
        <v>148</v>
      </c>
      <c r="T898" t="s">
        <v>192</v>
      </c>
      <c r="U898">
        <v>0.033365669153956057</v>
      </c>
      <c r="V898" t="s">
        <v>88</v>
      </c>
    </row>
    <row r="899" spans="19:22" ht="14.25">
      <c r="S899" t="s">
        <v>148</v>
      </c>
      <c r="T899" t="s">
        <v>193</v>
      </c>
      <c r="U899">
        <v>0.023624181418198067</v>
      </c>
      <c r="V899" t="s">
        <v>88</v>
      </c>
    </row>
    <row r="900" spans="19:22" ht="14.25">
      <c r="S900" t="s">
        <v>148</v>
      </c>
      <c r="T900" t="s">
        <v>194</v>
      </c>
      <c r="U900">
        <v>0.012683645900799741</v>
      </c>
      <c r="V900" t="s">
        <v>88</v>
      </c>
    </row>
    <row r="901" spans="19:22" ht="14.25">
      <c r="S901" t="s">
        <v>148</v>
      </c>
      <c r="T901" t="s">
        <v>195</v>
      </c>
      <c r="U901">
        <v>0.019283609617131412</v>
      </c>
      <c r="V901" t="s">
        <v>88</v>
      </c>
    </row>
    <row r="902" spans="19:22" ht="14.25">
      <c r="S902" t="s">
        <v>148</v>
      </c>
      <c r="T902" t="s">
        <v>196</v>
      </c>
      <c r="U902">
        <v>0.0032499602089421788</v>
      </c>
      <c r="V902" t="s">
        <v>88</v>
      </c>
    </row>
    <row r="903" spans="19:22" ht="14.25">
      <c r="S903" t="s">
        <v>148</v>
      </c>
      <c r="T903" t="s">
        <v>197</v>
      </c>
      <c r="U903">
        <v>0.003278166146835809</v>
      </c>
      <c r="V903" t="s">
        <v>88</v>
      </c>
    </row>
    <row r="904" spans="19:22" ht="14.25">
      <c r="S904" t="s">
        <v>148</v>
      </c>
      <c r="T904" t="s">
        <v>198</v>
      </c>
      <c r="U904">
        <v>0.016567132577049632</v>
      </c>
      <c r="V904" t="s">
        <v>88</v>
      </c>
    </row>
    <row r="905" spans="19:22" ht="14.25">
      <c r="S905" t="s">
        <v>148</v>
      </c>
      <c r="T905" t="s">
        <v>199</v>
      </c>
      <c r="U905">
        <v>0.074037392621916873</v>
      </c>
      <c r="V905" t="s">
        <v>88</v>
      </c>
    </row>
    <row r="906" spans="19:22" ht="14.25">
      <c r="S906" t="s">
        <v>148</v>
      </c>
      <c r="T906" t="s">
        <v>200</v>
      </c>
      <c r="U906">
        <v>0.042299637628592818</v>
      </c>
      <c r="V906" t="s">
        <v>88</v>
      </c>
    </row>
    <row r="907" spans="19:22" ht="14.25">
      <c r="S907" t="s">
        <v>148</v>
      </c>
      <c r="T907" t="s">
        <v>201</v>
      </c>
      <c r="U907">
        <v>0.0655173153991606</v>
      </c>
      <c r="V907" t="s">
        <v>88</v>
      </c>
    </row>
    <row r="908" spans="19:22" ht="14.25">
      <c r="S908" t="s">
        <v>148</v>
      </c>
      <c r="T908" t="s">
        <v>202</v>
      </c>
      <c r="U908">
        <v>0.010906755496510585</v>
      </c>
      <c r="V908" t="s">
        <v>88</v>
      </c>
    </row>
    <row r="909" spans="19:22" ht="14.25">
      <c r="S909" t="s">
        <v>148</v>
      </c>
      <c r="T909" t="s">
        <v>203</v>
      </c>
      <c r="U909">
        <v>0.010787067762076078</v>
      </c>
      <c r="V909" t="s">
        <v>88</v>
      </c>
    </row>
    <row r="910" spans="19:22" ht="14.25">
      <c r="S910" t="s">
        <v>148</v>
      </c>
      <c r="T910" t="s">
        <v>204</v>
      </c>
      <c r="U910">
        <v>0.053260011160090444</v>
      </c>
      <c r="V910" t="s">
        <v>88</v>
      </c>
    </row>
    <row r="911" spans="19:22" ht="14.25">
      <c r="S911" t="s">
        <v>148</v>
      </c>
      <c r="T911" t="s">
        <v>205</v>
      </c>
      <c r="U911">
        <v>0.026672260139000547</v>
      </c>
      <c r="V911" t="s">
        <v>88</v>
      </c>
    </row>
    <row r="912" spans="19:22" ht="14.25">
      <c r="S912" t="s">
        <v>148</v>
      </c>
      <c r="T912" t="s">
        <v>206</v>
      </c>
      <c r="U912">
        <v>0.015355718239680103</v>
      </c>
      <c r="V912" t="s">
        <v>88</v>
      </c>
    </row>
    <row r="913" spans="19:22" ht="14.25">
      <c r="S913" t="s">
        <v>148</v>
      </c>
      <c r="T913" t="s">
        <v>207</v>
      </c>
      <c r="U913">
        <v>0.023715349656692055</v>
      </c>
      <c r="V913" t="s">
        <v>88</v>
      </c>
    </row>
    <row r="914" spans="19:22" ht="14.25">
      <c r="S914" t="s">
        <v>148</v>
      </c>
      <c r="T914" t="s">
        <v>208</v>
      </c>
      <c r="U914">
        <v>0.0038037619566814868</v>
      </c>
      <c r="V914" t="s">
        <v>88</v>
      </c>
    </row>
    <row r="915" spans="19:22" ht="14.25">
      <c r="S915" t="s">
        <v>148</v>
      </c>
      <c r="T915" t="s">
        <v>209</v>
      </c>
      <c r="U915">
        <v>0.003755294938771375</v>
      </c>
      <c r="V915" t="s">
        <v>88</v>
      </c>
    </row>
    <row r="916" spans="19:22" ht="14.25">
      <c r="S916" t="s">
        <v>148</v>
      </c>
      <c r="T916" t="s">
        <v>210</v>
      </c>
      <c r="U916">
        <v>0.018747745301259538</v>
      </c>
      <c r="V916" t="s">
        <v>88</v>
      </c>
    </row>
    <row r="917" spans="19:22" ht="14.25">
      <c r="S917" t="s">
        <v>148</v>
      </c>
      <c r="T917" t="s">
        <v>211</v>
      </c>
      <c r="U917">
        <v>0.046064824452167315</v>
      </c>
      <c r="V917" t="s">
        <v>88</v>
      </c>
    </row>
    <row r="918" spans="19:22" ht="14.25">
      <c r="S918" t="s">
        <v>148</v>
      </c>
      <c r="T918" t="s">
        <v>212</v>
      </c>
      <c r="U918">
        <v>0.026590804070888527</v>
      </c>
      <c r="V918" t="s">
        <v>88</v>
      </c>
    </row>
    <row r="919" spans="19:22" ht="14.25">
      <c r="S919" t="s">
        <v>148</v>
      </c>
      <c r="T919" t="s">
        <v>213</v>
      </c>
      <c r="U919">
        <v>0.038708124107902739</v>
      </c>
      <c r="V919" t="s">
        <v>88</v>
      </c>
    </row>
    <row r="920" spans="19:22" ht="14.25">
      <c r="S920" t="s">
        <v>148</v>
      </c>
      <c r="T920" t="s">
        <v>214</v>
      </c>
      <c r="U920">
        <v>0.0061168634406170673</v>
      </c>
      <c r="V920" t="s">
        <v>88</v>
      </c>
    </row>
    <row r="921" spans="19:22" ht="14.25">
      <c r="S921" t="s">
        <v>148</v>
      </c>
      <c r="T921" t="s">
        <v>215</v>
      </c>
      <c r="U921">
        <v>0.006060705903286767</v>
      </c>
      <c r="V921" t="s">
        <v>88</v>
      </c>
    </row>
    <row r="922" spans="19:22" ht="14.25">
      <c r="S922" t="s">
        <v>148</v>
      </c>
      <c r="T922" t="s">
        <v>216</v>
      </c>
      <c r="U922">
        <v>0.030670417934868435</v>
      </c>
      <c r="V922" t="s">
        <v>88</v>
      </c>
    </row>
    <row r="923" spans="19:22" ht="14.25">
      <c r="S923" t="s">
        <v>149</v>
      </c>
      <c r="T923" t="s">
        <v>87</v>
      </c>
      <c r="U923">
        <v>0.026500612072736615</v>
      </c>
      <c r="V923" t="s">
        <v>88</v>
      </c>
    </row>
    <row r="924" spans="19:22" ht="14.25">
      <c r="S924" t="s">
        <v>149</v>
      </c>
      <c r="T924" t="s">
        <v>89</v>
      </c>
      <c r="U924">
        <v>0.015189764766013057</v>
      </c>
      <c r="V924" t="s">
        <v>88</v>
      </c>
    </row>
    <row r="925" spans="19:22" ht="14.25">
      <c r="S925" t="s">
        <v>149</v>
      </c>
      <c r="T925" t="s">
        <v>90</v>
      </c>
      <c r="U925">
        <v>0.022305298179390424</v>
      </c>
      <c r="V925" t="s">
        <v>88</v>
      </c>
    </row>
    <row r="926" spans="19:22" ht="14.25">
      <c r="S926" t="s">
        <v>149</v>
      </c>
      <c r="T926" t="s">
        <v>181</v>
      </c>
      <c r="U926">
        <v>0.0037541335457093798</v>
      </c>
      <c r="V926" t="s">
        <v>88</v>
      </c>
    </row>
    <row r="927" spans="19:22" ht="14.25">
      <c r="S927" t="s">
        <v>149</v>
      </c>
      <c r="T927" t="s">
        <v>182</v>
      </c>
      <c r="U927">
        <v>0.0037456977813468979</v>
      </c>
      <c r="V927" t="s">
        <v>88</v>
      </c>
    </row>
    <row r="928" spans="19:22" ht="14.25">
      <c r="S928" t="s">
        <v>149</v>
      </c>
      <c r="T928" t="s">
        <v>183</v>
      </c>
      <c r="U928">
        <v>0.01876827468411572</v>
      </c>
      <c r="V928" t="s">
        <v>88</v>
      </c>
    </row>
    <row r="929" spans="19:22" ht="14.25">
      <c r="S929" t="s">
        <v>149</v>
      </c>
      <c r="T929" t="s">
        <v>91</v>
      </c>
      <c r="U929">
        <v>0.014992066566868533</v>
      </c>
      <c r="V929" t="s">
        <v>88</v>
      </c>
    </row>
    <row r="930" spans="19:22" ht="14.25">
      <c r="S930" t="s">
        <v>149</v>
      </c>
      <c r="T930" t="s">
        <v>92</v>
      </c>
      <c r="U930">
        <v>0.0071297212802718642</v>
      </c>
      <c r="V930" t="s">
        <v>88</v>
      </c>
    </row>
    <row r="931" spans="19:22" ht="14.25">
      <c r="S931" t="s">
        <v>149</v>
      </c>
      <c r="T931" t="s">
        <v>93</v>
      </c>
      <c r="U931">
        <v>0.011662176202163707</v>
      </c>
      <c r="V931" t="s">
        <v>88</v>
      </c>
    </row>
    <row r="932" spans="19:22" ht="14.25">
      <c r="S932" t="s">
        <v>149</v>
      </c>
      <c r="T932" t="s">
        <v>184</v>
      </c>
      <c r="U932">
        <v>0.0023489433578469721</v>
      </c>
      <c r="V932" t="s">
        <v>88</v>
      </c>
    </row>
    <row r="933" spans="19:22" ht="14.25">
      <c r="S933" t="s">
        <v>149</v>
      </c>
      <c r="T933" t="s">
        <v>185</v>
      </c>
      <c r="U933">
        <v>0.0023619605516774461</v>
      </c>
      <c r="V933" t="s">
        <v>88</v>
      </c>
    </row>
    <row r="934" spans="19:22" ht="14.25">
      <c r="S934" t="s">
        <v>149</v>
      </c>
      <c r="T934" t="s">
        <v>186</v>
      </c>
      <c r="U934">
        <v>0.011548884278119372</v>
      </c>
      <c r="V934" t="s">
        <v>88</v>
      </c>
    </row>
    <row r="935" spans="19:22" ht="14.25">
      <c r="S935" t="s">
        <v>149</v>
      </c>
      <c r="T935" t="s">
        <v>94</v>
      </c>
      <c r="U935">
        <v>0.014919023157529115</v>
      </c>
      <c r="V935" t="s">
        <v>88</v>
      </c>
    </row>
    <row r="936" spans="19:22" ht="14.25">
      <c r="S936" t="s">
        <v>149</v>
      </c>
      <c r="T936" t="s">
        <v>95</v>
      </c>
      <c r="U936">
        <v>0.0085341397476291093</v>
      </c>
      <c r="V936" t="s">
        <v>88</v>
      </c>
    </row>
    <row r="937" spans="19:22" ht="14.25">
      <c r="S937" t="s">
        <v>149</v>
      </c>
      <c r="T937" t="s">
        <v>96</v>
      </c>
      <c r="U937">
        <v>0.013699741898280318</v>
      </c>
      <c r="V937" t="s">
        <v>88</v>
      </c>
    </row>
    <row r="938" spans="19:22" ht="14.25">
      <c r="S938" t="s">
        <v>149</v>
      </c>
      <c r="T938" t="s">
        <v>187</v>
      </c>
      <c r="U938">
        <v>0.0026041948954755954</v>
      </c>
      <c r="V938" t="s">
        <v>88</v>
      </c>
    </row>
    <row r="939" spans="19:22" ht="14.25">
      <c r="S939" t="s">
        <v>149</v>
      </c>
      <c r="T939" t="s">
        <v>188</v>
      </c>
      <c r="U939">
        <v>0.0025453006974096</v>
      </c>
      <c r="V939" t="s">
        <v>88</v>
      </c>
    </row>
    <row r="940" spans="19:22" ht="14.25">
      <c r="S940" t="s">
        <v>149</v>
      </c>
      <c r="T940" t="s">
        <v>189</v>
      </c>
      <c r="U940">
        <v>0.011115281812062295</v>
      </c>
      <c r="V940" t="s">
        <v>88</v>
      </c>
    </row>
    <row r="941" spans="19:22" ht="14.25">
      <c r="S941" t="s">
        <v>149</v>
      </c>
      <c r="T941" t="s">
        <v>97</v>
      </c>
      <c r="U941">
        <v>0.048425474121216415</v>
      </c>
      <c r="V941" t="s">
        <v>88</v>
      </c>
    </row>
    <row r="942" spans="19:22" ht="14.25">
      <c r="S942" t="s">
        <v>149</v>
      </c>
      <c r="T942" t="s">
        <v>98</v>
      </c>
      <c r="U942">
        <v>0.026769596788484069</v>
      </c>
      <c r="V942" t="s">
        <v>88</v>
      </c>
    </row>
    <row r="943" spans="19:22" ht="14.25">
      <c r="S943" t="s">
        <v>149</v>
      </c>
      <c r="T943" t="s">
        <v>99</v>
      </c>
      <c r="U943">
        <v>0.040074408649799824</v>
      </c>
      <c r="V943" t="s">
        <v>88</v>
      </c>
    </row>
    <row r="944" spans="19:22" ht="14.25">
      <c r="S944" t="s">
        <v>149</v>
      </c>
      <c r="T944" t="s">
        <v>190</v>
      </c>
      <c r="U944">
        <v>0.0066850451205676146</v>
      </c>
      <c r="V944" t="s">
        <v>88</v>
      </c>
    </row>
    <row r="945" spans="19:22" ht="14.25">
      <c r="S945" t="s">
        <v>149</v>
      </c>
      <c r="T945" t="s">
        <v>191</v>
      </c>
      <c r="U945">
        <v>0.0068786752703308279</v>
      </c>
      <c r="V945" t="s">
        <v>88</v>
      </c>
    </row>
    <row r="946" spans="19:22" ht="14.25">
      <c r="S946" t="s">
        <v>149</v>
      </c>
      <c r="T946" t="s">
        <v>192</v>
      </c>
      <c r="U946">
        <v>0.034674994569959601</v>
      </c>
      <c r="V946" t="s">
        <v>88</v>
      </c>
    </row>
    <row r="947" spans="19:22" ht="14.25">
      <c r="S947" t="s">
        <v>149</v>
      </c>
      <c r="T947" t="s">
        <v>193</v>
      </c>
      <c r="U947">
        <v>0.02877818013015547</v>
      </c>
      <c r="V947" t="s">
        <v>88</v>
      </c>
    </row>
    <row r="948" spans="19:22" ht="14.25">
      <c r="S948" t="s">
        <v>149</v>
      </c>
      <c r="T948" t="s">
        <v>194</v>
      </c>
      <c r="U948">
        <v>0.016298701347892068</v>
      </c>
      <c r="V948" t="s">
        <v>88</v>
      </c>
    </row>
    <row r="949" spans="19:22" ht="14.25">
      <c r="S949" t="s">
        <v>149</v>
      </c>
      <c r="T949" t="s">
        <v>195</v>
      </c>
      <c r="U949">
        <v>0.02557803136663583</v>
      </c>
      <c r="V949" t="s">
        <v>88</v>
      </c>
    </row>
    <row r="950" spans="19:22" ht="14.25">
      <c r="S950" t="s">
        <v>149</v>
      </c>
      <c r="T950" t="s">
        <v>196</v>
      </c>
      <c r="U950">
        <v>0.0040043137236221212</v>
      </c>
      <c r="V950" t="s">
        <v>88</v>
      </c>
    </row>
    <row r="951" spans="19:22" ht="14.25">
      <c r="S951" t="s">
        <v>149</v>
      </c>
      <c r="T951" t="s">
        <v>197</v>
      </c>
      <c r="U951">
        <v>0.0037741682861387629</v>
      </c>
      <c r="V951" t="s">
        <v>88</v>
      </c>
    </row>
    <row r="952" spans="19:22" ht="14.25">
      <c r="S952" t="s">
        <v>149</v>
      </c>
      <c r="T952" t="s">
        <v>198</v>
      </c>
      <c r="U952">
        <v>0.0188003196015194</v>
      </c>
      <c r="V952" t="s">
        <v>88</v>
      </c>
    </row>
    <row r="953" spans="19:22" ht="14.25">
      <c r="S953" t="s">
        <v>149</v>
      </c>
      <c r="T953" t="s">
        <v>199</v>
      </c>
      <c r="U953">
        <v>0.086665198448083638</v>
      </c>
      <c r="V953" t="s">
        <v>88</v>
      </c>
    </row>
    <row r="954" spans="19:22" ht="14.25">
      <c r="S954" t="s">
        <v>149</v>
      </c>
      <c r="T954" t="s">
        <v>200</v>
      </c>
      <c r="U954">
        <v>0.046959944502796357</v>
      </c>
      <c r="V954" t="s">
        <v>88</v>
      </c>
    </row>
    <row r="955" spans="19:22" ht="14.25">
      <c r="S955" t="s">
        <v>149</v>
      </c>
      <c r="T955" t="s">
        <v>201</v>
      </c>
      <c r="U955">
        <v>0.074669843297438615</v>
      </c>
      <c r="V955" t="s">
        <v>88</v>
      </c>
    </row>
    <row r="956" spans="19:22" ht="14.25">
      <c r="S956" t="s">
        <v>149</v>
      </c>
      <c r="T956" t="s">
        <v>202</v>
      </c>
      <c r="U956">
        <v>0.012493223441992418</v>
      </c>
      <c r="V956" t="s">
        <v>88</v>
      </c>
    </row>
    <row r="957" spans="19:22" ht="14.25">
      <c r="S957" t="s">
        <v>149</v>
      </c>
      <c r="T957" t="s">
        <v>203</v>
      </c>
      <c r="U957">
        <v>0.012649508180030189</v>
      </c>
      <c r="V957" t="s">
        <v>88</v>
      </c>
    </row>
    <row r="958" spans="19:22" ht="14.25">
      <c r="S958" t="s">
        <v>149</v>
      </c>
      <c r="T958" t="s">
        <v>204</v>
      </c>
      <c r="U958">
        <v>0.064443355566265959</v>
      </c>
      <c r="V958" t="s">
        <v>88</v>
      </c>
    </row>
    <row r="959" spans="19:22" ht="14.25">
      <c r="S959" t="s">
        <v>149</v>
      </c>
      <c r="T959" t="s">
        <v>205</v>
      </c>
      <c r="U959">
        <v>0.030202507215532557</v>
      </c>
      <c r="V959" t="s">
        <v>88</v>
      </c>
    </row>
    <row r="960" spans="19:22" ht="14.25">
      <c r="S960" t="s">
        <v>149</v>
      </c>
      <c r="T960" t="s">
        <v>206</v>
      </c>
      <c r="U960">
        <v>0.017496863892937087</v>
      </c>
      <c r="V960" t="s">
        <v>88</v>
      </c>
    </row>
    <row r="961" spans="19:22" ht="14.25">
      <c r="S961" t="s">
        <v>149</v>
      </c>
      <c r="T961" t="s">
        <v>207</v>
      </c>
      <c r="U961">
        <v>0.0275772164896998</v>
      </c>
      <c r="V961" t="s">
        <v>88</v>
      </c>
    </row>
    <row r="962" spans="19:22" ht="14.25">
      <c r="S962" t="s">
        <v>149</v>
      </c>
      <c r="T962" t="s">
        <v>208</v>
      </c>
      <c r="U962">
        <v>0.0045398188791220912</v>
      </c>
      <c r="V962" t="s">
        <v>88</v>
      </c>
    </row>
    <row r="963" spans="19:22" ht="14.25">
      <c r="S963" t="s">
        <v>149</v>
      </c>
      <c r="T963" t="s">
        <v>209</v>
      </c>
      <c r="U963">
        <v>0.0045549382442355048</v>
      </c>
      <c r="V963" t="s">
        <v>88</v>
      </c>
    </row>
    <row r="964" spans="19:22" ht="14.25">
      <c r="S964" t="s">
        <v>149</v>
      </c>
      <c r="T964" t="s">
        <v>210</v>
      </c>
      <c r="U964">
        <v>0.022736779922094184</v>
      </c>
      <c r="V964" t="s">
        <v>88</v>
      </c>
    </row>
    <row r="965" spans="19:22" ht="14.25">
      <c r="S965" t="s">
        <v>149</v>
      </c>
      <c r="T965" t="s">
        <v>211</v>
      </c>
      <c r="U965">
        <v>0.041539019652968349</v>
      </c>
      <c r="V965" t="s">
        <v>88</v>
      </c>
    </row>
    <row r="966" spans="19:22" ht="14.25">
      <c r="S966" t="s">
        <v>149</v>
      </c>
      <c r="T966" t="s">
        <v>212</v>
      </c>
      <c r="U966">
        <v>0.022023992157811055</v>
      </c>
      <c r="V966" t="s">
        <v>88</v>
      </c>
    </row>
    <row r="967" spans="19:22" ht="14.25">
      <c r="S967" t="s">
        <v>149</v>
      </c>
      <c r="T967" t="s">
        <v>213</v>
      </c>
      <c r="U967">
        <v>0.034081911802757284</v>
      </c>
      <c r="V967" t="s">
        <v>88</v>
      </c>
    </row>
    <row r="968" spans="19:22" ht="14.25">
      <c r="S968" t="s">
        <v>149</v>
      </c>
      <c r="T968" t="s">
        <v>214</v>
      </c>
      <c r="U968">
        <v>0.006131333385374982</v>
      </c>
      <c r="V968" t="s">
        <v>88</v>
      </c>
    </row>
    <row r="969" spans="19:22" ht="14.25">
      <c r="S969" t="s">
        <v>149</v>
      </c>
      <c r="T969" t="s">
        <v>215</v>
      </c>
      <c r="U969">
        <v>0.0061740137941050889</v>
      </c>
      <c r="V969" t="s">
        <v>88</v>
      </c>
    </row>
    <row r="970" spans="19:22" ht="14.25">
      <c r="S970" t="s">
        <v>149</v>
      </c>
      <c r="T970" t="s">
        <v>216</v>
      </c>
      <c r="U970">
        <v>0.030593406675783759</v>
      </c>
      <c r="V970" t="s">
        <v>88</v>
      </c>
    </row>
    <row r="971" spans="19:22" ht="14.25">
      <c r="S971" t="s">
        <v>150</v>
      </c>
      <c r="T971" t="s">
        <v>87</v>
      </c>
      <c r="U971">
        <v>0.026512458161569184</v>
      </c>
      <c r="V971" t="s">
        <v>88</v>
      </c>
    </row>
    <row r="972" spans="19:22" ht="14.25">
      <c r="S972" t="s">
        <v>150</v>
      </c>
      <c r="T972" t="s">
        <v>89</v>
      </c>
      <c r="U972">
        <v>0.015432552628767002</v>
      </c>
      <c r="V972" t="s">
        <v>88</v>
      </c>
    </row>
    <row r="973" spans="19:22" ht="14.25">
      <c r="S973" t="s">
        <v>150</v>
      </c>
      <c r="T973" t="s">
        <v>90</v>
      </c>
      <c r="U973">
        <v>0.022952193774115639</v>
      </c>
      <c r="V973" t="s">
        <v>88</v>
      </c>
    </row>
    <row r="974" spans="19:22" ht="14.25">
      <c r="S974" t="s">
        <v>150</v>
      </c>
      <c r="T974" t="s">
        <v>181</v>
      </c>
      <c r="U974">
        <v>0.0036952676225862633</v>
      </c>
      <c r="V974" t="s">
        <v>88</v>
      </c>
    </row>
    <row r="975" spans="19:22" ht="14.25">
      <c r="S975" t="s">
        <v>150</v>
      </c>
      <c r="T975" t="s">
        <v>182</v>
      </c>
      <c r="U975">
        <v>0.0036713890043494541</v>
      </c>
      <c r="V975" t="s">
        <v>88</v>
      </c>
    </row>
    <row r="976" spans="19:22" ht="14.25">
      <c r="S976" t="s">
        <v>150</v>
      </c>
      <c r="T976" t="s">
        <v>183</v>
      </c>
      <c r="U976">
        <v>0.017814784037243896</v>
      </c>
      <c r="V976" t="s">
        <v>88</v>
      </c>
    </row>
    <row r="977" spans="19:22" ht="14.25">
      <c r="S977" t="s">
        <v>150</v>
      </c>
      <c r="T977" t="s">
        <v>91</v>
      </c>
      <c r="U977">
        <v>0.016076592138261049</v>
      </c>
      <c r="V977" t="s">
        <v>88</v>
      </c>
    </row>
    <row r="978" spans="19:22" ht="14.25">
      <c r="S978" t="s">
        <v>150</v>
      </c>
      <c r="T978" t="s">
        <v>92</v>
      </c>
      <c r="U978">
        <v>0.0081046854420020603</v>
      </c>
      <c r="V978" t="s">
        <v>88</v>
      </c>
    </row>
    <row r="979" spans="19:22" ht="14.25">
      <c r="S979" t="s">
        <v>150</v>
      </c>
      <c r="T979" t="s">
        <v>93</v>
      </c>
      <c r="U979">
        <v>0.011410964308083528</v>
      </c>
      <c r="V979" t="s">
        <v>88</v>
      </c>
    </row>
    <row r="980" spans="19:22" ht="14.25">
      <c r="S980" t="s">
        <v>150</v>
      </c>
      <c r="T980" t="s">
        <v>184</v>
      </c>
      <c r="U980">
        <v>0.0020175170958295569</v>
      </c>
      <c r="V980" t="s">
        <v>88</v>
      </c>
    </row>
    <row r="981" spans="19:22" ht="14.25">
      <c r="S981" t="s">
        <v>150</v>
      </c>
      <c r="T981" t="s">
        <v>185</v>
      </c>
      <c r="U981">
        <v>0.0020598957968448349</v>
      </c>
      <c r="V981" t="s">
        <v>88</v>
      </c>
    </row>
    <row r="982" spans="19:22" ht="14.25">
      <c r="S982" t="s">
        <v>150</v>
      </c>
      <c r="T982" t="s">
        <v>186</v>
      </c>
      <c r="U982">
        <v>0.01108027413414517</v>
      </c>
      <c r="V982" t="s">
        <v>88</v>
      </c>
    </row>
    <row r="983" spans="19:22" ht="14.25">
      <c r="S983" t="s">
        <v>150</v>
      </c>
      <c r="T983" t="s">
        <v>94</v>
      </c>
      <c r="U983">
        <v>0.017319717451448467</v>
      </c>
      <c r="V983" t="s">
        <v>88</v>
      </c>
    </row>
    <row r="984" spans="19:22" ht="14.25">
      <c r="S984" t="s">
        <v>150</v>
      </c>
      <c r="T984" t="s">
        <v>95</v>
      </c>
      <c r="U984">
        <v>0.010000975876128779</v>
      </c>
      <c r="V984" t="s">
        <v>88</v>
      </c>
    </row>
    <row r="985" spans="19:22" ht="14.25">
      <c r="S985" t="s">
        <v>150</v>
      </c>
      <c r="T985" t="s">
        <v>96</v>
      </c>
      <c r="U985">
        <v>0.01409585664480489</v>
      </c>
      <c r="V985" t="s">
        <v>88</v>
      </c>
    </row>
    <row r="986" spans="19:22" ht="14.25">
      <c r="S986" t="s">
        <v>150</v>
      </c>
      <c r="T986" t="s">
        <v>187</v>
      </c>
      <c r="U986">
        <v>0.0022267398434667376</v>
      </c>
      <c r="V986" t="s">
        <v>88</v>
      </c>
    </row>
    <row r="987" spans="19:22" ht="14.25">
      <c r="S987" t="s">
        <v>150</v>
      </c>
      <c r="T987" t="s">
        <v>188</v>
      </c>
      <c r="U987">
        <v>0.002232631094852452</v>
      </c>
      <c r="V987" t="s">
        <v>88</v>
      </c>
    </row>
    <row r="988" spans="19:22" ht="14.25">
      <c r="S988" t="s">
        <v>150</v>
      </c>
      <c r="T988" t="s">
        <v>189</v>
      </c>
      <c r="U988">
        <v>0.011161959842227964</v>
      </c>
      <c r="V988" t="s">
        <v>88</v>
      </c>
    </row>
    <row r="989" spans="19:22" ht="14.25">
      <c r="S989" t="s">
        <v>150</v>
      </c>
      <c r="T989" t="s">
        <v>97</v>
      </c>
      <c r="U989">
        <v>0.045542929207358238</v>
      </c>
      <c r="V989" t="s">
        <v>88</v>
      </c>
    </row>
    <row r="990" spans="19:22" ht="14.25">
      <c r="S990" t="s">
        <v>150</v>
      </c>
      <c r="T990" t="s">
        <v>98</v>
      </c>
      <c r="U990">
        <v>0.025384065884066349</v>
      </c>
      <c r="V990" t="s">
        <v>88</v>
      </c>
    </row>
    <row r="991" spans="19:22" ht="14.25">
      <c r="S991" t="s">
        <v>150</v>
      </c>
      <c r="T991" t="s">
        <v>99</v>
      </c>
      <c r="U991">
        <v>0.038801322182294803</v>
      </c>
      <c r="V991" t="s">
        <v>88</v>
      </c>
    </row>
    <row r="992" spans="19:22" ht="14.25">
      <c r="S992" t="s">
        <v>150</v>
      </c>
      <c r="T992" t="s">
        <v>190</v>
      </c>
      <c r="U992">
        <v>0.0064182580711859005</v>
      </c>
      <c r="V992" t="s">
        <v>88</v>
      </c>
    </row>
    <row r="993" spans="19:22" ht="14.25">
      <c r="S993" t="s">
        <v>150</v>
      </c>
      <c r="T993" t="s">
        <v>191</v>
      </c>
      <c r="U993">
        <v>0.0063739624799317085</v>
      </c>
      <c r="V993" t="s">
        <v>88</v>
      </c>
    </row>
    <row r="994" spans="19:22" ht="14.25">
      <c r="S994" t="s">
        <v>150</v>
      </c>
      <c r="T994" t="s">
        <v>192</v>
      </c>
      <c r="U994">
        <v>0.031411305274732945</v>
      </c>
      <c r="V994" t="s">
        <v>88</v>
      </c>
    </row>
    <row r="995" spans="19:22" ht="14.25">
      <c r="S995" t="s">
        <v>150</v>
      </c>
      <c r="T995" t="s">
        <v>193</v>
      </c>
      <c r="U995">
        <v>0.026230343794476019</v>
      </c>
      <c r="V995" t="s">
        <v>88</v>
      </c>
    </row>
    <row r="996" spans="19:22" ht="14.25">
      <c r="S996" t="s">
        <v>150</v>
      </c>
      <c r="T996" t="s">
        <v>194</v>
      </c>
      <c r="U996">
        <v>0.014423926933083996</v>
      </c>
      <c r="V996" t="s">
        <v>88</v>
      </c>
    </row>
    <row r="997" spans="19:22" ht="14.25">
      <c r="S997" t="s">
        <v>150</v>
      </c>
      <c r="T997" t="s">
        <v>195</v>
      </c>
      <c r="U997">
        <v>0.022257112721761084</v>
      </c>
      <c r="V997" t="s">
        <v>88</v>
      </c>
    </row>
    <row r="998" spans="19:22" ht="14.25">
      <c r="S998" t="s">
        <v>150</v>
      </c>
      <c r="T998" t="s">
        <v>196</v>
      </c>
      <c r="U998">
        <v>0.0037697616318207155</v>
      </c>
      <c r="V998" t="s">
        <v>88</v>
      </c>
    </row>
    <row r="999" spans="19:22" ht="14.25">
      <c r="S999" t="s">
        <v>150</v>
      </c>
      <c r="T999" t="s">
        <v>197</v>
      </c>
      <c r="U999">
        <v>0.0037831127135947631</v>
      </c>
      <c r="V999" t="s">
        <v>88</v>
      </c>
    </row>
    <row r="1000" spans="19:22" ht="14.25">
      <c r="S1000" t="s">
        <v>150</v>
      </c>
      <c r="T1000" t="s">
        <v>198</v>
      </c>
      <c r="U1000">
        <v>0.018452261811736204</v>
      </c>
      <c r="V1000" t="s">
        <v>88</v>
      </c>
    </row>
    <row r="1001" spans="19:22" ht="14.25">
      <c r="S1001" t="s">
        <v>150</v>
      </c>
      <c r="T1001" t="s">
        <v>199</v>
      </c>
      <c r="U1001">
        <v>0.083834993780623368</v>
      </c>
      <c r="V1001" t="s">
        <v>88</v>
      </c>
    </row>
    <row r="1002" spans="19:22" ht="14.25">
      <c r="S1002" t="s">
        <v>150</v>
      </c>
      <c r="T1002" t="s">
        <v>200</v>
      </c>
      <c r="U1002">
        <v>0.047298566731369736</v>
      </c>
      <c r="V1002" t="s">
        <v>88</v>
      </c>
    </row>
    <row r="1003" spans="19:22" ht="14.25">
      <c r="S1003" t="s">
        <v>150</v>
      </c>
      <c r="T1003" t="s">
        <v>201</v>
      </c>
      <c r="U1003">
        <v>0.074124988879816139</v>
      </c>
      <c r="V1003" t="s">
        <v>88</v>
      </c>
    </row>
    <row r="1004" spans="19:22" ht="14.25">
      <c r="S1004" t="s">
        <v>150</v>
      </c>
      <c r="T1004" t="s">
        <v>202</v>
      </c>
      <c r="U1004">
        <v>0.012330318039057467</v>
      </c>
      <c r="V1004" t="s">
        <v>88</v>
      </c>
    </row>
    <row r="1005" spans="19:22" ht="14.25">
      <c r="S1005" t="s">
        <v>150</v>
      </c>
      <c r="T1005" t="s">
        <v>203</v>
      </c>
      <c r="U1005">
        <v>0.012377557612075242</v>
      </c>
      <c r="V1005" t="s">
        <v>88</v>
      </c>
    </row>
    <row r="1006" spans="19:22" ht="14.25">
      <c r="S1006" t="s">
        <v>150</v>
      </c>
      <c r="T1006" t="s">
        <v>204</v>
      </c>
      <c r="U1006">
        <v>0.061249659762697993</v>
      </c>
      <c r="V1006" t="s">
        <v>88</v>
      </c>
    </row>
    <row r="1007" spans="19:22" ht="14.25">
      <c r="S1007" t="s">
        <v>150</v>
      </c>
      <c r="T1007" t="s">
        <v>205</v>
      </c>
      <c r="U1007">
        <v>0.032184261385307202</v>
      </c>
      <c r="V1007" t="s">
        <v>88</v>
      </c>
    </row>
    <row r="1008" spans="19:22" ht="14.25">
      <c r="S1008" t="s">
        <v>150</v>
      </c>
      <c r="T1008" t="s">
        <v>206</v>
      </c>
      <c r="U1008">
        <v>0.017367228247973685</v>
      </c>
      <c r="V1008" t="s">
        <v>88</v>
      </c>
    </row>
    <row r="1009" spans="19:22" ht="14.25">
      <c r="S1009" t="s">
        <v>150</v>
      </c>
      <c r="T1009" t="s">
        <v>207</v>
      </c>
      <c r="U1009">
        <v>0.027972837512836163</v>
      </c>
      <c r="V1009" t="s">
        <v>88</v>
      </c>
    </row>
    <row r="1010" spans="19:22" ht="14.25">
      <c r="S1010" t="s">
        <v>150</v>
      </c>
      <c r="T1010" t="s">
        <v>208</v>
      </c>
      <c r="U1010">
        <v>0.004767858603554327</v>
      </c>
      <c r="V1010" t="s">
        <v>88</v>
      </c>
    </row>
    <row r="1011" spans="19:22" ht="14.25">
      <c r="S1011" t="s">
        <v>150</v>
      </c>
      <c r="T1011" t="s">
        <v>209</v>
      </c>
      <c r="U1011">
        <v>0.0047450749382669209</v>
      </c>
      <c r="V1011" t="s">
        <v>88</v>
      </c>
    </row>
    <row r="1012" spans="19:22" ht="14.25">
      <c r="S1012" t="s">
        <v>150</v>
      </c>
      <c r="T1012" t="s">
        <v>210</v>
      </c>
      <c r="U1012">
        <v>0.023321327636558802</v>
      </c>
      <c r="V1012" t="s">
        <v>88</v>
      </c>
    </row>
    <row r="1013" spans="19:22" ht="14.25">
      <c r="S1013" t="s">
        <v>150</v>
      </c>
      <c r="T1013" t="s">
        <v>211</v>
      </c>
      <c r="U1013">
        <v>0.04537371758405391</v>
      </c>
      <c r="V1013" t="s">
        <v>88</v>
      </c>
    </row>
    <row r="1014" spans="19:22" ht="14.25">
      <c r="S1014" t="s">
        <v>150</v>
      </c>
      <c r="T1014" t="s">
        <v>212</v>
      </c>
      <c r="U1014">
        <v>0.025281493924490087</v>
      </c>
      <c r="V1014" t="s">
        <v>88</v>
      </c>
    </row>
    <row r="1015" spans="19:22" ht="14.25">
      <c r="S1015" t="s">
        <v>150</v>
      </c>
      <c r="T1015" t="s">
        <v>213</v>
      </c>
      <c r="U1015">
        <v>0.040313754578463756</v>
      </c>
      <c r="V1015" t="s">
        <v>88</v>
      </c>
    </row>
    <row r="1016" spans="19:22" ht="14.25">
      <c r="S1016" t="s">
        <v>150</v>
      </c>
      <c r="T1016" t="s">
        <v>214</v>
      </c>
      <c r="U1016">
        <v>0.0067714757428093564</v>
      </c>
      <c r="V1016" t="s">
        <v>88</v>
      </c>
    </row>
    <row r="1017" spans="19:22" ht="14.25">
      <c r="S1017" t="s">
        <v>150</v>
      </c>
      <c r="T1017" t="s">
        <v>215</v>
      </c>
      <c r="U1017">
        <v>0.0067683101795029729</v>
      </c>
      <c r="V1017" t="s">
        <v>88</v>
      </c>
    </row>
    <row r="1018" spans="19:22" ht="14.25">
      <c r="S1018" t="s">
        <v>150</v>
      </c>
      <c r="T1018" t="s">
        <v>216</v>
      </c>
      <c r="U1018">
        <v>0.033201757257771088</v>
      </c>
      <c r="V1018" t="s">
        <v>88</v>
      </c>
    </row>
    <row r="1019" spans="19:22" ht="14.25">
      <c r="S1019" t="s">
        <v>151</v>
      </c>
      <c r="T1019" t="s">
        <v>87</v>
      </c>
      <c r="U1019">
        <v>0.029278583012954603</v>
      </c>
      <c r="V1019" t="s">
        <v>88</v>
      </c>
    </row>
    <row r="1020" spans="19:22" ht="14.25">
      <c r="S1020" t="s">
        <v>151</v>
      </c>
      <c r="T1020" t="s">
        <v>89</v>
      </c>
      <c r="U1020">
        <v>0.015469405196849313</v>
      </c>
      <c r="V1020" t="s">
        <v>88</v>
      </c>
    </row>
    <row r="1021" spans="19:22" ht="14.25">
      <c r="S1021" t="s">
        <v>151</v>
      </c>
      <c r="T1021" t="s">
        <v>90</v>
      </c>
      <c r="U1021">
        <v>0.022015441758252794</v>
      </c>
      <c r="V1021" t="s">
        <v>88</v>
      </c>
    </row>
    <row r="1022" spans="19:22" ht="14.25">
      <c r="S1022" t="s">
        <v>151</v>
      </c>
      <c r="T1022" t="s">
        <v>181</v>
      </c>
      <c r="U1022">
        <v>0.0034478996565564827</v>
      </c>
      <c r="V1022" t="s">
        <v>88</v>
      </c>
    </row>
    <row r="1023" spans="19:22" ht="14.25">
      <c r="S1023" t="s">
        <v>151</v>
      </c>
      <c r="T1023" t="s">
        <v>182</v>
      </c>
      <c r="U1023">
        <v>0.0034025917992342729</v>
      </c>
      <c r="V1023" t="s">
        <v>88</v>
      </c>
    </row>
    <row r="1024" spans="19:22" ht="14.25">
      <c r="S1024" t="s">
        <v>151</v>
      </c>
      <c r="T1024" t="s">
        <v>183</v>
      </c>
      <c r="U1024">
        <v>0.016581391876329354</v>
      </c>
      <c r="V1024" t="s">
        <v>88</v>
      </c>
    </row>
    <row r="1025" spans="19:22" ht="14.25">
      <c r="S1025" t="s">
        <v>151</v>
      </c>
      <c r="T1025" t="s">
        <v>91</v>
      </c>
      <c r="U1025">
        <v>0.0089904397065737225</v>
      </c>
      <c r="V1025" t="s">
        <v>88</v>
      </c>
    </row>
    <row r="1026" spans="19:22" ht="14.25">
      <c r="S1026" t="s">
        <v>151</v>
      </c>
      <c r="T1026" t="s">
        <v>92</v>
      </c>
      <c r="U1026">
        <v>0.004759399322352603</v>
      </c>
      <c r="V1026" t="s">
        <v>88</v>
      </c>
    </row>
    <row r="1027" spans="19:22" ht="14.25">
      <c r="S1027" t="s">
        <v>151</v>
      </c>
      <c r="T1027" t="s">
        <v>93</v>
      </c>
      <c r="U1027">
        <v>0.0070112102264071642</v>
      </c>
      <c r="V1027" t="s">
        <v>88</v>
      </c>
    </row>
    <row r="1028" spans="19:22" ht="14.25">
      <c r="S1028" t="s">
        <v>151</v>
      </c>
      <c r="T1028" t="s">
        <v>184</v>
      </c>
      <c r="U1028">
        <v>0.001502630816761721</v>
      </c>
      <c r="V1028" t="s">
        <v>88</v>
      </c>
    </row>
    <row r="1029" spans="19:22" ht="14.25">
      <c r="S1029" t="s">
        <v>151</v>
      </c>
      <c r="T1029" t="s">
        <v>185</v>
      </c>
      <c r="U1029">
        <v>0.001566816253832818</v>
      </c>
      <c r="V1029" t="s">
        <v>88</v>
      </c>
    </row>
    <row r="1030" spans="19:22" ht="14.25">
      <c r="S1030" t="s">
        <v>151</v>
      </c>
      <c r="T1030" t="s">
        <v>186</v>
      </c>
      <c r="U1030">
        <v>0.007065753273988575</v>
      </c>
      <c r="V1030" t="s">
        <v>88</v>
      </c>
    </row>
    <row r="1031" spans="19:22" ht="14.25">
      <c r="S1031" t="s">
        <v>151</v>
      </c>
      <c r="T1031" t="s">
        <v>94</v>
      </c>
      <c r="U1031">
        <v>0.019258671651620308</v>
      </c>
      <c r="V1031" t="s">
        <v>88</v>
      </c>
    </row>
    <row r="1032" spans="19:22" ht="14.25">
      <c r="S1032" t="s">
        <v>151</v>
      </c>
      <c r="T1032" t="s">
        <v>95</v>
      </c>
      <c r="U1032">
        <v>0.011024669437692433</v>
      </c>
      <c r="V1032" t="s">
        <v>88</v>
      </c>
    </row>
    <row r="1033" spans="19:22" ht="14.25">
      <c r="S1033" t="s">
        <v>151</v>
      </c>
      <c r="T1033" t="s">
        <v>96</v>
      </c>
      <c r="U1033">
        <v>0.017121547548454984</v>
      </c>
      <c r="V1033" t="s">
        <v>88</v>
      </c>
    </row>
    <row r="1034" spans="19:22" ht="14.25">
      <c r="S1034" t="s">
        <v>151</v>
      </c>
      <c r="T1034" t="s">
        <v>187</v>
      </c>
      <c r="U1034">
        <v>0.0028053976748873607</v>
      </c>
      <c r="V1034" t="s">
        <v>88</v>
      </c>
    </row>
    <row r="1035" spans="19:22" ht="14.25">
      <c r="S1035" t="s">
        <v>151</v>
      </c>
      <c r="T1035" t="s">
        <v>188</v>
      </c>
      <c r="U1035">
        <v>0.0027093987270332479</v>
      </c>
      <c r="V1035" t="s">
        <v>88</v>
      </c>
    </row>
    <row r="1036" spans="19:22" ht="14.25">
      <c r="S1036" t="s">
        <v>151</v>
      </c>
      <c r="T1036" t="s">
        <v>189</v>
      </c>
      <c r="U1036">
        <v>0.012713260082685262</v>
      </c>
      <c r="V1036" t="s">
        <v>88</v>
      </c>
    </row>
    <row r="1037" spans="19:22" ht="14.25">
      <c r="S1037" t="s">
        <v>151</v>
      </c>
      <c r="T1037" t="s">
        <v>97</v>
      </c>
      <c r="U1037">
        <v>0.04694824851713409</v>
      </c>
      <c r="V1037" t="s">
        <v>88</v>
      </c>
    </row>
    <row r="1038" spans="19:22" ht="14.25">
      <c r="S1038" t="s">
        <v>151</v>
      </c>
      <c r="T1038" t="s">
        <v>98</v>
      </c>
      <c r="U1038">
        <v>0.024982535628929853</v>
      </c>
      <c r="V1038" t="s">
        <v>88</v>
      </c>
    </row>
    <row r="1039" spans="19:22" ht="14.25">
      <c r="S1039" t="s">
        <v>151</v>
      </c>
      <c r="T1039" t="s">
        <v>99</v>
      </c>
      <c r="U1039">
        <v>0.040255566940714929</v>
      </c>
      <c r="V1039" t="s">
        <v>88</v>
      </c>
    </row>
    <row r="1040" spans="19:22" ht="14.25">
      <c r="S1040" t="s">
        <v>151</v>
      </c>
      <c r="T1040" t="s">
        <v>190</v>
      </c>
      <c r="U1040">
        <v>0.0066389168996704101</v>
      </c>
      <c r="V1040" t="s">
        <v>88</v>
      </c>
    </row>
    <row r="1041" spans="19:22" ht="14.25">
      <c r="S1041" t="s">
        <v>151</v>
      </c>
      <c r="T1041" t="s">
        <v>191</v>
      </c>
      <c r="U1041">
        <v>0.006585674082714728</v>
      </c>
      <c r="V1041" t="s">
        <v>88</v>
      </c>
    </row>
    <row r="1042" spans="19:22" ht="14.25">
      <c r="S1042" t="s">
        <v>151</v>
      </c>
      <c r="T1042" t="s">
        <v>192</v>
      </c>
      <c r="U1042">
        <v>0.03260670638073291</v>
      </c>
      <c r="V1042" t="s">
        <v>88</v>
      </c>
    </row>
    <row r="1043" spans="19:22" ht="14.25">
      <c r="S1043" t="s">
        <v>151</v>
      </c>
      <c r="T1043" t="s">
        <v>193</v>
      </c>
      <c r="U1043">
        <v>0.026487182606477352</v>
      </c>
      <c r="V1043" t="s">
        <v>88</v>
      </c>
    </row>
    <row r="1044" spans="19:22" ht="14.25">
      <c r="S1044" t="s">
        <v>151</v>
      </c>
      <c r="T1044" t="s">
        <v>194</v>
      </c>
      <c r="U1044">
        <v>0.014834273766639951</v>
      </c>
      <c r="V1044" t="s">
        <v>88</v>
      </c>
    </row>
    <row r="1045" spans="19:22" ht="14.25">
      <c r="S1045" t="s">
        <v>151</v>
      </c>
      <c r="T1045" t="s">
        <v>195</v>
      </c>
      <c r="U1045">
        <v>0.023221049350699668</v>
      </c>
      <c r="V1045" t="s">
        <v>88</v>
      </c>
    </row>
    <row r="1046" spans="19:22" ht="14.25">
      <c r="S1046" t="s">
        <v>151</v>
      </c>
      <c r="T1046" t="s">
        <v>196</v>
      </c>
      <c r="U1046">
        <v>0.0041522766380632055</v>
      </c>
      <c r="V1046" t="s">
        <v>88</v>
      </c>
    </row>
    <row r="1047" spans="19:22" ht="14.25">
      <c r="S1047" t="s">
        <v>151</v>
      </c>
      <c r="T1047" t="s">
        <v>197</v>
      </c>
      <c r="U1047">
        <v>0.0041195441295635822</v>
      </c>
      <c r="V1047" t="s">
        <v>88</v>
      </c>
    </row>
    <row r="1048" spans="19:22" ht="14.25">
      <c r="S1048" t="s">
        <v>151</v>
      </c>
      <c r="T1048" t="s">
        <v>198</v>
      </c>
      <c r="U1048">
        <v>0.019476147304489811</v>
      </c>
      <c r="V1048" t="s">
        <v>88</v>
      </c>
    </row>
    <row r="1049" spans="19:22" ht="14.25">
      <c r="S1049" t="s">
        <v>151</v>
      </c>
      <c r="T1049" t="s">
        <v>199</v>
      </c>
      <c r="U1049">
        <v>0.085797609157057406</v>
      </c>
      <c r="V1049" t="s">
        <v>88</v>
      </c>
    </row>
    <row r="1050" spans="19:22" ht="14.25">
      <c r="S1050" t="s">
        <v>151</v>
      </c>
      <c r="T1050" t="s">
        <v>200</v>
      </c>
      <c r="U1050">
        <v>0.047253174439879253</v>
      </c>
      <c r="V1050" t="s">
        <v>88</v>
      </c>
    </row>
    <row r="1051" spans="19:22" ht="14.25">
      <c r="S1051" t="s">
        <v>151</v>
      </c>
      <c r="T1051" t="s">
        <v>201</v>
      </c>
      <c r="U1051">
        <v>0.075502539052037951</v>
      </c>
      <c r="V1051" t="s">
        <v>88</v>
      </c>
    </row>
    <row r="1052" spans="19:22" ht="14.25">
      <c r="S1052" t="s">
        <v>151</v>
      </c>
      <c r="T1052" t="s">
        <v>202</v>
      </c>
      <c r="U1052">
        <v>0.012559911081305691</v>
      </c>
      <c r="V1052" t="s">
        <v>88</v>
      </c>
    </row>
    <row r="1053" spans="19:22" ht="14.25">
      <c r="S1053" t="s">
        <v>151</v>
      </c>
      <c r="T1053" t="s">
        <v>203</v>
      </c>
      <c r="U1053">
        <v>0.012271937280137809</v>
      </c>
      <c r="V1053" t="s">
        <v>88</v>
      </c>
    </row>
    <row r="1054" spans="19:22" ht="14.25">
      <c r="S1054" t="s">
        <v>151</v>
      </c>
      <c r="T1054" t="s">
        <v>204</v>
      </c>
      <c r="U1054">
        <v>0.059863085430768258</v>
      </c>
      <c r="V1054" t="s">
        <v>88</v>
      </c>
    </row>
    <row r="1055" spans="19:22" ht="14.25">
      <c r="S1055" t="s">
        <v>151</v>
      </c>
      <c r="T1055" t="s">
        <v>205</v>
      </c>
      <c r="U1055">
        <v>0.032992262548643257</v>
      </c>
      <c r="V1055" t="s">
        <v>88</v>
      </c>
    </row>
    <row r="1056" spans="19:22" ht="14.25">
      <c r="S1056" t="s">
        <v>151</v>
      </c>
      <c r="T1056" t="s">
        <v>206</v>
      </c>
      <c r="U1056">
        <v>0.017859291727406246</v>
      </c>
      <c r="V1056" t="s">
        <v>88</v>
      </c>
    </row>
    <row r="1057" spans="19:22" ht="14.25">
      <c r="S1057" t="s">
        <v>151</v>
      </c>
      <c r="T1057" t="s">
        <v>207</v>
      </c>
      <c r="U1057">
        <v>0.029841768548328883</v>
      </c>
      <c r="V1057" t="s">
        <v>88</v>
      </c>
    </row>
    <row r="1058" spans="19:22" ht="14.25">
      <c r="S1058" t="s">
        <v>151</v>
      </c>
      <c r="T1058" t="s">
        <v>208</v>
      </c>
      <c r="U1058">
        <v>0.0050736251549123052</v>
      </c>
      <c r="V1058" t="s">
        <v>88</v>
      </c>
    </row>
    <row r="1059" spans="19:22" ht="14.25">
      <c r="S1059" t="s">
        <v>151</v>
      </c>
      <c r="T1059" t="s">
        <v>209</v>
      </c>
      <c r="U1059">
        <v>0.0050297010914300624</v>
      </c>
      <c r="V1059" t="s">
        <v>88</v>
      </c>
    </row>
    <row r="1060" spans="19:22" ht="14.25">
      <c r="S1060" t="s">
        <v>151</v>
      </c>
      <c r="T1060" t="s">
        <v>210</v>
      </c>
      <c r="U1060">
        <v>0.024199964004920502</v>
      </c>
      <c r="V1060" t="s">
        <v>88</v>
      </c>
    </row>
    <row r="1061" spans="19:22" ht="14.25">
      <c r="S1061" t="s">
        <v>151</v>
      </c>
      <c r="T1061" t="s">
        <v>211</v>
      </c>
      <c r="U1061">
        <v>0.043389673111405937</v>
      </c>
      <c r="V1061" t="s">
        <v>88</v>
      </c>
    </row>
    <row r="1062" spans="19:22" ht="14.25">
      <c r="S1062" t="s">
        <v>151</v>
      </c>
      <c r="T1062" t="s">
        <v>212</v>
      </c>
      <c r="U1062">
        <v>0.024259505834746908</v>
      </c>
      <c r="V1062" t="s">
        <v>88</v>
      </c>
    </row>
    <row r="1063" spans="19:22" ht="14.25">
      <c r="S1063" t="s">
        <v>151</v>
      </c>
      <c r="T1063" t="s">
        <v>213</v>
      </c>
      <c r="U1063">
        <v>0.040652534904063245</v>
      </c>
      <c r="V1063" t="s">
        <v>88</v>
      </c>
    </row>
    <row r="1064" spans="19:22" ht="14.25">
      <c r="S1064" t="s">
        <v>151</v>
      </c>
      <c r="T1064" t="s">
        <v>214</v>
      </c>
      <c r="U1064">
        <v>0.0067854060436085707</v>
      </c>
      <c r="V1064" t="s">
        <v>88</v>
      </c>
    </row>
    <row r="1065" spans="19:22" ht="14.25">
      <c r="S1065" t="s">
        <v>151</v>
      </c>
      <c r="T1065" t="s">
        <v>215</v>
      </c>
      <c r="U1065">
        <v>0.00676592155089056</v>
      </c>
      <c r="V1065" t="s">
        <v>88</v>
      </c>
    </row>
    <row r="1066" spans="19:22" ht="14.25">
      <c r="S1066" t="s">
        <v>151</v>
      </c>
      <c r="T1066" t="s">
        <v>216</v>
      </c>
      <c r="U1066">
        <v>0.032869458770159829</v>
      </c>
      <c r="V1066" t="s">
        <v>88</v>
      </c>
    </row>
    <row r="1067" spans="19:22" ht="14.25">
      <c r="S1067" t="s">
        <v>152</v>
      </c>
      <c r="T1067" t="s">
        <v>87</v>
      </c>
      <c r="U1067">
        <v>0.029607627552311076</v>
      </c>
      <c r="V1067" t="s">
        <v>88</v>
      </c>
    </row>
    <row r="1068" spans="19:22" ht="14.25">
      <c r="S1068" t="s">
        <v>152</v>
      </c>
      <c r="T1068" t="s">
        <v>89</v>
      </c>
      <c r="U1068">
        <v>0.014989060220987255</v>
      </c>
      <c r="V1068" t="s">
        <v>88</v>
      </c>
    </row>
    <row r="1069" spans="19:22" ht="14.25">
      <c r="S1069" t="s">
        <v>152</v>
      </c>
      <c r="T1069" t="s">
        <v>90</v>
      </c>
      <c r="U1069">
        <v>0.02376892339256766</v>
      </c>
      <c r="V1069" t="s">
        <v>88</v>
      </c>
    </row>
    <row r="1070" spans="19:22" ht="14.25">
      <c r="S1070" t="s">
        <v>152</v>
      </c>
      <c r="T1070" t="s">
        <v>181</v>
      </c>
      <c r="U1070">
        <v>0.0039260451120261925</v>
      </c>
      <c r="V1070" t="s">
        <v>88</v>
      </c>
    </row>
    <row r="1071" spans="19:22" ht="14.25">
      <c r="S1071" t="s">
        <v>152</v>
      </c>
      <c r="T1071" t="s">
        <v>182</v>
      </c>
      <c r="U1071">
        <v>0.0038551854620589112</v>
      </c>
      <c r="V1071" t="s">
        <v>88</v>
      </c>
    </row>
    <row r="1072" spans="19:22" ht="14.25">
      <c r="S1072" t="s">
        <v>152</v>
      </c>
      <c r="T1072" t="s">
        <v>183</v>
      </c>
      <c r="U1072">
        <v>0.018652934622815323</v>
      </c>
      <c r="V1072" t="s">
        <v>88</v>
      </c>
    </row>
    <row r="1073" spans="19:22" ht="14.25">
      <c r="S1073" t="s">
        <v>152</v>
      </c>
      <c r="T1073" t="s">
        <v>91</v>
      </c>
      <c r="U1073">
        <v>0.012226665878055182</v>
      </c>
      <c r="V1073" t="s">
        <v>88</v>
      </c>
    </row>
    <row r="1074" spans="19:22" ht="14.25">
      <c r="S1074" t="s">
        <v>152</v>
      </c>
      <c r="T1074" t="s">
        <v>92</v>
      </c>
      <c r="U1074">
        <v>0.0062847631043517118</v>
      </c>
      <c r="V1074" t="s">
        <v>88</v>
      </c>
    </row>
    <row r="1075" spans="19:22" ht="14.25">
      <c r="S1075" t="s">
        <v>152</v>
      </c>
      <c r="T1075" t="s">
        <v>93</v>
      </c>
      <c r="U1075">
        <v>0.0121644792721451</v>
      </c>
      <c r="V1075" t="s">
        <v>88</v>
      </c>
    </row>
    <row r="1076" spans="19:22" ht="14.25">
      <c r="S1076" t="s">
        <v>152</v>
      </c>
      <c r="T1076" t="s">
        <v>184</v>
      </c>
      <c r="U1076">
        <v>0.0023115786542084165</v>
      </c>
      <c r="V1076" t="s">
        <v>88</v>
      </c>
    </row>
    <row r="1077" spans="19:22" ht="14.25">
      <c r="S1077" t="s">
        <v>152</v>
      </c>
      <c r="T1077" t="s">
        <v>185</v>
      </c>
      <c r="U1077">
        <v>0.0022416495429730633</v>
      </c>
      <c r="V1077" t="s">
        <v>88</v>
      </c>
    </row>
    <row r="1078" spans="19:22" ht="14.25">
      <c r="S1078" t="s">
        <v>152</v>
      </c>
      <c r="T1078" t="s">
        <v>186</v>
      </c>
      <c r="U1078">
        <v>0.009257966760745525</v>
      </c>
      <c r="V1078" t="s">
        <v>88</v>
      </c>
    </row>
    <row r="1079" spans="19:22" ht="14.25">
      <c r="S1079" t="s">
        <v>152</v>
      </c>
      <c r="T1079" t="s">
        <v>94</v>
      </c>
      <c r="U1079">
        <v>0.021262066220882281</v>
      </c>
      <c r="V1079" t="s">
        <v>88</v>
      </c>
    </row>
    <row r="1080" spans="19:22" ht="14.25">
      <c r="S1080" t="s">
        <v>152</v>
      </c>
      <c r="T1080" t="s">
        <v>95</v>
      </c>
      <c r="U1080">
        <v>0.012316390173335294</v>
      </c>
      <c r="V1080" t="s">
        <v>88</v>
      </c>
    </row>
    <row r="1081" spans="19:22" ht="14.25">
      <c r="S1081" t="s">
        <v>152</v>
      </c>
      <c r="T1081" t="s">
        <v>96</v>
      </c>
      <c r="U1081">
        <v>0.018885574027826292</v>
      </c>
      <c r="V1081" t="s">
        <v>88</v>
      </c>
    </row>
    <row r="1082" spans="19:22" ht="14.25">
      <c r="S1082" t="s">
        <v>152</v>
      </c>
      <c r="T1082" t="s">
        <v>187</v>
      </c>
      <c r="U1082">
        <v>0.0030041479709089322</v>
      </c>
      <c r="V1082" t="s">
        <v>88</v>
      </c>
    </row>
    <row r="1083" spans="19:22" ht="14.25">
      <c r="S1083" t="s">
        <v>152</v>
      </c>
      <c r="T1083" t="s">
        <v>188</v>
      </c>
      <c r="U1083">
        <v>0.0028717562940985836</v>
      </c>
      <c r="V1083" t="s">
        <v>88</v>
      </c>
    </row>
    <row r="1084" spans="19:22" ht="14.25">
      <c r="S1084" t="s">
        <v>152</v>
      </c>
      <c r="T1084" t="s">
        <v>189</v>
      </c>
      <c r="U1084">
        <v>0.014415244409072122</v>
      </c>
      <c r="V1084" t="s">
        <v>88</v>
      </c>
    </row>
    <row r="1085" spans="19:22" ht="14.25">
      <c r="S1085" t="s">
        <v>152</v>
      </c>
      <c r="T1085" t="s">
        <v>97</v>
      </c>
      <c r="U1085">
        <v>0.04061959784242531</v>
      </c>
      <c r="V1085" t="s">
        <v>88</v>
      </c>
    </row>
    <row r="1086" spans="19:22" ht="14.25">
      <c r="S1086" t="s">
        <v>152</v>
      </c>
      <c r="T1086" t="s">
        <v>98</v>
      </c>
      <c r="U1086">
        <v>0.022714750380542804</v>
      </c>
      <c r="V1086" t="s">
        <v>88</v>
      </c>
    </row>
    <row r="1087" spans="19:22" ht="14.25">
      <c r="S1087" t="s">
        <v>152</v>
      </c>
      <c r="T1087" t="s">
        <v>99</v>
      </c>
      <c r="U1087">
        <v>0.039747701738474826</v>
      </c>
      <c r="V1087" t="s">
        <v>88</v>
      </c>
    </row>
    <row r="1088" spans="19:22" ht="14.25">
      <c r="S1088" t="s">
        <v>152</v>
      </c>
      <c r="T1088" t="s">
        <v>190</v>
      </c>
      <c r="U1088">
        <v>0.0066375845212588314</v>
      </c>
      <c r="V1088" t="s">
        <v>88</v>
      </c>
    </row>
    <row r="1089" spans="19:22" ht="14.25">
      <c r="S1089" t="s">
        <v>152</v>
      </c>
      <c r="T1089" t="s">
        <v>191</v>
      </c>
      <c r="U1089">
        <v>0.0063955928435993886</v>
      </c>
      <c r="V1089" t="s">
        <v>88</v>
      </c>
    </row>
    <row r="1090" spans="19:22" ht="14.25">
      <c r="S1090" t="s">
        <v>152</v>
      </c>
      <c r="T1090" t="s">
        <v>192</v>
      </c>
      <c r="U1090">
        <v>0.028751086674752024</v>
      </c>
      <c r="V1090" t="s">
        <v>88</v>
      </c>
    </row>
    <row r="1091" spans="19:22" ht="14.25">
      <c r="S1091" t="s">
        <v>152</v>
      </c>
      <c r="T1091" t="s">
        <v>193</v>
      </c>
      <c r="U1091">
        <v>0.025817839940088978</v>
      </c>
      <c r="V1091" t="s">
        <v>88</v>
      </c>
    </row>
    <row r="1092" spans="19:22" ht="14.25">
      <c r="S1092" t="s">
        <v>152</v>
      </c>
      <c r="T1092" t="s">
        <v>194</v>
      </c>
      <c r="U1092">
        <v>0.014469431525365711</v>
      </c>
      <c r="V1092" t="s">
        <v>88</v>
      </c>
    </row>
    <row r="1093" spans="19:22" ht="14.25">
      <c r="S1093" t="s">
        <v>152</v>
      </c>
      <c r="T1093" t="s">
        <v>195</v>
      </c>
      <c r="U1093">
        <v>0.023255317881773655</v>
      </c>
      <c r="V1093" t="s">
        <v>88</v>
      </c>
    </row>
    <row r="1094" spans="19:22" ht="14.25">
      <c r="S1094" t="s">
        <v>152</v>
      </c>
      <c r="T1094" t="s">
        <v>196</v>
      </c>
      <c r="U1094">
        <v>0.0038741628979881721</v>
      </c>
      <c r="V1094" t="s">
        <v>88</v>
      </c>
    </row>
    <row r="1095" spans="19:22" ht="14.25">
      <c r="S1095" t="s">
        <v>152</v>
      </c>
      <c r="T1095" t="s">
        <v>197</v>
      </c>
      <c r="U1095">
        <v>0.0037323425546624445</v>
      </c>
      <c r="V1095" t="s">
        <v>88</v>
      </c>
    </row>
    <row r="1096" spans="19:22" ht="14.25">
      <c r="S1096" t="s">
        <v>152</v>
      </c>
      <c r="T1096" t="s">
        <v>198</v>
      </c>
      <c r="U1096">
        <v>0.017742151999917317</v>
      </c>
      <c r="V1096" t="s">
        <v>88</v>
      </c>
    </row>
    <row r="1097" spans="19:22" ht="14.25">
      <c r="S1097" t="s">
        <v>152</v>
      </c>
      <c r="T1097" t="s">
        <v>199</v>
      </c>
      <c r="U1097">
        <v>0.080687146835281817</v>
      </c>
      <c r="V1097" t="s">
        <v>88</v>
      </c>
    </row>
    <row r="1098" spans="19:22" ht="14.25">
      <c r="S1098" t="s">
        <v>152</v>
      </c>
      <c r="T1098" t="s">
        <v>200</v>
      </c>
      <c r="U1098">
        <v>0.044416883971672337</v>
      </c>
      <c r="V1098" t="s">
        <v>88</v>
      </c>
    </row>
    <row r="1099" spans="19:22" ht="14.25">
      <c r="S1099" t="s">
        <v>152</v>
      </c>
      <c r="T1099" t="s">
        <v>201</v>
      </c>
      <c r="U1099">
        <v>0.071637473372748867</v>
      </c>
      <c r="V1099" t="s">
        <v>88</v>
      </c>
    </row>
    <row r="1100" spans="19:22" ht="14.25">
      <c r="S1100" t="s">
        <v>152</v>
      </c>
      <c r="T1100" t="s">
        <v>202</v>
      </c>
      <c r="U1100">
        <v>0.011656506667796471</v>
      </c>
      <c r="V1100" t="s">
        <v>88</v>
      </c>
    </row>
    <row r="1101" spans="19:22" ht="14.25">
      <c r="S1101" t="s">
        <v>152</v>
      </c>
      <c r="T1101" t="s">
        <v>203</v>
      </c>
      <c r="U1101">
        <v>0.011588969739923436</v>
      </c>
      <c r="V1101" t="s">
        <v>88</v>
      </c>
    </row>
    <row r="1102" spans="19:22" ht="14.25">
      <c r="S1102" t="s">
        <v>152</v>
      </c>
      <c r="T1102" t="s">
        <v>204</v>
      </c>
      <c r="U1102">
        <v>0.057041790212547537</v>
      </c>
      <c r="V1102" t="s">
        <v>88</v>
      </c>
    </row>
    <row r="1103" spans="19:22" ht="14.25">
      <c r="S1103" t="s">
        <v>152</v>
      </c>
      <c r="T1103" t="s">
        <v>205</v>
      </c>
      <c r="U1103">
        <v>0.029666541457334446</v>
      </c>
      <c r="V1103" t="s">
        <v>88</v>
      </c>
    </row>
    <row r="1104" spans="19:22" ht="14.25">
      <c r="S1104" t="s">
        <v>152</v>
      </c>
      <c r="T1104" t="s">
        <v>206</v>
      </c>
      <c r="U1104">
        <v>0.017112437304070832</v>
      </c>
      <c r="V1104" t="s">
        <v>88</v>
      </c>
    </row>
    <row r="1105" spans="19:22" ht="14.25">
      <c r="S1105" t="s">
        <v>152</v>
      </c>
      <c r="T1105" t="s">
        <v>207</v>
      </c>
      <c r="U1105">
        <v>0.030224204877210083</v>
      </c>
      <c r="V1105" t="s">
        <v>88</v>
      </c>
    </row>
    <row r="1106" spans="19:22" ht="14.25">
      <c r="S1106" t="s">
        <v>152</v>
      </c>
      <c r="T1106" t="s">
        <v>208</v>
      </c>
      <c r="U1106">
        <v>0.0050233000606124314</v>
      </c>
      <c r="V1106" t="s">
        <v>88</v>
      </c>
    </row>
    <row r="1107" spans="19:22" ht="14.25">
      <c r="S1107" t="s">
        <v>152</v>
      </c>
      <c r="T1107" t="s">
        <v>209</v>
      </c>
      <c r="U1107">
        <v>0.0050168767179314807</v>
      </c>
      <c r="V1107" t="s">
        <v>88</v>
      </c>
    </row>
    <row r="1108" spans="19:22" ht="14.25">
      <c r="S1108" t="s">
        <v>152</v>
      </c>
      <c r="T1108" t="s">
        <v>210</v>
      </c>
      <c r="U1108">
        <v>0.022702010577190259</v>
      </c>
      <c r="V1108" t="s">
        <v>88</v>
      </c>
    </row>
    <row r="1109" spans="19:22" ht="14.25">
      <c r="S1109" t="s">
        <v>152</v>
      </c>
      <c r="T1109" t="s">
        <v>211</v>
      </c>
      <c r="U1109">
        <v>0.045087983044651787</v>
      </c>
      <c r="V1109" t="s">
        <v>88</v>
      </c>
    </row>
    <row r="1110" spans="19:22" ht="14.25">
      <c r="S1110" t="s">
        <v>152</v>
      </c>
      <c r="T1110" t="s">
        <v>212</v>
      </c>
      <c r="U1110">
        <v>0.025614415694959623</v>
      </c>
      <c r="V1110" t="s">
        <v>88</v>
      </c>
    </row>
    <row r="1111" spans="19:22" ht="14.25">
      <c r="S1111" t="s">
        <v>152</v>
      </c>
      <c r="T1111" t="s">
        <v>213</v>
      </c>
      <c r="U1111">
        <v>0.04505849636383346</v>
      </c>
      <c r="V1111" t="s">
        <v>88</v>
      </c>
    </row>
    <row r="1112" spans="19:22" ht="14.25">
      <c r="S1112" t="s">
        <v>152</v>
      </c>
      <c r="T1112" t="s">
        <v>214</v>
      </c>
      <c r="U1112">
        <v>0.0078891361497414499</v>
      </c>
      <c r="V1112" t="s">
        <v>88</v>
      </c>
    </row>
    <row r="1113" spans="19:22" ht="14.25">
      <c r="S1113" t="s">
        <v>152</v>
      </c>
      <c r="T1113" t="s">
        <v>215</v>
      </c>
      <c r="U1113">
        <v>0.0079376693845624891</v>
      </c>
      <c r="V1113" t="s">
        <v>88</v>
      </c>
    </row>
    <row r="1114" spans="19:22" ht="14.25">
      <c r="S1114" t="s">
        <v>152</v>
      </c>
      <c r="T1114" t="s">
        <v>216</v>
      </c>
      <c r="U1114">
        <v>0.035838538095709666</v>
      </c>
      <c r="V1114" t="s">
        <v>88</v>
      </c>
    </row>
    <row r="1115" spans="19:22" ht="14.25">
      <c r="S1115" t="s">
        <v>153</v>
      </c>
      <c r="T1115" t="s">
        <v>87</v>
      </c>
      <c r="U1115">
        <v>0.029942925952436538</v>
      </c>
      <c r="V1115" t="s">
        <v>88</v>
      </c>
    </row>
    <row r="1116" spans="19:22" ht="14.25">
      <c r="S1116" t="s">
        <v>153</v>
      </c>
      <c r="T1116" t="s">
        <v>89</v>
      </c>
      <c r="U1116">
        <v>0.016250298625849136</v>
      </c>
      <c r="V1116" t="s">
        <v>88</v>
      </c>
    </row>
    <row r="1117" spans="19:22" ht="14.25">
      <c r="S1117" t="s">
        <v>153</v>
      </c>
      <c r="T1117" t="s">
        <v>90</v>
      </c>
      <c r="U1117">
        <v>0.025361219354488103</v>
      </c>
      <c r="V1117" t="s">
        <v>88</v>
      </c>
    </row>
    <row r="1118" spans="19:22" ht="14.25">
      <c r="S1118" t="s">
        <v>153</v>
      </c>
      <c r="T1118" t="s">
        <v>181</v>
      </c>
      <c r="U1118">
        <v>0.0040315431448914828</v>
      </c>
      <c r="V1118" t="s">
        <v>88</v>
      </c>
    </row>
    <row r="1119" spans="19:22" ht="14.25">
      <c r="S1119" t="s">
        <v>153</v>
      </c>
      <c r="T1119" t="s">
        <v>182</v>
      </c>
      <c r="U1119">
        <v>0.0039495235926494303</v>
      </c>
      <c r="V1119" t="s">
        <v>88</v>
      </c>
    </row>
    <row r="1120" spans="19:22" ht="14.25">
      <c r="S1120" t="s">
        <v>153</v>
      </c>
      <c r="T1120" t="s">
        <v>183</v>
      </c>
      <c r="U1120">
        <v>0.018064703970164832</v>
      </c>
      <c r="V1120" t="s">
        <v>88</v>
      </c>
    </row>
    <row r="1121" spans="19:22" ht="14.25">
      <c r="S1121" t="s">
        <v>153</v>
      </c>
      <c r="T1121" t="s">
        <v>91</v>
      </c>
      <c r="U1121">
        <v>0.012293990030033395</v>
      </c>
      <c r="V1121" t="s">
        <v>88</v>
      </c>
    </row>
    <row r="1122" spans="19:22" ht="14.25">
      <c r="S1122" t="s">
        <v>153</v>
      </c>
      <c r="T1122" t="s">
        <v>92</v>
      </c>
      <c r="U1122">
        <v>0.0062608541217559618</v>
      </c>
      <c r="V1122" t="s">
        <v>88</v>
      </c>
    </row>
    <row r="1123" spans="19:22" ht="14.25">
      <c r="S1123" t="s">
        <v>153</v>
      </c>
      <c r="T1123" t="s">
        <v>93</v>
      </c>
      <c r="U1123">
        <v>0.011150569454895115</v>
      </c>
      <c r="V1123" t="s">
        <v>88</v>
      </c>
    </row>
    <row r="1124" spans="19:22" ht="14.25">
      <c r="S1124" t="s">
        <v>153</v>
      </c>
      <c r="T1124" t="s">
        <v>184</v>
      </c>
      <c r="U1124">
        <v>0.0024689835766802367</v>
      </c>
      <c r="V1124" t="s">
        <v>88</v>
      </c>
    </row>
    <row r="1125" spans="19:22" ht="14.25">
      <c r="S1125" t="s">
        <v>153</v>
      </c>
      <c r="T1125" t="s">
        <v>185</v>
      </c>
      <c r="U1125">
        <v>0.0025013819543712535</v>
      </c>
      <c r="V1125" t="s">
        <v>88</v>
      </c>
    </row>
    <row r="1126" spans="19:22" ht="14.25">
      <c r="S1126" t="s">
        <v>153</v>
      </c>
      <c r="T1126" t="s">
        <v>186</v>
      </c>
      <c r="U1126">
        <v>0.010471035105853262</v>
      </c>
      <c r="V1126" t="s">
        <v>88</v>
      </c>
    </row>
    <row r="1127" spans="19:22" ht="14.25">
      <c r="S1127" t="s">
        <v>153</v>
      </c>
      <c r="T1127" t="s">
        <v>94</v>
      </c>
      <c r="U1127">
        <v>0.015300147998922606</v>
      </c>
      <c r="V1127" t="s">
        <v>88</v>
      </c>
    </row>
    <row r="1128" spans="19:22" ht="14.25">
      <c r="S1128" t="s">
        <v>153</v>
      </c>
      <c r="T1128" t="s">
        <v>95</v>
      </c>
      <c r="U1128">
        <v>0.010216817295533675</v>
      </c>
      <c r="V1128" t="s">
        <v>88</v>
      </c>
    </row>
    <row r="1129" spans="19:22" ht="14.25">
      <c r="S1129" t="s">
        <v>153</v>
      </c>
      <c r="T1129" t="s">
        <v>96</v>
      </c>
      <c r="U1129">
        <v>0.016551674438201571</v>
      </c>
      <c r="V1129" t="s">
        <v>88</v>
      </c>
    </row>
    <row r="1130" spans="19:22" ht="14.25">
      <c r="S1130" t="s">
        <v>153</v>
      </c>
      <c r="T1130" t="s">
        <v>187</v>
      </c>
      <c r="U1130">
        <v>0.0027206048734835127</v>
      </c>
      <c r="V1130" t="s">
        <v>88</v>
      </c>
    </row>
    <row r="1131" spans="19:22" ht="14.25">
      <c r="S1131" t="s">
        <v>153</v>
      </c>
      <c r="T1131" t="s">
        <v>188</v>
      </c>
      <c r="U1131">
        <v>0.002619064347342426</v>
      </c>
      <c r="V1131" t="s">
        <v>88</v>
      </c>
    </row>
    <row r="1132" spans="19:22" ht="14.25">
      <c r="S1132" t="s">
        <v>153</v>
      </c>
      <c r="T1132" t="s">
        <v>189</v>
      </c>
      <c r="U1132">
        <v>0.010761634501633303</v>
      </c>
      <c r="V1132" t="s">
        <v>88</v>
      </c>
    </row>
    <row r="1133" spans="19:22" ht="14.25">
      <c r="S1133" t="s">
        <v>153</v>
      </c>
      <c r="T1133" t="s">
        <v>97</v>
      </c>
      <c r="U1133">
        <v>0.045039380613215302</v>
      </c>
      <c r="V1133" t="s">
        <v>88</v>
      </c>
    </row>
    <row r="1134" spans="19:22" ht="14.25">
      <c r="S1134" t="s">
        <v>153</v>
      </c>
      <c r="T1134" t="s">
        <v>98</v>
      </c>
      <c r="U1134">
        <v>0.023286131156601754</v>
      </c>
      <c r="V1134" t="s">
        <v>88</v>
      </c>
    </row>
    <row r="1135" spans="19:22" ht="14.25">
      <c r="S1135" t="s">
        <v>153</v>
      </c>
      <c r="T1135" t="s">
        <v>99</v>
      </c>
      <c r="U1135">
        <v>0.039837699136585282</v>
      </c>
      <c r="V1135" t="s">
        <v>88</v>
      </c>
    </row>
    <row r="1136" spans="19:22" ht="14.25">
      <c r="S1136" t="s">
        <v>153</v>
      </c>
      <c r="T1136" t="s">
        <v>190</v>
      </c>
      <c r="U1136">
        <v>0.0067531931558967228</v>
      </c>
      <c r="V1136" t="s">
        <v>88</v>
      </c>
    </row>
    <row r="1137" spans="19:22" ht="14.25">
      <c r="S1137" t="s">
        <v>153</v>
      </c>
      <c r="T1137" t="s">
        <v>191</v>
      </c>
      <c r="U1137">
        <v>0.006619791294585552</v>
      </c>
      <c r="V1137" t="s">
        <v>88</v>
      </c>
    </row>
    <row r="1138" spans="19:22" ht="14.25">
      <c r="S1138" t="s">
        <v>153</v>
      </c>
      <c r="T1138" t="s">
        <v>192</v>
      </c>
      <c r="U1138">
        <v>0.031172317528666251</v>
      </c>
      <c r="V1138" t="s">
        <v>88</v>
      </c>
    </row>
    <row r="1139" spans="19:22" ht="14.25">
      <c r="S1139" t="s">
        <v>153</v>
      </c>
      <c r="T1139" t="s">
        <v>193</v>
      </c>
      <c r="U1139">
        <v>0.023474973982582352</v>
      </c>
      <c r="V1139" t="s">
        <v>88</v>
      </c>
    </row>
    <row r="1140" spans="19:22" ht="14.25">
      <c r="S1140" t="s">
        <v>153</v>
      </c>
      <c r="T1140" t="s">
        <v>194</v>
      </c>
      <c r="U1140">
        <v>0.013231960410697512</v>
      </c>
      <c r="V1140" t="s">
        <v>88</v>
      </c>
    </row>
    <row r="1141" spans="19:22" ht="14.25">
      <c r="S1141" t="s">
        <v>153</v>
      </c>
      <c r="T1141" t="s">
        <v>195</v>
      </c>
      <c r="U1141">
        <v>0.021843734098485789</v>
      </c>
      <c r="V1141" t="s">
        <v>88</v>
      </c>
    </row>
    <row r="1142" spans="19:22" ht="14.25">
      <c r="S1142" t="s">
        <v>153</v>
      </c>
      <c r="T1142" t="s">
        <v>196</v>
      </c>
      <c r="U1142">
        <v>0.0039378580969778318</v>
      </c>
      <c r="V1142" t="s">
        <v>88</v>
      </c>
    </row>
    <row r="1143" spans="19:22" ht="14.25">
      <c r="S1143" t="s">
        <v>153</v>
      </c>
      <c r="T1143" t="s">
        <v>197</v>
      </c>
      <c r="U1143">
        <v>0.0039483420293632528</v>
      </c>
      <c r="V1143" t="s">
        <v>88</v>
      </c>
    </row>
    <row r="1144" spans="19:22" ht="14.25">
      <c r="S1144" t="s">
        <v>153</v>
      </c>
      <c r="T1144" t="s">
        <v>198</v>
      </c>
      <c r="U1144">
        <v>0.018554195224809913</v>
      </c>
      <c r="V1144" t="s">
        <v>88</v>
      </c>
    </row>
    <row r="1145" spans="19:22" ht="14.25">
      <c r="S1145" t="s">
        <v>153</v>
      </c>
      <c r="T1145" t="s">
        <v>199</v>
      </c>
      <c r="U1145">
        <v>0.083769252220796092</v>
      </c>
      <c r="V1145" t="s">
        <v>88</v>
      </c>
    </row>
    <row r="1146" spans="19:22" ht="14.25">
      <c r="S1146" t="s">
        <v>153</v>
      </c>
      <c r="T1146" t="s">
        <v>200</v>
      </c>
      <c r="U1146">
        <v>0.044750690916740998</v>
      </c>
      <c r="V1146" t="s">
        <v>88</v>
      </c>
    </row>
    <row r="1147" spans="19:22" ht="14.25">
      <c r="S1147" t="s">
        <v>153</v>
      </c>
      <c r="T1147" t="s">
        <v>201</v>
      </c>
      <c r="U1147">
        <v>0.073974614554666737</v>
      </c>
      <c r="V1147" t="s">
        <v>88</v>
      </c>
    </row>
    <row r="1148" spans="19:22" ht="14.25">
      <c r="S1148" t="s">
        <v>153</v>
      </c>
      <c r="T1148" t="s">
        <v>202</v>
      </c>
      <c r="U1148">
        <v>0.012817853637925087</v>
      </c>
      <c r="V1148" t="s">
        <v>88</v>
      </c>
    </row>
    <row r="1149" spans="19:22" ht="14.25">
      <c r="S1149" t="s">
        <v>153</v>
      </c>
      <c r="T1149" t="s">
        <v>203</v>
      </c>
      <c r="U1149">
        <v>0.012600497946250327</v>
      </c>
      <c r="V1149" t="s">
        <v>88</v>
      </c>
    </row>
    <row r="1150" spans="19:22" ht="14.25">
      <c r="S1150" t="s">
        <v>153</v>
      </c>
      <c r="T1150" t="s">
        <v>204</v>
      </c>
      <c r="U1150">
        <v>0.061087966114483284</v>
      </c>
      <c r="V1150" t="s">
        <v>88</v>
      </c>
    </row>
    <row r="1151" spans="19:22" ht="14.25">
      <c r="S1151" t="s">
        <v>153</v>
      </c>
      <c r="T1151" t="s">
        <v>205</v>
      </c>
      <c r="U1151">
        <v>0.034524018941776778</v>
      </c>
      <c r="V1151" t="s">
        <v>88</v>
      </c>
    </row>
    <row r="1152" spans="19:22" ht="14.25">
      <c r="S1152" t="s">
        <v>153</v>
      </c>
      <c r="T1152" t="s">
        <v>206</v>
      </c>
      <c r="U1152">
        <v>0.01795696640123947</v>
      </c>
      <c r="V1152" t="s">
        <v>88</v>
      </c>
    </row>
    <row r="1153" spans="19:22" ht="14.25">
      <c r="S1153" t="s">
        <v>153</v>
      </c>
      <c r="T1153" t="s">
        <v>207</v>
      </c>
      <c r="U1153">
        <v>0.032575082727509884</v>
      </c>
      <c r="V1153" t="s">
        <v>88</v>
      </c>
    </row>
    <row r="1154" spans="19:22" ht="14.25">
      <c r="S1154" t="s">
        <v>153</v>
      </c>
      <c r="T1154" t="s">
        <v>208</v>
      </c>
      <c r="U1154">
        <v>0.0056352251562790338</v>
      </c>
      <c r="V1154" t="s">
        <v>88</v>
      </c>
    </row>
    <row r="1155" spans="19:22" ht="14.25">
      <c r="S1155" t="s">
        <v>153</v>
      </c>
      <c r="T1155" t="s">
        <v>209</v>
      </c>
      <c r="U1155">
        <v>0.0055406785175117455</v>
      </c>
      <c r="V1155" t="s">
        <v>88</v>
      </c>
    </row>
    <row r="1156" spans="19:22" ht="14.25">
      <c r="S1156" t="s">
        <v>153</v>
      </c>
      <c r="T1156" t="s">
        <v>210</v>
      </c>
      <c r="U1156">
        <v>0.02601784658171748</v>
      </c>
      <c r="V1156" t="s">
        <v>88</v>
      </c>
    </row>
    <row r="1157" spans="19:22" ht="14.25">
      <c r="S1157" t="s">
        <v>153</v>
      </c>
      <c r="T1157" t="s">
        <v>211</v>
      </c>
      <c r="U1157">
        <v>0.041801583521848068</v>
      </c>
      <c r="V1157" t="s">
        <v>88</v>
      </c>
    </row>
    <row r="1158" spans="19:22" ht="14.25">
      <c r="S1158" t="s">
        <v>153</v>
      </c>
      <c r="T1158" t="s">
        <v>212</v>
      </c>
      <c r="U1158">
        <v>0.022380417649645566</v>
      </c>
      <c r="V1158" t="s">
        <v>88</v>
      </c>
    </row>
    <row r="1159" spans="19:22" ht="14.25">
      <c r="S1159" t="s">
        <v>153</v>
      </c>
      <c r="T1159" t="s">
        <v>213</v>
      </c>
      <c r="U1159">
        <v>0.039907328691497497</v>
      </c>
      <c r="V1159" t="s">
        <v>88</v>
      </c>
    </row>
    <row r="1160" spans="19:22" ht="14.25">
      <c r="S1160" t="s">
        <v>153</v>
      </c>
      <c r="T1160" t="s">
        <v>214</v>
      </c>
      <c r="U1160">
        <v>0.0070821090526812644</v>
      </c>
      <c r="V1160" t="s">
        <v>88</v>
      </c>
    </row>
    <row r="1161" spans="19:22" ht="14.25">
      <c r="S1161" t="s">
        <v>153</v>
      </c>
      <c r="T1161" t="s">
        <v>215</v>
      </c>
      <c r="U1161">
        <v>0.0070141229382533667</v>
      </c>
      <c r="V1161" t="s">
        <v>88</v>
      </c>
    </row>
    <row r="1162" spans="19:22" ht="14.25">
      <c r="S1162" t="s">
        <v>153</v>
      </c>
      <c r="T1162" t="s">
        <v>216</v>
      </c>
      <c r="U1162">
        <v>0.031947195361524634</v>
      </c>
      <c r="V1162" t="s">
        <v>88</v>
      </c>
    </row>
    <row r="1163" spans="19:22" ht="14.25">
      <c r="S1163" t="s">
        <v>154</v>
      </c>
      <c r="T1163" t="s">
        <v>87</v>
      </c>
      <c r="U1163">
        <v>0.028400550099104024</v>
      </c>
      <c r="V1163" t="s">
        <v>88</v>
      </c>
    </row>
    <row r="1164" spans="19:22" ht="14.25">
      <c r="S1164" t="s">
        <v>154</v>
      </c>
      <c r="T1164" t="s">
        <v>89</v>
      </c>
      <c r="U1164">
        <v>0.015515498464924013</v>
      </c>
      <c r="V1164" t="s">
        <v>88</v>
      </c>
    </row>
    <row r="1165" spans="19:22" ht="14.25">
      <c r="S1165" t="s">
        <v>154</v>
      </c>
      <c r="T1165" t="s">
        <v>90</v>
      </c>
      <c r="U1165">
        <v>0.026414493374647768</v>
      </c>
      <c r="V1165" t="s">
        <v>88</v>
      </c>
    </row>
    <row r="1166" spans="19:22" ht="14.25">
      <c r="S1166" t="s">
        <v>154</v>
      </c>
      <c r="T1166" t="s">
        <v>181</v>
      </c>
      <c r="U1166">
        <v>0.0047312654618126152</v>
      </c>
      <c r="V1166" t="s">
        <v>88</v>
      </c>
    </row>
    <row r="1167" spans="19:22" ht="14.25">
      <c r="S1167" t="s">
        <v>154</v>
      </c>
      <c r="T1167" t="s">
        <v>182</v>
      </c>
      <c r="U1167">
        <v>0.004704320686910856</v>
      </c>
      <c r="V1167" t="s">
        <v>88</v>
      </c>
    </row>
    <row r="1168" spans="19:22" ht="14.25">
      <c r="S1168" t="s">
        <v>154</v>
      </c>
      <c r="T1168" t="s">
        <v>183</v>
      </c>
      <c r="U1168">
        <v>0.022566394308321573</v>
      </c>
      <c r="V1168" t="s">
        <v>88</v>
      </c>
    </row>
    <row r="1169" spans="19:22" ht="14.25">
      <c r="S1169" t="s">
        <v>154</v>
      </c>
      <c r="T1169" t="s">
        <v>91</v>
      </c>
      <c r="U1169">
        <v>0.018944759689028211</v>
      </c>
      <c r="V1169" t="s">
        <v>88</v>
      </c>
    </row>
    <row r="1170" spans="19:22" ht="14.25">
      <c r="S1170" t="s">
        <v>154</v>
      </c>
      <c r="T1170" t="s">
        <v>92</v>
      </c>
      <c r="U1170">
        <v>0.0095032932992084231</v>
      </c>
      <c r="V1170" t="s">
        <v>88</v>
      </c>
    </row>
    <row r="1171" spans="19:22" ht="14.25">
      <c r="S1171" t="s">
        <v>154</v>
      </c>
      <c r="T1171" t="s">
        <v>93</v>
      </c>
      <c r="U1171">
        <v>0.016216199348470142</v>
      </c>
      <c r="V1171" t="s">
        <v>88</v>
      </c>
    </row>
    <row r="1172" spans="19:22" ht="14.25">
      <c r="S1172" t="s">
        <v>154</v>
      </c>
      <c r="T1172" t="s">
        <v>184</v>
      </c>
      <c r="U1172">
        <v>0.0032483478935263414</v>
      </c>
      <c r="V1172" t="s">
        <v>88</v>
      </c>
    </row>
    <row r="1173" spans="19:22" ht="14.25">
      <c r="S1173" t="s">
        <v>154</v>
      </c>
      <c r="T1173" t="s">
        <v>185</v>
      </c>
      <c r="U1173">
        <v>0.0033369475726282593</v>
      </c>
      <c r="V1173" t="s">
        <v>88</v>
      </c>
    </row>
    <row r="1174" spans="19:22" ht="14.25">
      <c r="S1174" t="s">
        <v>154</v>
      </c>
      <c r="T1174" t="s">
        <v>186</v>
      </c>
      <c r="U1174">
        <v>0.015678980534760328</v>
      </c>
      <c r="V1174" t="s">
        <v>88</v>
      </c>
    </row>
    <row r="1175" spans="19:22" ht="14.25">
      <c r="S1175" t="s">
        <v>154</v>
      </c>
      <c r="T1175" t="s">
        <v>94</v>
      </c>
      <c r="U1175">
        <v>0.015213935404065088</v>
      </c>
      <c r="V1175" t="s">
        <v>88</v>
      </c>
    </row>
    <row r="1176" spans="19:22" ht="14.25">
      <c r="S1176" t="s">
        <v>154</v>
      </c>
      <c r="T1176" t="s">
        <v>95</v>
      </c>
      <c r="U1176">
        <v>0.0075257178440468926</v>
      </c>
      <c r="V1176" t="s">
        <v>88</v>
      </c>
    </row>
    <row r="1177" spans="19:22" ht="14.25">
      <c r="S1177" t="s">
        <v>154</v>
      </c>
      <c r="T1177" t="s">
        <v>96</v>
      </c>
      <c r="U1177">
        <v>0.014204959590925581</v>
      </c>
      <c r="V1177" t="s">
        <v>88</v>
      </c>
    </row>
    <row r="1178" spans="19:22" ht="14.25">
      <c r="S1178" t="s">
        <v>154</v>
      </c>
      <c r="T1178" t="s">
        <v>187</v>
      </c>
      <c r="U1178">
        <v>0.0028939148618154632</v>
      </c>
      <c r="V1178" t="s">
        <v>88</v>
      </c>
    </row>
    <row r="1179" spans="19:22" ht="14.25">
      <c r="S1179" t="s">
        <v>154</v>
      </c>
      <c r="T1179" t="s">
        <v>188</v>
      </c>
      <c r="U1179">
        <v>0.0029640157999508907</v>
      </c>
      <c r="V1179" t="s">
        <v>88</v>
      </c>
    </row>
    <row r="1180" spans="19:22" ht="14.25">
      <c r="S1180" t="s">
        <v>154</v>
      </c>
      <c r="T1180" t="s">
        <v>189</v>
      </c>
      <c r="U1180">
        <v>0.01479445350442825</v>
      </c>
      <c r="V1180" t="s">
        <v>88</v>
      </c>
    </row>
    <row r="1181" spans="19:22" ht="14.25">
      <c r="S1181" t="s">
        <v>154</v>
      </c>
      <c r="T1181" t="s">
        <v>97</v>
      </c>
      <c r="U1181">
        <v>0.050436702210071092</v>
      </c>
      <c r="V1181" t="s">
        <v>88</v>
      </c>
    </row>
    <row r="1182" spans="19:22" ht="14.25">
      <c r="S1182" t="s">
        <v>154</v>
      </c>
      <c r="T1182" t="s">
        <v>98</v>
      </c>
      <c r="U1182">
        <v>0.027951551223525758</v>
      </c>
      <c r="V1182" t="s">
        <v>88</v>
      </c>
    </row>
    <row r="1183" spans="19:22" ht="14.25">
      <c r="S1183" t="s">
        <v>154</v>
      </c>
      <c r="T1183" t="s">
        <v>99</v>
      </c>
      <c r="U1183">
        <v>0.038474177270510182</v>
      </c>
      <c r="V1183" t="s">
        <v>88</v>
      </c>
    </row>
    <row r="1184" spans="19:22" ht="14.25">
      <c r="S1184" t="s">
        <v>154</v>
      </c>
      <c r="T1184" t="s">
        <v>190</v>
      </c>
      <c r="U1184">
        <v>0.0063799969766751511</v>
      </c>
      <c r="V1184" t="s">
        <v>88</v>
      </c>
    </row>
    <row r="1185" spans="19:22" ht="14.25">
      <c r="S1185" t="s">
        <v>154</v>
      </c>
      <c r="T1185" t="s">
        <v>191</v>
      </c>
      <c r="U1185">
        <v>0.0066152080524219149</v>
      </c>
      <c r="V1185" t="s">
        <v>88</v>
      </c>
    </row>
    <row r="1186" spans="19:22" ht="14.25">
      <c r="S1186" t="s">
        <v>154</v>
      </c>
      <c r="T1186" t="s">
        <v>192</v>
      </c>
      <c r="U1186">
        <v>0.034762383593384669</v>
      </c>
      <c r="V1186" t="s">
        <v>88</v>
      </c>
    </row>
    <row r="1187" spans="19:22" ht="14.25">
      <c r="S1187" t="s">
        <v>154</v>
      </c>
      <c r="T1187" t="s">
        <v>193</v>
      </c>
      <c r="U1187">
        <v>0.027500207903589077</v>
      </c>
      <c r="V1187" t="s">
        <v>88</v>
      </c>
    </row>
    <row r="1188" spans="19:22" ht="14.25">
      <c r="S1188" t="s">
        <v>154</v>
      </c>
      <c r="T1188" t="s">
        <v>194</v>
      </c>
      <c r="U1188">
        <v>0.01450166952338342</v>
      </c>
      <c r="V1188" t="s">
        <v>88</v>
      </c>
    </row>
    <row r="1189" spans="19:22" ht="14.25">
      <c r="S1189" t="s">
        <v>154</v>
      </c>
      <c r="T1189" t="s">
        <v>195</v>
      </c>
      <c r="U1189">
        <v>0.021737363073524266</v>
      </c>
      <c r="V1189" t="s">
        <v>88</v>
      </c>
    </row>
    <row r="1190" spans="19:22" ht="14.25">
      <c r="S1190" t="s">
        <v>154</v>
      </c>
      <c r="T1190" t="s">
        <v>196</v>
      </c>
      <c r="U1190">
        <v>0.0036263760265673743</v>
      </c>
      <c r="V1190" t="s">
        <v>88</v>
      </c>
    </row>
    <row r="1191" spans="19:22" ht="14.25">
      <c r="S1191" t="s">
        <v>154</v>
      </c>
      <c r="T1191" t="s">
        <v>197</v>
      </c>
      <c r="U1191">
        <v>0.003704593458630597</v>
      </c>
      <c r="V1191" t="s">
        <v>88</v>
      </c>
    </row>
    <row r="1192" spans="19:22" ht="14.25">
      <c r="S1192" t="s">
        <v>154</v>
      </c>
      <c r="T1192" t="s">
        <v>198</v>
      </c>
      <c r="U1192">
        <v>0.019481327920363525</v>
      </c>
      <c r="V1192" t="s">
        <v>88</v>
      </c>
    </row>
    <row r="1193" spans="19:22" ht="14.25">
      <c r="S1193" t="s">
        <v>154</v>
      </c>
      <c r="T1193" t="s">
        <v>199</v>
      </c>
      <c r="U1193">
        <v>0.083009389041046377</v>
      </c>
      <c r="V1193" t="s">
        <v>88</v>
      </c>
    </row>
    <row r="1194" spans="19:22" ht="14.25">
      <c r="S1194" t="s">
        <v>154</v>
      </c>
      <c r="T1194" t="s">
        <v>200</v>
      </c>
      <c r="U1194">
        <v>0.043469026409882879</v>
      </c>
      <c r="V1194" t="s">
        <v>88</v>
      </c>
    </row>
    <row r="1195" spans="19:22" ht="14.25">
      <c r="S1195" t="s">
        <v>154</v>
      </c>
      <c r="T1195" t="s">
        <v>201</v>
      </c>
      <c r="U1195">
        <v>0.060971319762754821</v>
      </c>
      <c r="V1195" t="s">
        <v>88</v>
      </c>
    </row>
    <row r="1196" spans="19:22" ht="14.25">
      <c r="S1196" t="s">
        <v>154</v>
      </c>
      <c r="T1196" t="s">
        <v>202</v>
      </c>
      <c r="U1196">
        <v>0.010787207013965976</v>
      </c>
      <c r="V1196" t="s">
        <v>88</v>
      </c>
    </row>
    <row r="1197" spans="19:22" ht="14.25">
      <c r="S1197" t="s">
        <v>154</v>
      </c>
      <c r="T1197" t="s">
        <v>203</v>
      </c>
      <c r="U1197">
        <v>0.011117551240810921</v>
      </c>
      <c r="V1197" t="s">
        <v>88</v>
      </c>
    </row>
    <row r="1198" spans="19:22" ht="14.25">
      <c r="S1198" t="s">
        <v>154</v>
      </c>
      <c r="T1198" t="s">
        <v>204</v>
      </c>
      <c r="U1198">
        <v>0.05811099553369186</v>
      </c>
      <c r="V1198" t="s">
        <v>88</v>
      </c>
    </row>
    <row r="1199" spans="19:22" ht="14.25">
      <c r="S1199" t="s">
        <v>154</v>
      </c>
      <c r="T1199" t="s">
        <v>205</v>
      </c>
      <c r="U1199">
        <v>0.030672605226850485</v>
      </c>
      <c r="V1199" t="s">
        <v>88</v>
      </c>
    </row>
    <row r="1200" spans="19:22" ht="14.25">
      <c r="S1200" t="s">
        <v>154</v>
      </c>
      <c r="T1200" t="s">
        <v>206</v>
      </c>
      <c r="U1200">
        <v>0.015257544163226805</v>
      </c>
      <c r="V1200" t="s">
        <v>88</v>
      </c>
    </row>
    <row r="1201" spans="19:22" ht="14.25">
      <c r="S1201" t="s">
        <v>154</v>
      </c>
      <c r="T1201" t="s">
        <v>207</v>
      </c>
      <c r="U1201">
        <v>0.026332022926602014</v>
      </c>
      <c r="V1201" t="s">
        <v>88</v>
      </c>
    </row>
    <row r="1202" spans="19:22" ht="14.25">
      <c r="S1202" t="s">
        <v>154</v>
      </c>
      <c r="T1202" t="s">
        <v>208</v>
      </c>
      <c r="U1202">
        <v>0.0048944468850103647</v>
      </c>
      <c r="V1202" t="s">
        <v>88</v>
      </c>
    </row>
    <row r="1203" spans="19:22" ht="14.25">
      <c r="S1203" t="s">
        <v>154</v>
      </c>
      <c r="T1203" t="s">
        <v>209</v>
      </c>
      <c r="U1203">
        <v>0.0050339375786448972</v>
      </c>
      <c r="V1203" t="s">
        <v>88</v>
      </c>
    </row>
    <row r="1204" spans="19:22" ht="14.25">
      <c r="S1204" t="s">
        <v>154</v>
      </c>
      <c r="T1204" t="s">
        <v>210</v>
      </c>
      <c r="U1204">
        <v>0.026122996287298254</v>
      </c>
      <c r="V1204" t="s">
        <v>88</v>
      </c>
    </row>
    <row r="1205" spans="19:22" ht="14.25">
      <c r="S1205" t="s">
        <v>154</v>
      </c>
      <c r="T1205" t="s">
        <v>211</v>
      </c>
      <c r="U1205">
        <v>0.041790452286898573</v>
      </c>
      <c r="V1205" t="s">
        <v>88</v>
      </c>
    </row>
    <row r="1206" spans="19:22" ht="14.25">
      <c r="S1206" t="s">
        <v>154</v>
      </c>
      <c r="T1206" t="s">
        <v>212</v>
      </c>
      <c r="U1206">
        <v>0.022462321290713232</v>
      </c>
      <c r="V1206" t="s">
        <v>88</v>
      </c>
    </row>
    <row r="1207" spans="19:22" ht="14.25">
      <c r="S1207" t="s">
        <v>154</v>
      </c>
      <c r="T1207" t="s">
        <v>213</v>
      </c>
      <c r="U1207">
        <v>0.03506381363506586</v>
      </c>
      <c r="V1207" t="s">
        <v>88</v>
      </c>
    </row>
    <row r="1208" spans="19:22" ht="14.25">
      <c r="S1208" t="s">
        <v>154</v>
      </c>
      <c r="T1208" t="s">
        <v>214</v>
      </c>
      <c r="U1208">
        <v>0.0059214600529898772</v>
      </c>
      <c r="V1208" t="s">
        <v>88</v>
      </c>
    </row>
    <row r="1209" spans="19:22" ht="14.25">
      <c r="S1209" t="s">
        <v>154</v>
      </c>
      <c r="T1209" t="s">
        <v>215</v>
      </c>
      <c r="U1209">
        <v>0.0060083064653814397</v>
      </c>
      <c r="V1209" t="s">
        <v>88</v>
      </c>
    </row>
    <row r="1210" spans="19:22" ht="14.25">
      <c r="S1210" t="s">
        <v>154</v>
      </c>
      <c r="T1210" t="s">
        <v>216</v>
      </c>
      <c r="U1210">
        <v>0.030944999227942718</v>
      </c>
      <c r="V1210" t="s">
        <v>88</v>
      </c>
    </row>
    <row r="1211" spans="19:22" ht="14.25">
      <c r="S1211" t="s">
        <v>155</v>
      </c>
      <c r="T1211" t="s">
        <v>87</v>
      </c>
      <c r="U1211">
        <v>0.026895554016757552</v>
      </c>
      <c r="V1211" t="s">
        <v>88</v>
      </c>
    </row>
    <row r="1212" spans="19:22" ht="14.25">
      <c r="S1212" t="s">
        <v>155</v>
      </c>
      <c r="T1212" t="s">
        <v>89</v>
      </c>
      <c r="U1212">
        <v>0.014232863628264239</v>
      </c>
      <c r="V1212" t="s">
        <v>88</v>
      </c>
    </row>
    <row r="1213" spans="19:22" ht="14.25">
      <c r="S1213" t="s">
        <v>155</v>
      </c>
      <c r="T1213" t="s">
        <v>90</v>
      </c>
      <c r="U1213">
        <v>0.02531991992134526</v>
      </c>
      <c r="V1213" t="s">
        <v>88</v>
      </c>
    </row>
    <row r="1214" spans="19:22" ht="14.25">
      <c r="S1214" t="s">
        <v>155</v>
      </c>
      <c r="T1214" t="s">
        <v>181</v>
      </c>
      <c r="U1214">
        <v>0.0051505580673775631</v>
      </c>
      <c r="V1214" t="s">
        <v>88</v>
      </c>
    </row>
    <row r="1215" spans="19:22" ht="14.25">
      <c r="S1215" t="s">
        <v>155</v>
      </c>
      <c r="T1215" t="s">
        <v>182</v>
      </c>
      <c r="U1215">
        <v>0.0052016086007842461</v>
      </c>
      <c r="V1215" t="s">
        <v>88</v>
      </c>
    </row>
    <row r="1216" spans="19:22" ht="14.25">
      <c r="S1216" t="s">
        <v>155</v>
      </c>
      <c r="T1216" t="s">
        <v>183</v>
      </c>
      <c r="U1216">
        <v>0.023730688751387286</v>
      </c>
      <c r="V1216" t="s">
        <v>88</v>
      </c>
    </row>
    <row r="1217" spans="19:22" ht="14.25">
      <c r="S1217" t="s">
        <v>155</v>
      </c>
      <c r="T1217" t="s">
        <v>91</v>
      </c>
      <c r="U1217">
        <v>0.016247150158790084</v>
      </c>
      <c r="V1217" t="s">
        <v>88</v>
      </c>
    </row>
    <row r="1218" spans="19:22" ht="14.25">
      <c r="S1218" t="s">
        <v>155</v>
      </c>
      <c r="T1218" t="s">
        <v>92</v>
      </c>
      <c r="U1218">
        <v>0.008135465954668842</v>
      </c>
      <c r="V1218" t="s">
        <v>88</v>
      </c>
    </row>
    <row r="1219" spans="19:22" ht="14.25">
      <c r="S1219" t="s">
        <v>155</v>
      </c>
      <c r="T1219" t="s">
        <v>93</v>
      </c>
      <c r="U1219">
        <v>0.016388294825545727</v>
      </c>
      <c r="V1219" t="s">
        <v>88</v>
      </c>
    </row>
    <row r="1220" spans="19:22" ht="14.25">
      <c r="S1220" t="s">
        <v>155</v>
      </c>
      <c r="T1220" t="s">
        <v>184</v>
      </c>
      <c r="U1220">
        <v>0.0032660451524068471</v>
      </c>
      <c r="V1220" t="s">
        <v>88</v>
      </c>
    </row>
    <row r="1221" spans="19:22" ht="14.25">
      <c r="S1221" t="s">
        <v>155</v>
      </c>
      <c r="T1221" t="s">
        <v>185</v>
      </c>
      <c r="U1221">
        <v>0.0032641557141727161</v>
      </c>
      <c r="V1221" t="s">
        <v>88</v>
      </c>
    </row>
    <row r="1222" spans="19:22" ht="14.25">
      <c r="S1222" t="s">
        <v>155</v>
      </c>
      <c r="T1222" t="s">
        <v>186</v>
      </c>
      <c r="U1222">
        <v>0.01518572202125539</v>
      </c>
      <c r="V1222" t="s">
        <v>88</v>
      </c>
    </row>
    <row r="1223" spans="19:22" ht="14.25">
      <c r="S1223" t="s">
        <v>155</v>
      </c>
      <c r="T1223" t="s">
        <v>94</v>
      </c>
      <c r="U1223">
        <v>0.012624577668407648</v>
      </c>
      <c r="V1223" t="s">
        <v>88</v>
      </c>
    </row>
    <row r="1224" spans="19:22" ht="14.25">
      <c r="S1224" t="s">
        <v>155</v>
      </c>
      <c r="T1224" t="s">
        <v>95</v>
      </c>
      <c r="U1224">
        <v>0.0078374099863333137</v>
      </c>
      <c r="V1224" t="s">
        <v>88</v>
      </c>
    </row>
    <row r="1225" spans="19:22" ht="14.25">
      <c r="S1225" t="s">
        <v>155</v>
      </c>
      <c r="T1225" t="s">
        <v>96</v>
      </c>
      <c r="U1225">
        <v>0.015068355144189555</v>
      </c>
      <c r="V1225" t="s">
        <v>88</v>
      </c>
    </row>
    <row r="1226" spans="19:22" ht="14.25">
      <c r="S1226" t="s">
        <v>155</v>
      </c>
      <c r="T1226" t="s">
        <v>187</v>
      </c>
      <c r="U1226">
        <v>0.003094022010039887</v>
      </c>
      <c r="V1226" t="s">
        <v>88</v>
      </c>
    </row>
    <row r="1227" spans="19:22" ht="14.25">
      <c r="S1227" t="s">
        <v>155</v>
      </c>
      <c r="T1227" t="s">
        <v>188</v>
      </c>
      <c r="U1227">
        <v>0.0033143144433662609</v>
      </c>
      <c r="V1227" t="s">
        <v>88</v>
      </c>
    </row>
    <row r="1228" spans="19:22" ht="14.25">
      <c r="S1228" t="s">
        <v>155</v>
      </c>
      <c r="T1228" t="s">
        <v>189</v>
      </c>
      <c r="U1228">
        <v>0.015888081242753923</v>
      </c>
      <c r="V1228" t="s">
        <v>88</v>
      </c>
    </row>
    <row r="1229" spans="19:22" ht="14.25">
      <c r="S1229" t="s">
        <v>155</v>
      </c>
      <c r="T1229" t="s">
        <v>97</v>
      </c>
      <c r="U1229">
        <v>0.052783719198087158</v>
      </c>
      <c r="V1229" t="s">
        <v>88</v>
      </c>
    </row>
    <row r="1230" spans="19:22" ht="14.25">
      <c r="S1230" t="s">
        <v>155</v>
      </c>
      <c r="T1230" t="s">
        <v>98</v>
      </c>
      <c r="U1230">
        <v>0.026590565178669048</v>
      </c>
      <c r="V1230" t="s">
        <v>88</v>
      </c>
    </row>
    <row r="1231" spans="19:22" ht="14.25">
      <c r="S1231" t="s">
        <v>155</v>
      </c>
      <c r="T1231" t="s">
        <v>99</v>
      </c>
      <c r="U1231">
        <v>0.037552980075654545</v>
      </c>
      <c r="V1231" t="s">
        <v>88</v>
      </c>
    </row>
    <row r="1232" spans="19:22" ht="14.25">
      <c r="S1232" t="s">
        <v>155</v>
      </c>
      <c r="T1232" t="s">
        <v>190</v>
      </c>
      <c r="U1232">
        <v>0.0068807516497120498</v>
      </c>
      <c r="V1232" t="s">
        <v>88</v>
      </c>
    </row>
    <row r="1233" spans="19:22" ht="14.25">
      <c r="S1233" t="s">
        <v>155</v>
      </c>
      <c r="T1233" t="s">
        <v>191</v>
      </c>
      <c r="U1233">
        <v>0.007006774329154722</v>
      </c>
      <c r="V1233" t="s">
        <v>88</v>
      </c>
    </row>
    <row r="1234" spans="19:22" ht="14.25">
      <c r="S1234" t="s">
        <v>155</v>
      </c>
      <c r="T1234" t="s">
        <v>192</v>
      </c>
      <c r="U1234">
        <v>0.036133853800683333</v>
      </c>
      <c r="V1234" t="s">
        <v>88</v>
      </c>
    </row>
    <row r="1235" spans="19:22" ht="14.25">
      <c r="S1235" t="s">
        <v>155</v>
      </c>
      <c r="T1235" t="s">
        <v>193</v>
      </c>
      <c r="U1235">
        <v>0.025587776246267905</v>
      </c>
      <c r="V1235" t="s">
        <v>88</v>
      </c>
    </row>
    <row r="1236" spans="19:22" ht="14.25">
      <c r="S1236" t="s">
        <v>155</v>
      </c>
      <c r="T1236" t="s">
        <v>194</v>
      </c>
      <c r="U1236">
        <v>0.01426876232778561</v>
      </c>
      <c r="V1236" t="s">
        <v>88</v>
      </c>
    </row>
    <row r="1237" spans="19:22" ht="14.25">
      <c r="S1237" t="s">
        <v>155</v>
      </c>
      <c r="T1237" t="s">
        <v>195</v>
      </c>
      <c r="U1237">
        <v>0.022534427083970972</v>
      </c>
      <c r="V1237" t="s">
        <v>88</v>
      </c>
    </row>
    <row r="1238" spans="19:22" ht="14.25">
      <c r="S1238" t="s">
        <v>155</v>
      </c>
      <c r="T1238" t="s">
        <v>196</v>
      </c>
      <c r="U1238">
        <v>0.0039641345930332703</v>
      </c>
      <c r="V1238" t="s">
        <v>88</v>
      </c>
    </row>
    <row r="1239" spans="19:22" ht="14.25">
      <c r="S1239" t="s">
        <v>155</v>
      </c>
      <c r="T1239" t="s">
        <v>197</v>
      </c>
      <c r="U1239">
        <v>0.003998113487977583</v>
      </c>
      <c r="V1239" t="s">
        <v>88</v>
      </c>
    </row>
    <row r="1240" spans="19:22" ht="14.25">
      <c r="S1240" t="s">
        <v>155</v>
      </c>
      <c r="T1240" t="s">
        <v>198</v>
      </c>
      <c r="U1240">
        <v>0.01946949602285836</v>
      </c>
      <c r="V1240" t="s">
        <v>88</v>
      </c>
    </row>
    <row r="1241" spans="19:22" ht="14.25">
      <c r="S1241" t="s">
        <v>155</v>
      </c>
      <c r="T1241" t="s">
        <v>199</v>
      </c>
      <c r="U1241">
        <v>0.082274854976525147</v>
      </c>
      <c r="V1241" t="s">
        <v>88</v>
      </c>
    </row>
    <row r="1242" spans="19:22" ht="14.25">
      <c r="S1242" t="s">
        <v>155</v>
      </c>
      <c r="T1242" t="s">
        <v>200</v>
      </c>
      <c r="U1242">
        <v>0.039749641376974218</v>
      </c>
      <c r="V1242" t="s">
        <v>88</v>
      </c>
    </row>
    <row r="1243" spans="19:22" ht="14.25">
      <c r="S1243" t="s">
        <v>155</v>
      </c>
      <c r="T1243" t="s">
        <v>201</v>
      </c>
      <c r="U1243">
        <v>0.061210788476002191</v>
      </c>
      <c r="V1243" t="s">
        <v>88</v>
      </c>
    </row>
    <row r="1244" spans="19:22" ht="14.25">
      <c r="S1244" t="s">
        <v>155</v>
      </c>
      <c r="T1244" t="s">
        <v>202</v>
      </c>
      <c r="U1244">
        <v>0.011448432484874435</v>
      </c>
      <c r="V1244" t="s">
        <v>88</v>
      </c>
    </row>
    <row r="1245" spans="19:22" ht="14.25">
      <c r="S1245" t="s">
        <v>155</v>
      </c>
      <c r="T1245" t="s">
        <v>203</v>
      </c>
      <c r="U1245">
        <v>0.011891689543328098</v>
      </c>
      <c r="V1245" t="s">
        <v>88</v>
      </c>
    </row>
    <row r="1246" spans="19:22" ht="14.25">
      <c r="S1246" t="s">
        <v>155</v>
      </c>
      <c r="T1246" t="s">
        <v>204</v>
      </c>
      <c r="U1246">
        <v>0.06167506767842032</v>
      </c>
      <c r="V1246" t="s">
        <v>88</v>
      </c>
    </row>
    <row r="1247" spans="19:22" ht="14.25">
      <c r="S1247" t="s">
        <v>155</v>
      </c>
      <c r="T1247" t="s">
        <v>205</v>
      </c>
      <c r="U1247">
        <v>0.031173364333589741</v>
      </c>
      <c r="V1247" t="s">
        <v>88</v>
      </c>
    </row>
    <row r="1248" spans="19:22" ht="14.25">
      <c r="S1248" t="s">
        <v>155</v>
      </c>
      <c r="T1248" t="s">
        <v>206</v>
      </c>
      <c r="U1248">
        <v>0.01721291726661707</v>
      </c>
      <c r="V1248" t="s">
        <v>88</v>
      </c>
    </row>
    <row r="1249" spans="19:22" ht="14.25">
      <c r="S1249" t="s">
        <v>155</v>
      </c>
      <c r="T1249" t="s">
        <v>207</v>
      </c>
      <c r="U1249">
        <v>0.025793729462523743</v>
      </c>
      <c r="V1249" t="s">
        <v>88</v>
      </c>
    </row>
    <row r="1250" spans="19:22" ht="14.25">
      <c r="S1250" t="s">
        <v>155</v>
      </c>
      <c r="T1250" t="s">
        <v>208</v>
      </c>
      <c r="U1250">
        <v>0.0046521026844416301</v>
      </c>
      <c r="V1250" t="s">
        <v>88</v>
      </c>
    </row>
    <row r="1251" spans="19:22" ht="14.25">
      <c r="S1251" t="s">
        <v>155</v>
      </c>
      <c r="T1251" t="s">
        <v>209</v>
      </c>
      <c r="U1251">
        <v>0.0047419320489958177</v>
      </c>
      <c r="V1251" t="s">
        <v>88</v>
      </c>
    </row>
    <row r="1252" spans="19:22" ht="14.25">
      <c r="S1252" t="s">
        <v>155</v>
      </c>
      <c r="T1252" t="s">
        <v>210</v>
      </c>
      <c r="U1252">
        <v>0.026034677595789462</v>
      </c>
      <c r="V1252" t="s">
        <v>88</v>
      </c>
    </row>
    <row r="1253" spans="19:22" ht="14.25">
      <c r="S1253" t="s">
        <v>155</v>
      </c>
      <c r="T1253" t="s">
        <v>211</v>
      </c>
      <c r="U1253">
        <v>0.040710779445219267</v>
      </c>
      <c r="V1253" t="s">
        <v>88</v>
      </c>
    </row>
    <row r="1254" spans="19:22" ht="14.25">
      <c r="S1254" t="s">
        <v>155</v>
      </c>
      <c r="T1254" t="s">
        <v>212</v>
      </c>
      <c r="U1254">
        <v>0.01984614389572438</v>
      </c>
      <c r="V1254" t="s">
        <v>88</v>
      </c>
    </row>
    <row r="1255" spans="19:22" ht="14.25">
      <c r="S1255" t="s">
        <v>155</v>
      </c>
      <c r="T1255" t="s">
        <v>213</v>
      </c>
      <c r="U1255">
        <v>0.035546852578224014</v>
      </c>
      <c r="V1255" t="s">
        <v>88</v>
      </c>
    </row>
    <row r="1256" spans="19:22" ht="14.25">
      <c r="S1256" t="s">
        <v>155</v>
      </c>
      <c r="T1256" t="s">
        <v>214</v>
      </c>
      <c r="U1256">
        <v>0.0070931115870888212</v>
      </c>
      <c r="V1256" t="s">
        <v>88</v>
      </c>
    </row>
    <row r="1257" spans="19:22" ht="14.25">
      <c r="S1257" t="s">
        <v>155</v>
      </c>
      <c r="T1257" t="s">
        <v>215</v>
      </c>
      <c r="U1257">
        <v>0.0071250234959413031</v>
      </c>
      <c r="V1257" t="s">
        <v>88</v>
      </c>
    </row>
    <row r="1258" spans="19:22" ht="14.25">
      <c r="S1258" t="s">
        <v>155</v>
      </c>
      <c r="T1258" t="s">
        <v>216</v>
      </c>
      <c r="U1258">
        <v>0.034202749768021151</v>
      </c>
      <c r="V1258" t="s">
        <v>88</v>
      </c>
    </row>
    <row r="1259" spans="19:22" ht="14.25">
      <c r="S1259" t="s">
        <v>156</v>
      </c>
      <c r="T1259" t="s">
        <v>87</v>
      </c>
      <c r="U1259">
        <v>0.025544284166427119</v>
      </c>
      <c r="V1259" t="s">
        <v>88</v>
      </c>
    </row>
    <row r="1260" spans="19:22" ht="14.25">
      <c r="S1260" t="s">
        <v>156</v>
      </c>
      <c r="T1260" t="s">
        <v>89</v>
      </c>
      <c r="U1260">
        <v>0.013622610103050185</v>
      </c>
      <c r="V1260" t="s">
        <v>88</v>
      </c>
    </row>
    <row r="1261" spans="19:22" ht="14.25">
      <c r="S1261" t="s">
        <v>156</v>
      </c>
      <c r="T1261" t="s">
        <v>90</v>
      </c>
      <c r="U1261">
        <v>0.024243886890902577</v>
      </c>
      <c r="V1261" t="s">
        <v>88</v>
      </c>
    </row>
    <row r="1262" spans="19:22" ht="14.25">
      <c r="S1262" t="s">
        <v>156</v>
      </c>
      <c r="T1262" t="s">
        <v>181</v>
      </c>
      <c r="U1262">
        <v>0.0040443074539002859</v>
      </c>
      <c r="V1262" t="s">
        <v>88</v>
      </c>
    </row>
    <row r="1263" spans="19:22" ht="14.25">
      <c r="S1263" t="s">
        <v>156</v>
      </c>
      <c r="T1263" t="s">
        <v>182</v>
      </c>
      <c r="U1263">
        <v>0.0039325688670072377</v>
      </c>
      <c r="V1263" t="s">
        <v>88</v>
      </c>
    </row>
    <row r="1264" spans="19:22" ht="14.25">
      <c r="S1264" t="s">
        <v>156</v>
      </c>
      <c r="T1264" t="s">
        <v>183</v>
      </c>
      <c r="U1264">
        <v>0.018439464612514937</v>
      </c>
      <c r="V1264" t="s">
        <v>88</v>
      </c>
    </row>
    <row r="1265" spans="19:22" ht="14.25">
      <c r="S1265" t="s">
        <v>156</v>
      </c>
      <c r="T1265" t="s">
        <v>91</v>
      </c>
      <c r="U1265">
        <v>0.017401877689071733</v>
      </c>
      <c r="V1265" t="s">
        <v>88</v>
      </c>
    </row>
    <row r="1266" spans="19:22" ht="14.25">
      <c r="S1266" t="s">
        <v>156</v>
      </c>
      <c r="T1266" t="s">
        <v>92</v>
      </c>
      <c r="U1266">
        <v>0.0099417664431613786</v>
      </c>
      <c r="V1266" t="s">
        <v>88</v>
      </c>
    </row>
    <row r="1267" spans="19:22" ht="14.25">
      <c r="S1267" t="s">
        <v>156</v>
      </c>
      <c r="T1267" t="s">
        <v>93</v>
      </c>
      <c r="U1267">
        <v>0.017342472105542676</v>
      </c>
      <c r="V1267" t="s">
        <v>88</v>
      </c>
    </row>
    <row r="1268" spans="19:22" ht="14.25">
      <c r="S1268" t="s">
        <v>156</v>
      </c>
      <c r="T1268" t="s">
        <v>184</v>
      </c>
      <c r="U1268">
        <v>0.002956491237273979</v>
      </c>
      <c r="V1268" t="s">
        <v>88</v>
      </c>
    </row>
    <row r="1269" spans="19:22" ht="14.25">
      <c r="S1269" t="s">
        <v>156</v>
      </c>
      <c r="T1269" t="s">
        <v>185</v>
      </c>
      <c r="U1269">
        <v>0.0029074674881909342</v>
      </c>
      <c r="V1269" t="s">
        <v>88</v>
      </c>
    </row>
    <row r="1270" spans="19:22" ht="14.25">
      <c r="S1270" t="s">
        <v>156</v>
      </c>
      <c r="T1270" t="s">
        <v>186</v>
      </c>
      <c r="U1270">
        <v>0.013340731945957002</v>
      </c>
      <c r="V1270" t="s">
        <v>88</v>
      </c>
    </row>
    <row r="1271" spans="19:22" ht="14.25">
      <c r="S1271" t="s">
        <v>156</v>
      </c>
      <c r="T1271" t="s">
        <v>94</v>
      </c>
      <c r="U1271">
        <v>0.02325190362172206</v>
      </c>
      <c r="V1271" t="s">
        <v>88</v>
      </c>
    </row>
    <row r="1272" spans="19:22" ht="14.25">
      <c r="S1272" t="s">
        <v>156</v>
      </c>
      <c r="T1272" t="s">
        <v>95</v>
      </c>
      <c r="U1272">
        <v>0.011484430482183706</v>
      </c>
      <c r="V1272" t="s">
        <v>88</v>
      </c>
    </row>
    <row r="1273" spans="19:22" ht="14.25">
      <c r="S1273" t="s">
        <v>156</v>
      </c>
      <c r="T1273" t="s">
        <v>96</v>
      </c>
      <c r="U1273">
        <v>0.018669713460149923</v>
      </c>
      <c r="V1273" t="s">
        <v>88</v>
      </c>
    </row>
    <row r="1274" spans="19:22" ht="14.25">
      <c r="S1274" t="s">
        <v>156</v>
      </c>
      <c r="T1274" t="s">
        <v>187</v>
      </c>
      <c r="U1274">
        <v>0.0033284392242531944</v>
      </c>
      <c r="V1274" t="s">
        <v>88</v>
      </c>
    </row>
    <row r="1275" spans="19:22" ht="14.25">
      <c r="S1275" t="s">
        <v>156</v>
      </c>
      <c r="T1275" t="s">
        <v>188</v>
      </c>
      <c r="U1275">
        <v>0.0033875678046708731</v>
      </c>
      <c r="V1275" t="s">
        <v>88</v>
      </c>
    </row>
    <row r="1276" spans="19:22" ht="14.25">
      <c r="S1276" t="s">
        <v>156</v>
      </c>
      <c r="T1276" t="s">
        <v>189</v>
      </c>
      <c r="U1276">
        <v>0.017252267071134576</v>
      </c>
      <c r="V1276" t="s">
        <v>88</v>
      </c>
    </row>
    <row r="1277" spans="19:22" ht="14.25">
      <c r="S1277" t="s">
        <v>156</v>
      </c>
      <c r="T1277" t="s">
        <v>97</v>
      </c>
      <c r="U1277">
        <v>0.047255648297344077</v>
      </c>
      <c r="V1277" t="s">
        <v>88</v>
      </c>
    </row>
    <row r="1278" spans="19:22" ht="14.25">
      <c r="S1278" t="s">
        <v>156</v>
      </c>
      <c r="T1278" t="s">
        <v>98</v>
      </c>
      <c r="U1278">
        <v>0.025433908972427699</v>
      </c>
      <c r="V1278" t="s">
        <v>88</v>
      </c>
    </row>
    <row r="1279" spans="19:22" ht="14.25">
      <c r="S1279" t="s">
        <v>156</v>
      </c>
      <c r="T1279" t="s">
        <v>99</v>
      </c>
      <c r="U1279">
        <v>0.042105908191358357</v>
      </c>
      <c r="V1279" t="s">
        <v>88</v>
      </c>
    </row>
    <row r="1280" spans="19:22" ht="14.25">
      <c r="S1280" t="s">
        <v>156</v>
      </c>
      <c r="T1280" t="s">
        <v>190</v>
      </c>
      <c r="U1280">
        <v>0.0069473131213359483</v>
      </c>
      <c r="V1280" t="s">
        <v>88</v>
      </c>
    </row>
    <row r="1281" spans="19:22" ht="14.25">
      <c r="S1281" t="s">
        <v>156</v>
      </c>
      <c r="T1281" t="s">
        <v>191</v>
      </c>
      <c r="U1281">
        <v>0.0067394399697999798</v>
      </c>
      <c r="V1281" t="s">
        <v>88</v>
      </c>
    </row>
    <row r="1282" spans="19:22" ht="14.25">
      <c r="S1282" t="s">
        <v>156</v>
      </c>
      <c r="T1282" t="s">
        <v>192</v>
      </c>
      <c r="U1282">
        <v>0.032256683290557087</v>
      </c>
      <c r="V1282" t="s">
        <v>88</v>
      </c>
    </row>
    <row r="1283" spans="19:22" ht="14.25">
      <c r="S1283" t="s">
        <v>156</v>
      </c>
      <c r="T1283" t="s">
        <v>193</v>
      </c>
      <c r="U1283">
        <v>0.024341365072714085</v>
      </c>
      <c r="V1283" t="s">
        <v>88</v>
      </c>
    </row>
    <row r="1284" spans="19:22" ht="14.25">
      <c r="S1284" t="s">
        <v>156</v>
      </c>
      <c r="T1284" t="s">
        <v>194</v>
      </c>
      <c r="U1284">
        <v>0.014270110249965081</v>
      </c>
      <c r="V1284" t="s">
        <v>88</v>
      </c>
    </row>
    <row r="1285" spans="19:22" ht="14.25">
      <c r="S1285" t="s">
        <v>156</v>
      </c>
      <c r="T1285" t="s">
        <v>195</v>
      </c>
      <c r="U1285">
        <v>0.022554535635991066</v>
      </c>
      <c r="V1285" t="s">
        <v>88</v>
      </c>
    </row>
    <row r="1286" spans="19:22" ht="14.25">
      <c r="S1286" t="s">
        <v>156</v>
      </c>
      <c r="T1286" t="s">
        <v>196</v>
      </c>
      <c r="U1286">
        <v>0.0035725209969454342</v>
      </c>
      <c r="V1286" t="s">
        <v>88</v>
      </c>
    </row>
    <row r="1287" spans="19:22" ht="14.25">
      <c r="S1287" t="s">
        <v>156</v>
      </c>
      <c r="T1287" t="s">
        <v>197</v>
      </c>
      <c r="U1287">
        <v>0.0034785618956399067</v>
      </c>
      <c r="V1287" t="s">
        <v>88</v>
      </c>
    </row>
    <row r="1288" spans="19:22" ht="14.25">
      <c r="S1288" t="s">
        <v>156</v>
      </c>
      <c r="T1288" t="s">
        <v>198</v>
      </c>
      <c r="U1288">
        <v>0.016401871955115423</v>
      </c>
      <c r="V1288" t="s">
        <v>88</v>
      </c>
    </row>
    <row r="1289" spans="19:22" ht="14.25">
      <c r="S1289" t="s">
        <v>156</v>
      </c>
      <c r="T1289" t="s">
        <v>199</v>
      </c>
      <c r="U1289">
        <v>0.078766208390937481</v>
      </c>
      <c r="V1289" t="s">
        <v>88</v>
      </c>
    </row>
    <row r="1290" spans="19:22" ht="14.25">
      <c r="S1290" t="s">
        <v>156</v>
      </c>
      <c r="T1290" t="s">
        <v>200</v>
      </c>
      <c r="U1290">
        <v>0.04195333726803098</v>
      </c>
      <c r="V1290" t="s">
        <v>88</v>
      </c>
    </row>
    <row r="1291" spans="19:22" ht="14.25">
      <c r="S1291" t="s">
        <v>156</v>
      </c>
      <c r="T1291" t="s">
        <v>201</v>
      </c>
      <c r="U1291">
        <v>0.068894532399261202</v>
      </c>
      <c r="V1291" t="s">
        <v>88</v>
      </c>
    </row>
    <row r="1292" spans="19:22" ht="14.25">
      <c r="S1292" t="s">
        <v>156</v>
      </c>
      <c r="T1292" t="s">
        <v>202</v>
      </c>
      <c r="U1292">
        <v>0.011506959845928555</v>
      </c>
      <c r="V1292" t="s">
        <v>88</v>
      </c>
    </row>
    <row r="1293" spans="19:22" ht="14.25">
      <c r="S1293" t="s">
        <v>156</v>
      </c>
      <c r="T1293" t="s">
        <v>203</v>
      </c>
      <c r="U1293">
        <v>0.011387307212917679</v>
      </c>
      <c r="V1293" t="s">
        <v>88</v>
      </c>
    </row>
    <row r="1294" spans="19:22" ht="14.25">
      <c r="S1294" t="s">
        <v>156</v>
      </c>
      <c r="T1294" t="s">
        <v>204</v>
      </c>
      <c r="U1294">
        <v>0.056926325969376378</v>
      </c>
      <c r="V1294" t="s">
        <v>88</v>
      </c>
    </row>
    <row r="1295" spans="19:22" ht="14.25">
      <c r="S1295" t="s">
        <v>156</v>
      </c>
      <c r="T1295" t="s">
        <v>205</v>
      </c>
      <c r="U1295">
        <v>0.030226195985660554</v>
      </c>
      <c r="V1295" t="s">
        <v>88</v>
      </c>
    </row>
    <row r="1296" spans="19:22" ht="14.25">
      <c r="S1296" t="s">
        <v>156</v>
      </c>
      <c r="T1296" t="s">
        <v>206</v>
      </c>
      <c r="U1296">
        <v>0.018810810327122354</v>
      </c>
      <c r="V1296" t="s">
        <v>88</v>
      </c>
    </row>
    <row r="1297" spans="19:22" ht="14.25">
      <c r="S1297" t="s">
        <v>156</v>
      </c>
      <c r="T1297" t="s">
        <v>207</v>
      </c>
      <c r="U1297">
        <v>0.028904148027289443</v>
      </c>
      <c r="V1297" t="s">
        <v>88</v>
      </c>
    </row>
    <row r="1298" spans="19:22" ht="14.25">
      <c r="S1298" t="s">
        <v>156</v>
      </c>
      <c r="T1298" t="s">
        <v>208</v>
      </c>
      <c r="U1298">
        <v>0.0046713245943815805</v>
      </c>
      <c r="V1298" t="s">
        <v>88</v>
      </c>
    </row>
    <row r="1299" spans="19:22" ht="14.25">
      <c r="S1299" t="s">
        <v>156</v>
      </c>
      <c r="T1299" t="s">
        <v>209</v>
      </c>
      <c r="U1299">
        <v>0.0044028824214508537</v>
      </c>
      <c r="V1299" t="s">
        <v>88</v>
      </c>
    </row>
    <row r="1300" spans="19:22" ht="14.25">
      <c r="S1300" t="s">
        <v>156</v>
      </c>
      <c r="T1300" t="s">
        <v>210</v>
      </c>
      <c r="U1300">
        <v>0.019357789943601596</v>
      </c>
      <c r="V1300" t="s">
        <v>88</v>
      </c>
    </row>
    <row r="1301" spans="19:22" ht="14.25">
      <c r="S1301" t="s">
        <v>156</v>
      </c>
      <c r="T1301" t="s">
        <v>211</v>
      </c>
      <c r="U1301">
        <v>0.039194261768879003</v>
      </c>
      <c r="V1301" t="s">
        <v>88</v>
      </c>
    </row>
    <row r="1302" spans="19:22" ht="14.25">
      <c r="S1302" t="s">
        <v>156</v>
      </c>
      <c r="T1302" t="s">
        <v>212</v>
      </c>
      <c r="U1302">
        <v>0.023154401012330988</v>
      </c>
      <c r="V1302" t="s">
        <v>88</v>
      </c>
    </row>
    <row r="1303" spans="19:22" ht="14.25">
      <c r="S1303" t="s">
        <v>156</v>
      </c>
      <c r="T1303" t="s">
        <v>213</v>
      </c>
      <c r="U1303">
        <v>0.041390124299569744</v>
      </c>
      <c r="V1303" t="s">
        <v>88</v>
      </c>
    </row>
    <row r="1304" spans="19:22" ht="14.25">
      <c r="S1304" t="s">
        <v>156</v>
      </c>
      <c r="T1304" t="s">
        <v>214</v>
      </c>
      <c r="U1304">
        <v>0.006892460058987044</v>
      </c>
      <c r="V1304" t="s">
        <v>88</v>
      </c>
    </row>
    <row r="1305" spans="19:22" ht="14.25">
      <c r="S1305" t="s">
        <v>156</v>
      </c>
      <c r="T1305" t="s">
        <v>215</v>
      </c>
      <c r="U1305">
        <v>0.0066423688801543618</v>
      </c>
      <c r="V1305" t="s">
        <v>88</v>
      </c>
    </row>
    <row r="1306" spans="19:22" ht="14.25">
      <c r="S1306" t="s">
        <v>156</v>
      </c>
      <c r="T1306" t="s">
        <v>216</v>
      </c>
      <c r="U1306">
        <v>0.03046844327780919</v>
      </c>
      <c r="V1306" t="s">
        <v>88</v>
      </c>
    </row>
    <row r="1307" spans="19:22" ht="14.25">
      <c r="S1307" t="s">
        <v>157</v>
      </c>
      <c r="T1307" t="s">
        <v>87</v>
      </c>
      <c r="U1307">
        <v>0.024226014394910976</v>
      </c>
      <c r="V1307" t="s">
        <v>88</v>
      </c>
    </row>
    <row r="1308" spans="19:22" ht="14.25">
      <c r="S1308" t="s">
        <v>157</v>
      </c>
      <c r="T1308" t="s">
        <v>89</v>
      </c>
      <c r="U1308">
        <v>0.013234136556708274</v>
      </c>
      <c r="V1308" t="s">
        <v>88</v>
      </c>
    </row>
    <row r="1309" spans="19:22" ht="14.25">
      <c r="S1309" t="s">
        <v>157</v>
      </c>
      <c r="T1309" t="s">
        <v>90</v>
      </c>
      <c r="U1309">
        <v>0.021959460628016809</v>
      </c>
      <c r="V1309" t="s">
        <v>88</v>
      </c>
    </row>
    <row r="1310" spans="19:22" ht="14.25">
      <c r="S1310" t="s">
        <v>157</v>
      </c>
      <c r="T1310" t="s">
        <v>181</v>
      </c>
      <c r="U1310">
        <v>0.0038800846514455371</v>
      </c>
      <c r="V1310" t="s">
        <v>88</v>
      </c>
    </row>
    <row r="1311" spans="19:22" ht="14.25">
      <c r="S1311" t="s">
        <v>157</v>
      </c>
      <c r="T1311" t="s">
        <v>182</v>
      </c>
      <c r="U1311">
        <v>0.0039146071223843271</v>
      </c>
      <c r="V1311" t="s">
        <v>88</v>
      </c>
    </row>
    <row r="1312" spans="19:22" ht="14.25">
      <c r="S1312" t="s">
        <v>157</v>
      </c>
      <c r="T1312" t="s">
        <v>183</v>
      </c>
      <c r="U1312">
        <v>0.018711335782279456</v>
      </c>
      <c r="V1312" t="s">
        <v>88</v>
      </c>
    </row>
    <row r="1313" spans="19:22" ht="14.25">
      <c r="S1313" t="s">
        <v>157</v>
      </c>
      <c r="T1313" t="s">
        <v>91</v>
      </c>
      <c r="U1313">
        <v>0.015687929486143195</v>
      </c>
      <c r="V1313" t="s">
        <v>88</v>
      </c>
    </row>
    <row r="1314" spans="19:22" ht="14.25">
      <c r="S1314" t="s">
        <v>157</v>
      </c>
      <c r="T1314" t="s">
        <v>92</v>
      </c>
      <c r="U1314">
        <v>0.0089410035893877048</v>
      </c>
      <c r="V1314" t="s">
        <v>88</v>
      </c>
    </row>
    <row r="1315" spans="19:22" ht="14.25">
      <c r="S1315" t="s">
        <v>157</v>
      </c>
      <c r="T1315" t="s">
        <v>93</v>
      </c>
      <c r="U1315">
        <v>0.015961360010187265</v>
      </c>
      <c r="V1315" t="s">
        <v>88</v>
      </c>
    </row>
    <row r="1316" spans="19:22" ht="14.25">
      <c r="S1316" t="s">
        <v>157</v>
      </c>
      <c r="T1316" t="s">
        <v>184</v>
      </c>
      <c r="U1316">
        <v>0.0028622461730338643</v>
      </c>
      <c r="V1316" t="s">
        <v>88</v>
      </c>
    </row>
    <row r="1317" spans="19:22" ht="14.25">
      <c r="S1317" t="s">
        <v>157</v>
      </c>
      <c r="T1317" t="s">
        <v>185</v>
      </c>
      <c r="U1317">
        <v>0.0027146395960228071</v>
      </c>
      <c r="V1317" t="s">
        <v>88</v>
      </c>
    </row>
    <row r="1318" spans="19:22" ht="14.25">
      <c r="S1318" t="s">
        <v>157</v>
      </c>
      <c r="T1318" t="s">
        <v>186</v>
      </c>
      <c r="U1318">
        <v>0.012347302036750902</v>
      </c>
      <c r="V1318" t="s">
        <v>88</v>
      </c>
    </row>
    <row r="1319" spans="19:22" ht="14.25">
      <c r="S1319" t="s">
        <v>157</v>
      </c>
      <c r="T1319" t="s">
        <v>94</v>
      </c>
      <c r="U1319">
        <v>0.01577144333178512</v>
      </c>
      <c r="V1319" t="s">
        <v>88</v>
      </c>
    </row>
    <row r="1320" spans="19:22" ht="14.25">
      <c r="S1320" t="s">
        <v>157</v>
      </c>
      <c r="T1320" t="s">
        <v>95</v>
      </c>
      <c r="U1320">
        <v>0.0092096657151632053</v>
      </c>
      <c r="V1320" t="s">
        <v>88</v>
      </c>
    </row>
    <row r="1321" spans="19:22" ht="14.25">
      <c r="S1321" t="s">
        <v>157</v>
      </c>
      <c r="T1321" t="s">
        <v>96</v>
      </c>
      <c r="U1321">
        <v>0.017064649623416101</v>
      </c>
      <c r="V1321" t="s">
        <v>88</v>
      </c>
    </row>
    <row r="1322" spans="19:22" ht="14.25">
      <c r="S1322" t="s">
        <v>157</v>
      </c>
      <c r="T1322" t="s">
        <v>187</v>
      </c>
      <c r="U1322">
        <v>0.0031501113143426649</v>
      </c>
      <c r="V1322" t="s">
        <v>88</v>
      </c>
    </row>
    <row r="1323" spans="19:22" ht="14.25">
      <c r="S1323" t="s">
        <v>157</v>
      </c>
      <c r="T1323" t="s">
        <v>188</v>
      </c>
      <c r="U1323">
        <v>0.0032251107039337561</v>
      </c>
      <c r="V1323" t="s">
        <v>88</v>
      </c>
    </row>
    <row r="1324" spans="19:22" ht="14.25">
      <c r="S1324" t="s">
        <v>157</v>
      </c>
      <c r="T1324" t="s">
        <v>189</v>
      </c>
      <c r="U1324">
        <v>0.015259151244441353</v>
      </c>
      <c r="V1324" t="s">
        <v>88</v>
      </c>
    </row>
    <row r="1325" spans="19:22" ht="14.25">
      <c r="S1325" t="s">
        <v>157</v>
      </c>
      <c r="T1325" t="s">
        <v>97</v>
      </c>
      <c r="U1325">
        <v>0.05263110836892379</v>
      </c>
      <c r="V1325" t="s">
        <v>88</v>
      </c>
    </row>
    <row r="1326" spans="19:22" ht="14.25">
      <c r="S1326" t="s">
        <v>157</v>
      </c>
      <c r="T1326" t="s">
        <v>98</v>
      </c>
      <c r="U1326">
        <v>0.029487512307287446</v>
      </c>
      <c r="V1326" t="s">
        <v>88</v>
      </c>
    </row>
    <row r="1327" spans="19:22" ht="14.25">
      <c r="S1327" t="s">
        <v>157</v>
      </c>
      <c r="T1327" t="s">
        <v>99</v>
      </c>
      <c r="U1327">
        <v>0.044656507653960439</v>
      </c>
      <c r="V1327" t="s">
        <v>88</v>
      </c>
    </row>
    <row r="1328" spans="19:22" ht="14.25">
      <c r="S1328" t="s">
        <v>157</v>
      </c>
      <c r="T1328" t="s">
        <v>190</v>
      </c>
      <c r="U1328">
        <v>0.0075440017914388084</v>
      </c>
      <c r="V1328" t="s">
        <v>88</v>
      </c>
    </row>
    <row r="1329" spans="19:22" ht="14.25">
      <c r="S1329" t="s">
        <v>157</v>
      </c>
      <c r="T1329" t="s">
        <v>191</v>
      </c>
      <c r="U1329">
        <v>0.0076576468131310926</v>
      </c>
      <c r="V1329" t="s">
        <v>88</v>
      </c>
    </row>
    <row r="1330" spans="19:22" ht="14.25">
      <c r="S1330" t="s">
        <v>157</v>
      </c>
      <c r="T1330" t="s">
        <v>192</v>
      </c>
      <c r="U1330">
        <v>0.039213002417985088</v>
      </c>
      <c r="V1330" t="s">
        <v>88</v>
      </c>
    </row>
    <row r="1331" spans="19:22" ht="14.25">
      <c r="S1331" t="s">
        <v>157</v>
      </c>
      <c r="T1331" t="s">
        <v>193</v>
      </c>
      <c r="U1331">
        <v>0.025235010223122037</v>
      </c>
      <c r="V1331" t="s">
        <v>88</v>
      </c>
    </row>
    <row r="1332" spans="19:22" ht="14.25">
      <c r="S1332" t="s">
        <v>157</v>
      </c>
      <c r="T1332" t="s">
        <v>194</v>
      </c>
      <c r="U1332">
        <v>0.014588224969392142</v>
      </c>
      <c r="V1332" t="s">
        <v>88</v>
      </c>
    </row>
    <row r="1333" spans="19:22" ht="14.25">
      <c r="S1333" t="s">
        <v>157</v>
      </c>
      <c r="T1333" t="s">
        <v>195</v>
      </c>
      <c r="U1333">
        <v>0.022506139235191309</v>
      </c>
      <c r="V1333" t="s">
        <v>88</v>
      </c>
    </row>
    <row r="1334" spans="19:22" ht="14.25">
      <c r="S1334" t="s">
        <v>157</v>
      </c>
      <c r="T1334" t="s">
        <v>196</v>
      </c>
      <c r="U1334">
        <v>0.0037529664600985981</v>
      </c>
      <c r="V1334" t="s">
        <v>88</v>
      </c>
    </row>
    <row r="1335" spans="19:22" ht="14.25">
      <c r="S1335" t="s">
        <v>157</v>
      </c>
      <c r="T1335" t="s">
        <v>197</v>
      </c>
      <c r="U1335">
        <v>0.0037904413563442374</v>
      </c>
      <c r="V1335" t="s">
        <v>88</v>
      </c>
    </row>
    <row r="1336" spans="19:22" ht="14.25">
      <c r="S1336" t="s">
        <v>157</v>
      </c>
      <c r="T1336" t="s">
        <v>198</v>
      </c>
      <c r="U1336">
        <v>0.018858187693232168</v>
      </c>
      <c r="V1336" t="s">
        <v>88</v>
      </c>
    </row>
    <row r="1337" spans="19:22" ht="14.25">
      <c r="S1337" t="s">
        <v>157</v>
      </c>
      <c r="T1337" t="s">
        <v>199</v>
      </c>
      <c r="U1337">
        <v>0.074724737059402427</v>
      </c>
      <c r="V1337" t="s">
        <v>88</v>
      </c>
    </row>
    <row r="1338" spans="19:22" ht="14.25">
      <c r="S1338" t="s">
        <v>157</v>
      </c>
      <c r="T1338" t="s">
        <v>200</v>
      </c>
      <c r="U1338">
        <v>0.04050331549745867</v>
      </c>
      <c r="V1338" t="s">
        <v>88</v>
      </c>
    </row>
    <row r="1339" spans="19:22" ht="14.25">
      <c r="S1339" t="s">
        <v>157</v>
      </c>
      <c r="T1339" t="s">
        <v>201</v>
      </c>
      <c r="U1339">
        <v>0.066875825084051793</v>
      </c>
      <c r="V1339" t="s">
        <v>88</v>
      </c>
    </row>
    <row r="1340" spans="19:22" ht="14.25">
      <c r="S1340" t="s">
        <v>157</v>
      </c>
      <c r="T1340" t="s">
        <v>202</v>
      </c>
      <c r="U1340">
        <v>0.011644591130352171</v>
      </c>
      <c r="V1340" t="s">
        <v>88</v>
      </c>
    </row>
    <row r="1341" spans="19:22" ht="14.25">
      <c r="S1341" t="s">
        <v>157</v>
      </c>
      <c r="T1341" t="s">
        <v>203</v>
      </c>
      <c r="U1341">
        <v>0.01166210156247623</v>
      </c>
      <c r="V1341" t="s">
        <v>88</v>
      </c>
    </row>
    <row r="1342" spans="19:22" ht="14.25">
      <c r="S1342" t="s">
        <v>157</v>
      </c>
      <c r="T1342" t="s">
        <v>204</v>
      </c>
      <c r="U1342">
        <v>0.057247906552296932</v>
      </c>
      <c r="V1342" t="s">
        <v>88</v>
      </c>
    </row>
    <row r="1343" spans="19:22" ht="14.25">
      <c r="S1343" t="s">
        <v>157</v>
      </c>
      <c r="T1343" t="s">
        <v>205</v>
      </c>
      <c r="U1343">
        <v>0.028201055494579821</v>
      </c>
      <c r="V1343" t="s">
        <v>88</v>
      </c>
    </row>
    <row r="1344" spans="19:22" ht="14.25">
      <c r="S1344" t="s">
        <v>157</v>
      </c>
      <c r="T1344" t="s">
        <v>206</v>
      </c>
      <c r="U1344">
        <v>0.016825077509397771</v>
      </c>
      <c r="V1344" t="s">
        <v>88</v>
      </c>
    </row>
    <row r="1345" spans="19:22" ht="14.25">
      <c r="S1345" t="s">
        <v>157</v>
      </c>
      <c r="T1345" t="s">
        <v>207</v>
      </c>
      <c r="U1345">
        <v>0.02519238397885418</v>
      </c>
      <c r="V1345" t="s">
        <v>88</v>
      </c>
    </row>
    <row r="1346" spans="19:22" ht="14.25">
      <c r="S1346" t="s">
        <v>157</v>
      </c>
      <c r="T1346" t="s">
        <v>208</v>
      </c>
      <c r="U1346">
        <v>0.0043555499092571117</v>
      </c>
      <c r="V1346" t="s">
        <v>88</v>
      </c>
    </row>
    <row r="1347" spans="19:22" ht="14.25">
      <c r="S1347" t="s">
        <v>157</v>
      </c>
      <c r="T1347" t="s">
        <v>209</v>
      </c>
      <c r="U1347">
        <v>0.0044414189438376425</v>
      </c>
      <c r="V1347" t="s">
        <v>88</v>
      </c>
    </row>
    <row r="1348" spans="19:22" ht="14.25">
      <c r="S1348" t="s">
        <v>157</v>
      </c>
      <c r="T1348" t="s">
        <v>210</v>
      </c>
      <c r="U1348">
        <v>0.02143219057255745</v>
      </c>
      <c r="V1348" t="s">
        <v>88</v>
      </c>
    </row>
    <row r="1349" spans="19:22" ht="14.25">
      <c r="S1349" t="s">
        <v>157</v>
      </c>
      <c r="T1349" t="s">
        <v>211</v>
      </c>
      <c r="U1349">
        <v>0.042178863062442652</v>
      </c>
      <c r="V1349" t="s">
        <v>88</v>
      </c>
    </row>
    <row r="1350" spans="19:22" ht="14.25">
      <c r="S1350" t="s">
        <v>157</v>
      </c>
      <c r="T1350" t="s">
        <v>212</v>
      </c>
      <c r="U1350">
        <v>0.024025052706632938</v>
      </c>
      <c r="V1350" t="s">
        <v>88</v>
      </c>
    </row>
    <row r="1351" spans="19:22" ht="14.25">
      <c r="S1351" t="s">
        <v>157</v>
      </c>
      <c r="T1351" t="s">
        <v>213</v>
      </c>
      <c r="U1351">
        <v>0.043293997180636604</v>
      </c>
      <c r="V1351" t="s">
        <v>88</v>
      </c>
    </row>
    <row r="1352" spans="19:22" ht="14.25">
      <c r="S1352" t="s">
        <v>157</v>
      </c>
      <c r="T1352" t="s">
        <v>214</v>
      </c>
      <c r="U1352">
        <v>0.0075134162011625694</v>
      </c>
      <c r="V1352" t="s">
        <v>88</v>
      </c>
    </row>
    <row r="1353" spans="19:22" ht="14.25">
      <c r="S1353" t="s">
        <v>157</v>
      </c>
      <c r="T1353" t="s">
        <v>215</v>
      </c>
      <c r="U1353">
        <v>0.0073426117420660932</v>
      </c>
      <c r="V1353" t="s">
        <v>88</v>
      </c>
    </row>
    <row r="1354" spans="19:22" ht="14.25">
      <c r="S1354" t="s">
        <v>157</v>
      </c>
      <c r="T1354" t="s">
        <v>216</v>
      </c>
      <c r="U1354">
        <v>0.03449890456207845</v>
      </c>
      <c r="V1354" t="s">
        <v>88</v>
      </c>
    </row>
    <row r="1355" spans="19:22" ht="14.25">
      <c r="S1355" t="s">
        <v>158</v>
      </c>
      <c r="T1355" t="s">
        <v>87</v>
      </c>
      <c r="U1355">
        <v>0.026220079474554178</v>
      </c>
      <c r="V1355" t="s">
        <v>88</v>
      </c>
    </row>
    <row r="1356" spans="19:22" ht="14.25">
      <c r="S1356" t="s">
        <v>158</v>
      </c>
      <c r="T1356" t="s">
        <v>89</v>
      </c>
      <c r="U1356">
        <v>0.015073780082673717</v>
      </c>
      <c r="V1356" t="s">
        <v>88</v>
      </c>
    </row>
    <row r="1357" spans="19:22" ht="14.25">
      <c r="S1357" t="s">
        <v>158</v>
      </c>
      <c r="T1357" t="s">
        <v>90</v>
      </c>
      <c r="U1357">
        <v>0.023104966176145915</v>
      </c>
      <c r="V1357" t="s">
        <v>88</v>
      </c>
    </row>
    <row r="1358" spans="19:22" ht="14.25">
      <c r="S1358" t="s">
        <v>158</v>
      </c>
      <c r="T1358" t="s">
        <v>181</v>
      </c>
      <c r="U1358">
        <v>0.0036934495084281625</v>
      </c>
      <c r="V1358" t="s">
        <v>88</v>
      </c>
    </row>
    <row r="1359" spans="19:22" ht="14.25">
      <c r="S1359" t="s">
        <v>158</v>
      </c>
      <c r="T1359" t="s">
        <v>182</v>
      </c>
      <c r="U1359">
        <v>0.0036520534057143889</v>
      </c>
      <c r="V1359" t="s">
        <v>88</v>
      </c>
    </row>
    <row r="1360" spans="19:22" ht="14.25">
      <c r="S1360" t="s">
        <v>158</v>
      </c>
      <c r="T1360" t="s">
        <v>183</v>
      </c>
      <c r="U1360">
        <v>0.017564481588531775</v>
      </c>
      <c r="V1360" t="s">
        <v>88</v>
      </c>
    </row>
    <row r="1361" spans="19:22" ht="14.25">
      <c r="S1361" t="s">
        <v>158</v>
      </c>
      <c r="T1361" t="s">
        <v>91</v>
      </c>
      <c r="U1361">
        <v>0.019129436508721242</v>
      </c>
      <c r="V1361" t="s">
        <v>88</v>
      </c>
    </row>
    <row r="1362" spans="19:22" ht="14.25">
      <c r="S1362" t="s">
        <v>158</v>
      </c>
      <c r="T1362" t="s">
        <v>92</v>
      </c>
      <c r="U1362">
        <v>0.011399071697623338</v>
      </c>
      <c r="V1362" t="s">
        <v>88</v>
      </c>
    </row>
    <row r="1363" spans="19:22" ht="14.25">
      <c r="S1363" t="s">
        <v>158</v>
      </c>
      <c r="T1363" t="s">
        <v>93</v>
      </c>
      <c r="U1363">
        <v>0.017037993711922435</v>
      </c>
      <c r="V1363" t="s">
        <v>88</v>
      </c>
    </row>
    <row r="1364" spans="19:22" ht="14.25">
      <c r="S1364" t="s">
        <v>158</v>
      </c>
      <c r="T1364" t="s">
        <v>184</v>
      </c>
      <c r="U1364">
        <v>0.0028069502996510027</v>
      </c>
      <c r="V1364" t="s">
        <v>88</v>
      </c>
    </row>
    <row r="1365" spans="19:22" ht="14.25">
      <c r="S1365" t="s">
        <v>158</v>
      </c>
      <c r="T1365" t="s">
        <v>185</v>
      </c>
      <c r="U1365">
        <v>0.0028376953101450246</v>
      </c>
      <c r="V1365" t="s">
        <v>88</v>
      </c>
    </row>
    <row r="1366" spans="19:22" ht="14.25">
      <c r="S1366" t="s">
        <v>158</v>
      </c>
      <c r="T1366" t="s">
        <v>186</v>
      </c>
      <c r="U1366">
        <v>0.014421932617963474</v>
      </c>
      <c r="V1366" t="s">
        <v>88</v>
      </c>
    </row>
    <row r="1367" spans="19:22" ht="14.25">
      <c r="S1367" t="s">
        <v>158</v>
      </c>
      <c r="T1367" t="s">
        <v>94</v>
      </c>
      <c r="U1367">
        <v>0.019410634496616775</v>
      </c>
      <c r="V1367" t="s">
        <v>88</v>
      </c>
    </row>
    <row r="1368" spans="19:22" ht="14.25">
      <c r="S1368" t="s">
        <v>158</v>
      </c>
      <c r="T1368" t="s">
        <v>95</v>
      </c>
      <c r="U1368">
        <v>0.0094602420648469739</v>
      </c>
      <c r="V1368" t="s">
        <v>88</v>
      </c>
    </row>
    <row r="1369" spans="19:22" ht="14.25">
      <c r="S1369" t="s">
        <v>158</v>
      </c>
      <c r="T1369" t="s">
        <v>96</v>
      </c>
      <c r="U1369">
        <v>0.015168365631113035</v>
      </c>
      <c r="V1369" t="s">
        <v>88</v>
      </c>
    </row>
    <row r="1370" spans="19:22" ht="14.25">
      <c r="S1370" t="s">
        <v>158</v>
      </c>
      <c r="T1370" t="s">
        <v>187</v>
      </c>
      <c r="U1370">
        <v>0.0025823590016721101</v>
      </c>
      <c r="V1370" t="s">
        <v>88</v>
      </c>
    </row>
    <row r="1371" spans="19:22" ht="14.25">
      <c r="S1371" t="s">
        <v>158</v>
      </c>
      <c r="T1371" t="s">
        <v>188</v>
      </c>
      <c r="U1371">
        <v>0.0026144816593163625</v>
      </c>
      <c r="V1371" t="s">
        <v>88</v>
      </c>
    </row>
    <row r="1372" spans="19:22" ht="14.25">
      <c r="S1372" t="s">
        <v>158</v>
      </c>
      <c r="T1372" t="s">
        <v>189</v>
      </c>
      <c r="U1372">
        <v>0.014280490271291671</v>
      </c>
      <c r="V1372" t="s">
        <v>88</v>
      </c>
    </row>
    <row r="1373" spans="19:22" ht="14.25">
      <c r="S1373" t="s">
        <v>158</v>
      </c>
      <c r="T1373" t="s">
        <v>97</v>
      </c>
      <c r="U1373">
        <v>0.053604549267518516</v>
      </c>
      <c r="V1373" t="s">
        <v>88</v>
      </c>
    </row>
    <row r="1374" spans="19:22" ht="14.25">
      <c r="S1374" t="s">
        <v>158</v>
      </c>
      <c r="T1374" t="s">
        <v>98</v>
      </c>
      <c r="U1374">
        <v>0.030756789046720929</v>
      </c>
      <c r="V1374" t="s">
        <v>88</v>
      </c>
    </row>
    <row r="1375" spans="19:22" ht="14.25">
      <c r="S1375" t="s">
        <v>158</v>
      </c>
      <c r="T1375" t="s">
        <v>99</v>
      </c>
      <c r="U1375">
        <v>0.045110059645763048</v>
      </c>
      <c r="V1375" t="s">
        <v>88</v>
      </c>
    </row>
    <row r="1376" spans="19:22" ht="14.25">
      <c r="S1376" t="s">
        <v>158</v>
      </c>
      <c r="T1376" t="s">
        <v>190</v>
      </c>
      <c r="U1376">
        <v>0.0072161444874141688</v>
      </c>
      <c r="V1376" t="s">
        <v>88</v>
      </c>
    </row>
    <row r="1377" spans="19:22" ht="14.25">
      <c r="S1377" t="s">
        <v>158</v>
      </c>
      <c r="T1377" t="s">
        <v>191</v>
      </c>
      <c r="U1377">
        <v>0.0072223638824569459</v>
      </c>
      <c r="V1377" t="s">
        <v>88</v>
      </c>
    </row>
    <row r="1378" spans="19:22" ht="14.25">
      <c r="S1378" t="s">
        <v>158</v>
      </c>
      <c r="T1378" t="s">
        <v>192</v>
      </c>
      <c r="U1378">
        <v>0.036683787965878289</v>
      </c>
      <c r="V1378" t="s">
        <v>88</v>
      </c>
    </row>
    <row r="1379" spans="19:22" ht="14.25">
      <c r="S1379" t="s">
        <v>158</v>
      </c>
      <c r="T1379" t="s">
        <v>193</v>
      </c>
      <c r="U1379">
        <v>0.026359856558885866</v>
      </c>
      <c r="V1379" t="s">
        <v>88</v>
      </c>
    </row>
    <row r="1380" spans="19:22" ht="14.25">
      <c r="S1380" t="s">
        <v>158</v>
      </c>
      <c r="T1380" t="s">
        <v>194</v>
      </c>
      <c r="U1380">
        <v>0.014871778679986404</v>
      </c>
      <c r="V1380" t="s">
        <v>88</v>
      </c>
    </row>
    <row r="1381" spans="19:22" ht="14.25">
      <c r="S1381" t="s">
        <v>158</v>
      </c>
      <c r="T1381" t="s">
        <v>195</v>
      </c>
      <c r="U1381">
        <v>0.023456898872024467</v>
      </c>
      <c r="V1381" t="s">
        <v>88</v>
      </c>
    </row>
    <row r="1382" spans="19:22" ht="14.25">
      <c r="S1382" t="s">
        <v>158</v>
      </c>
      <c r="T1382" t="s">
        <v>196</v>
      </c>
      <c r="U1382">
        <v>0.0039398968950886569</v>
      </c>
      <c r="V1382" t="s">
        <v>88</v>
      </c>
    </row>
    <row r="1383" spans="19:22" ht="14.25">
      <c r="S1383" t="s">
        <v>158</v>
      </c>
      <c r="T1383" t="s">
        <v>197</v>
      </c>
      <c r="U1383">
        <v>0.0039028543122177359</v>
      </c>
      <c r="V1383" t="s">
        <v>88</v>
      </c>
    </row>
    <row r="1384" spans="19:22" ht="14.25">
      <c r="S1384" t="s">
        <v>158</v>
      </c>
      <c r="T1384" t="s">
        <v>198</v>
      </c>
      <c r="U1384">
        <v>0.019587943805118874</v>
      </c>
      <c r="V1384" t="s">
        <v>88</v>
      </c>
    </row>
    <row r="1385" spans="19:22" ht="14.25">
      <c r="S1385" t="s">
        <v>158</v>
      </c>
      <c r="T1385" t="s">
        <v>199</v>
      </c>
      <c r="U1385">
        <v>0.07732533332570421</v>
      </c>
      <c r="V1385" t="s">
        <v>88</v>
      </c>
    </row>
    <row r="1386" spans="19:22" ht="14.25">
      <c r="S1386" t="s">
        <v>158</v>
      </c>
      <c r="T1386" t="s">
        <v>200</v>
      </c>
      <c r="U1386">
        <v>0.042431457407399627</v>
      </c>
      <c r="V1386" t="s">
        <v>88</v>
      </c>
    </row>
    <row r="1387" spans="19:22" ht="14.25">
      <c r="S1387" t="s">
        <v>158</v>
      </c>
      <c r="T1387" t="s">
        <v>201</v>
      </c>
      <c r="U1387">
        <v>0.062970077205678904</v>
      </c>
      <c r="V1387" t="s">
        <v>88</v>
      </c>
    </row>
    <row r="1388" spans="19:22" ht="14.25">
      <c r="S1388" t="s">
        <v>158</v>
      </c>
      <c r="T1388" t="s">
        <v>202</v>
      </c>
      <c r="U1388">
        <v>0.010666802157642874</v>
      </c>
      <c r="V1388" t="s">
        <v>88</v>
      </c>
    </row>
    <row r="1389" spans="19:22" ht="14.25">
      <c r="S1389" t="s">
        <v>158</v>
      </c>
      <c r="T1389" t="s">
        <v>203</v>
      </c>
      <c r="U1389">
        <v>0.010926775884186312</v>
      </c>
      <c r="V1389" t="s">
        <v>88</v>
      </c>
    </row>
    <row r="1390" spans="19:22" ht="14.25">
      <c r="S1390" t="s">
        <v>158</v>
      </c>
      <c r="T1390" t="s">
        <v>204</v>
      </c>
      <c r="U1390">
        <v>0.057340447762328689</v>
      </c>
      <c r="V1390" t="s">
        <v>88</v>
      </c>
    </row>
    <row r="1391" spans="19:22" ht="14.25">
      <c r="S1391" t="s">
        <v>158</v>
      </c>
      <c r="T1391" t="s">
        <v>205</v>
      </c>
      <c r="U1391">
        <v>0.03085701737948569</v>
      </c>
      <c r="V1391" t="s">
        <v>88</v>
      </c>
    </row>
    <row r="1392" spans="19:22" ht="14.25">
      <c r="S1392" t="s">
        <v>158</v>
      </c>
      <c r="T1392" t="s">
        <v>206</v>
      </c>
      <c r="U1392">
        <v>0.013901045120785761</v>
      </c>
      <c r="V1392" t="s">
        <v>88</v>
      </c>
    </row>
    <row r="1393" spans="19:22" ht="14.25">
      <c r="S1393" t="s">
        <v>158</v>
      </c>
      <c r="T1393" t="s">
        <v>207</v>
      </c>
      <c r="U1393">
        <v>0.022090108734084513</v>
      </c>
      <c r="V1393" t="s">
        <v>88</v>
      </c>
    </row>
    <row r="1394" spans="19:22" ht="14.25">
      <c r="S1394" t="s">
        <v>158</v>
      </c>
      <c r="T1394" t="s">
        <v>208</v>
      </c>
      <c r="U1394">
        <v>0.0039868755514483375</v>
      </c>
      <c r="V1394" t="s">
        <v>88</v>
      </c>
    </row>
    <row r="1395" spans="19:22" ht="14.25">
      <c r="S1395" t="s">
        <v>158</v>
      </c>
      <c r="T1395" t="s">
        <v>209</v>
      </c>
      <c r="U1395">
        <v>0.0041026898016358875</v>
      </c>
      <c r="V1395" t="s">
        <v>88</v>
      </c>
    </row>
    <row r="1396" spans="19:22" ht="14.25">
      <c r="S1396" t="s">
        <v>158</v>
      </c>
      <c r="T1396" t="s">
        <v>210</v>
      </c>
      <c r="U1396">
        <v>0.023226149467712221</v>
      </c>
      <c r="V1396" t="s">
        <v>88</v>
      </c>
    </row>
    <row r="1397" spans="19:22" ht="14.25">
      <c r="S1397" t="s">
        <v>158</v>
      </c>
      <c r="T1397" t="s">
        <v>211</v>
      </c>
      <c r="U1397">
        <v>0.044240292174878154</v>
      </c>
      <c r="V1397" t="s">
        <v>88</v>
      </c>
    </row>
    <row r="1398" spans="19:22" ht="14.25">
      <c r="S1398" t="s">
        <v>158</v>
      </c>
      <c r="T1398" t="s">
        <v>212</v>
      </c>
      <c r="U1398">
        <v>0.023588079424148305</v>
      </c>
      <c r="V1398" t="s">
        <v>88</v>
      </c>
    </row>
    <row r="1399" spans="19:22" ht="14.25">
      <c r="S1399" t="s">
        <v>158</v>
      </c>
      <c r="T1399" t="s">
        <v>213</v>
      </c>
      <c r="U1399">
        <v>0.035870996406659493</v>
      </c>
      <c r="V1399" t="s">
        <v>88</v>
      </c>
    </row>
    <row r="1400" spans="19:22" ht="14.25">
      <c r="S1400" t="s">
        <v>158</v>
      </c>
      <c r="T1400" t="s">
        <v>214</v>
      </c>
      <c r="U1400">
        <v>0.0059739694031133083</v>
      </c>
      <c r="V1400" t="s">
        <v>88</v>
      </c>
    </row>
    <row r="1401" spans="19:22" ht="14.25">
      <c r="S1401" t="s">
        <v>158</v>
      </c>
      <c r="T1401" t="s">
        <v>215</v>
      </c>
      <c r="U1401">
        <v>0.0060758434012936485</v>
      </c>
      <c r="V1401" t="s">
        <v>88</v>
      </c>
    </row>
    <row r="1402" spans="19:22" ht="14.25">
      <c r="S1402" t="s">
        <v>158</v>
      </c>
      <c r="T1402" t="s">
        <v>216</v>
      </c>
      <c r="U1402">
        <v>0.031254652465807616</v>
      </c>
      <c r="V1402" t="s">
        <v>88</v>
      </c>
    </row>
    <row r="1403" spans="19:22" ht="14.25">
      <c r="S1403" t="s">
        <v>159</v>
      </c>
      <c r="T1403" t="s">
        <v>87</v>
      </c>
      <c r="U1403">
        <v>0.024812325751143283</v>
      </c>
      <c r="V1403" t="s">
        <v>88</v>
      </c>
    </row>
    <row r="1404" spans="19:22" ht="14.25">
      <c r="S1404" t="s">
        <v>159</v>
      </c>
      <c r="T1404" t="s">
        <v>89</v>
      </c>
      <c r="U1404">
        <v>0.014611685760264644</v>
      </c>
      <c r="V1404" t="s">
        <v>88</v>
      </c>
    </row>
    <row r="1405" spans="19:22" ht="14.25">
      <c r="S1405" t="s">
        <v>159</v>
      </c>
      <c r="T1405" t="s">
        <v>90</v>
      </c>
      <c r="U1405">
        <v>0.02108136529541596</v>
      </c>
      <c r="V1405" t="s">
        <v>88</v>
      </c>
    </row>
    <row r="1406" spans="19:22" ht="14.25">
      <c r="S1406" t="s">
        <v>159</v>
      </c>
      <c r="T1406" t="s">
        <v>181</v>
      </c>
      <c r="U1406">
        <v>0.0035114775619794706</v>
      </c>
      <c r="V1406" t="s">
        <v>88</v>
      </c>
    </row>
    <row r="1407" spans="19:22" ht="14.25">
      <c r="S1407" t="s">
        <v>159</v>
      </c>
      <c r="T1407" t="s">
        <v>182</v>
      </c>
      <c r="U1407">
        <v>0.0034776176587867787</v>
      </c>
      <c r="V1407" t="s">
        <v>88</v>
      </c>
    </row>
    <row r="1408" spans="19:22" ht="14.25">
      <c r="S1408" t="s">
        <v>159</v>
      </c>
      <c r="T1408" t="s">
        <v>183</v>
      </c>
      <c r="U1408">
        <v>0.017237061417176118</v>
      </c>
      <c r="V1408" t="s">
        <v>88</v>
      </c>
    </row>
    <row r="1409" spans="19:22" ht="14.25">
      <c r="S1409" t="s">
        <v>159</v>
      </c>
      <c r="T1409" t="s">
        <v>91</v>
      </c>
      <c r="U1409">
        <v>0.019062687262754195</v>
      </c>
      <c r="V1409" t="s">
        <v>88</v>
      </c>
    </row>
    <row r="1410" spans="19:22" ht="14.25">
      <c r="S1410" t="s">
        <v>159</v>
      </c>
      <c r="T1410" t="s">
        <v>92</v>
      </c>
      <c r="U1410">
        <v>0.010419755559716096</v>
      </c>
      <c r="V1410" t="s">
        <v>88</v>
      </c>
    </row>
    <row r="1411" spans="19:22" ht="14.25">
      <c r="S1411" t="s">
        <v>159</v>
      </c>
      <c r="T1411" t="s">
        <v>93</v>
      </c>
      <c r="U1411">
        <v>0.015474494762123136</v>
      </c>
      <c r="V1411" t="s">
        <v>88</v>
      </c>
    </row>
    <row r="1412" spans="19:22" ht="14.25">
      <c r="S1412" t="s">
        <v>159</v>
      </c>
      <c r="T1412" t="s">
        <v>184</v>
      </c>
      <c r="U1412">
        <v>0.0025885972694523729</v>
      </c>
      <c r="V1412" t="s">
        <v>88</v>
      </c>
    </row>
    <row r="1413" spans="19:22" ht="14.25">
      <c r="S1413" t="s">
        <v>159</v>
      </c>
      <c r="T1413" t="s">
        <v>185</v>
      </c>
      <c r="U1413">
        <v>0.0026476849784754604</v>
      </c>
      <c r="V1413" t="s">
        <v>88</v>
      </c>
    </row>
    <row r="1414" spans="19:22" ht="14.25">
      <c r="S1414" t="s">
        <v>159</v>
      </c>
      <c r="T1414" t="s">
        <v>186</v>
      </c>
      <c r="U1414">
        <v>0.014211659907103952</v>
      </c>
      <c r="V1414" t="s">
        <v>88</v>
      </c>
    </row>
    <row r="1415" spans="19:22" ht="14.25">
      <c r="S1415" t="s">
        <v>159</v>
      </c>
      <c r="T1415" t="s">
        <v>94</v>
      </c>
      <c r="U1415">
        <v>0.020781531470710362</v>
      </c>
      <c r="V1415" t="s">
        <v>88</v>
      </c>
    </row>
    <row r="1416" spans="19:22" ht="14.25">
      <c r="S1416" t="s">
        <v>159</v>
      </c>
      <c r="T1416" t="s">
        <v>95</v>
      </c>
      <c r="U1416">
        <v>0.01055714064956279</v>
      </c>
      <c r="V1416" t="s">
        <v>88</v>
      </c>
    </row>
    <row r="1417" spans="19:22" ht="14.25">
      <c r="S1417" t="s">
        <v>159</v>
      </c>
      <c r="T1417" t="s">
        <v>96</v>
      </c>
      <c r="U1417">
        <v>0.015342022180687425</v>
      </c>
      <c r="V1417" t="s">
        <v>88</v>
      </c>
    </row>
    <row r="1418" spans="19:22" ht="14.25">
      <c r="S1418" t="s">
        <v>159</v>
      </c>
      <c r="T1418" t="s">
        <v>187</v>
      </c>
      <c r="U1418">
        <v>0.0026928051193784597</v>
      </c>
      <c r="V1418" t="s">
        <v>88</v>
      </c>
    </row>
    <row r="1419" spans="19:22" ht="14.25">
      <c r="S1419" t="s">
        <v>159</v>
      </c>
      <c r="T1419" t="s">
        <v>188</v>
      </c>
      <c r="U1419">
        <v>0.0027749781611761796</v>
      </c>
      <c r="V1419" t="s">
        <v>88</v>
      </c>
    </row>
    <row r="1420" spans="19:22" ht="14.25">
      <c r="S1420" t="s">
        <v>159</v>
      </c>
      <c r="T1420" t="s">
        <v>189</v>
      </c>
      <c r="U1420">
        <v>0.0150268204503138</v>
      </c>
      <c r="V1420" t="s">
        <v>88</v>
      </c>
    </row>
    <row r="1421" spans="19:22" ht="14.25">
      <c r="S1421" t="s">
        <v>159</v>
      </c>
      <c r="T1421" t="s">
        <v>97</v>
      </c>
      <c r="U1421">
        <v>0.050931985084596697</v>
      </c>
      <c r="V1421" t="s">
        <v>88</v>
      </c>
    </row>
    <row r="1422" spans="19:22" ht="14.25">
      <c r="S1422" t="s">
        <v>159</v>
      </c>
      <c r="T1422" t="s">
        <v>98</v>
      </c>
      <c r="U1422">
        <v>0.028957230432636198</v>
      </c>
      <c r="V1422" t="s">
        <v>88</v>
      </c>
    </row>
    <row r="1423" spans="19:22" ht="14.25">
      <c r="S1423" t="s">
        <v>159</v>
      </c>
      <c r="T1423" t="s">
        <v>99</v>
      </c>
      <c r="U1423">
        <v>0.042746570725511017</v>
      </c>
      <c r="V1423" t="s">
        <v>88</v>
      </c>
    </row>
    <row r="1424" spans="19:22" ht="14.25">
      <c r="S1424" t="s">
        <v>159</v>
      </c>
      <c r="T1424" t="s">
        <v>190</v>
      </c>
      <c r="U1424">
        <v>0.0067840540674209554</v>
      </c>
      <c r="V1424" t="s">
        <v>88</v>
      </c>
    </row>
    <row r="1425" spans="19:22" ht="14.25">
      <c r="S1425" t="s">
        <v>159</v>
      </c>
      <c r="T1425" t="s">
        <v>191</v>
      </c>
      <c r="U1425">
        <v>0.0068015824716204732</v>
      </c>
      <c r="V1425" t="s">
        <v>88</v>
      </c>
    </row>
    <row r="1426" spans="19:22" ht="14.25">
      <c r="S1426" t="s">
        <v>159</v>
      </c>
      <c r="T1426" t="s">
        <v>192</v>
      </c>
      <c r="U1426">
        <v>0.034715546265090338</v>
      </c>
      <c r="V1426" t="s">
        <v>88</v>
      </c>
    </row>
    <row r="1427" spans="19:22" ht="14.25">
      <c r="S1427" t="s">
        <v>159</v>
      </c>
      <c r="T1427" t="s">
        <v>193</v>
      </c>
      <c r="U1427">
        <v>0.027528145628086288</v>
      </c>
      <c r="V1427" t="s">
        <v>88</v>
      </c>
    </row>
    <row r="1428" spans="19:22" ht="14.25">
      <c r="S1428" t="s">
        <v>159</v>
      </c>
      <c r="T1428" t="s">
        <v>194</v>
      </c>
      <c r="U1428">
        <v>0.014937675005518401</v>
      </c>
      <c r="V1428" t="s">
        <v>88</v>
      </c>
    </row>
    <row r="1429" spans="19:22" ht="14.25">
      <c r="S1429" t="s">
        <v>159</v>
      </c>
      <c r="T1429" t="s">
        <v>195</v>
      </c>
      <c r="U1429">
        <v>0.022394066347488133</v>
      </c>
      <c r="V1429" t="s">
        <v>88</v>
      </c>
    </row>
    <row r="1430" spans="19:22" ht="14.25">
      <c r="S1430" t="s">
        <v>159</v>
      </c>
      <c r="T1430" t="s">
        <v>196</v>
      </c>
      <c r="U1430">
        <v>0.0037486972045539736</v>
      </c>
      <c r="V1430" t="s">
        <v>88</v>
      </c>
    </row>
    <row r="1431" spans="19:22" ht="14.25">
      <c r="S1431" t="s">
        <v>159</v>
      </c>
      <c r="T1431" t="s">
        <v>197</v>
      </c>
      <c r="U1431">
        <v>0.003816453644200947</v>
      </c>
      <c r="V1431" t="s">
        <v>88</v>
      </c>
    </row>
    <row r="1432" spans="19:22" ht="14.25">
      <c r="S1432" t="s">
        <v>159</v>
      </c>
      <c r="T1432" t="s">
        <v>198</v>
      </c>
      <c r="U1432">
        <v>0.019707388892415318</v>
      </c>
      <c r="V1432" t="s">
        <v>88</v>
      </c>
    </row>
    <row r="1433" spans="19:22" ht="14.25">
      <c r="S1433" t="s">
        <v>159</v>
      </c>
      <c r="T1433" t="s">
        <v>199</v>
      </c>
      <c r="U1433">
        <v>0.079183787384886059</v>
      </c>
      <c r="V1433" t="s">
        <v>88</v>
      </c>
    </row>
    <row r="1434" spans="19:22" ht="14.25">
      <c r="S1434" t="s">
        <v>159</v>
      </c>
      <c r="T1434" t="s">
        <v>200</v>
      </c>
      <c r="U1434">
        <v>0.045183387961742212</v>
      </c>
      <c r="V1434" t="s">
        <v>88</v>
      </c>
    </row>
    <row r="1435" spans="19:22" ht="14.25">
      <c r="S1435" t="s">
        <v>159</v>
      </c>
      <c r="T1435" t="s">
        <v>201</v>
      </c>
      <c r="U1435">
        <v>0.065532058604720264</v>
      </c>
      <c r="V1435" t="s">
        <v>88</v>
      </c>
    </row>
    <row r="1436" spans="19:22" ht="14.25">
      <c r="S1436" t="s">
        <v>159</v>
      </c>
      <c r="T1436" t="s">
        <v>202</v>
      </c>
      <c r="U1436">
        <v>0.010706317487748531</v>
      </c>
      <c r="V1436" t="s">
        <v>88</v>
      </c>
    </row>
    <row r="1437" spans="19:22" ht="14.25">
      <c r="S1437" t="s">
        <v>159</v>
      </c>
      <c r="T1437" t="s">
        <v>203</v>
      </c>
      <c r="U1437">
        <v>0.010830137548990659</v>
      </c>
      <c r="V1437" t="s">
        <v>88</v>
      </c>
    </row>
    <row r="1438" spans="19:22" ht="14.25">
      <c r="S1438" t="s">
        <v>159</v>
      </c>
      <c r="T1438" t="s">
        <v>204</v>
      </c>
      <c r="U1438">
        <v>0.056437628130901911</v>
      </c>
      <c r="V1438" t="s">
        <v>88</v>
      </c>
    </row>
    <row r="1439" spans="19:22" ht="14.25">
      <c r="S1439" t="s">
        <v>159</v>
      </c>
      <c r="T1439" t="s">
        <v>205</v>
      </c>
      <c r="U1439">
        <v>0.030937724620826949</v>
      </c>
      <c r="V1439" t="s">
        <v>88</v>
      </c>
    </row>
    <row r="1440" spans="19:22" ht="14.25">
      <c r="S1440" t="s">
        <v>159</v>
      </c>
      <c r="T1440" t="s">
        <v>206</v>
      </c>
      <c r="U1440">
        <v>0.014936028944036447</v>
      </c>
      <c r="V1440" t="s">
        <v>88</v>
      </c>
    </row>
    <row r="1441" spans="19:22" ht="14.25">
      <c r="S1441" t="s">
        <v>159</v>
      </c>
      <c r="T1441" t="s">
        <v>207</v>
      </c>
      <c r="U1441">
        <v>0.022328457540604311</v>
      </c>
      <c r="V1441" t="s">
        <v>88</v>
      </c>
    </row>
    <row r="1442" spans="19:22" ht="14.25">
      <c r="S1442" t="s">
        <v>159</v>
      </c>
      <c r="T1442" t="s">
        <v>208</v>
      </c>
      <c r="U1442">
        <v>0.0038952358460821465</v>
      </c>
      <c r="V1442" t="s">
        <v>88</v>
      </c>
    </row>
    <row r="1443" spans="19:22" ht="14.25">
      <c r="S1443" t="s">
        <v>159</v>
      </c>
      <c r="T1443" t="s">
        <v>209</v>
      </c>
      <c r="U1443">
        <v>0.004036849715600711</v>
      </c>
      <c r="V1443" t="s">
        <v>88</v>
      </c>
    </row>
    <row r="1444" spans="19:22" ht="14.25">
      <c r="S1444" t="s">
        <v>159</v>
      </c>
      <c r="T1444" t="s">
        <v>210</v>
      </c>
      <c r="U1444">
        <v>0.022508558576710205</v>
      </c>
      <c r="V1444" t="s">
        <v>88</v>
      </c>
    </row>
    <row r="1445" spans="19:22" ht="14.25">
      <c r="S1445" t="s">
        <v>159</v>
      </c>
      <c r="T1445" t="s">
        <v>211</v>
      </c>
      <c r="U1445">
        <v>0.045048723786864316</v>
      </c>
      <c r="V1445" t="s">
        <v>88</v>
      </c>
    </row>
    <row r="1446" spans="19:22" ht="14.25">
      <c r="S1446" t="s">
        <v>159</v>
      </c>
      <c r="T1446" t="s">
        <v>212</v>
      </c>
      <c r="U1446">
        <v>0.026083296824427865</v>
      </c>
      <c r="V1446" t="s">
        <v>88</v>
      </c>
    </row>
    <row r="1447" spans="19:22" ht="14.25">
      <c r="S1447" t="s">
        <v>159</v>
      </c>
      <c r="T1447" t="s">
        <v>213</v>
      </c>
      <c r="U1447">
        <v>0.038594422379129335</v>
      </c>
      <c r="V1447" t="s">
        <v>88</v>
      </c>
    </row>
    <row r="1448" spans="19:22" ht="14.25">
      <c r="S1448" t="s">
        <v>159</v>
      </c>
      <c r="T1448" t="s">
        <v>214</v>
      </c>
      <c r="U1448">
        <v>0.0062239764876832549</v>
      </c>
      <c r="V1448" t="s">
        <v>88</v>
      </c>
    </row>
    <row r="1449" spans="19:22" ht="14.25">
      <c r="S1449" t="s">
        <v>159</v>
      </c>
      <c r="T1449" t="s">
        <v>215</v>
      </c>
      <c r="U1449">
        <v>0.0063190391548187215</v>
      </c>
      <c r="V1449" t="s">
        <v>88</v>
      </c>
    </row>
    <row r="1450" spans="19:22" ht="14.25">
      <c r="S1450" t="s">
        <v>159</v>
      </c>
      <c r="T1450" t="s">
        <v>216</v>
      </c>
      <c r="U1450">
        <v>0.031833262018863447</v>
      </c>
      <c r="V1450" t="s">
        <v>88</v>
      </c>
    </row>
    <row r="1451" spans="19:22" ht="14.25">
      <c r="S1451" t="s">
        <v>160</v>
      </c>
      <c r="T1451" t="s">
        <v>87</v>
      </c>
      <c r="U1451">
        <v>0.025294604008084955</v>
      </c>
      <c r="V1451" t="s">
        <v>88</v>
      </c>
    </row>
    <row r="1452" spans="19:22" ht="14.25">
      <c r="S1452" t="s">
        <v>160</v>
      </c>
      <c r="T1452" t="s">
        <v>89</v>
      </c>
      <c r="U1452">
        <v>0.013606736872655407</v>
      </c>
      <c r="V1452" t="s">
        <v>88</v>
      </c>
    </row>
    <row r="1453" spans="19:22" ht="14.25">
      <c r="S1453" t="s">
        <v>160</v>
      </c>
      <c r="T1453" t="s">
        <v>90</v>
      </c>
      <c r="U1453">
        <v>0.020757684282782473</v>
      </c>
      <c r="V1453" t="s">
        <v>88</v>
      </c>
    </row>
    <row r="1454" spans="19:22" ht="14.25">
      <c r="S1454" t="s">
        <v>160</v>
      </c>
      <c r="T1454" t="s">
        <v>181</v>
      </c>
      <c r="U1454">
        <v>0.0036167396616984464</v>
      </c>
      <c r="V1454" t="s">
        <v>88</v>
      </c>
    </row>
    <row r="1455" spans="19:22" ht="14.25">
      <c r="S1455" t="s">
        <v>160</v>
      </c>
      <c r="T1455" t="s">
        <v>182</v>
      </c>
      <c r="U1455">
        <v>0.0036333312858649555</v>
      </c>
      <c r="V1455" t="s">
        <v>88</v>
      </c>
    </row>
    <row r="1456" spans="19:22" ht="14.25">
      <c r="S1456" t="s">
        <v>160</v>
      </c>
      <c r="T1456" t="s">
        <v>183</v>
      </c>
      <c r="U1456">
        <v>0.018679563490549143</v>
      </c>
      <c r="V1456" t="s">
        <v>88</v>
      </c>
    </row>
    <row r="1457" spans="19:22" ht="14.25">
      <c r="S1457" t="s">
        <v>160</v>
      </c>
      <c r="T1457" t="s">
        <v>91</v>
      </c>
      <c r="U1457">
        <v>0.015101709346343549</v>
      </c>
      <c r="V1457" t="s">
        <v>88</v>
      </c>
    </row>
    <row r="1458" spans="19:22" ht="14.25">
      <c r="S1458" t="s">
        <v>160</v>
      </c>
      <c r="T1458" t="s">
        <v>92</v>
      </c>
      <c r="U1458">
        <v>0.0076022803937684123</v>
      </c>
      <c r="V1458" t="s">
        <v>88</v>
      </c>
    </row>
    <row r="1459" spans="19:22" ht="14.25">
      <c r="S1459" t="s">
        <v>160</v>
      </c>
      <c r="T1459" t="s">
        <v>93</v>
      </c>
      <c r="U1459">
        <v>0.012815019627985248</v>
      </c>
      <c r="V1459" t="s">
        <v>88</v>
      </c>
    </row>
    <row r="1460" spans="19:22" ht="14.25">
      <c r="S1460" t="s">
        <v>160</v>
      </c>
      <c r="T1460" t="s">
        <v>184</v>
      </c>
      <c r="U1460">
        <v>0.0025380294687575543</v>
      </c>
      <c r="V1460" t="s">
        <v>88</v>
      </c>
    </row>
    <row r="1461" spans="19:22" ht="14.25">
      <c r="S1461" t="s">
        <v>160</v>
      </c>
      <c r="T1461" t="s">
        <v>185</v>
      </c>
      <c r="U1461">
        <v>0.0025659175792831479</v>
      </c>
      <c r="V1461" t="s">
        <v>88</v>
      </c>
    </row>
    <row r="1462" spans="19:22" ht="14.25">
      <c r="S1462" t="s">
        <v>160</v>
      </c>
      <c r="T1462" t="s">
        <v>186</v>
      </c>
      <c r="U1462">
        <v>0.012623265037974873</v>
      </c>
      <c r="V1462" t="s">
        <v>88</v>
      </c>
    </row>
    <row r="1463" spans="19:22" ht="14.25">
      <c r="S1463" t="s">
        <v>160</v>
      </c>
      <c r="T1463" t="s">
        <v>94</v>
      </c>
      <c r="U1463">
        <v>0.012810096637175796</v>
      </c>
      <c r="V1463" t="s">
        <v>88</v>
      </c>
    </row>
    <row r="1464" spans="19:22" ht="14.25">
      <c r="S1464" t="s">
        <v>160</v>
      </c>
      <c r="T1464" t="s">
        <v>95</v>
      </c>
      <c r="U1464">
        <v>0.0076940646693333557</v>
      </c>
      <c r="V1464" t="s">
        <v>88</v>
      </c>
    </row>
    <row r="1465" spans="19:22" ht="14.25">
      <c r="S1465" t="s">
        <v>160</v>
      </c>
      <c r="T1465" t="s">
        <v>96</v>
      </c>
      <c r="U1465">
        <v>0.012123037005670908</v>
      </c>
      <c r="V1465" t="s">
        <v>88</v>
      </c>
    </row>
    <row r="1466" spans="19:22" ht="14.25">
      <c r="S1466" t="s">
        <v>160</v>
      </c>
      <c r="T1466" t="s">
        <v>187</v>
      </c>
      <c r="U1466">
        <v>0.0022568899028568017</v>
      </c>
      <c r="V1466" t="s">
        <v>88</v>
      </c>
    </row>
    <row r="1467" spans="19:22" ht="14.25">
      <c r="S1467" t="s">
        <v>160</v>
      </c>
      <c r="T1467" t="s">
        <v>188</v>
      </c>
      <c r="U1467">
        <v>0.0023026818734518447</v>
      </c>
      <c r="V1467" t="s">
        <v>88</v>
      </c>
    </row>
    <row r="1468" spans="19:22" ht="14.25">
      <c r="S1468" t="s">
        <v>160</v>
      </c>
      <c r="T1468" t="s">
        <v>189</v>
      </c>
      <c r="U1468">
        <v>0.011294134504950896</v>
      </c>
      <c r="V1468" t="s">
        <v>88</v>
      </c>
    </row>
    <row r="1469" spans="19:22" ht="14.25">
      <c r="S1469" t="s">
        <v>160</v>
      </c>
      <c r="T1469" t="s">
        <v>97</v>
      </c>
      <c r="U1469">
        <v>0.051523581305705855</v>
      </c>
      <c r="V1469" t="s">
        <v>88</v>
      </c>
    </row>
    <row r="1470" spans="19:22" ht="14.25">
      <c r="S1470" t="s">
        <v>160</v>
      </c>
      <c r="T1470" t="s">
        <v>98</v>
      </c>
      <c r="U1470">
        <v>0.029337503502530567</v>
      </c>
      <c r="V1470" t="s">
        <v>88</v>
      </c>
    </row>
    <row r="1471" spans="19:22" ht="14.25">
      <c r="S1471" t="s">
        <v>160</v>
      </c>
      <c r="T1471" t="s">
        <v>99</v>
      </c>
      <c r="U1471">
        <v>0.045342297975397121</v>
      </c>
      <c r="V1471" t="s">
        <v>88</v>
      </c>
    </row>
    <row r="1472" spans="19:22" ht="14.25">
      <c r="S1472" t="s">
        <v>160</v>
      </c>
      <c r="T1472" t="s">
        <v>190</v>
      </c>
      <c r="U1472">
        <v>0.0074778783606094194</v>
      </c>
      <c r="V1472" t="s">
        <v>88</v>
      </c>
    </row>
    <row r="1473" spans="19:22" ht="14.25">
      <c r="S1473" t="s">
        <v>160</v>
      </c>
      <c r="T1473" t="s">
        <v>191</v>
      </c>
      <c r="U1473">
        <v>0.0075450896737188269</v>
      </c>
      <c r="V1473" t="s">
        <v>88</v>
      </c>
    </row>
    <row r="1474" spans="19:22" ht="14.25">
      <c r="S1474" t="s">
        <v>160</v>
      </c>
      <c r="T1474" t="s">
        <v>192</v>
      </c>
      <c r="U1474">
        <v>0.037530290991920463</v>
      </c>
      <c r="V1474" t="s">
        <v>88</v>
      </c>
    </row>
    <row r="1475" spans="19:22" ht="14.25">
      <c r="S1475" t="s">
        <v>160</v>
      </c>
      <c r="T1475" t="s">
        <v>193</v>
      </c>
      <c r="U1475">
        <v>0.02541889249132542</v>
      </c>
      <c r="V1475" t="s">
        <v>88</v>
      </c>
    </row>
    <row r="1476" spans="19:22" ht="14.25">
      <c r="S1476" t="s">
        <v>160</v>
      </c>
      <c r="T1476" t="s">
        <v>194</v>
      </c>
      <c r="U1476">
        <v>0.013867097263049888</v>
      </c>
      <c r="V1476" t="s">
        <v>88</v>
      </c>
    </row>
    <row r="1477" spans="19:22" ht="14.25">
      <c r="S1477" t="s">
        <v>160</v>
      </c>
      <c r="T1477" t="s">
        <v>195</v>
      </c>
      <c r="U1477">
        <v>0.020652482188387358</v>
      </c>
      <c r="V1477" t="s">
        <v>88</v>
      </c>
    </row>
    <row r="1478" spans="19:22" ht="14.25">
      <c r="S1478" t="s">
        <v>160</v>
      </c>
      <c r="T1478" t="s">
        <v>196</v>
      </c>
      <c r="U1478">
        <v>0.0034145226418648405</v>
      </c>
      <c r="V1478" t="s">
        <v>88</v>
      </c>
    </row>
    <row r="1479" spans="19:22" ht="14.25">
      <c r="S1479" t="s">
        <v>160</v>
      </c>
      <c r="T1479" t="s">
        <v>197</v>
      </c>
      <c r="U1479">
        <v>0.0034246048142623133</v>
      </c>
      <c r="V1479" t="s">
        <v>88</v>
      </c>
    </row>
    <row r="1480" spans="19:22" ht="14.25">
      <c r="S1480" t="s">
        <v>160</v>
      </c>
      <c r="T1480" t="s">
        <v>198</v>
      </c>
      <c r="U1480">
        <v>0.017567608956094251</v>
      </c>
      <c r="V1480" t="s">
        <v>88</v>
      </c>
    </row>
    <row r="1481" spans="19:22" ht="14.25">
      <c r="S1481" t="s">
        <v>160</v>
      </c>
      <c r="T1481" t="s">
        <v>199</v>
      </c>
      <c r="U1481">
        <v>0.089322087895145799</v>
      </c>
      <c r="V1481" t="s">
        <v>88</v>
      </c>
    </row>
    <row r="1482" spans="19:22" ht="14.25">
      <c r="S1482" t="s">
        <v>160</v>
      </c>
      <c r="T1482" t="s">
        <v>200</v>
      </c>
      <c r="U1482">
        <v>0.0508432282566708</v>
      </c>
      <c r="V1482" t="s">
        <v>88</v>
      </c>
    </row>
    <row r="1483" spans="19:22" ht="14.25">
      <c r="S1483" t="s">
        <v>160</v>
      </c>
      <c r="T1483" t="s">
        <v>201</v>
      </c>
      <c r="U1483">
        <v>0.072915730369331799</v>
      </c>
      <c r="V1483" t="s">
        <v>88</v>
      </c>
    </row>
    <row r="1484" spans="19:22" ht="14.25">
      <c r="S1484" t="s">
        <v>160</v>
      </c>
      <c r="T1484" t="s">
        <v>202</v>
      </c>
      <c r="U1484">
        <v>0.01140239845460043</v>
      </c>
      <c r="V1484" t="s">
        <v>88</v>
      </c>
    </row>
    <row r="1485" spans="19:22" ht="14.25">
      <c r="S1485" t="s">
        <v>160</v>
      </c>
      <c r="T1485" t="s">
        <v>203</v>
      </c>
      <c r="U1485">
        <v>0.011340568510646312</v>
      </c>
      <c r="V1485" t="s">
        <v>88</v>
      </c>
    </row>
    <row r="1486" spans="19:22" ht="14.25">
      <c r="S1486" t="s">
        <v>160</v>
      </c>
      <c r="T1486" t="s">
        <v>204</v>
      </c>
      <c r="U1486">
        <v>0.059270971170052721</v>
      </c>
      <c r="V1486" t="s">
        <v>88</v>
      </c>
    </row>
    <row r="1487" spans="19:22" ht="14.25">
      <c r="S1487" t="s">
        <v>160</v>
      </c>
      <c r="T1487" t="s">
        <v>205</v>
      </c>
      <c r="U1487">
        <v>0.032442137884241079</v>
      </c>
      <c r="V1487" t="s">
        <v>88</v>
      </c>
    </row>
    <row r="1488" spans="19:22" ht="14.25">
      <c r="S1488" t="s">
        <v>160</v>
      </c>
      <c r="T1488" t="s">
        <v>206</v>
      </c>
      <c r="U1488">
        <v>0.016267176137524906</v>
      </c>
      <c r="V1488" t="s">
        <v>88</v>
      </c>
    </row>
    <row r="1489" spans="19:22" ht="14.25">
      <c r="S1489" t="s">
        <v>160</v>
      </c>
      <c r="T1489" t="s">
        <v>207</v>
      </c>
      <c r="U1489">
        <v>0.024610595878220336</v>
      </c>
      <c r="V1489" t="s">
        <v>88</v>
      </c>
    </row>
    <row r="1490" spans="19:22" ht="14.25">
      <c r="S1490" t="s">
        <v>160</v>
      </c>
      <c r="T1490" t="s">
        <v>208</v>
      </c>
      <c r="U1490">
        <v>0.0042475116390995925</v>
      </c>
      <c r="V1490" t="s">
        <v>88</v>
      </c>
    </row>
    <row r="1491" spans="19:22" ht="14.25">
      <c r="S1491" t="s">
        <v>160</v>
      </c>
      <c r="T1491" t="s">
        <v>209</v>
      </c>
      <c r="U1491">
        <v>0.0043190502234654749</v>
      </c>
      <c r="V1491" t="s">
        <v>88</v>
      </c>
    </row>
    <row r="1492" spans="19:22" ht="14.25">
      <c r="S1492" t="s">
        <v>160</v>
      </c>
      <c r="T1492" t="s">
        <v>210</v>
      </c>
      <c r="U1492">
        <v>0.022878087639608247</v>
      </c>
      <c r="V1492" t="s">
        <v>88</v>
      </c>
    </row>
    <row r="1493" spans="19:22" ht="14.25">
      <c r="S1493" t="s">
        <v>160</v>
      </c>
      <c r="T1493" t="s">
        <v>211</v>
      </c>
      <c r="U1493">
        <v>0.044129224031063799</v>
      </c>
      <c r="V1493" t="s">
        <v>88</v>
      </c>
    </row>
    <row r="1494" spans="19:22" ht="14.25">
      <c r="S1494" t="s">
        <v>160</v>
      </c>
      <c r="T1494" t="s">
        <v>212</v>
      </c>
      <c r="U1494">
        <v>0.023912369038759252</v>
      </c>
      <c r="V1494" t="s">
        <v>88</v>
      </c>
    </row>
    <row r="1495" spans="19:22" ht="14.25">
      <c r="S1495" t="s">
        <v>160</v>
      </c>
      <c r="T1495" t="s">
        <v>213</v>
      </c>
      <c r="U1495">
        <v>0.036536570740362394</v>
      </c>
      <c r="V1495" t="s">
        <v>88</v>
      </c>
    </row>
    <row r="1496" spans="19:22" ht="14.25">
      <c r="S1496" t="s">
        <v>160</v>
      </c>
      <c r="T1496" t="s">
        <v>214</v>
      </c>
      <c r="U1496">
        <v>0.0064442796693003025</v>
      </c>
      <c r="V1496" t="s">
        <v>88</v>
      </c>
    </row>
    <row r="1497" spans="19:22" ht="14.25">
      <c r="S1497" t="s">
        <v>160</v>
      </c>
      <c r="T1497" t="s">
        <v>215</v>
      </c>
      <c r="U1497">
        <v>0.0063913467866495727</v>
      </c>
      <c r="V1497" t="s">
        <v>88</v>
      </c>
    </row>
    <row r="1498" spans="19:22" ht="14.25">
      <c r="S1498" t="s">
        <v>160</v>
      </c>
      <c r="T1498" t="s">
        <v>216</v>
      </c>
      <c r="U1498">
        <v>0.032309029861200121</v>
      </c>
      <c r="V1498" t="s">
        <v>88</v>
      </c>
    </row>
    <row r="1499" spans="19:22" ht="14.25">
      <c r="S1499" t="s">
        <v>161</v>
      </c>
      <c r="T1499" t="s">
        <v>87</v>
      </c>
      <c r="U1499">
        <v>0.024658696813290779</v>
      </c>
      <c r="V1499" t="s">
        <v>88</v>
      </c>
    </row>
    <row r="1500" spans="19:22" ht="14.25">
      <c r="S1500" t="s">
        <v>161</v>
      </c>
      <c r="T1500" t="s">
        <v>89</v>
      </c>
      <c r="U1500">
        <v>0.013683009222496484</v>
      </c>
      <c r="V1500" t="s">
        <v>88</v>
      </c>
    </row>
    <row r="1501" spans="19:22" ht="14.25">
      <c r="S1501" t="s">
        <v>161</v>
      </c>
      <c r="T1501" t="s">
        <v>90</v>
      </c>
      <c r="U1501">
        <v>0.023033682570110077</v>
      </c>
      <c r="V1501" t="s">
        <v>88</v>
      </c>
    </row>
    <row r="1502" spans="19:22" ht="14.25">
      <c r="S1502" t="s">
        <v>161</v>
      </c>
      <c r="T1502" t="s">
        <v>181</v>
      </c>
      <c r="U1502">
        <v>0.0041590496159075799</v>
      </c>
      <c r="V1502" t="s">
        <v>88</v>
      </c>
    </row>
    <row r="1503" spans="19:22" ht="14.25">
      <c r="S1503" t="s">
        <v>161</v>
      </c>
      <c r="T1503" t="s">
        <v>182</v>
      </c>
      <c r="U1503">
        <v>0.0041077927194244669</v>
      </c>
      <c r="V1503" t="s">
        <v>88</v>
      </c>
    </row>
    <row r="1504" spans="19:22" ht="14.25">
      <c r="S1504" t="s">
        <v>161</v>
      </c>
      <c r="T1504" t="s">
        <v>183</v>
      </c>
      <c r="U1504">
        <v>0.019474145890439484</v>
      </c>
      <c r="V1504" t="s">
        <v>88</v>
      </c>
    </row>
    <row r="1505" spans="19:22" ht="14.25">
      <c r="S1505" t="s">
        <v>161</v>
      </c>
      <c r="T1505" t="s">
        <v>91</v>
      </c>
      <c r="U1505">
        <v>0.013831344073673786</v>
      </c>
      <c r="V1505" t="s">
        <v>88</v>
      </c>
    </row>
    <row r="1506" spans="19:22" ht="14.25">
      <c r="S1506" t="s">
        <v>161</v>
      </c>
      <c r="T1506" t="s">
        <v>92</v>
      </c>
      <c r="U1506">
        <v>0.006882499123445714</v>
      </c>
      <c r="V1506" t="s">
        <v>88</v>
      </c>
    </row>
    <row r="1507" spans="19:22" ht="14.25">
      <c r="S1507" t="s">
        <v>161</v>
      </c>
      <c r="T1507" t="s">
        <v>93</v>
      </c>
      <c r="U1507">
        <v>0.011580131852347242</v>
      </c>
      <c r="V1507" t="s">
        <v>88</v>
      </c>
    </row>
    <row r="1508" spans="19:22" ht="14.25">
      <c r="S1508" t="s">
        <v>161</v>
      </c>
      <c r="T1508" t="s">
        <v>184</v>
      </c>
      <c r="U1508">
        <v>0.0023002828281472568</v>
      </c>
      <c r="V1508" t="s">
        <v>88</v>
      </c>
    </row>
    <row r="1509" spans="19:22" ht="14.25">
      <c r="S1509" t="s">
        <v>161</v>
      </c>
      <c r="T1509" t="s">
        <v>185</v>
      </c>
      <c r="U1509">
        <v>0.0023329219486919661</v>
      </c>
      <c r="V1509" t="s">
        <v>88</v>
      </c>
    </row>
    <row r="1510" spans="19:22" ht="14.25">
      <c r="S1510" t="s">
        <v>161</v>
      </c>
      <c r="T1510" t="s">
        <v>186</v>
      </c>
      <c r="U1510">
        <v>0.011155571307811916</v>
      </c>
      <c r="V1510" t="s">
        <v>88</v>
      </c>
    </row>
    <row r="1511" spans="19:22" ht="14.25">
      <c r="S1511" t="s">
        <v>161</v>
      </c>
      <c r="T1511" t="s">
        <v>94</v>
      </c>
      <c r="U1511">
        <v>0.015458530383876632</v>
      </c>
      <c r="V1511" t="s">
        <v>88</v>
      </c>
    </row>
    <row r="1512" spans="19:22" ht="14.25">
      <c r="S1512" t="s">
        <v>161</v>
      </c>
      <c r="T1512" t="s">
        <v>95</v>
      </c>
      <c r="U1512">
        <v>0.009120979999494367</v>
      </c>
      <c r="V1512" t="s">
        <v>88</v>
      </c>
    </row>
    <row r="1513" spans="19:22" ht="14.25">
      <c r="S1513" t="s">
        <v>161</v>
      </c>
      <c r="T1513" t="s">
        <v>96</v>
      </c>
      <c r="U1513">
        <v>0.013577036089438579</v>
      </c>
      <c r="V1513" t="s">
        <v>88</v>
      </c>
    </row>
    <row r="1514" spans="19:22" ht="14.25">
      <c r="S1514" t="s">
        <v>161</v>
      </c>
      <c r="T1514" t="s">
        <v>187</v>
      </c>
      <c r="U1514">
        <v>0.0022357328591845263</v>
      </c>
      <c r="V1514" t="s">
        <v>88</v>
      </c>
    </row>
    <row r="1515" spans="19:22" ht="14.25">
      <c r="S1515" t="s">
        <v>161</v>
      </c>
      <c r="T1515" t="s">
        <v>188</v>
      </c>
      <c r="U1515">
        <v>0.0021800826071795136</v>
      </c>
      <c r="V1515" t="s">
        <v>88</v>
      </c>
    </row>
    <row r="1516" spans="19:22" ht="14.25">
      <c r="S1516" t="s">
        <v>161</v>
      </c>
      <c r="T1516" t="s">
        <v>189</v>
      </c>
      <c r="U1516">
        <v>0.010224444449839857</v>
      </c>
      <c r="V1516" t="s">
        <v>88</v>
      </c>
    </row>
    <row r="1517" spans="19:22" ht="14.25">
      <c r="S1517" t="s">
        <v>161</v>
      </c>
      <c r="T1517" t="s">
        <v>97</v>
      </c>
      <c r="U1517">
        <v>0.044636133878014857</v>
      </c>
      <c r="V1517" t="s">
        <v>88</v>
      </c>
    </row>
    <row r="1518" spans="19:22" ht="14.25">
      <c r="S1518" t="s">
        <v>161</v>
      </c>
      <c r="T1518" t="s">
        <v>98</v>
      </c>
      <c r="U1518">
        <v>0.024809791283456718</v>
      </c>
      <c r="V1518" t="s">
        <v>88</v>
      </c>
    </row>
    <row r="1519" spans="19:22" ht="14.25">
      <c r="S1519" t="s">
        <v>161</v>
      </c>
      <c r="T1519" t="s">
        <v>99</v>
      </c>
      <c r="U1519">
        <v>0.040508736539356716</v>
      </c>
      <c r="V1519" t="s">
        <v>88</v>
      </c>
    </row>
    <row r="1520" spans="19:22" ht="14.25">
      <c r="S1520" t="s">
        <v>161</v>
      </c>
      <c r="T1520" t="s">
        <v>190</v>
      </c>
      <c r="U1520">
        <v>0.0070389516700973499</v>
      </c>
      <c r="V1520" t="s">
        <v>88</v>
      </c>
    </row>
    <row r="1521" spans="19:22" ht="14.25">
      <c r="S1521" t="s">
        <v>161</v>
      </c>
      <c r="T1521" t="s">
        <v>191</v>
      </c>
      <c r="U1521">
        <v>0.007006937652096968</v>
      </c>
      <c r="V1521" t="s">
        <v>88</v>
      </c>
    </row>
    <row r="1522" spans="19:22" ht="14.25">
      <c r="S1522" t="s">
        <v>161</v>
      </c>
      <c r="T1522" t="s">
        <v>192</v>
      </c>
      <c r="U1522">
        <v>0.033431116957982891</v>
      </c>
      <c r="V1522" t="s">
        <v>88</v>
      </c>
    </row>
    <row r="1523" spans="19:22" ht="14.25">
      <c r="S1523" t="s">
        <v>161</v>
      </c>
      <c r="T1523" t="s">
        <v>193</v>
      </c>
      <c r="U1523">
        <v>0.023985553999268418</v>
      </c>
      <c r="V1523" t="s">
        <v>88</v>
      </c>
    </row>
    <row r="1524" spans="19:22" ht="14.25">
      <c r="S1524" t="s">
        <v>161</v>
      </c>
      <c r="T1524" t="s">
        <v>194</v>
      </c>
      <c r="U1524">
        <v>0.012963506142766873</v>
      </c>
      <c r="V1524" t="s">
        <v>88</v>
      </c>
    </row>
    <row r="1525" spans="19:22" ht="14.25">
      <c r="S1525" t="s">
        <v>161</v>
      </c>
      <c r="T1525" t="s">
        <v>195</v>
      </c>
      <c r="U1525">
        <v>0.019456062737823784</v>
      </c>
      <c r="V1525" t="s">
        <v>88</v>
      </c>
    </row>
    <row r="1526" spans="19:22" ht="14.25">
      <c r="S1526" t="s">
        <v>161</v>
      </c>
      <c r="T1526" t="s">
        <v>196</v>
      </c>
      <c r="U1526">
        <v>0.0031632890631877715</v>
      </c>
      <c r="V1526" t="s">
        <v>88</v>
      </c>
    </row>
    <row r="1527" spans="19:22" ht="14.25">
      <c r="S1527" t="s">
        <v>161</v>
      </c>
      <c r="T1527" t="s">
        <v>197</v>
      </c>
      <c r="U1527">
        <v>0.0031552056237871924</v>
      </c>
      <c r="V1527" t="s">
        <v>88</v>
      </c>
    </row>
    <row r="1528" spans="19:22" ht="14.25">
      <c r="S1528" t="s">
        <v>161</v>
      </c>
      <c r="T1528" t="s">
        <v>198</v>
      </c>
      <c r="U1528">
        <v>0.015607782292554643</v>
      </c>
      <c r="V1528" t="s">
        <v>88</v>
      </c>
    </row>
    <row r="1529" spans="19:22" ht="14.25">
      <c r="S1529" t="s">
        <v>161</v>
      </c>
      <c r="T1529" t="s">
        <v>199</v>
      </c>
      <c r="U1529">
        <v>0.083107935394587829</v>
      </c>
      <c r="V1529" t="s">
        <v>88</v>
      </c>
    </row>
    <row r="1530" spans="19:22" ht="14.25">
      <c r="S1530" t="s">
        <v>161</v>
      </c>
      <c r="T1530" t="s">
        <v>200</v>
      </c>
      <c r="U1530">
        <v>0.047088325705265874</v>
      </c>
      <c r="V1530" t="s">
        <v>88</v>
      </c>
    </row>
    <row r="1531" spans="19:22" ht="14.25">
      <c r="S1531" t="s">
        <v>161</v>
      </c>
      <c r="T1531" t="s">
        <v>201</v>
      </c>
      <c r="U1531">
        <v>0.07655884111801245</v>
      </c>
      <c r="V1531" t="s">
        <v>88</v>
      </c>
    </row>
    <row r="1532" spans="19:22" ht="14.25">
      <c r="S1532" t="s">
        <v>161</v>
      </c>
      <c r="T1532" t="s">
        <v>202</v>
      </c>
      <c r="U1532">
        <v>0.013297776955849617</v>
      </c>
      <c r="V1532" t="s">
        <v>88</v>
      </c>
    </row>
    <row r="1533" spans="19:22" ht="14.25">
      <c r="S1533" t="s">
        <v>161</v>
      </c>
      <c r="T1533" t="s">
        <v>203</v>
      </c>
      <c r="U1533">
        <v>0.013285485458724504</v>
      </c>
      <c r="V1533" t="s">
        <v>88</v>
      </c>
    </row>
    <row r="1534" spans="19:22" ht="14.25">
      <c r="S1534" t="s">
        <v>161</v>
      </c>
      <c r="T1534" t="s">
        <v>204</v>
      </c>
      <c r="U1534">
        <v>0.064204669303931428</v>
      </c>
      <c r="V1534" t="s">
        <v>88</v>
      </c>
    </row>
    <row r="1535" spans="19:22" ht="14.25">
      <c r="S1535" t="s">
        <v>161</v>
      </c>
      <c r="T1535" t="s">
        <v>205</v>
      </c>
      <c r="U1535">
        <v>0.032173892933056204</v>
      </c>
      <c r="V1535" t="s">
        <v>88</v>
      </c>
    </row>
    <row r="1536" spans="19:22" ht="14.25">
      <c r="S1536" t="s">
        <v>161</v>
      </c>
      <c r="T1536" t="s">
        <v>206</v>
      </c>
      <c r="U1536">
        <v>0.017655872330130377</v>
      </c>
      <c r="V1536" t="s">
        <v>88</v>
      </c>
    </row>
    <row r="1537" spans="19:22" ht="14.25">
      <c r="S1537" t="s">
        <v>161</v>
      </c>
      <c r="T1537" t="s">
        <v>207</v>
      </c>
      <c r="U1537">
        <v>0.030132566826183413</v>
      </c>
      <c r="V1537" t="s">
        <v>88</v>
      </c>
    </row>
    <row r="1538" spans="19:22" ht="14.25">
      <c r="S1538" t="s">
        <v>161</v>
      </c>
      <c r="T1538" t="s">
        <v>208</v>
      </c>
      <c r="U1538">
        <v>0.0052318815646010238</v>
      </c>
      <c r="V1538" t="s">
        <v>88</v>
      </c>
    </row>
    <row r="1539" spans="19:22" ht="14.25">
      <c r="S1539" t="s">
        <v>161</v>
      </c>
      <c r="T1539" t="s">
        <v>209</v>
      </c>
      <c r="U1539">
        <v>0.0052430941116042512</v>
      </c>
      <c r="V1539" t="s">
        <v>88</v>
      </c>
    </row>
    <row r="1540" spans="19:22" ht="14.25">
      <c r="S1540" t="s">
        <v>161</v>
      </c>
      <c r="T1540" t="s">
        <v>210</v>
      </c>
      <c r="U1540">
        <v>0.025502831771700901</v>
      </c>
      <c r="V1540" t="s">
        <v>88</v>
      </c>
    </row>
    <row r="1541" spans="19:22" ht="14.25">
      <c r="S1541" t="s">
        <v>161</v>
      </c>
      <c r="T1541" t="s">
        <v>211</v>
      </c>
      <c r="U1541">
        <v>0.042613179035052406</v>
      </c>
      <c r="V1541" t="s">
        <v>88</v>
      </c>
    </row>
    <row r="1542" spans="19:22" ht="14.25">
      <c r="S1542" t="s">
        <v>161</v>
      </c>
      <c r="T1542" t="s">
        <v>212</v>
      </c>
      <c r="U1542">
        <v>0.024503566142853535</v>
      </c>
      <c r="V1542" t="s">
        <v>88</v>
      </c>
    </row>
    <row r="1543" spans="19:22" ht="14.25">
      <c r="S1543" t="s">
        <v>161</v>
      </c>
      <c r="T1543" t="s">
        <v>213</v>
      </c>
      <c r="U1543">
        <v>0.043087732218347455</v>
      </c>
      <c r="V1543" t="s">
        <v>88</v>
      </c>
    </row>
    <row r="1544" spans="19:22" ht="14.25">
      <c r="S1544" t="s">
        <v>161</v>
      </c>
      <c r="T1544" t="s">
        <v>214</v>
      </c>
      <c r="U1544">
        <v>0.0076023761663829743</v>
      </c>
      <c r="V1544" t="s">
        <v>88</v>
      </c>
    </row>
    <row r="1545" spans="19:22" ht="14.25">
      <c r="S1545" t="s">
        <v>161</v>
      </c>
      <c r="T1545" t="s">
        <v>215</v>
      </c>
      <c r="U1545">
        <v>0.0076003728073292748</v>
      </c>
      <c r="V1545" t="s">
        <v>88</v>
      </c>
    </row>
    <row r="1546" spans="19:22" ht="14.25">
      <c r="S1546" t="s">
        <v>161</v>
      </c>
      <c r="T1546" t="s">
        <v>216</v>
      </c>
      <c r="U1546">
        <v>0.03535059796119093</v>
      </c>
      <c r="V1546" t="s">
        <v>88</v>
      </c>
    </row>
    <row r="1547" spans="19:22" ht="14.25">
      <c r="S1547" t="s">
        <v>162</v>
      </c>
      <c r="T1547" t="s">
        <v>87</v>
      </c>
      <c r="U1547">
        <v>0.025801865678963917</v>
      </c>
      <c r="V1547" t="s">
        <v>88</v>
      </c>
    </row>
    <row r="1548" spans="19:22" ht="14.25">
      <c r="S1548" t="s">
        <v>162</v>
      </c>
      <c r="T1548" t="s">
        <v>89</v>
      </c>
      <c r="U1548">
        <v>0.013852015620518283</v>
      </c>
      <c r="V1548" t="s">
        <v>88</v>
      </c>
    </row>
    <row r="1549" spans="19:22" ht="14.25">
      <c r="S1549" t="s">
        <v>162</v>
      </c>
      <c r="T1549" t="s">
        <v>90</v>
      </c>
      <c r="U1549">
        <v>0.025276816816870912</v>
      </c>
      <c r="V1549" t="s">
        <v>88</v>
      </c>
    </row>
    <row r="1550" spans="19:22" ht="14.25">
      <c r="S1550" t="s">
        <v>162</v>
      </c>
      <c r="T1550" t="s">
        <v>181</v>
      </c>
      <c r="U1550">
        <v>0.0045390553027110977</v>
      </c>
      <c r="V1550" t="s">
        <v>88</v>
      </c>
    </row>
    <row r="1551" spans="19:22" ht="14.25">
      <c r="S1551" t="s">
        <v>162</v>
      </c>
      <c r="T1551" t="s">
        <v>182</v>
      </c>
      <c r="U1551">
        <v>0.004445178084133557</v>
      </c>
      <c r="V1551" t="s">
        <v>88</v>
      </c>
    </row>
    <row r="1552" spans="19:22" ht="14.25">
      <c r="S1552" t="s">
        <v>162</v>
      </c>
      <c r="T1552" t="s">
        <v>183</v>
      </c>
      <c r="U1552">
        <v>0.019698571848739761</v>
      </c>
      <c r="V1552" t="s">
        <v>88</v>
      </c>
    </row>
    <row r="1553" spans="19:22" ht="14.25">
      <c r="S1553" t="s">
        <v>162</v>
      </c>
      <c r="T1553" t="s">
        <v>91</v>
      </c>
      <c r="U1553">
        <v>0.017586192614751795</v>
      </c>
      <c r="V1553" t="s">
        <v>88</v>
      </c>
    </row>
    <row r="1554" spans="19:22" ht="14.25">
      <c r="S1554" t="s">
        <v>162</v>
      </c>
      <c r="T1554" t="s">
        <v>92</v>
      </c>
      <c r="U1554">
        <v>0.0089848403212047928</v>
      </c>
      <c r="V1554" t="s">
        <v>88</v>
      </c>
    </row>
    <row r="1555" spans="19:22" ht="14.25">
      <c r="S1555" t="s">
        <v>162</v>
      </c>
      <c r="T1555" t="s">
        <v>93</v>
      </c>
      <c r="U1555">
        <v>0.014972190011066764</v>
      </c>
      <c r="V1555" t="s">
        <v>88</v>
      </c>
    </row>
    <row r="1556" spans="19:22" ht="14.25">
      <c r="S1556" t="s">
        <v>162</v>
      </c>
      <c r="T1556" t="s">
        <v>184</v>
      </c>
      <c r="U1556">
        <v>0.0027569778216868629</v>
      </c>
      <c r="V1556" t="s">
        <v>88</v>
      </c>
    </row>
    <row r="1557" spans="19:22" ht="14.25">
      <c r="S1557" t="s">
        <v>162</v>
      </c>
      <c r="T1557" t="s">
        <v>185</v>
      </c>
      <c r="U1557">
        <v>0.0027180250587735297</v>
      </c>
      <c r="V1557" t="s">
        <v>88</v>
      </c>
    </row>
    <row r="1558" spans="19:22" ht="14.25">
      <c r="S1558" t="s">
        <v>162</v>
      </c>
      <c r="T1558" t="s">
        <v>186</v>
      </c>
      <c r="U1558">
        <v>0.013399685909619426</v>
      </c>
      <c r="V1558" t="s">
        <v>88</v>
      </c>
    </row>
    <row r="1559" spans="19:22" ht="14.25">
      <c r="S1559" t="s">
        <v>162</v>
      </c>
      <c r="T1559" t="s">
        <v>94</v>
      </c>
      <c r="U1559">
        <v>0.020158186321939432</v>
      </c>
      <c r="V1559" t="s">
        <v>88</v>
      </c>
    </row>
    <row r="1560" spans="19:22" ht="14.25">
      <c r="S1560" t="s">
        <v>162</v>
      </c>
      <c r="T1560" t="s">
        <v>95</v>
      </c>
      <c r="U1560">
        <v>0.01109844942169841</v>
      </c>
      <c r="V1560" t="s">
        <v>88</v>
      </c>
    </row>
    <row r="1561" spans="19:22" ht="14.25">
      <c r="S1561" t="s">
        <v>162</v>
      </c>
      <c r="T1561" t="s">
        <v>96</v>
      </c>
      <c r="U1561">
        <v>0.017462176761291186</v>
      </c>
      <c r="V1561" t="s">
        <v>88</v>
      </c>
    </row>
    <row r="1562" spans="19:22" ht="14.25">
      <c r="S1562" t="s">
        <v>162</v>
      </c>
      <c r="T1562" t="s">
        <v>187</v>
      </c>
      <c r="U1562">
        <v>0.0029784128324946615</v>
      </c>
      <c r="V1562" t="s">
        <v>88</v>
      </c>
    </row>
    <row r="1563" spans="19:22" ht="14.25">
      <c r="S1563" t="s">
        <v>162</v>
      </c>
      <c r="T1563" t="s">
        <v>188</v>
      </c>
      <c r="U1563">
        <v>0.002984131993641552</v>
      </c>
      <c r="V1563" t="s">
        <v>88</v>
      </c>
    </row>
    <row r="1564" spans="19:22" ht="14.25">
      <c r="S1564" t="s">
        <v>162</v>
      </c>
      <c r="T1564" t="s">
        <v>189</v>
      </c>
      <c r="U1564">
        <v>0.014604749544681781</v>
      </c>
      <c r="V1564" t="s">
        <v>88</v>
      </c>
    </row>
    <row r="1565" spans="19:22" ht="14.25">
      <c r="S1565" t="s">
        <v>162</v>
      </c>
      <c r="T1565" t="s">
        <v>97</v>
      </c>
      <c r="U1565">
        <v>0.045817329696035261</v>
      </c>
      <c r="V1565" t="s">
        <v>88</v>
      </c>
    </row>
    <row r="1566" spans="19:22" ht="14.25">
      <c r="S1566" t="s">
        <v>162</v>
      </c>
      <c r="T1566" t="s">
        <v>98</v>
      </c>
      <c r="U1566">
        <v>0.026536065890307541</v>
      </c>
      <c r="V1566" t="s">
        <v>88</v>
      </c>
    </row>
    <row r="1567" spans="19:22" ht="14.25">
      <c r="S1567" t="s">
        <v>162</v>
      </c>
      <c r="T1567" t="s">
        <v>99</v>
      </c>
      <c r="U1567">
        <v>0.040737347174672596</v>
      </c>
      <c r="V1567" t="s">
        <v>88</v>
      </c>
    </row>
    <row r="1568" spans="19:22" ht="14.25">
      <c r="S1568" t="s">
        <v>162</v>
      </c>
      <c r="T1568" t="s">
        <v>190</v>
      </c>
      <c r="U1568">
        <v>0.0070516634787570007</v>
      </c>
      <c r="V1568" t="s">
        <v>88</v>
      </c>
    </row>
    <row r="1569" spans="19:22" ht="14.25">
      <c r="S1569" t="s">
        <v>162</v>
      </c>
      <c r="T1569" t="s">
        <v>191</v>
      </c>
      <c r="U1569">
        <v>0.0071060529246031673</v>
      </c>
      <c r="V1569" t="s">
        <v>88</v>
      </c>
    </row>
    <row r="1570" spans="19:22" ht="14.25">
      <c r="S1570" t="s">
        <v>162</v>
      </c>
      <c r="T1570" t="s">
        <v>192</v>
      </c>
      <c r="U1570">
        <v>0.033563760795133527</v>
      </c>
      <c r="V1570" t="s">
        <v>88</v>
      </c>
    </row>
    <row r="1571" spans="19:22" ht="14.25">
      <c r="S1571" t="s">
        <v>162</v>
      </c>
      <c r="T1571" t="s">
        <v>193</v>
      </c>
      <c r="U1571">
        <v>0.023215463517059293</v>
      </c>
      <c r="V1571" t="s">
        <v>88</v>
      </c>
    </row>
    <row r="1572" spans="19:22" ht="14.25">
      <c r="S1572" t="s">
        <v>162</v>
      </c>
      <c r="T1572" t="s">
        <v>194</v>
      </c>
      <c r="U1572">
        <v>0.012575381571647467</v>
      </c>
      <c r="V1572" t="s">
        <v>88</v>
      </c>
    </row>
    <row r="1573" spans="19:22" ht="14.25">
      <c r="S1573" t="s">
        <v>162</v>
      </c>
      <c r="T1573" t="s">
        <v>195</v>
      </c>
      <c r="U1573">
        <v>0.018210727645135837</v>
      </c>
      <c r="V1573" t="s">
        <v>88</v>
      </c>
    </row>
    <row r="1574" spans="19:22" ht="14.25">
      <c r="S1574" t="s">
        <v>162</v>
      </c>
      <c r="T1574" t="s">
        <v>196</v>
      </c>
      <c r="U1574">
        <v>0.0031356547066585627</v>
      </c>
      <c r="V1574" t="s">
        <v>88</v>
      </c>
    </row>
    <row r="1575" spans="19:22" ht="14.25">
      <c r="S1575" t="s">
        <v>162</v>
      </c>
      <c r="T1575" t="s">
        <v>197</v>
      </c>
      <c r="U1575">
        <v>0.00316959692512663</v>
      </c>
      <c r="V1575" t="s">
        <v>88</v>
      </c>
    </row>
    <row r="1576" spans="19:22" ht="14.25">
      <c r="S1576" t="s">
        <v>162</v>
      </c>
      <c r="T1576" t="s">
        <v>198</v>
      </c>
      <c r="U1576">
        <v>0.016425904206870179</v>
      </c>
      <c r="V1576" t="s">
        <v>88</v>
      </c>
    </row>
    <row r="1577" spans="19:22" ht="14.25">
      <c r="S1577" t="s">
        <v>162</v>
      </c>
      <c r="T1577" t="s">
        <v>199</v>
      </c>
      <c r="U1577">
        <v>0.077820576535690439</v>
      </c>
      <c r="V1577" t="s">
        <v>88</v>
      </c>
    </row>
    <row r="1578" spans="19:22" ht="14.25">
      <c r="S1578" t="s">
        <v>162</v>
      </c>
      <c r="T1578" t="s">
        <v>200</v>
      </c>
      <c r="U1578">
        <v>0.045318439811669373</v>
      </c>
      <c r="V1578" t="s">
        <v>88</v>
      </c>
    </row>
    <row r="1579" spans="19:22" ht="14.25">
      <c r="S1579" t="s">
        <v>162</v>
      </c>
      <c r="T1579" t="s">
        <v>201</v>
      </c>
      <c r="U1579">
        <v>0.068779061020250151</v>
      </c>
      <c r="V1579" t="s">
        <v>88</v>
      </c>
    </row>
    <row r="1580" spans="19:22" ht="14.25">
      <c r="S1580" t="s">
        <v>162</v>
      </c>
      <c r="T1580" t="s">
        <v>202</v>
      </c>
      <c r="U1580">
        <v>0.011285759089851006</v>
      </c>
      <c r="V1580" t="s">
        <v>88</v>
      </c>
    </row>
    <row r="1581" spans="19:22" ht="14.25">
      <c r="S1581" t="s">
        <v>162</v>
      </c>
      <c r="T1581" t="s">
        <v>203</v>
      </c>
      <c r="U1581">
        <v>0.011303485106378209</v>
      </c>
      <c r="V1581" t="s">
        <v>88</v>
      </c>
    </row>
    <row r="1582" spans="19:22" ht="14.25">
      <c r="S1582" t="s">
        <v>162</v>
      </c>
      <c r="T1582" t="s">
        <v>204</v>
      </c>
      <c r="U1582">
        <v>0.056627708062076072</v>
      </c>
      <c r="V1582" t="s">
        <v>88</v>
      </c>
    </row>
    <row r="1583" spans="19:22" ht="14.25">
      <c r="S1583" t="s">
        <v>162</v>
      </c>
      <c r="T1583" t="s">
        <v>205</v>
      </c>
      <c r="U1583">
        <v>0.029715139604622579</v>
      </c>
      <c r="V1583" t="s">
        <v>88</v>
      </c>
    </row>
    <row r="1584" spans="19:22" ht="14.25">
      <c r="S1584" t="s">
        <v>162</v>
      </c>
      <c r="T1584" t="s">
        <v>206</v>
      </c>
      <c r="U1584">
        <v>0.016414584046587726</v>
      </c>
      <c r="V1584" t="s">
        <v>88</v>
      </c>
    </row>
    <row r="1585" spans="19:22" ht="14.25">
      <c r="S1585" t="s">
        <v>162</v>
      </c>
      <c r="T1585" t="s">
        <v>207</v>
      </c>
      <c r="U1585">
        <v>0.026967898845489949</v>
      </c>
      <c r="V1585" t="s">
        <v>88</v>
      </c>
    </row>
    <row r="1586" spans="19:22" ht="14.25">
      <c r="S1586" t="s">
        <v>162</v>
      </c>
      <c r="T1586" t="s">
        <v>208</v>
      </c>
      <c r="U1586">
        <v>0.0045889534834661688</v>
      </c>
      <c r="V1586" t="s">
        <v>88</v>
      </c>
    </row>
    <row r="1587" spans="19:22" ht="14.25">
      <c r="S1587" t="s">
        <v>162</v>
      </c>
      <c r="T1587" t="s">
        <v>209</v>
      </c>
      <c r="U1587">
        <v>0.0046072014678667046</v>
      </c>
      <c r="V1587" t="s">
        <v>88</v>
      </c>
    </row>
    <row r="1588" spans="19:22" ht="14.25">
      <c r="S1588" t="s">
        <v>162</v>
      </c>
      <c r="T1588" t="s">
        <v>210</v>
      </c>
      <c r="U1588">
        <v>0.023428309191068392</v>
      </c>
      <c r="V1588" t="s">
        <v>88</v>
      </c>
    </row>
    <row r="1589" spans="19:22" ht="14.25">
      <c r="S1589" t="s">
        <v>162</v>
      </c>
      <c r="T1589" t="s">
        <v>211</v>
      </c>
      <c r="U1589">
        <v>0.044419579474073032</v>
      </c>
      <c r="V1589" t="s">
        <v>88</v>
      </c>
    </row>
    <row r="1590" spans="19:22" ht="14.25">
      <c r="S1590" t="s">
        <v>162</v>
      </c>
      <c r="T1590" t="s">
        <v>212</v>
      </c>
      <c r="U1590">
        <v>0.026455303727801919</v>
      </c>
      <c r="V1590" t="s">
        <v>88</v>
      </c>
    </row>
    <row r="1591" spans="19:22" ht="14.25">
      <c r="S1591" t="s">
        <v>162</v>
      </c>
      <c r="T1591" t="s">
        <v>213</v>
      </c>
      <c r="U1591">
        <v>0.043546854568294484</v>
      </c>
      <c r="V1591" t="s">
        <v>88</v>
      </c>
    </row>
    <row r="1592" spans="19:22" ht="14.25">
      <c r="S1592" t="s">
        <v>162</v>
      </c>
      <c r="T1592" t="s">
        <v>214</v>
      </c>
      <c r="U1592">
        <v>0.0071261136744982072</v>
      </c>
      <c r="V1592" t="s">
        <v>88</v>
      </c>
    </row>
    <row r="1593" spans="19:22" ht="14.25">
      <c r="S1593" t="s">
        <v>162</v>
      </c>
      <c r="T1593" t="s">
        <v>215</v>
      </c>
      <c r="U1593">
        <v>0.0070227219986547544</v>
      </c>
      <c r="V1593" t="s">
        <v>88</v>
      </c>
    </row>
    <row r="1594" spans="19:22" ht="14.25">
      <c r="S1594" t="s">
        <v>162</v>
      </c>
      <c r="T1594" t="s">
        <v>216</v>
      </c>
      <c r="U1594">
        <v>0.033709839794860245</v>
      </c>
      <c r="V1594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9:40" ht="14.2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9:40" ht="14.2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9:40" ht="14.2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9:40" ht="14.2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9:40" ht="14.2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ht="14.2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ht="14.2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ht="14.2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ht="14.2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ht="14.2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ht="14.2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ht="14.2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ht="14.2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ht="14.2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ht="14.2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19:40" ht="14.2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19:40" ht="14.2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19:40" ht="14.2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19:40" ht="14.2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19:40" ht="14.2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19:40" ht="14.2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ht="14.2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ht="14.2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ht="14.2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ht="14.2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ht="14.2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ht="14.2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ht="14.2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22" ht="14.25">
      <c r="S40" t="s">
        <v>159</v>
      </c>
      <c r="T40" t="s">
        <v>221</v>
      </c>
      <c r="U40">
        <v>0.99999999999999656</v>
      </c>
      <c r="V40" t="s">
        <v>88</v>
      </c>
    </row>
    <row r="41" spans="19:22" ht="14.25">
      <c r="S41" t="s">
        <v>160</v>
      </c>
      <c r="T41" t="s">
        <v>221</v>
      </c>
      <c r="U41">
        <v>0.999999999999997</v>
      </c>
      <c r="V41" t="s">
        <v>88</v>
      </c>
    </row>
    <row r="42" spans="19:22" ht="14.25">
      <c r="S42" t="s">
        <v>161</v>
      </c>
      <c r="T42" t="s">
        <v>221</v>
      </c>
      <c r="U42">
        <v>0.99999999999999889</v>
      </c>
      <c r="V42" t="s">
        <v>88</v>
      </c>
    </row>
    <row r="43" spans="19:22" ht="14.2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 topLeftCell="A1"/>
  </sheetViews>
  <sheetFormatPr defaultRowHeight="14.25"/>
  <sheetData>
    <row r="9" spans="3:37" ht="14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ht="14.2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ht="14.2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0.098830018399223021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3:40" ht="14.2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0.004781184876310531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0.092572220839080135</v>
      </c>
      <c r="V12" t="s">
        <v>88</v>
      </c>
      <c r="X12">
        <v>0.11426940639269406</v>
      </c>
      <c r="Y12">
        <v>0.052547713165767528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3:40" ht="14.2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0.037459964990117244</v>
      </c>
      <c r="L13" t="s">
        <v>88</v>
      </c>
      <c r="N13" t="s">
        <v>115</v>
      </c>
      <c r="O13" t="s">
        <v>230</v>
      </c>
      <c r="P13">
        <v>0.024863295887677033</v>
      </c>
      <c r="Q13" t="s">
        <v>88</v>
      </c>
      <c r="S13" t="s">
        <v>130</v>
      </c>
      <c r="T13" t="s">
        <v>230</v>
      </c>
      <c r="U13">
        <v>0.017833706309445547</v>
      </c>
      <c r="V13" t="s">
        <v>88</v>
      </c>
      <c r="X13">
        <v>0.020776255707762557</v>
      </c>
      <c r="Y13">
        <v>0.035896543437005365</v>
      </c>
      <c r="Z13" t="s">
        <v>230</v>
      </c>
      <c r="AA13" t="s">
        <v>12</v>
      </c>
      <c r="AC13" t="s">
        <v>11</v>
      </c>
      <c r="AD13" t="s">
        <v>230</v>
      </c>
      <c r="AE13">
        <v>0.018718359963351857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3:40" ht="14.2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9:40" ht="14.25">
      <c r="I15" t="s">
        <v>86</v>
      </c>
      <c r="J15" t="s">
        <v>232</v>
      </c>
      <c r="K15">
        <v>0.0013351280726390463</v>
      </c>
      <c r="L15" t="s">
        <v>88</v>
      </c>
      <c r="N15" t="s">
        <v>115</v>
      </c>
      <c r="O15" t="s">
        <v>232</v>
      </c>
      <c r="P15">
        <v>0.099913824567648038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0.053125160563193538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9:40" ht="14.25">
      <c r="I16" t="s">
        <v>86</v>
      </c>
      <c r="J16" t="s">
        <v>233</v>
      </c>
      <c r="K16">
        <v>0.023753683055994332</v>
      </c>
      <c r="L16" t="s">
        <v>88</v>
      </c>
      <c r="N16" t="s">
        <v>115</v>
      </c>
      <c r="O16" t="s">
        <v>233</v>
      </c>
      <c r="P16">
        <v>0.019342934576303206</v>
      </c>
      <c r="Q16" t="s">
        <v>88</v>
      </c>
      <c r="S16" t="s">
        <v>130</v>
      </c>
      <c r="T16" t="s">
        <v>233</v>
      </c>
      <c r="U16">
        <v>0.020780685239560056</v>
      </c>
      <c r="V16" t="s">
        <v>88</v>
      </c>
      <c r="X16">
        <v>0.021004566210045664</v>
      </c>
      <c r="Y16">
        <v>0.036291010947302131</v>
      </c>
      <c r="Z16" t="s">
        <v>233</v>
      </c>
      <c r="AA16" t="s">
        <v>12</v>
      </c>
      <c r="AC16" t="s">
        <v>11</v>
      </c>
      <c r="AD16" t="s">
        <v>233</v>
      </c>
      <c r="AE16">
        <v>0.017370162062054217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ht="14.2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ht="14.2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0.053125160563193538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ht="14.25">
      <c r="I19" t="s">
        <v>86</v>
      </c>
      <c r="J19" t="s">
        <v>236</v>
      </c>
      <c r="K19">
        <v>0.011611904885723159</v>
      </c>
      <c r="L19" t="s">
        <v>88</v>
      </c>
      <c r="N19" t="s">
        <v>115</v>
      </c>
      <c r="O19" t="s">
        <v>236</v>
      </c>
      <c r="P19">
        <v>0.021673462992642351</v>
      </c>
      <c r="Q19" t="s">
        <v>88</v>
      </c>
      <c r="S19" t="s">
        <v>130</v>
      </c>
      <c r="T19" t="s">
        <v>236</v>
      </c>
      <c r="U19">
        <v>0.024423679115115608</v>
      </c>
      <c r="V19" t="s">
        <v>88</v>
      </c>
      <c r="X19">
        <v>0.021004566210045664</v>
      </c>
      <c r="Y19">
        <v>0.036291010947302131</v>
      </c>
      <c r="Z19" t="s">
        <v>236</v>
      </c>
      <c r="AA19" t="s">
        <v>12</v>
      </c>
      <c r="AC19" t="s">
        <v>11</v>
      </c>
      <c r="AD19" t="s">
        <v>236</v>
      </c>
      <c r="AE19">
        <v>0.019499468666719314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ht="14.2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0.094110631049900001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ht="14.25">
      <c r="I21" t="s">
        <v>86</v>
      </c>
      <c r="J21" t="s">
        <v>238</v>
      </c>
      <c r="K21">
        <v>0.018068806749469146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0.05197026576834151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0.066070848820160011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ht="14.25">
      <c r="I22" t="s">
        <v>86</v>
      </c>
      <c r="J22" t="s">
        <v>239</v>
      </c>
      <c r="K22">
        <v>0.052548330966437316</v>
      </c>
      <c r="L22" t="s">
        <v>88</v>
      </c>
      <c r="N22" t="s">
        <v>115</v>
      </c>
      <c r="O22" t="s">
        <v>239</v>
      </c>
      <c r="P22">
        <v>0.020539246033332386</v>
      </c>
      <c r="Q22" t="s">
        <v>88</v>
      </c>
      <c r="S22" t="s">
        <v>130</v>
      </c>
      <c r="T22" t="s">
        <v>239</v>
      </c>
      <c r="U22">
        <v>0.021462278281527299</v>
      </c>
      <c r="V22" t="s">
        <v>88</v>
      </c>
      <c r="X22">
        <v>0.020547945205479451</v>
      </c>
      <c r="Y22">
        <v>0.035502075926708607</v>
      </c>
      <c r="Z22" t="s">
        <v>239</v>
      </c>
      <c r="AA22" t="s">
        <v>12</v>
      </c>
      <c r="AC22" t="s">
        <v>11</v>
      </c>
      <c r="AD22" t="s">
        <v>239</v>
      </c>
      <c r="AE22">
        <v>0.01813429650096586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ht="14.2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ht="14.25">
      <c r="I24" t="s">
        <v>100</v>
      </c>
      <c r="J24" t="s">
        <v>229</v>
      </c>
      <c r="K24">
        <v>0.0037387061122045066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ht="14.25">
      <c r="I25" t="s">
        <v>100</v>
      </c>
      <c r="J25" t="s">
        <v>230</v>
      </c>
      <c r="K25">
        <v>0.022885884608326169</v>
      </c>
      <c r="L25" t="s">
        <v>88</v>
      </c>
      <c r="N25" t="s">
        <v>116</v>
      </c>
      <c r="O25" t="s">
        <v>230</v>
      </c>
      <c r="P25">
        <v>0.026349682523041481</v>
      </c>
      <c r="Q25" t="s">
        <v>88</v>
      </c>
      <c r="S25" t="s">
        <v>131</v>
      </c>
      <c r="T25" t="s">
        <v>230</v>
      </c>
      <c r="U25">
        <v>0.023184445017727144</v>
      </c>
      <c r="V25" t="s">
        <v>88</v>
      </c>
      <c r="AC25" t="s">
        <v>10</v>
      </c>
      <c r="AD25" t="s">
        <v>230</v>
      </c>
      <c r="AE25">
        <v>0.020657147798912246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ht="14.2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0.096934381042472942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ht="14.2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0.091895892265101031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ht="14.25">
      <c r="I28" t="s">
        <v>100</v>
      </c>
      <c r="J28" t="s">
        <v>233</v>
      </c>
      <c r="K28">
        <v>0.013537866237995261</v>
      </c>
      <c r="L28" t="s">
        <v>88</v>
      </c>
      <c r="N28" t="s">
        <v>116</v>
      </c>
      <c r="O28" t="s">
        <v>233</v>
      </c>
      <c r="P28">
        <v>0.018039076843566371</v>
      </c>
      <c r="Q28" t="s">
        <v>88</v>
      </c>
      <c r="S28" t="s">
        <v>131</v>
      </c>
      <c r="T28" t="s">
        <v>233</v>
      </c>
      <c r="U28">
        <v>0.019954885242378578</v>
      </c>
      <c r="V28" t="s">
        <v>88</v>
      </c>
      <c r="AC28" t="s">
        <v>10</v>
      </c>
      <c r="AD28" t="s">
        <v>233</v>
      </c>
      <c r="AE28">
        <v>0.020815006096510005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ht="14.2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ht="14.2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ht="14.25">
      <c r="I31" t="s">
        <v>100</v>
      </c>
      <c r="J31" t="s">
        <v>236</v>
      </c>
      <c r="K31">
        <v>0.0037730383365889623</v>
      </c>
      <c r="L31" t="s">
        <v>88</v>
      </c>
      <c r="N31" t="s">
        <v>116</v>
      </c>
      <c r="O31" t="s">
        <v>236</v>
      </c>
      <c r="P31">
        <v>0.022589988074960505</v>
      </c>
      <c r="Q31" t="s">
        <v>88</v>
      </c>
      <c r="S31" t="s">
        <v>131</v>
      </c>
      <c r="T31" t="s">
        <v>236</v>
      </c>
      <c r="U31">
        <v>0.022316881873385486</v>
      </c>
      <c r="V31" t="s">
        <v>88</v>
      </c>
      <c r="AC31" t="s">
        <v>10</v>
      </c>
      <c r="AD31" t="s">
        <v>236</v>
      </c>
      <c r="AE31">
        <v>0.020792637427089235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ht="14.2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ht="14.25">
      <c r="I33" t="s">
        <v>100</v>
      </c>
      <c r="J33" t="s">
        <v>238</v>
      </c>
      <c r="K33">
        <v>0.0088743585435116738</v>
      </c>
      <c r="L33" t="s">
        <v>88</v>
      </c>
      <c r="N33" t="s">
        <v>116</v>
      </c>
      <c r="O33" t="s">
        <v>238</v>
      </c>
      <c r="P33">
        <v>0.095857730613508357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ht="14.25">
      <c r="I34" t="s">
        <v>100</v>
      </c>
      <c r="J34" t="s">
        <v>239</v>
      </c>
      <c r="K34">
        <v>0.041031188768840536</v>
      </c>
      <c r="L34" t="s">
        <v>88</v>
      </c>
      <c r="N34" t="s">
        <v>116</v>
      </c>
      <c r="O34" t="s">
        <v>239</v>
      </c>
      <c r="P34">
        <v>0.019795574150320388</v>
      </c>
      <c r="Q34" t="s">
        <v>88</v>
      </c>
      <c r="S34" t="s">
        <v>131</v>
      </c>
      <c r="T34" t="s">
        <v>239</v>
      </c>
      <c r="U34">
        <v>0.019938520723889575</v>
      </c>
      <c r="V34" t="s">
        <v>88</v>
      </c>
      <c r="AC34" t="s">
        <v>10</v>
      </c>
      <c r="AD34" t="s">
        <v>239</v>
      </c>
      <c r="AE34">
        <v>0.020457372225069922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ht="14.2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ht="14.25">
      <c r="I36" t="s">
        <v>101</v>
      </c>
      <c r="J36" t="s">
        <v>229</v>
      </c>
      <c r="K36">
        <v>0.0048561681473804144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ht="14.25">
      <c r="I37" t="s">
        <v>101</v>
      </c>
      <c r="J37" t="s">
        <v>230</v>
      </c>
      <c r="K37">
        <v>0.021619603090571298</v>
      </c>
      <c r="L37" t="s">
        <v>88</v>
      </c>
      <c r="N37" t="s">
        <v>117</v>
      </c>
      <c r="O37" t="s">
        <v>230</v>
      </c>
      <c r="P37">
        <v>0.024130007893308741</v>
      </c>
      <c r="Q37" t="s">
        <v>88</v>
      </c>
      <c r="S37" t="s">
        <v>132</v>
      </c>
      <c r="T37" t="s">
        <v>230</v>
      </c>
      <c r="U37">
        <v>0.02191666625566047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ht="14.2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0.098261981742100532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ht="14.2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ht="14.25">
      <c r="I40" t="s">
        <v>101</v>
      </c>
      <c r="J40" t="s">
        <v>233</v>
      </c>
      <c r="K40">
        <v>0.01183028723717394</v>
      </c>
      <c r="L40" t="s">
        <v>88</v>
      </c>
      <c r="N40" t="s">
        <v>117</v>
      </c>
      <c r="O40" t="s">
        <v>233</v>
      </c>
      <c r="P40">
        <v>0.01951011985557707</v>
      </c>
      <c r="Q40" t="s">
        <v>88</v>
      </c>
      <c r="S40" t="s">
        <v>132</v>
      </c>
      <c r="T40" t="s">
        <v>233</v>
      </c>
      <c r="U40">
        <v>0.020466056509060325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ht="14.2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ht="14.2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ht="14.25">
      <c r="I43" t="s">
        <v>101</v>
      </c>
      <c r="J43" t="s">
        <v>236</v>
      </c>
      <c r="K43">
        <v>0.0024143797882796173</v>
      </c>
      <c r="L43" t="s">
        <v>88</v>
      </c>
      <c r="N43" t="s">
        <v>117</v>
      </c>
      <c r="O43" t="s">
        <v>236</v>
      </c>
      <c r="P43">
        <v>0.022352600238359468</v>
      </c>
      <c r="Q43" t="s">
        <v>88</v>
      </c>
      <c r="S43" t="s">
        <v>132</v>
      </c>
      <c r="T43" t="s">
        <v>236</v>
      </c>
      <c r="U43">
        <v>0.023780612172458901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ht="14.2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ht="14.25">
      <c r="I45" t="s">
        <v>101</v>
      </c>
      <c r="J45" t="s">
        <v>238</v>
      </c>
      <c r="K45">
        <v>0.0088976162472376233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ht="14.25">
      <c r="I46" t="s">
        <v>101</v>
      </c>
      <c r="J46" t="s">
        <v>239</v>
      </c>
      <c r="K46">
        <v>0.042462014651057957</v>
      </c>
      <c r="L46" t="s">
        <v>88</v>
      </c>
      <c r="N46" t="s">
        <v>117</v>
      </c>
      <c r="O46" t="s">
        <v>239</v>
      </c>
      <c r="P46">
        <v>0.021994431081057704</v>
      </c>
      <c r="Q46" t="s">
        <v>88</v>
      </c>
      <c r="S46" t="s">
        <v>132</v>
      </c>
      <c r="T46" t="s">
        <v>239</v>
      </c>
      <c r="U46">
        <v>0.019297259761255181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ht="14.2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ht="14.25">
      <c r="I48" t="s">
        <v>102</v>
      </c>
      <c r="J48" t="s">
        <v>229</v>
      </c>
      <c r="K48">
        <v>0.0047693387553837552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ht="14.25">
      <c r="I49" t="s">
        <v>102</v>
      </c>
      <c r="J49" t="s">
        <v>230</v>
      </c>
      <c r="K49">
        <v>0.02423999319711654</v>
      </c>
      <c r="L49" t="s">
        <v>88</v>
      </c>
      <c r="N49" t="s">
        <v>118</v>
      </c>
      <c r="O49" t="s">
        <v>230</v>
      </c>
      <c r="P49">
        <v>0.027823505707599804</v>
      </c>
      <c r="Q49" t="s">
        <v>88</v>
      </c>
      <c r="S49" t="s">
        <v>133</v>
      </c>
      <c r="T49" t="s">
        <v>230</v>
      </c>
      <c r="U49">
        <v>0.023095302102479266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ht="14.2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0.092917936968802711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ht="14.2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0.091801402419439709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ht="14.25">
      <c r="I52" t="s">
        <v>102</v>
      </c>
      <c r="J52" t="s">
        <v>233</v>
      </c>
      <c r="K52">
        <v>0.011854867527125735</v>
      </c>
      <c r="L52" t="s">
        <v>88</v>
      </c>
      <c r="N52" t="s">
        <v>118</v>
      </c>
      <c r="O52" t="s">
        <v>233</v>
      </c>
      <c r="P52">
        <v>0.018231561509755169</v>
      </c>
      <c r="Q52" t="s">
        <v>88</v>
      </c>
      <c r="S52" t="s">
        <v>133</v>
      </c>
      <c r="T52" t="s">
        <v>233</v>
      </c>
      <c r="U52">
        <v>0.021496687326238724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ht="14.2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ht="14.2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ht="14.25">
      <c r="I55" t="s">
        <v>102</v>
      </c>
      <c r="J55" t="s">
        <v>236</v>
      </c>
      <c r="K55">
        <v>0.002006749406554213</v>
      </c>
      <c r="L55" t="s">
        <v>88</v>
      </c>
      <c r="N55" t="s">
        <v>118</v>
      </c>
      <c r="O55" t="s">
        <v>236</v>
      </c>
      <c r="P55">
        <v>0.021453312037626817</v>
      </c>
      <c r="Q55" t="s">
        <v>88</v>
      </c>
      <c r="S55" t="s">
        <v>133</v>
      </c>
      <c r="T55" t="s">
        <v>236</v>
      </c>
      <c r="U55">
        <v>0.021539007286839017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ht="14.2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ht="14.25">
      <c r="I57" t="s">
        <v>102</v>
      </c>
      <c r="J57" t="s">
        <v>238</v>
      </c>
      <c r="K57">
        <v>0.016138182284715065</v>
      </c>
      <c r="L57" t="s">
        <v>88</v>
      </c>
      <c r="N57" t="s">
        <v>118</v>
      </c>
      <c r="O57" t="s">
        <v>238</v>
      </c>
      <c r="P57">
        <v>0.079803827483079903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ht="14.25">
      <c r="I58" t="s">
        <v>102</v>
      </c>
      <c r="J58" t="s">
        <v>239</v>
      </c>
      <c r="K58">
        <v>0.04660978662674857</v>
      </c>
      <c r="L58" t="s">
        <v>88</v>
      </c>
      <c r="N58" t="s">
        <v>118</v>
      </c>
      <c r="O58" t="s">
        <v>239</v>
      </c>
      <c r="P58">
        <v>0.022127067002158569</v>
      </c>
      <c r="Q58" t="s">
        <v>88</v>
      </c>
      <c r="S58" t="s">
        <v>133</v>
      </c>
      <c r="T58" t="s">
        <v>239</v>
      </c>
      <c r="U58">
        <v>0.022622231845075967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ht="14.2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ht="14.25">
      <c r="I60" t="s">
        <v>103</v>
      </c>
      <c r="J60" t="s">
        <v>229</v>
      </c>
      <c r="K60">
        <v>0.0048932772258143929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ht="14.25">
      <c r="I61" t="s">
        <v>103</v>
      </c>
      <c r="J61" t="s">
        <v>230</v>
      </c>
      <c r="K61">
        <v>0.022694778185729621</v>
      </c>
      <c r="L61" t="s">
        <v>88</v>
      </c>
      <c r="N61" t="s">
        <v>119</v>
      </c>
      <c r="O61" t="s">
        <v>230</v>
      </c>
      <c r="P61">
        <v>0.026397191043605953</v>
      </c>
      <c r="Q61" t="s">
        <v>88</v>
      </c>
      <c r="S61" t="s">
        <v>134</v>
      </c>
      <c r="T61" t="s">
        <v>230</v>
      </c>
      <c r="U61">
        <v>0.025579892432579458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ht="14.2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0.097215553844337305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ht="14.2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0.099756713541824402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ht="14.25">
      <c r="I64" t="s">
        <v>103</v>
      </c>
      <c r="J64" t="s">
        <v>233</v>
      </c>
      <c r="K64">
        <v>0.011291143370086736</v>
      </c>
      <c r="L64" t="s">
        <v>88</v>
      </c>
      <c r="N64" t="s">
        <v>119</v>
      </c>
      <c r="O64" t="s">
        <v>233</v>
      </c>
      <c r="P64">
        <v>0.019005445472815664</v>
      </c>
      <c r="Q64" t="s">
        <v>88</v>
      </c>
      <c r="S64" t="s">
        <v>134</v>
      </c>
      <c r="T64" t="s">
        <v>233</v>
      </c>
      <c r="U64">
        <v>0.020417388975028063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ht="14.2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ht="14.2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ht="14.25">
      <c r="I67" t="s">
        <v>103</v>
      </c>
      <c r="J67" t="s">
        <v>236</v>
      </c>
      <c r="K67">
        <v>0.0020399334111934485</v>
      </c>
      <c r="L67" t="s">
        <v>88</v>
      </c>
      <c r="N67" t="s">
        <v>119</v>
      </c>
      <c r="O67" t="s">
        <v>236</v>
      </c>
      <c r="P67">
        <v>0.022144592760079355</v>
      </c>
      <c r="Q67" t="s">
        <v>88</v>
      </c>
      <c r="S67" t="s">
        <v>134</v>
      </c>
      <c r="T67" t="s">
        <v>236</v>
      </c>
      <c r="U67">
        <v>0.023511981107075797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ht="14.2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0.097068103028311092</v>
      </c>
      <c r="Q68" t="s">
        <v>88</v>
      </c>
      <c r="S68" t="s">
        <v>134</v>
      </c>
      <c r="T68" t="s">
        <v>237</v>
      </c>
      <c r="U68">
        <v>0.090513508339704438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ht="14.25">
      <c r="I69" t="s">
        <v>103</v>
      </c>
      <c r="J69" t="s">
        <v>238</v>
      </c>
      <c r="K69">
        <v>0.011456838434623272</v>
      </c>
      <c r="L69" t="s">
        <v>88</v>
      </c>
      <c r="N69" t="s">
        <v>119</v>
      </c>
      <c r="O69" t="s">
        <v>238</v>
      </c>
      <c r="P69">
        <v>0.093368971422391631</v>
      </c>
      <c r="Q69" t="s">
        <v>88</v>
      </c>
      <c r="S69" t="s">
        <v>134</v>
      </c>
      <c r="T69" t="s">
        <v>238</v>
      </c>
      <c r="U69">
        <v>0.095897963262404032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ht="14.25">
      <c r="I70" t="s">
        <v>103</v>
      </c>
      <c r="J70" t="s">
        <v>239</v>
      </c>
      <c r="K70">
        <v>0.047314657364449224</v>
      </c>
      <c r="L70" t="s">
        <v>88</v>
      </c>
      <c r="N70" t="s">
        <v>119</v>
      </c>
      <c r="O70" t="s">
        <v>239</v>
      </c>
      <c r="P70">
        <v>0.021577075399837654</v>
      </c>
      <c r="Q70" t="s">
        <v>88</v>
      </c>
      <c r="S70" t="s">
        <v>134</v>
      </c>
      <c r="T70" t="s">
        <v>239</v>
      </c>
      <c r="U70">
        <v>0.023357078469181568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ht="14.2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ht="14.25">
      <c r="I72" t="s">
        <v>104</v>
      </c>
      <c r="J72" t="s">
        <v>229</v>
      </c>
      <c r="K72">
        <v>0.0043325373328162373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ht="14.25">
      <c r="I73" t="s">
        <v>104</v>
      </c>
      <c r="J73" t="s">
        <v>230</v>
      </c>
      <c r="K73">
        <v>0.023493515172876619</v>
      </c>
      <c r="L73" t="s">
        <v>88</v>
      </c>
      <c r="N73" t="s">
        <v>120</v>
      </c>
      <c r="O73" t="s">
        <v>230</v>
      </c>
      <c r="P73">
        <v>0.033605907064450061</v>
      </c>
      <c r="Q73" t="s">
        <v>88</v>
      </c>
      <c r="S73" t="s">
        <v>135</v>
      </c>
      <c r="T73" t="s">
        <v>230</v>
      </c>
      <c r="U73">
        <v>0.0207105497440171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ht="14.2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ht="14.2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0.085423202683421517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ht="14.25">
      <c r="I76" t="s">
        <v>104</v>
      </c>
      <c r="J76" t="s">
        <v>233</v>
      </c>
      <c r="K76">
        <v>0.012327231058169866</v>
      </c>
      <c r="L76" t="s">
        <v>88</v>
      </c>
      <c r="N76" t="s">
        <v>120</v>
      </c>
      <c r="O76" t="s">
        <v>233</v>
      </c>
      <c r="P76">
        <v>0.018622245426050087</v>
      </c>
      <c r="Q76" t="s">
        <v>88</v>
      </c>
      <c r="S76" t="s">
        <v>135</v>
      </c>
      <c r="T76" t="s">
        <v>233</v>
      </c>
      <c r="U76">
        <v>0.021418919807683238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ht="14.2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ht="14.2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ht="14.25">
      <c r="I79" t="s">
        <v>104</v>
      </c>
      <c r="J79" t="s">
        <v>236</v>
      </c>
      <c r="K79">
        <v>0.002116124060565501</v>
      </c>
      <c r="L79" t="s">
        <v>88</v>
      </c>
      <c r="N79" t="s">
        <v>120</v>
      </c>
      <c r="O79" t="s">
        <v>236</v>
      </c>
      <c r="P79">
        <v>0.018169529600923395</v>
      </c>
      <c r="Q79" t="s">
        <v>88</v>
      </c>
      <c r="S79" t="s">
        <v>135</v>
      </c>
      <c r="T79" t="s">
        <v>236</v>
      </c>
      <c r="U79">
        <v>0.022984174393516712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ht="14.2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0.093955560997958265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ht="14.25">
      <c r="I81" t="s">
        <v>104</v>
      </c>
      <c r="J81" t="s">
        <v>238</v>
      </c>
      <c r="K81">
        <v>0.013715347470758268</v>
      </c>
      <c r="L81" t="s">
        <v>88</v>
      </c>
      <c r="N81" t="s">
        <v>120</v>
      </c>
      <c r="O81" t="s">
        <v>238</v>
      </c>
      <c r="P81">
        <v>0.073978800364503328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ht="14.25">
      <c r="I82" t="s">
        <v>104</v>
      </c>
      <c r="J82" t="s">
        <v>239</v>
      </c>
      <c r="K82">
        <v>0.047086590632268277</v>
      </c>
      <c r="L82" t="s">
        <v>88</v>
      </c>
      <c r="N82" t="s">
        <v>120</v>
      </c>
      <c r="O82" t="s">
        <v>239</v>
      </c>
      <c r="P82">
        <v>0.02167935823928278</v>
      </c>
      <c r="Q82" t="s">
        <v>88</v>
      </c>
      <c r="S82" t="s">
        <v>135</v>
      </c>
      <c r="T82" t="s">
        <v>239</v>
      </c>
      <c r="U82">
        <v>0.021108110061217149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ht="14.2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ht="14.25">
      <c r="I84" t="s">
        <v>105</v>
      </c>
      <c r="J84" t="s">
        <v>229</v>
      </c>
      <c r="K84">
        <v>0.0061839077683512999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ht="14.25">
      <c r="I85" t="s">
        <v>105</v>
      </c>
      <c r="J85" t="s">
        <v>230</v>
      </c>
      <c r="K85">
        <v>0.032866783087845984</v>
      </c>
      <c r="L85" t="s">
        <v>88</v>
      </c>
      <c r="N85" t="s">
        <v>121</v>
      </c>
      <c r="O85" t="s">
        <v>230</v>
      </c>
      <c r="P85">
        <v>0.028876529678247814</v>
      </c>
      <c r="Q85" t="s">
        <v>88</v>
      </c>
      <c r="S85" t="s">
        <v>136</v>
      </c>
      <c r="T85" t="s">
        <v>230</v>
      </c>
      <c r="U85">
        <v>0.02755403429748637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ht="14.2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0.090616383788179128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ht="14.2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0.099626826023950732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ht="14.25">
      <c r="I88" t="s">
        <v>105</v>
      </c>
      <c r="J88" t="s">
        <v>233</v>
      </c>
      <c r="K88">
        <v>0.015287429256278065</v>
      </c>
      <c r="L88" t="s">
        <v>88</v>
      </c>
      <c r="N88" t="s">
        <v>121</v>
      </c>
      <c r="O88" t="s">
        <v>233</v>
      </c>
      <c r="P88">
        <v>0.019984947463526494</v>
      </c>
      <c r="Q88" t="s">
        <v>88</v>
      </c>
      <c r="S88" t="s">
        <v>136</v>
      </c>
      <c r="T88" t="s">
        <v>233</v>
      </c>
      <c r="U88">
        <v>0.018410764371443109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ht="14.25">
      <c r="I89" t="s">
        <v>105</v>
      </c>
      <c r="J89" t="s">
        <v>234</v>
      </c>
      <c r="K89">
        <v>0.095153152816126851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ht="14.2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ht="14.25">
      <c r="I91" t="s">
        <v>105</v>
      </c>
      <c r="J91" t="s">
        <v>236</v>
      </c>
      <c r="K91">
        <v>0.0031582745762005864</v>
      </c>
      <c r="L91" t="s">
        <v>88</v>
      </c>
      <c r="N91" t="s">
        <v>121</v>
      </c>
      <c r="O91" t="s">
        <v>236</v>
      </c>
      <c r="P91">
        <v>0.021570585381189521</v>
      </c>
      <c r="Q91" t="s">
        <v>88</v>
      </c>
      <c r="S91" t="s">
        <v>136</v>
      </c>
      <c r="T91" t="s">
        <v>236</v>
      </c>
      <c r="U91">
        <v>0.023759366554526117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ht="14.2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0.087637318044870141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ht="14.25">
      <c r="I93" t="s">
        <v>105</v>
      </c>
      <c r="J93" t="s">
        <v>238</v>
      </c>
      <c r="K93">
        <v>0.020049139669857819</v>
      </c>
      <c r="L93" t="s">
        <v>88</v>
      </c>
      <c r="N93" t="s">
        <v>121</v>
      </c>
      <c r="O93" t="s">
        <v>238</v>
      </c>
      <c r="P93">
        <v>0.088608194995052972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ht="14.25">
      <c r="I94" t="s">
        <v>105</v>
      </c>
      <c r="J94" t="s">
        <v>239</v>
      </c>
      <c r="K94">
        <v>0.05071380382586646</v>
      </c>
      <c r="L94" t="s">
        <v>88</v>
      </c>
      <c r="N94" t="s">
        <v>121</v>
      </c>
      <c r="O94" t="s">
        <v>239</v>
      </c>
      <c r="P94">
        <v>0.019796700966696883</v>
      </c>
      <c r="Q94" t="s">
        <v>88</v>
      </c>
      <c r="S94" t="s">
        <v>136</v>
      </c>
      <c r="T94" t="s">
        <v>239</v>
      </c>
      <c r="U94">
        <v>0.02054378083958357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ht="14.2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ht="14.25">
      <c r="I96" t="s">
        <v>106</v>
      </c>
      <c r="J96" t="s">
        <v>229</v>
      </c>
      <c r="K96">
        <v>0.006302506030660634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ht="14.25">
      <c r="I97" t="s">
        <v>106</v>
      </c>
      <c r="J97" t="s">
        <v>230</v>
      </c>
      <c r="K97">
        <v>0.032281139865930737</v>
      </c>
      <c r="L97" t="s">
        <v>88</v>
      </c>
      <c r="N97" t="s">
        <v>122</v>
      </c>
      <c r="O97" t="s">
        <v>230</v>
      </c>
      <c r="P97">
        <v>0.028009701740302283</v>
      </c>
      <c r="Q97" t="s">
        <v>88</v>
      </c>
      <c r="S97" t="s">
        <v>137</v>
      </c>
      <c r="T97" t="s">
        <v>230</v>
      </c>
      <c r="U97">
        <v>0.023586290961507272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ht="14.2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0.099426599264382423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ht="14.2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0.095090574752109663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ht="14.25">
      <c r="I100" t="s">
        <v>106</v>
      </c>
      <c r="J100" t="s">
        <v>233</v>
      </c>
      <c r="K100">
        <v>0.014869683955594508</v>
      </c>
      <c r="L100" t="s">
        <v>88</v>
      </c>
      <c r="N100" t="s">
        <v>122</v>
      </c>
      <c r="O100" t="s">
        <v>233</v>
      </c>
      <c r="P100">
        <v>0.019322305388973091</v>
      </c>
      <c r="Q100" t="s">
        <v>88</v>
      </c>
      <c r="S100" t="s">
        <v>137</v>
      </c>
      <c r="T100" t="s">
        <v>233</v>
      </c>
      <c r="U100">
        <v>0.01973012124696924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ht="14.25">
      <c r="I101" t="s">
        <v>106</v>
      </c>
      <c r="J101" t="s">
        <v>234</v>
      </c>
      <c r="K101">
        <v>0.096711741806306414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ht="14.2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ht="14.25">
      <c r="I103" t="s">
        <v>106</v>
      </c>
      <c r="J103" t="s">
        <v>236</v>
      </c>
      <c r="K103">
        <v>0.0036791826204073913</v>
      </c>
      <c r="L103" t="s">
        <v>88</v>
      </c>
      <c r="N103" t="s">
        <v>122</v>
      </c>
      <c r="O103" t="s">
        <v>236</v>
      </c>
      <c r="P103">
        <v>0.018349756142875904</v>
      </c>
      <c r="Q103" t="s">
        <v>88</v>
      </c>
      <c r="S103" t="s">
        <v>137</v>
      </c>
      <c r="T103" t="s">
        <v>236</v>
      </c>
      <c r="U103">
        <v>0.022086701925901647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ht="14.2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0.098926217953389156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ht="14.25">
      <c r="I105" t="s">
        <v>106</v>
      </c>
      <c r="J105" t="s">
        <v>238</v>
      </c>
      <c r="K105">
        <v>0.019318187175607803</v>
      </c>
      <c r="L105" t="s">
        <v>88</v>
      </c>
      <c r="N105" t="s">
        <v>122</v>
      </c>
      <c r="O105" t="s">
        <v>238</v>
      </c>
      <c r="P105">
        <v>0.081587616040912497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ht="14.25">
      <c r="I106" t="s">
        <v>106</v>
      </c>
      <c r="J106" t="s">
        <v>239</v>
      </c>
      <c r="K106">
        <v>0.046476974153578439</v>
      </c>
      <c r="L106" t="s">
        <v>88</v>
      </c>
      <c r="N106" t="s">
        <v>122</v>
      </c>
      <c r="O106" t="s">
        <v>239</v>
      </c>
      <c r="P106">
        <v>0.021329354292444615</v>
      </c>
      <c r="Q106" t="s">
        <v>88</v>
      </c>
      <c r="S106" t="s">
        <v>137</v>
      </c>
      <c r="T106" t="s">
        <v>239</v>
      </c>
      <c r="U106">
        <v>0.018761071229898337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ht="14.2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ht="14.25">
      <c r="I108" t="s">
        <v>107</v>
      </c>
      <c r="J108" t="s">
        <v>229</v>
      </c>
      <c r="K108">
        <v>0.0067956282059667998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ht="14.25">
      <c r="I109" t="s">
        <v>107</v>
      </c>
      <c r="J109" t="s">
        <v>230</v>
      </c>
      <c r="K109">
        <v>0.034690461565282382</v>
      </c>
      <c r="L109" t="s">
        <v>88</v>
      </c>
      <c r="N109" t="s">
        <v>123</v>
      </c>
      <c r="O109" t="s">
        <v>230</v>
      </c>
      <c r="P109">
        <v>0.023609265224149384</v>
      </c>
      <c r="Q109" t="s">
        <v>88</v>
      </c>
      <c r="S109" t="s">
        <v>138</v>
      </c>
      <c r="T109" t="s">
        <v>230</v>
      </c>
      <c r="U109">
        <v>0.026147508845605936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ht="14.2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0.091271659083217244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ht="14.2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0.095459748936948613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ht="14.25">
      <c r="I112" t="s">
        <v>107</v>
      </c>
      <c r="J112" t="s">
        <v>233</v>
      </c>
      <c r="K112">
        <v>0.017397083956947033</v>
      </c>
      <c r="L112" t="s">
        <v>88</v>
      </c>
      <c r="N112" t="s">
        <v>123</v>
      </c>
      <c r="O112" t="s">
        <v>233</v>
      </c>
      <c r="P112">
        <v>0.021888954566639415</v>
      </c>
      <c r="Q112" t="s">
        <v>88</v>
      </c>
      <c r="S112" t="s">
        <v>138</v>
      </c>
      <c r="T112" t="s">
        <v>233</v>
      </c>
      <c r="U112">
        <v>0.019016508002978296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ht="14.25">
      <c r="I113" t="s">
        <v>107</v>
      </c>
      <c r="J113" t="s">
        <v>234</v>
      </c>
      <c r="K113">
        <v>0.092940517838097675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ht="14.2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ht="14.25">
      <c r="I115" t="s">
        <v>107</v>
      </c>
      <c r="J115" t="s">
        <v>236</v>
      </c>
      <c r="K115">
        <v>0.0034623582809782658</v>
      </c>
      <c r="L115" t="s">
        <v>88</v>
      </c>
      <c r="N115" t="s">
        <v>123</v>
      </c>
      <c r="O115" t="s">
        <v>236</v>
      </c>
      <c r="P115">
        <v>0.020493732605007531</v>
      </c>
      <c r="Q115" t="s">
        <v>88</v>
      </c>
      <c r="S115" t="s">
        <v>138</v>
      </c>
      <c r="T115" t="s">
        <v>236</v>
      </c>
      <c r="U115">
        <v>0.022089762478229597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ht="14.2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ht="14.25">
      <c r="I117" t="s">
        <v>107</v>
      </c>
      <c r="J117" t="s">
        <v>238</v>
      </c>
      <c r="K117">
        <v>0.019794019616507751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0.088648441447009133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ht="14.25">
      <c r="I118" t="s">
        <v>107</v>
      </c>
      <c r="J118" t="s">
        <v>239</v>
      </c>
      <c r="K118">
        <v>0.052241693848181746</v>
      </c>
      <c r="L118" t="s">
        <v>88</v>
      </c>
      <c r="N118" t="s">
        <v>123</v>
      </c>
      <c r="O118" t="s">
        <v>239</v>
      </c>
      <c r="P118">
        <v>0.020482583923245323</v>
      </c>
      <c r="Q118" t="s">
        <v>88</v>
      </c>
      <c r="S118" t="s">
        <v>138</v>
      </c>
      <c r="T118" t="s">
        <v>239</v>
      </c>
      <c r="U118">
        <v>0.022559947548823883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ht="14.2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ht="14.25">
      <c r="I120" t="s">
        <v>108</v>
      </c>
      <c r="J120" t="s">
        <v>229</v>
      </c>
      <c r="K120">
        <v>0.0074721517721241726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ht="14.25">
      <c r="I121" t="s">
        <v>108</v>
      </c>
      <c r="J121" t="s">
        <v>230</v>
      </c>
      <c r="K121">
        <v>0.036363017620193921</v>
      </c>
      <c r="L121" t="s">
        <v>88</v>
      </c>
      <c r="N121" t="s">
        <v>124</v>
      </c>
      <c r="O121" t="s">
        <v>230</v>
      </c>
      <c r="P121">
        <v>0.024159662756514898</v>
      </c>
      <c r="Q121" t="s">
        <v>88</v>
      </c>
      <c r="S121" t="s">
        <v>139</v>
      </c>
      <c r="T121" t="s">
        <v>230</v>
      </c>
      <c r="U121">
        <v>0.023969808401932566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ht="14.2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0.096588180491829184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ht="14.25">
      <c r="I123" t="s">
        <v>108</v>
      </c>
      <c r="J123" t="s">
        <v>232</v>
      </c>
      <c r="K123">
        <v>4.8718751896851696E-07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ht="14.25">
      <c r="I124" t="s">
        <v>108</v>
      </c>
      <c r="J124" t="s">
        <v>233</v>
      </c>
      <c r="K124">
        <v>0.016332869650348341</v>
      </c>
      <c r="L124" t="s">
        <v>88</v>
      </c>
      <c r="N124" t="s">
        <v>124</v>
      </c>
      <c r="O124" t="s">
        <v>233</v>
      </c>
      <c r="P124">
        <v>0.019690684962682801</v>
      </c>
      <c r="Q124" t="s">
        <v>88</v>
      </c>
      <c r="S124" t="s">
        <v>139</v>
      </c>
      <c r="T124" t="s">
        <v>233</v>
      </c>
      <c r="U124">
        <v>0.019557472164379548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ht="14.25">
      <c r="I125" t="s">
        <v>108</v>
      </c>
      <c r="J125" t="s">
        <v>234</v>
      </c>
      <c r="K125">
        <v>0.08524656938506503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ht="14.2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22" ht="14.25">
      <c r="I127" t="s">
        <v>108</v>
      </c>
      <c r="J127" t="s">
        <v>236</v>
      </c>
      <c r="K127">
        <v>0.0038685158405756485</v>
      </c>
      <c r="L127" t="s">
        <v>88</v>
      </c>
      <c r="N127" t="s">
        <v>124</v>
      </c>
      <c r="O127" t="s">
        <v>236</v>
      </c>
      <c r="P127">
        <v>0.022037437831977577</v>
      </c>
      <c r="Q127" t="s">
        <v>88</v>
      </c>
      <c r="S127" t="s">
        <v>139</v>
      </c>
      <c r="T127" t="s">
        <v>236</v>
      </c>
      <c r="U127">
        <v>0.02307585753203353</v>
      </c>
      <c r="V127" t="s">
        <v>88</v>
      </c>
    </row>
    <row r="128" spans="9:22" ht="14.2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0.09097216217228625</v>
      </c>
      <c r="V128" t="s">
        <v>88</v>
      </c>
    </row>
    <row r="129" spans="9:22" ht="14.25">
      <c r="I129" t="s">
        <v>108</v>
      </c>
      <c r="J129" t="s">
        <v>238</v>
      </c>
      <c r="K129">
        <v>0.020804578673899073</v>
      </c>
      <c r="L129" t="s">
        <v>88</v>
      </c>
      <c r="N129" t="s">
        <v>124</v>
      </c>
      <c r="O129" t="s">
        <v>238</v>
      </c>
      <c r="P129">
        <v>0.095263808070087871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ht="14.25">
      <c r="I130" t="s">
        <v>108</v>
      </c>
      <c r="J130" t="s">
        <v>239</v>
      </c>
      <c r="K130">
        <v>0.051379277751099649</v>
      </c>
      <c r="L130" t="s">
        <v>88</v>
      </c>
      <c r="N130" t="s">
        <v>124</v>
      </c>
      <c r="O130" t="s">
        <v>239</v>
      </c>
      <c r="P130">
        <v>0.021303579718847193</v>
      </c>
      <c r="Q130" t="s">
        <v>88</v>
      </c>
      <c r="S130" t="s">
        <v>139</v>
      </c>
      <c r="T130" t="s">
        <v>239</v>
      </c>
      <c r="U130">
        <v>0.019559927152302439</v>
      </c>
      <c r="V130" t="s">
        <v>88</v>
      </c>
    </row>
    <row r="131" spans="9:22" ht="14.2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ht="14.25">
      <c r="I132" t="s">
        <v>109</v>
      </c>
      <c r="J132" t="s">
        <v>229</v>
      </c>
      <c r="K132">
        <v>0.006754664158782054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ht="14.25">
      <c r="I133" t="s">
        <v>109</v>
      </c>
      <c r="J133" t="s">
        <v>230</v>
      </c>
      <c r="K133">
        <v>0.034937975306536265</v>
      </c>
      <c r="L133" t="s">
        <v>88</v>
      </c>
      <c r="N133" t="s">
        <v>125</v>
      </c>
      <c r="O133" t="s">
        <v>230</v>
      </c>
      <c r="P133">
        <v>0.027145076683810485</v>
      </c>
      <c r="Q133" t="s">
        <v>88</v>
      </c>
      <c r="S133" t="s">
        <v>140</v>
      </c>
      <c r="T133" t="s">
        <v>230</v>
      </c>
      <c r="U133">
        <v>0.023570986388426064</v>
      </c>
      <c r="V133" t="s">
        <v>88</v>
      </c>
    </row>
    <row r="134" spans="9:22" ht="14.2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0.092458027719119262</v>
      </c>
      <c r="Q134" t="s">
        <v>88</v>
      </c>
      <c r="S134" t="s">
        <v>140</v>
      </c>
      <c r="T134" t="s">
        <v>231</v>
      </c>
      <c r="U134">
        <v>0.099019214299809116</v>
      </c>
      <c r="V134" t="s">
        <v>88</v>
      </c>
    </row>
    <row r="135" spans="9:22" ht="14.2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ht="14.25">
      <c r="I136" t="s">
        <v>109</v>
      </c>
      <c r="J136" t="s">
        <v>233</v>
      </c>
      <c r="K136">
        <v>0.015777506716237885</v>
      </c>
      <c r="L136" t="s">
        <v>88</v>
      </c>
      <c r="N136" t="s">
        <v>125</v>
      </c>
      <c r="O136" t="s">
        <v>233</v>
      </c>
      <c r="P136">
        <v>0.021012696063501972</v>
      </c>
      <c r="Q136" t="s">
        <v>88</v>
      </c>
      <c r="S136" t="s">
        <v>140</v>
      </c>
      <c r="T136" t="s">
        <v>233</v>
      </c>
      <c r="U136">
        <v>0.0195308435336074</v>
      </c>
      <c r="V136" t="s">
        <v>88</v>
      </c>
    </row>
    <row r="137" spans="9:22" ht="14.25">
      <c r="I137" t="s">
        <v>109</v>
      </c>
      <c r="J137" t="s">
        <v>234</v>
      </c>
      <c r="K137">
        <v>0.089683447998822177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ht="14.2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ht="14.25">
      <c r="I139" t="s">
        <v>109</v>
      </c>
      <c r="J139" t="s">
        <v>236</v>
      </c>
      <c r="K139">
        <v>0.0036690562273884886</v>
      </c>
      <c r="L139" t="s">
        <v>88</v>
      </c>
      <c r="N139" t="s">
        <v>125</v>
      </c>
      <c r="O139" t="s">
        <v>236</v>
      </c>
      <c r="P139">
        <v>0.023546023673927899</v>
      </c>
      <c r="Q139" t="s">
        <v>88</v>
      </c>
      <c r="S139" t="s">
        <v>140</v>
      </c>
      <c r="T139" t="s">
        <v>236</v>
      </c>
      <c r="U139">
        <v>0.023078424834862145</v>
      </c>
      <c r="V139" t="s">
        <v>88</v>
      </c>
    </row>
    <row r="140" spans="9:22" ht="14.2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0.098167878237529177</v>
      </c>
      <c r="Q140" t="s">
        <v>88</v>
      </c>
      <c r="S140" t="s">
        <v>140</v>
      </c>
      <c r="T140" t="s">
        <v>237</v>
      </c>
      <c r="U140">
        <v>0.099542573410940652</v>
      </c>
      <c r="V140" t="s">
        <v>88</v>
      </c>
    </row>
    <row r="141" spans="9:22" ht="14.25">
      <c r="I141" t="s">
        <v>109</v>
      </c>
      <c r="J141" t="s">
        <v>238</v>
      </c>
      <c r="K141">
        <v>0.020884877023877771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0.099907739561894679</v>
      </c>
      <c r="V141" t="s">
        <v>88</v>
      </c>
    </row>
    <row r="142" spans="9:22" ht="14.25">
      <c r="I142" t="s">
        <v>109</v>
      </c>
      <c r="J142" t="s">
        <v>239</v>
      </c>
      <c r="K142">
        <v>0.05047905747295113</v>
      </c>
      <c r="L142" t="s">
        <v>88</v>
      </c>
      <c r="N142" t="s">
        <v>125</v>
      </c>
      <c r="O142" t="s">
        <v>239</v>
      </c>
      <c r="P142">
        <v>0.024025674136368001</v>
      </c>
      <c r="Q142" t="s">
        <v>88</v>
      </c>
      <c r="S142" t="s">
        <v>140</v>
      </c>
      <c r="T142" t="s">
        <v>239</v>
      </c>
      <c r="U142">
        <v>0.021132672707973223</v>
      </c>
      <c r="V142" t="s">
        <v>88</v>
      </c>
    </row>
    <row r="143" spans="9:22" ht="14.2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ht="14.25">
      <c r="I144" t="s">
        <v>110</v>
      </c>
      <c r="J144" t="s">
        <v>229</v>
      </c>
      <c r="K144">
        <v>0.0046652170479392066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ht="14.25">
      <c r="I145" t="s">
        <v>110</v>
      </c>
      <c r="J145" t="s">
        <v>230</v>
      </c>
      <c r="K145">
        <v>0.027498925736001243</v>
      </c>
      <c r="L145" t="s">
        <v>88</v>
      </c>
      <c r="N145" t="s">
        <v>126</v>
      </c>
      <c r="O145" t="s">
        <v>230</v>
      </c>
      <c r="P145">
        <v>0.024987853192681528</v>
      </c>
      <c r="Q145" t="s">
        <v>88</v>
      </c>
      <c r="S145" t="s">
        <v>141</v>
      </c>
      <c r="T145" t="s">
        <v>230</v>
      </c>
      <c r="U145">
        <v>0.023646225384714732</v>
      </c>
      <c r="V145" t="s">
        <v>88</v>
      </c>
    </row>
    <row r="146" spans="9:22" ht="14.2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0.097009275428601174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ht="14.2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0.0844378692312477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ht="14.25">
      <c r="I148" t="s">
        <v>110</v>
      </c>
      <c r="J148" t="s">
        <v>233</v>
      </c>
      <c r="K148">
        <v>0.01277027498609906</v>
      </c>
      <c r="L148" t="s">
        <v>88</v>
      </c>
      <c r="N148" t="s">
        <v>126</v>
      </c>
      <c r="O148" t="s">
        <v>233</v>
      </c>
      <c r="P148">
        <v>0.016891501688113857</v>
      </c>
      <c r="Q148" t="s">
        <v>88</v>
      </c>
      <c r="S148" t="s">
        <v>141</v>
      </c>
      <c r="T148" t="s">
        <v>233</v>
      </c>
      <c r="U148">
        <v>0.022208582711697983</v>
      </c>
      <c r="V148" t="s">
        <v>88</v>
      </c>
    </row>
    <row r="149" spans="9:22" ht="14.2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ht="14.2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ht="14.25">
      <c r="I151" t="s">
        <v>110</v>
      </c>
      <c r="J151" t="s">
        <v>236</v>
      </c>
      <c r="K151">
        <v>0.0028628119491509512</v>
      </c>
      <c r="L151" t="s">
        <v>88</v>
      </c>
      <c r="N151" t="s">
        <v>126</v>
      </c>
      <c r="O151" t="s">
        <v>236</v>
      </c>
      <c r="P151">
        <v>0.022621647129153252</v>
      </c>
      <c r="Q151" t="s">
        <v>88</v>
      </c>
      <c r="S151" t="s">
        <v>141</v>
      </c>
      <c r="T151" t="s">
        <v>236</v>
      </c>
      <c r="U151">
        <v>0.021231330861400374</v>
      </c>
      <c r="V151" t="s">
        <v>88</v>
      </c>
    </row>
    <row r="152" spans="9:22" ht="14.2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ht="14.25">
      <c r="I153" t="s">
        <v>110</v>
      </c>
      <c r="J153" t="s">
        <v>238</v>
      </c>
      <c r="K153">
        <v>0.018572208764925147</v>
      </c>
      <c r="L153" t="s">
        <v>88</v>
      </c>
      <c r="N153" t="s">
        <v>126</v>
      </c>
      <c r="O153" t="s">
        <v>238</v>
      </c>
      <c r="P153">
        <v>0.091176895763977195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ht="14.25">
      <c r="I154" t="s">
        <v>110</v>
      </c>
      <c r="J154" t="s">
        <v>239</v>
      </c>
      <c r="K154">
        <v>0.048292316698344162</v>
      </c>
      <c r="L154" t="s">
        <v>88</v>
      </c>
      <c r="N154" t="s">
        <v>126</v>
      </c>
      <c r="O154" t="s">
        <v>239</v>
      </c>
      <c r="P154">
        <v>0.023297348909368621</v>
      </c>
      <c r="Q154" t="s">
        <v>88</v>
      </c>
      <c r="S154" t="s">
        <v>141</v>
      </c>
      <c r="T154" t="s">
        <v>239</v>
      </c>
      <c r="U154">
        <v>0.019345212370932219</v>
      </c>
      <c r="V154" t="s">
        <v>88</v>
      </c>
    </row>
    <row r="155" spans="9:22" ht="14.2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ht="14.25">
      <c r="I156" t="s">
        <v>111</v>
      </c>
      <c r="J156" t="s">
        <v>229</v>
      </c>
      <c r="K156">
        <v>0.0052257085455021651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ht="14.25">
      <c r="I157" t="s">
        <v>111</v>
      </c>
      <c r="J157" t="s">
        <v>230</v>
      </c>
      <c r="K157">
        <v>0.029484591994977494</v>
      </c>
      <c r="L157" t="s">
        <v>88</v>
      </c>
      <c r="N157" t="s">
        <v>127</v>
      </c>
      <c r="O157" t="s">
        <v>230</v>
      </c>
      <c r="P157">
        <v>0.028300712555839286</v>
      </c>
      <c r="Q157" t="s">
        <v>88</v>
      </c>
      <c r="S157" t="s">
        <v>142</v>
      </c>
      <c r="T157" t="s">
        <v>230</v>
      </c>
      <c r="U157">
        <v>0.020577132450377972</v>
      </c>
      <c r="V157" t="s">
        <v>88</v>
      </c>
    </row>
    <row r="158" spans="9:22" ht="14.2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0.090921065116291597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ht="14.2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0.090268554758241568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ht="14.25">
      <c r="I160" t="s">
        <v>111</v>
      </c>
      <c r="J160" t="s">
        <v>233</v>
      </c>
      <c r="K160">
        <v>0.012573478960989804</v>
      </c>
      <c r="L160" t="s">
        <v>88</v>
      </c>
      <c r="N160" t="s">
        <v>127</v>
      </c>
      <c r="O160" t="s">
        <v>233</v>
      </c>
      <c r="P160">
        <v>0.01642175685572753</v>
      </c>
      <c r="Q160" t="s">
        <v>88</v>
      </c>
      <c r="S160" t="s">
        <v>142</v>
      </c>
      <c r="T160" t="s">
        <v>233</v>
      </c>
      <c r="U160">
        <v>0.021324997273156648</v>
      </c>
      <c r="V160" t="s">
        <v>88</v>
      </c>
    </row>
    <row r="161" spans="9:22" ht="14.2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ht="14.2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ht="14.25">
      <c r="I163" t="s">
        <v>111</v>
      </c>
      <c r="J163" t="s">
        <v>236</v>
      </c>
      <c r="K163">
        <v>0.0031211073502269999</v>
      </c>
      <c r="L163" t="s">
        <v>88</v>
      </c>
      <c r="N163" t="s">
        <v>127</v>
      </c>
      <c r="O163" t="s">
        <v>236</v>
      </c>
      <c r="P163">
        <v>0.021535536947590663</v>
      </c>
      <c r="Q163" t="s">
        <v>88</v>
      </c>
      <c r="S163" t="s">
        <v>142</v>
      </c>
      <c r="T163" t="s">
        <v>236</v>
      </c>
      <c r="U163">
        <v>0.021448303267540273</v>
      </c>
      <c r="V163" t="s">
        <v>88</v>
      </c>
    </row>
    <row r="164" spans="9:22" ht="14.2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ht="14.25">
      <c r="I165" t="s">
        <v>111</v>
      </c>
      <c r="J165" t="s">
        <v>238</v>
      </c>
      <c r="K165">
        <v>0.018044891433066108</v>
      </c>
      <c r="L165" t="s">
        <v>88</v>
      </c>
      <c r="N165" t="s">
        <v>127</v>
      </c>
      <c r="O165" t="s">
        <v>238</v>
      </c>
      <c r="P165">
        <v>0.087215026764289119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ht="14.25">
      <c r="I166" t="s">
        <v>111</v>
      </c>
      <c r="J166" t="s">
        <v>239</v>
      </c>
      <c r="K166">
        <v>0.0466927468134034</v>
      </c>
      <c r="L166" t="s">
        <v>88</v>
      </c>
      <c r="N166" t="s">
        <v>127</v>
      </c>
      <c r="O166" t="s">
        <v>239</v>
      </c>
      <c r="P166">
        <v>0.017577302528668695</v>
      </c>
      <c r="Q166" t="s">
        <v>88</v>
      </c>
      <c r="S166" t="s">
        <v>142</v>
      </c>
      <c r="T166" t="s">
        <v>239</v>
      </c>
      <c r="U166">
        <v>0.018826582109858589</v>
      </c>
      <c r="V166" t="s">
        <v>88</v>
      </c>
    </row>
    <row r="167" spans="9:22" ht="14.2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ht="14.25">
      <c r="I168" t="s">
        <v>112</v>
      </c>
      <c r="J168" t="s">
        <v>229</v>
      </c>
      <c r="K168">
        <v>0.0040271433498258492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ht="14.25">
      <c r="I169" t="s">
        <v>112</v>
      </c>
      <c r="J169" t="s">
        <v>230</v>
      </c>
      <c r="K169">
        <v>0.025974928027664653</v>
      </c>
      <c r="L169" t="s">
        <v>88</v>
      </c>
      <c r="N169" t="s">
        <v>128</v>
      </c>
      <c r="O169" t="s">
        <v>230</v>
      </c>
      <c r="P169">
        <v>0.028873121295525595</v>
      </c>
      <c r="Q169" t="s">
        <v>88</v>
      </c>
      <c r="S169" t="s">
        <v>143</v>
      </c>
      <c r="T169" t="s">
        <v>230</v>
      </c>
      <c r="U169">
        <v>0.020065759728602313</v>
      </c>
      <c r="V169" t="s">
        <v>88</v>
      </c>
    </row>
    <row r="170" spans="9:22" ht="14.2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0.088686083994127599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ht="14.2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0.079948802010258002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ht="14.25">
      <c r="I172" t="s">
        <v>112</v>
      </c>
      <c r="J172" t="s">
        <v>233</v>
      </c>
      <c r="K172">
        <v>0.013887629742735452</v>
      </c>
      <c r="L172" t="s">
        <v>88</v>
      </c>
      <c r="N172" t="s">
        <v>128</v>
      </c>
      <c r="O172" t="s">
        <v>233</v>
      </c>
      <c r="P172">
        <v>0.015095828897726192</v>
      </c>
      <c r="Q172" t="s">
        <v>88</v>
      </c>
      <c r="S172" t="s">
        <v>143</v>
      </c>
      <c r="T172" t="s">
        <v>233</v>
      </c>
      <c r="U172">
        <v>0.021859708188060347</v>
      </c>
      <c r="V172" t="s">
        <v>88</v>
      </c>
    </row>
    <row r="173" spans="9:22" ht="14.2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ht="14.2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ht="14.25">
      <c r="I175" t="s">
        <v>112</v>
      </c>
      <c r="J175" t="s">
        <v>236</v>
      </c>
      <c r="K175">
        <v>0.0028810792348718684</v>
      </c>
      <c r="L175" t="s">
        <v>88</v>
      </c>
      <c r="N175" t="s">
        <v>128</v>
      </c>
      <c r="O175" t="s">
        <v>236</v>
      </c>
      <c r="P175">
        <v>0.021882137845158311</v>
      </c>
      <c r="Q175" t="s">
        <v>88</v>
      </c>
      <c r="S175" t="s">
        <v>143</v>
      </c>
      <c r="T175" t="s">
        <v>236</v>
      </c>
      <c r="U175">
        <v>0.021674995532828454</v>
      </c>
      <c r="V175" t="s">
        <v>88</v>
      </c>
    </row>
    <row r="176" spans="9:22" ht="14.2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ht="14.25">
      <c r="I177" t="s">
        <v>112</v>
      </c>
      <c r="J177" t="s">
        <v>238</v>
      </c>
      <c r="K177">
        <v>0.016326007476608461</v>
      </c>
      <c r="L177" t="s">
        <v>88</v>
      </c>
      <c r="N177" t="s">
        <v>128</v>
      </c>
      <c r="O177" t="s">
        <v>238</v>
      </c>
      <c r="P177">
        <v>0.087109941101944172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ht="14.25">
      <c r="I178" t="s">
        <v>112</v>
      </c>
      <c r="J178" t="s">
        <v>239</v>
      </c>
      <c r="K178">
        <v>0.04834176484581424</v>
      </c>
      <c r="L178" t="s">
        <v>88</v>
      </c>
      <c r="N178" t="s">
        <v>128</v>
      </c>
      <c r="O178" t="s">
        <v>239</v>
      </c>
      <c r="P178">
        <v>0.024422036343056952</v>
      </c>
      <c r="Q178" t="s">
        <v>88</v>
      </c>
      <c r="S178" t="s">
        <v>143</v>
      </c>
      <c r="T178" t="s">
        <v>239</v>
      </c>
      <c r="U178">
        <v>0.021789062651908019</v>
      </c>
      <c r="V178" t="s">
        <v>88</v>
      </c>
    </row>
    <row r="179" spans="9:22" ht="14.2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ht="14.25">
      <c r="I180" t="s">
        <v>113</v>
      </c>
      <c r="J180" t="s">
        <v>229</v>
      </c>
      <c r="K180">
        <v>0.0062692153599431663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ht="14.25">
      <c r="I181" t="s">
        <v>113</v>
      </c>
      <c r="J181" t="s">
        <v>230</v>
      </c>
      <c r="K181">
        <v>0.031476735552928424</v>
      </c>
      <c r="L181" t="s">
        <v>88</v>
      </c>
      <c r="N181" t="s">
        <v>129</v>
      </c>
      <c r="O181" t="s">
        <v>230</v>
      </c>
      <c r="P181">
        <v>0.031257232184870018</v>
      </c>
      <c r="Q181" t="s">
        <v>88</v>
      </c>
      <c r="S181" t="s">
        <v>144</v>
      </c>
      <c r="T181" t="s">
        <v>230</v>
      </c>
      <c r="U181">
        <v>0.020329023613229514</v>
      </c>
      <c r="V181" t="s">
        <v>88</v>
      </c>
    </row>
    <row r="182" spans="9:22" ht="14.2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0.088916137896206782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ht="14.2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0.07223022941796442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ht="14.25">
      <c r="I184" t="s">
        <v>113</v>
      </c>
      <c r="J184" t="s">
        <v>233</v>
      </c>
      <c r="K184">
        <v>0.014754588855935988</v>
      </c>
      <c r="L184" t="s">
        <v>88</v>
      </c>
      <c r="N184" t="s">
        <v>129</v>
      </c>
      <c r="O184" t="s">
        <v>233</v>
      </c>
      <c r="P184">
        <v>0.016068068373769062</v>
      </c>
      <c r="Q184" t="s">
        <v>88</v>
      </c>
      <c r="S184" t="s">
        <v>144</v>
      </c>
      <c r="T184" t="s">
        <v>233</v>
      </c>
      <c r="U184">
        <v>0.020596588256061706</v>
      </c>
      <c r="V184" t="s">
        <v>88</v>
      </c>
    </row>
    <row r="185" spans="9:22" ht="14.2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ht="14.2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ht="14.25">
      <c r="I187" t="s">
        <v>113</v>
      </c>
      <c r="J187" t="s">
        <v>236</v>
      </c>
      <c r="K187">
        <v>0.0028836025457267878</v>
      </c>
      <c r="L187" t="s">
        <v>88</v>
      </c>
      <c r="N187" t="s">
        <v>129</v>
      </c>
      <c r="O187" t="s">
        <v>236</v>
      </c>
      <c r="P187">
        <v>0.022734519012808971</v>
      </c>
      <c r="Q187" t="s">
        <v>88</v>
      </c>
      <c r="S187" t="s">
        <v>144</v>
      </c>
      <c r="T187" t="s">
        <v>236</v>
      </c>
      <c r="U187">
        <v>0.02131599926589501</v>
      </c>
      <c r="V187" t="s">
        <v>88</v>
      </c>
    </row>
    <row r="188" spans="9:22" ht="14.2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ht="14.25">
      <c r="I189" t="s">
        <v>113</v>
      </c>
      <c r="J189" t="s">
        <v>238</v>
      </c>
      <c r="K189">
        <v>0.019171422009326221</v>
      </c>
      <c r="L189" t="s">
        <v>88</v>
      </c>
      <c r="N189" t="s">
        <v>129</v>
      </c>
      <c r="O189" t="s">
        <v>238</v>
      </c>
      <c r="P189">
        <v>0.09271127788971012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ht="14.25">
      <c r="I190" t="s">
        <v>113</v>
      </c>
      <c r="J190" t="s">
        <v>239</v>
      </c>
      <c r="K190">
        <v>0.052596178408328878</v>
      </c>
      <c r="L190" t="s">
        <v>88</v>
      </c>
      <c r="N190" t="s">
        <v>129</v>
      </c>
      <c r="O190" t="s">
        <v>239</v>
      </c>
      <c r="P190">
        <v>0.023803314340935935</v>
      </c>
      <c r="Q190" t="s">
        <v>88</v>
      </c>
      <c r="S190" t="s">
        <v>144</v>
      </c>
      <c r="T190" t="s">
        <v>239</v>
      </c>
      <c r="U190">
        <v>0.021161271970941944</v>
      </c>
      <c r="V190" t="s">
        <v>88</v>
      </c>
    </row>
    <row r="191" spans="9:22" ht="14.2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ht="14.25">
      <c r="I192" t="s">
        <v>114</v>
      </c>
      <c r="J192" t="s">
        <v>229</v>
      </c>
      <c r="K192">
        <v>0.0048391511968053913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ht="14.25">
      <c r="I193" t="s">
        <v>114</v>
      </c>
      <c r="J193" t="s">
        <v>230</v>
      </c>
      <c r="K193">
        <v>0.027793659581838277</v>
      </c>
      <c r="L193" t="s">
        <v>88</v>
      </c>
      <c r="S193" t="s">
        <v>145</v>
      </c>
      <c r="T193" t="s">
        <v>230</v>
      </c>
      <c r="U193">
        <v>0.020364919987033148</v>
      </c>
      <c r="V193" t="s">
        <v>88</v>
      </c>
    </row>
    <row r="194" spans="9:22" ht="14.2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ht="14.2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ht="14.25">
      <c r="I196" t="s">
        <v>114</v>
      </c>
      <c r="J196" t="s">
        <v>233</v>
      </c>
      <c r="K196">
        <v>0.013147305503609562</v>
      </c>
      <c r="L196" t="s">
        <v>88</v>
      </c>
      <c r="S196" t="s">
        <v>145</v>
      </c>
      <c r="T196" t="s">
        <v>233</v>
      </c>
      <c r="U196">
        <v>0.021608042821763471</v>
      </c>
      <c r="V196" t="s">
        <v>88</v>
      </c>
    </row>
    <row r="197" spans="9:22" ht="14.2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ht="14.2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ht="14.25">
      <c r="I199" t="s">
        <v>114</v>
      </c>
      <c r="J199" t="s">
        <v>236</v>
      </c>
      <c r="K199">
        <v>0.0028619890404803922</v>
      </c>
      <c r="L199" t="s">
        <v>88</v>
      </c>
      <c r="S199" t="s">
        <v>145</v>
      </c>
      <c r="T199" t="s">
        <v>236</v>
      </c>
      <c r="U199">
        <v>0.020767175877751041</v>
      </c>
      <c r="V199" t="s">
        <v>88</v>
      </c>
    </row>
    <row r="200" spans="9:22" ht="14.2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ht="14.25">
      <c r="I201" t="s">
        <v>114</v>
      </c>
      <c r="J201" t="s">
        <v>238</v>
      </c>
      <c r="K201">
        <v>0.015983490324597411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ht="14.25">
      <c r="I202" t="s">
        <v>114</v>
      </c>
      <c r="J202" t="s">
        <v>239</v>
      </c>
      <c r="K202">
        <v>0.048940514389494226</v>
      </c>
      <c r="L202" t="s">
        <v>88</v>
      </c>
      <c r="S202" t="s">
        <v>145</v>
      </c>
      <c r="T202" t="s">
        <v>239</v>
      </c>
      <c r="U202">
        <v>0.019968692205263729</v>
      </c>
      <c r="V202" t="s">
        <v>88</v>
      </c>
    </row>
    <row r="203" spans="19:22" ht="14.25">
      <c r="S203" t="s">
        <v>146</v>
      </c>
      <c r="T203" t="s">
        <v>228</v>
      </c>
      <c r="U203">
        <v>0.1178839863663107</v>
      </c>
      <c r="V203" t="s">
        <v>88</v>
      </c>
    </row>
    <row r="204" spans="19:22" ht="14.25">
      <c r="S204" t="s">
        <v>146</v>
      </c>
      <c r="T204" t="s">
        <v>229</v>
      </c>
      <c r="U204">
        <v>0.11568047826019931</v>
      </c>
      <c r="V204" t="s">
        <v>88</v>
      </c>
    </row>
    <row r="205" spans="19:22" ht="14.25">
      <c r="S205" t="s">
        <v>146</v>
      </c>
      <c r="T205" t="s">
        <v>230</v>
      </c>
      <c r="U205">
        <v>0.020641236147966542</v>
      </c>
      <c r="V205" t="s">
        <v>88</v>
      </c>
    </row>
    <row r="206" spans="19:22" ht="14.25">
      <c r="S206" t="s">
        <v>146</v>
      </c>
      <c r="T206" t="s">
        <v>231</v>
      </c>
      <c r="U206">
        <v>0.11076503489442305</v>
      </c>
      <c r="V206" t="s">
        <v>88</v>
      </c>
    </row>
    <row r="207" spans="19:22" ht="14.25">
      <c r="S207" t="s">
        <v>146</v>
      </c>
      <c r="T207" t="s">
        <v>232</v>
      </c>
      <c r="U207">
        <v>0.10901163415884768</v>
      </c>
      <c r="V207" t="s">
        <v>88</v>
      </c>
    </row>
    <row r="208" spans="19:22" ht="14.25">
      <c r="S208" t="s">
        <v>146</v>
      </c>
      <c r="T208" t="s">
        <v>233</v>
      </c>
      <c r="U208">
        <v>0.020416004750134012</v>
      </c>
      <c r="V208" t="s">
        <v>88</v>
      </c>
    </row>
    <row r="209" spans="19:22" ht="14.25">
      <c r="S209" t="s">
        <v>146</v>
      </c>
      <c r="T209" t="s">
        <v>234</v>
      </c>
      <c r="U209">
        <v>0.11526149743839011</v>
      </c>
      <c r="V209" t="s">
        <v>88</v>
      </c>
    </row>
    <row r="210" spans="19:22" ht="14.25">
      <c r="S210" t="s">
        <v>146</v>
      </c>
      <c r="T210" t="s">
        <v>235</v>
      </c>
      <c r="U210">
        <v>0.1159244280317643</v>
      </c>
      <c r="V210" t="s">
        <v>88</v>
      </c>
    </row>
    <row r="211" spans="19:22" ht="14.25">
      <c r="S211" t="s">
        <v>146</v>
      </c>
      <c r="T211" t="s">
        <v>236</v>
      </c>
      <c r="U211">
        <v>0.020723463706586204</v>
      </c>
      <c r="V211" t="s">
        <v>88</v>
      </c>
    </row>
    <row r="212" spans="19:22" ht="14.25">
      <c r="S212" t="s">
        <v>146</v>
      </c>
      <c r="T212" t="s">
        <v>237</v>
      </c>
      <c r="U212">
        <v>0.11671044423035851</v>
      </c>
      <c r="V212" t="s">
        <v>88</v>
      </c>
    </row>
    <row r="213" spans="19:22" ht="14.25">
      <c r="S213" t="s">
        <v>146</v>
      </c>
      <c r="T213" t="s">
        <v>238</v>
      </c>
      <c r="U213">
        <v>0.11594236225172999</v>
      </c>
      <c r="V213" t="s">
        <v>88</v>
      </c>
    </row>
    <row r="214" spans="19:22" ht="14.25">
      <c r="S214" t="s">
        <v>146</v>
      </c>
      <c r="T214" t="s">
        <v>239</v>
      </c>
      <c r="U214">
        <v>0.02103942976329121</v>
      </c>
      <c r="V214" t="s">
        <v>88</v>
      </c>
    </row>
    <row r="215" spans="19:22" ht="14.25">
      <c r="S215" t="s">
        <v>147</v>
      </c>
      <c r="T215" t="s">
        <v>228</v>
      </c>
      <c r="U215">
        <v>0.11570459014628633</v>
      </c>
      <c r="V215" t="s">
        <v>88</v>
      </c>
    </row>
    <row r="216" spans="19:22" ht="14.25">
      <c r="S216" t="s">
        <v>147</v>
      </c>
      <c r="T216" t="s">
        <v>229</v>
      </c>
      <c r="U216">
        <v>0.11254747366701257</v>
      </c>
      <c r="V216" t="s">
        <v>88</v>
      </c>
    </row>
    <row r="217" spans="19:22" ht="14.25">
      <c r="S217" t="s">
        <v>147</v>
      </c>
      <c r="T217" t="s">
        <v>230</v>
      </c>
      <c r="U217">
        <v>0.020999502006816169</v>
      </c>
      <c r="V217" t="s">
        <v>88</v>
      </c>
    </row>
    <row r="218" spans="19:22" ht="14.25">
      <c r="S218" t="s">
        <v>147</v>
      </c>
      <c r="T218" t="s">
        <v>231</v>
      </c>
      <c r="U218">
        <v>0.11462160059890976</v>
      </c>
      <c r="V218" t="s">
        <v>88</v>
      </c>
    </row>
    <row r="219" spans="19:22" ht="14.25">
      <c r="S219" t="s">
        <v>147</v>
      </c>
      <c r="T219" t="s">
        <v>232</v>
      </c>
      <c r="U219">
        <v>0.11289449227819413</v>
      </c>
      <c r="V219" t="s">
        <v>88</v>
      </c>
    </row>
    <row r="220" spans="19:22" ht="14.25">
      <c r="S220" t="s">
        <v>147</v>
      </c>
      <c r="T220" t="s">
        <v>233</v>
      </c>
      <c r="U220">
        <v>0.02110468745081405</v>
      </c>
      <c r="V220" t="s">
        <v>88</v>
      </c>
    </row>
    <row r="221" spans="19:22" ht="14.25">
      <c r="S221" t="s">
        <v>147</v>
      </c>
      <c r="T221" t="s">
        <v>234</v>
      </c>
      <c r="U221">
        <v>0.11833961558207363</v>
      </c>
      <c r="V221" t="s">
        <v>88</v>
      </c>
    </row>
    <row r="222" spans="19:22" ht="14.25">
      <c r="S222" t="s">
        <v>147</v>
      </c>
      <c r="T222" t="s">
        <v>235</v>
      </c>
      <c r="U222">
        <v>0.11589775469949855</v>
      </c>
      <c r="V222" t="s">
        <v>88</v>
      </c>
    </row>
    <row r="223" spans="19:22" ht="14.25">
      <c r="S223" t="s">
        <v>147</v>
      </c>
      <c r="T223" t="s">
        <v>236</v>
      </c>
      <c r="U223">
        <v>0.021134836168632022</v>
      </c>
      <c r="V223" t="s">
        <v>88</v>
      </c>
    </row>
    <row r="224" spans="19:22" ht="14.25">
      <c r="S224" t="s">
        <v>147</v>
      </c>
      <c r="T224" t="s">
        <v>237</v>
      </c>
      <c r="U224">
        <v>0.11346313307527689</v>
      </c>
      <c r="V224" t="s">
        <v>88</v>
      </c>
    </row>
    <row r="225" spans="19:22" ht="14.25">
      <c r="S225" t="s">
        <v>147</v>
      </c>
      <c r="T225" t="s">
        <v>238</v>
      </c>
      <c r="U225">
        <v>0.11220508659839382</v>
      </c>
      <c r="V225" t="s">
        <v>88</v>
      </c>
    </row>
    <row r="226" spans="19:22" ht="14.25">
      <c r="S226" t="s">
        <v>147</v>
      </c>
      <c r="T226" t="s">
        <v>239</v>
      </c>
      <c r="U226">
        <v>0.021087227728091257</v>
      </c>
      <c r="V226" t="s">
        <v>88</v>
      </c>
    </row>
    <row r="227" spans="19:22" ht="14.25">
      <c r="S227" t="s">
        <v>148</v>
      </c>
      <c r="T227" t="s">
        <v>228</v>
      </c>
      <c r="U227">
        <v>0.11605390933722523</v>
      </c>
      <c r="V227" t="s">
        <v>88</v>
      </c>
    </row>
    <row r="228" spans="19:22" ht="14.25">
      <c r="S228" t="s">
        <v>148</v>
      </c>
      <c r="T228" t="s">
        <v>229</v>
      </c>
      <c r="U228">
        <v>0.11331972978618253</v>
      </c>
      <c r="V228" t="s">
        <v>88</v>
      </c>
    </row>
    <row r="229" spans="19:22" ht="14.25">
      <c r="S229" t="s">
        <v>148</v>
      </c>
      <c r="T229" t="s">
        <v>230</v>
      </c>
      <c r="U229">
        <v>0.020558475972854078</v>
      </c>
      <c r="V229" t="s">
        <v>88</v>
      </c>
    </row>
    <row r="230" spans="19:22" ht="14.25">
      <c r="S230" t="s">
        <v>148</v>
      </c>
      <c r="T230" t="s">
        <v>231</v>
      </c>
      <c r="U230">
        <v>0.11639741823799485</v>
      </c>
      <c r="V230" t="s">
        <v>88</v>
      </c>
    </row>
    <row r="231" spans="19:22" ht="14.25">
      <c r="S231" t="s">
        <v>148</v>
      </c>
      <c r="T231" t="s">
        <v>232</v>
      </c>
      <c r="U231">
        <v>0.11389142901013978</v>
      </c>
      <c r="V231" t="s">
        <v>88</v>
      </c>
    </row>
    <row r="232" spans="19:22" ht="14.25">
      <c r="S232" t="s">
        <v>148</v>
      </c>
      <c r="T232" t="s">
        <v>233</v>
      </c>
      <c r="U232">
        <v>0.021249413482703532</v>
      </c>
      <c r="V232" t="s">
        <v>88</v>
      </c>
    </row>
    <row r="233" spans="19:22" ht="14.25">
      <c r="S233" t="s">
        <v>148</v>
      </c>
      <c r="T233" t="s">
        <v>234</v>
      </c>
      <c r="U233">
        <v>0.114485879951083</v>
      </c>
      <c r="V233" t="s">
        <v>88</v>
      </c>
    </row>
    <row r="234" spans="19:22" ht="14.25">
      <c r="S234" t="s">
        <v>148</v>
      </c>
      <c r="T234" t="s">
        <v>235</v>
      </c>
      <c r="U234">
        <v>0.11487966274147915</v>
      </c>
      <c r="V234" t="s">
        <v>88</v>
      </c>
    </row>
    <row r="235" spans="19:22" ht="14.25">
      <c r="S235" t="s">
        <v>148</v>
      </c>
      <c r="T235" t="s">
        <v>236</v>
      </c>
      <c r="U235">
        <v>0.02104033777372288</v>
      </c>
      <c r="V235" t="s">
        <v>88</v>
      </c>
    </row>
    <row r="236" spans="19:22" ht="14.25">
      <c r="S236" t="s">
        <v>148</v>
      </c>
      <c r="T236" t="s">
        <v>237</v>
      </c>
      <c r="U236">
        <v>0.11453027060842653</v>
      </c>
      <c r="V236" t="s">
        <v>88</v>
      </c>
    </row>
    <row r="237" spans="19:22" ht="14.25">
      <c r="S237" t="s">
        <v>148</v>
      </c>
      <c r="T237" t="s">
        <v>238</v>
      </c>
      <c r="U237">
        <v>0.11281765166204398</v>
      </c>
      <c r="V237" t="s">
        <v>88</v>
      </c>
    </row>
    <row r="238" spans="19:22" ht="14.25">
      <c r="S238" t="s">
        <v>148</v>
      </c>
      <c r="T238" t="s">
        <v>239</v>
      </c>
      <c r="U238">
        <v>0.020775821436143899</v>
      </c>
      <c r="V238" t="s">
        <v>88</v>
      </c>
    </row>
    <row r="239" spans="19:22" ht="14.25">
      <c r="S239" t="s">
        <v>149</v>
      </c>
      <c r="T239" t="s">
        <v>228</v>
      </c>
      <c r="U239">
        <v>0.12527235774831438</v>
      </c>
      <c r="V239" t="s">
        <v>88</v>
      </c>
    </row>
    <row r="240" spans="19:22" ht="14.25">
      <c r="S240" t="s">
        <v>149</v>
      </c>
      <c r="T240" t="s">
        <v>229</v>
      </c>
      <c r="U240">
        <v>0.13358696460894479</v>
      </c>
      <c r="V240" t="s">
        <v>88</v>
      </c>
    </row>
    <row r="241" spans="19:22" ht="14.25">
      <c r="S241" t="s">
        <v>149</v>
      </c>
      <c r="T241" t="s">
        <v>230</v>
      </c>
      <c r="U241">
        <v>0.024458377310024822</v>
      </c>
      <c r="V241" t="s">
        <v>88</v>
      </c>
    </row>
    <row r="242" spans="19:22" ht="14.25">
      <c r="S242" t="s">
        <v>149</v>
      </c>
      <c r="T242" t="s">
        <v>231</v>
      </c>
      <c r="U242">
        <v>0.097841885933528897</v>
      </c>
      <c r="V242" t="s">
        <v>88</v>
      </c>
    </row>
    <row r="243" spans="19:22" ht="14.25">
      <c r="S243" t="s">
        <v>149</v>
      </c>
      <c r="T243" t="s">
        <v>232</v>
      </c>
      <c r="U243">
        <v>0.10037077481143185</v>
      </c>
      <c r="V243" t="s">
        <v>88</v>
      </c>
    </row>
    <row r="244" spans="19:22" ht="14.25">
      <c r="S244" t="s">
        <v>149</v>
      </c>
      <c r="T244" t="s">
        <v>233</v>
      </c>
      <c r="U244">
        <v>0.018713215983783636</v>
      </c>
      <c r="V244" t="s">
        <v>88</v>
      </c>
    </row>
    <row r="245" spans="19:22" ht="14.25">
      <c r="S245" t="s">
        <v>149</v>
      </c>
      <c r="T245" t="s">
        <v>234</v>
      </c>
      <c r="U245">
        <v>0.12755399451929539</v>
      </c>
      <c r="V245" t="s">
        <v>88</v>
      </c>
    </row>
    <row r="246" spans="19:22" ht="14.25">
      <c r="S246" t="s">
        <v>149</v>
      </c>
      <c r="T246" t="s">
        <v>235</v>
      </c>
      <c r="U246">
        <v>0.12784690512719718</v>
      </c>
      <c r="V246" t="s">
        <v>88</v>
      </c>
    </row>
    <row r="247" spans="19:22" ht="14.25">
      <c r="S247" t="s">
        <v>149</v>
      </c>
      <c r="T247" t="s">
        <v>236</v>
      </c>
      <c r="U247">
        <v>0.022885951549423567</v>
      </c>
      <c r="V247" t="s">
        <v>88</v>
      </c>
    </row>
    <row r="248" spans="19:22" ht="14.25">
      <c r="S248" t="s">
        <v>149</v>
      </c>
      <c r="T248" t="s">
        <v>237</v>
      </c>
      <c r="U248">
        <v>0.099166866083796545</v>
      </c>
      <c r="V248" t="s">
        <v>88</v>
      </c>
    </row>
    <row r="249" spans="19:22" ht="14.25">
      <c r="S249" t="s">
        <v>149</v>
      </c>
      <c r="T249" t="s">
        <v>238</v>
      </c>
      <c r="U249">
        <v>0.10311498201250245</v>
      </c>
      <c r="V249" t="s">
        <v>88</v>
      </c>
    </row>
    <row r="250" spans="19:22" ht="14.25">
      <c r="S250" t="s">
        <v>149</v>
      </c>
      <c r="T250" t="s">
        <v>239</v>
      </c>
      <c r="U250">
        <v>0.019187724311753467</v>
      </c>
      <c r="V250" t="s">
        <v>88</v>
      </c>
    </row>
    <row r="251" spans="19:22" ht="14.25">
      <c r="S251" t="s">
        <v>150</v>
      </c>
      <c r="T251" t="s">
        <v>228</v>
      </c>
      <c r="U251">
        <v>0.12995156799097099</v>
      </c>
      <c r="V251" t="s">
        <v>88</v>
      </c>
    </row>
    <row r="252" spans="19:22" ht="14.25">
      <c r="S252" t="s">
        <v>150</v>
      </c>
      <c r="T252" t="s">
        <v>229</v>
      </c>
      <c r="U252">
        <v>0.13231622126289075</v>
      </c>
      <c r="V252" t="s">
        <v>88</v>
      </c>
    </row>
    <row r="253" spans="19:22" ht="14.25">
      <c r="S253" t="s">
        <v>150</v>
      </c>
      <c r="T253" t="s">
        <v>230</v>
      </c>
      <c r="U253">
        <v>0.024848496996174967</v>
      </c>
      <c r="V253" t="s">
        <v>88</v>
      </c>
    </row>
    <row r="254" spans="19:22" ht="14.25">
      <c r="S254" t="s">
        <v>150</v>
      </c>
      <c r="T254" t="s">
        <v>231</v>
      </c>
      <c r="U254">
        <v>0.097356100043753599</v>
      </c>
      <c r="V254" t="s">
        <v>88</v>
      </c>
    </row>
    <row r="255" spans="19:22" ht="14.25">
      <c r="S255" t="s">
        <v>150</v>
      </c>
      <c r="T255" t="s">
        <v>232</v>
      </c>
      <c r="U255">
        <v>0.096362032319308843</v>
      </c>
      <c r="V255" t="s">
        <v>88</v>
      </c>
    </row>
    <row r="256" spans="19:22" ht="14.25">
      <c r="S256" t="s">
        <v>150</v>
      </c>
      <c r="T256" t="s">
        <v>233</v>
      </c>
      <c r="U256">
        <v>0.0172515914894368</v>
      </c>
      <c r="V256" t="s">
        <v>88</v>
      </c>
    </row>
    <row r="257" spans="19:22" ht="14.25">
      <c r="S257" t="s">
        <v>150</v>
      </c>
      <c r="T257" t="s">
        <v>234</v>
      </c>
      <c r="U257">
        <v>0.12658433562577551</v>
      </c>
      <c r="V257" t="s">
        <v>88</v>
      </c>
    </row>
    <row r="258" spans="19:22" ht="14.25">
      <c r="S258" t="s">
        <v>150</v>
      </c>
      <c r="T258" t="s">
        <v>235</v>
      </c>
      <c r="U258">
        <v>0.12704269055694484</v>
      </c>
      <c r="V258" t="s">
        <v>88</v>
      </c>
    </row>
    <row r="259" spans="19:22" ht="14.25">
      <c r="S259" t="s">
        <v>150</v>
      </c>
      <c r="T259" t="s">
        <v>236</v>
      </c>
      <c r="U259">
        <v>0.023391861215414481</v>
      </c>
      <c r="V259" t="s">
        <v>88</v>
      </c>
    </row>
    <row r="260" spans="19:22" ht="14.25">
      <c r="S260" t="s">
        <v>150</v>
      </c>
      <c r="T260" t="s">
        <v>237</v>
      </c>
      <c r="U260">
        <v>0.10256470545630264</v>
      </c>
      <c r="V260" t="s">
        <v>88</v>
      </c>
    </row>
    <row r="261" spans="19:22" ht="14.25">
      <c r="S261" t="s">
        <v>150</v>
      </c>
      <c r="T261" t="s">
        <v>238</v>
      </c>
      <c r="U261">
        <v>0.10381321627432204</v>
      </c>
      <c r="V261" t="s">
        <v>88</v>
      </c>
    </row>
    <row r="262" spans="19:22" ht="14.25">
      <c r="S262" t="s">
        <v>150</v>
      </c>
      <c r="T262" t="s">
        <v>239</v>
      </c>
      <c r="U262">
        <v>0.018517180768702426</v>
      </c>
      <c r="V262" t="s">
        <v>88</v>
      </c>
    </row>
    <row r="263" spans="19:22" ht="14.25">
      <c r="S263" t="s">
        <v>151</v>
      </c>
      <c r="T263" t="s">
        <v>228</v>
      </c>
      <c r="U263">
        <v>0.1289425974613902</v>
      </c>
      <c r="V263" t="s">
        <v>88</v>
      </c>
    </row>
    <row r="264" spans="19:22" ht="14.25">
      <c r="S264" t="s">
        <v>151</v>
      </c>
      <c r="T264" t="s">
        <v>229</v>
      </c>
      <c r="U264">
        <v>0.13096324137967172</v>
      </c>
      <c r="V264" t="s">
        <v>88</v>
      </c>
    </row>
    <row r="265" spans="19:22" ht="14.25">
      <c r="S265" t="s">
        <v>151</v>
      </c>
      <c r="T265" t="s">
        <v>230</v>
      </c>
      <c r="U265">
        <v>0.024460559801278172</v>
      </c>
      <c r="V265" t="s">
        <v>88</v>
      </c>
    </row>
    <row r="266" spans="19:22" ht="14.25">
      <c r="S266" t="s">
        <v>151</v>
      </c>
      <c r="T266" t="s">
        <v>231</v>
      </c>
      <c r="U266">
        <v>0.10274889460974623</v>
      </c>
      <c r="V266" t="s">
        <v>88</v>
      </c>
    </row>
    <row r="267" spans="19:22" ht="14.25">
      <c r="S267" t="s">
        <v>151</v>
      </c>
      <c r="T267" t="s">
        <v>232</v>
      </c>
      <c r="U267">
        <v>0.10216231157821853</v>
      </c>
      <c r="V267" t="s">
        <v>88</v>
      </c>
    </row>
    <row r="268" spans="19:22" ht="14.25">
      <c r="S268" t="s">
        <v>151</v>
      </c>
      <c r="T268" t="s">
        <v>233</v>
      </c>
      <c r="U268">
        <v>0.018739387384305747</v>
      </c>
      <c r="V268" t="s">
        <v>88</v>
      </c>
    </row>
    <row r="269" spans="19:22" ht="14.25">
      <c r="S269" t="s">
        <v>151</v>
      </c>
      <c r="T269" t="s">
        <v>234</v>
      </c>
      <c r="U269">
        <v>0.13072649076476148</v>
      </c>
      <c r="V269" t="s">
        <v>88</v>
      </c>
    </row>
    <row r="270" spans="19:22" ht="14.25">
      <c r="S270" t="s">
        <v>151</v>
      </c>
      <c r="T270" t="s">
        <v>235</v>
      </c>
      <c r="U270">
        <v>0.12752256597528819</v>
      </c>
      <c r="V270" t="s">
        <v>88</v>
      </c>
    </row>
    <row r="271" spans="19:22" ht="14.25">
      <c r="S271" t="s">
        <v>151</v>
      </c>
      <c r="T271" t="s">
        <v>236</v>
      </c>
      <c r="U271">
        <v>0.024726025466516689</v>
      </c>
      <c r="V271" t="s">
        <v>88</v>
      </c>
    </row>
    <row r="272" spans="19:22" ht="14.25">
      <c r="S272" t="s">
        <v>151</v>
      </c>
      <c r="T272" t="s">
        <v>237</v>
      </c>
      <c r="U272">
        <v>0.095206994995879188</v>
      </c>
      <c r="V272" t="s">
        <v>88</v>
      </c>
    </row>
    <row r="273" spans="19:22" ht="14.25">
      <c r="S273" t="s">
        <v>151</v>
      </c>
      <c r="T273" t="s">
        <v>238</v>
      </c>
      <c r="U273">
        <v>0.096309254354441834</v>
      </c>
      <c r="V273" t="s">
        <v>88</v>
      </c>
    </row>
    <row r="274" spans="19:22" ht="14.25">
      <c r="S274" t="s">
        <v>151</v>
      </c>
      <c r="T274" t="s">
        <v>239</v>
      </c>
      <c r="U274">
        <v>0.017491676228502222</v>
      </c>
      <c r="V274" t="s">
        <v>88</v>
      </c>
    </row>
    <row r="275" spans="19:22" ht="14.25">
      <c r="S275" t="s">
        <v>152</v>
      </c>
      <c r="T275" t="s">
        <v>228</v>
      </c>
      <c r="U275">
        <v>0.12617054340742223</v>
      </c>
      <c r="V275" t="s">
        <v>88</v>
      </c>
    </row>
    <row r="276" spans="19:22" ht="14.25">
      <c r="S276" t="s">
        <v>152</v>
      </c>
      <c r="T276" t="s">
        <v>229</v>
      </c>
      <c r="U276">
        <v>0.1263751994102113</v>
      </c>
      <c r="V276" t="s">
        <v>88</v>
      </c>
    </row>
    <row r="277" spans="19:22" ht="14.25">
      <c r="S277" t="s">
        <v>152</v>
      </c>
      <c r="T277" t="s">
        <v>230</v>
      </c>
      <c r="U277">
        <v>0.025945998336484786</v>
      </c>
      <c r="V277" t="s">
        <v>88</v>
      </c>
    </row>
    <row r="278" spans="19:22" ht="14.25">
      <c r="S278" t="s">
        <v>152</v>
      </c>
      <c r="T278" t="s">
        <v>231</v>
      </c>
      <c r="U278">
        <v>0.10252853611930449</v>
      </c>
      <c r="V278" t="s">
        <v>88</v>
      </c>
    </row>
    <row r="279" spans="19:22" ht="14.25">
      <c r="S279" t="s">
        <v>152</v>
      </c>
      <c r="T279" t="s">
        <v>232</v>
      </c>
      <c r="U279">
        <v>0.096183875348006473</v>
      </c>
      <c r="V279" t="s">
        <v>88</v>
      </c>
    </row>
    <row r="280" spans="19:22" ht="14.25">
      <c r="S280" t="s">
        <v>152</v>
      </c>
      <c r="T280" t="s">
        <v>233</v>
      </c>
      <c r="U280">
        <v>0.018909081629865737</v>
      </c>
      <c r="V280" t="s">
        <v>88</v>
      </c>
    </row>
    <row r="281" spans="19:22" ht="14.25">
      <c r="S281" t="s">
        <v>152</v>
      </c>
      <c r="T281" t="s">
        <v>234</v>
      </c>
      <c r="U281">
        <v>0.12840401264955414</v>
      </c>
      <c r="V281" t="s">
        <v>88</v>
      </c>
    </row>
    <row r="282" spans="19:22" ht="14.25">
      <c r="S282" t="s">
        <v>152</v>
      </c>
      <c r="T282" t="s">
        <v>235</v>
      </c>
      <c r="U282">
        <v>0.12195240483296638</v>
      </c>
      <c r="V282" t="s">
        <v>88</v>
      </c>
    </row>
    <row r="283" spans="19:22" ht="14.25">
      <c r="S283" t="s">
        <v>152</v>
      </c>
      <c r="T283" t="s">
        <v>236</v>
      </c>
      <c r="U283">
        <v>0.022223234259536047</v>
      </c>
      <c r="V283" t="s">
        <v>88</v>
      </c>
    </row>
    <row r="284" spans="19:22" ht="14.25">
      <c r="S284" t="s">
        <v>152</v>
      </c>
      <c r="T284" t="s">
        <v>237</v>
      </c>
      <c r="U284">
        <v>0.10549334213602923</v>
      </c>
      <c r="V284" t="s">
        <v>88</v>
      </c>
    </row>
    <row r="285" spans="19:22" ht="14.25">
      <c r="S285" t="s">
        <v>152</v>
      </c>
      <c r="T285" t="s">
        <v>238</v>
      </c>
      <c r="U285">
        <v>0.10492958152215191</v>
      </c>
      <c r="V285" t="s">
        <v>88</v>
      </c>
    </row>
    <row r="286" spans="19:22" ht="14.25">
      <c r="S286" t="s">
        <v>152</v>
      </c>
      <c r="T286" t="s">
        <v>239</v>
      </c>
      <c r="U286">
        <v>0.020884190348464123</v>
      </c>
      <c r="V286" t="s">
        <v>88</v>
      </c>
    </row>
    <row r="287" spans="19:22" ht="14.25">
      <c r="S287" t="s">
        <v>153</v>
      </c>
      <c r="T287" t="s">
        <v>228</v>
      </c>
      <c r="U287">
        <v>0.12882894193252725</v>
      </c>
      <c r="V287" t="s">
        <v>88</v>
      </c>
    </row>
    <row r="288" spans="19:22" ht="14.25">
      <c r="S288" t="s">
        <v>153</v>
      </c>
      <c r="T288" t="s">
        <v>229</v>
      </c>
      <c r="U288">
        <v>0.13207094895892707</v>
      </c>
      <c r="V288" t="s">
        <v>88</v>
      </c>
    </row>
    <row r="289" spans="19:22" ht="14.25">
      <c r="S289" t="s">
        <v>153</v>
      </c>
      <c r="T289" t="s">
        <v>230</v>
      </c>
      <c r="U289">
        <v>0.026329094048233255</v>
      </c>
      <c r="V289" t="s">
        <v>88</v>
      </c>
    </row>
    <row r="290" spans="19:22" ht="14.25">
      <c r="S290" t="s">
        <v>153</v>
      </c>
      <c r="T290" t="s">
        <v>231</v>
      </c>
      <c r="U290">
        <v>0.09864502205228913</v>
      </c>
      <c r="V290" t="s">
        <v>88</v>
      </c>
    </row>
    <row r="291" spans="19:22" ht="14.25">
      <c r="S291" t="s">
        <v>153</v>
      </c>
      <c r="T291" t="s">
        <v>232</v>
      </c>
      <c r="U291">
        <v>0.093520780617070615</v>
      </c>
      <c r="V291" t="s">
        <v>88</v>
      </c>
    </row>
    <row r="292" spans="19:22" ht="14.25">
      <c r="S292" t="s">
        <v>153</v>
      </c>
      <c r="T292" t="s">
        <v>233</v>
      </c>
      <c r="U292">
        <v>0.018712653671308213</v>
      </c>
      <c r="V292" t="s">
        <v>88</v>
      </c>
    </row>
    <row r="293" spans="19:22" ht="14.25">
      <c r="S293" t="s">
        <v>153</v>
      </c>
      <c r="T293" t="s">
        <v>234</v>
      </c>
      <c r="U293">
        <v>0.12285436253289124</v>
      </c>
      <c r="V293" t="s">
        <v>88</v>
      </c>
    </row>
    <row r="294" spans="19:22" ht="14.25">
      <c r="S294" t="s">
        <v>153</v>
      </c>
      <c r="T294" t="s">
        <v>235</v>
      </c>
      <c r="U294">
        <v>0.12343650544769084</v>
      </c>
      <c r="V294" t="s">
        <v>88</v>
      </c>
    </row>
    <row r="295" spans="19:22" ht="14.25">
      <c r="S295" t="s">
        <v>153</v>
      </c>
      <c r="T295" t="s">
        <v>236</v>
      </c>
      <c r="U295">
        <v>0.023940226813495811</v>
      </c>
      <c r="V295" t="s">
        <v>88</v>
      </c>
    </row>
    <row r="296" spans="19:22" ht="14.25">
      <c r="S296" t="s">
        <v>153</v>
      </c>
      <c r="T296" t="s">
        <v>237</v>
      </c>
      <c r="U296">
        <v>0.10551767238588855</v>
      </c>
      <c r="V296" t="s">
        <v>88</v>
      </c>
    </row>
    <row r="297" spans="19:22" ht="14.25">
      <c r="S297" t="s">
        <v>153</v>
      </c>
      <c r="T297" t="s">
        <v>238</v>
      </c>
      <c r="U297">
        <v>0.10488499275757343</v>
      </c>
      <c r="V297" t="s">
        <v>88</v>
      </c>
    </row>
    <row r="298" spans="19:22" ht="14.25">
      <c r="S298" t="s">
        <v>153</v>
      </c>
      <c r="T298" t="s">
        <v>239</v>
      </c>
      <c r="U298">
        <v>0.021258798782105248</v>
      </c>
      <c r="V298" t="s">
        <v>88</v>
      </c>
    </row>
    <row r="299" spans="19:22" ht="14.25">
      <c r="S299" t="s">
        <v>154</v>
      </c>
      <c r="T299" t="s">
        <v>228</v>
      </c>
      <c r="U299">
        <v>0.10934642865360546</v>
      </c>
      <c r="V299" t="s">
        <v>88</v>
      </c>
    </row>
    <row r="300" spans="19:22" ht="14.25">
      <c r="S300" t="s">
        <v>154</v>
      </c>
      <c r="T300" t="s">
        <v>229</v>
      </c>
      <c r="U300">
        <v>0.12906703784140394</v>
      </c>
      <c r="V300" t="s">
        <v>88</v>
      </c>
    </row>
    <row r="301" spans="19:22" ht="14.25">
      <c r="S301" t="s">
        <v>154</v>
      </c>
      <c r="T301" t="s">
        <v>230</v>
      </c>
      <c r="U301">
        <v>0.022332851763372283</v>
      </c>
      <c r="V301" t="s">
        <v>88</v>
      </c>
    </row>
    <row r="302" spans="19:22" ht="14.25">
      <c r="S302" t="s">
        <v>154</v>
      </c>
      <c r="T302" t="s">
        <v>231</v>
      </c>
      <c r="U302">
        <v>0.097149889651328744</v>
      </c>
      <c r="V302" t="s">
        <v>88</v>
      </c>
    </row>
    <row r="303" spans="19:22" ht="14.25">
      <c r="S303" t="s">
        <v>154</v>
      </c>
      <c r="T303" t="s">
        <v>232</v>
      </c>
      <c r="U303">
        <v>0.10621399098962876</v>
      </c>
      <c r="V303" t="s">
        <v>88</v>
      </c>
    </row>
    <row r="304" spans="19:22" ht="14.25">
      <c r="S304" t="s">
        <v>154</v>
      </c>
      <c r="T304" t="s">
        <v>233</v>
      </c>
      <c r="U304">
        <v>0.018853135690863422</v>
      </c>
      <c r="V304" t="s">
        <v>88</v>
      </c>
    </row>
    <row r="305" spans="19:22" ht="14.25">
      <c r="S305" t="s">
        <v>154</v>
      </c>
      <c r="T305" t="s">
        <v>234</v>
      </c>
      <c r="U305">
        <v>0.11957063822316191</v>
      </c>
      <c r="V305" t="s">
        <v>88</v>
      </c>
    </row>
    <row r="306" spans="19:22" ht="14.25">
      <c r="S306" t="s">
        <v>154</v>
      </c>
      <c r="T306" t="s">
        <v>235</v>
      </c>
      <c r="U306">
        <v>0.12934833355648881</v>
      </c>
      <c r="V306" t="s">
        <v>88</v>
      </c>
    </row>
    <row r="307" spans="19:22" ht="14.25">
      <c r="S307" t="s">
        <v>154</v>
      </c>
      <c r="T307" t="s">
        <v>236</v>
      </c>
      <c r="U307">
        <v>0.022601765932593398</v>
      </c>
      <c r="V307" t="s">
        <v>88</v>
      </c>
    </row>
    <row r="308" spans="19:22" ht="14.25">
      <c r="S308" t="s">
        <v>154</v>
      </c>
      <c r="T308" t="s">
        <v>237</v>
      </c>
      <c r="U308">
        <v>0.10949521022487475</v>
      </c>
      <c r="V308" t="s">
        <v>88</v>
      </c>
    </row>
    <row r="309" spans="19:22" ht="14.25">
      <c r="S309" t="s">
        <v>154</v>
      </c>
      <c r="T309" t="s">
        <v>238</v>
      </c>
      <c r="U309">
        <v>0.11384057483176378</v>
      </c>
      <c r="V309" t="s">
        <v>88</v>
      </c>
    </row>
    <row r="310" spans="19:22" ht="14.25">
      <c r="S310" t="s">
        <v>154</v>
      </c>
      <c r="T310" t="s">
        <v>239</v>
      </c>
      <c r="U310">
        <v>0.022180142640913839</v>
      </c>
      <c r="V310" t="s">
        <v>88</v>
      </c>
    </row>
    <row r="311" spans="19:22" ht="14.25">
      <c r="S311" t="s">
        <v>155</v>
      </c>
      <c r="T311" t="s">
        <v>228</v>
      </c>
      <c r="U311">
        <v>0.1054496799299806</v>
      </c>
      <c r="V311" t="s">
        <v>88</v>
      </c>
    </row>
    <row r="312" spans="19:22" ht="14.25">
      <c r="S312" t="s">
        <v>155</v>
      </c>
      <c r="T312" t="s">
        <v>229</v>
      </c>
      <c r="U312">
        <v>0.12926907665100112</v>
      </c>
      <c r="V312" t="s">
        <v>88</v>
      </c>
    </row>
    <row r="313" spans="19:22" ht="14.25">
      <c r="S313" t="s">
        <v>155</v>
      </c>
      <c r="T313" t="s">
        <v>230</v>
      </c>
      <c r="U313">
        <v>0.024096593871932265</v>
      </c>
      <c r="V313" t="s">
        <v>88</v>
      </c>
    </row>
    <row r="314" spans="19:22" ht="14.25">
      <c r="S314" t="s">
        <v>155</v>
      </c>
      <c r="T314" t="s">
        <v>231</v>
      </c>
      <c r="U314">
        <v>0.095892776870824273</v>
      </c>
      <c r="V314" t="s">
        <v>88</v>
      </c>
    </row>
    <row r="315" spans="19:22" ht="14.25">
      <c r="S315" t="s">
        <v>155</v>
      </c>
      <c r="T315" t="s">
        <v>232</v>
      </c>
      <c r="U315">
        <v>0.10858676542395425</v>
      </c>
      <c r="V315" t="s">
        <v>88</v>
      </c>
    </row>
    <row r="316" spans="19:22" ht="14.25">
      <c r="S316" t="s">
        <v>155</v>
      </c>
      <c r="T316" t="s">
        <v>233</v>
      </c>
      <c r="U316">
        <v>0.02029586243227292</v>
      </c>
      <c r="V316" t="s">
        <v>88</v>
      </c>
    </row>
    <row r="317" spans="19:22" ht="14.25">
      <c r="S317" t="s">
        <v>155</v>
      </c>
      <c r="T317" t="s">
        <v>234</v>
      </c>
      <c r="U317">
        <v>0.12072524680229703</v>
      </c>
      <c r="V317" t="s">
        <v>88</v>
      </c>
    </row>
    <row r="318" spans="19:22" ht="14.25">
      <c r="S318" t="s">
        <v>155</v>
      </c>
      <c r="T318" t="s">
        <v>235</v>
      </c>
      <c r="U318">
        <v>0.1312983423168281</v>
      </c>
      <c r="V318" t="s">
        <v>88</v>
      </c>
    </row>
    <row r="319" spans="19:22" ht="14.25">
      <c r="S319" t="s">
        <v>155</v>
      </c>
      <c r="T319" t="s">
        <v>236</v>
      </c>
      <c r="U319">
        <v>0.024022920954296704</v>
      </c>
      <c r="V319" t="s">
        <v>88</v>
      </c>
    </row>
    <row r="320" spans="19:22" ht="14.25">
      <c r="S320" t="s">
        <v>155</v>
      </c>
      <c r="T320" t="s">
        <v>237</v>
      </c>
      <c r="U320">
        <v>0.1039632014312722</v>
      </c>
      <c r="V320" t="s">
        <v>88</v>
      </c>
    </row>
    <row r="321" spans="19:22" ht="14.25">
      <c r="S321" t="s">
        <v>155</v>
      </c>
      <c r="T321" t="s">
        <v>238</v>
      </c>
      <c r="U321">
        <v>0.11272214068114883</v>
      </c>
      <c r="V321" t="s">
        <v>88</v>
      </c>
    </row>
    <row r="322" spans="19:22" ht="14.25">
      <c r="S322" t="s">
        <v>155</v>
      </c>
      <c r="T322" t="s">
        <v>239</v>
      </c>
      <c r="U322">
        <v>0.02367739263419336</v>
      </c>
      <c r="V322" t="s">
        <v>88</v>
      </c>
    </row>
    <row r="323" spans="19:22" ht="14.25">
      <c r="S323" t="s">
        <v>156</v>
      </c>
      <c r="T323" t="s">
        <v>228</v>
      </c>
      <c r="U323">
        <v>0.12448536922453196</v>
      </c>
      <c r="V323" t="s">
        <v>88</v>
      </c>
    </row>
    <row r="324" spans="19:22" ht="14.25">
      <c r="S324" t="s">
        <v>156</v>
      </c>
      <c r="T324" t="s">
        <v>229</v>
      </c>
      <c r="U324">
        <v>0.11351604290456345</v>
      </c>
      <c r="V324" t="s">
        <v>88</v>
      </c>
    </row>
    <row r="325" spans="19:22" ht="14.25">
      <c r="S325" t="s">
        <v>156</v>
      </c>
      <c r="T325" t="s">
        <v>230</v>
      </c>
      <c r="U325">
        <v>0.02314777885919065</v>
      </c>
      <c r="V325" t="s">
        <v>88</v>
      </c>
    </row>
    <row r="326" spans="19:22" ht="14.25">
      <c r="S326" t="s">
        <v>156</v>
      </c>
      <c r="T326" t="s">
        <v>231</v>
      </c>
      <c r="U326">
        <v>0.10743356419581157</v>
      </c>
      <c r="V326" t="s">
        <v>88</v>
      </c>
    </row>
    <row r="327" spans="19:22" ht="14.25">
      <c r="S327" t="s">
        <v>156</v>
      </c>
      <c r="T327" t="s">
        <v>232</v>
      </c>
      <c r="U327">
        <v>0.11027689919106591</v>
      </c>
      <c r="V327" t="s">
        <v>88</v>
      </c>
    </row>
    <row r="328" spans="19:22" ht="14.25">
      <c r="S328" t="s">
        <v>156</v>
      </c>
      <c r="T328" t="s">
        <v>233</v>
      </c>
      <c r="U328">
        <v>0.020402760120059996</v>
      </c>
      <c r="V328" t="s">
        <v>88</v>
      </c>
    </row>
    <row r="329" spans="19:22" ht="14.25">
      <c r="S329" t="s">
        <v>156</v>
      </c>
      <c r="T329" t="s">
        <v>234</v>
      </c>
      <c r="U329">
        <v>0.12328106157560799</v>
      </c>
      <c r="V329" t="s">
        <v>88</v>
      </c>
    </row>
    <row r="330" spans="19:22" ht="14.25">
      <c r="S330" t="s">
        <v>156</v>
      </c>
      <c r="T330" t="s">
        <v>235</v>
      </c>
      <c r="U330">
        <v>0.12461965990300593</v>
      </c>
      <c r="V330" t="s">
        <v>88</v>
      </c>
    </row>
    <row r="331" spans="19:22" ht="14.25">
      <c r="S331" t="s">
        <v>156</v>
      </c>
      <c r="T331" t="s">
        <v>236</v>
      </c>
      <c r="U331">
        <v>0.022606686170476776</v>
      </c>
      <c r="V331" t="s">
        <v>88</v>
      </c>
    </row>
    <row r="332" spans="19:22" ht="14.25">
      <c r="S332" t="s">
        <v>156</v>
      </c>
      <c r="T332" t="s">
        <v>237</v>
      </c>
      <c r="U332">
        <v>0.10782118842021329</v>
      </c>
      <c r="V332" t="s">
        <v>88</v>
      </c>
    </row>
    <row r="333" spans="19:22" ht="14.25">
      <c r="S333" t="s">
        <v>156</v>
      </c>
      <c r="T333" t="s">
        <v>238</v>
      </c>
      <c r="U333">
        <v>0.10176823351235954</v>
      </c>
      <c r="V333" t="s">
        <v>88</v>
      </c>
    </row>
    <row r="334" spans="19:22" ht="14.25">
      <c r="S334" t="s">
        <v>156</v>
      </c>
      <c r="T334" t="s">
        <v>239</v>
      </c>
      <c r="U334">
        <v>0.020640755923110429</v>
      </c>
      <c r="V334" t="s">
        <v>88</v>
      </c>
    </row>
    <row r="335" spans="19:22" ht="14.25">
      <c r="S335" t="s">
        <v>157</v>
      </c>
      <c r="T335" t="s">
        <v>228</v>
      </c>
      <c r="U335">
        <v>0.11763431210609618</v>
      </c>
      <c r="V335" t="s">
        <v>88</v>
      </c>
    </row>
    <row r="336" spans="19:22" ht="14.25">
      <c r="S336" t="s">
        <v>157</v>
      </c>
      <c r="T336" t="s">
        <v>229</v>
      </c>
      <c r="U336">
        <v>0.1203234673977573</v>
      </c>
      <c r="V336" t="s">
        <v>88</v>
      </c>
    </row>
    <row r="337" spans="19:22" ht="14.25">
      <c r="S337" t="s">
        <v>157</v>
      </c>
      <c r="T337" t="s">
        <v>230</v>
      </c>
      <c r="U337">
        <v>0.02447745299790317</v>
      </c>
      <c r="V337" t="s">
        <v>88</v>
      </c>
    </row>
    <row r="338" spans="19:22" ht="14.25">
      <c r="S338" t="s">
        <v>157</v>
      </c>
      <c r="T338" t="s">
        <v>231</v>
      </c>
      <c r="U338">
        <v>0.10987794175253715</v>
      </c>
      <c r="V338" t="s">
        <v>88</v>
      </c>
    </row>
    <row r="339" spans="19:22" ht="14.25">
      <c r="S339" t="s">
        <v>157</v>
      </c>
      <c r="T339" t="s">
        <v>232</v>
      </c>
      <c r="U339">
        <v>0.11341509891042538</v>
      </c>
      <c r="V339" t="s">
        <v>88</v>
      </c>
    </row>
    <row r="340" spans="19:22" ht="14.25">
      <c r="S340" t="s">
        <v>157</v>
      </c>
      <c r="T340" t="s">
        <v>233</v>
      </c>
      <c r="U340">
        <v>0.021576870622846321</v>
      </c>
      <c r="V340" t="s">
        <v>88</v>
      </c>
    </row>
    <row r="341" spans="19:22" ht="14.25">
      <c r="S341" t="s">
        <v>157</v>
      </c>
      <c r="T341" t="s">
        <v>234</v>
      </c>
      <c r="U341">
        <v>0.12178213844281963</v>
      </c>
      <c r="V341" t="s">
        <v>88</v>
      </c>
    </row>
    <row r="342" spans="19:22" ht="14.25">
      <c r="S342" t="s">
        <v>157</v>
      </c>
      <c r="T342" t="s">
        <v>235</v>
      </c>
      <c r="U342">
        <v>0.12242404469213866</v>
      </c>
      <c r="V342" t="s">
        <v>88</v>
      </c>
    </row>
    <row r="343" spans="19:22" ht="14.25">
      <c r="S343" t="s">
        <v>157</v>
      </c>
      <c r="T343" t="s">
        <v>236</v>
      </c>
      <c r="U343">
        <v>0.023454982965141227</v>
      </c>
      <c r="V343" t="s">
        <v>88</v>
      </c>
    </row>
    <row r="344" spans="19:22" ht="14.25">
      <c r="S344" t="s">
        <v>157</v>
      </c>
      <c r="T344" t="s">
        <v>237</v>
      </c>
      <c r="U344">
        <v>0.10406043685697461</v>
      </c>
      <c r="V344" t="s">
        <v>88</v>
      </c>
    </row>
    <row r="345" spans="19:22" ht="14.25">
      <c r="S345" t="s">
        <v>157</v>
      </c>
      <c r="T345" t="s">
        <v>238</v>
      </c>
      <c r="U345">
        <v>0.10103101436992554</v>
      </c>
      <c r="V345" t="s">
        <v>88</v>
      </c>
    </row>
    <row r="346" spans="19:22" ht="14.25">
      <c r="S346" t="s">
        <v>157</v>
      </c>
      <c r="T346" t="s">
        <v>239</v>
      </c>
      <c r="U346">
        <v>0.019942238885436787</v>
      </c>
      <c r="V346" t="s">
        <v>88</v>
      </c>
    </row>
    <row r="347" spans="19:22" ht="14.25">
      <c r="S347" t="s">
        <v>158</v>
      </c>
      <c r="T347" t="s">
        <v>228</v>
      </c>
      <c r="U347">
        <v>0.098836166490462382</v>
      </c>
      <c r="V347" t="s">
        <v>88</v>
      </c>
    </row>
    <row r="348" spans="19:22" ht="14.25">
      <c r="S348" t="s">
        <v>158</v>
      </c>
      <c r="T348" t="s">
        <v>229</v>
      </c>
      <c r="U348">
        <v>0.12066860219860735</v>
      </c>
      <c r="V348" t="s">
        <v>88</v>
      </c>
    </row>
    <row r="349" spans="19:22" ht="14.25">
      <c r="S349" t="s">
        <v>158</v>
      </c>
      <c r="T349" t="s">
        <v>230</v>
      </c>
      <c r="U349">
        <v>0.019469831077335326</v>
      </c>
      <c r="V349" t="s">
        <v>88</v>
      </c>
    </row>
    <row r="350" spans="19:22" ht="14.25">
      <c r="S350" t="s">
        <v>158</v>
      </c>
      <c r="T350" t="s">
        <v>231</v>
      </c>
      <c r="U350">
        <v>0.11066616686766956</v>
      </c>
      <c r="V350" t="s">
        <v>88</v>
      </c>
    </row>
    <row r="351" spans="19:22" ht="14.25">
      <c r="S351" t="s">
        <v>158</v>
      </c>
      <c r="T351" t="s">
        <v>232</v>
      </c>
      <c r="U351">
        <v>0.11380875152207968</v>
      </c>
      <c r="V351" t="s">
        <v>88</v>
      </c>
    </row>
    <row r="352" spans="19:22" ht="14.25">
      <c r="S352" t="s">
        <v>158</v>
      </c>
      <c r="T352" t="s">
        <v>233</v>
      </c>
      <c r="U352">
        <v>0.019635349030859589</v>
      </c>
      <c r="V352" t="s">
        <v>88</v>
      </c>
    </row>
    <row r="353" spans="19:22" ht="14.25">
      <c r="S353" t="s">
        <v>158</v>
      </c>
      <c r="T353" t="s">
        <v>234</v>
      </c>
      <c r="U353">
        <v>0.12449081179928249</v>
      </c>
      <c r="V353" t="s">
        <v>88</v>
      </c>
    </row>
    <row r="354" spans="19:22" ht="14.25">
      <c r="S354" t="s">
        <v>158</v>
      </c>
      <c r="T354" t="s">
        <v>235</v>
      </c>
      <c r="U354">
        <v>0.1268626086834829</v>
      </c>
      <c r="V354" t="s">
        <v>88</v>
      </c>
    </row>
    <row r="355" spans="19:22" ht="14.25">
      <c r="S355" t="s">
        <v>158</v>
      </c>
      <c r="T355" t="s">
        <v>236</v>
      </c>
      <c r="U355">
        <v>0.023089069773450561</v>
      </c>
      <c r="V355" t="s">
        <v>88</v>
      </c>
    </row>
    <row r="356" spans="19:22" ht="14.25">
      <c r="S356" t="s">
        <v>158</v>
      </c>
      <c r="T356" t="s">
        <v>237</v>
      </c>
      <c r="U356">
        <v>0.11339871525903476</v>
      </c>
      <c r="V356" t="s">
        <v>88</v>
      </c>
    </row>
    <row r="357" spans="19:22" ht="14.25">
      <c r="S357" t="s">
        <v>158</v>
      </c>
      <c r="T357" t="s">
        <v>238</v>
      </c>
      <c r="U357">
        <v>0.10906697221795497</v>
      </c>
      <c r="V357" t="s">
        <v>88</v>
      </c>
    </row>
    <row r="358" spans="19:22" ht="14.25">
      <c r="S358" t="s">
        <v>158</v>
      </c>
      <c r="T358" t="s">
        <v>239</v>
      </c>
      <c r="U358">
        <v>0.020006955079779454</v>
      </c>
      <c r="V358" t="s">
        <v>88</v>
      </c>
    </row>
    <row r="359" spans="19:22" ht="14.25">
      <c r="S359" t="s">
        <v>159</v>
      </c>
      <c r="T359" t="s">
        <v>228</v>
      </c>
      <c r="U359">
        <v>0.11375978564095607</v>
      </c>
      <c r="V359" t="s">
        <v>88</v>
      </c>
    </row>
    <row r="360" spans="19:22" ht="14.25">
      <c r="S360" t="s">
        <v>159</v>
      </c>
      <c r="T360" t="s">
        <v>229</v>
      </c>
      <c r="U360">
        <v>0.12221889818308286</v>
      </c>
      <c r="V360" t="s">
        <v>88</v>
      </c>
    </row>
    <row r="361" spans="19:22" ht="14.25">
      <c r="S361" t="s">
        <v>159</v>
      </c>
      <c r="T361" t="s">
        <v>230</v>
      </c>
      <c r="U361">
        <v>0.020083765112268951</v>
      </c>
      <c r="V361" t="s">
        <v>88</v>
      </c>
    </row>
    <row r="362" spans="19:22" ht="14.25">
      <c r="S362" t="s">
        <v>159</v>
      </c>
      <c r="T362" t="s">
        <v>231</v>
      </c>
      <c r="U362">
        <v>0.10768378398079843</v>
      </c>
      <c r="V362" t="s">
        <v>88</v>
      </c>
    </row>
    <row r="363" spans="19:22" ht="14.25">
      <c r="S363" t="s">
        <v>159</v>
      </c>
      <c r="T363" t="s">
        <v>232</v>
      </c>
      <c r="U363">
        <v>0.11137506327831019</v>
      </c>
      <c r="V363" t="s">
        <v>88</v>
      </c>
    </row>
    <row r="364" spans="19:22" ht="14.25">
      <c r="S364" t="s">
        <v>159</v>
      </c>
      <c r="T364" t="s">
        <v>233</v>
      </c>
      <c r="U364">
        <v>0.019053419819596067</v>
      </c>
      <c r="V364" t="s">
        <v>88</v>
      </c>
    </row>
    <row r="365" spans="19:22" ht="14.25">
      <c r="S365" t="s">
        <v>159</v>
      </c>
      <c r="T365" t="s">
        <v>234</v>
      </c>
      <c r="U365">
        <v>0.1231603463811822</v>
      </c>
      <c r="V365" t="s">
        <v>88</v>
      </c>
    </row>
    <row r="366" spans="19:22" ht="14.25">
      <c r="S366" t="s">
        <v>159</v>
      </c>
      <c r="T366" t="s">
        <v>235</v>
      </c>
      <c r="U366">
        <v>0.12829246465487545</v>
      </c>
      <c r="V366" t="s">
        <v>88</v>
      </c>
    </row>
    <row r="367" spans="19:22" ht="14.25">
      <c r="S367" t="s">
        <v>159</v>
      </c>
      <c r="T367" t="s">
        <v>236</v>
      </c>
      <c r="U367">
        <v>0.022807034991517577</v>
      </c>
      <c r="V367" t="s">
        <v>88</v>
      </c>
    </row>
    <row r="368" spans="19:22" ht="14.25">
      <c r="S368" t="s">
        <v>159</v>
      </c>
      <c r="T368" t="s">
        <v>237</v>
      </c>
      <c r="U368">
        <v>0.10648821446666115</v>
      </c>
      <c r="V368" t="s">
        <v>88</v>
      </c>
    </row>
    <row r="369" spans="19:22" ht="14.25">
      <c r="S369" t="s">
        <v>159</v>
      </c>
      <c r="T369" t="s">
        <v>238</v>
      </c>
      <c r="U369">
        <v>0.1061659390361611</v>
      </c>
      <c r="V369" t="s">
        <v>88</v>
      </c>
    </row>
    <row r="370" spans="19:22" ht="14.25">
      <c r="S370" t="s">
        <v>159</v>
      </c>
      <c r="T370" t="s">
        <v>239</v>
      </c>
      <c r="U370">
        <v>0.018911284454586497</v>
      </c>
      <c r="V370" t="s">
        <v>88</v>
      </c>
    </row>
    <row r="371" spans="19:22" ht="14.25">
      <c r="S371" t="s">
        <v>160</v>
      </c>
      <c r="T371" t="s">
        <v>228</v>
      </c>
      <c r="U371">
        <v>0.12410705123386702</v>
      </c>
      <c r="V371" t="s">
        <v>88</v>
      </c>
    </row>
    <row r="372" spans="19:22" ht="14.25">
      <c r="S372" t="s">
        <v>160</v>
      </c>
      <c r="T372" t="s">
        <v>229</v>
      </c>
      <c r="U372">
        <v>0.12944192455092618</v>
      </c>
      <c r="V372" t="s">
        <v>88</v>
      </c>
    </row>
    <row r="373" spans="19:22" ht="14.25">
      <c r="S373" t="s">
        <v>160</v>
      </c>
      <c r="T373" t="s">
        <v>230</v>
      </c>
      <c r="U373">
        <v>0.021778649065768162</v>
      </c>
      <c r="V373" t="s">
        <v>88</v>
      </c>
    </row>
    <row r="374" spans="19:22" ht="14.25">
      <c r="S374" t="s">
        <v>160</v>
      </c>
      <c r="T374" t="s">
        <v>231</v>
      </c>
      <c r="U374">
        <v>0.10352260452379709</v>
      </c>
      <c r="V374" t="s">
        <v>88</v>
      </c>
    </row>
    <row r="375" spans="19:22" ht="14.25">
      <c r="S375" t="s">
        <v>160</v>
      </c>
      <c r="T375" t="s">
        <v>232</v>
      </c>
      <c r="U375">
        <v>0.10413240206888788</v>
      </c>
      <c r="V375" t="s">
        <v>88</v>
      </c>
    </row>
    <row r="376" spans="19:22" ht="14.25">
      <c r="S376" t="s">
        <v>160</v>
      </c>
      <c r="T376" t="s">
        <v>233</v>
      </c>
      <c r="U376">
        <v>0.019582539810636894</v>
      </c>
      <c r="V376" t="s">
        <v>88</v>
      </c>
    </row>
    <row r="377" spans="19:22" ht="14.25">
      <c r="S377" t="s">
        <v>160</v>
      </c>
      <c r="T377" t="s">
        <v>234</v>
      </c>
      <c r="U377">
        <v>0.1274397380955464</v>
      </c>
      <c r="V377" t="s">
        <v>88</v>
      </c>
    </row>
    <row r="378" spans="19:22" ht="14.25">
      <c r="S378" t="s">
        <v>160</v>
      </c>
      <c r="T378" t="s">
        <v>235</v>
      </c>
      <c r="U378">
        <v>0.12943128057264744</v>
      </c>
      <c r="V378" t="s">
        <v>88</v>
      </c>
    </row>
    <row r="379" spans="19:22" ht="14.25">
      <c r="S379" t="s">
        <v>160</v>
      </c>
      <c r="T379" t="s">
        <v>236</v>
      </c>
      <c r="U379">
        <v>0.022665736868761648</v>
      </c>
      <c r="V379" t="s">
        <v>88</v>
      </c>
    </row>
    <row r="380" spans="19:22" ht="14.25">
      <c r="S380" t="s">
        <v>160</v>
      </c>
      <c r="T380" t="s">
        <v>237</v>
      </c>
      <c r="U380">
        <v>0.094991087532311974</v>
      </c>
      <c r="V380" t="s">
        <v>88</v>
      </c>
    </row>
    <row r="381" spans="19:22" ht="14.25">
      <c r="S381" t="s">
        <v>160</v>
      </c>
      <c r="T381" t="s">
        <v>238</v>
      </c>
      <c r="U381">
        <v>0.10401307087588325</v>
      </c>
      <c r="V381" t="s">
        <v>88</v>
      </c>
    </row>
    <row r="382" spans="19:22" ht="14.25">
      <c r="S382" t="s">
        <v>160</v>
      </c>
      <c r="T382" t="s">
        <v>239</v>
      </c>
      <c r="U382">
        <v>0.01889391480096313</v>
      </c>
      <c r="V382" t="s">
        <v>88</v>
      </c>
    </row>
    <row r="383" spans="19:22" ht="14.25">
      <c r="S383" t="s">
        <v>161</v>
      </c>
      <c r="T383" t="s">
        <v>228</v>
      </c>
      <c r="U383">
        <v>0.13787935340451626</v>
      </c>
      <c r="V383" t="s">
        <v>88</v>
      </c>
    </row>
    <row r="384" spans="19:22" ht="14.25">
      <c r="S384" t="s">
        <v>161</v>
      </c>
      <c r="T384" t="s">
        <v>229</v>
      </c>
      <c r="U384">
        <v>0.13532130613941329</v>
      </c>
      <c r="V384" t="s">
        <v>88</v>
      </c>
    </row>
    <row r="385" spans="19:22" ht="14.25">
      <c r="S385" t="s">
        <v>161</v>
      </c>
      <c r="T385" t="s">
        <v>230</v>
      </c>
      <c r="U385">
        <v>0.027659005594295728</v>
      </c>
      <c r="V385" t="s">
        <v>88</v>
      </c>
    </row>
    <row r="386" spans="19:22" ht="14.25">
      <c r="S386" t="s">
        <v>161</v>
      </c>
      <c r="T386" t="s">
        <v>231</v>
      </c>
      <c r="U386">
        <v>0.096566794836813477</v>
      </c>
      <c r="V386" t="s">
        <v>88</v>
      </c>
    </row>
    <row r="387" spans="19:22" ht="14.25">
      <c r="S387" t="s">
        <v>161</v>
      </c>
      <c r="T387" t="s">
        <v>232</v>
      </c>
      <c r="U387">
        <v>0.095199974744647142</v>
      </c>
      <c r="V387" t="s">
        <v>88</v>
      </c>
    </row>
    <row r="388" spans="19:22" ht="14.25">
      <c r="S388" t="s">
        <v>161</v>
      </c>
      <c r="T388" t="s">
        <v>233</v>
      </c>
      <c r="U388">
        <v>0.01846170478855836</v>
      </c>
      <c r="V388" t="s">
        <v>88</v>
      </c>
    </row>
    <row r="389" spans="19:22" ht="14.25">
      <c r="S389" t="s">
        <v>161</v>
      </c>
      <c r="T389" t="s">
        <v>234</v>
      </c>
      <c r="U389">
        <v>0.12089493717642846</v>
      </c>
      <c r="V389" t="s">
        <v>88</v>
      </c>
    </row>
    <row r="390" spans="19:22" ht="14.25">
      <c r="S390" t="s">
        <v>161</v>
      </c>
      <c r="T390" t="s">
        <v>235</v>
      </c>
      <c r="U390">
        <v>0.12343710110190614</v>
      </c>
      <c r="V390" t="s">
        <v>88</v>
      </c>
    </row>
    <row r="391" spans="19:22" ht="14.25">
      <c r="S391" t="s">
        <v>161</v>
      </c>
      <c r="T391" t="s">
        <v>236</v>
      </c>
      <c r="U391">
        <v>0.023009658713639594</v>
      </c>
      <c r="V391" t="s">
        <v>88</v>
      </c>
    </row>
    <row r="392" spans="19:22" ht="14.25">
      <c r="S392" t="s">
        <v>161</v>
      </c>
      <c r="T392" t="s">
        <v>237</v>
      </c>
      <c r="U392">
        <v>0.098119292100332683</v>
      </c>
      <c r="V392" t="s">
        <v>88</v>
      </c>
    </row>
    <row r="393" spans="19:22" ht="14.25">
      <c r="S393" t="s">
        <v>161</v>
      </c>
      <c r="T393" t="s">
        <v>238</v>
      </c>
      <c r="U393">
        <v>0.10264000684374516</v>
      </c>
      <c r="V393" t="s">
        <v>88</v>
      </c>
    </row>
    <row r="394" spans="19:22" ht="14.25">
      <c r="S394" t="s">
        <v>161</v>
      </c>
      <c r="T394" t="s">
        <v>239</v>
      </c>
      <c r="U394">
        <v>0.020810864555702555</v>
      </c>
      <c r="V394" t="s">
        <v>88</v>
      </c>
    </row>
    <row r="395" spans="19:22" ht="14.25">
      <c r="S395" t="s">
        <v>162</v>
      </c>
      <c r="T395" t="s">
        <v>228</v>
      </c>
      <c r="U395">
        <v>0.12991707634764427</v>
      </c>
      <c r="V395" t="s">
        <v>88</v>
      </c>
    </row>
    <row r="396" spans="19:22" ht="14.25">
      <c r="S396" t="s">
        <v>162</v>
      </c>
      <c r="T396" t="s">
        <v>229</v>
      </c>
      <c r="U396">
        <v>0.12540959269875013</v>
      </c>
      <c r="V396" t="s">
        <v>88</v>
      </c>
    </row>
    <row r="397" spans="19:22" ht="14.25">
      <c r="S397" t="s">
        <v>162</v>
      </c>
      <c r="T397" t="s">
        <v>230</v>
      </c>
      <c r="U397">
        <v>0.0239722436118989</v>
      </c>
      <c r="V397" t="s">
        <v>88</v>
      </c>
    </row>
    <row r="398" spans="19:22" ht="14.25">
      <c r="S398" t="s">
        <v>162</v>
      </c>
      <c r="T398" t="s">
        <v>231</v>
      </c>
      <c r="U398">
        <v>0.10539268647178159</v>
      </c>
      <c r="V398" t="s">
        <v>88</v>
      </c>
    </row>
    <row r="399" spans="19:22" ht="14.25">
      <c r="S399" t="s">
        <v>162</v>
      </c>
      <c r="T399" t="s">
        <v>232</v>
      </c>
      <c r="U399">
        <v>0.10458537913397814</v>
      </c>
      <c r="V399" t="s">
        <v>88</v>
      </c>
    </row>
    <row r="400" spans="19:22" ht="14.25">
      <c r="S400" t="s">
        <v>162</v>
      </c>
      <c r="T400" t="s">
        <v>233</v>
      </c>
      <c r="U400">
        <v>0.020120261229496381</v>
      </c>
      <c r="V400" t="s">
        <v>88</v>
      </c>
    </row>
    <row r="401" spans="19:22" ht="14.25">
      <c r="S401" t="s">
        <v>162</v>
      </c>
      <c r="T401" t="s">
        <v>234</v>
      </c>
      <c r="U401">
        <v>0.11396276265193385</v>
      </c>
      <c r="V401" t="s">
        <v>88</v>
      </c>
    </row>
    <row r="402" spans="19:22" ht="14.25">
      <c r="S402" t="s">
        <v>162</v>
      </c>
      <c r="T402" t="s">
        <v>235</v>
      </c>
      <c r="U402">
        <v>0.11701108862156309</v>
      </c>
      <c r="V402" t="s">
        <v>88</v>
      </c>
    </row>
    <row r="403" spans="19:22" ht="14.25">
      <c r="S403" t="s">
        <v>162</v>
      </c>
      <c r="T403" t="s">
        <v>236</v>
      </c>
      <c r="U403">
        <v>0.020812851671103486</v>
      </c>
      <c r="V403" t="s">
        <v>88</v>
      </c>
    </row>
    <row r="404" spans="19:22" ht="14.25">
      <c r="S404" t="s">
        <v>162</v>
      </c>
      <c r="T404" t="s">
        <v>237</v>
      </c>
      <c r="U404">
        <v>0.10807638094363586</v>
      </c>
      <c r="V404" t="s">
        <v>88</v>
      </c>
    </row>
    <row r="405" spans="19:22" ht="14.25">
      <c r="S405" t="s">
        <v>162</v>
      </c>
      <c r="T405" t="s">
        <v>238</v>
      </c>
      <c r="U405">
        <v>0.10882604918140559</v>
      </c>
      <c r="V405" t="s">
        <v>88</v>
      </c>
    </row>
    <row r="406" spans="19:22" ht="14.25">
      <c r="S406" t="s">
        <v>162</v>
      </c>
      <c r="T406" t="s">
        <v>239</v>
      </c>
      <c r="U406">
        <v>0.021913627436802904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2025-07-17T06:23:24Z</dcterms:created>
  <dcterms:modified xsi:type="dcterms:W3CDTF">2025-10-06T13:15:01Z</dcterms:modified>
  <cp:category/>
</cp:coreProperties>
</file>