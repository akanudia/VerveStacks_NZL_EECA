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9A04340E-EC8E-4AC2-9A05-3DD333C76B28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7" i="155" l="1"/>
  <c r="O56" i="155"/>
  <c r="O55" i="155"/>
  <c r="O54" i="155"/>
  <c r="O53" i="155"/>
  <c r="O52" i="155"/>
  <c r="O51" i="155"/>
  <c r="Q52" i="155"/>
  <c r="Q56" i="155"/>
  <c r="Q51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X72" i="155" s="1"/>
  <c r="P72" i="155"/>
  <c r="I73" i="155" l="1"/>
  <c r="P73" i="155"/>
  <c r="M72" i="155"/>
  <c r="X73" i="155" l="1"/>
  <c r="X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Z70" i="155" s="1"/>
  <c r="K71" i="155" l="1"/>
  <c r="L71" i="155" l="1"/>
  <c r="Z71" i="155" s="1"/>
  <c r="K72" i="155"/>
  <c r="K73" i="155" l="1"/>
  <c r="L72" i="155"/>
  <c r="L73" i="155" l="1"/>
  <c r="I75" i="155"/>
  <c r="I76" i="155"/>
  <c r="F51" i="155"/>
  <c r="V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Z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V59" i="155" s="1"/>
  <c r="I53" i="155"/>
  <c r="L53" i="155" s="1"/>
  <c r="L54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X69" i="155" s="1"/>
  <c r="G69" i="155"/>
  <c r="N69" i="155"/>
  <c r="F70" i="155"/>
  <c r="X70" i="155" s="1"/>
  <c r="G70" i="155"/>
  <c r="N70" i="155"/>
  <c r="F71" i="155"/>
  <c r="X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M65" i="155" l="1"/>
  <c r="M68" i="155"/>
  <c r="M71" i="155"/>
  <c r="I63" i="155"/>
  <c r="L63" i="155" s="1"/>
  <c r="L64" i="155" s="1"/>
  <c r="I64" i="155" s="1"/>
  <c r="T59" i="155"/>
  <c r="T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<sst xmlns="http://schemas.openxmlformats.org/spreadsheetml/2006/main" count="936" uniqueCount="366">
  <si>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</si>
  <si>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</si>
  <si>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</si>
  <si>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</si>
  <si>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</si>
  <si>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</si>
  <si>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</si>
  <si>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</si>
  <si>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</si>
  <si>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</si>
  <si>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</si>
  <si>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</si>
  <si>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</si>
  <si>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</si>
  <si>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</si>
  <si>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</si>
  <si>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</si>
  <si>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</si>
  <si>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</si>
  <si>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</si>
  <si>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</si>
  <si>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</si>
  <si>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</si>
  <si>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</si>
  <si>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</si>
  <si>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</si>
  <si>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</si>
  <si>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</si>
  <si>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</si>
  <si>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</si>
  <si>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</si>
  <si>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</si>
  <si>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</si>
  <si>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</si>
  <si>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</si>
  <si>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</si>
  <si>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</si>
  <si>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</si>
  <si>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</si>
  <si>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</si>
  <si>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</si>
  <si>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</si>
  <si>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</si>
  <si>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</si>
  <si>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</si>
  <si>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</si>
  <si>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</si>
  <si>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</si>
  <si>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</si>
  <si>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</si>
  <si>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</si>
  <si>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</si>
  <si>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</si>
  <si>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</si>
  <si>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</si>
  <si>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</si>
  <si>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</si>
  <si>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</si>
  <si>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</si>
  <si>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</si>
  <si>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</si>
  <si>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</si>
  <si>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</si>
  <si>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</si>
  <si>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</si>
  <si>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</si>
  <si>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</si>
  <si>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</si>
  <si>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</si>
  <si>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</si>
  <si>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</si>
  <si>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</si>
  <si>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</si>
  <si>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</si>
  <si>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</si>
  <si>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</si>
  <si>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</si>
  <si>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</si>
  <si>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</si>
  <si>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</si>
  <si>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</si>
  <si>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</si>
  <si>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</si>
  <si>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</si>
  <si>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</si>
  <si>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</si>
  <si>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</si>
  <si>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</si>
  <si>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</si>
  <si>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</si>
  <si>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</si>
  <si>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</si>
  <si>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</si>
  <si>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</si>
  <si>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</si>
  <si>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</si>
  <si>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</si>
  <si>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</si>
  <si>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</si>
  <si>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</si>
  <si>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</si>
  <si>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</si>
  <si>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</si>
  <si>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</si>
  <si>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</si>
  <si>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</si>
  <si>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</si>
  <si>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</si>
  <si>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</si>
  <si>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</si>
  <si>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</si>
  <si>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</si>
  <si>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</si>
  <si>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</si>
  <si>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</si>
  <si>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</si>
  <si>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</si>
  <si>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</si>
  <si>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</si>
  <si>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</si>
  <si>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</si>
  <si>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</si>
  <si>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</si>
  <si>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</si>
  <si>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</si>
  <si>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</si>
  <si>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</si>
  <si>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</si>
  <si>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</si>
  <si>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</si>
  <si>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</si>
  <si>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</si>
  <si>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</si>
  <si>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</si>
  <si>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</si>
  <si>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</si>
  <si>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</si>
  <si>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</si>
  <si>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</si>
  <si>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</si>
  <si>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</si>
  <si>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</si>
  <si>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</si>
  <si>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</si>
  <si>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</si>
  <si>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</si>
  <si>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</si>
  <si>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</si>
  <si>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</si>
  <si>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</si>
  <si>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</si>
  <si>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</si>
  <si>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</si>
  <si>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</si>
  <si>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</si>
  <si>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</si>
  <si>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</si>
  <si>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</si>
  <si>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</si>
  <si>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</si>
  <si>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</si>
  <si>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</si>
  <si>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</si>
  <si>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</si>
  <si>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</si>
  <si>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</si>
  <si>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</si>
  <si>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</si>
  <si>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</si>
  <si>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</si>
  <si>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</si>
  <si>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</si>
  <si>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</si>
  <si>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</si>
  <si>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</si>
  <si>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</si>
  <si>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</si>
  <si>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</si>
  <si>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</si>
  <si>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</si>
  <si>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</si>
  <si>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</si>
  <si>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</si>
  <si>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</si>
  <si>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</si>
  <si>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</si>
  <si>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</si>
  <si>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</si>
  <si>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</si>
  <si>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</si>
  <si>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</si>
  <si>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</si>
  <si>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</si>
  <si>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</si>
  <si>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</si>
  <si>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</si>
  <si>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</si>
  <si>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</si>
  <si>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</si>
  <si>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</si>
  <si>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</si>
  <si>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</si>
  <si>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</si>
  <si>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</si>
  <si>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</si>
  <si>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</si>
  <si>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</si>
  <si>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</si>
  <si>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</si>
  <si>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</si>
  <si>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</si>
  <si>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</si>
  <si>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</si>
  <si>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</si>
  <si>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</si>
  <si>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</si>
  <si>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</si>
  <si>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</si>
  <si>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</si>
  <si>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</si>
  <si>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</si>
  <si>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</si>
  <si>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</si>
  <si>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</si>
  <si>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</si>
  <si>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</si>
  <si>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</si>
  <si>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</si>
  <si>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</si>
  <si>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</si>
  <si>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</si>
  <si>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</si>
  <si>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</si>
  <si>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</si>
  <si>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</si>
  <si>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</si>
  <si>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</si>
  <si>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</si>
  <si>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</si>
  <si>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</si>
  <si>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</si>
  <si>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</si>
  <si>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</si>
  <si>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</si>
  <si>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</si>
  <si>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</si>
  <si>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</si>
  <si>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</si>
  <si>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</si>
  <si>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</si>
  <si>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</si>
  <si>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</si>
  <si>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</si>
  <si>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</si>
  <si>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</si>
  <si>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</si>
  <si>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</si>
  <si>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</si>
  <si>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</si>
  <si>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</si>
  <si>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</si>
  <si>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</si>
  <si>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</si>
  <si>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</si>
  <si>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</si>
  <si>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</si>
  <si>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</si>
  <si>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</si>
  <si>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</si>
  <si>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</si>
  <si>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</si>
  <si>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</si>
  <si>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</si>
  <si>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</si>
  <si>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</si>
  <si>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</si>
  <si>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</si>
  <si>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</si>
  <si>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</si>
  <si>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</si>
  <si>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</si>
  <si>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</si>
  <si>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</si>
  <si>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</si>
  <si>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</si>
  <si>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</si>
  <si>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</si>
  <si>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</si>
  <si>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</si>
  <si>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</si>
  <si>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</si>
  <si>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</si>
  <si>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</si>
  <si>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</si>
  <si>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</si>
  <si>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</si>
  <si>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</si>
  <si>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</si>
  <si>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</si>
  <si>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</si>
  <si>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</si>
  <si>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</si>
  <si>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</si>
  <si>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</si>
  <si>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</si>
  <si>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</si>
  <si>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</si>
  <si>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</si>
  <si>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</si>
  <si>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</si>
  <si>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</si>
  <si>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</si>
  <si>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</si>
  <si>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</si>
  <si>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</si>
  <si>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</si>
  <si>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</si>
  <si>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</si>
  <si>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</si>
  <si>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</si>
  <si>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</si>
  <si>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</si>
  <si>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</si>
  <si>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</si>
  <si>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</si>
  <si>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</si>
  <si>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</si>
  <si>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</si>
  <si>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</si>
  <si>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</si>
  <si>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</si>
  <si>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</si>
  <si>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</si>
  <si>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</si>
  <si>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</si>
  <si>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</si>
  <si>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</si>
  <si>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</si>
  <si>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</si>
  <si>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</si>
  <si>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</si>
  <si>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</si>
  <si>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</si>
  <si>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</si>
  <si>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</si>
  <si>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</si>
  <si>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</si>
  <si>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</si>
  <si>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</si>
  <si>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</si>
  <si>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</si>
  <si>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</si>
  <si>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</si>
  <si>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</si>
  <si>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</si>
  <si>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</si>
  <si>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</si>
  <si>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</si>
  <si>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</si>
  <si>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</si>
  <si>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</si>
  <si>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</si>
  <si>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</si>
  <si>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</si>
  <si>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</si>
  <si>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NCAP_AFA~2024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</si>
</sst>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2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10" fontId="59" fillId="108" borderId="24" xfId="36094" applyNumberFormat="1" applyFont="1" applyFill="1" applyBorder="1"/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2" t="s">
        <v>201</v>
      </c>
      <c r="C5" s="289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87"/>
      <c r="C6" s="290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87"/>
      <c r="C7" s="290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87"/>
      <c r="C8" s="290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87"/>
      <c r="C9" s="290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87"/>
      <c r="C10" s="290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87"/>
      <c r="C11" s="290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87"/>
      <c r="C12" s="291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87"/>
      <c r="C13" s="289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87"/>
      <c r="C14" s="290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293"/>
      <c r="C15" s="294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293"/>
      <c r="C16" s="294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293"/>
      <c r="C17" s="291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86" t="s">
        <v>213</v>
      </c>
      <c r="C18" s="289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87"/>
      <c r="C19" s="290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87"/>
      <c r="C20" s="291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88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86" t="s">
        <v>217</v>
      </c>
      <c r="C23" s="289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87"/>
      <c r="C24" s="290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88"/>
      <c r="C25" s="291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95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96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95" t="s">
        <v>225</v>
      </c>
      <c r="C29" s="298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97"/>
      <c r="C30" s="299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97"/>
      <c r="C31" s="294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96"/>
      <c r="C32" s="300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95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96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B28" zoomScaleNormal="100" workbookViewId="0">
      <selection activeCell="O52" sqref="O52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365</v>
      </c>
      <c r="P48" s="120" t="s">
        <v>274</v>
      </c>
      <c r="Q48" s="119" t="s">
        <v>364</v>
      </c>
      <c r="R48" s="119" t="s">
        <v>275</v>
      </c>
      <c r="S48" s="119" t="s">
        <v>276</v>
      </c>
      <c r="T48" s="119" t="s">
        <v>261</v>
      </c>
      <c r="U48" s="119" t="s">
        <v>262</v>
      </c>
      <c r="V48" s="119" t="s">
        <v>295</v>
      </c>
    </row>
    <row r="49" spans="2:34" ht="46.5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O49" s="122"/>
      <c r="P49" s="124" t="s">
        <v>247</v>
      </c>
      <c r="Q49" s="122" t="s">
        <v>248</v>
      </c>
      <c r="R49" s="122" t="s">
        <v>252</v>
      </c>
      <c r="S49" s="122" t="s">
        <v>248</v>
      </c>
      <c r="T49" s="122" t="s">
        <v>250</v>
      </c>
      <c r="U49" s="122" t="s">
        <v>251</v>
      </c>
      <c r="V49" s="122" t="s">
        <v>296</v>
      </c>
    </row>
    <row r="50" spans="2:34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O50" s="122"/>
      <c r="P50" s="124" t="s">
        <v>279</v>
      </c>
      <c r="Q50" s="124" t="s">
        <v>279</v>
      </c>
      <c r="R50" s="124" t="s">
        <v>279</v>
      </c>
      <c r="S50" s="124" t="s">
        <v>279</v>
      </c>
      <c r="T50" s="122" t="s">
        <v>244</v>
      </c>
      <c r="U50" s="122"/>
      <c r="V50" s="122" t="s">
        <v>244</v>
      </c>
    </row>
    <row r="51" spans="2:34" ht="15.75" customHeight="1">
      <c r="B51" s="301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285">
        <f>L51*40/45</f>
        <v>0.11829255786361929</v>
      </c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3"/>
      <c r="T51" s="113"/>
      <c r="U51" s="113"/>
      <c r="V51" s="113"/>
      <c r="W51" s="48"/>
      <c r="X51" s="50"/>
      <c r="Y51" s="50"/>
      <c r="Z51" s="156"/>
      <c r="AD51" s="172"/>
      <c r="AE51" s="172"/>
    </row>
    <row r="52" spans="2:34" ht="15.75" customHeight="1">
      <c r="B52" s="301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285">
        <f>L52*40/45</f>
        <v>0.14802354302087012</v>
      </c>
      <c r="P52" s="193">
        <f>+EECA_data_18!N6*EECA_data_18!S6</f>
        <v>209.84328680851149</v>
      </c>
      <c r="Q52" s="112">
        <f>1020*$S$39*0.2</f>
        <v>143.71433786363852</v>
      </c>
      <c r="R52" s="112">
        <v>0</v>
      </c>
      <c r="S52" s="113"/>
      <c r="T52" s="113"/>
      <c r="U52" s="113"/>
      <c r="V52" s="113"/>
      <c r="W52" s="48"/>
      <c r="X52" s="50"/>
      <c r="Y52" s="50"/>
      <c r="Z52" s="156"/>
      <c r="AD52" s="172"/>
      <c r="AE52" s="172"/>
    </row>
    <row r="53" spans="2:34" ht="15.75" customHeight="1">
      <c r="B53" s="301"/>
      <c r="C53" s="110" t="str">
        <f t="shared" si="2"/>
        <v>T_P_CBEVNEW15</v>
      </c>
      <c r="D53" s="111" t="s">
        <v>363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5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285">
        <f>L53*40/45</f>
        <v>8.5350292042437742E-2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3"/>
      <c r="T53" s="113"/>
      <c r="U53" s="113"/>
      <c r="V53" s="113"/>
      <c r="W53" s="48"/>
      <c r="X53" s="50"/>
      <c r="Y53" s="50"/>
      <c r="Z53" s="156"/>
      <c r="AD53" s="172"/>
      <c r="AE53" s="172"/>
    </row>
    <row r="54" spans="2:34" ht="15.75" customHeight="1">
      <c r="B54" s="301"/>
      <c r="C54" s="110" t="str">
        <f t="shared" si="2"/>
        <v>T_P_CBEVUSD15</v>
      </c>
      <c r="D54" s="111" t="s">
        <v>363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5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285">
        <f>L54*40/45</f>
        <v>7.2547748236072074E-2</v>
      </c>
      <c r="P54" s="193">
        <f>+EECA_data_18!N8*EECA_data_18!S8</f>
        <v>0</v>
      </c>
      <c r="Q54" s="112">
        <v>0</v>
      </c>
      <c r="R54" s="112">
        <v>0</v>
      </c>
      <c r="S54" s="113"/>
      <c r="T54" s="113"/>
      <c r="U54" s="113"/>
      <c r="V54" s="113"/>
      <c r="W54" s="48"/>
      <c r="X54" s="50"/>
      <c r="Y54" s="50"/>
      <c r="Z54" s="156"/>
      <c r="AD54" s="172"/>
      <c r="AE54" s="172"/>
    </row>
    <row r="55" spans="2:34" ht="15.75" customHeight="1">
      <c r="B55" s="301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5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285">
        <f>L55*40/45</f>
        <v>0.21196320318792658</v>
      </c>
      <c r="P55" s="193">
        <f>+EECA_data_18!N9*EECA_data_18!S9</f>
        <v>0.69948978051478528</v>
      </c>
      <c r="Q55" s="112">
        <v>0</v>
      </c>
      <c r="R55" s="112">
        <v>0</v>
      </c>
      <c r="S55" s="113"/>
      <c r="T55" s="113"/>
      <c r="U55" s="113"/>
      <c r="V55" s="113"/>
      <c r="W55" s="48"/>
      <c r="X55" s="50"/>
      <c r="Y55" s="50"/>
      <c r="Z55" s="156"/>
      <c r="AD55" s="172"/>
      <c r="AE55" s="173"/>
    </row>
    <row r="56" spans="2:34" ht="15.75" customHeight="1">
      <c r="B56" s="301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5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285">
        <f>L56*40/45</f>
        <v>0.16864314640173472</v>
      </c>
      <c r="P56" s="193">
        <f>+EECA_data_18!N10*EECA_data_18!S10</f>
        <v>22.956120953936896</v>
      </c>
      <c r="Q56" s="112">
        <f>290*$S$39</f>
        <v>204.29979402183909</v>
      </c>
      <c r="R56" s="112">
        <v>0</v>
      </c>
      <c r="S56" s="113"/>
      <c r="T56" s="113"/>
      <c r="U56" s="113"/>
      <c r="V56" s="113"/>
      <c r="W56" s="48"/>
      <c r="X56" s="50"/>
      <c r="Y56" s="50"/>
      <c r="Z56" s="156"/>
      <c r="AD56" s="172"/>
      <c r="AE56" s="172"/>
    </row>
    <row r="57" spans="2:34" ht="15.75" customHeight="1">
      <c r="B57" s="301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5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285">
        <f>L57*40/45</f>
        <v>0.12446960390037951</v>
      </c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3"/>
      <c r="T57" s="113"/>
      <c r="U57" s="113"/>
      <c r="V57" s="113"/>
      <c r="W57" s="48"/>
      <c r="X57" s="50"/>
      <c r="Y57" s="50"/>
      <c r="Z57" s="156"/>
    </row>
    <row r="58" spans="2:34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3"/>
      <c r="T58" s="134">
        <f>1-EECA_data_18!R11</f>
        <v>0.4</v>
      </c>
      <c r="U58" s="113"/>
      <c r="V58" s="112">
        <f>+F51</f>
        <v>0.30845918332748123</v>
      </c>
      <c r="W58" s="48"/>
      <c r="X58" s="50"/>
      <c r="Y58" s="50"/>
      <c r="Z58" s="156"/>
    </row>
    <row r="59" spans="2:34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3"/>
      <c r="T59" s="134">
        <f>+EECA_data_18!R11</f>
        <v>0.6</v>
      </c>
      <c r="U59" s="113"/>
      <c r="V59" s="112">
        <f>+F53</f>
        <v>1.4079922210878586</v>
      </c>
      <c r="W59" s="48"/>
      <c r="Z59" s="156"/>
      <c r="AD59" s="174"/>
      <c r="AE59" s="174"/>
      <c r="AF59" s="174"/>
      <c r="AG59" s="174"/>
      <c r="AH59" s="174"/>
    </row>
    <row r="60" spans="2:34" ht="15.75" customHeight="1">
      <c r="B60" s="301"/>
      <c r="C60" s="114" t="str">
        <f t="shared" ref="C60:C78" si="6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Q60" s="116"/>
      <c r="R60" s="116">
        <v>0</v>
      </c>
      <c r="S60" s="117"/>
      <c r="T60" s="117"/>
      <c r="U60" s="117"/>
      <c r="V60" s="117"/>
      <c r="W60" s="48"/>
      <c r="X60" s="50"/>
      <c r="Y60" s="50"/>
      <c r="Z60" s="156"/>
      <c r="AD60" s="174"/>
      <c r="AE60" s="174"/>
      <c r="AF60" s="174"/>
      <c r="AG60" s="174"/>
      <c r="AH60" s="174"/>
    </row>
    <row r="61" spans="2:34" ht="15.75" customHeight="1">
      <c r="B61" s="301"/>
      <c r="C61" s="114" t="str">
        <f t="shared" si="6"/>
        <v>T_C_CICEDSL15</v>
      </c>
      <c r="D61" s="115" t="str">
        <f t="shared" si="3"/>
        <v>TRADSL</v>
      </c>
      <c r="E61" s="114" t="str">
        <f t="shared" ref="E61:E64" si="7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Q61" s="116">
        <v>0</v>
      </c>
      <c r="R61" s="116"/>
      <c r="S61" s="117"/>
      <c r="T61" s="117"/>
      <c r="U61" s="117"/>
      <c r="V61" s="117"/>
      <c r="W61" s="48"/>
      <c r="X61" s="50"/>
      <c r="Y61" s="50"/>
      <c r="Z61" s="156"/>
      <c r="AD61" s="174"/>
      <c r="AE61" s="174"/>
      <c r="AF61" s="174"/>
      <c r="AG61" s="174"/>
      <c r="AH61" s="174"/>
    </row>
    <row r="62" spans="2:34" ht="15.75" customHeight="1">
      <c r="B62" s="301"/>
      <c r="C62" s="114" t="str">
        <f t="shared" si="6"/>
        <v>T_C_CBEVNEW15</v>
      </c>
      <c r="D62" s="111" t="s">
        <v>363</v>
      </c>
      <c r="E62" s="114" t="str">
        <f t="shared" si="7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8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Q62" s="116"/>
      <c r="R62" s="116">
        <v>0</v>
      </c>
      <c r="S62" s="117"/>
      <c r="T62" s="117"/>
      <c r="U62" s="117"/>
      <c r="V62" s="117"/>
      <c r="W62" s="48"/>
      <c r="X62" s="50"/>
      <c r="Y62" s="50"/>
      <c r="Z62" s="156"/>
      <c r="AD62" s="174"/>
      <c r="AE62" s="174"/>
      <c r="AF62" s="174"/>
      <c r="AG62" s="174"/>
      <c r="AH62" s="174"/>
    </row>
    <row r="63" spans="2:34" ht="15.75" customHeight="1">
      <c r="B63" s="301"/>
      <c r="C63" s="114" t="str">
        <f t="shared" si="6"/>
        <v>T_C_CICELPG15</v>
      </c>
      <c r="D63" s="115" t="str">
        <f t="shared" si="3"/>
        <v>TRALPG</v>
      </c>
      <c r="E63" s="114" t="str">
        <f t="shared" si="7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8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Q63" s="116"/>
      <c r="R63" s="116">
        <v>0</v>
      </c>
      <c r="S63" s="117"/>
      <c r="T63" s="117"/>
      <c r="U63" s="117"/>
      <c r="V63" s="117"/>
      <c r="W63" s="48"/>
      <c r="X63" s="50"/>
      <c r="Y63" s="50"/>
      <c r="Z63" s="156"/>
      <c r="AD63" s="174"/>
      <c r="AE63" s="174"/>
      <c r="AF63" s="174"/>
      <c r="AG63" s="174"/>
      <c r="AH63" s="174"/>
    </row>
    <row r="64" spans="2:34" ht="15.75" customHeight="1">
      <c r="B64" s="301"/>
      <c r="C64" s="114" t="str">
        <f t="shared" si="6"/>
        <v>T_C_CHYBPET15</v>
      </c>
      <c r="D64" s="115" t="str">
        <f t="shared" si="3"/>
        <v>TRAPET</v>
      </c>
      <c r="E64" s="114" t="str">
        <f t="shared" si="7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8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Q64" s="116"/>
      <c r="R64" s="116">
        <v>0</v>
      </c>
      <c r="S64" s="117"/>
      <c r="T64" s="117"/>
      <c r="U64" s="117"/>
      <c r="V64" s="117"/>
      <c r="W64" s="48"/>
      <c r="X64" s="50"/>
      <c r="Y64" s="50"/>
      <c r="Z64" s="156"/>
      <c r="AD64" s="174"/>
      <c r="AE64" s="174"/>
      <c r="AF64" s="174"/>
      <c r="AG64" s="174"/>
      <c r="AH64" s="174"/>
    </row>
    <row r="65" spans="3:52" ht="15.75" customHeight="1">
      <c r="C65" s="24" t="str">
        <f t="shared" si="6"/>
        <v>T_P_MICEPET15</v>
      </c>
      <c r="D65" s="23" t="str">
        <f t="shared" ref="D65" si="9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8"/>
        <v>0.08</v>
      </c>
      <c r="L65" s="178">
        <f t="shared" ref="L65:L71" si="10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Q65" s="22">
        <v>0</v>
      </c>
      <c r="R65" s="22"/>
      <c r="S65" s="49"/>
      <c r="T65" s="49"/>
      <c r="U65" s="49"/>
      <c r="V65" s="49"/>
      <c r="W65" s="48"/>
      <c r="X65" s="50"/>
      <c r="Y65" s="50"/>
      <c r="Z65" s="156"/>
      <c r="AD65" s="174"/>
      <c r="AE65" s="174"/>
      <c r="AF65" s="174"/>
      <c r="AG65" s="174"/>
      <c r="AH65" s="174"/>
    </row>
    <row r="66" spans="3:52" ht="15.75" customHeight="1">
      <c r="C66" s="106" t="str">
        <f t="shared" si="6"/>
        <v>T_P_BICEPET15</v>
      </c>
      <c r="D66" s="107" t="str">
        <f t="shared" ref="D66:D72" si="11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8"/>
        <v>0.08</v>
      </c>
      <c r="L66" s="179">
        <f t="shared" si="10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Q66" s="118"/>
      <c r="R66" s="118"/>
      <c r="S66" s="109">
        <v>0</v>
      </c>
      <c r="T66" s="109"/>
      <c r="U66" s="109"/>
      <c r="V66" s="109"/>
      <c r="W66" s="48"/>
      <c r="X66" s="50"/>
      <c r="Y66" s="50"/>
      <c r="Z66" s="156"/>
      <c r="AD66" s="174"/>
      <c r="AE66" s="174"/>
      <c r="AF66" s="175"/>
      <c r="AG66" s="175"/>
      <c r="AH66" s="175"/>
      <c r="AI66" s="182"/>
      <c r="AJ66" s="182"/>
      <c r="AK66" s="182"/>
    </row>
    <row r="67" spans="3:52" ht="15.75" customHeight="1">
      <c r="C67" s="106" t="str">
        <f t="shared" si="6"/>
        <v>T_P_BICEDSL15</v>
      </c>
      <c r="D67" s="107" t="str">
        <f t="shared" si="11"/>
        <v>TRADSL</v>
      </c>
      <c r="E67" s="106" t="str">
        <f t="shared" ref="E67:E68" si="12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8"/>
        <v>0.08</v>
      </c>
      <c r="L67" s="179">
        <f t="shared" si="10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Q67" s="118"/>
      <c r="R67" s="118"/>
      <c r="S67" s="109">
        <v>0</v>
      </c>
      <c r="T67" s="109"/>
      <c r="U67" s="109"/>
      <c r="V67" s="109"/>
      <c r="W67" s="48"/>
      <c r="X67" s="50"/>
      <c r="Y67" s="50"/>
      <c r="Z67" s="156"/>
      <c r="AD67" s="174"/>
      <c r="AE67" s="174"/>
      <c r="AF67" s="174"/>
      <c r="AG67" s="174"/>
      <c r="AH67" s="174"/>
    </row>
    <row r="68" spans="3:52" ht="15.75" customHeight="1">
      <c r="C68" s="106" t="str">
        <f t="shared" si="6"/>
        <v>T_P_BBEVELC15</v>
      </c>
      <c r="D68" s="111" t="s">
        <v>363</v>
      </c>
      <c r="E68" s="106" t="str">
        <f t="shared" si="12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8"/>
        <v>0.08</v>
      </c>
      <c r="L68" s="179">
        <f t="shared" si="10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Q68" s="118"/>
      <c r="R68" s="118"/>
      <c r="S68" s="109">
        <v>0</v>
      </c>
      <c r="T68" s="109"/>
      <c r="U68" s="109"/>
      <c r="V68" s="109"/>
      <c r="W68" s="48"/>
      <c r="X68" s="50"/>
      <c r="Y68" s="50"/>
      <c r="Z68" s="156"/>
    </row>
    <row r="69" spans="3:52" ht="15.75" customHeight="1">
      <c r="C69" s="158" t="str">
        <f t="shared" si="6"/>
        <v>T_F_MTICEPET15</v>
      </c>
      <c r="D69" s="159" t="str">
        <f t="shared" si="11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8"/>
        <v>0.08</v>
      </c>
      <c r="L69" s="180">
        <f t="shared" si="10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Q69" s="163"/>
      <c r="R69" s="163"/>
      <c r="S69" s="162">
        <v>0</v>
      </c>
      <c r="T69" s="162"/>
      <c r="U69" s="162"/>
      <c r="V69" s="162"/>
      <c r="W69" s="48"/>
      <c r="X69" s="50">
        <f>I69/F69</f>
        <v>3.9538918857085534E-2</v>
      </c>
      <c r="Y69" s="50"/>
      <c r="Z69" s="264">
        <f>L69*K69*P69</f>
        <v>5.3924053833707053E-3</v>
      </c>
      <c r="AG69" s="182"/>
      <c r="AH69" s="182"/>
      <c r="AI69" s="182"/>
      <c r="AJ69" s="182"/>
      <c r="AK69" s="182"/>
    </row>
    <row r="70" spans="3:52" ht="15.75" customHeight="1">
      <c r="C70" s="158" t="str">
        <f t="shared" si="6"/>
        <v>T_F_MTICEDSL15</v>
      </c>
      <c r="D70" s="159" t="str">
        <f t="shared" si="11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8"/>
        <v>0.08</v>
      </c>
      <c r="L70" s="180">
        <f t="shared" si="10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Q70" s="163"/>
      <c r="R70" s="163">
        <v>0</v>
      </c>
      <c r="S70" s="162"/>
      <c r="T70" s="162"/>
      <c r="U70" s="162"/>
      <c r="V70" s="162"/>
      <c r="W70" s="48"/>
      <c r="X70" s="50">
        <f>I70/F70</f>
        <v>4.4582611903433698</v>
      </c>
      <c r="Y70" s="50"/>
      <c r="Z70" s="264">
        <f>L70*K70*P70</f>
        <v>0.58792132098041627</v>
      </c>
    </row>
    <row r="71" spans="3:52" ht="15.75" customHeight="1">
      <c r="C71" s="158" t="str">
        <f t="shared" si="6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8"/>
        <v>0.08</v>
      </c>
      <c r="L71" s="180">
        <f t="shared" si="10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Q71" s="163"/>
      <c r="R71" s="163">
        <v>0</v>
      </c>
      <c r="S71" s="162"/>
      <c r="T71" s="162"/>
      <c r="U71" s="162"/>
      <c r="V71" s="162"/>
      <c r="W71" s="48"/>
      <c r="X71" s="50">
        <f>I71/F71</f>
        <v>4.7653250427364832E-5</v>
      </c>
      <c r="Y71" s="50"/>
      <c r="Z71" s="264">
        <f>L71*K71*P71</f>
        <v>2.8618716701346778E-5</v>
      </c>
    </row>
    <row r="72" spans="3:52" ht="15.75" customHeight="1">
      <c r="C72" s="164" t="str">
        <f t="shared" si="6"/>
        <v>T_F_HTICEDSL15</v>
      </c>
      <c r="D72" s="165" t="str">
        <f t="shared" si="11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8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Q72" s="169"/>
      <c r="R72" s="169">
        <v>0</v>
      </c>
      <c r="S72" s="168"/>
      <c r="T72" s="168"/>
      <c r="U72" s="168"/>
      <c r="V72" s="168"/>
      <c r="W72" s="48"/>
      <c r="X72" s="50">
        <f>I72/F72</f>
        <v>8.5352317335846646</v>
      </c>
      <c r="Y72" s="50"/>
      <c r="Z72" s="156"/>
      <c r="AF72" s="182"/>
      <c r="AG72" s="182"/>
      <c r="AH72" s="182"/>
      <c r="AI72" s="182"/>
      <c r="AJ72" s="182"/>
      <c r="AK72" s="182"/>
    </row>
    <row r="73" spans="3:52" ht="15.75" customHeight="1">
      <c r="C73" s="164" t="str">
        <f t="shared" si="6"/>
        <v>T_F_VHTICEDSL15</v>
      </c>
      <c r="D73" s="165" t="str">
        <f t="shared" ref="D73" si="13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8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Q73" s="169"/>
      <c r="R73" s="169"/>
      <c r="S73" s="168"/>
      <c r="T73" s="168"/>
      <c r="U73" s="168"/>
      <c r="V73" s="168"/>
      <c r="W73" s="48"/>
      <c r="X73" s="50">
        <f>I73/F73</f>
        <v>23.052533745672356</v>
      </c>
      <c r="Y73" s="50"/>
      <c r="Z73" s="156"/>
      <c r="AF73" s="182"/>
      <c r="AG73" s="182"/>
      <c r="AH73" s="182"/>
      <c r="AI73" s="182"/>
      <c r="AJ73" s="182"/>
      <c r="AK73" s="182"/>
    </row>
    <row r="74" spans="3:52" ht="15.75" customHeight="1">
      <c r="C74" s="24" t="str">
        <f t="shared" si="6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6"/>
      <c r="U74" s="49"/>
      <c r="V74" s="49"/>
      <c r="X74" s="50"/>
      <c r="Y74" s="50"/>
      <c r="Z74" s="156"/>
    </row>
    <row r="75" spans="3:52" ht="15.75" customHeight="1">
      <c r="C75" s="24" t="str">
        <f t="shared" si="6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X75" s="50">
        <f>SUM(X72:X73)</f>
        <v>31.587765479257023</v>
      </c>
      <c r="Y75" s="50"/>
      <c r="Z75" s="156"/>
      <c r="AR75" s="182"/>
      <c r="AS75" s="182"/>
      <c r="AT75" s="182"/>
      <c r="AU75" s="50"/>
      <c r="AV75" s="50"/>
      <c r="AW75" s="50"/>
      <c r="AX75" s="50"/>
      <c r="AZ75" s="50"/>
    </row>
    <row r="76" spans="3:52" ht="15.75" customHeight="1">
      <c r="C76" s="24" t="str">
        <f t="shared" si="6"/>
        <v>T_O_FuelJet</v>
      </c>
      <c r="D76" s="23" t="str">
        <f t="shared" ref="D76" si="14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X76" s="50"/>
      <c r="Y76" s="50"/>
      <c r="Z76" s="156"/>
      <c r="AU76" s="50"/>
      <c r="AV76" s="50"/>
      <c r="AW76" s="50"/>
      <c r="AX76" s="50"/>
      <c r="AZ76" s="50"/>
    </row>
    <row r="77" spans="3:52" ht="15.75" customHeight="1">
      <c r="C77" s="24" t="str">
        <f t="shared" si="6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X77" s="50"/>
      <c r="Y77" s="50"/>
      <c r="Z77" s="156"/>
      <c r="AR77" s="182"/>
      <c r="AS77" s="182"/>
      <c r="AT77" s="182"/>
      <c r="AZ77" s="50"/>
    </row>
    <row r="78" spans="3:52" ht="15.75" customHeight="1">
      <c r="C78" s="24" t="str">
        <f t="shared" si="6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22">
        <v>0.97628074499999995</v>
      </c>
      <c r="U78" s="49">
        <v>3</v>
      </c>
      <c r="V78" s="35"/>
      <c r="X78" s="50"/>
      <c r="Y78" s="50"/>
      <c r="Z78" s="156"/>
    </row>
    <row r="79" spans="3:52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22">
        <v>2.3719255000000002E-2</v>
      </c>
      <c r="U79" s="49">
        <v>3</v>
      </c>
      <c r="V79" s="35"/>
      <c r="X79" s="50"/>
      <c r="Y79" s="50"/>
      <c r="Z79" s="156"/>
    </row>
    <row r="80" spans="3:52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22">
        <v>0.61748441499999995</v>
      </c>
      <c r="U80" s="49">
        <v>3</v>
      </c>
      <c r="V80" s="35"/>
      <c r="X80" s="50"/>
      <c r="Y80" s="50"/>
      <c r="Z80" s="156"/>
      <c r="AG80" s="182"/>
      <c r="AH80" s="182"/>
      <c r="AI80" s="182"/>
      <c r="AJ80" s="182"/>
      <c r="AK80" s="182"/>
    </row>
    <row r="81" spans="3:40" ht="15.75" customHeight="1">
      <c r="D81" s="2" t="s">
        <v>65</v>
      </c>
      <c r="T81" s="22">
        <v>0.38251558499999999</v>
      </c>
      <c r="U81" s="49">
        <v>3</v>
      </c>
      <c r="V81" s="35"/>
      <c r="X81" s="50"/>
    </row>
    <row r="82" spans="3:40" ht="15.75" customHeight="1"/>
    <row r="83" spans="3:40" ht="15.75" customHeight="1">
      <c r="AI83" s="182"/>
      <c r="AJ83" s="182"/>
      <c r="AL83" s="182"/>
      <c r="AM83" s="182"/>
    </row>
    <row r="84" spans="3:40" ht="15.75" customHeight="1">
      <c r="C84" s="37" t="s">
        <v>154</v>
      </c>
      <c r="D84" s="38"/>
    </row>
    <row r="85" spans="3:40" ht="15.75" customHeight="1">
      <c r="C85" s="39" t="s">
        <v>0</v>
      </c>
      <c r="D85" s="40">
        <v>2018</v>
      </c>
    </row>
    <row r="86" spans="3:40" ht="15.75" customHeight="1">
      <c r="C86" s="38" t="str">
        <f t="shared" ref="C86:C91" si="15">+E8</f>
        <v>T_P_Car</v>
      </c>
      <c r="D86" s="47">
        <f t="shared" ref="D86:D98" si="16">+SUMIF($E$51:$E$80,C86,$I$51:$I$80)</f>
        <v>26.712360911112448</v>
      </c>
      <c r="AJ86" s="182"/>
      <c r="AK86" s="182"/>
      <c r="AM86" s="182"/>
      <c r="AN86" s="182"/>
    </row>
    <row r="87" spans="3:40" ht="15.75" customHeight="1">
      <c r="C87" s="38" t="str">
        <f t="shared" si="15"/>
        <v>T_C_Car</v>
      </c>
      <c r="D87" s="47">
        <f t="shared" si="16"/>
        <v>6.3551124896014928</v>
      </c>
    </row>
    <row r="88" spans="3:40" ht="15.75" customHeight="1">
      <c r="C88" s="38" t="str">
        <f t="shared" si="15"/>
        <v>T_P_Mcy</v>
      </c>
      <c r="D88" s="47">
        <f t="shared" si="16"/>
        <v>0.3033338106959716</v>
      </c>
    </row>
    <row r="89" spans="3:40" ht="15.75" customHeight="1">
      <c r="C89" s="38" t="str">
        <f t="shared" si="15"/>
        <v>T_P_Bus</v>
      </c>
      <c r="D89" s="47">
        <f t="shared" si="16"/>
        <v>0.21012569231875491</v>
      </c>
    </row>
    <row r="90" spans="3:40" ht="15.75" customHeight="1">
      <c r="C90" s="38" t="str">
        <f t="shared" si="15"/>
        <v>T_F_MTrk</v>
      </c>
      <c r="D90" s="47">
        <f t="shared" si="16"/>
        <v>0.59334234508048844</v>
      </c>
    </row>
    <row r="91" spans="3:40" ht="15.75" customHeight="1">
      <c r="C91" s="38" t="str">
        <f t="shared" si="15"/>
        <v>T_F_HTrk</v>
      </c>
      <c r="D91" s="47">
        <f t="shared" si="16"/>
        <v>0.48224059294753358</v>
      </c>
    </row>
    <row r="92" spans="3:40" ht="15.75" customHeight="1">
      <c r="C92" s="38" t="s">
        <v>301</v>
      </c>
      <c r="D92" s="47">
        <f t="shared" si="16"/>
        <v>1.0834690860466007</v>
      </c>
    </row>
    <row r="93" spans="3:40" ht="15.75" customHeight="1">
      <c r="C93" s="38" t="str">
        <f>+E17</f>
        <v>T_F_DSHIP</v>
      </c>
      <c r="D93" s="47">
        <f t="shared" si="16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0" ht="15.75" customHeight="1">
      <c r="C94" s="38" t="str">
        <f>+E18</f>
        <v>T_F_ISHIP</v>
      </c>
      <c r="D94" s="47">
        <f t="shared" si="16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0" ht="15.75" customHeight="1">
      <c r="C95" s="38" t="str">
        <f>+E19</f>
        <v>T_O_JET</v>
      </c>
      <c r="D95" s="47">
        <f t="shared" si="16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0" ht="15.75" customHeight="1">
      <c r="C96" s="38" t="str">
        <f>+E20</f>
        <v>T_O_JET_Int</v>
      </c>
      <c r="D96" s="47">
        <f t="shared" si="16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6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6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2025-12-02T13:51:29Z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