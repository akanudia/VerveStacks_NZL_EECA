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6830B02C-5459-49A9-88DC-4A7E9B369B3E}" xr6:coauthVersionLast="47" xr6:coauthVersionMax="47" xr10:uidLastSave="{00000000-0000-0000-0000-000000000000}"/>
  <bookViews>
    <workbookView xWindow="-98" yWindow="-98" windowWidth="28996" windowHeight="174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7" i="155" l="1"/>
  <c r="O56" i="155"/>
  <c r="O55" i="155"/>
  <c r="O54" i="155"/>
  <c r="O53" i="155"/>
  <c r="O52" i="155"/>
  <c r="O51" i="155"/>
  <c r="Q52" i="155"/>
  <c r="Q56" i="155"/>
  <c r="Q51" i="155"/>
  <c r="Q57" i="155"/>
  <c r="Q53" i="155"/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<sst xmlns="http://schemas.openxmlformats.org/spreadsheetml/2006/main" count="936" uniqueCount="366">
  <si>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</si>
  <si>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</si>
  <si>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</si>
  <si>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</si>
  <si>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</si>
  <si>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</si>
  <si>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</si>
  <si>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</si>
  <si>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</si>
  <si>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</si>
  <si>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</si>
  <si>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</si>
  <si>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</si>
  <si>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</si>
  <si>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</si>
  <si>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</si>
  <si>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</si>
  <si>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</si>
  <si>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</si>
  <si>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</si>
  <si>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</si>
  <si>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</si>
  <si>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</si>
  <si>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</si>
  <si>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</si>
  <si>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</si>
  <si>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</si>
  <si>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</si>
  <si>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</si>
  <si>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</si>
  <si>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</si>
  <si>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</si>
  <si>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</si>
  <si>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</si>
  <si>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</si>
  <si>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</si>
  <si>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</si>
  <si>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</si>
  <si>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</si>
  <si>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</si>
  <si>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</si>
  <si>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</si>
  <si>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</si>
  <si>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</si>
  <si>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</si>
  <si>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</si>
  <si>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</si>
  <si>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</si>
  <si>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</si>
  <si>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</si>
  <si>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</si>
  <si>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</si>
  <si>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</si>
  <si>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</si>
  <si>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</si>
  <si>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</si>
  <si>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</si>
  <si>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</si>
  <si>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</si>
  <si>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</si>
  <si>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</si>
  <si>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</si>
  <si>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</si>
  <si>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</si>
  <si>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</si>
  <si>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</si>
  <si>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</si>
  <si>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</si>
  <si>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</si>
  <si>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</si>
  <si>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</si>
  <si>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</si>
  <si>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</si>
  <si>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</si>
  <si>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</si>
  <si>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</si>
  <si>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</si>
  <si>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</si>
  <si>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</si>
  <si>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</si>
  <si>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</si>
  <si>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</si>
  <si>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</si>
  <si>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</si>
  <si>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</si>
  <si>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</si>
  <si>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</si>
  <si>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</si>
  <si>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</si>
  <si>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</si>
  <si>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</si>
  <si>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</si>
  <si>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</si>
  <si>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</si>
  <si>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</si>
  <si>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</si>
  <si>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</si>
  <si>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</si>
  <si>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</si>
  <si>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</si>
  <si>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</si>
  <si>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</si>
  <si>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</si>
  <si>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</si>
  <si>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</si>
  <si>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</si>
  <si>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</si>
  <si>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</si>
  <si>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</si>
  <si>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</si>
  <si>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</si>
  <si>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</si>
  <si>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</si>
  <si>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</si>
  <si>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</si>
  <si>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</si>
  <si>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</si>
  <si>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</si>
  <si>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</si>
  <si>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</si>
  <si>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</si>
  <si>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</si>
  <si>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</si>
  <si>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</si>
  <si>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</si>
  <si>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</si>
  <si>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</si>
  <si>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</si>
  <si>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</si>
  <si>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</si>
  <si>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</si>
  <si>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</si>
  <si>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</si>
  <si>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</si>
  <si>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</si>
  <si>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</si>
  <si>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</si>
  <si>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</si>
  <si>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</si>
  <si>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</si>
  <si>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</si>
  <si>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</si>
  <si>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</si>
  <si>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</si>
  <si>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</si>
  <si>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</si>
  <si>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</si>
  <si>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</si>
  <si>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</si>
  <si>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</si>
  <si>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</si>
  <si>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</si>
  <si>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</si>
  <si>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</si>
  <si>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</si>
  <si>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</si>
  <si>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</si>
  <si>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</si>
  <si>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</si>
  <si>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</si>
  <si>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</si>
  <si>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</si>
  <si>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</si>
  <si>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</si>
  <si>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</si>
  <si>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</si>
  <si>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</si>
  <si>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</si>
  <si>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</si>
  <si>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</si>
  <si>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</si>
  <si>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</si>
  <si>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</si>
  <si>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</si>
  <si>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</si>
  <si>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</si>
  <si>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</si>
  <si>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</si>
  <si>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</si>
  <si>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</si>
  <si>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</si>
  <si>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</si>
  <si>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</si>
  <si>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</si>
  <si>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</si>
  <si>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</si>
  <si>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</si>
  <si>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</si>
  <si>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</si>
  <si>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</si>
  <si>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</si>
  <si>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</si>
  <si>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</si>
  <si>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</si>
  <si>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</si>
  <si>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</si>
  <si>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</si>
  <si>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</si>
  <si>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</si>
  <si>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</si>
  <si>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</si>
  <si>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</si>
  <si>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</si>
  <si>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</si>
  <si>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</si>
  <si>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</si>
  <si>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</si>
  <si>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</si>
  <si>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</si>
  <si>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</si>
  <si>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</si>
  <si>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</si>
  <si>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</si>
  <si>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</si>
  <si>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</si>
  <si>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</si>
  <si>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</si>
  <si>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</si>
  <si>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</si>
  <si>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</si>
  <si>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</si>
  <si>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</si>
  <si>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</si>
  <si>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</si>
  <si>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</si>
  <si>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</si>
  <si>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</si>
  <si>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</si>
  <si>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</si>
  <si>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</si>
  <si>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</si>
  <si>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</si>
  <si>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</si>
  <si>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</si>
  <si>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</si>
  <si>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</si>
  <si>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</si>
  <si>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</si>
  <si>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</si>
  <si>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</si>
  <si>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</si>
  <si>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</si>
  <si>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</si>
  <si>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</si>
  <si>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</si>
  <si>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</si>
  <si>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</si>
  <si>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</si>
  <si>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</si>
  <si>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</si>
  <si>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</si>
  <si>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</si>
  <si>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</si>
  <si>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</si>
  <si>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</si>
  <si>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</si>
  <si>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</si>
  <si>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</si>
  <si>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</si>
  <si>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</si>
  <si>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</si>
  <si>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</si>
  <si>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</si>
  <si>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</si>
  <si>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</si>
  <si>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</si>
  <si>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</si>
  <si>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</si>
  <si>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</si>
  <si>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</si>
  <si>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</si>
  <si>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</si>
  <si>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</si>
  <si>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</si>
  <si>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</si>
  <si>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</si>
  <si>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</si>
  <si>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</si>
  <si>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</si>
  <si>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</si>
  <si>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</si>
  <si>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</si>
  <si>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</si>
  <si>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</si>
  <si>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</si>
  <si>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</si>
  <si>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</si>
  <si>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</si>
  <si>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</si>
  <si>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</si>
  <si>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</si>
  <si>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</si>
  <si>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</si>
  <si>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</si>
  <si>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</si>
  <si>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</si>
  <si>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</si>
  <si>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</si>
  <si>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</si>
  <si>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</si>
  <si>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</si>
  <si>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</si>
  <si>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</si>
  <si>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</si>
  <si>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</si>
  <si>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</si>
  <si>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</si>
  <si>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</si>
  <si>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</si>
  <si>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</si>
  <si>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</si>
  <si>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</si>
  <si>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</si>
  <si>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</si>
  <si>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</si>
  <si>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</si>
  <si>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</si>
  <si>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</si>
  <si>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</si>
  <si>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</si>
  <si>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</si>
  <si>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</si>
  <si>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</si>
  <si>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</si>
  <si>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</si>
  <si>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</si>
  <si>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</si>
  <si>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</si>
  <si>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</si>
  <si>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</si>
  <si>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</si>
  <si>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</si>
  <si>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</si>
  <si>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</si>
  <si>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</si>
  <si>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</si>
  <si>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</si>
  <si>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</si>
  <si>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</si>
  <si>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</si>
  <si>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</si>
  <si>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</si>
  <si>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</si>
  <si>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</si>
  <si>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</si>
  <si>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</si>
  <si>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</si>
  <si>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</si>
  <si>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</si>
  <si>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</si>
  <si>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</si>
  <si>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</si>
  <si>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</si>
  <si>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</si>
  <si>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</si>
  <si>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</si>
  <si>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</si>
  <si>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</si>
  <si>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</si>
  <si>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</si>
  <si>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</si>
  <si>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</si>
  <si>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</si>
  <si>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</si>
  <si>
    <t>PRC_resid~2024</t>
  </si>
  <si>
    <t>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</si>
</sst>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2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10" fontId="59" fillId="108" borderId="24" xfId="36094" applyNumberFormat="1" applyFont="1" applyFill="1" applyBorder="1"/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356</v>
      </c>
    </row>
    <row r="2" spans="1:1">
      <c r="A2" t="s">
        <v>357</v>
      </c>
    </row>
    <row r="3" spans="1:1">
      <c r="A3" t="s">
        <v>358</v>
      </c>
    </row>
    <row r="4" spans="1:1">
      <c r="A4" t="s">
        <v>359</v>
      </c>
    </row>
    <row r="5" spans="1:1">
      <c r="A5" t="s">
        <v>360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317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2" t="s">
        <v>201</v>
      </c>
      <c r="C5" s="289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87"/>
      <c r="C6" s="290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87"/>
      <c r="C7" s="290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87"/>
      <c r="C8" s="290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87"/>
      <c r="C9" s="290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87"/>
      <c r="C10" s="290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87"/>
      <c r="C11" s="290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87"/>
      <c r="C12" s="291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87"/>
      <c r="C13" s="289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87"/>
      <c r="C14" s="290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3"/>
      <c r="C15" s="294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3"/>
      <c r="C16" s="294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3"/>
      <c r="C17" s="291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86" t="s">
        <v>213</v>
      </c>
      <c r="C18" s="289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87"/>
      <c r="C19" s="290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87"/>
      <c r="C20" s="291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88"/>
      <c r="C21" s="90" t="s">
        <v>303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304</v>
      </c>
      <c r="D22" s="252" t="s">
        <v>305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86" t="s">
        <v>217</v>
      </c>
      <c r="C23" s="289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87"/>
      <c r="C24" s="290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88"/>
      <c r="C25" s="291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95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96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95" t="s">
        <v>225</v>
      </c>
      <c r="C29" s="298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97"/>
      <c r="C30" s="299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97"/>
      <c r="C31" s="294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96"/>
      <c r="C32" s="300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95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96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325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326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327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323</v>
      </c>
      <c r="I42">
        <v>0.81960848535632747</v>
      </c>
      <c r="K42" t="s">
        <v>319</v>
      </c>
      <c r="L42">
        <v>175</v>
      </c>
    </row>
    <row r="43" spans="2:19">
      <c r="H43" s="54" t="s">
        <v>218</v>
      </c>
      <c r="I43">
        <v>0.68453212409913244</v>
      </c>
      <c r="K43" t="s">
        <v>320</v>
      </c>
      <c r="L43">
        <v>2533</v>
      </c>
    </row>
    <row r="44" spans="2:19">
      <c r="H44" s="54" t="s">
        <v>324</v>
      </c>
      <c r="I44">
        <v>1.5379655004445401</v>
      </c>
      <c r="K44" t="s">
        <v>321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322</v>
      </c>
      <c r="L47">
        <v>0</v>
      </c>
    </row>
    <row r="49" spans="11:13">
      <c r="M49">
        <v>0.81960848535632747</v>
      </c>
    </row>
    <row r="50" spans="11:13">
      <c r="K50" t="s">
        <v>320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318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343</v>
      </c>
      <c r="F6" s="14" t="s">
        <v>341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328</v>
      </c>
      <c r="W6" s="5" t="s">
        <v>329</v>
      </c>
      <c r="X6" s="5" t="s">
        <v>342</v>
      </c>
      <c r="Y6" s="5" t="s">
        <v>343</v>
      </c>
      <c r="Z6" s="5" t="s">
        <v>2</v>
      </c>
      <c r="AA6" s="28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353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354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362</v>
      </c>
      <c r="T9" s="18" t="s">
        <v>50</v>
      </c>
      <c r="U9" s="24" t="str">
        <f t="shared" ref="U9:U15" si="1">$A$19&amp;D8</f>
        <v>FTE_TRANGA</v>
      </c>
      <c r="V9" s="32" t="s">
        <v>331</v>
      </c>
      <c r="W9" s="32"/>
      <c r="X9" s="32"/>
      <c r="Y9" s="32" t="s">
        <v>353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331</v>
      </c>
      <c r="W10" s="32"/>
      <c r="X10" s="32"/>
      <c r="Y10" s="32" t="s">
        <v>354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331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331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351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331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340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331</v>
      </c>
      <c r="W14" s="32"/>
      <c r="X14" s="32"/>
      <c r="Y14" s="32" t="s">
        <v>351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297</v>
      </c>
      <c r="T15" s="18" t="s">
        <v>50</v>
      </c>
      <c r="U15" s="24" t="str">
        <f t="shared" si="1"/>
        <v>FTE_TRAH2R</v>
      </c>
      <c r="V15" s="32" t="s">
        <v>331</v>
      </c>
      <c r="W15" s="32"/>
      <c r="X15" s="32"/>
      <c r="Y15" s="32" t="s">
        <v>340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331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331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286</v>
      </c>
      <c r="G21" s="11" t="s">
        <v>173</v>
      </c>
      <c r="H21" s="11" t="s">
        <v>289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299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290</v>
      </c>
      <c r="L22" s="2" t="s">
        <v>294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292</v>
      </c>
      <c r="L23" s="2" t="s">
        <v>291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298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300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297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288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286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293</v>
      </c>
      <c r="M39" s="205"/>
    </row>
    <row r="40" spans="2:13" ht="15.75" customHeight="1">
      <c r="B40" s="199" t="s">
        <v>287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B28" zoomScaleNormal="100" workbookViewId="0">
      <selection activeCell="O51" sqref="O51:O57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343</v>
      </c>
      <c r="G6" s="267" t="s">
        <v>341</v>
      </c>
      <c r="H6" s="267" t="s">
        <v>3</v>
      </c>
      <c r="I6" s="26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328</v>
      </c>
      <c r="W6" s="272" t="s">
        <v>329</v>
      </c>
      <c r="X6" s="272" t="s">
        <v>342</v>
      </c>
      <c r="Y6" s="272" t="s">
        <v>343</v>
      </c>
      <c r="Z6" s="272" t="s">
        <v>2</v>
      </c>
      <c r="AA6" s="272" t="s">
        <v>344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334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331</v>
      </c>
      <c r="W9" s="24" t="s">
        <v>332</v>
      </c>
      <c r="X9" s="24" t="s">
        <v>345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281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331</v>
      </c>
      <c r="W10" s="24" t="s">
        <v>332</v>
      </c>
      <c r="X10" s="24" t="s">
        <v>345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281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331</v>
      </c>
      <c r="W11" s="24" t="s">
        <v>332</v>
      </c>
      <c r="X11" s="24" t="s">
        <v>346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281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253</v>
      </c>
      <c r="F12" s="32"/>
      <c r="G12" s="32" t="s">
        <v>215</v>
      </c>
      <c r="H12" s="32" t="str">
        <f t="shared" si="0"/>
        <v xml:space="preserve"> -:- Medium Truck</v>
      </c>
      <c r="I12" s="32" t="s">
        <v>255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331</v>
      </c>
      <c r="W12" s="24" t="s">
        <v>332</v>
      </c>
      <c r="X12" s="24" t="s">
        <v>346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281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254</v>
      </c>
      <c r="F13" s="32"/>
      <c r="G13" s="32" t="s">
        <v>271</v>
      </c>
      <c r="H13" s="32" t="str">
        <f t="shared" si="0"/>
        <v xml:space="preserve"> -:- Heavy Truck</v>
      </c>
      <c r="I13" s="32" t="s">
        <v>256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331</v>
      </c>
      <c r="W13" s="24" t="s">
        <v>332</v>
      </c>
      <c r="X13" s="24" t="s">
        <v>345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281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301</v>
      </c>
      <c r="F14" s="32"/>
      <c r="G14" s="32" t="s">
        <v>305</v>
      </c>
      <c r="H14" s="32" t="str">
        <f t="shared" si="0"/>
        <v xml:space="preserve"> -:- Very Heavy Truck</v>
      </c>
      <c r="I14" s="32" t="s">
        <v>302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331</v>
      </c>
      <c r="W14" s="24" t="s">
        <v>332</v>
      </c>
      <c r="X14" s="24" t="s">
        <v>347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281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335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331</v>
      </c>
      <c r="W15" s="132" t="s">
        <v>332</v>
      </c>
      <c r="X15" s="132" t="s">
        <v>348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281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272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331</v>
      </c>
      <c r="W16" s="136" t="s">
        <v>332</v>
      </c>
      <c r="X16" s="136" t="s">
        <v>345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281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268</v>
      </c>
      <c r="F17" s="32"/>
      <c r="G17" s="32" t="s">
        <v>336</v>
      </c>
      <c r="H17" s="32" t="str">
        <f t="shared" si="0"/>
        <v xml:space="preserve"> -:- Domestic Shipping</v>
      </c>
      <c r="I17" s="32" t="s">
        <v>266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331</v>
      </c>
      <c r="W17" s="139" t="s">
        <v>332</v>
      </c>
      <c r="X17" s="139" t="s">
        <v>345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281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269</v>
      </c>
      <c r="F18" s="32"/>
      <c r="G18" s="32" t="s">
        <v>337</v>
      </c>
      <c r="H18" s="32" t="str">
        <f t="shared" si="0"/>
        <v xml:space="preserve"> -:- International Shipping</v>
      </c>
      <c r="I18" s="32" t="s">
        <v>267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331</v>
      </c>
      <c r="W18" s="139" t="s">
        <v>332</v>
      </c>
      <c r="X18" s="139" t="s">
        <v>346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281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338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331</v>
      </c>
      <c r="W19" s="139" t="s">
        <v>332</v>
      </c>
      <c r="X19" s="139" t="s">
        <v>345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281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339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331</v>
      </c>
      <c r="W20" s="142" t="s">
        <v>332</v>
      </c>
      <c r="X20" s="142" t="s">
        <v>347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281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340</v>
      </c>
      <c r="G21" s="284" t="s">
        <v>361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331</v>
      </c>
      <c r="W21" s="154" t="s">
        <v>332</v>
      </c>
      <c r="X21" s="154" t="s">
        <v>345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282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331</v>
      </c>
      <c r="W22" s="136" t="s">
        <v>332</v>
      </c>
      <c r="X22" s="136" t="s">
        <v>345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283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331</v>
      </c>
      <c r="W23" s="139" t="s">
        <v>332</v>
      </c>
      <c r="X23" s="139" t="s">
        <v>345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283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331</v>
      </c>
      <c r="W24" s="142" t="s">
        <v>332</v>
      </c>
      <c r="X24" s="142" t="s">
        <v>346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283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257</v>
      </c>
      <c r="V25" s="130" t="s">
        <v>331</v>
      </c>
      <c r="W25" s="130" t="s">
        <v>332</v>
      </c>
      <c r="X25" s="130" t="s">
        <v>345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284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258</v>
      </c>
      <c r="V26" s="24" t="s">
        <v>331</v>
      </c>
      <c r="W26" s="24" t="s">
        <v>332</v>
      </c>
      <c r="X26" s="24" t="s">
        <v>345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284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259</v>
      </c>
      <c r="V27" s="132" t="s">
        <v>331</v>
      </c>
      <c r="W27" s="132" t="s">
        <v>332</v>
      </c>
      <c r="X27" s="132" t="s">
        <v>346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284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260</v>
      </c>
      <c r="V28" s="275" t="s">
        <v>331</v>
      </c>
      <c r="W28" s="275" t="s">
        <v>332</v>
      </c>
      <c r="X28" s="275" t="s">
        <v>345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284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306</v>
      </c>
      <c r="V29" s="275" t="s">
        <v>331</v>
      </c>
      <c r="W29" s="275" t="s">
        <v>332</v>
      </c>
      <c r="X29" s="275" t="s">
        <v>345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284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264</v>
      </c>
      <c r="V30" s="276" t="s">
        <v>331</v>
      </c>
      <c r="W30" s="277" t="s">
        <v>333</v>
      </c>
      <c r="X30" s="277" t="s">
        <v>349</v>
      </c>
      <c r="Y30" s="277" t="s">
        <v>158</v>
      </c>
      <c r="Z30" s="277" t="str">
        <f t="shared" si="1"/>
        <v>Transport -:- Shipping -:- Ship -:- Fuel Oil</v>
      </c>
      <c r="AA30" s="155" t="s">
        <v>266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265</v>
      </c>
      <c r="V31" s="275" t="s">
        <v>331</v>
      </c>
      <c r="W31" s="275" t="s">
        <v>333</v>
      </c>
      <c r="X31" s="275" t="s">
        <v>349</v>
      </c>
      <c r="Y31" s="275" t="s">
        <v>158</v>
      </c>
      <c r="Z31" s="275" t="str">
        <f t="shared" si="1"/>
        <v>Transport -:- Shipping -:- Ship -:- Fuel Oil</v>
      </c>
      <c r="AA31" s="151" t="s">
        <v>267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331</v>
      </c>
      <c r="W32" s="130" t="s">
        <v>221</v>
      </c>
      <c r="X32" s="130" t="s">
        <v>350</v>
      </c>
      <c r="Y32" s="130" t="s">
        <v>351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331</v>
      </c>
      <c r="W33" s="142" t="s">
        <v>221</v>
      </c>
      <c r="X33" s="142" t="s">
        <v>350</v>
      </c>
      <c r="Y33" s="142" t="s">
        <v>351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355</v>
      </c>
      <c r="V34" s="280" t="s">
        <v>331</v>
      </c>
      <c r="W34" s="280" t="s">
        <v>225</v>
      </c>
      <c r="X34" s="280" t="s">
        <v>352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331</v>
      </c>
      <c r="W35" s="142" t="s">
        <v>225</v>
      </c>
      <c r="X35" s="142" t="s">
        <v>352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314</v>
      </c>
      <c r="S39">
        <v>0.70448204835116923</v>
      </c>
    </row>
    <row r="40" spans="3:85" ht="15.75" customHeight="1">
      <c r="O40" s="2" t="s">
        <v>309</v>
      </c>
      <c r="P40" s="51"/>
      <c r="Q40" s="51"/>
      <c r="R40" s="51"/>
      <c r="S40" s="51"/>
    </row>
    <row r="41" spans="3:85" ht="15.75" customHeight="1">
      <c r="O41" s="2" t="s">
        <v>310</v>
      </c>
      <c r="P41" s="2" t="s">
        <v>311</v>
      </c>
      <c r="Q41" s="2" t="s">
        <v>312</v>
      </c>
      <c r="R41" s="2" t="s">
        <v>313</v>
      </c>
      <c r="T41" s="51"/>
      <c r="U41" s="51"/>
    </row>
    <row r="42" spans="3:85" ht="15.75" customHeight="1">
      <c r="N42" s="2" t="s">
        <v>307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308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280</v>
      </c>
    </row>
    <row r="44" spans="3:85" ht="15.75" customHeight="1">
      <c r="N44" s="2" t="s">
        <v>315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316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263</v>
      </c>
      <c r="G48" s="119" t="s">
        <v>41</v>
      </c>
      <c r="H48" s="120" t="s">
        <v>171</v>
      </c>
      <c r="I48" s="119" t="s">
        <v>277</v>
      </c>
      <c r="J48" s="119" t="s">
        <v>278</v>
      </c>
      <c r="K48" s="119" t="s">
        <v>53</v>
      </c>
      <c r="L48" s="119" t="s">
        <v>273</v>
      </c>
      <c r="M48" s="119" t="s">
        <v>83</v>
      </c>
      <c r="N48" s="119" t="s">
        <v>82</v>
      </c>
      <c r="O48" s="119" t="s">
        <v>365</v>
      </c>
      <c r="P48" s="120" t="s">
        <v>274</v>
      </c>
      <c r="Q48" s="119" t="s">
        <v>364</v>
      </c>
      <c r="R48" s="119" t="s">
        <v>275</v>
      </c>
      <c r="S48" s="119" t="s">
        <v>276</v>
      </c>
      <c r="T48" s="119" t="s">
        <v>261</v>
      </c>
      <c r="U48" s="119" t="s">
        <v>262</v>
      </c>
      <c r="V48" s="119" t="s">
        <v>295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249</v>
      </c>
      <c r="M49" s="122" t="s">
        <v>245</v>
      </c>
      <c r="N49" s="122" t="s">
        <v>246</v>
      </c>
      <c r="O49" s="122"/>
      <c r="P49" s="124" t="s">
        <v>247</v>
      </c>
      <c r="Q49" s="122" t="s">
        <v>248</v>
      </c>
      <c r="R49" s="122" t="s">
        <v>252</v>
      </c>
      <c r="S49" s="122" t="s">
        <v>248</v>
      </c>
      <c r="T49" s="122" t="s">
        <v>250</v>
      </c>
      <c r="U49" s="122" t="s">
        <v>251</v>
      </c>
      <c r="V49" s="122" t="s">
        <v>296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285</v>
      </c>
      <c r="N50" s="122" t="s">
        <v>285</v>
      </c>
      <c r="O50" s="122"/>
      <c r="P50" s="124" t="s">
        <v>279</v>
      </c>
      <c r="Q50" s="124" t="s">
        <v>279</v>
      </c>
      <c r="R50" s="124" t="s">
        <v>279</v>
      </c>
      <c r="S50" s="124" t="s">
        <v>279</v>
      </c>
      <c r="T50" s="122" t="s">
        <v>244</v>
      </c>
      <c r="U50" s="122"/>
      <c r="V50" s="122" t="s">
        <v>244</v>
      </c>
    </row>
    <row r="51" spans="2:34" ht="15.75" customHeight="1">
      <c r="B51" s="301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285">
        <f>L51*35/45</f>
        <v>0.10350598813066687</v>
      </c>
      <c r="P51" s="193">
        <f>+EECA_data_18!N5*EECA_data_18!S5</f>
        <v>2205.8876228868689</v>
      </c>
      <c r="Q51" s="112">
        <f>3020*$S$39</f>
        <v>2127.5357860205313</v>
      </c>
      <c r="R51" s="112">
        <v>0</v>
      </c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1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285">
        <f>L52*35/45</f>
        <v>0.12952060014326136</v>
      </c>
      <c r="P52" s="193">
        <f>+EECA_data_18!N6*EECA_data_18!S6</f>
        <v>209.84328680851149</v>
      </c>
      <c r="Q52" s="112">
        <f>1020*$S$39*0.2</f>
        <v>143.71433786363852</v>
      </c>
      <c r="R52" s="112">
        <v>0</v>
      </c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1"/>
      <c r="C53" s="110" t="str">
        <f t="shared" si="2"/>
        <v>T_P_CBEVNEW15</v>
      </c>
      <c r="D53" s="111" t="s">
        <v>363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5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285">
        <f>L53*35/45</f>
        <v>7.4681505537133028E-2</v>
      </c>
      <c r="P53" s="193">
        <f>+EECA_data_18!N7*EECA_data_18!S7</f>
        <v>6.2730346709767693</v>
      </c>
      <c r="Q53" s="112">
        <f>84*$S$39</f>
        <v>59.176492061498216</v>
      </c>
      <c r="R53" s="112">
        <v>0</v>
      </c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1"/>
      <c r="C54" s="110" t="str">
        <f t="shared" si="2"/>
        <v>T_P_CBEVUSD15</v>
      </c>
      <c r="D54" s="111" t="s">
        <v>363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5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285">
        <f>L54*35/45</f>
        <v>6.3479279706563072E-2</v>
      </c>
      <c r="P54" s="193">
        <f>+EECA_data_18!N8*EECA_data_18!S8</f>
        <v>0</v>
      </c>
      <c r="Q54" s="112">
        <v>0</v>
      </c>
      <c r="R54" s="112">
        <v>0</v>
      </c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1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5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285">
        <f>L55*35/45</f>
        <v>0.18546780278943575</v>
      </c>
      <c r="P55" s="193">
        <f>+EECA_data_18!N9*EECA_data_18!S9</f>
        <v>0.69948978051478528</v>
      </c>
      <c r="Q55" s="112">
        <v>0</v>
      </c>
      <c r="R55" s="112">
        <v>0</v>
      </c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1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5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285">
        <f>L56*35/45</f>
        <v>0.14756275310151787</v>
      </c>
      <c r="P56" s="193">
        <f>+EECA_data_18!N10*EECA_data_18!S10</f>
        <v>22.956120953936896</v>
      </c>
      <c r="Q56" s="112">
        <f>290*$S$39</f>
        <v>204.29979402183909</v>
      </c>
      <c r="R56" s="112">
        <v>0</v>
      </c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1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5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285">
        <f>L57*35/45</f>
        <v>0.10891090341283209</v>
      </c>
      <c r="P57" s="193">
        <f>+EECA_data_18!N11*EECA_data_18!S11</f>
        <v>1.9853052449362099</v>
      </c>
      <c r="Q57" s="112">
        <f>35*$S$39</f>
        <v>24.656871692290924</v>
      </c>
      <c r="R57" s="112">
        <v>0</v>
      </c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1"/>
      <c r="C60" s="114" t="str">
        <f t="shared" ref="C60:C78" si="6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1"/>
      <c r="C61" s="114" t="str">
        <f t="shared" si="6"/>
        <v>T_C_CICEDSL15</v>
      </c>
      <c r="D61" s="115" t="str">
        <f t="shared" si="3"/>
        <v>TRADSL</v>
      </c>
      <c r="E61" s="114" t="str">
        <f t="shared" ref="E61:E64" si="7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1"/>
      <c r="C62" s="114" t="str">
        <f t="shared" si="6"/>
        <v>T_C_CBEVNEW15</v>
      </c>
      <c r="D62" s="111" t="s">
        <v>363</v>
      </c>
      <c r="E62" s="114" t="str">
        <f t="shared" si="7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8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1"/>
      <c r="C63" s="114" t="str">
        <f t="shared" si="6"/>
        <v>T_C_CICELPG15</v>
      </c>
      <c r="D63" s="115" t="str">
        <f t="shared" si="3"/>
        <v>TRALPG</v>
      </c>
      <c r="E63" s="114" t="str">
        <f t="shared" si="7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8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1"/>
      <c r="C64" s="114" t="str">
        <f t="shared" si="6"/>
        <v>T_C_CHYBPET15</v>
      </c>
      <c r="D64" s="115" t="str">
        <f t="shared" si="3"/>
        <v>TRAPET</v>
      </c>
      <c r="E64" s="114" t="str">
        <f t="shared" si="7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8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6"/>
        <v>T_P_MICEPET15</v>
      </c>
      <c r="D65" s="23" t="str">
        <f t="shared" ref="D65" si="9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8"/>
        <v>0.08</v>
      </c>
      <c r="L65" s="178">
        <f t="shared" ref="L65:L71" si="10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6"/>
        <v>T_P_BICEPET15</v>
      </c>
      <c r="D66" s="107" t="str">
        <f t="shared" ref="D66:D72" si="11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8"/>
        <v>0.08</v>
      </c>
      <c r="L66" s="179">
        <f t="shared" si="10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6"/>
        <v>T_P_BICEDSL15</v>
      </c>
      <c r="D67" s="107" t="str">
        <f t="shared" si="11"/>
        <v>TRADSL</v>
      </c>
      <c r="E67" s="106" t="str">
        <f t="shared" ref="E67:E68" si="12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8"/>
        <v>0.08</v>
      </c>
      <c r="L67" s="179">
        <f t="shared" si="10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6"/>
        <v>T_P_BBEVELC15</v>
      </c>
      <c r="D68" s="111" t="s">
        <v>363</v>
      </c>
      <c r="E68" s="106" t="str">
        <f t="shared" si="12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8"/>
        <v>0.08</v>
      </c>
      <c r="L68" s="179">
        <f t="shared" si="10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6"/>
        <v>T_F_MTICEPET15</v>
      </c>
      <c r="D69" s="159" t="str">
        <f t="shared" si="11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8"/>
        <v>0.08</v>
      </c>
      <c r="L69" s="180">
        <f t="shared" si="10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6"/>
        <v>T_F_MTICEDSL15</v>
      </c>
      <c r="D70" s="159" t="str">
        <f t="shared" si="11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8"/>
        <v>0.08</v>
      </c>
      <c r="L70" s="180">
        <f t="shared" si="10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6"/>
        <v>T_F_MBEVELC15</v>
      </c>
      <c r="D71" s="111" t="s">
        <v>363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8"/>
        <v>0.08</v>
      </c>
      <c r="L71" s="180">
        <f t="shared" si="10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6"/>
        <v>T_F_HTICEDSL15</v>
      </c>
      <c r="D72" s="165" t="str">
        <f t="shared" si="11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8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6"/>
        <v>T_F_VHTICEDSL15</v>
      </c>
      <c r="D73" s="165" t="str">
        <f t="shared" ref="D73" si="13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8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6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6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6"/>
        <v>T_O_FuelJet</v>
      </c>
      <c r="D76" s="23" t="str">
        <f t="shared" ref="D76" si="14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6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6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5">+E8</f>
        <v>T_P_Car</v>
      </c>
      <c r="D86" s="47">
        <f t="shared" ref="D86:D98" si="16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5"/>
        <v>T_C_Car</v>
      </c>
      <c r="D87" s="47">
        <f t="shared" si="16"/>
        <v>6.3551124896014928</v>
      </c>
    </row>
    <row r="88" spans="3:40" ht="15.75" customHeight="1">
      <c r="C88" s="38" t="str">
        <f t="shared" si="15"/>
        <v>T_P_Mcy</v>
      </c>
      <c r="D88" s="47">
        <f t="shared" si="16"/>
        <v>0.3033338106959716</v>
      </c>
    </row>
    <row r="89" spans="3:40" ht="15.75" customHeight="1">
      <c r="C89" s="38" t="str">
        <f t="shared" si="15"/>
        <v>T_P_Bus</v>
      </c>
      <c r="D89" s="47">
        <f t="shared" si="16"/>
        <v>0.21012569231875491</v>
      </c>
    </row>
    <row r="90" spans="3:40" ht="15.75" customHeight="1">
      <c r="C90" s="38" t="str">
        <f t="shared" si="15"/>
        <v>T_F_MTrk</v>
      </c>
      <c r="D90" s="47">
        <f t="shared" si="16"/>
        <v>0.59334234508048844</v>
      </c>
    </row>
    <row r="91" spans="3:40" ht="15.75" customHeight="1">
      <c r="C91" s="38" t="str">
        <f t="shared" si="15"/>
        <v>T_F_HTrk</v>
      </c>
      <c r="D91" s="47">
        <f t="shared" si="16"/>
        <v>0.48224059294753358</v>
      </c>
    </row>
    <row r="92" spans="3:40" ht="15.75" customHeight="1">
      <c r="C92" s="38" t="s">
        <v>301</v>
      </c>
      <c r="D92" s="47">
        <f t="shared" si="16"/>
        <v>1.0834690860466007</v>
      </c>
    </row>
    <row r="93" spans="3:40" ht="15.75" customHeight="1">
      <c r="C93" s="38" t="str">
        <f>+E17</f>
        <v>T_F_DSHIP</v>
      </c>
      <c r="D93" s="47">
        <f t="shared" si="16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6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6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6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6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6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270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2025-12-02T16:27:01Z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