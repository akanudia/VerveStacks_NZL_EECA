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13DDE380-36AC-4733-A485-7C7F7A997AA7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2" i="155" l="1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Y72" i="155" s="1"/>
  <c r="P72" i="155"/>
  <c r="I73" i="155" l="1"/>
  <c r="P73" i="155"/>
  <c r="M72" i="155"/>
  <c r="Y73" i="155" l="1"/>
  <c r="Y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AA70" i="155" s="1"/>
  <c r="K71" i="155" l="1"/>
  <c r="L71" i="155" l="1"/>
  <c r="AA71" i="155" s="1"/>
  <c r="K72" i="155"/>
  <c r="K73" i="155" l="1"/>
  <c r="L72" i="155"/>
  <c r="L73" i="155" l="1"/>
  <c r="I75" i="155"/>
  <c r="I76" i="155"/>
  <c r="F51" i="155"/>
  <c r="W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AA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O52" i="155" s="1"/>
  <c r="M52" i="155"/>
  <c r="N52" i="155"/>
  <c r="F53" i="155"/>
  <c r="W59" i="155" s="1"/>
  <c r="I53" i="155"/>
  <c r="L53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O56" i="155" s="1"/>
  <c r="M56" i="155"/>
  <c r="N56" i="155"/>
  <c r="I57" i="155"/>
  <c r="L57" i="155" s="1"/>
  <c r="O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Y69" i="155" s="1"/>
  <c r="G69" i="155"/>
  <c r="N69" i="155"/>
  <c r="F70" i="155"/>
  <c r="Y70" i="155" s="1"/>
  <c r="G70" i="155"/>
  <c r="N70" i="155"/>
  <c r="F71" i="155"/>
  <c r="Y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L54" i="155" l="1"/>
  <c r="O54" i="155" s="1"/>
  <c r="O53" i="155"/>
  <c r="M65" i="155"/>
  <c r="M68" i="155"/>
  <c r="M71" i="155"/>
  <c r="I63" i="155"/>
  <c r="L63" i="155" s="1"/>
  <c r="L64" i="155" s="1"/>
  <c r="I64" i="155" s="1"/>
  <c r="U59" i="155"/>
  <c r="U58" i="155"/>
  <c r="G56" i="155"/>
  <c r="I55" i="155"/>
  <c r="L55" i="155" s="1"/>
  <c r="O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O51" i="155" s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<sst xmlns="http://schemas.openxmlformats.org/spreadsheetml/2006/main" count="937" uniqueCount="367">
  <si>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</si>
  <si>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</si>
  <si>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</si>
  <si>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</si>
  <si>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</si>
  <si>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</si>
  <si>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</si>
  <si>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</si>
  <si>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</si>
  <si>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</si>
  <si>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</si>
  <si>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</si>
  <si>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</si>
  <si>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</si>
  <si>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</si>
  <si>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</si>
  <si>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</si>
  <si>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</si>
  <si>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</si>
  <si>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</si>
  <si>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</si>
  <si>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</si>
  <si>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</si>
  <si>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</si>
  <si>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</si>
  <si>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</si>
  <si>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</si>
  <si>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</si>
  <si>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</si>
  <si>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</si>
  <si>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</si>
  <si>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</si>
  <si>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</si>
  <si>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</si>
  <si>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</si>
  <si>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</si>
  <si>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</si>
  <si>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</si>
  <si>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</si>
  <si>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</si>
  <si>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</si>
  <si>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</si>
  <si>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</si>
  <si>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</si>
  <si>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</si>
  <si>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</si>
  <si>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</si>
  <si>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</si>
  <si>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</si>
  <si>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</si>
  <si>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</si>
  <si>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</si>
  <si>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</si>
  <si>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</si>
  <si>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</si>
  <si>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</si>
  <si>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</si>
  <si>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</si>
  <si>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</si>
  <si>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</si>
  <si>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</si>
  <si>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</si>
  <si>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</si>
  <si>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</si>
  <si>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</si>
  <si>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</si>
  <si>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</si>
  <si>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</si>
  <si>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</si>
  <si>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</si>
  <si>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</si>
  <si>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</si>
  <si>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</si>
  <si>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</si>
  <si>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</si>
  <si>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</si>
  <si>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</si>
  <si>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</si>
  <si>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</si>
  <si>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</si>
  <si>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</si>
  <si>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</si>
  <si>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</si>
  <si>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</si>
  <si>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</si>
  <si>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</si>
  <si>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</si>
  <si>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</si>
  <si>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</si>
  <si>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</si>
  <si>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</si>
  <si>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</si>
  <si>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</si>
  <si>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</si>
  <si>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</si>
  <si>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</si>
  <si>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</si>
  <si>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</si>
  <si>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</si>
  <si>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</si>
  <si>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</si>
  <si>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</si>
  <si>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</si>
  <si>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</si>
  <si>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</si>
  <si>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</si>
  <si>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</si>
  <si>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</si>
  <si>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</si>
  <si>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</si>
  <si>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</si>
  <si>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</si>
  <si>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</si>
  <si>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</si>
  <si>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</si>
  <si>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</si>
  <si>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</si>
  <si>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</si>
  <si>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</si>
  <si>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</si>
  <si>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</si>
  <si>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</si>
  <si>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</si>
  <si>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</si>
  <si>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</si>
  <si>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</si>
  <si>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</si>
  <si>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</si>
  <si>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</si>
  <si>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</si>
  <si>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</si>
  <si>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</si>
  <si>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</si>
  <si>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</si>
  <si>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</si>
  <si>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</si>
  <si>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</si>
  <si>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</si>
  <si>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</si>
  <si>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</si>
  <si>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</si>
  <si>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</si>
  <si>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</si>
  <si>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</si>
  <si>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</si>
  <si>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</si>
  <si>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</si>
  <si>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</si>
  <si>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</si>
  <si>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</si>
  <si>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</si>
  <si>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</si>
  <si>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</si>
  <si>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</si>
  <si>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</si>
  <si>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</si>
  <si>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</si>
  <si>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</si>
  <si>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</si>
  <si>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</si>
  <si>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</si>
  <si>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</si>
  <si>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</si>
  <si>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</si>
  <si>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</si>
  <si>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</si>
  <si>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</si>
  <si>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</si>
  <si>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</si>
  <si>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</si>
  <si>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</si>
  <si>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</si>
  <si>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</si>
  <si>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</si>
  <si>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</si>
  <si>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</si>
  <si>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</si>
  <si>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</si>
  <si>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</si>
  <si>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</si>
  <si>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</si>
  <si>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</si>
  <si>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</si>
  <si>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</si>
  <si>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</si>
  <si>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</si>
  <si>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</si>
  <si>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</si>
  <si>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</si>
  <si>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</si>
  <si>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</si>
  <si>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</si>
  <si>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</si>
  <si>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</si>
  <si>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</si>
  <si>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</si>
  <si>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</si>
  <si>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</si>
  <si>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</si>
  <si>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</si>
  <si>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</si>
  <si>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</si>
  <si>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</si>
  <si>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</si>
  <si>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</si>
  <si>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</si>
  <si>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</si>
  <si>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</si>
  <si>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</si>
  <si>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</si>
  <si>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</si>
  <si>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</si>
  <si>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</si>
  <si>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</si>
  <si>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</si>
  <si>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</si>
  <si>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</si>
  <si>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</si>
  <si>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</si>
  <si>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</si>
  <si>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</si>
  <si>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</si>
  <si>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</si>
  <si>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</si>
  <si>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</si>
  <si>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</si>
  <si>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</si>
  <si>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</si>
  <si>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</si>
  <si>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</si>
  <si>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</si>
  <si>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</si>
  <si>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</si>
  <si>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</si>
  <si>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</si>
  <si>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</si>
  <si>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</si>
  <si>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</si>
  <si>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</si>
  <si>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</si>
  <si>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</si>
  <si>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</si>
  <si>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</si>
  <si>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</si>
  <si>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</si>
  <si>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</si>
  <si>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</si>
  <si>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</si>
  <si>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</si>
  <si>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</si>
  <si>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</si>
  <si>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</si>
  <si>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</si>
  <si>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</si>
  <si>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</si>
  <si>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</si>
  <si>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</si>
  <si>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</si>
  <si>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</si>
  <si>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</si>
  <si>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</si>
  <si>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</si>
  <si>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</si>
  <si>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</si>
  <si>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</si>
  <si>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</si>
  <si>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</si>
  <si>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</si>
  <si>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</si>
  <si>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</si>
  <si>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</si>
  <si>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</si>
  <si>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</si>
  <si>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</si>
  <si>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</si>
  <si>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</si>
  <si>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</si>
  <si>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</si>
  <si>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</si>
  <si>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</si>
  <si>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</si>
  <si>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</si>
  <si>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</si>
  <si>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</si>
  <si>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</si>
  <si>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</si>
  <si>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</si>
  <si>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</si>
  <si>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</si>
  <si>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</si>
  <si>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</si>
  <si>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</si>
  <si>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</si>
  <si>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</si>
  <si>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</si>
  <si>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</si>
  <si>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</si>
  <si>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</si>
  <si>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</si>
  <si>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</si>
  <si>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</si>
  <si>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</si>
  <si>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</si>
  <si>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</si>
  <si>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</si>
  <si>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</si>
  <si>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</si>
  <si>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</si>
  <si>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</si>
  <si>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</si>
  <si>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</si>
  <si>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</si>
  <si>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</si>
  <si>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</si>
  <si>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</si>
  <si>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</si>
  <si>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</si>
  <si>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</si>
  <si>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</si>
  <si>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</si>
  <si>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</si>
  <si>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</si>
  <si>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</si>
  <si>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</si>
  <si>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</si>
  <si>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</si>
  <si>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</si>
  <si>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</si>
  <si>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</si>
  <si>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</si>
  <si>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</si>
  <si>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</si>
  <si>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</si>
  <si>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</si>
  <si>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</si>
  <si>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</si>
  <si>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</si>
  <si>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</si>
  <si>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</si>
  <si>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</si>
  <si>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</si>
  <si>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</si>
  <si>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</si>
  <si>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</si>
  <si>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</si>
  <si>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</si>
  <si>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</si>
  <si>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</si>
  <si>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</si>
  <si>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</si>
  <si>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</si>
  <si>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</si>
  <si>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</si>
  <si>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</si>
  <si>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</si>
  <si>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</si>
  <si>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</si>
  <si>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</si>
  <si>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</si>
  <si>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</si>
  <si>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</si>
  <si>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</si>
  <si>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</si>
  <si>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</si>
  <si>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</si>
  <si>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NCAP_AFA~2024</t>
  </si>
  <si>
    <t>PRC_resid~2045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</si>
</sst>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2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36094" applyNumberFormat="1" applyFont="1" applyFill="1" applyBorder="1"/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9" t="s">
        <v>201</v>
      </c>
      <c r="C5" s="296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4"/>
      <c r="C6" s="297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4"/>
      <c r="C7" s="297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4"/>
      <c r="C8" s="297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4"/>
      <c r="C9" s="297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4"/>
      <c r="C10" s="297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4"/>
      <c r="C11" s="297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4"/>
      <c r="C12" s="298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4"/>
      <c r="C13" s="296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4"/>
      <c r="C14" s="297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300"/>
      <c r="C15" s="291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300"/>
      <c r="C16" s="291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300"/>
      <c r="C17" s="298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3" t="s">
        <v>213</v>
      </c>
      <c r="C18" s="296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4"/>
      <c r="C19" s="297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4"/>
      <c r="C20" s="298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5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3" t="s">
        <v>217</v>
      </c>
      <c r="C23" s="296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4"/>
      <c r="C24" s="297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5"/>
      <c r="C25" s="298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6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7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6" t="s">
        <v>225</v>
      </c>
      <c r="C29" s="289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8"/>
      <c r="C30" s="290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8"/>
      <c r="C31" s="291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7"/>
      <c r="C32" s="292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6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7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H1" zoomScaleNormal="100" workbookViewId="0">
      <selection activeCell="R16" sqref="R16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365</v>
      </c>
      <c r="P48" s="120" t="s">
        <v>274</v>
      </c>
      <c r="Q48" s="119" t="s">
        <v>364</v>
      </c>
      <c r="R48" s="119" t="s">
        <v>275</v>
      </c>
      <c r="S48" s="119" t="s">
        <v>366</v>
      </c>
      <c r="T48" s="119" t="s">
        <v>276</v>
      </c>
      <c r="U48" s="119" t="s">
        <v>261</v>
      </c>
      <c r="V48" s="119" t="s">
        <v>262</v>
      </c>
      <c r="W48" s="119" t="s">
        <v>295</v>
      </c>
    </row>
    <row r="49" spans="2:35" ht="34.9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O49" s="122"/>
      <c r="P49" s="124" t="s">
        <v>247</v>
      </c>
      <c r="Q49" s="122" t="s">
        <v>248</v>
      </c>
      <c r="R49" s="122" t="s">
        <v>252</v>
      </c>
      <c r="S49" s="122"/>
      <c r="T49" s="122" t="s">
        <v>248</v>
      </c>
      <c r="U49" s="122" t="s">
        <v>250</v>
      </c>
      <c r="V49" s="122" t="s">
        <v>251</v>
      </c>
      <c r="W49" s="122" t="s">
        <v>296</v>
      </c>
    </row>
    <row r="50" spans="2:35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O50" s="122"/>
      <c r="P50" s="124" t="s">
        <v>279</v>
      </c>
      <c r="Q50" s="124" t="s">
        <v>279</v>
      </c>
      <c r="R50" s="124" t="s">
        <v>279</v>
      </c>
      <c r="S50" s="124"/>
      <c r="T50" s="124" t="s">
        <v>279</v>
      </c>
      <c r="U50" s="122" t="s">
        <v>244</v>
      </c>
      <c r="V50" s="122"/>
      <c r="W50" s="122" t="s">
        <v>244</v>
      </c>
    </row>
    <row r="51" spans="2:35" ht="15.75" customHeight="1">
      <c r="B51" s="301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5">
        <f t="shared" ref="O51:O57" si="3">L51*35/45</f>
        <v>0.10350598813066687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2"/>
      <c r="T51" s="113"/>
      <c r="U51" s="113"/>
      <c r="V51" s="113"/>
      <c r="W51" s="113"/>
      <c r="X51" s="48"/>
      <c r="Y51" s="50"/>
      <c r="Z51" s="50"/>
      <c r="AA51" s="156"/>
      <c r="AE51" s="172"/>
      <c r="AF51" s="172"/>
    </row>
    <row r="52" spans="2:35" ht="15.75" customHeight="1">
      <c r="B52" s="301"/>
      <c r="C52" s="110" t="str">
        <f t="shared" si="2"/>
        <v>T_P_CICEDSL15</v>
      </c>
      <c r="D52" s="111" t="str">
        <f t="shared" ref="D52:D64" si="4">"TRA"&amp;LEFT(RIGHT(C52,5),3)</f>
        <v>TRADSL</v>
      </c>
      <c r="E52" s="110" t="str">
        <f t="shared" ref="E52:E57" si="5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5">
        <f t="shared" si="3"/>
        <v>0.12952060014326136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2"/>
      <c r="T52" s="113"/>
      <c r="U52" s="113"/>
      <c r="V52" s="113"/>
      <c r="W52" s="113"/>
      <c r="X52" s="48"/>
      <c r="Y52" s="50"/>
      <c r="Z52" s="50"/>
      <c r="AA52" s="156"/>
      <c r="AE52" s="172"/>
      <c r="AF52" s="172"/>
    </row>
    <row r="53" spans="2:35" ht="15.75" customHeight="1">
      <c r="B53" s="301"/>
      <c r="C53" s="110" t="str">
        <f t="shared" si="2"/>
        <v>T_P_CBEVNEW15</v>
      </c>
      <c r="D53" s="111" t="s">
        <v>363</v>
      </c>
      <c r="E53" s="110" t="str">
        <f t="shared" si="5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6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5">
        <f t="shared" si="3"/>
        <v>7.4681505537133028E-2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2"/>
      <c r="T53" s="113"/>
      <c r="U53" s="113"/>
      <c r="V53" s="113"/>
      <c r="W53" s="113"/>
      <c r="X53" s="48"/>
      <c r="Y53" s="50"/>
      <c r="Z53" s="50"/>
      <c r="AA53" s="156"/>
      <c r="AE53" s="172"/>
      <c r="AF53" s="172"/>
    </row>
    <row r="54" spans="2:35" ht="15.75" customHeight="1">
      <c r="B54" s="301"/>
      <c r="C54" s="110" t="str">
        <f t="shared" si="2"/>
        <v>T_P_CBEVUSD15</v>
      </c>
      <c r="D54" s="111" t="s">
        <v>363</v>
      </c>
      <c r="E54" s="110" t="str">
        <f t="shared" si="5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6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5">
        <f t="shared" si="3"/>
        <v>6.3479279706563072E-2</v>
      </c>
      <c r="P54" s="193">
        <f>+EECA_data_18!N8*EECA_data_18!S8</f>
        <v>0</v>
      </c>
      <c r="Q54" s="112">
        <v>0</v>
      </c>
      <c r="R54" s="112">
        <v>0</v>
      </c>
      <c r="S54" s="112"/>
      <c r="T54" s="113"/>
      <c r="U54" s="113"/>
      <c r="V54" s="113"/>
      <c r="W54" s="113"/>
      <c r="X54" s="48"/>
      <c r="Y54" s="50"/>
      <c r="Z54" s="50"/>
      <c r="AA54" s="156"/>
      <c r="AE54" s="172"/>
      <c r="AF54" s="172"/>
    </row>
    <row r="55" spans="2:35" ht="15.75" customHeight="1">
      <c r="B55" s="301"/>
      <c r="C55" s="110" t="str">
        <f t="shared" si="2"/>
        <v>T_P_CICELPG15</v>
      </c>
      <c r="D55" s="111" t="str">
        <f t="shared" si="4"/>
        <v>TRALPG</v>
      </c>
      <c r="E55" s="110" t="str">
        <f t="shared" si="5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6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5">
        <f t="shared" si="3"/>
        <v>0.18546780278943575</v>
      </c>
      <c r="P55" s="193">
        <f>+EECA_data_18!N9*EECA_data_18!S9</f>
        <v>0.69948978051478528</v>
      </c>
      <c r="Q55" s="112">
        <v>0</v>
      </c>
      <c r="R55" s="112">
        <v>0</v>
      </c>
      <c r="S55" s="112"/>
      <c r="T55" s="113"/>
      <c r="U55" s="113"/>
      <c r="V55" s="113"/>
      <c r="W55" s="113"/>
      <c r="X55" s="48"/>
      <c r="Y55" s="50"/>
      <c r="Z55" s="50"/>
      <c r="AA55" s="156"/>
      <c r="AE55" s="172"/>
      <c r="AF55" s="173"/>
    </row>
    <row r="56" spans="2:35" ht="15.75" customHeight="1">
      <c r="B56" s="301"/>
      <c r="C56" s="110" t="str">
        <f t="shared" si="2"/>
        <v>T_P_CHYBPET15</v>
      </c>
      <c r="D56" s="111" t="str">
        <f t="shared" si="4"/>
        <v>TRAPET</v>
      </c>
      <c r="E56" s="110" t="str">
        <f t="shared" si="5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6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5">
        <f t="shared" si="3"/>
        <v>0.14756275310151787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2"/>
      <c r="T56" s="113"/>
      <c r="U56" s="113"/>
      <c r="V56" s="113"/>
      <c r="W56" s="113"/>
      <c r="X56" s="48"/>
      <c r="Y56" s="50"/>
      <c r="Z56" s="50"/>
      <c r="AA56" s="156"/>
      <c r="AE56" s="172"/>
      <c r="AF56" s="172"/>
    </row>
    <row r="57" spans="2:35" ht="15.75" customHeight="1">
      <c r="B57" s="301"/>
      <c r="C57" s="110" t="str">
        <f t="shared" si="2"/>
        <v>T_P_CPHEVPET15</v>
      </c>
      <c r="D57" s="111"/>
      <c r="E57" s="110" t="str">
        <f t="shared" si="5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6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5">
        <f t="shared" si="3"/>
        <v>0.10891090341283209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2"/>
      <c r="T57" s="113"/>
      <c r="U57" s="113"/>
      <c r="V57" s="113"/>
      <c r="W57" s="113"/>
      <c r="X57" s="48"/>
      <c r="Y57" s="50"/>
      <c r="Z57" s="50"/>
      <c r="AA57" s="156"/>
    </row>
    <row r="58" spans="2:35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2"/>
      <c r="T58" s="113"/>
      <c r="U58" s="134">
        <f>1-EECA_data_18!R11</f>
        <v>0.4</v>
      </c>
      <c r="V58" s="113"/>
      <c r="W58" s="112">
        <f>+F51</f>
        <v>0.30845918332748123</v>
      </c>
      <c r="X58" s="48"/>
      <c r="Y58" s="50"/>
      <c r="Z58" s="50"/>
      <c r="AA58" s="156"/>
    </row>
    <row r="59" spans="2:35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2"/>
      <c r="T59" s="113"/>
      <c r="U59" s="134">
        <f>+EECA_data_18!R11</f>
        <v>0.6</v>
      </c>
      <c r="V59" s="113"/>
      <c r="W59" s="112">
        <f>+F53</f>
        <v>1.4079922210878586</v>
      </c>
      <c r="X59" s="48"/>
      <c r="AA59" s="156"/>
      <c r="AE59" s="174"/>
      <c r="AF59" s="174"/>
      <c r="AG59" s="174"/>
      <c r="AH59" s="174"/>
      <c r="AI59" s="174"/>
    </row>
    <row r="60" spans="2:35" ht="15.75" customHeight="1">
      <c r="B60" s="301"/>
      <c r="C60" s="114" t="str">
        <f t="shared" ref="C60:C78" si="7">+U16</f>
        <v>T_C_CICEPET15</v>
      </c>
      <c r="D60" s="115" t="str">
        <f t="shared" si="4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R60" s="116"/>
      <c r="S60" s="116">
        <v>0</v>
      </c>
      <c r="T60" s="117"/>
      <c r="U60" s="117"/>
      <c r="V60" s="117"/>
      <c r="W60" s="117"/>
      <c r="X60" s="48"/>
      <c r="Y60" s="50"/>
      <c r="Z60" s="50"/>
      <c r="AA60" s="156"/>
      <c r="AE60" s="174"/>
      <c r="AF60" s="174"/>
      <c r="AG60" s="174"/>
      <c r="AH60" s="174"/>
      <c r="AI60" s="174"/>
    </row>
    <row r="61" spans="2:35" ht="15.75" customHeight="1">
      <c r="B61" s="301"/>
      <c r="C61" s="114" t="str">
        <f t="shared" si="7"/>
        <v>T_C_CICEDSL15</v>
      </c>
      <c r="D61" s="115" t="str">
        <f t="shared" si="4"/>
        <v>TRADSL</v>
      </c>
      <c r="E61" s="114" t="str">
        <f t="shared" ref="E61:E64" si="8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R61" s="116">
        <v>0</v>
      </c>
      <c r="S61" s="116"/>
      <c r="T61" s="117"/>
      <c r="U61" s="117"/>
      <c r="V61" s="117"/>
      <c r="W61" s="117"/>
      <c r="X61" s="48"/>
      <c r="Y61" s="50"/>
      <c r="Z61" s="50"/>
      <c r="AA61" s="156"/>
      <c r="AE61" s="174"/>
      <c r="AF61" s="174"/>
      <c r="AG61" s="174"/>
      <c r="AH61" s="174"/>
      <c r="AI61" s="174"/>
    </row>
    <row r="62" spans="2:35" ht="15.75" customHeight="1">
      <c r="B62" s="301"/>
      <c r="C62" s="114" t="str">
        <f t="shared" si="7"/>
        <v>T_C_CBEVNEW15</v>
      </c>
      <c r="D62" s="111" t="s">
        <v>363</v>
      </c>
      <c r="E62" s="114" t="str">
        <f t="shared" si="8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9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R62" s="116"/>
      <c r="S62" s="116">
        <v>0</v>
      </c>
      <c r="T62" s="117"/>
      <c r="U62" s="117"/>
      <c r="V62" s="117"/>
      <c r="W62" s="117"/>
      <c r="X62" s="48"/>
      <c r="Y62" s="50"/>
      <c r="Z62" s="50"/>
      <c r="AA62" s="156"/>
      <c r="AE62" s="174"/>
      <c r="AF62" s="174"/>
      <c r="AG62" s="174"/>
      <c r="AH62" s="174"/>
      <c r="AI62" s="174"/>
    </row>
    <row r="63" spans="2:35" ht="15.75" customHeight="1">
      <c r="B63" s="301"/>
      <c r="C63" s="114" t="str">
        <f t="shared" si="7"/>
        <v>T_C_CICELPG15</v>
      </c>
      <c r="D63" s="115" t="str">
        <f t="shared" si="4"/>
        <v>TRALPG</v>
      </c>
      <c r="E63" s="114" t="str">
        <f t="shared" si="8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9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R63" s="116"/>
      <c r="S63" s="116">
        <v>0</v>
      </c>
      <c r="T63" s="117"/>
      <c r="U63" s="117"/>
      <c r="V63" s="117"/>
      <c r="W63" s="117"/>
      <c r="X63" s="48"/>
      <c r="Y63" s="50"/>
      <c r="Z63" s="50"/>
      <c r="AA63" s="156"/>
      <c r="AE63" s="174"/>
      <c r="AF63" s="174"/>
      <c r="AG63" s="174"/>
      <c r="AH63" s="174"/>
      <c r="AI63" s="174"/>
    </row>
    <row r="64" spans="2:35" ht="15.75" customHeight="1">
      <c r="B64" s="301"/>
      <c r="C64" s="114" t="str">
        <f t="shared" si="7"/>
        <v>T_C_CHYBPET15</v>
      </c>
      <c r="D64" s="115" t="str">
        <f t="shared" si="4"/>
        <v>TRAPET</v>
      </c>
      <c r="E64" s="114" t="str">
        <f t="shared" si="8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9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R64" s="116"/>
      <c r="S64" s="116">
        <v>0</v>
      </c>
      <c r="T64" s="117"/>
      <c r="U64" s="117"/>
      <c r="V64" s="117"/>
      <c r="W64" s="117"/>
      <c r="X64" s="48"/>
      <c r="Y64" s="50"/>
      <c r="Z64" s="50"/>
      <c r="AA64" s="156"/>
      <c r="AE64" s="174"/>
      <c r="AF64" s="174"/>
      <c r="AG64" s="174"/>
      <c r="AH64" s="174"/>
      <c r="AI64" s="174"/>
    </row>
    <row r="65" spans="3:53" ht="15.75" customHeight="1">
      <c r="C65" s="24" t="str">
        <f t="shared" si="7"/>
        <v>T_P_MICEPET15</v>
      </c>
      <c r="D65" s="23" t="str">
        <f t="shared" ref="D65" si="10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9"/>
        <v>0.08</v>
      </c>
      <c r="L65" s="178">
        <f t="shared" ref="L65:L71" si="11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R65" s="22">
        <v>0</v>
      </c>
      <c r="S65" s="22"/>
      <c r="T65" s="49"/>
      <c r="U65" s="49"/>
      <c r="V65" s="49"/>
      <c r="W65" s="49"/>
      <c r="X65" s="48"/>
      <c r="Y65" s="50"/>
      <c r="Z65" s="50"/>
      <c r="AA65" s="156"/>
      <c r="AE65" s="174"/>
      <c r="AF65" s="174"/>
      <c r="AG65" s="174"/>
      <c r="AH65" s="174"/>
      <c r="AI65" s="174"/>
    </row>
    <row r="66" spans="3:53" ht="15.75" customHeight="1">
      <c r="C66" s="106" t="str">
        <f t="shared" si="7"/>
        <v>T_P_BICEPET15</v>
      </c>
      <c r="D66" s="107" t="str">
        <f t="shared" ref="D66:D72" si="12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9"/>
        <v>0.08</v>
      </c>
      <c r="L66" s="179">
        <f t="shared" si="11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R66" s="118"/>
      <c r="S66" s="118"/>
      <c r="T66" s="109">
        <v>0</v>
      </c>
      <c r="U66" s="109"/>
      <c r="V66" s="109"/>
      <c r="W66" s="109"/>
      <c r="X66" s="48"/>
      <c r="Y66" s="50"/>
      <c r="Z66" s="50"/>
      <c r="AA66" s="156"/>
      <c r="AE66" s="174"/>
      <c r="AF66" s="174"/>
      <c r="AG66" s="175"/>
      <c r="AH66" s="175"/>
      <c r="AI66" s="175"/>
      <c r="AJ66" s="182"/>
      <c r="AK66" s="182"/>
      <c r="AL66" s="182"/>
    </row>
    <row r="67" spans="3:53" ht="15.75" customHeight="1">
      <c r="C67" s="106" t="str">
        <f t="shared" si="7"/>
        <v>T_P_BICEDSL15</v>
      </c>
      <c r="D67" s="107" t="str">
        <f t="shared" si="12"/>
        <v>TRADSL</v>
      </c>
      <c r="E67" s="106" t="str">
        <f t="shared" ref="E67:E68" si="13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9"/>
        <v>0.08</v>
      </c>
      <c r="L67" s="179">
        <f t="shared" si="11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R67" s="118"/>
      <c r="S67" s="118"/>
      <c r="T67" s="109">
        <v>0</v>
      </c>
      <c r="U67" s="109"/>
      <c r="V67" s="109"/>
      <c r="W67" s="109"/>
      <c r="X67" s="48"/>
      <c r="Y67" s="50"/>
      <c r="Z67" s="50"/>
      <c r="AA67" s="156"/>
      <c r="AE67" s="174"/>
      <c r="AF67" s="174"/>
      <c r="AG67" s="174"/>
      <c r="AH67" s="174"/>
      <c r="AI67" s="174"/>
    </row>
    <row r="68" spans="3:53" ht="15.75" customHeight="1">
      <c r="C68" s="106" t="str">
        <f t="shared" si="7"/>
        <v>T_P_BBEVELC15</v>
      </c>
      <c r="D68" s="111" t="s">
        <v>363</v>
      </c>
      <c r="E68" s="106" t="str">
        <f t="shared" si="13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9"/>
        <v>0.08</v>
      </c>
      <c r="L68" s="179">
        <f t="shared" si="11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R68" s="118"/>
      <c r="S68" s="118"/>
      <c r="T68" s="109">
        <v>0</v>
      </c>
      <c r="U68" s="109"/>
      <c r="V68" s="109"/>
      <c r="W68" s="109"/>
      <c r="X68" s="48"/>
      <c r="Y68" s="50"/>
      <c r="Z68" s="50"/>
      <c r="AA68" s="156"/>
    </row>
    <row r="69" spans="3:53" ht="15.75" customHeight="1">
      <c r="C69" s="158" t="str">
        <f t="shared" si="7"/>
        <v>T_F_MTICEPET15</v>
      </c>
      <c r="D69" s="159" t="str">
        <f t="shared" si="12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9"/>
        <v>0.08</v>
      </c>
      <c r="L69" s="180">
        <f t="shared" si="11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R69" s="163"/>
      <c r="S69" s="163"/>
      <c r="T69" s="162">
        <v>0</v>
      </c>
      <c r="U69" s="162"/>
      <c r="V69" s="162"/>
      <c r="W69" s="162"/>
      <c r="X69" s="48"/>
      <c r="Y69" s="50">
        <f>I69/F69</f>
        <v>3.9538918857085534E-2</v>
      </c>
      <c r="Z69" s="50"/>
      <c r="AA69" s="264">
        <f>L69*K69*P69</f>
        <v>5.3924053833707053E-3</v>
      </c>
      <c r="AH69" s="182"/>
      <c r="AI69" s="182"/>
      <c r="AJ69" s="182"/>
      <c r="AK69" s="182"/>
      <c r="AL69" s="182"/>
    </row>
    <row r="70" spans="3:53" ht="15.75" customHeight="1">
      <c r="C70" s="158" t="str">
        <f t="shared" si="7"/>
        <v>T_F_MTICEDSL15</v>
      </c>
      <c r="D70" s="159" t="str">
        <f t="shared" si="12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9"/>
        <v>0.08</v>
      </c>
      <c r="L70" s="180">
        <f t="shared" si="11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R70" s="163"/>
      <c r="S70" s="163">
        <v>0</v>
      </c>
      <c r="T70" s="162"/>
      <c r="U70" s="162"/>
      <c r="V70" s="162"/>
      <c r="W70" s="162"/>
      <c r="X70" s="48"/>
      <c r="Y70" s="50">
        <f>I70/F70</f>
        <v>4.4582611903433698</v>
      </c>
      <c r="Z70" s="50"/>
      <c r="AA70" s="264">
        <f>L70*K70*P70</f>
        <v>0.58792132098041627</v>
      </c>
    </row>
    <row r="71" spans="3:53" ht="15.75" customHeight="1">
      <c r="C71" s="158" t="str">
        <f t="shared" si="7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9"/>
        <v>0.08</v>
      </c>
      <c r="L71" s="180">
        <f t="shared" si="11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R71" s="163"/>
      <c r="S71" s="163">
        <v>0</v>
      </c>
      <c r="T71" s="162"/>
      <c r="U71" s="162"/>
      <c r="V71" s="162"/>
      <c r="W71" s="162"/>
      <c r="X71" s="48"/>
      <c r="Y71" s="50">
        <f>I71/F71</f>
        <v>4.7653250427364832E-5</v>
      </c>
      <c r="Z71" s="50"/>
      <c r="AA71" s="264">
        <f>L71*K71*P71</f>
        <v>2.8618716701346778E-5</v>
      </c>
    </row>
    <row r="72" spans="3:53" ht="15.75" customHeight="1">
      <c r="C72" s="164" t="str">
        <f t="shared" si="7"/>
        <v>T_F_HTICEDSL15</v>
      </c>
      <c r="D72" s="165" t="str">
        <f t="shared" si="12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9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R72" s="169"/>
      <c r="S72" s="169">
        <v>0</v>
      </c>
      <c r="T72" s="168"/>
      <c r="U72" s="168"/>
      <c r="V72" s="168"/>
      <c r="W72" s="168"/>
      <c r="X72" s="48"/>
      <c r="Y72" s="50">
        <f>I72/F72</f>
        <v>8.5352317335846646</v>
      </c>
      <c r="Z72" s="50"/>
      <c r="AA72" s="156"/>
      <c r="AG72" s="182"/>
      <c r="AH72" s="182"/>
      <c r="AI72" s="182"/>
      <c r="AJ72" s="182"/>
      <c r="AK72" s="182"/>
      <c r="AL72" s="182"/>
    </row>
    <row r="73" spans="3:53" ht="15.75" customHeight="1">
      <c r="C73" s="164" t="str">
        <f t="shared" si="7"/>
        <v>T_F_VHTICEDSL15</v>
      </c>
      <c r="D73" s="165" t="str">
        <f t="shared" ref="D73" si="14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9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R73" s="169"/>
      <c r="S73" s="169"/>
      <c r="T73" s="168"/>
      <c r="U73" s="168"/>
      <c r="V73" s="168"/>
      <c r="W73" s="168"/>
      <c r="X73" s="48"/>
      <c r="Y73" s="50">
        <f>I73/F73</f>
        <v>23.052533745672356</v>
      </c>
      <c r="Z73" s="50"/>
      <c r="AA73" s="156"/>
      <c r="AG73" s="182"/>
      <c r="AH73" s="182"/>
      <c r="AI73" s="182"/>
      <c r="AJ73" s="182"/>
      <c r="AK73" s="182"/>
      <c r="AL73" s="182"/>
    </row>
    <row r="74" spans="3:53" ht="15.75" customHeight="1">
      <c r="C74" s="24" t="str">
        <f t="shared" si="7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9"/>
      <c r="U74" s="46"/>
      <c r="V74" s="49"/>
      <c r="W74" s="49"/>
      <c r="Y74" s="50"/>
      <c r="Z74" s="50"/>
      <c r="AA74" s="156"/>
    </row>
    <row r="75" spans="3:53" ht="15.75" customHeight="1">
      <c r="C75" s="24" t="str">
        <f t="shared" si="7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W75" s="49"/>
      <c r="Y75" s="50">
        <f>SUM(Y72:Y73)</f>
        <v>31.587765479257023</v>
      </c>
      <c r="Z75" s="50"/>
      <c r="AA75" s="156"/>
      <c r="AS75" s="182"/>
      <c r="AT75" s="182"/>
      <c r="AU75" s="182"/>
      <c r="AV75" s="50"/>
      <c r="AW75" s="50"/>
      <c r="AX75" s="50"/>
      <c r="AY75" s="50"/>
      <c r="BA75" s="50"/>
    </row>
    <row r="76" spans="3:53" ht="15.75" customHeight="1">
      <c r="C76" s="24" t="str">
        <f t="shared" si="7"/>
        <v>T_O_FuelJet</v>
      </c>
      <c r="D76" s="23" t="str">
        <f t="shared" ref="D76" si="15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W76" s="49"/>
      <c r="Y76" s="50"/>
      <c r="Z76" s="50"/>
      <c r="AA76" s="156"/>
      <c r="AV76" s="50"/>
      <c r="AW76" s="50"/>
      <c r="AX76" s="50"/>
      <c r="AY76" s="50"/>
      <c r="BA76" s="50"/>
    </row>
    <row r="77" spans="3:53" ht="15.75" customHeight="1">
      <c r="C77" s="24" t="str">
        <f t="shared" si="7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W77" s="49"/>
      <c r="Y77" s="50"/>
      <c r="Z77" s="50"/>
      <c r="AA77" s="156"/>
      <c r="AS77" s="182"/>
      <c r="AT77" s="182"/>
      <c r="AU77" s="182"/>
      <c r="BA77" s="50"/>
    </row>
    <row r="78" spans="3:53" ht="15.75" customHeight="1">
      <c r="C78" s="24" t="str">
        <f t="shared" si="7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49"/>
      <c r="U78" s="22">
        <v>0.97628074499999995</v>
      </c>
      <c r="V78" s="49">
        <v>3</v>
      </c>
      <c r="W78" s="35"/>
      <c r="Y78" s="50"/>
      <c r="Z78" s="50"/>
      <c r="AA78" s="156"/>
    </row>
    <row r="79" spans="3:53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49"/>
      <c r="U79" s="22">
        <v>2.3719255000000002E-2</v>
      </c>
      <c r="V79" s="49">
        <v>3</v>
      </c>
      <c r="W79" s="35"/>
      <c r="Y79" s="50"/>
      <c r="Z79" s="50"/>
      <c r="AA79" s="156"/>
    </row>
    <row r="80" spans="3:53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49"/>
      <c r="U80" s="22">
        <v>0.61748441499999995</v>
      </c>
      <c r="V80" s="49">
        <v>3</v>
      </c>
      <c r="W80" s="35"/>
      <c r="Y80" s="50"/>
      <c r="Z80" s="50"/>
      <c r="AA80" s="156"/>
      <c r="AH80" s="182"/>
      <c r="AI80" s="182"/>
      <c r="AJ80" s="182"/>
      <c r="AK80" s="182"/>
      <c r="AL80" s="182"/>
    </row>
    <row r="81" spans="3:41" ht="15.75" customHeight="1">
      <c r="D81" s="2" t="s">
        <v>65</v>
      </c>
      <c r="U81" s="22">
        <v>0.38251558499999999</v>
      </c>
      <c r="V81" s="49">
        <v>3</v>
      </c>
      <c r="W81" s="35"/>
      <c r="Y81" s="50"/>
    </row>
    <row r="82" spans="3:41" ht="15.75" customHeight="1"/>
    <row r="83" spans="3:41" ht="15.75" customHeight="1">
      <c r="AJ83" s="182"/>
      <c r="AK83" s="182"/>
      <c r="AM83" s="182"/>
      <c r="AN83" s="182"/>
    </row>
    <row r="84" spans="3:41" ht="15.75" customHeight="1">
      <c r="C84" s="37" t="s">
        <v>154</v>
      </c>
      <c r="D84" s="38"/>
    </row>
    <row r="85" spans="3:41" ht="15.75" customHeight="1">
      <c r="C85" s="39" t="s">
        <v>0</v>
      </c>
      <c r="D85" s="40">
        <v>2018</v>
      </c>
    </row>
    <row r="86" spans="3:41" ht="15.75" customHeight="1">
      <c r="C86" s="38" t="str">
        <f t="shared" ref="C86:C91" si="16">+E8</f>
        <v>T_P_Car</v>
      </c>
      <c r="D86" s="47">
        <f t="shared" ref="D86:D98" si="17">+SUMIF($E$51:$E$80,C86,$I$51:$I$80)</f>
        <v>26.712360911112448</v>
      </c>
      <c r="AK86" s="182"/>
      <c r="AL86" s="182"/>
      <c r="AN86" s="182"/>
      <c r="AO86" s="182"/>
    </row>
    <row r="87" spans="3:41" ht="15.75" customHeight="1">
      <c r="C87" s="38" t="str">
        <f t="shared" si="16"/>
        <v>T_C_Car</v>
      </c>
      <c r="D87" s="47">
        <f t="shared" si="17"/>
        <v>6.3551124896014928</v>
      </c>
    </row>
    <row r="88" spans="3:41" ht="15.75" customHeight="1">
      <c r="C88" s="38" t="str">
        <f t="shared" si="16"/>
        <v>T_P_Mcy</v>
      </c>
      <c r="D88" s="47">
        <f t="shared" si="17"/>
        <v>0.3033338106959716</v>
      </c>
    </row>
    <row r="89" spans="3:41" ht="15.75" customHeight="1">
      <c r="C89" s="38" t="str">
        <f t="shared" si="16"/>
        <v>T_P_Bus</v>
      </c>
      <c r="D89" s="47">
        <f t="shared" si="17"/>
        <v>0.21012569231875491</v>
      </c>
    </row>
    <row r="90" spans="3:41" ht="15.75" customHeight="1">
      <c r="C90" s="38" t="str">
        <f t="shared" si="16"/>
        <v>T_F_MTrk</v>
      </c>
      <c r="D90" s="47">
        <f t="shared" si="17"/>
        <v>0.59334234508048844</v>
      </c>
    </row>
    <row r="91" spans="3:41" ht="15.75" customHeight="1">
      <c r="C91" s="38" t="str">
        <f t="shared" si="16"/>
        <v>T_F_HTrk</v>
      </c>
      <c r="D91" s="47">
        <f t="shared" si="17"/>
        <v>0.48224059294753358</v>
      </c>
    </row>
    <row r="92" spans="3:41" ht="15.75" customHeight="1">
      <c r="C92" s="38" t="s">
        <v>301</v>
      </c>
      <c r="D92" s="47">
        <f t="shared" si="17"/>
        <v>1.0834690860466007</v>
      </c>
    </row>
    <row r="93" spans="3:41" ht="15.75" customHeight="1">
      <c r="C93" s="38" t="str">
        <f>+E17</f>
        <v>T_F_DSHIP</v>
      </c>
      <c r="D93" s="47">
        <f t="shared" si="17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1" ht="15.75" customHeight="1">
      <c r="C94" s="38" t="str">
        <f>+E18</f>
        <v>T_F_ISHIP</v>
      </c>
      <c r="D94" s="47">
        <f t="shared" si="17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1" ht="15.75" customHeight="1">
      <c r="C95" s="38" t="str">
        <f>+E19</f>
        <v>T_O_JET</v>
      </c>
      <c r="D95" s="47">
        <f t="shared" si="17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1" ht="15.75" customHeight="1">
      <c r="C96" s="38" t="str">
        <f>+E20</f>
        <v>T_O_JET_Int</v>
      </c>
      <c r="D96" s="47">
        <f t="shared" si="17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7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7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2025-12-02T17:13:28Z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