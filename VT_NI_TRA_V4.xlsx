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4ABFE144-ACE0-4723-8742-7D8D2CB8A5E1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7" i="155" l="1"/>
  <c r="R56" i="155"/>
  <c r="X57" i="155"/>
  <c r="X56" i="155"/>
  <c r="X55" i="155"/>
  <c r="X54" i="155"/>
  <c r="X53" i="155"/>
  <c r="X52" i="155"/>
  <c r="X51" i="155"/>
  <c r="O57" i="155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<sst xmlns="http://schemas.openxmlformats.org/spreadsheetml/2006/main" count="938" uniqueCount="368">
  <si>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</si>
  <si>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</si>
  <si>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</si>
  <si>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</si>
  <si>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</si>
  <si>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</si>
  <si>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</si>
  <si>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</si>
  <si>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</si>
  <si>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</si>
  <si>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</si>
  <si>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</si>
  <si>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</si>
  <si>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</si>
  <si>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</si>
  <si>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</si>
  <si>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</si>
  <si>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</si>
  <si>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</si>
  <si>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</si>
  <si>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</si>
  <si>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</si>
  <si>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</si>
  <si>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</si>
  <si>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</si>
  <si>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</si>
  <si>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</si>
  <si>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</si>
  <si>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</si>
  <si>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</si>
  <si>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</si>
  <si>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</si>
  <si>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</si>
  <si>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</si>
  <si>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</si>
  <si>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</si>
  <si>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</si>
  <si>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</si>
  <si>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</si>
  <si>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</si>
  <si>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</si>
  <si>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</si>
  <si>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</si>
  <si>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</si>
  <si>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</si>
  <si>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</si>
  <si>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</si>
  <si>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</si>
  <si>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</si>
  <si>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</si>
  <si>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</si>
  <si>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</si>
  <si>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</si>
  <si>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</si>
  <si>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</si>
  <si>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</si>
  <si>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</si>
  <si>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</si>
  <si>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</si>
  <si>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</si>
  <si>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</si>
  <si>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</si>
  <si>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</si>
  <si>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</si>
  <si>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</si>
  <si>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</si>
  <si>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</si>
  <si>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</si>
  <si>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</si>
  <si>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</si>
  <si>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</si>
  <si>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</si>
  <si>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</si>
  <si>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</si>
  <si>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</si>
  <si>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</si>
  <si>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</si>
  <si>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</si>
  <si>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</si>
  <si>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</si>
  <si>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</si>
  <si>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</si>
  <si>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</si>
  <si>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</si>
  <si>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</si>
  <si>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</si>
  <si>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</si>
  <si>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</si>
  <si>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</si>
  <si>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</si>
  <si>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</si>
  <si>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</si>
  <si>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</si>
  <si>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</si>
  <si>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</si>
  <si>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</si>
  <si>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</si>
  <si>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</si>
  <si>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</si>
  <si>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</si>
  <si>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</si>
  <si>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</si>
  <si>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</si>
  <si>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</si>
  <si>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</si>
  <si>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</si>
  <si>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</si>
  <si>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</si>
  <si>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</si>
  <si>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</si>
  <si>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</si>
  <si>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</si>
  <si>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</si>
  <si>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</si>
  <si>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</si>
  <si>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</si>
  <si>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</si>
  <si>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</si>
  <si>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</si>
  <si>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</si>
  <si>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</si>
  <si>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</si>
  <si>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</si>
  <si>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</si>
  <si>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</si>
  <si>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</si>
  <si>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</si>
  <si>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</si>
  <si>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</si>
  <si>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</si>
  <si>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</si>
  <si>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</si>
  <si>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</si>
  <si>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</si>
  <si>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</si>
  <si>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</si>
  <si>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</si>
  <si>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</si>
  <si>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</si>
  <si>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</si>
  <si>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</si>
  <si>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</si>
  <si>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</si>
  <si>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</si>
  <si>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</si>
  <si>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</si>
  <si>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</si>
  <si>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</si>
  <si>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</si>
  <si>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</si>
  <si>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</si>
  <si>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</si>
  <si>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</si>
  <si>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</si>
  <si>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</si>
  <si>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</si>
  <si>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</si>
  <si>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</si>
  <si>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</si>
  <si>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</si>
  <si>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</si>
  <si>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</si>
  <si>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</si>
  <si>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</si>
  <si>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</si>
  <si>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</si>
  <si>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</si>
  <si>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</si>
  <si>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</si>
  <si>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</si>
  <si>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</si>
  <si>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</si>
  <si>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</si>
  <si>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</si>
  <si>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</si>
  <si>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</si>
  <si>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</si>
  <si>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</si>
  <si>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</si>
  <si>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</si>
  <si>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</si>
  <si>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</si>
  <si>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</si>
  <si>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</si>
  <si>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</si>
  <si>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</si>
  <si>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</si>
  <si>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</si>
  <si>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</si>
  <si>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</si>
  <si>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</si>
  <si>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</si>
  <si>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</si>
  <si>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</si>
  <si>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</si>
  <si>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</si>
  <si>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</si>
  <si>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</si>
  <si>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</si>
  <si>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</si>
  <si>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</si>
  <si>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</si>
  <si>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</si>
  <si>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</si>
  <si>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</si>
  <si>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</si>
  <si>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</si>
  <si>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</si>
  <si>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</si>
  <si>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</si>
  <si>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</si>
  <si>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</si>
  <si>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</si>
  <si>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</si>
  <si>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</si>
  <si>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</si>
  <si>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</si>
  <si>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</si>
  <si>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</si>
  <si>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</si>
  <si>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</si>
  <si>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</si>
  <si>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</si>
  <si>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</si>
  <si>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</si>
  <si>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</si>
  <si>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</si>
  <si>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</si>
  <si>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</si>
  <si>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</si>
  <si>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</si>
  <si>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</si>
  <si>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</si>
  <si>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</si>
  <si>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</si>
  <si>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</si>
  <si>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</si>
  <si>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</si>
  <si>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</si>
  <si>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</si>
  <si>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</si>
  <si>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</si>
  <si>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</si>
  <si>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</si>
  <si>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</si>
  <si>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</si>
  <si>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</si>
  <si>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</si>
  <si>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</si>
  <si>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</si>
  <si>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</si>
  <si>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</si>
  <si>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</si>
  <si>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</si>
  <si>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</si>
  <si>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</si>
  <si>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</si>
  <si>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</si>
  <si>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</si>
  <si>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</si>
  <si>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</si>
  <si>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</si>
  <si>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</si>
  <si>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</si>
  <si>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</si>
  <si>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</si>
  <si>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</si>
  <si>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</si>
  <si>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</si>
  <si>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</si>
  <si>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</si>
  <si>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</si>
  <si>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</si>
  <si>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</si>
  <si>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</si>
  <si>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</si>
  <si>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</si>
  <si>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</si>
  <si>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</si>
  <si>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</si>
  <si>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</si>
  <si>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</si>
  <si>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</si>
  <si>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</si>
  <si>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</si>
  <si>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</si>
  <si>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</si>
  <si>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</si>
  <si>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</si>
  <si>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</si>
  <si>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</si>
  <si>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</si>
  <si>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</si>
  <si>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</si>
  <si>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</si>
  <si>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</si>
  <si>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</si>
  <si>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</si>
  <si>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</si>
  <si>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</si>
  <si>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</si>
  <si>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</si>
  <si>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</si>
  <si>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</si>
  <si>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</si>
  <si>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</si>
  <si>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</si>
  <si>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</si>
  <si>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</si>
  <si>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</si>
  <si>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</si>
  <si>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</si>
  <si>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</si>
  <si>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</si>
  <si>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</si>
  <si>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</si>
  <si>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</si>
  <si>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</si>
  <si>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</si>
  <si>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</si>
  <si>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</si>
  <si>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</si>
  <si>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</si>
  <si>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</si>
  <si>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</si>
  <si>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</si>
  <si>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</si>
  <si>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</si>
  <si>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</si>
  <si>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</si>
  <si>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</si>
  <si>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</si>
  <si>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</si>
  <si>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</si>
  <si>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</si>
  <si>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</si>
  <si>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</si>
  <si>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</si>
  <si>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</si>
  <si>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</si>
  <si>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</si>
  <si>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</si>
  <si>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</si>
  <si>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</si>
  <si>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</si>
  <si>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</si>
  <si>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</si>
  <si>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</si>
  <si>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</si>
  <si>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</si>
  <si>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</si>
  <si>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</si>
  <si>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</si>
  <si>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</si>
  <si>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</si>
  <si>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</si>
  <si>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</si>
  <si>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</si>
  <si>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</si>
  <si>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</si>
  <si>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</si>
  <si>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</si>
  <si>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</si>
  <si>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</si>
  <si>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</si>
  <si>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PRC_resid~2045</t>
  </si>
  <si>
    <t>NCAP_AFA~2025</t>
  </si>
  <si>
    <t>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</si>
</sst>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3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16922" applyNumberFormat="1" applyFont="1" applyFill="1" applyBorder="1"/>
    <xf numFmtId="167" fontId="59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300" t="s">
        <v>201</v>
      </c>
      <c r="C5" s="297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5"/>
      <c r="C6" s="298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5"/>
      <c r="C7" s="298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5"/>
      <c r="C8" s="298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5"/>
      <c r="C9" s="298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5"/>
      <c r="C10" s="298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5"/>
      <c r="C11" s="298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5"/>
      <c r="C12" s="299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5"/>
      <c r="C13" s="297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5"/>
      <c r="C14" s="298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301"/>
      <c r="C15" s="292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301"/>
      <c r="C16" s="292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301"/>
      <c r="C17" s="299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4" t="s">
        <v>213</v>
      </c>
      <c r="C18" s="297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5"/>
      <c r="C19" s="298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5"/>
      <c r="C20" s="299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6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4" t="s">
        <v>217</v>
      </c>
      <c r="C23" s="297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5"/>
      <c r="C24" s="298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6"/>
      <c r="C25" s="299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7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8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7" t="s">
        <v>225</v>
      </c>
      <c r="C29" s="290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9"/>
      <c r="C30" s="291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9"/>
      <c r="C31" s="292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8"/>
      <c r="C32" s="293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7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8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37" zoomScaleNormal="100" workbookViewId="0">
      <selection activeCell="R57" sqref="R57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366</v>
      </c>
      <c r="P48" s="120" t="s">
        <v>274</v>
      </c>
      <c r="Q48" s="119" t="s">
        <v>364</v>
      </c>
      <c r="R48" s="119" t="s">
        <v>275</v>
      </c>
      <c r="S48" s="119" t="s">
        <v>365</v>
      </c>
      <c r="T48" s="119" t="s">
        <v>276</v>
      </c>
      <c r="U48" s="119" t="s">
        <v>261</v>
      </c>
      <c r="V48" s="119" t="s">
        <v>262</v>
      </c>
      <c r="W48" s="119" t="s">
        <v>295</v>
      </c>
      <c r="X48" s="119" t="s">
        <v>367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  <c r="X49" s="122"/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  <c r="X50" s="122"/>
    </row>
    <row r="51" spans="2:35" ht="15.75" customHeight="1">
      <c r="B51" s="302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6">
        <f>L51</f>
        <v>0.1330791275965717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285">
        <f>L51*40/45</f>
        <v>0.11829255786361929</v>
      </c>
      <c r="Y51" s="50"/>
      <c r="Z51" s="50"/>
      <c r="AA51" s="156"/>
      <c r="AE51" s="172"/>
      <c r="AF51" s="172"/>
    </row>
    <row r="52" spans="2:35" ht="15.75" customHeight="1">
      <c r="B52" s="302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6">
        <f t="shared" ref="O52:O57" si="5">L52</f>
        <v>0.16652648589847888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285">
        <f>L52*40/45</f>
        <v>0.14802354302087012</v>
      </c>
      <c r="Y52" s="50"/>
      <c r="Z52" s="50"/>
      <c r="AA52" s="156"/>
      <c r="AE52" s="172"/>
      <c r="AF52" s="172"/>
    </row>
    <row r="53" spans="2:35" ht="15.75" customHeight="1">
      <c r="B53" s="302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6">
        <f t="shared" si="5"/>
        <v>9.6019078547742456E-2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285">
        <f>L53*40/45</f>
        <v>8.5350292042437742E-2</v>
      </c>
      <c r="Y53" s="50"/>
      <c r="Z53" s="50"/>
      <c r="AA53" s="156"/>
      <c r="AE53" s="172"/>
      <c r="AF53" s="172"/>
    </row>
    <row r="54" spans="2:35" ht="15.75" customHeight="1">
      <c r="B54" s="302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6">
        <f t="shared" si="5"/>
        <v>8.161621676558109E-2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285">
        <f>L54*40/45</f>
        <v>7.2547748236072074E-2</v>
      </c>
      <c r="Y54" s="50"/>
      <c r="Z54" s="50"/>
      <c r="AA54" s="156"/>
      <c r="AE54" s="172"/>
      <c r="AF54" s="172"/>
    </row>
    <row r="55" spans="2:35" ht="15.75" customHeight="1">
      <c r="B55" s="302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6">
        <f t="shared" si="5"/>
        <v>0.23845860358641741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285">
        <f>L55*40/45</f>
        <v>0.21196320318792658</v>
      </c>
      <c r="Y55" s="50"/>
      <c r="Z55" s="50"/>
      <c r="AA55" s="156"/>
      <c r="AE55" s="172"/>
      <c r="AF55" s="173"/>
    </row>
    <row r="56" spans="2:35" ht="15.75" customHeight="1">
      <c r="B56" s="302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6">
        <f t="shared" si="5"/>
        <v>0.18972353970195155</v>
      </c>
      <c r="P56" s="193">
        <f>+EECA_data_18!N10*EECA_data_18!S10</f>
        <v>22.956120953936896</v>
      </c>
      <c r="Q56" s="112">
        <f>290*$S$39</f>
        <v>204.29979402183909</v>
      </c>
      <c r="R56" s="112">
        <f>Q56</f>
        <v>204.29979402183909</v>
      </c>
      <c r="S56" s="112"/>
      <c r="T56" s="113"/>
      <c r="U56" s="113"/>
      <c r="V56" s="113"/>
      <c r="W56" s="113"/>
      <c r="X56" s="285">
        <f>L56*40/45</f>
        <v>0.16864314640173472</v>
      </c>
      <c r="Y56" s="50"/>
      <c r="Z56" s="50"/>
      <c r="AA56" s="156"/>
      <c r="AE56" s="172"/>
      <c r="AF56" s="172"/>
    </row>
    <row r="57" spans="2:35" ht="15.75" customHeight="1">
      <c r="B57" s="302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6">
        <f t="shared" si="5"/>
        <v>0.14002830438792696</v>
      </c>
      <c r="P57" s="193">
        <f>+EECA_data_18!N11*EECA_data_18!S11</f>
        <v>1.9853052449362099</v>
      </c>
      <c r="Q57" s="112">
        <f>35*$S$39</f>
        <v>24.656871692290924</v>
      </c>
      <c r="R57" s="112">
        <f>Q57</f>
        <v>24.656871692290924</v>
      </c>
      <c r="S57" s="112"/>
      <c r="T57" s="113"/>
      <c r="U57" s="113"/>
      <c r="V57" s="113"/>
      <c r="W57" s="113"/>
      <c r="X57" s="285">
        <f>L57*40/45</f>
        <v>0.12446960390037951</v>
      </c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2"/>
      <c r="C60" s="114" t="str">
        <f t="shared" ref="C60:C78" si="7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2"/>
      <c r="C61" s="114" t="str">
        <f t="shared" si="7"/>
        <v>T_C_CICEDSL15</v>
      </c>
      <c r="D61" s="115" t="str">
        <f t="shared" si="3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2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2"/>
      <c r="C63" s="114" t="str">
        <f t="shared" si="7"/>
        <v>T_C_CICELPG15</v>
      </c>
      <c r="D63" s="115" t="str">
        <f t="shared" si="3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2"/>
      <c r="C64" s="114" t="str">
        <f t="shared" si="7"/>
        <v>T_C_CHYBPET15</v>
      </c>
      <c r="D64" s="115" t="str">
        <f t="shared" si="3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6"/>
        <v>T_C_Car</v>
      </c>
      <c r="D87" s="47">
        <f t="shared" si="17"/>
        <v>6.3551124896014928</v>
      </c>
    </row>
    <row r="88" spans="3:41" ht="15.75" customHeight="1">
      <c r="C88" s="38" t="str">
        <f t="shared" si="16"/>
        <v>T_P_Mcy</v>
      </c>
      <c r="D88" s="47">
        <f t="shared" si="17"/>
        <v>0.3033338106959716</v>
      </c>
    </row>
    <row r="89" spans="3:41" ht="15.75" customHeight="1">
      <c r="C89" s="38" t="str">
        <f t="shared" si="16"/>
        <v>T_P_Bus</v>
      </c>
      <c r="D89" s="47">
        <f t="shared" si="17"/>
        <v>0.21012569231875491</v>
      </c>
    </row>
    <row r="90" spans="3:41" ht="15.75" customHeight="1">
      <c r="C90" s="38" t="str">
        <f t="shared" si="16"/>
        <v>T_F_MTrk</v>
      </c>
      <c r="D90" s="47">
        <f t="shared" si="17"/>
        <v>0.59334234508048844</v>
      </c>
    </row>
    <row r="91" spans="3:41" ht="15.75" customHeight="1">
      <c r="C91" s="38" t="str">
        <f t="shared" si="16"/>
        <v>T_F_HTrk</v>
      </c>
      <c r="D91" s="47">
        <f t="shared" si="17"/>
        <v>0.48224059294753358</v>
      </c>
    </row>
    <row r="92" spans="3:41" ht="15.75" customHeight="1">
      <c r="C92" s="38" t="s">
        <v>301</v>
      </c>
      <c r="D92" s="47">
        <f t="shared" si="17"/>
        <v>1.0834690860466007</v>
      </c>
    </row>
    <row r="93" spans="3:41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2025-12-02T20:27:03Z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