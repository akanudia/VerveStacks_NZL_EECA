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F9B62656-2C2F-4585-8016-9198BD56876D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7" i="161" l="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<sst xmlns="http://schemas.openxmlformats.org/spreadsheetml/2006/main" count="1083" uniqueCount="362">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</sst>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4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356</v>
      </c>
    </row>
    <row r="2" spans="1:1">
      <c r="A2" t="s">
        <v>352</v>
      </c>
    </row>
    <row r="3" spans="1:1">
      <c r="A3" t="s">
        <v>353</v>
      </c>
    </row>
    <row r="4" spans="1:1">
      <c r="A4" t="s">
        <v>354</v>
      </c>
    </row>
    <row r="5" spans="1:1">
      <c r="A5" t="s">
        <v>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273</v>
      </c>
      <c r="T4" s="63" t="s">
        <v>200</v>
      </c>
    </row>
    <row r="5" spans="1:20" ht="13.15" thickBot="1">
      <c r="B5" s="281" t="s">
        <v>201</v>
      </c>
      <c r="C5" s="278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6"/>
      <c r="C6" s="279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6"/>
      <c r="C7" s="279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6"/>
      <c r="C8" s="279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6"/>
      <c r="C9" s="279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6"/>
      <c r="C10" s="279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6"/>
      <c r="C11" s="279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6"/>
      <c r="C12" s="280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6"/>
      <c r="C13" s="278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6"/>
      <c r="C14" s="279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2"/>
      <c r="C15" s="273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2"/>
      <c r="C16" s="273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2"/>
      <c r="C17" s="280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5" t="s">
        <v>213</v>
      </c>
      <c r="C18" s="278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6"/>
      <c r="C19" s="279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6"/>
      <c r="C20" s="280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7"/>
      <c r="C21" s="94" t="s">
        <v>318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319</v>
      </c>
      <c r="D22" s="98" t="s">
        <v>320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5" t="s">
        <v>218</v>
      </c>
      <c r="C23" s="278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6"/>
      <c r="C24" s="279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7"/>
      <c r="C25" s="280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68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69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68" t="s">
        <v>226</v>
      </c>
      <c r="C29" s="271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0"/>
      <c r="C30" s="272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0"/>
      <c r="C31" s="273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69"/>
      <c r="C32" s="274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68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69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274</v>
      </c>
      <c r="B1" s="236" t="s">
        <v>274</v>
      </c>
      <c r="C1" s="219" t="s">
        <v>275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276</v>
      </c>
      <c r="S1" s="220" t="s">
        <v>275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277</v>
      </c>
      <c r="B2" s="239" t="s">
        <v>277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277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278</v>
      </c>
      <c r="B3" s="237" t="s">
        <v>278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278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279</v>
      </c>
      <c r="B4" s="239" t="s">
        <v>279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279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280</v>
      </c>
      <c r="B5" s="237" t="s">
        <v>280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280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320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320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281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282</v>
      </c>
      <c r="B9" s="239" t="s">
        <v>281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281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283</v>
      </c>
      <c r="B10" s="237" t="s">
        <v>282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282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284</v>
      </c>
      <c r="B11" s="239" t="s">
        <v>283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283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285</v>
      </c>
      <c r="B12" s="237" t="s">
        <v>284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284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286</v>
      </c>
      <c r="B13" s="239" t="s">
        <v>285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285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286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286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274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277</v>
      </c>
      <c r="B16" s="236" t="s">
        <v>274</v>
      </c>
      <c r="C16" s="219" t="s">
        <v>287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276</v>
      </c>
      <c r="S16" s="222" t="s">
        <v>287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278</v>
      </c>
      <c r="B17" s="239" t="s">
        <v>277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277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279</v>
      </c>
      <c r="B18" s="237" t="s">
        <v>278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278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280</v>
      </c>
      <c r="B19" s="239" t="s">
        <v>279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279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280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280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320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320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281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282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283</v>
      </c>
      <c r="B24" s="239" t="s">
        <v>281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281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284</v>
      </c>
      <c r="B25" s="237" t="s">
        <v>282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282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285</v>
      </c>
      <c r="B26" s="239" t="s">
        <v>283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283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286</v>
      </c>
      <c r="B27" s="237" t="s">
        <v>284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284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285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285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286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286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288</v>
      </c>
      <c r="M36" s="175" t="s">
        <v>289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290</v>
      </c>
      <c r="L43" s="175">
        <v>0.66</v>
      </c>
    </row>
    <row r="44" spans="10:13">
      <c r="J44" s="175" t="s">
        <v>225</v>
      </c>
      <c r="K44" s="175" t="s">
        <v>290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334</v>
      </c>
      <c r="F6" s="14" t="s">
        <v>332</v>
      </c>
      <c r="G6" s="14" t="s">
        <v>3</v>
      </c>
      <c r="H6" s="14" t="s">
        <v>331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324</v>
      </c>
      <c r="U6" s="5" t="s">
        <v>325</v>
      </c>
      <c r="V6" s="5" t="s">
        <v>333</v>
      </c>
      <c r="W6" s="5" t="s">
        <v>334</v>
      </c>
      <c r="X6" s="5" t="s">
        <v>2</v>
      </c>
      <c r="Y6" s="245" t="s">
        <v>335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272</v>
      </c>
      <c r="D8" s="32" t="s">
        <v>53</v>
      </c>
      <c r="E8" s="32" t="s">
        <v>327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272</v>
      </c>
      <c r="D9" s="32" t="s">
        <v>54</v>
      </c>
      <c r="E9" s="32" t="s">
        <v>328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358</v>
      </c>
      <c r="R9" s="18" t="s">
        <v>272</v>
      </c>
      <c r="S9" s="24" t="str">
        <f t="shared" ref="S9:S15" si="1">$A$19&amp;D8</f>
        <v>FTE_TRANGA</v>
      </c>
      <c r="T9" s="32" t="s">
        <v>326</v>
      </c>
      <c r="U9" s="32"/>
      <c r="V9" s="32"/>
      <c r="W9" s="32" t="s">
        <v>327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272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272</v>
      </c>
      <c r="S10" s="24" t="str">
        <f t="shared" si="1"/>
        <v>FTE_TRABIL</v>
      </c>
      <c r="T10" s="32" t="s">
        <v>326</v>
      </c>
      <c r="U10" s="32"/>
      <c r="V10" s="32"/>
      <c r="W10" s="32" t="s">
        <v>328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272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272</v>
      </c>
      <c r="S11" s="24" t="str">
        <f t="shared" si="1"/>
        <v>FTE_TRALPG</v>
      </c>
      <c r="T11" s="32" t="s">
        <v>326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272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272</v>
      </c>
      <c r="S12" s="24" t="str">
        <f t="shared" si="1"/>
        <v>FTE_TRAPET</v>
      </c>
      <c r="T12" s="32" t="s">
        <v>326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272</v>
      </c>
      <c r="D13" s="32" t="s">
        <v>71</v>
      </c>
      <c r="E13" s="32" t="s">
        <v>329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272</v>
      </c>
      <c r="S13" s="24" t="str">
        <f t="shared" si="1"/>
        <v>FTE_TRADSL</v>
      </c>
      <c r="T13" s="32" t="s">
        <v>326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272</v>
      </c>
      <c r="D14" s="32" t="s">
        <v>79</v>
      </c>
      <c r="E14" s="32" t="s">
        <v>330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272</v>
      </c>
      <c r="S14" s="24" t="str">
        <f t="shared" si="1"/>
        <v>FTE_TRAJET</v>
      </c>
      <c r="T14" s="32" t="s">
        <v>326</v>
      </c>
      <c r="U14" s="32"/>
      <c r="V14" s="32"/>
      <c r="W14" s="32" t="s">
        <v>329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272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314</v>
      </c>
      <c r="R15" s="18" t="s">
        <v>272</v>
      </c>
      <c r="S15" s="24" t="str">
        <f t="shared" si="1"/>
        <v>FTE_TRAH2R</v>
      </c>
      <c r="T15" s="32" t="s">
        <v>326</v>
      </c>
      <c r="U15" s="32"/>
      <c r="V15" s="32"/>
      <c r="W15" s="32" t="s">
        <v>330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272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272</v>
      </c>
      <c r="S16" s="24" t="s">
        <v>174</v>
      </c>
      <c r="T16" s="32" t="s">
        <v>326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272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272</v>
      </c>
      <c r="S17" s="24" t="str">
        <f>$A$19&amp;D16</f>
        <v>FTE_TRAFOL</v>
      </c>
      <c r="T17" s="32" t="s">
        <v>326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305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316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310</v>
      </c>
      <c r="L24" s="34" t="s">
        <v>311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315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317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314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306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307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309</v>
      </c>
      <c r="M40" s="225"/>
    </row>
    <row r="41" spans="2:13" ht="15.75" customHeight="1">
      <c r="B41" s="211" t="s">
        <v>308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C19" zoomScaleNormal="100" workbookViewId="0">
      <selection activeCell="P48" sqref="P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334</v>
      </c>
      <c r="G6" s="247" t="s">
        <v>332</v>
      </c>
      <c r="H6" s="247" t="s">
        <v>3</v>
      </c>
      <c r="I6" s="247" t="s">
        <v>331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324</v>
      </c>
      <c r="W6" s="251" t="s">
        <v>325</v>
      </c>
      <c r="X6" s="251" t="s">
        <v>333</v>
      </c>
      <c r="Y6" s="251" t="s">
        <v>334</v>
      </c>
      <c r="Z6" s="251" t="s">
        <v>2</v>
      </c>
      <c r="AA6" s="5" t="s">
        <v>335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303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304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272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272</v>
      </c>
      <c r="E9" s="32" t="s">
        <v>179</v>
      </c>
      <c r="F9" s="32"/>
      <c r="G9" s="32" t="s">
        <v>337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272</v>
      </c>
      <c r="U9" s="24" t="str">
        <f>+LEFT($E$8,5)&amp;LEFT(EECA_data_18!F5,4)&amp;LEFT(EECA_data_18!H5,3)&amp;"15"</f>
        <v>T_P_CICEPET15</v>
      </c>
      <c r="V9" s="24" t="s">
        <v>326</v>
      </c>
      <c r="W9" s="24" t="s">
        <v>336</v>
      </c>
      <c r="X9" s="24" t="s">
        <v>344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291</v>
      </c>
      <c r="AD9" s="18"/>
      <c r="AE9" s="18"/>
      <c r="AF9" s="18"/>
    </row>
    <row r="10" spans="2:32" ht="15.75" customHeight="1">
      <c r="C10" s="18"/>
      <c r="D10" s="18" t="s">
        <v>272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272</v>
      </c>
      <c r="U10" s="24" t="str">
        <f>+LEFT($E$8,5)&amp;LEFT(EECA_data_18!F6,4)&amp;LEFT(EECA_data_18!H6,3)&amp;"15"</f>
        <v>T_P_CICEDSL15</v>
      </c>
      <c r="V10" s="24" t="s">
        <v>326</v>
      </c>
      <c r="W10" s="24" t="s">
        <v>336</v>
      </c>
      <c r="X10" s="24" t="s">
        <v>344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291</v>
      </c>
      <c r="AD10" s="18"/>
      <c r="AE10" s="18"/>
      <c r="AF10" s="18"/>
    </row>
    <row r="11" spans="2:32" ht="15.75" customHeight="1">
      <c r="C11" s="18"/>
      <c r="D11" s="18" t="s">
        <v>272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272</v>
      </c>
      <c r="U11" s="24" t="str">
        <f>+LEFT($E$8,5)&amp;LEFT(EECA_data_18!F7,4)&amp;LEFT(EECA_data_18!H7,3)&amp;"15"</f>
        <v>T_P_CBEVNEW15</v>
      </c>
      <c r="V11" s="24" t="s">
        <v>326</v>
      </c>
      <c r="W11" s="24" t="s">
        <v>336</v>
      </c>
      <c r="X11" s="24" t="s">
        <v>345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291</v>
      </c>
      <c r="AD11" s="18"/>
      <c r="AE11" s="18"/>
      <c r="AF11" s="18"/>
    </row>
    <row r="12" spans="2:32" ht="15.75" customHeight="1">
      <c r="C12" s="18"/>
      <c r="D12" s="18" t="s">
        <v>272</v>
      </c>
      <c r="E12" s="18" t="s">
        <v>252</v>
      </c>
      <c r="F12" s="32"/>
      <c r="G12" s="32" t="s">
        <v>215</v>
      </c>
      <c r="H12" s="18" t="str">
        <f t="shared" si="0"/>
        <v xml:space="preserve"> -:- Medium Truck</v>
      </c>
      <c r="I12" s="18" t="s">
        <v>254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272</v>
      </c>
      <c r="U12" s="24" t="str">
        <f>+LEFT($E$8,5)&amp;LEFT(EECA_data_18!F8,4)&amp;LEFT(EECA_data_18!H8,3)&amp;"15"</f>
        <v>T_P_CBEVUSD15</v>
      </c>
      <c r="V12" s="24" t="s">
        <v>326</v>
      </c>
      <c r="W12" s="24" t="s">
        <v>336</v>
      </c>
      <c r="X12" s="24" t="s">
        <v>345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291</v>
      </c>
      <c r="AD12" s="18"/>
      <c r="AE12" s="18"/>
      <c r="AF12" s="18"/>
    </row>
    <row r="13" spans="2:32" ht="15.75" customHeight="1">
      <c r="C13" s="18"/>
      <c r="D13" s="18" t="s">
        <v>272</v>
      </c>
      <c r="E13" s="18" t="s">
        <v>253</v>
      </c>
      <c r="F13" s="32"/>
      <c r="G13" s="32" t="s">
        <v>280</v>
      </c>
      <c r="H13" s="18" t="str">
        <f t="shared" si="0"/>
        <v xml:space="preserve"> -:- Heavy Truck</v>
      </c>
      <c r="I13" s="18" t="s">
        <v>255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272</v>
      </c>
      <c r="U13" s="24" t="str">
        <f>+LEFT($E$8,5)&amp;LEFT(EECA_data_18!F9,4)&amp;LEFT(EECA_data_18!H9,3)&amp;"15"</f>
        <v>T_P_CICELPG15</v>
      </c>
      <c r="V13" s="24" t="s">
        <v>326</v>
      </c>
      <c r="W13" s="24" t="s">
        <v>336</v>
      </c>
      <c r="X13" s="24" t="s">
        <v>344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291</v>
      </c>
      <c r="AD13" s="18"/>
      <c r="AE13" s="18"/>
      <c r="AF13" s="18"/>
    </row>
    <row r="14" spans="2:32" ht="15.75" customHeight="1">
      <c r="C14" s="18"/>
      <c r="D14" s="18" t="s">
        <v>272</v>
      </c>
      <c r="E14" s="18" t="s">
        <v>321</v>
      </c>
      <c r="F14" s="32"/>
      <c r="G14" s="32" t="s">
        <v>320</v>
      </c>
      <c r="H14" s="18" t="str">
        <f t="shared" si="0"/>
        <v xml:space="preserve"> -:- Very Heavy Truck</v>
      </c>
      <c r="I14" s="18" t="s">
        <v>322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272</v>
      </c>
      <c r="U14" s="24" t="str">
        <f>+LEFT($E$8,5)&amp;LEFT(EECA_data_18!F10,4)&amp;LEFT(EECA_data_18!H10,3)&amp;"15"</f>
        <v>T_P_CHYBPET15</v>
      </c>
      <c r="V14" s="24" t="s">
        <v>326</v>
      </c>
      <c r="W14" s="24" t="s">
        <v>336</v>
      </c>
      <c r="X14" s="24" t="s">
        <v>346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291</v>
      </c>
      <c r="AD14" s="18"/>
      <c r="AE14" s="18"/>
      <c r="AF14" s="18"/>
    </row>
    <row r="15" spans="2:32" ht="15.75" customHeight="1" thickBot="1">
      <c r="C15" s="18"/>
      <c r="D15" s="18" t="s">
        <v>272</v>
      </c>
      <c r="E15" s="18" t="s">
        <v>185</v>
      </c>
      <c r="F15" s="32"/>
      <c r="G15" s="32" t="s">
        <v>338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272</v>
      </c>
      <c r="U15" s="137" t="str">
        <f>+LEFT($E$8,5)&amp;LEFT(EECA_data_18!F11,4)&amp;LEFT(EECA_data_18!H11,3)&amp;"15"</f>
        <v>T_P_CPHEVPET15</v>
      </c>
      <c r="V15" s="137" t="s">
        <v>326</v>
      </c>
      <c r="W15" s="137" t="s">
        <v>336</v>
      </c>
      <c r="X15" s="137" t="s">
        <v>347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291</v>
      </c>
      <c r="AD15" s="136"/>
      <c r="AE15" s="136"/>
      <c r="AF15" s="136"/>
    </row>
    <row r="16" spans="2:32" ht="15.75" customHeight="1">
      <c r="C16" s="18"/>
      <c r="D16" s="18" t="s">
        <v>272</v>
      </c>
      <c r="E16" s="18" t="s">
        <v>175</v>
      </c>
      <c r="F16" s="32"/>
      <c r="G16" s="32" t="s">
        <v>286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272</v>
      </c>
      <c r="U16" s="140" t="str">
        <f>+LEFT($E$9,5)&amp;LEFT(EECA_data_18!F13,4)&amp;LEFT(EECA_data_18!H13,3)&amp;"15"</f>
        <v>T_C_CICEPET15</v>
      </c>
      <c r="V16" s="140" t="s">
        <v>326</v>
      </c>
      <c r="W16" s="140" t="s">
        <v>336</v>
      </c>
      <c r="X16" s="140" t="s">
        <v>344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291</v>
      </c>
      <c r="AD16" s="139"/>
      <c r="AE16" s="139"/>
      <c r="AF16" s="139"/>
    </row>
    <row r="17" spans="3:32" ht="15.75" customHeight="1">
      <c r="C17" s="18"/>
      <c r="D17" s="18" t="s">
        <v>272</v>
      </c>
      <c r="E17" s="18" t="s">
        <v>267</v>
      </c>
      <c r="F17" s="32"/>
      <c r="G17" s="32" t="s">
        <v>340</v>
      </c>
      <c r="H17" s="18" t="str">
        <f t="shared" si="0"/>
        <v xml:space="preserve"> -:- Domestic Shipping</v>
      </c>
      <c r="I17" s="18" t="s">
        <v>265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272</v>
      </c>
      <c r="U17" s="143" t="str">
        <f>+LEFT($E$9,5)&amp;LEFT(EECA_data_18!F14,4)&amp;LEFT(EECA_data_18!H14,3)&amp;"15"</f>
        <v>T_C_CICEDSL15</v>
      </c>
      <c r="V17" s="143" t="s">
        <v>326</v>
      </c>
      <c r="W17" s="143" t="s">
        <v>336</v>
      </c>
      <c r="X17" s="143" t="s">
        <v>344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291</v>
      </c>
      <c r="AD17" s="142"/>
      <c r="AE17" s="142"/>
      <c r="AF17" s="142"/>
    </row>
    <row r="18" spans="3:32" ht="15.75" customHeight="1">
      <c r="C18" s="18"/>
      <c r="D18" s="18" t="s">
        <v>272</v>
      </c>
      <c r="E18" s="18" t="s">
        <v>268</v>
      </c>
      <c r="F18" s="32"/>
      <c r="G18" s="32" t="s">
        <v>341</v>
      </c>
      <c r="H18" s="18" t="str">
        <f t="shared" si="0"/>
        <v xml:space="preserve"> -:- International Shipping</v>
      </c>
      <c r="I18" s="18" t="s">
        <v>266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272</v>
      </c>
      <c r="U18" s="143" t="str">
        <f>+LEFT($E$9,5)&amp;LEFT(EECA_data_18!F15,4)&amp;LEFT(EECA_data_18!H15,3)&amp;"15"</f>
        <v>T_C_CBEVNEW15</v>
      </c>
      <c r="V18" s="143" t="s">
        <v>326</v>
      </c>
      <c r="W18" s="143" t="s">
        <v>336</v>
      </c>
      <c r="X18" s="143" t="s">
        <v>345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291</v>
      </c>
      <c r="AD18" s="142"/>
      <c r="AE18" s="142"/>
      <c r="AF18" s="142"/>
    </row>
    <row r="19" spans="3:32" ht="15.75" customHeight="1">
      <c r="C19" s="18"/>
      <c r="D19" s="18" t="s">
        <v>272</v>
      </c>
      <c r="E19" s="18" t="s">
        <v>101</v>
      </c>
      <c r="F19" s="32"/>
      <c r="G19" s="32" t="s">
        <v>342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272</v>
      </c>
      <c r="U19" s="143" t="str">
        <f>+LEFT($E$9,5)&amp;LEFT(EECA_data_18!F16,4)&amp;LEFT(EECA_data_18!H16,3)&amp;"15"</f>
        <v>T_C_CICELPG15</v>
      </c>
      <c r="V19" s="143" t="s">
        <v>326</v>
      </c>
      <c r="W19" s="143" t="s">
        <v>336</v>
      </c>
      <c r="X19" s="143" t="s">
        <v>344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291</v>
      </c>
      <c r="AD19" s="142"/>
      <c r="AE19" s="142"/>
      <c r="AF19" s="142"/>
    </row>
    <row r="20" spans="3:32" ht="15.75" customHeight="1" thickBot="1">
      <c r="C20" s="18"/>
      <c r="D20" s="18" t="s">
        <v>272</v>
      </c>
      <c r="E20" s="18" t="s">
        <v>161</v>
      </c>
      <c r="F20" s="32"/>
      <c r="G20" s="32" t="s">
        <v>343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272</v>
      </c>
      <c r="U20" s="146" t="str">
        <f>+LEFT($E$9,5)&amp;LEFT(EECA_data_18!F17,4)&amp;LEFT(EECA_data_18!H17,3)&amp;"15"</f>
        <v>T_C_CHYBPET15</v>
      </c>
      <c r="V20" s="146" t="s">
        <v>326</v>
      </c>
      <c r="W20" s="146" t="s">
        <v>336</v>
      </c>
      <c r="X20" s="146" t="s">
        <v>346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291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272</v>
      </c>
      <c r="E21" s="249" t="s">
        <v>86</v>
      </c>
      <c r="F21" s="248" t="s">
        <v>330</v>
      </c>
      <c r="G21" s="267" t="s">
        <v>357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272</v>
      </c>
      <c r="U21" s="137" t="s">
        <v>93</v>
      </c>
      <c r="V21" s="158" t="s">
        <v>326</v>
      </c>
      <c r="W21" s="158" t="s">
        <v>336</v>
      </c>
      <c r="X21" s="158" t="s">
        <v>344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292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272</v>
      </c>
      <c r="U22" s="143" t="s">
        <v>96</v>
      </c>
      <c r="V22" s="140" t="s">
        <v>326</v>
      </c>
      <c r="W22" s="140" t="s">
        <v>336</v>
      </c>
      <c r="X22" s="140" t="s">
        <v>344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293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272</v>
      </c>
      <c r="U23" s="143" t="s">
        <v>97</v>
      </c>
      <c r="V23" s="143" t="s">
        <v>326</v>
      </c>
      <c r="W23" s="143" t="s">
        <v>336</v>
      </c>
      <c r="X23" s="143" t="s">
        <v>344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293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272</v>
      </c>
      <c r="U24" s="146" t="s">
        <v>98</v>
      </c>
      <c r="V24" s="146" t="s">
        <v>326</v>
      </c>
      <c r="W24" s="146" t="s">
        <v>336</v>
      </c>
      <c r="X24" s="146" t="s">
        <v>345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293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272</v>
      </c>
      <c r="U25" s="24" t="s">
        <v>256</v>
      </c>
      <c r="V25" s="135" t="s">
        <v>326</v>
      </c>
      <c r="W25" s="135" t="s">
        <v>336</v>
      </c>
      <c r="X25" s="135" t="s">
        <v>344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294</v>
      </c>
      <c r="AD25" s="18"/>
      <c r="AE25" s="18"/>
      <c r="AF25" s="18"/>
    </row>
    <row r="26" spans="3:32" ht="15.75" customHeight="1">
      <c r="S26" s="18" t="s">
        <v>67</v>
      </c>
      <c r="T26" s="18" t="s">
        <v>272</v>
      </c>
      <c r="U26" s="24" t="s">
        <v>257</v>
      </c>
      <c r="V26" s="24" t="s">
        <v>326</v>
      </c>
      <c r="W26" s="24" t="s">
        <v>336</v>
      </c>
      <c r="X26" s="24" t="s">
        <v>344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294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272</v>
      </c>
      <c r="U27" s="138" t="s">
        <v>258</v>
      </c>
      <c r="V27" s="137" t="s">
        <v>326</v>
      </c>
      <c r="W27" s="137" t="s">
        <v>336</v>
      </c>
      <c r="X27" s="137" t="s">
        <v>345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294</v>
      </c>
      <c r="AD27" s="136"/>
      <c r="AE27" s="136"/>
      <c r="AF27" s="136"/>
    </row>
    <row r="28" spans="3:32" ht="15.75" customHeight="1" thickBot="1">
      <c r="O28" s="2" t="s">
        <v>361</v>
      </c>
      <c r="P28" s="2">
        <f>1-0.704482048351169</f>
        <v>0.29551795164883099</v>
      </c>
      <c r="S28" s="145" t="s">
        <v>67</v>
      </c>
      <c r="T28" s="145" t="s">
        <v>272</v>
      </c>
      <c r="U28" s="147" t="s">
        <v>259</v>
      </c>
      <c r="V28" s="252" t="s">
        <v>326</v>
      </c>
      <c r="W28" s="252" t="s">
        <v>336</v>
      </c>
      <c r="X28" s="252" t="s">
        <v>344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294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272</v>
      </c>
      <c r="U29" s="147" t="s">
        <v>323</v>
      </c>
      <c r="V29" s="252" t="s">
        <v>326</v>
      </c>
      <c r="W29" s="252" t="s">
        <v>336</v>
      </c>
      <c r="X29" s="252" t="s">
        <v>344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294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272</v>
      </c>
      <c r="U30" s="158" t="s">
        <v>263</v>
      </c>
      <c r="V30" s="158" t="s">
        <v>326</v>
      </c>
      <c r="W30" s="253" t="s">
        <v>339</v>
      </c>
      <c r="X30" s="253" t="s">
        <v>348</v>
      </c>
      <c r="Y30" s="253" t="s">
        <v>157</v>
      </c>
      <c r="Z30" s="266" t="str">
        <f t="shared" si="1"/>
        <v>Transport -:- Shipping -:- Ship -:- Fuel Oil</v>
      </c>
      <c r="AA30" s="159" t="s">
        <v>265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272</v>
      </c>
      <c r="U31" s="154" t="s">
        <v>264</v>
      </c>
      <c r="V31" s="252" t="s">
        <v>326</v>
      </c>
      <c r="W31" s="252" t="s">
        <v>339</v>
      </c>
      <c r="X31" s="252" t="s">
        <v>348</v>
      </c>
      <c r="Y31" s="252" t="s">
        <v>157</v>
      </c>
      <c r="Z31" s="264" t="str">
        <f t="shared" si="1"/>
        <v>Transport -:- Shipping -:- Ship -:- Fuel Oil</v>
      </c>
      <c r="AA31" s="155" t="s">
        <v>266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272</v>
      </c>
      <c r="U32" s="135" t="s">
        <v>100</v>
      </c>
      <c r="V32" s="135" t="s">
        <v>326</v>
      </c>
      <c r="W32" s="135" t="s">
        <v>222</v>
      </c>
      <c r="X32" s="135" t="s">
        <v>349</v>
      </c>
      <c r="Y32" s="135" t="s">
        <v>329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272</v>
      </c>
      <c r="U33" s="146" t="s">
        <v>158</v>
      </c>
      <c r="V33" s="146" t="s">
        <v>326</v>
      </c>
      <c r="W33" s="146" t="s">
        <v>222</v>
      </c>
      <c r="X33" s="146" t="s">
        <v>349</v>
      </c>
      <c r="Y33" s="146" t="s">
        <v>329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272</v>
      </c>
      <c r="U34" s="254" t="s">
        <v>351</v>
      </c>
      <c r="V34" s="254" t="s">
        <v>326</v>
      </c>
      <c r="W34" s="254" t="s">
        <v>226</v>
      </c>
      <c r="X34" s="254" t="s">
        <v>350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272</v>
      </c>
      <c r="U35" s="146" t="s">
        <v>176</v>
      </c>
      <c r="V35" s="146" t="s">
        <v>326</v>
      </c>
      <c r="W35" s="146" t="s">
        <v>226</v>
      </c>
      <c r="X35" s="146" t="s">
        <v>350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262</v>
      </c>
      <c r="G39" s="131" t="s">
        <v>41</v>
      </c>
      <c r="H39" s="131" t="s">
        <v>295</v>
      </c>
      <c r="I39" s="131" t="s">
        <v>296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83</v>
      </c>
      <c r="O39" s="132" t="s">
        <v>297</v>
      </c>
      <c r="P39" s="131" t="s">
        <v>360</v>
      </c>
      <c r="Q39" s="131" t="s">
        <v>298</v>
      </c>
      <c r="R39" s="131" t="s">
        <v>299</v>
      </c>
      <c r="S39" s="131" t="s">
        <v>260</v>
      </c>
      <c r="T39" s="131" t="s">
        <v>261</v>
      </c>
      <c r="U39" s="131" t="s">
        <v>312</v>
      </c>
    </row>
    <row r="40" spans="2:32" ht="46.5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269</v>
      </c>
      <c r="I40" s="180" t="s">
        <v>241</v>
      </c>
      <c r="J40" s="180" t="s">
        <v>242</v>
      </c>
      <c r="K40" s="180" t="s">
        <v>249</v>
      </c>
      <c r="L40" s="180" t="s">
        <v>245</v>
      </c>
      <c r="M40" s="180" t="s">
        <v>246</v>
      </c>
      <c r="N40" s="180" t="s">
        <v>247</v>
      </c>
      <c r="O40" s="179" t="s">
        <v>248</v>
      </c>
      <c r="P40" s="180" t="s">
        <v>270</v>
      </c>
      <c r="Q40" s="180" t="s">
        <v>271</v>
      </c>
      <c r="R40" s="180" t="s">
        <v>270</v>
      </c>
      <c r="S40" s="180" t="s">
        <v>250</v>
      </c>
      <c r="T40" s="180" t="s">
        <v>251</v>
      </c>
      <c r="U40" s="180" t="s">
        <v>313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300</v>
      </c>
      <c r="M41" s="180" t="s">
        <v>300</v>
      </c>
      <c r="N41" s="180" t="s">
        <v>300</v>
      </c>
      <c r="O41" s="179" t="s">
        <v>301</v>
      </c>
      <c r="P41" s="179" t="s">
        <v>301</v>
      </c>
      <c r="Q41" s="179" t="s">
        <v>301</v>
      </c>
      <c r="R41" s="179" t="s">
        <v>301</v>
      </c>
      <c r="S41" s="180" t="s">
        <v>244</v>
      </c>
      <c r="T41" s="180"/>
      <c r="U41" s="180" t="s">
        <v>244</v>
      </c>
    </row>
    <row r="42" spans="2:32" ht="15.75" customHeight="1">
      <c r="B42" s="283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125"/>
      <c r="O42" s="183">
        <f>+EECA_data_18!N5*EECA_data_18!S5</f>
        <v>769.69169711313111</v>
      </c>
      <c r="P42" s="124">
        <f>3020*$P$28*0.9</f>
        <v>803.21779258152264</v>
      </c>
      <c r="Q42" s="124">
        <v>0</v>
      </c>
      <c r="R42" s="125"/>
      <c r="S42" s="125"/>
      <c r="T42" s="125"/>
      <c r="U42" s="125"/>
      <c r="V42" s="184"/>
      <c r="W42" s="48"/>
      <c r="X42" s="48"/>
      <c r="Y42" s="185"/>
      <c r="AC42" s="186"/>
      <c r="AD42" s="186"/>
    </row>
    <row r="43" spans="2:32" ht="15.75" customHeight="1">
      <c r="B43" s="283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125"/>
      <c r="O43" s="183">
        <f>+EECA_data_18!N6*EECA_data_18!S6</f>
        <v>73.21979319148852</v>
      </c>
      <c r="P43" s="124">
        <f>1020*$P$28*0.1</f>
        <v>30.142831068180762</v>
      </c>
      <c r="Q43" s="124">
        <v>0</v>
      </c>
      <c r="R43" s="125"/>
      <c r="S43" s="125"/>
      <c r="T43" s="125"/>
      <c r="U43" s="125"/>
      <c r="V43" s="184"/>
      <c r="W43" s="48"/>
      <c r="X43" s="48"/>
      <c r="Y43" s="185"/>
      <c r="AC43" s="186"/>
      <c r="AD43" s="186"/>
    </row>
    <row r="44" spans="2:32" ht="15.75" customHeight="1">
      <c r="B44" s="283"/>
      <c r="C44" s="122" t="str">
        <f t="shared" si="2"/>
        <v>T_P_CBEVNEW15</v>
      </c>
      <c r="D44" s="123" t="s">
        <v>359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125"/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5"/>
      <c r="S44" s="125"/>
      <c r="T44" s="125"/>
      <c r="U44" s="125"/>
      <c r="V44" s="184"/>
      <c r="W44" s="48"/>
      <c r="X44" s="48"/>
      <c r="Y44" s="185"/>
      <c r="AC44" s="186"/>
      <c r="AD44" s="186"/>
    </row>
    <row r="45" spans="2:32" ht="15.75" customHeight="1">
      <c r="B45" s="283"/>
      <c r="C45" s="122" t="str">
        <f t="shared" si="2"/>
        <v>T_P_CBEVUSD15</v>
      </c>
      <c r="D45" s="123" t="s">
        <v>359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125"/>
      <c r="O45" s="183">
        <f>+EECA_data_18!N8*EECA_data_18!S8</f>
        <v>0</v>
      </c>
      <c r="P45" s="124">
        <v>0</v>
      </c>
      <c r="Q45" s="124">
        <v>0</v>
      </c>
      <c r="R45" s="125"/>
      <c r="S45" s="125"/>
      <c r="T45" s="125"/>
      <c r="U45" s="125"/>
      <c r="V45" s="184"/>
      <c r="W45" s="48"/>
      <c r="X45" s="48"/>
      <c r="Y45" s="185"/>
      <c r="AC45" s="186"/>
      <c r="AD45" s="186"/>
    </row>
    <row r="46" spans="2:32" ht="15.75" customHeight="1">
      <c r="B46" s="283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125"/>
      <c r="O46" s="183">
        <f>+EECA_data_18!N9*EECA_data_18!S9</f>
        <v>0.24407021948521473</v>
      </c>
      <c r="P46" s="124">
        <v>0</v>
      </c>
      <c r="Q46" s="124">
        <v>0</v>
      </c>
      <c r="R46" s="125"/>
      <c r="S46" s="125"/>
      <c r="T46" s="125"/>
      <c r="U46" s="125"/>
      <c r="V46" s="184"/>
      <c r="W46" s="48"/>
      <c r="X46" s="48"/>
      <c r="Y46" s="185"/>
      <c r="AC46" s="186"/>
      <c r="AD46" s="188"/>
    </row>
    <row r="47" spans="2:32" ht="15.75" customHeight="1">
      <c r="B47" s="283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125"/>
      <c r="O47" s="183">
        <f>+EECA_data_18!N10*EECA_data_18!S10</f>
        <v>8.0099890460631045</v>
      </c>
      <c r="P47" s="124">
        <f>290*$P$28*0.9</f>
        <v>77.130185380344884</v>
      </c>
      <c r="Q47" s="124">
        <v>0</v>
      </c>
      <c r="R47" s="125"/>
      <c r="S47" s="125"/>
      <c r="T47" s="125"/>
      <c r="U47" s="125"/>
      <c r="V47" s="184"/>
      <c r="W47" s="48"/>
      <c r="X47" s="48"/>
      <c r="Y47" s="185"/>
      <c r="AC47" s="186"/>
      <c r="AD47" s="186"/>
    </row>
    <row r="48" spans="2:32" ht="15.75" customHeight="1">
      <c r="B48" s="283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125"/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5"/>
      <c r="S48" s="125"/>
      <c r="T48" s="125"/>
      <c r="U48" s="125"/>
      <c r="V48" s="184"/>
      <c r="W48" s="48"/>
      <c r="X48" s="48"/>
      <c r="Y48" s="185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5"/>
      <c r="S49" s="189">
        <f>1-EECA_data_18!R11</f>
        <v>0.4</v>
      </c>
      <c r="T49" s="125"/>
      <c r="U49" s="124">
        <f>+F42</f>
        <v>0.30845918332748123</v>
      </c>
      <c r="V49" s="184"/>
      <c r="W49" s="48"/>
      <c r="X49" s="48"/>
      <c r="Y49" s="185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5"/>
      <c r="S50" s="189">
        <f>+EECA_data_18!R11</f>
        <v>0.6</v>
      </c>
      <c r="T50" s="125"/>
      <c r="U50" s="124">
        <f>+F44</f>
        <v>1.4079922210878586</v>
      </c>
      <c r="V50" s="184"/>
      <c r="Y50" s="185"/>
      <c r="AC50" s="190"/>
      <c r="AD50" s="190"/>
      <c r="AE50" s="190"/>
      <c r="AF50" s="190"/>
      <c r="AG50" s="190"/>
    </row>
    <row r="51" spans="2:36" ht="15.75" customHeight="1">
      <c r="B51" s="283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4"/>
      <c r="W51" s="48"/>
      <c r="X51" s="48"/>
      <c r="Y51" s="185"/>
      <c r="AC51" s="190"/>
      <c r="AD51" s="190"/>
      <c r="AE51" s="190"/>
      <c r="AF51" s="190"/>
      <c r="AG51" s="190"/>
    </row>
    <row r="52" spans="2:36" ht="15.75" customHeight="1">
      <c r="B52" s="283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4"/>
      <c r="W52" s="48"/>
      <c r="X52" s="48"/>
      <c r="Y52" s="185"/>
      <c r="AC52" s="190"/>
      <c r="AD52" s="190"/>
      <c r="AE52" s="190"/>
      <c r="AF52" s="190"/>
      <c r="AG52" s="190"/>
    </row>
    <row r="53" spans="2:36" ht="15.75" customHeight="1">
      <c r="B53" s="283"/>
      <c r="C53" s="126" t="str">
        <f t="shared" si="6"/>
        <v>T_C_CBEVNEW15</v>
      </c>
      <c r="D53" s="123" t="s">
        <v>359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4"/>
      <c r="W53" s="48"/>
      <c r="X53" s="48"/>
      <c r="Y53" s="185"/>
      <c r="AC53" s="190"/>
      <c r="AD53" s="190"/>
      <c r="AE53" s="190"/>
      <c r="AF53" s="190"/>
      <c r="AG53" s="190"/>
    </row>
    <row r="54" spans="2:36" ht="15.75" customHeight="1">
      <c r="B54" s="283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4"/>
      <c r="W54" s="48"/>
      <c r="X54" s="48"/>
      <c r="Y54" s="185"/>
      <c r="AC54" s="190"/>
      <c r="AD54" s="190"/>
      <c r="AE54" s="190"/>
      <c r="AF54" s="190"/>
      <c r="AG54" s="190"/>
    </row>
    <row r="55" spans="2:36" ht="15.75" customHeight="1">
      <c r="B55" s="283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8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4"/>
      <c r="W55" s="48"/>
      <c r="X55" s="48"/>
      <c r="Y55" s="185"/>
      <c r="AC55" s="190"/>
      <c r="AD55" s="190"/>
      <c r="AE55" s="190"/>
      <c r="AF55" s="190"/>
      <c r="AG55" s="190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5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4"/>
      <c r="W56" s="48"/>
      <c r="X56" s="48"/>
      <c r="Y56" s="185"/>
      <c r="AC56" s="190"/>
      <c r="AD56" s="190"/>
      <c r="AE56" s="190"/>
      <c r="AF56" s="190"/>
      <c r="AG56" s="190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6">
        <f t="shared" si="9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4"/>
      <c r="W57" s="48"/>
      <c r="X57" s="48"/>
      <c r="Y57" s="185"/>
      <c r="AC57" s="190"/>
      <c r="AD57" s="190"/>
      <c r="AE57" s="199"/>
      <c r="AF57" s="199"/>
      <c r="AG57" s="199"/>
      <c r="AH57" s="200"/>
      <c r="AI57" s="200"/>
      <c r="AJ57" s="200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6">
        <f t="shared" si="9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4"/>
      <c r="W58" s="48"/>
      <c r="X58" s="48"/>
      <c r="Y58" s="185"/>
      <c r="AC58" s="190"/>
      <c r="AD58" s="190"/>
      <c r="AE58" s="190"/>
      <c r="AF58" s="190"/>
      <c r="AG58" s="190"/>
    </row>
    <row r="59" spans="2:36" ht="15.75" customHeight="1">
      <c r="C59" s="118" t="str">
        <f t="shared" si="6"/>
        <v>T_P_BBEVELC15</v>
      </c>
      <c r="D59" s="123" t="s">
        <v>359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6">
        <f t="shared" si="9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4"/>
      <c r="W59" s="48"/>
      <c r="X59" s="48"/>
      <c r="Y59" s="185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8"/>
        <v>0.08</v>
      </c>
      <c r="K60" s="202">
        <f t="shared" si="9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4"/>
      <c r="W60" s="48"/>
      <c r="X60" s="48"/>
      <c r="Y60" s="185"/>
      <c r="AF60" s="200"/>
      <c r="AG60" s="200"/>
      <c r="AH60" s="200"/>
      <c r="AI60" s="200"/>
      <c r="AJ60" s="200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8"/>
        <v>0.08</v>
      </c>
      <c r="K61" s="202">
        <f t="shared" si="9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4"/>
      <c r="W61" s="48"/>
      <c r="X61" s="48"/>
      <c r="Y61" s="185"/>
    </row>
    <row r="62" spans="2:36" ht="15.75" customHeight="1">
      <c r="C62" s="161" t="str">
        <f t="shared" si="6"/>
        <v>T_F_MBEVELC15</v>
      </c>
      <c r="D62" s="123" t="s">
        <v>359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8"/>
        <v>0.08</v>
      </c>
      <c r="K62" s="202">
        <f t="shared" si="9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4"/>
      <c r="W62" s="48"/>
      <c r="X62" s="48"/>
      <c r="Y62" s="185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4"/>
      <c r="W63" s="48"/>
      <c r="X63" s="48"/>
      <c r="Y63" s="185"/>
      <c r="AE63" s="200"/>
      <c r="AF63" s="200"/>
      <c r="AG63" s="200"/>
      <c r="AH63" s="200"/>
      <c r="AI63" s="200"/>
      <c r="AJ63" s="200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4"/>
      <c r="W64" s="48"/>
      <c r="X64" s="48"/>
      <c r="Y64" s="185"/>
      <c r="AE64" s="200"/>
      <c r="AF64" s="200"/>
      <c r="AG64" s="200"/>
      <c r="AH64" s="200"/>
      <c r="AI64" s="200"/>
      <c r="AJ64" s="200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207"/>
      <c r="T65" s="47"/>
      <c r="U65" s="47"/>
      <c r="W65" s="48"/>
      <c r="X65" s="48"/>
      <c r="Y65" s="185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5"/>
      <c r="AQ66" s="200"/>
      <c r="AR66" s="200"/>
      <c r="AS66" s="200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5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5"/>
      <c r="AQ68" s="200"/>
      <c r="AR68" s="200"/>
      <c r="AS68" s="200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5"/>
    </row>
    <row r="70" spans="2:51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5"/>
      <c r="AF70" s="200"/>
      <c r="AG70" s="200"/>
      <c r="AH70" s="200"/>
      <c r="AI70" s="200"/>
      <c r="AJ70" s="200"/>
    </row>
    <row r="71" spans="2:51" ht="15.75" customHeight="1"/>
    <row r="72" spans="2:51" ht="15.75" customHeight="1"/>
    <row r="73" spans="2:51" ht="15.75" customHeight="1">
      <c r="AL73" s="200"/>
      <c r="AM73" s="200"/>
      <c r="AO73" s="200"/>
      <c r="AP73" s="200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0"/>
      <c r="AB76" s="200"/>
      <c r="AD76" s="200"/>
      <c r="AE76" s="200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3"/>
    </row>
    <row r="80" spans="2:51" ht="15.75" customHeight="1">
      <c r="B80" s="2" t="s">
        <v>252</v>
      </c>
      <c r="C80" s="38" t="str">
        <f t="shared" si="13"/>
        <v>T_F_MTrk</v>
      </c>
      <c r="D80" s="46">
        <f t="shared" si="14"/>
        <v>0.25001200505329868</v>
      </c>
      <c r="H80" s="243"/>
    </row>
    <row r="81" spans="2:31" ht="15.75" customHeight="1">
      <c r="B81" s="2" t="s">
        <v>253</v>
      </c>
      <c r="C81" s="38" t="str">
        <f t="shared" si="13"/>
        <v>T_F_HTrk</v>
      </c>
      <c r="D81" s="46">
        <f t="shared" si="14"/>
        <v>0.20300000000000001</v>
      </c>
      <c r="H81" s="243"/>
    </row>
    <row r="82" spans="2:31" ht="15.75" customHeight="1">
      <c r="B82" s="2" t="s">
        <v>321</v>
      </c>
      <c r="C82" s="38" t="s">
        <v>321</v>
      </c>
      <c r="D82" s="46">
        <f t="shared" si="14"/>
        <v>0.45500000000000002</v>
      </c>
    </row>
    <row r="83" spans="2:31" ht="15.75" customHeight="1">
      <c r="B83" s="2" t="s">
        <v>267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268</v>
      </c>
      <c r="C84" s="38" t="str">
        <f>+E18</f>
        <v>T_F_ISHIP</v>
      </c>
      <c r="D84" s="46">
        <f t="shared" si="14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302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2025-12-02T10:55:58Z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