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B1E1985A-7B50-4F44-A74F-6DFB24D3CAA1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8" i="161" l="1"/>
  <c r="W47" i="161"/>
  <c r="W46" i="161"/>
  <c r="W45" i="161"/>
  <c r="W44" i="161"/>
  <c r="W43" i="161"/>
  <c r="W42" i="161"/>
  <c r="N48" i="161"/>
  <c r="N47" i="161"/>
  <c r="N46" i="161"/>
  <c r="N45" i="161"/>
  <c r="N44" i="161"/>
  <c r="N43" i="161"/>
  <c r="N42" i="161"/>
  <c r="P47" i="16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V50" i="161" s="1"/>
  <c r="G43" i="161"/>
  <c r="F43" i="161"/>
  <c r="G42" i="161"/>
  <c r="F42" i="161"/>
  <c r="V49" i="161" s="1"/>
  <c r="J2" i="158"/>
  <c r="F60" i="161" l="1"/>
  <c r="F61" i="161"/>
  <c r="F62" i="161"/>
  <c r="T50" i="161"/>
  <c r="T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5" i="161" l="1"/>
  <c r="K47" i="16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<sst xmlns="http://schemas.openxmlformats.org/spreadsheetml/2006/main" count="1083" uniqueCount="364">
  <si>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</si>
  <si>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</si>
  <si>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</si>
  <si>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</si>
  <si>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</si>
  <si>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</si>
  <si>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</si>
  <si>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</si>
  <si>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</si>
  <si>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</si>
  <si>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</si>
  <si>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</si>
  <si>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</si>
  <si>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</si>
  <si>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</si>
  <si>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</si>
  <si>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</si>
  <si>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</si>
  <si>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</si>
  <si>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</si>
  <si>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</si>
  <si>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</si>
  <si>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</si>
  <si>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</si>
  <si>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</si>
  <si>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</si>
  <si>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</si>
  <si>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</si>
  <si>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</si>
  <si>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</si>
  <si>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</si>
  <si>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</si>
  <si>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</si>
  <si>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</si>
  <si>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</si>
  <si>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</si>
  <si>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</si>
  <si>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</si>
  <si>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</si>
  <si>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</si>
  <si>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</si>
  <si>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</si>
  <si>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</si>
  <si>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</si>
  <si>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</si>
  <si>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</si>
  <si>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</si>
  <si>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</si>
  <si>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</si>
  <si>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</si>
  <si>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</si>
  <si>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</si>
  <si>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</si>
  <si>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</si>
  <si>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</si>
  <si>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</si>
  <si>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</si>
  <si>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</si>
  <si>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</si>
  <si>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</si>
  <si>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</si>
  <si>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</si>
  <si>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</si>
  <si>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</si>
  <si>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</si>
  <si>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</si>
  <si>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</si>
  <si>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</si>
  <si>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</si>
  <si>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</si>
  <si>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</si>
  <si>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</si>
  <si>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</si>
  <si>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</si>
  <si>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</si>
  <si>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</si>
  <si>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</si>
  <si>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</si>
  <si>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</si>
  <si>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</si>
  <si>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</si>
  <si>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</si>
  <si>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</si>
  <si>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</si>
  <si>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</si>
  <si>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</si>
  <si>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</si>
  <si>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</si>
  <si>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</si>
  <si>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</si>
  <si>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</si>
  <si>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</si>
  <si>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</si>
  <si>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</si>
  <si>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</si>
  <si>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</si>
  <si>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</si>
  <si>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</si>
  <si>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</si>
  <si>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</si>
  <si>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</si>
  <si>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</si>
  <si>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</si>
  <si>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</si>
  <si>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</si>
  <si>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</si>
  <si>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</si>
  <si>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</si>
  <si>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</si>
  <si>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</si>
  <si>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</si>
  <si>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</si>
  <si>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</si>
  <si>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</si>
  <si>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</si>
  <si>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</si>
  <si>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</si>
  <si>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</si>
  <si>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</si>
  <si>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</si>
  <si>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</si>
  <si>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</si>
  <si>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</si>
  <si>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</si>
  <si>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</si>
  <si>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</si>
  <si>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</si>
  <si>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</si>
  <si>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</si>
  <si>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</si>
  <si>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</si>
  <si>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</si>
  <si>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</si>
  <si>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</si>
  <si>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</si>
  <si>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</si>
  <si>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</si>
  <si>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</si>
  <si>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</si>
  <si>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</si>
  <si>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</si>
  <si>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</si>
  <si>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</si>
  <si>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</si>
  <si>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</si>
  <si>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</si>
  <si>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</si>
  <si>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</si>
  <si>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</si>
  <si>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</si>
  <si>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</si>
  <si>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</si>
  <si>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</si>
  <si>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</si>
  <si>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</si>
  <si>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</si>
  <si>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</si>
  <si>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</si>
  <si>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</si>
  <si>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</si>
  <si>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</si>
  <si>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</si>
  <si>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</si>
  <si>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</si>
  <si>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</si>
  <si>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</si>
  <si>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</si>
  <si>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</si>
  <si>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</si>
  <si>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</si>
  <si>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</si>
  <si>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</si>
  <si>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</si>
  <si>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</si>
  <si>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</si>
  <si>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</si>
  <si>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</si>
  <si>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</si>
  <si>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</si>
  <si>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</si>
  <si>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</si>
  <si>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</si>
  <si>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</si>
  <si>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</si>
  <si>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</si>
  <si>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</si>
  <si>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</si>
  <si>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</si>
  <si>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</si>
  <si>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</si>
  <si>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</si>
  <si>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</si>
  <si>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</si>
  <si>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</si>
  <si>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</si>
  <si>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</si>
  <si>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</si>
  <si>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</si>
  <si>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</si>
  <si>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</si>
  <si>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</si>
  <si>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</si>
  <si>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</si>
  <si>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</si>
  <si>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</si>
  <si>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</si>
  <si>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</si>
  <si>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</si>
  <si>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</si>
  <si>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</si>
  <si>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</si>
  <si>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</si>
  <si>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</si>
  <si>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</si>
  <si>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</si>
  <si>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</si>
  <si>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</si>
  <si>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</si>
  <si>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</si>
  <si>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</si>
  <si>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</si>
  <si>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</si>
  <si>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</si>
  <si>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</si>
  <si>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</si>
  <si>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</si>
  <si>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</si>
  <si>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</si>
  <si>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</si>
  <si>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</si>
  <si>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</si>
  <si>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</si>
  <si>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</si>
  <si>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</si>
  <si>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</si>
  <si>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</si>
  <si>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</si>
  <si>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</si>
  <si>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</si>
  <si>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</si>
  <si>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</si>
  <si>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</si>
  <si>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</si>
  <si>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</si>
  <si>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</si>
  <si>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</si>
  <si>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</si>
  <si>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</si>
  <si>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</si>
  <si>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</si>
  <si>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</si>
  <si>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</si>
  <si>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</si>
  <si>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</si>
  <si>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</si>
  <si>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</si>
  <si>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</si>
  <si>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</si>
  <si>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</si>
  <si>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</si>
  <si>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</si>
  <si>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</si>
  <si>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</si>
  <si>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</si>
  <si>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</si>
  <si>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</si>
  <si>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</si>
  <si>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</si>
  <si>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</si>
  <si>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</si>
  <si>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</si>
  <si>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</si>
  <si>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</si>
  <si>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</si>
  <si>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</si>
  <si>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</si>
  <si>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</si>
  <si>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</si>
  <si>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</si>
  <si>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</si>
  <si>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</si>
  <si>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</si>
  <si>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</si>
  <si>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</si>
  <si>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</si>
  <si>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</si>
  <si>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</si>
  <si>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</si>
  <si>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</si>
  <si>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</si>
  <si>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</si>
  <si>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</si>
  <si>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</si>
  <si>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</si>
  <si>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</si>
  <si>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</si>
  <si>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</si>
  <si>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</si>
  <si>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</si>
  <si>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</si>
  <si>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</si>
  <si>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</si>
  <si>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</si>
  <si>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</si>
  <si>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</si>
  <si>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</si>
  <si>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</si>
  <si>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</si>
  <si>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</si>
  <si>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</si>
  <si>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</si>
  <si>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</si>
  <si>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</si>
  <si>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</si>
  <si>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</si>
  <si>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</si>
  <si>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</si>
  <si>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</si>
  <si>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</si>
  <si>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</si>
  <si>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</si>
  <si>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</si>
  <si>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</si>
  <si>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</si>
  <si>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</si>
  <si>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</si>
  <si>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</si>
  <si>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</si>
  <si>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</si>
  <si>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</si>
  <si>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</si>
  <si>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</si>
  <si>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</si>
  <si>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</si>
  <si>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</si>
  <si>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</si>
  <si>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</si>
  <si>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</si>
  <si>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</si>
  <si>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</si>
  <si>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</si>
  <si>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</si>
  <si>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</si>
  <si>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</si>
  <si>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</si>
  <si>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</si>
  <si>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</si>
  <si>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</si>
  <si>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</si>
  <si>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</si>
  <si>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</si>
  <si>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</si>
  <si>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</si>
  <si>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</si>
  <si>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</si>
  <si>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</si>
  <si>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</si>
  <si>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</si>
  <si>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</si>
  <si>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</si>
  <si>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</si>
  <si>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PRC_resid~2045</t>
  </si>
  <si>
    <t>NCAP_AFA~2025</t>
  </si>
  <si>
    <t>*NCAP_AFA~2030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</si>
</sst>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6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10" fontId="60" fillId="108" borderId="24" xfId="16922" applyNumberFormat="1" applyFont="1" applyFill="1" applyBorder="1"/>
    <xf numFmtId="167" fontId="60" fillId="0" borderId="0" xfId="0" applyNumberFormat="1" applyFont="1" applyAlignment="1">
      <alignment horizontal="left" vertical="top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83" t="s">
        <v>201</v>
      </c>
      <c r="C5" s="280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8"/>
      <c r="C6" s="281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8"/>
      <c r="C7" s="281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8"/>
      <c r="C8" s="281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8"/>
      <c r="C9" s="281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8"/>
      <c r="C10" s="281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8"/>
      <c r="C11" s="281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8"/>
      <c r="C12" s="282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8"/>
      <c r="C13" s="280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8"/>
      <c r="C14" s="281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84"/>
      <c r="C15" s="275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84"/>
      <c r="C16" s="275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84"/>
      <c r="C17" s="282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77" t="s">
        <v>213</v>
      </c>
      <c r="C18" s="280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8"/>
      <c r="C19" s="281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8"/>
      <c r="C20" s="282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9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77" t="s">
        <v>218</v>
      </c>
      <c r="C23" s="280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8"/>
      <c r="C24" s="281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9"/>
      <c r="C25" s="282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70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1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70" t="s">
        <v>226</v>
      </c>
      <c r="C29" s="273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72"/>
      <c r="C30" s="274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72"/>
      <c r="C31" s="275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1"/>
      <c r="C32" s="276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70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1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Z311"/>
  <sheetViews>
    <sheetView tabSelected="1" topLeftCell="H34" zoomScaleNormal="100" workbookViewId="0">
      <selection activeCell="W40" sqref="W40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362</v>
      </c>
      <c r="O39" s="132" t="s">
        <v>296</v>
      </c>
      <c r="P39" s="131" t="s">
        <v>359</v>
      </c>
      <c r="Q39" s="131" t="s">
        <v>297</v>
      </c>
      <c r="R39" s="131" t="s">
        <v>361</v>
      </c>
      <c r="S39" s="131" t="s">
        <v>298</v>
      </c>
      <c r="T39" s="131" t="s">
        <v>259</v>
      </c>
      <c r="U39" s="131" t="s">
        <v>260</v>
      </c>
      <c r="V39" s="131" t="s">
        <v>311</v>
      </c>
      <c r="W39" s="131" t="s">
        <v>363</v>
      </c>
    </row>
    <row r="40" spans="2:32" ht="34.9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O40" s="179" t="s">
        <v>247</v>
      </c>
      <c r="P40" s="180" t="s">
        <v>269</v>
      </c>
      <c r="Q40" s="180" t="s">
        <v>270</v>
      </c>
      <c r="R40" s="180"/>
      <c r="S40" s="180" t="s">
        <v>269</v>
      </c>
      <c r="T40" s="180" t="s">
        <v>249</v>
      </c>
      <c r="U40" s="180" t="s">
        <v>250</v>
      </c>
      <c r="V40" s="180" t="s">
        <v>312</v>
      </c>
      <c r="W40" s="180"/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O41" s="179" t="s">
        <v>300</v>
      </c>
      <c r="P41" s="179" t="s">
        <v>300</v>
      </c>
      <c r="Q41" s="179" t="s">
        <v>300</v>
      </c>
      <c r="R41" s="179"/>
      <c r="S41" s="179" t="s">
        <v>300</v>
      </c>
      <c r="T41" s="180" t="s">
        <v>244</v>
      </c>
      <c r="U41" s="180"/>
      <c r="V41" s="180" t="s">
        <v>244</v>
      </c>
      <c r="W41" s="180"/>
    </row>
    <row r="42" spans="2:32" ht="15.75" customHeight="1">
      <c r="B42" s="285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69">
        <f>K42</f>
        <v>0.1330791275965717</v>
      </c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4"/>
      <c r="S42" s="125"/>
      <c r="T42" s="125"/>
      <c r="U42" s="125"/>
      <c r="V42" s="125"/>
      <c r="W42" s="268">
        <f t="shared" ref="W42:W48" si="3">K42*30/45</f>
        <v>8.8719418397714467E-2</v>
      </c>
      <c r="X42" s="48"/>
      <c r="Y42" s="48"/>
      <c r="Z42" s="185"/>
      <c r="AD42" s="186"/>
      <c r="AE42" s="186"/>
    </row>
    <row r="43" spans="2:32" ht="15.75" customHeight="1">
      <c r="B43" s="285"/>
      <c r="C43" s="122" t="str">
        <f t="shared" si="2"/>
        <v>T_P_CICEDSL15</v>
      </c>
      <c r="D43" s="123" t="str">
        <f t="shared" ref="D43:D63" si="4">"TRA"&amp;LEFT(RIGHT(C43,5),3)</f>
        <v>TRADSL</v>
      </c>
      <c r="E43" s="122" t="str">
        <f t="shared" ref="E43:E48" si="5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69">
        <f t="shared" ref="N43:N48" si="6">K43</f>
        <v>0.16652648589847888</v>
      </c>
      <c r="O43" s="183">
        <f>+EECA_data_18!N6*EECA_data_18!S6</f>
        <v>73.21979319148852</v>
      </c>
      <c r="P43" s="124">
        <f>1020*$P$28*0.2</f>
        <v>60.285662136361523</v>
      </c>
      <c r="Q43" s="124">
        <v>0</v>
      </c>
      <c r="R43" s="124"/>
      <c r="S43" s="125"/>
      <c r="T43" s="125"/>
      <c r="U43" s="125"/>
      <c r="V43" s="125"/>
      <c r="W43" s="268">
        <f t="shared" si="3"/>
        <v>0.11101765726565258</v>
      </c>
      <c r="X43" s="48"/>
      <c r="Y43" s="48"/>
      <c r="Z43" s="185"/>
      <c r="AD43" s="186"/>
      <c r="AE43" s="186"/>
    </row>
    <row r="44" spans="2:32" ht="15.75" customHeight="1">
      <c r="B44" s="285"/>
      <c r="C44" s="122" t="str">
        <f t="shared" si="2"/>
        <v>T_P_CBEVNEW15</v>
      </c>
      <c r="D44" s="123" t="s">
        <v>358</v>
      </c>
      <c r="E44" s="122" t="str">
        <f t="shared" si="5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7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69">
        <f t="shared" si="6"/>
        <v>9.6019078547742456E-2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4"/>
      <c r="S44" s="125"/>
      <c r="T44" s="125"/>
      <c r="U44" s="125"/>
      <c r="V44" s="125"/>
      <c r="W44" s="268">
        <f t="shared" si="3"/>
        <v>6.4012719031828313E-2</v>
      </c>
      <c r="X44" s="48"/>
      <c r="Y44" s="48"/>
      <c r="Z44" s="185"/>
      <c r="AD44" s="186"/>
      <c r="AE44" s="186"/>
    </row>
    <row r="45" spans="2:32" ht="15.75" customHeight="1">
      <c r="B45" s="285"/>
      <c r="C45" s="122" t="str">
        <f t="shared" si="2"/>
        <v>T_P_CBEVUSD15</v>
      </c>
      <c r="D45" s="123" t="s">
        <v>358</v>
      </c>
      <c r="E45" s="122" t="str">
        <f t="shared" si="5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7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69">
        <f t="shared" si="6"/>
        <v>8.161621676558109E-2</v>
      </c>
      <c r="O45" s="183">
        <f>+EECA_data_18!N8*EECA_data_18!S8</f>
        <v>0</v>
      </c>
      <c r="P45" s="124">
        <v>0</v>
      </c>
      <c r="Q45" s="124">
        <v>0</v>
      </c>
      <c r="R45" s="124"/>
      <c r="S45" s="125"/>
      <c r="T45" s="125"/>
      <c r="U45" s="125"/>
      <c r="V45" s="125"/>
      <c r="W45" s="268">
        <f t="shared" si="3"/>
        <v>5.4410811177054055E-2</v>
      </c>
      <c r="X45" s="48"/>
      <c r="Y45" s="48"/>
      <c r="Z45" s="185"/>
      <c r="AD45" s="186"/>
      <c r="AE45" s="186"/>
    </row>
    <row r="46" spans="2:32" ht="15.75" customHeight="1">
      <c r="B46" s="285"/>
      <c r="C46" s="122" t="str">
        <f t="shared" si="2"/>
        <v>T_P_CICELPG15</v>
      </c>
      <c r="D46" s="123" t="str">
        <f t="shared" si="4"/>
        <v>TRALPG</v>
      </c>
      <c r="E46" s="122" t="str">
        <f t="shared" si="5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7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69">
        <f t="shared" si="6"/>
        <v>0.23845860358641741</v>
      </c>
      <c r="O46" s="183">
        <f>+EECA_data_18!N9*EECA_data_18!S9</f>
        <v>0.24407021948521473</v>
      </c>
      <c r="P46" s="124">
        <v>0</v>
      </c>
      <c r="Q46" s="124">
        <v>0</v>
      </c>
      <c r="R46" s="124"/>
      <c r="S46" s="125"/>
      <c r="T46" s="125"/>
      <c r="U46" s="125"/>
      <c r="V46" s="125"/>
      <c r="W46" s="268">
        <f t="shared" si="3"/>
        <v>0.15897240239094493</v>
      </c>
      <c r="X46" s="48"/>
      <c r="Y46" s="48"/>
      <c r="Z46" s="185"/>
      <c r="AD46" s="186"/>
      <c r="AE46" s="188"/>
    </row>
    <row r="47" spans="2:32" ht="15.75" customHeight="1">
      <c r="B47" s="285"/>
      <c r="C47" s="122" t="str">
        <f t="shared" si="2"/>
        <v>T_P_CHYBPET15</v>
      </c>
      <c r="D47" s="123" t="str">
        <f t="shared" si="4"/>
        <v>TRAPET</v>
      </c>
      <c r="E47" s="122" t="str">
        <f t="shared" si="5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7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69">
        <f t="shared" si="6"/>
        <v>0.18972353970195158</v>
      </c>
      <c r="O47" s="183">
        <f>+EECA_data_18!N10*EECA_data_18!S10</f>
        <v>8.0099890460631045</v>
      </c>
      <c r="P47" s="124">
        <f>290*$P$28</f>
        <v>85.70020597816098</v>
      </c>
      <c r="Q47" s="124">
        <v>0</v>
      </c>
      <c r="R47" s="124"/>
      <c r="S47" s="125"/>
      <c r="T47" s="125"/>
      <c r="U47" s="125"/>
      <c r="V47" s="125"/>
      <c r="W47" s="268">
        <f t="shared" si="3"/>
        <v>0.12648235980130107</v>
      </c>
      <c r="X47" s="48"/>
      <c r="Y47" s="48"/>
      <c r="Z47" s="185"/>
      <c r="AD47" s="186"/>
      <c r="AE47" s="186"/>
    </row>
    <row r="48" spans="2:32" ht="15.75" customHeight="1">
      <c r="B48" s="285"/>
      <c r="C48" s="122" t="str">
        <f t="shared" si="2"/>
        <v>T_P_CPHEVPET15</v>
      </c>
      <c r="D48" s="123"/>
      <c r="E48" s="122" t="str">
        <f t="shared" si="5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7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69">
        <f t="shared" si="6"/>
        <v>0.14002830438792699</v>
      </c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4"/>
      <c r="S48" s="125"/>
      <c r="T48" s="125"/>
      <c r="U48" s="125"/>
      <c r="V48" s="125"/>
      <c r="W48" s="268">
        <f t="shared" si="3"/>
        <v>9.3352202925284664E-2</v>
      </c>
      <c r="X48" s="48"/>
      <c r="Y48" s="48"/>
      <c r="Z48" s="185"/>
    </row>
    <row r="49" spans="2:37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4"/>
      <c r="S49" s="125"/>
      <c r="T49" s="189">
        <f>1-EECA_data_18!R11</f>
        <v>0.4</v>
      </c>
      <c r="U49" s="125"/>
      <c r="V49" s="124">
        <f>+F42</f>
        <v>0.30845918332748123</v>
      </c>
      <c r="W49" s="184"/>
      <c r="X49" s="48"/>
      <c r="Y49" s="48"/>
      <c r="Z49" s="185"/>
    </row>
    <row r="50" spans="2:37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4"/>
      <c r="S50" s="125"/>
      <c r="T50" s="189">
        <f>+EECA_data_18!R11</f>
        <v>0.6</v>
      </c>
      <c r="U50" s="125"/>
      <c r="V50" s="124">
        <f>+F44</f>
        <v>1.4079922210878586</v>
      </c>
      <c r="W50" s="184"/>
      <c r="Z50" s="185"/>
      <c r="AD50" s="190"/>
      <c r="AE50" s="190"/>
      <c r="AF50" s="190"/>
      <c r="AG50" s="190"/>
      <c r="AH50" s="190"/>
    </row>
    <row r="51" spans="2:37" ht="15.75" customHeight="1">
      <c r="B51" s="285"/>
      <c r="C51" s="126" t="str">
        <f t="shared" ref="C51:C70" si="8">+U16</f>
        <v>T_C_CICEPET15</v>
      </c>
      <c r="D51" s="127" t="str">
        <f t="shared" si="4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Q51" s="128"/>
      <c r="R51" s="128">
        <v>0</v>
      </c>
      <c r="S51" s="129"/>
      <c r="T51" s="129"/>
      <c r="U51" s="129"/>
      <c r="V51" s="129"/>
      <c r="W51" s="184"/>
      <c r="X51" s="48"/>
      <c r="Y51" s="48"/>
      <c r="Z51" s="185"/>
      <c r="AD51" s="190"/>
      <c r="AE51" s="190"/>
      <c r="AF51" s="190"/>
      <c r="AG51" s="190"/>
      <c r="AH51" s="190"/>
    </row>
    <row r="52" spans="2:37" ht="15.75" customHeight="1">
      <c r="B52" s="285"/>
      <c r="C52" s="126" t="str">
        <f t="shared" si="8"/>
        <v>T_C_CICEDSL15</v>
      </c>
      <c r="D52" s="127" t="str">
        <f t="shared" si="4"/>
        <v>TRADSL</v>
      </c>
      <c r="E52" s="126" t="str">
        <f t="shared" ref="E52:E55" si="9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Q52" s="128">
        <v>0</v>
      </c>
      <c r="R52" s="128"/>
      <c r="S52" s="129"/>
      <c r="T52" s="129"/>
      <c r="U52" s="129"/>
      <c r="V52" s="129"/>
      <c r="W52" s="184"/>
      <c r="X52" s="48"/>
      <c r="Y52" s="48"/>
      <c r="Z52" s="185"/>
      <c r="AD52" s="190"/>
      <c r="AE52" s="190"/>
      <c r="AF52" s="190"/>
      <c r="AG52" s="190"/>
      <c r="AH52" s="190"/>
    </row>
    <row r="53" spans="2:37" ht="15.75" customHeight="1">
      <c r="B53" s="285"/>
      <c r="C53" s="126" t="str">
        <f t="shared" si="8"/>
        <v>T_C_CBEVNEW15</v>
      </c>
      <c r="D53" s="123" t="s">
        <v>358</v>
      </c>
      <c r="E53" s="126" t="str">
        <f t="shared" si="9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10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Q53" s="128"/>
      <c r="R53" s="128">
        <v>0</v>
      </c>
      <c r="S53" s="129"/>
      <c r="T53" s="129"/>
      <c r="U53" s="129"/>
      <c r="V53" s="129"/>
      <c r="W53" s="184"/>
      <c r="X53" s="48"/>
      <c r="Y53" s="48"/>
      <c r="Z53" s="185"/>
      <c r="AD53" s="190"/>
      <c r="AE53" s="190"/>
      <c r="AF53" s="190"/>
      <c r="AG53" s="190"/>
      <c r="AH53" s="190"/>
    </row>
    <row r="54" spans="2:37" ht="15.75" customHeight="1">
      <c r="B54" s="285"/>
      <c r="C54" s="126" t="str">
        <f t="shared" si="8"/>
        <v>T_C_CICELPG15</v>
      </c>
      <c r="D54" s="127" t="str">
        <f t="shared" si="4"/>
        <v>TRALPG</v>
      </c>
      <c r="E54" s="126" t="str">
        <f t="shared" si="9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10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Q54" s="128"/>
      <c r="R54" s="128">
        <v>0</v>
      </c>
      <c r="S54" s="129"/>
      <c r="T54" s="129"/>
      <c r="U54" s="129"/>
      <c r="V54" s="129"/>
      <c r="W54" s="184"/>
      <c r="X54" s="48"/>
      <c r="Y54" s="48"/>
      <c r="Z54" s="185"/>
      <c r="AD54" s="190"/>
      <c r="AE54" s="190"/>
      <c r="AF54" s="190"/>
      <c r="AG54" s="190"/>
      <c r="AH54" s="190"/>
    </row>
    <row r="55" spans="2:37" ht="15.75" customHeight="1">
      <c r="B55" s="285"/>
      <c r="C55" s="126" t="str">
        <f t="shared" si="8"/>
        <v>T_C_CHYBPET15</v>
      </c>
      <c r="D55" s="127" t="str">
        <f t="shared" si="4"/>
        <v>TRAPET</v>
      </c>
      <c r="E55" s="126" t="str">
        <f t="shared" si="9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10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Q55" s="128"/>
      <c r="R55" s="128">
        <v>0</v>
      </c>
      <c r="S55" s="129"/>
      <c r="T55" s="129"/>
      <c r="U55" s="129"/>
      <c r="V55" s="129"/>
      <c r="W55" s="184"/>
      <c r="X55" s="48"/>
      <c r="Y55" s="48"/>
      <c r="Z55" s="185"/>
      <c r="AD55" s="190"/>
      <c r="AE55" s="190"/>
      <c r="AF55" s="190"/>
      <c r="AG55" s="190"/>
      <c r="AH55" s="190"/>
    </row>
    <row r="56" spans="2:37" ht="15.75" customHeight="1">
      <c r="C56" s="24" t="str">
        <f t="shared" si="8"/>
        <v>T_P_MICEPET15</v>
      </c>
      <c r="D56" s="23" t="str">
        <f t="shared" si="4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10"/>
        <v>0.08</v>
      </c>
      <c r="K56" s="195">
        <f t="shared" ref="K56:K62" si="11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Q56" s="22">
        <v>0</v>
      </c>
      <c r="R56" s="22"/>
      <c r="S56" s="47"/>
      <c r="T56" s="47"/>
      <c r="U56" s="47"/>
      <c r="V56" s="47"/>
      <c r="W56" s="184"/>
      <c r="X56" s="48"/>
      <c r="Y56" s="48"/>
      <c r="Z56" s="185"/>
      <c r="AD56" s="190"/>
      <c r="AE56" s="190"/>
      <c r="AF56" s="190"/>
      <c r="AG56" s="190"/>
      <c r="AH56" s="190"/>
    </row>
    <row r="57" spans="2:37" ht="15.75" customHeight="1">
      <c r="C57" s="118" t="str">
        <f t="shared" si="8"/>
        <v>T_P_BICEPET15</v>
      </c>
      <c r="D57" s="119" t="str">
        <f t="shared" si="4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10"/>
        <v>0.08</v>
      </c>
      <c r="K57" s="196">
        <f t="shared" si="11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Q57" s="130"/>
      <c r="R57" s="130"/>
      <c r="S57" s="121">
        <v>0</v>
      </c>
      <c r="T57" s="121"/>
      <c r="U57" s="121"/>
      <c r="V57" s="121"/>
      <c r="W57" s="184"/>
      <c r="X57" s="48"/>
      <c r="Y57" s="48"/>
      <c r="Z57" s="185"/>
      <c r="AD57" s="190"/>
      <c r="AE57" s="190"/>
      <c r="AF57" s="199"/>
      <c r="AG57" s="199"/>
      <c r="AH57" s="199"/>
      <c r="AI57" s="200"/>
      <c r="AJ57" s="200"/>
      <c r="AK57" s="200"/>
    </row>
    <row r="58" spans="2:37" ht="15.75" customHeight="1">
      <c r="C58" s="118" t="str">
        <f t="shared" si="8"/>
        <v>T_P_BICEDSL15</v>
      </c>
      <c r="D58" s="119" t="str">
        <f t="shared" si="4"/>
        <v>TRADSL</v>
      </c>
      <c r="E58" s="118" t="str">
        <f t="shared" ref="E58:E59" si="12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10"/>
        <v>0.08</v>
      </c>
      <c r="K58" s="196">
        <f t="shared" si="11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Q58" s="130"/>
      <c r="R58" s="130"/>
      <c r="S58" s="121">
        <v>0</v>
      </c>
      <c r="T58" s="121"/>
      <c r="U58" s="121"/>
      <c r="V58" s="121"/>
      <c r="W58" s="184"/>
      <c r="X58" s="48"/>
      <c r="Y58" s="48"/>
      <c r="Z58" s="185"/>
      <c r="AD58" s="190"/>
      <c r="AE58" s="190"/>
      <c r="AF58" s="190"/>
      <c r="AG58" s="190"/>
      <c r="AH58" s="190"/>
    </row>
    <row r="59" spans="2:37" ht="15.75" customHeight="1">
      <c r="C59" s="118" t="str">
        <f t="shared" si="8"/>
        <v>T_P_BBEVELC15</v>
      </c>
      <c r="D59" s="123" t="s">
        <v>358</v>
      </c>
      <c r="E59" s="118" t="str">
        <f t="shared" si="12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10"/>
        <v>0.08</v>
      </c>
      <c r="K59" s="196">
        <f t="shared" si="11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Q59" s="130"/>
      <c r="R59" s="130"/>
      <c r="S59" s="121">
        <v>0</v>
      </c>
      <c r="T59" s="121"/>
      <c r="U59" s="121"/>
      <c r="V59" s="121"/>
      <c r="W59" s="184"/>
      <c r="X59" s="48"/>
      <c r="Y59" s="48"/>
      <c r="Z59" s="185"/>
    </row>
    <row r="60" spans="2:37" ht="15.75" customHeight="1">
      <c r="C60" s="161" t="str">
        <f t="shared" si="8"/>
        <v>T_F_MTICEPET15</v>
      </c>
      <c r="D60" s="162" t="str">
        <f t="shared" si="4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10"/>
        <v>0.08</v>
      </c>
      <c r="K60" s="202">
        <f t="shared" si="11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Q60" s="165"/>
      <c r="R60" s="165"/>
      <c r="S60" s="164">
        <v>0</v>
      </c>
      <c r="T60" s="164"/>
      <c r="U60" s="164"/>
      <c r="V60" s="164"/>
      <c r="W60" s="184"/>
      <c r="X60" s="48"/>
      <c r="Y60" s="48"/>
      <c r="Z60" s="185"/>
      <c r="AG60" s="200"/>
      <c r="AH60" s="200"/>
      <c r="AI60" s="200"/>
      <c r="AJ60" s="200"/>
      <c r="AK60" s="200"/>
    </row>
    <row r="61" spans="2:37" ht="15.75" customHeight="1">
      <c r="C61" s="161" t="str">
        <f t="shared" si="8"/>
        <v>T_F_MTICEDSL15</v>
      </c>
      <c r="D61" s="162" t="str">
        <f t="shared" si="4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10"/>
        <v>0.08</v>
      </c>
      <c r="K61" s="202">
        <f t="shared" si="11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Q61" s="165"/>
      <c r="R61" s="165">
        <v>0</v>
      </c>
      <c r="S61" s="164"/>
      <c r="T61" s="164"/>
      <c r="U61" s="164"/>
      <c r="V61" s="164"/>
      <c r="W61" s="184"/>
      <c r="X61" s="48"/>
      <c r="Y61" s="48"/>
      <c r="Z61" s="185"/>
    </row>
    <row r="62" spans="2:37" ht="15.75" customHeight="1">
      <c r="C62" s="161" t="str">
        <f t="shared" si="8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10"/>
        <v>0.08</v>
      </c>
      <c r="K62" s="202">
        <f t="shared" si="11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Q62" s="165"/>
      <c r="R62" s="165">
        <v>0</v>
      </c>
      <c r="S62" s="164"/>
      <c r="T62" s="164"/>
      <c r="U62" s="164"/>
      <c r="V62" s="164"/>
      <c r="W62" s="184"/>
      <c r="X62" s="48"/>
      <c r="Y62" s="48"/>
      <c r="Z62" s="185"/>
    </row>
    <row r="63" spans="2:37" ht="15.75" customHeight="1">
      <c r="C63" s="166" t="str">
        <f t="shared" si="8"/>
        <v>T_F_HTICEDSL15</v>
      </c>
      <c r="D63" s="167" t="str">
        <f t="shared" si="4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10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Q63" s="170"/>
      <c r="R63" s="170">
        <v>0</v>
      </c>
      <c r="S63" s="169"/>
      <c r="T63" s="169"/>
      <c r="U63" s="169"/>
      <c r="V63" s="169"/>
      <c r="W63" s="184"/>
      <c r="X63" s="48"/>
      <c r="Y63" s="48"/>
      <c r="Z63" s="185"/>
      <c r="AF63" s="200"/>
      <c r="AG63" s="200"/>
      <c r="AH63" s="200"/>
      <c r="AI63" s="200"/>
      <c r="AJ63" s="200"/>
      <c r="AK63" s="200"/>
    </row>
    <row r="64" spans="2:37" ht="15.75" customHeight="1">
      <c r="C64" s="166" t="str">
        <f t="shared" si="8"/>
        <v>T_F_VHTICEDSL15</v>
      </c>
      <c r="D64" s="167" t="str">
        <f t="shared" ref="D64" si="13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10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Q64" s="170"/>
      <c r="R64" s="170"/>
      <c r="S64" s="169"/>
      <c r="T64" s="169"/>
      <c r="U64" s="169"/>
      <c r="V64" s="169"/>
      <c r="W64" s="184"/>
      <c r="X64" s="48"/>
      <c r="Y64" s="48"/>
      <c r="Z64" s="185"/>
      <c r="AF64" s="200"/>
      <c r="AG64" s="200"/>
      <c r="AH64" s="200"/>
      <c r="AI64" s="200"/>
      <c r="AJ64" s="200"/>
      <c r="AK64" s="200"/>
    </row>
    <row r="65" spans="2:52" ht="15.75" customHeight="1">
      <c r="C65" s="24" t="str">
        <f t="shared" si="8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47"/>
      <c r="T65" s="207"/>
      <c r="U65" s="47"/>
      <c r="V65" s="47"/>
      <c r="X65" s="48"/>
      <c r="Y65" s="48"/>
      <c r="Z65" s="185"/>
    </row>
    <row r="66" spans="2:52" ht="15.75" customHeight="1">
      <c r="C66" s="24" t="str">
        <f t="shared" si="8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V66" s="47"/>
      <c r="X66" s="48"/>
      <c r="Y66" s="48"/>
      <c r="Z66" s="185"/>
      <c r="AR66" s="200"/>
      <c r="AS66" s="200"/>
      <c r="AT66" s="200"/>
      <c r="AU66" s="48"/>
      <c r="AV66" s="48"/>
      <c r="AW66" s="48"/>
      <c r="AX66" s="48"/>
      <c r="AZ66" s="48"/>
    </row>
    <row r="67" spans="2:52" ht="15.75" customHeight="1">
      <c r="C67" s="24" t="str">
        <f t="shared" si="8"/>
        <v>T_O_FuelJet</v>
      </c>
      <c r="D67" s="23" t="str">
        <f t="shared" ref="D67" si="14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V67" s="47"/>
      <c r="X67" s="48"/>
      <c r="Y67" s="48"/>
      <c r="Z67" s="185"/>
      <c r="AU67" s="48"/>
      <c r="AV67" s="48"/>
      <c r="AW67" s="48"/>
      <c r="AX67" s="48"/>
      <c r="AZ67" s="48"/>
    </row>
    <row r="68" spans="2:52" ht="15.75" customHeight="1">
      <c r="C68" s="24" t="str">
        <f t="shared" si="8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V68" s="47"/>
      <c r="X68" s="48"/>
      <c r="Y68" s="48"/>
      <c r="Z68" s="185"/>
      <c r="AR68" s="200"/>
      <c r="AS68" s="200"/>
      <c r="AT68" s="200"/>
      <c r="AZ68" s="48"/>
    </row>
    <row r="69" spans="2:52" ht="15.75" customHeight="1">
      <c r="C69" s="24" t="str">
        <f t="shared" si="8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V69" s="47"/>
      <c r="X69" s="48"/>
      <c r="Y69" s="48"/>
      <c r="Z69" s="185"/>
    </row>
    <row r="70" spans="2:52" ht="15.75" customHeight="1">
      <c r="C70" s="24" t="str">
        <f t="shared" si="8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V70" s="47"/>
      <c r="X70" s="48"/>
      <c r="Y70" s="48"/>
      <c r="Z70" s="185"/>
      <c r="AG70" s="200"/>
      <c r="AH70" s="200"/>
      <c r="AI70" s="200"/>
      <c r="AJ70" s="200"/>
      <c r="AK70" s="200"/>
    </row>
    <row r="71" spans="2:52" ht="15.75" customHeight="1"/>
    <row r="72" spans="2:52" ht="15.75" customHeight="1"/>
    <row r="73" spans="2:52" ht="15.75" customHeight="1">
      <c r="AM73" s="200"/>
      <c r="AN73" s="200"/>
      <c r="AP73" s="200"/>
      <c r="AQ73" s="200"/>
    </row>
    <row r="74" spans="2:52" ht="15.75" customHeight="1">
      <c r="C74" s="37" t="s">
        <v>153</v>
      </c>
      <c r="D74" s="38"/>
      <c r="T74" s="48"/>
    </row>
    <row r="75" spans="2:52" ht="15.75" customHeight="1">
      <c r="C75" s="39" t="s">
        <v>0</v>
      </c>
      <c r="D75" s="40">
        <v>2018</v>
      </c>
    </row>
    <row r="76" spans="2:52" ht="15.75" customHeight="1">
      <c r="B76" s="2" t="s">
        <v>85</v>
      </c>
      <c r="C76" s="38" t="str">
        <f t="shared" ref="C76:C81" si="15">+E8</f>
        <v>T_P_Car</v>
      </c>
      <c r="D76" s="46">
        <f t="shared" ref="D76:D88" si="16">+SUMIF($E$42:$E$70,C76,$H$42:$H$70)</f>
        <v>9.3206390888875568</v>
      </c>
      <c r="AA76" s="200"/>
      <c r="AB76" s="200"/>
      <c r="AD76" s="200"/>
      <c r="AE76" s="200"/>
    </row>
    <row r="77" spans="2:52" ht="15.75" customHeight="1">
      <c r="B77" s="2" t="s">
        <v>179</v>
      </c>
      <c r="C77" s="38" t="str">
        <f t="shared" si="15"/>
        <v>T_C_Car</v>
      </c>
      <c r="D77" s="46">
        <f t="shared" si="16"/>
        <v>2.6490182351650708</v>
      </c>
    </row>
    <row r="78" spans="2:52" ht="15.75" customHeight="1">
      <c r="B78" s="2" t="s">
        <v>90</v>
      </c>
      <c r="C78" s="38" t="str">
        <f t="shared" si="15"/>
        <v>T_P_Mcy</v>
      </c>
      <c r="D78" s="46">
        <f t="shared" si="16"/>
        <v>0.11566618930402839</v>
      </c>
    </row>
    <row r="79" spans="2:52" ht="15.75" customHeight="1">
      <c r="B79" s="2" t="s">
        <v>89</v>
      </c>
      <c r="C79" s="38" t="str">
        <f t="shared" si="15"/>
        <v>T_P_Bus</v>
      </c>
      <c r="D79" s="46">
        <f t="shared" si="16"/>
        <v>0.10087430768124507</v>
      </c>
      <c r="H79" s="243"/>
    </row>
    <row r="80" spans="2:52" ht="15.75" customHeight="1">
      <c r="B80" s="2" t="s">
        <v>251</v>
      </c>
      <c r="C80" s="38" t="str">
        <f t="shared" si="15"/>
        <v>T_F_MTrk</v>
      </c>
      <c r="D80" s="46">
        <f t="shared" si="16"/>
        <v>0.25001200505329868</v>
      </c>
      <c r="H80" s="243"/>
    </row>
    <row r="81" spans="2:31" ht="15.75" customHeight="1">
      <c r="B81" s="2" t="s">
        <v>252</v>
      </c>
      <c r="C81" s="38" t="str">
        <f t="shared" si="15"/>
        <v>T_F_HTrk</v>
      </c>
      <c r="D81" s="46">
        <f t="shared" si="16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6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6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6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6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6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6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6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2025-12-02T20:08:26Z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