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EF4AE528-0FDE-4C4E-B652-4E10D423CA6C}" xr6:coauthVersionLast="47" xr6:coauthVersionMax="47" xr10:uidLastSave="{00000000-0000-0000-0000-000000000000}"/>
  <bookViews>
    <workbookView xWindow="-98" yWindow="-98" windowWidth="28996" windowHeight="17475" tabRatio="694" activeTab="4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4" hidden="1">'TRA_Demand-Vehicles'!$C$39:$D$70</definedName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8" i="161" l="1"/>
  <c r="Q47" i="161"/>
  <c r="W48" i="161"/>
  <c r="W47" i="161"/>
  <c r="W46" i="161"/>
  <c r="W45" i="161"/>
  <c r="W44" i="161"/>
  <c r="W43" i="161"/>
  <c r="W42" i="161"/>
  <c r="N48" i="161"/>
  <c r="N47" i="161"/>
  <c r="N46" i="161"/>
  <c r="N45" i="161"/>
  <c r="N44" i="161"/>
  <c r="N43" i="161"/>
  <c r="N42" i="161"/>
  <c r="P47" i="161"/>
  <c r="P43" i="161"/>
  <c r="P42" i="161"/>
  <c r="P48" i="161"/>
  <c r="P44" i="161"/>
  <c r="P28" i="161"/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E61" i="161"/>
  <c r="C61" i="161"/>
  <c r="D61" i="161" s="1"/>
  <c r="E60" i="161"/>
  <c r="C60" i="161"/>
  <c r="D60" i="161" s="1"/>
  <c r="E59" i="161"/>
  <c r="C59" i="16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V50" i="161" s="1"/>
  <c r="G43" i="161"/>
  <c r="F43" i="161"/>
  <c r="G42" i="161"/>
  <c r="F42" i="161"/>
  <c r="V49" i="161" s="1"/>
  <c r="J2" i="158"/>
  <c r="F60" i="161" l="1"/>
  <c r="F61" i="161"/>
  <c r="F62" i="161"/>
  <c r="T50" i="161"/>
  <c r="T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5" i="161" l="1"/>
  <c r="K47" i="161"/>
  <c r="D79" i="161"/>
  <c r="K53" i="161"/>
  <c r="D78" i="161"/>
  <c r="K56" i="161"/>
  <c r="K43" i="161"/>
  <c r="D80" i="161"/>
  <c r="K54" i="161"/>
  <c r="K55" i="161" s="1"/>
  <c r="H55" i="161" s="1"/>
  <c r="D77" i="161" s="1"/>
  <c r="K46" i="161"/>
  <c r="K52" i="161"/>
  <c r="K48" i="161"/>
  <c r="K57" i="161"/>
  <c r="K51" i="161"/>
  <c r="K42" i="16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<sst xmlns="http://schemas.openxmlformats.org/spreadsheetml/2006/main" count="1083" uniqueCount="364">
  <si>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</si>
  <si>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</si>
  <si>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</si>
  <si>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</si>
  <si>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</si>
  <si>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</si>
  <si>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</si>
  <si>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</si>
  <si>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</si>
  <si>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</si>
  <si>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</si>
  <si>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</si>
  <si>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</si>
  <si>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</si>
  <si>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</si>
  <si>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</si>
  <si>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</si>
  <si>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</si>
  <si>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</si>
  <si>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</si>
  <si>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</si>
  <si>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</si>
  <si>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</si>
  <si>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</si>
  <si>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</si>
  <si>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</si>
  <si>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</si>
  <si>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</si>
  <si>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</si>
  <si>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</si>
  <si>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</si>
  <si>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</si>
  <si>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</si>
  <si>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</si>
  <si>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</si>
  <si>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</si>
  <si>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</si>
  <si>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</si>
  <si>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</si>
  <si>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</si>
  <si>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</si>
  <si>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</si>
  <si>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</si>
  <si>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</si>
  <si>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</si>
  <si>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</si>
  <si>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</si>
  <si>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</si>
  <si>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</si>
  <si>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</si>
  <si>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</si>
  <si>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</si>
  <si>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</si>
  <si>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</si>
  <si>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</si>
  <si>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</si>
  <si>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</si>
  <si>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</si>
  <si>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</si>
  <si>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</si>
  <si>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</si>
  <si>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</si>
  <si>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</si>
  <si>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</si>
  <si>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</si>
  <si>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</si>
  <si>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</si>
  <si>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</si>
  <si>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</si>
  <si>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</si>
  <si>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</si>
  <si>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</si>
  <si>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</si>
  <si>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</si>
  <si>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</si>
  <si>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</si>
  <si>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</si>
  <si>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</si>
  <si>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</si>
  <si>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</si>
  <si>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</si>
  <si>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</si>
  <si>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</si>
  <si>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</si>
  <si>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</si>
  <si>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</si>
  <si>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</si>
  <si>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</si>
  <si>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</si>
  <si>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</si>
  <si>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</si>
  <si>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</si>
  <si>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</si>
  <si>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</si>
  <si>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</si>
  <si>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</si>
  <si>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</si>
  <si>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</si>
  <si>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</si>
  <si>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</si>
  <si>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</si>
  <si>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</si>
  <si>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</si>
  <si>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</si>
  <si>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</si>
  <si>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</si>
  <si>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</si>
  <si>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</si>
  <si>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</si>
  <si>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</si>
  <si>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</si>
  <si>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</si>
  <si>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</si>
  <si>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</si>
  <si>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</si>
  <si>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</si>
  <si>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</si>
  <si>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</si>
  <si>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</si>
  <si>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</si>
  <si>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</si>
  <si>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</si>
  <si>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</si>
  <si>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</si>
  <si>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</si>
  <si>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</si>
  <si>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</si>
  <si>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</si>
  <si>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</si>
  <si>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</si>
  <si>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</si>
  <si>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</si>
  <si>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</si>
  <si>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</si>
  <si>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</si>
  <si>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</si>
  <si>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</si>
  <si>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</si>
  <si>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</si>
  <si>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</si>
  <si>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</si>
  <si>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</si>
  <si>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</si>
  <si>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</si>
  <si>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</si>
  <si>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</si>
  <si>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</si>
  <si>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</si>
  <si>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</si>
  <si>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</si>
  <si>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</si>
  <si>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</si>
  <si>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</si>
  <si>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</si>
  <si>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</si>
  <si>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</si>
  <si>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</si>
  <si>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</si>
  <si>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</si>
  <si>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</si>
  <si>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</si>
  <si>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</si>
  <si>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</si>
  <si>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</si>
  <si>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</si>
  <si>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</si>
  <si>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</si>
  <si>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</si>
  <si>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</si>
  <si>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</si>
  <si>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</si>
  <si>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</si>
  <si>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</si>
  <si>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</si>
  <si>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</si>
  <si>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</si>
  <si>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</si>
  <si>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</si>
  <si>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</si>
  <si>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</si>
  <si>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</si>
  <si>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</si>
  <si>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</si>
  <si>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</si>
  <si>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</si>
  <si>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</si>
  <si>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</si>
  <si>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</si>
  <si>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</si>
  <si>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</si>
  <si>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</si>
  <si>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</si>
  <si>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</si>
  <si>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</si>
  <si>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</si>
  <si>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</si>
  <si>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</si>
  <si>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</si>
  <si>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</si>
  <si>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</si>
  <si>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</si>
  <si>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</si>
  <si>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</si>
  <si>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</si>
  <si>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</si>
  <si>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</si>
  <si>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</si>
  <si>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</si>
  <si>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</si>
  <si>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</si>
  <si>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</si>
  <si>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</si>
  <si>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</si>
  <si>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</si>
  <si>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</si>
  <si>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</si>
  <si>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</si>
  <si>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</si>
  <si>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</si>
  <si>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</si>
  <si>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</si>
  <si>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</si>
  <si>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</si>
  <si>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</si>
  <si>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</si>
  <si>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</si>
  <si>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</si>
  <si>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</si>
  <si>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</si>
  <si>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</si>
  <si>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</si>
  <si>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</si>
  <si>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</si>
  <si>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</si>
  <si>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</si>
  <si>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</si>
  <si>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</si>
  <si>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</si>
  <si>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</si>
  <si>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</si>
  <si>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</si>
  <si>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</si>
  <si>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</si>
  <si>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</si>
  <si>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</si>
  <si>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</si>
  <si>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</si>
  <si>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</si>
  <si>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</si>
  <si>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</si>
  <si>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</si>
  <si>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</si>
  <si>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</si>
  <si>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</si>
  <si>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</si>
  <si>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</si>
  <si>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</si>
  <si>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</si>
  <si>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</si>
  <si>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</si>
  <si>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</si>
  <si>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</si>
  <si>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</si>
  <si>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</si>
  <si>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</si>
  <si>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</si>
  <si>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</si>
  <si>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</si>
  <si>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</si>
  <si>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</si>
  <si>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</si>
  <si>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</si>
  <si>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</si>
  <si>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</si>
  <si>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</si>
  <si>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</si>
  <si>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</si>
  <si>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</si>
  <si>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</si>
  <si>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</si>
  <si>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</si>
  <si>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</si>
  <si>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</si>
  <si>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</si>
  <si>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</si>
  <si>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</si>
  <si>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</si>
  <si>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</si>
  <si>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</si>
  <si>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</si>
  <si>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</si>
  <si>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</si>
  <si>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</si>
  <si>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</si>
  <si>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</si>
  <si>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</si>
  <si>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</si>
  <si>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</si>
  <si>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</si>
  <si>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</si>
  <si>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</si>
  <si>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</si>
  <si>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</si>
  <si>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</si>
  <si>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</si>
  <si>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</si>
  <si>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</si>
  <si>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</si>
  <si>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</si>
  <si>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</si>
  <si>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</si>
  <si>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</si>
  <si>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</si>
  <si>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</si>
  <si>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</si>
  <si>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</si>
  <si>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</si>
  <si>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</si>
  <si>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</si>
  <si>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</si>
  <si>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</si>
  <si>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</si>
  <si>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</si>
  <si>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</si>
  <si>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</si>
  <si>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</si>
  <si>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</si>
  <si>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</si>
  <si>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</si>
  <si>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</si>
  <si>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</si>
  <si>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</si>
  <si>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</si>
  <si>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</si>
  <si>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</si>
  <si>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</si>
  <si>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</si>
  <si>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</si>
  <si>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</si>
  <si>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</si>
  <si>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</si>
  <si>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</si>
  <si>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</si>
  <si>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</si>
  <si>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</si>
  <si>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</si>
  <si>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</si>
  <si>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</si>
  <si>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</si>
  <si>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</si>
  <si>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</si>
  <si>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</si>
  <si>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</si>
  <si>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</si>
  <si>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</si>
  <si>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</si>
  <si>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</si>
  <si>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</si>
  <si>
    <t>elc_roadtransport</t>
  </si>
  <si>
    <t>PRC_resid~2024</t>
  </si>
  <si>
    <t>SI Split</t>
  </si>
  <si>
    <t>PRC_resid~2045</t>
  </si>
  <si>
    <t>NCAP_AFA~2025</t>
  </si>
  <si>
    <t>NCAP_AFA~2030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</si>
</sst>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87">
    <xf numFmtId="0" fontId="0" fillId="0" borderId="0"/>
    <xf numFmtId="0" fontId="37" fillId="29" borderId="0" applyNumberFormat="0" applyBorder="0" applyAlignment="0" applyProtection="0"/>
    <xf numFmtId="165" fontId="37" fillId="0" borderId="0" applyFont="0" applyFill="0" applyBorder="0" applyAlignment="0" applyProtection="0"/>
    <xf numFmtId="0" fontId="49" fillId="54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2" fillId="0" borderId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6" fillId="0" borderId="0">
      <alignment vertical="top"/>
    </xf>
    <xf numFmtId="0" fontId="14" fillId="0" borderId="0">
      <alignment vertical="top"/>
    </xf>
    <xf numFmtId="9" fontId="14" fillId="0" borderId="0" applyFont="0" applyFill="0" applyBorder="0" applyAlignment="0" applyProtection="0"/>
    <xf numFmtId="0" fontId="55" fillId="0" borderId="0"/>
    <xf numFmtId="0" fontId="19" fillId="0" borderId="0"/>
    <xf numFmtId="0" fontId="72" fillId="0" borderId="0" applyNumberFormat="0" applyFill="0" applyBorder="0" applyAlignment="0" applyProtection="0">
      <alignment vertical="top"/>
      <protection locked="0"/>
    </xf>
    <xf numFmtId="169" fontId="14" fillId="0" borderId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 applyBorder="0"/>
    <xf numFmtId="167" fontId="19" fillId="0" borderId="0"/>
    <xf numFmtId="167" fontId="19" fillId="0" borderId="0"/>
    <xf numFmtId="167" fontId="19" fillId="0" borderId="0"/>
    <xf numFmtId="0" fontId="14" fillId="0" borderId="0"/>
    <xf numFmtId="167" fontId="19" fillId="0" borderId="0"/>
    <xf numFmtId="0" fontId="14" fillId="0" borderId="0"/>
    <xf numFmtId="0" fontId="14" fillId="0" borderId="0"/>
    <xf numFmtId="0" fontId="14" fillId="0" borderId="0"/>
    <xf numFmtId="0" fontId="73" fillId="0" borderId="0"/>
    <xf numFmtId="169" fontId="19" fillId="0" borderId="0"/>
    <xf numFmtId="0" fontId="14" fillId="0" borderId="0"/>
    <xf numFmtId="0" fontId="14" fillId="0" borderId="0"/>
    <xf numFmtId="167" fontId="19" fillId="0" borderId="0"/>
    <xf numFmtId="0" fontId="66" fillId="0" borderId="0"/>
    <xf numFmtId="169" fontId="66" fillId="0" borderId="0"/>
    <xf numFmtId="167" fontId="19" fillId="0" borderId="0"/>
    <xf numFmtId="0" fontId="14" fillId="0" borderId="0" applyBorder="0"/>
    <xf numFmtId="169" fontId="14" fillId="0" borderId="0" applyBorder="0"/>
    <xf numFmtId="0" fontId="14" fillId="0" borderId="0"/>
    <xf numFmtId="169" fontId="14" fillId="0" borderId="0"/>
    <xf numFmtId="0" fontId="68" fillId="0" borderId="0"/>
    <xf numFmtId="0" fontId="68" fillId="0" borderId="0"/>
    <xf numFmtId="0" fontId="66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66" fillId="0" borderId="25" applyFont="0" applyAlignment="0">
      <alignment vertical="top" wrapText="1"/>
    </xf>
    <xf numFmtId="0" fontId="37" fillId="0" borderId="0"/>
    <xf numFmtId="170" fontId="76" fillId="0" borderId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170" fontId="19" fillId="60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60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170" fontId="19" fillId="6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170" fontId="19" fillId="63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6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170" fontId="19" fillId="6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66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170" fontId="19" fillId="62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0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170" fontId="19" fillId="6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6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6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170" fontId="19" fillId="6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69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170" fontId="19" fillId="70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71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170" fontId="19" fillId="7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71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3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170" fontId="19" fillId="6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3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6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170" fontId="19" fillId="6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7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170" fontId="19" fillId="7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67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6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170" fontId="20" fillId="76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7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70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170" fontId="20" fillId="7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170" fontId="20" fillId="72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78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7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6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170" fontId="20" fillId="7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170" fontId="20" fillId="80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6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8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170" fontId="20" fillId="82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79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9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83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170" fontId="20" fillId="8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1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85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170" fontId="20" fillId="84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17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7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0" fontId="77" fillId="0" borderId="0"/>
    <xf numFmtId="170" fontId="67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5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78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40" fillId="50" borderId="15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89" borderId="1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0" fontId="22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20" borderId="1" applyNumberFormat="0" applyAlignment="0" applyProtection="0"/>
    <xf numFmtId="0" fontId="22" fillId="20" borderId="1" applyNumberFormat="0" applyAlignment="0" applyProtection="0"/>
    <xf numFmtId="170" fontId="22" fillId="20" borderId="1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22" fillId="20" borderId="1" applyNumberFormat="0" applyAlignment="0" applyProtection="0"/>
    <xf numFmtId="172" fontId="14" fillId="0" borderId="0"/>
    <xf numFmtId="173" fontId="14" fillId="0" borderId="0"/>
    <xf numFmtId="174" fontId="14" fillId="0" borderId="0"/>
    <xf numFmtId="175" fontId="14" fillId="0" borderId="0"/>
    <xf numFmtId="176" fontId="14" fillId="0" borderId="0"/>
    <xf numFmtId="17" fontId="14" fillId="0" borderId="0"/>
    <xf numFmtId="20" fontId="14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3" fontId="14" fillId="0" borderId="0" applyFont="0" applyFill="0" applyBorder="0" applyAlignment="0" applyProtection="0"/>
    <xf numFmtId="170" fontId="14" fillId="0" borderId="0" applyBorder="0"/>
    <xf numFmtId="170" fontId="14" fillId="0" borderId="0" applyBorder="0"/>
    <xf numFmtId="170" fontId="14" fillId="0" borderId="0" applyBorder="0"/>
    <xf numFmtId="170" fontId="13" fillId="0" borderId="0"/>
    <xf numFmtId="170" fontId="13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14" fillId="0" borderId="0">
      <alignment horizontal="center"/>
    </xf>
    <xf numFmtId="170" fontId="14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6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4" fontId="80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70" fillId="0" borderId="0" applyFont="0" applyFill="0" applyBorder="0" applyAlignment="0" applyProtection="0"/>
    <xf numFmtId="177" fontId="83" fillId="0" borderId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9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84" fillId="0" borderId="0"/>
    <xf numFmtId="170" fontId="85" fillId="0" borderId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63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170" fontId="25" fillId="91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17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8" applyNumberFormat="0" applyFill="0" applyAlignment="0" applyProtection="0"/>
    <xf numFmtId="17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170" fontId="86" fillId="0" borderId="28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29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4" applyNumberFormat="0" applyFill="0" applyAlignment="0" applyProtection="0"/>
    <xf numFmtId="170" fontId="8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30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1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2" applyNumberFormat="0" applyFill="0" applyAlignment="0" applyProtection="0"/>
    <xf numFmtId="170" fontId="88" fillId="0" borderId="32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3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172" fontId="71" fillId="92" borderId="0"/>
    <xf numFmtId="173" fontId="71" fillId="92" borderId="0"/>
    <xf numFmtId="174" fontId="71" fillId="92" borderId="0"/>
    <xf numFmtId="170" fontId="14" fillId="92" borderId="0">
      <protection locked="0"/>
    </xf>
    <xf numFmtId="177" fontId="14" fillId="92" borderId="0">
      <protection locked="0"/>
    </xf>
    <xf numFmtId="175" fontId="14" fillId="92" borderId="0">
      <protection locked="0"/>
    </xf>
    <xf numFmtId="176" fontId="14" fillId="92" borderId="0">
      <protection locked="0"/>
    </xf>
    <xf numFmtId="17" fontId="14" fillId="92" borderId="0">
      <protection locked="0"/>
    </xf>
    <xf numFmtId="20" fontId="14" fillId="92" borderId="0"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7" borderId="1" applyNumberFormat="0" applyAlignment="0" applyProtection="0"/>
    <xf numFmtId="0" fontId="29" fillId="7" borderId="1" applyNumberFormat="0" applyAlignment="0" applyProtection="0"/>
    <xf numFmtId="17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170" fontId="14" fillId="92" borderId="0">
      <protection locked="0"/>
    </xf>
    <xf numFmtId="170" fontId="14" fillId="92" borderId="0">
      <protection locked="0"/>
    </xf>
    <xf numFmtId="170" fontId="13" fillId="92" borderId="0">
      <protection locked="0"/>
    </xf>
    <xf numFmtId="170" fontId="14" fillId="92" borderId="0">
      <alignment horizontal="center"/>
      <protection locked="0"/>
    </xf>
    <xf numFmtId="170" fontId="14" fillId="92" borderId="0">
      <protection locked="0"/>
    </xf>
    <xf numFmtId="170" fontId="14" fillId="92" borderId="0"/>
    <xf numFmtId="170" fontId="14" fillId="92" borderId="0">
      <alignment wrapText="1"/>
      <protection locked="0"/>
    </xf>
    <xf numFmtId="170" fontId="75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82" fillId="92" borderId="0">
      <protection locked="0"/>
    </xf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5" fillId="0" borderId="34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89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2" fontId="70" fillId="0" borderId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170" fontId="14" fillId="0" borderId="0"/>
    <xf numFmtId="170" fontId="14" fillId="0" borderId="0"/>
    <xf numFmtId="0" fontId="66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0" fontId="14" fillId="0" borderId="0"/>
    <xf numFmtId="0" fontId="56" fillId="0" borderId="0">
      <alignment vertical="center"/>
    </xf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55" fillId="0" borderId="0"/>
    <xf numFmtId="0" fontId="14" fillId="0" borderId="0"/>
    <xf numFmtId="0" fontId="14" fillId="0" borderId="0"/>
    <xf numFmtId="0" fontId="14" fillId="0" borderId="0"/>
    <xf numFmtId="170" fontId="68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6" fillId="0" borderId="0"/>
    <xf numFmtId="0" fontId="14" fillId="0" borderId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56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170" fontId="83" fillId="94" borderId="7" applyNumberForma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178" fontId="74" fillId="0" borderId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170" fontId="32" fillId="60" borderId="8" applyNumberFormat="0" applyAlignment="0" applyProtection="0"/>
    <xf numFmtId="170" fontId="32" fillId="60" borderId="8" applyNumberFormat="0" applyAlignment="0" applyProtection="0"/>
    <xf numFmtId="17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20" borderId="8" applyNumberFormat="0" applyAlignment="0" applyProtection="0"/>
    <xf numFmtId="0" fontId="32" fillId="20" borderId="8" applyNumberFormat="0" applyAlignment="0" applyProtection="0"/>
    <xf numFmtId="170" fontId="32" fillId="20" borderId="8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6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9" fontId="14" fillId="0" borderId="0" applyFont="0" applyFill="0" applyBorder="0" applyAlignment="0" applyProtection="0"/>
    <xf numFmtId="9" fontId="83" fillId="0" borderId="0" applyFill="0" applyBorder="0" applyAlignment="0" applyProtection="0"/>
    <xf numFmtId="9" fontId="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17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83" fillId="0" borderId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83" fillId="0" borderId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17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14">
      <alignment horizontal="center"/>
    </xf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83" fillId="0" borderId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17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83" fillId="96" borderId="0" applyNumberForma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68" fillId="95" borderId="0" applyNumberFormat="0" applyFont="0" applyBorder="0" applyAlignment="0" applyProtection="0"/>
    <xf numFmtId="172" fontId="14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0" borderId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1" fontId="94" fillId="65" borderId="26" applyProtection="0">
      <alignment horizontal="center" vertical="center"/>
    </xf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6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37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6" fillId="0" borderId="0">
      <alignment horizontal="center"/>
    </xf>
    <xf numFmtId="170" fontId="97" fillId="66" borderId="0"/>
    <xf numFmtId="170" fontId="98" fillId="99" borderId="0"/>
    <xf numFmtId="170" fontId="97" fillId="66" borderId="0"/>
    <xf numFmtId="170" fontId="97" fillId="59" borderId="0"/>
    <xf numFmtId="170" fontId="99" fillId="66" borderId="26">
      <alignment horizontal="center" vertical="center"/>
    </xf>
    <xf numFmtId="170" fontId="99" fillId="66" borderId="26">
      <alignment horizontal="center" vertical="center"/>
    </xf>
    <xf numFmtId="170" fontId="99" fillId="66" borderId="26">
      <alignment horizontal="center" vertical="center"/>
    </xf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32" fillId="20" borderId="8" applyNumberFormat="0" applyAlignment="0" applyProtection="0"/>
    <xf numFmtId="0" fontId="22" fillId="20" borderId="1" applyNumberFormat="0" applyAlignment="0" applyProtection="0"/>
    <xf numFmtId="0" fontId="29" fillId="7" borderId="1" applyNumberFormat="0" applyAlignment="0" applyProtection="0"/>
    <xf numFmtId="0" fontId="34" fillId="0" borderId="9" applyNumberFormat="0" applyFill="0" applyAlignment="0" applyProtection="0"/>
    <xf numFmtId="0" fontId="24" fillId="0" borderId="0" applyNumberFormat="0" applyFill="0" applyBorder="0" applyAlignment="0" applyProtection="0"/>
    <xf numFmtId="11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14" fillId="23" borderId="7" applyNumberFormat="0" applyFont="0" applyAlignment="0" applyProtection="0"/>
    <xf numFmtId="0" fontId="21" fillId="3" borderId="0" applyNumberFormat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30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23" fillId="21" borderId="2" applyNumberFormat="0" applyAlignment="0" applyProtection="0"/>
    <xf numFmtId="0" fontId="37" fillId="0" borderId="0"/>
    <xf numFmtId="0" fontId="37" fillId="0" borderId="0"/>
    <xf numFmtId="0" fontId="37" fillId="0" borderId="0"/>
    <xf numFmtId="9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5" fillId="0" borderId="0"/>
    <xf numFmtId="0" fontId="37" fillId="0" borderId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35" fillId="0" borderId="0" applyNumberFormat="0" applyFill="0" applyBorder="0" applyAlignment="0" applyProtection="0"/>
    <xf numFmtId="0" fontId="22" fillId="20" borderId="1" applyNumberFormat="0" applyAlignment="0" applyProtection="0"/>
    <xf numFmtId="0" fontId="30" fillId="0" borderId="6" applyNumberFormat="0" applyFill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23" borderId="7" applyNumberFormat="0" applyFont="0" applyAlignment="0" applyProtection="0"/>
    <xf numFmtId="0" fontId="100" fillId="0" borderId="39">
      <alignment horizontal="left" vertical="center" wrapText="1" indent="2"/>
    </xf>
    <xf numFmtId="0" fontId="29" fillId="7" borderId="1" applyNumberFormat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ill="0" applyBorder="0" applyAlignment="0" applyProtection="0"/>
    <xf numFmtId="0" fontId="101" fillId="53" borderId="15" applyNumberFormat="0" applyAlignment="0" applyProtection="0"/>
    <xf numFmtId="0" fontId="21" fillId="3" borderId="0" applyNumberFormat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5" fontId="14" fillId="0" borderId="0" applyFont="0" applyFill="0" applyBorder="0" applyAlignment="0" applyProtection="0"/>
    <xf numFmtId="0" fontId="31" fillId="22" borderId="0" applyNumberFormat="0" applyBorder="0" applyAlignment="0" applyProtection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2" fillId="0" borderId="0" applyNumberFormat="0" applyFill="0" applyBorder="0" applyProtection="0">
      <alignment horizontal="left" vertical="center"/>
    </xf>
    <xf numFmtId="4" fontId="14" fillId="103" borderId="0" applyNumberFormat="0" applyFont="0" applyBorder="0" applyAlignment="0" applyProtection="0"/>
    <xf numFmtId="4" fontId="14" fillId="103" borderId="0" applyNumberFormat="0" applyFont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104" borderId="7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32" fillId="20" borderId="8" applyNumberFormat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0" fontId="24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23" fillId="21" borderId="2" applyNumberFormat="0" applyAlignment="0" applyProtection="0"/>
    <xf numFmtId="4" fontId="100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9" fontId="36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96" fillId="101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9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7" fillId="0" borderId="0"/>
    <xf numFmtId="0" fontId="37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5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4" fillId="0" borderId="0"/>
    <xf numFmtId="0" fontId="37" fillId="0" borderId="0"/>
    <xf numFmtId="0" fontId="54" fillId="0" borderId="0"/>
    <xf numFmtId="0" fontId="58" fillId="0" borderId="0"/>
    <xf numFmtId="0" fontId="5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47" fillId="53" borderId="15" applyNumberFormat="0" applyAlignment="0" applyProtection="0"/>
    <xf numFmtId="0" fontId="103" fillId="53" borderId="15" applyNumberFormat="0" applyAlignment="0" applyProtection="0"/>
    <xf numFmtId="0" fontId="101" fillId="53" borderId="15" applyNumberFormat="0" applyAlignment="0" applyProtection="0"/>
    <xf numFmtId="0" fontId="103" fillId="53" borderId="15" applyNumberFormat="0" applyAlignment="0" applyProtection="0"/>
    <xf numFmtId="0" fontId="47" fillId="53" borderId="15" applyNumberFormat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5" fillId="54" borderId="0" applyNumberFormat="0" applyBorder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3" fillId="53" borderId="15" applyNumberFormat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7" fillId="0" borderId="0" applyNumberForma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40" fillId="89" borderId="15" applyNumberFormat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58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40" fillId="50" borderId="15" applyNumberFormat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57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67" fillId="102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4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8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5" fillId="0" borderId="0"/>
    <xf numFmtId="0" fontId="4" fillId="0" borderId="0"/>
    <xf numFmtId="0" fontId="4" fillId="0" borderId="0"/>
    <xf numFmtId="0" fontId="3" fillId="0" borderId="0"/>
    <xf numFmtId="0" fontId="130" fillId="0" borderId="0" applyNumberFormat="0" applyFill="0" applyBorder="0" applyAlignment="0" applyProtection="0"/>
    <xf numFmtId="0" fontId="46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43" fillId="52" borderId="0" applyNumberFormat="0" applyBorder="0" applyAlignment="0" applyProtection="0"/>
    <xf numFmtId="0" fontId="39" fillId="49" borderId="0" applyNumberFormat="0" applyBorder="0" applyAlignment="0" applyProtection="0"/>
    <xf numFmtId="0" fontId="47" fillId="53" borderId="15" applyNumberFormat="0" applyAlignment="0" applyProtection="0"/>
    <xf numFmtId="0" fontId="50" fillId="50" borderId="22" applyNumberFormat="0" applyAlignment="0" applyProtection="0"/>
    <xf numFmtId="0" fontId="40" fillId="50" borderId="15" applyNumberFormat="0" applyAlignment="0" applyProtection="0"/>
    <xf numFmtId="0" fontId="48" fillId="0" borderId="20" applyNumberFormat="0" applyFill="0" applyAlignment="0" applyProtection="0"/>
    <xf numFmtId="0" fontId="41" fillId="51" borderId="16" applyNumberFormat="0" applyAlignment="0" applyProtection="0"/>
    <xf numFmtId="0" fontId="5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43" borderId="0" applyNumberFormat="0" applyBorder="0" applyAlignment="0" applyProtection="0"/>
    <xf numFmtId="0" fontId="2" fillId="25" borderId="0" applyNumberFormat="0" applyBorder="0" applyAlignment="0" applyProtection="0"/>
    <xf numFmtId="0" fontId="2" fillId="31" borderId="0" applyNumberFormat="0" applyBorder="0" applyAlignment="0" applyProtection="0"/>
    <xf numFmtId="0" fontId="38" fillId="37" borderId="0" applyNumberFormat="0" applyBorder="0" applyAlignment="0" applyProtection="0"/>
    <xf numFmtId="0" fontId="38" fillId="44" borderId="0" applyNumberFormat="0" applyBorder="0" applyAlignment="0" applyProtection="0"/>
    <xf numFmtId="0" fontId="2" fillId="26" borderId="0" applyNumberFormat="0" applyBorder="0" applyAlignment="0" applyProtection="0"/>
    <xf numFmtId="0" fontId="2" fillId="32" borderId="0" applyNumberFormat="0" applyBorder="0" applyAlignment="0" applyProtection="0"/>
    <xf numFmtId="0" fontId="38" fillId="38" borderId="0" applyNumberFormat="0" applyBorder="0" applyAlignment="0" applyProtection="0"/>
    <xf numFmtId="0" fontId="38" fillId="45" borderId="0" applyNumberFormat="0" applyBorder="0" applyAlignment="0" applyProtection="0"/>
    <xf numFmtId="0" fontId="2" fillId="33" borderId="0" applyNumberFormat="0" applyBorder="0" applyAlignment="0" applyProtection="0"/>
    <xf numFmtId="0" fontId="38" fillId="39" borderId="0" applyNumberFormat="0" applyBorder="0" applyAlignment="0" applyProtection="0"/>
    <xf numFmtId="0" fontId="38" fillId="46" borderId="0" applyNumberFormat="0" applyBorder="0" applyAlignment="0" applyProtection="0"/>
    <xf numFmtId="0" fontId="2" fillId="28" borderId="0" applyNumberFormat="0" applyBorder="0" applyAlignment="0" applyProtection="0"/>
    <xf numFmtId="0" fontId="2" fillId="34" borderId="0" applyNumberFormat="0" applyBorder="0" applyAlignment="0" applyProtection="0"/>
    <xf numFmtId="0" fontId="38" fillId="40" borderId="0" applyNumberFormat="0" applyBorder="0" applyAlignment="0" applyProtection="0"/>
    <xf numFmtId="0" fontId="38" fillId="47" borderId="0" applyNumberFormat="0" applyBorder="0" applyAlignment="0" applyProtection="0"/>
    <xf numFmtId="0" fontId="2" fillId="35" borderId="0" applyNumberFormat="0" applyBorder="0" applyAlignment="0" applyProtection="0"/>
    <xf numFmtId="0" fontId="38" fillId="41" borderId="0" applyNumberFormat="0" applyBorder="0" applyAlignment="0" applyProtection="0"/>
    <xf numFmtId="0" fontId="38" fillId="48" borderId="0" applyNumberFormat="0" applyBorder="0" applyAlignment="0" applyProtection="0"/>
    <xf numFmtId="0" fontId="2" fillId="30" borderId="0" applyNumberFormat="0" applyBorder="0" applyAlignment="0" applyProtection="0"/>
    <xf numFmtId="0" fontId="2" fillId="36" borderId="0" applyNumberFormat="0" applyBorder="0" applyAlignment="0" applyProtection="0"/>
    <xf numFmtId="0" fontId="38" fillId="42" borderId="0" applyNumberFormat="0" applyBorder="0" applyAlignment="0" applyProtection="0"/>
    <xf numFmtId="0" fontId="2" fillId="0" borderId="0"/>
    <xf numFmtId="0" fontId="131" fillId="0" borderId="0"/>
    <xf numFmtId="0" fontId="131" fillId="0" borderId="0"/>
    <xf numFmtId="0" fontId="131" fillId="0" borderId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1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165" fontId="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4" fontId="115" fillId="0" borderId="45" applyNumberFormat="0" applyFont="0" applyFill="0" applyAlignment="0" applyProtection="0"/>
    <xf numFmtId="0" fontId="2" fillId="0" borderId="0"/>
    <xf numFmtId="0" fontId="2" fillId="55" borderId="21" applyNumberFormat="0" applyFont="0" applyAlignment="0" applyProtection="0"/>
    <xf numFmtId="0" fontId="2" fillId="27" borderId="0" applyNumberFormat="0" applyBorder="0" applyAlignment="0" applyProtection="0"/>
    <xf numFmtId="0" fontId="57" fillId="0" borderId="0" applyNumberForma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0" fontId="14" fillId="0" borderId="0"/>
  </cellStyleXfs>
  <cellXfs count="286">
    <xf numFmtId="0" fontId="0" fillId="0" borderId="0" xfId="0"/>
    <xf numFmtId="0" fontId="60" fillId="0" borderId="0" xfId="0" applyFont="1"/>
    <xf numFmtId="0" fontId="60" fillId="0" borderId="0" xfId="0" applyFont="1" applyAlignment="1">
      <alignment horizontal="left" vertical="top"/>
    </xf>
    <xf numFmtId="168" fontId="63" fillId="0" borderId="0" xfId="0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1" xfId="1" applyNumberFormat="1" applyFont="1" applyBorder="1" applyAlignment="1">
      <alignment horizontal="left" vertical="top" wrapText="1"/>
    </xf>
    <xf numFmtId="0" fontId="60" fillId="0" borderId="0" xfId="4" applyFont="1" applyAlignment="1">
      <alignment horizontal="left" vertical="top"/>
    </xf>
    <xf numFmtId="0" fontId="60" fillId="0" borderId="0" xfId="4" applyFont="1" applyAlignment="1">
      <alignment horizontal="left" vertical="top" wrapText="1"/>
    </xf>
    <xf numFmtId="0" fontId="63" fillId="0" borderId="0" xfId="6" applyFont="1" applyAlignment="1">
      <alignment horizontal="left" vertical="top"/>
    </xf>
    <xf numFmtId="0" fontId="61" fillId="24" borderId="10" xfId="6" applyFont="1" applyFill="1" applyBorder="1" applyAlignment="1">
      <alignment horizontal="left" vertical="top"/>
    </xf>
    <xf numFmtId="0" fontId="61" fillId="24" borderId="10" xfId="6" applyFont="1" applyFill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left" vertical="top" wrapText="1"/>
    </xf>
    <xf numFmtId="168" fontId="60" fillId="0" borderId="24" xfId="0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center" vertical="center"/>
    </xf>
    <xf numFmtId="0" fontId="60" fillId="57" borderId="24" xfId="3" applyFont="1" applyFill="1" applyBorder="1"/>
    <xf numFmtId="168" fontId="60" fillId="0" borderId="24" xfId="4" applyNumberFormat="1" applyFont="1" applyBorder="1" applyAlignment="1">
      <alignment wrapText="1"/>
    </xf>
    <xf numFmtId="2" fontId="60" fillId="57" borderId="24" xfId="3" applyNumberFormat="1" applyFont="1" applyFill="1" applyBorder="1"/>
    <xf numFmtId="0" fontId="60" fillId="0" borderId="24" xfId="4" applyFont="1" applyBorder="1"/>
    <xf numFmtId="168" fontId="60" fillId="0" borderId="24" xfId="4" applyNumberFormat="1" applyFont="1" applyBorder="1"/>
    <xf numFmtId="0" fontId="60" fillId="0" borderId="24" xfId="0" applyFont="1" applyBorder="1" applyAlignment="1">
      <alignment horizontal="left" vertical="top"/>
    </xf>
    <xf numFmtId="0" fontId="63" fillId="0" borderId="0" xfId="0" applyFont="1" applyAlignment="1">
      <alignment horizontal="left"/>
    </xf>
    <xf numFmtId="0" fontId="61" fillId="56" borderId="11" xfId="6" applyFont="1" applyFill="1" applyBorder="1" applyAlignment="1">
      <alignment horizontal="left" vertical="center"/>
    </xf>
    <xf numFmtId="0" fontId="64" fillId="57" borderId="11" xfId="1" applyFont="1" applyFill="1" applyBorder="1" applyAlignment="1">
      <alignment horizontal="left" wrapText="1"/>
    </xf>
    <xf numFmtId="0" fontId="61" fillId="58" borderId="0" xfId="6" applyFont="1" applyFill="1" applyAlignment="1">
      <alignment horizontal="left" vertical="center"/>
    </xf>
    <xf numFmtId="2" fontId="60" fillId="58" borderId="0" xfId="0" applyNumberFormat="1" applyFont="1" applyFill="1"/>
    <xf numFmtId="168" fontId="107" fillId="0" borderId="0" xfId="4" applyNumberFormat="1" applyFont="1"/>
    <xf numFmtId="168" fontId="106" fillId="0" borderId="24" xfId="4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left" vertical="top" wrapText="1"/>
    </xf>
    <xf numFmtId="180" fontId="65" fillId="29" borderId="10" xfId="1" applyNumberFormat="1" applyFont="1" applyBorder="1" applyAlignment="1">
      <alignment horizontal="left" vertical="top" wrapText="1"/>
    </xf>
    <xf numFmtId="180" fontId="60" fillId="57" borderId="24" xfId="3" applyNumberFormat="1" applyFont="1" applyFill="1" applyBorder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horizontal="left"/>
    </xf>
    <xf numFmtId="2" fontId="0" fillId="0" borderId="0" xfId="0" applyNumberFormat="1"/>
    <xf numFmtId="0" fontId="13" fillId="24" borderId="13" xfId="0" applyFont="1" applyFill="1" applyBorder="1" applyAlignment="1">
      <alignment vertical="top" wrapText="1"/>
    </xf>
    <xf numFmtId="0" fontId="13" fillId="24" borderId="40" xfId="0" applyFont="1" applyFill="1" applyBorder="1" applyAlignment="1">
      <alignment horizontal="center" vertical="top" wrapText="1"/>
    </xf>
    <xf numFmtId="168" fontId="60" fillId="0" borderId="24" xfId="4" applyNumberFormat="1" applyFont="1" applyBorder="1" applyAlignment="1">
      <alignment vertical="top"/>
    </xf>
    <xf numFmtId="168" fontId="106" fillId="0" borderId="0" xfId="4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 wrapText="1"/>
    </xf>
    <xf numFmtId="168" fontId="60" fillId="0" borderId="0" xfId="0" applyNumberFormat="1" applyFont="1" applyAlignment="1">
      <alignment horizontal="center" vertical="center"/>
    </xf>
    <xf numFmtId="168" fontId="60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0" fillId="57" borderId="24" xfId="3" applyNumberFormat="1" applyFont="1" applyFill="1" applyBorder="1"/>
    <xf numFmtId="2" fontId="60" fillId="0" borderId="0" xfId="0" applyNumberFormat="1" applyFont="1" applyAlignment="1">
      <alignment horizontal="left" vertical="top"/>
    </xf>
    <xf numFmtId="2" fontId="60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6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2" fillId="0" borderId="47" xfId="0" applyFont="1" applyBorder="1" applyAlignment="1">
      <alignment horizontal="center"/>
    </xf>
    <xf numFmtId="0" fontId="52" fillId="0" borderId="49" xfId="0" applyFont="1" applyBorder="1" applyAlignment="1">
      <alignment horizontal="center"/>
    </xf>
    <xf numFmtId="9" fontId="52" fillId="0" borderId="49" xfId="36093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3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3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3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0" fillId="107" borderId="24" xfId="4" applyNumberFormat="1" applyFont="1" applyFill="1" applyBorder="1"/>
    <xf numFmtId="0" fontId="60" fillId="107" borderId="24" xfId="4" applyFont="1" applyFill="1" applyBorder="1"/>
    <xf numFmtId="2" fontId="60" fillId="107" borderId="24" xfId="3" applyNumberFormat="1" applyFont="1" applyFill="1" applyBorder="1"/>
    <xf numFmtId="1" fontId="60" fillId="107" borderId="24" xfId="3" applyNumberFormat="1" applyFont="1" applyFill="1" applyBorder="1"/>
    <xf numFmtId="168" fontId="60" fillId="108" borderId="24" xfId="4" applyNumberFormat="1" applyFont="1" applyFill="1" applyBorder="1"/>
    <xf numFmtId="0" fontId="60" fillId="108" borderId="24" xfId="4" applyFont="1" applyFill="1" applyBorder="1"/>
    <xf numFmtId="2" fontId="60" fillId="108" borderId="24" xfId="3" applyNumberFormat="1" applyFont="1" applyFill="1" applyBorder="1"/>
    <xf numFmtId="1" fontId="60" fillId="108" borderId="24" xfId="3" applyNumberFormat="1" applyFont="1" applyFill="1" applyBorder="1"/>
    <xf numFmtId="168" fontId="60" fillId="109" borderId="24" xfId="4" applyNumberFormat="1" applyFont="1" applyFill="1" applyBorder="1"/>
    <xf numFmtId="0" fontId="60" fillId="109" borderId="24" xfId="4" applyFont="1" applyFill="1" applyBorder="1"/>
    <xf numFmtId="2" fontId="60" fillId="109" borderId="24" xfId="3" applyNumberFormat="1" applyFont="1" applyFill="1" applyBorder="1"/>
    <xf numFmtId="1" fontId="60" fillId="109" borderId="24" xfId="3" applyNumberFormat="1" applyFont="1" applyFill="1" applyBorder="1"/>
    <xf numFmtId="182" fontId="60" fillId="107" borderId="24" xfId="3" applyNumberFormat="1" applyFont="1" applyFill="1" applyBorder="1"/>
    <xf numFmtId="0" fontId="61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1" fontId="123" fillId="57" borderId="24" xfId="3" applyNumberFormat="1" applyFont="1" applyFill="1" applyBorder="1"/>
    <xf numFmtId="168" fontId="60" fillId="0" borderId="75" xfId="0" applyNumberFormat="1" applyFont="1" applyBorder="1" applyAlignment="1">
      <alignment horizontal="left" vertical="top"/>
    </xf>
    <xf numFmtId="168" fontId="60" fillId="0" borderId="75" xfId="4" applyNumberFormat="1" applyFont="1" applyBorder="1"/>
    <xf numFmtId="168" fontId="60" fillId="0" borderId="76" xfId="0" applyNumberFormat="1" applyFont="1" applyBorder="1" applyAlignment="1">
      <alignment horizontal="left" vertical="top"/>
    </xf>
    <xf numFmtId="168" fontId="60" fillId="0" borderId="76" xfId="4" applyNumberFormat="1" applyFont="1" applyBorder="1"/>
    <xf numFmtId="168" fontId="60" fillId="0" borderId="76" xfId="4" applyNumberFormat="1" applyFont="1" applyBorder="1" applyAlignment="1">
      <alignment vertical="top"/>
    </xf>
    <xf numFmtId="168" fontId="60" fillId="56" borderId="75" xfId="0" applyNumberFormat="1" applyFont="1" applyFill="1" applyBorder="1" applyAlignment="1">
      <alignment horizontal="left" vertical="top"/>
    </xf>
    <xf numFmtId="168" fontId="60" fillId="56" borderId="75" xfId="4" applyNumberFormat="1" applyFont="1" applyFill="1" applyBorder="1"/>
    <xf numFmtId="168" fontId="60" fillId="56" borderId="75" xfId="4" applyNumberFormat="1" applyFont="1" applyFill="1" applyBorder="1" applyAlignment="1">
      <alignment vertical="top"/>
    </xf>
    <xf numFmtId="168" fontId="60" fillId="56" borderId="24" xfId="0" applyNumberFormat="1" applyFont="1" applyFill="1" applyBorder="1" applyAlignment="1">
      <alignment horizontal="left" vertical="top"/>
    </xf>
    <xf numFmtId="168" fontId="60" fillId="56" borderId="24" xfId="4" applyNumberFormat="1" applyFont="1" applyFill="1" applyBorder="1"/>
    <xf numFmtId="168" fontId="60" fillId="56" borderId="24" xfId="4" applyNumberFormat="1" applyFont="1" applyFill="1" applyBorder="1" applyAlignment="1">
      <alignment vertical="top"/>
    </xf>
    <xf numFmtId="168" fontId="60" fillId="56" borderId="76" xfId="0" applyNumberFormat="1" applyFont="1" applyFill="1" applyBorder="1" applyAlignment="1">
      <alignment horizontal="left" vertical="top"/>
    </xf>
    <xf numFmtId="168" fontId="60" fillId="56" borderId="76" xfId="4" applyNumberFormat="1" applyFont="1" applyFill="1" applyBorder="1"/>
    <xf numFmtId="168" fontId="60" fillId="56" borderId="76" xfId="4" applyNumberFormat="1" applyFont="1" applyFill="1" applyBorder="1" applyAlignment="1">
      <alignment vertical="top"/>
    </xf>
    <xf numFmtId="0" fontId="60" fillId="0" borderId="75" xfId="0" applyFont="1" applyBorder="1" applyAlignment="1">
      <alignment horizontal="left" vertical="top"/>
    </xf>
    <xf numFmtId="168" fontId="60" fillId="0" borderId="75" xfId="4" applyNumberFormat="1" applyFont="1" applyBorder="1" applyAlignment="1">
      <alignment wrapText="1"/>
    </xf>
    <xf numFmtId="0" fontId="60" fillId="56" borderId="76" xfId="0" applyFont="1" applyFill="1" applyBorder="1" applyAlignment="1">
      <alignment horizontal="left" vertical="top"/>
    </xf>
    <xf numFmtId="168" fontId="60" fillId="56" borderId="76" xfId="4" applyNumberFormat="1" applyFont="1" applyFill="1" applyBorder="1" applyAlignment="1">
      <alignment wrapText="1"/>
    </xf>
    <xf numFmtId="0" fontId="60" fillId="56" borderId="78" xfId="0" applyFont="1" applyFill="1" applyBorder="1" applyAlignment="1">
      <alignment horizontal="left" vertical="top"/>
    </xf>
    <xf numFmtId="168" fontId="60" fillId="56" borderId="78" xfId="0" applyNumberFormat="1" applyFont="1" applyFill="1" applyBorder="1" applyAlignment="1">
      <alignment horizontal="left" vertical="top"/>
    </xf>
    <xf numFmtId="168" fontId="60" fillId="56" borderId="78" xfId="4" applyNumberFormat="1" applyFont="1" applyFill="1" applyBorder="1"/>
    <xf numFmtId="168" fontId="60" fillId="56" borderId="78" xfId="4" applyNumberFormat="1" applyFont="1" applyFill="1" applyBorder="1" applyAlignment="1">
      <alignment vertical="top" wrapText="1"/>
    </xf>
    <xf numFmtId="0" fontId="60" fillId="0" borderId="77" xfId="0" applyFont="1" applyBorder="1" applyAlignment="1">
      <alignment horizontal="left" vertical="top"/>
    </xf>
    <xf numFmtId="168" fontId="60" fillId="0" borderId="77" xfId="0" applyNumberFormat="1" applyFont="1" applyBorder="1" applyAlignment="1">
      <alignment horizontal="left" vertical="top"/>
    </xf>
    <xf numFmtId="168" fontId="60" fillId="0" borderId="77" xfId="4" applyNumberFormat="1" applyFont="1" applyBorder="1"/>
    <xf numFmtId="168" fontId="60" fillId="0" borderId="77" xfId="4" applyNumberFormat="1" applyFont="1" applyBorder="1" applyAlignment="1">
      <alignment vertical="top" wrapText="1"/>
    </xf>
    <xf numFmtId="2" fontId="60" fillId="108" borderId="24" xfId="4" applyNumberFormat="1" applyFont="1" applyFill="1" applyBorder="1"/>
    <xf numFmtId="168" fontId="60" fillId="58" borderId="24" xfId="4" applyNumberFormat="1" applyFont="1" applyFill="1" applyBorder="1"/>
    <xf numFmtId="0" fontId="60" fillId="58" borderId="24" xfId="4" applyFont="1" applyFill="1" applyBorder="1"/>
    <xf numFmtId="2" fontId="60" fillId="58" borderId="24" xfId="3" applyNumberFormat="1" applyFont="1" applyFill="1" applyBorder="1"/>
    <xf numFmtId="1" fontId="60" fillId="58" borderId="24" xfId="3" applyNumberFormat="1" applyFont="1" applyFill="1" applyBorder="1"/>
    <xf numFmtId="182" fontId="60" fillId="58" borderId="24" xfId="3" applyNumberFormat="1" applyFont="1" applyFill="1" applyBorder="1"/>
    <xf numFmtId="168" fontId="60" fillId="110" borderId="24" xfId="4" applyNumberFormat="1" applyFont="1" applyFill="1" applyBorder="1"/>
    <xf numFmtId="0" fontId="60" fillId="110" borderId="24" xfId="4" applyFont="1" applyFill="1" applyBorder="1"/>
    <xf numFmtId="2" fontId="60" fillId="110" borderId="24" xfId="3" applyNumberFormat="1" applyFont="1" applyFill="1" applyBorder="1"/>
    <xf numFmtId="1" fontId="60" fillId="110" borderId="24" xfId="3" applyNumberFormat="1" applyFont="1" applyFill="1" applyBorder="1"/>
    <xf numFmtId="182" fontId="60" fillId="110" borderId="24" xfId="3" applyNumberFormat="1" applyFont="1" applyFill="1" applyBorder="1"/>
    <xf numFmtId="9" fontId="0" fillId="0" borderId="0" xfId="36093" applyFont="1"/>
    <xf numFmtId="9" fontId="6" fillId="0" borderId="49" xfId="36093" applyFont="1" applyBorder="1" applyAlignment="1">
      <alignment horizontal="center"/>
    </xf>
    <xf numFmtId="9" fontId="0" fillId="111" borderId="0" xfId="36093" applyFont="1" applyFill="1"/>
    <xf numFmtId="0" fontId="128" fillId="110" borderId="0" xfId="36126" applyFont="1" applyFill="1"/>
    <xf numFmtId="0" fontId="5" fillId="0" borderId="0" xfId="36126"/>
    <xf numFmtId="0" fontId="5" fillId="56" borderId="0" xfId="36126" applyFill="1"/>
    <xf numFmtId="0" fontId="60" fillId="0" borderId="74" xfId="0" applyFont="1" applyBorder="1" applyAlignment="1">
      <alignment horizontal="center" vertical="top"/>
    </xf>
    <xf numFmtId="0" fontId="65" fillId="29" borderId="10" xfId="1" applyFont="1" applyBorder="1" applyAlignment="1">
      <alignment horizontal="center" vertical="center" wrapText="1"/>
    </xf>
    <xf numFmtId="180" fontId="127" fillId="29" borderId="10" xfId="1" applyNumberFormat="1" applyFont="1" applyBorder="1" applyAlignment="1">
      <alignment horizontal="center" vertical="center" wrapText="1"/>
    </xf>
    <xf numFmtId="180" fontId="65" fillId="29" borderId="10" xfId="1" applyNumberFormat="1" applyFont="1" applyBorder="1" applyAlignment="1">
      <alignment horizontal="center" vertical="center" wrapText="1"/>
    </xf>
    <xf numFmtId="167" fontId="60" fillId="108" borderId="24" xfId="36093" applyNumberFormat="1" applyFont="1" applyFill="1" applyBorder="1"/>
    <xf numFmtId="180" fontId="60" fillId="108" borderId="24" xfId="3" applyNumberFormat="1" applyFont="1" applyFill="1" applyBorder="1"/>
    <xf numFmtId="1" fontId="123" fillId="108" borderId="24" xfId="3" applyNumberFormat="1" applyFont="1" applyFill="1" applyBorder="1"/>
    <xf numFmtId="43" fontId="60" fillId="0" borderId="0" xfId="2307" applyFont="1" applyAlignment="1">
      <alignment horizontal="left" vertical="top"/>
    </xf>
    <xf numFmtId="9" fontId="60" fillId="0" borderId="0" xfId="36093" applyFont="1" applyAlignment="1">
      <alignment horizontal="left" vertical="top"/>
    </xf>
    <xf numFmtId="0" fontId="4" fillId="0" borderId="0" xfId="36127"/>
    <xf numFmtId="167" fontId="60" fillId="111" borderId="24" xfId="36093" applyNumberFormat="1" applyFont="1" applyFill="1" applyBorder="1"/>
    <xf numFmtId="11" fontId="4" fillId="0" borderId="0" xfId="36127" applyNumberFormat="1"/>
    <xf numFmtId="9" fontId="60" fillId="108" borderId="24" xfId="36093" applyFont="1" applyFill="1" applyBorder="1"/>
    <xf numFmtId="0" fontId="4" fillId="0" borderId="0" xfId="36128"/>
    <xf numFmtId="167" fontId="60" fillId="109" borderId="24" xfId="36093" applyNumberFormat="1" applyFont="1" applyFill="1" applyBorder="1"/>
    <xf numFmtId="180" fontId="60" fillId="109" borderId="24" xfId="3" applyNumberFormat="1" applyFont="1" applyFill="1" applyBorder="1"/>
    <xf numFmtId="1" fontId="123" fillId="109" borderId="24" xfId="3" applyNumberFormat="1" applyFont="1" applyFill="1" applyBorder="1"/>
    <xf numFmtId="2" fontId="60" fillId="111" borderId="24" xfId="3" applyNumberFormat="1" applyFont="1" applyFill="1" applyBorder="1"/>
    <xf numFmtId="167" fontId="60" fillId="57" borderId="24" xfId="36093" applyNumberFormat="1" applyFont="1" applyFill="1" applyBorder="1"/>
    <xf numFmtId="167" fontId="60" fillId="107" borderId="24" xfId="36093" applyNumberFormat="1" applyFont="1" applyFill="1" applyBorder="1"/>
    <xf numFmtId="180" fontId="60" fillId="107" borderId="24" xfId="3" applyNumberFormat="1" applyFont="1" applyFill="1" applyBorder="1"/>
    <xf numFmtId="1" fontId="123" fillId="107" borderId="24" xfId="3" applyNumberFormat="1" applyFont="1" applyFill="1" applyBorder="1"/>
    <xf numFmtId="11" fontId="4" fillId="0" borderId="0" xfId="36128" applyNumberFormat="1"/>
    <xf numFmtId="11" fontId="60" fillId="0" borderId="0" xfId="0" applyNumberFormat="1" applyFont="1" applyAlignment="1">
      <alignment horizontal="left" vertical="top"/>
    </xf>
    <xf numFmtId="10" fontId="60" fillId="107" borderId="24" xfId="36093" applyNumberFormat="1" applyFont="1" applyFill="1" applyBorder="1"/>
    <xf numFmtId="167" fontId="60" fillId="58" borderId="24" xfId="36093" applyNumberFormat="1" applyFont="1" applyFill="1" applyBorder="1"/>
    <xf numFmtId="180" fontId="60" fillId="58" borderId="24" xfId="3" applyNumberFormat="1" applyFont="1" applyFill="1" applyBorder="1"/>
    <xf numFmtId="167" fontId="60" fillId="110" borderId="24" xfId="36093" applyNumberFormat="1" applyFont="1" applyFill="1" applyBorder="1"/>
    <xf numFmtId="180" fontId="60" fillId="110" borderId="24" xfId="3" applyNumberFormat="1" applyFont="1" applyFill="1" applyBorder="1"/>
    <xf numFmtId="1" fontId="123" fillId="110" borderId="24" xfId="3" applyNumberFormat="1" applyFont="1" applyFill="1" applyBorder="1"/>
    <xf numFmtId="9" fontId="60" fillId="57" borderId="24" xfId="36093" applyFont="1" applyFill="1" applyBorder="1"/>
    <xf numFmtId="0" fontId="129" fillId="0" borderId="0" xfId="0" applyFont="1" applyAlignment="1">
      <alignment horizontal="left" vertical="top"/>
    </xf>
    <xf numFmtId="0" fontId="61" fillId="112" borderId="10" xfId="16947" applyFont="1" applyFill="1" applyBorder="1" applyAlignment="1">
      <alignment horizontal="left" vertical="top"/>
    </xf>
    <xf numFmtId="0" fontId="61" fillId="112" borderId="10" xfId="16947" applyFont="1" applyFill="1" applyBorder="1" applyAlignment="1">
      <alignment horizontal="left" vertical="top" wrapText="1"/>
    </xf>
    <xf numFmtId="168" fontId="60" fillId="112" borderId="24" xfId="4" applyNumberFormat="1" applyFont="1" applyFill="1" applyBorder="1"/>
    <xf numFmtId="0" fontId="60" fillId="112" borderId="24" xfId="4" applyFont="1" applyFill="1" applyBorder="1"/>
    <xf numFmtId="2" fontId="60" fillId="112" borderId="24" xfId="3" applyNumberFormat="1" applyFont="1" applyFill="1" applyBorder="1"/>
    <xf numFmtId="0" fontId="60" fillId="112" borderId="24" xfId="3" applyFont="1" applyFill="1" applyBorder="1"/>
    <xf numFmtId="180" fontId="60" fillId="112" borderId="24" xfId="3" applyNumberFormat="1" applyFont="1" applyFill="1" applyBorder="1"/>
    <xf numFmtId="0" fontId="60" fillId="112" borderId="0" xfId="36129" applyFont="1" applyFill="1" applyAlignment="1">
      <alignment horizontal="left" vertical="top"/>
    </xf>
    <xf numFmtId="2" fontId="2" fillId="0" borderId="0" xfId="36164" applyNumberFormat="1"/>
    <xf numFmtId="2" fontId="2" fillId="56" borderId="0" xfId="36164" applyNumberFormat="1" applyFill="1"/>
    <xf numFmtId="0" fontId="52" fillId="110" borderId="0" xfId="36164" applyFont="1" applyFill="1"/>
    <xf numFmtId="0" fontId="52" fillId="108" borderId="0" xfId="36164" applyFont="1" applyFill="1"/>
    <xf numFmtId="2" fontId="128" fillId="108" borderId="0" xfId="36164" applyNumberFormat="1" applyFont="1" applyFill="1"/>
    <xf numFmtId="2" fontId="52" fillId="108" borderId="0" xfId="36164" applyNumberFormat="1" applyFont="1" applyFill="1"/>
    <xf numFmtId="0" fontId="61" fillId="24" borderId="0" xfId="6" applyFont="1" applyFill="1" applyAlignment="1">
      <alignment horizontal="left" vertical="top" wrapText="1"/>
    </xf>
    <xf numFmtId="180" fontId="65" fillId="29" borderId="0" xfId="1" applyNumberFormat="1" applyFont="1" applyBorder="1" applyAlignment="1">
      <alignment horizontal="left" vertical="top" wrapText="1"/>
    </xf>
    <xf numFmtId="0" fontId="61" fillId="112" borderId="0" xfId="16947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3609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8" fillId="110" borderId="0" xfId="36164" applyFont="1" applyFill="1"/>
    <xf numFmtId="0" fontId="2" fillId="0" borderId="0" xfId="36164"/>
    <xf numFmtId="0" fontId="128" fillId="108" borderId="0" xfId="36164" applyFont="1" applyFill="1"/>
    <xf numFmtId="0" fontId="2" fillId="56" borderId="0" xfId="36164" applyFill="1"/>
    <xf numFmtId="0" fontId="1" fillId="0" borderId="0" xfId="36164" applyFont="1"/>
    <xf numFmtId="1" fontId="0" fillId="111" borderId="67" xfId="0" applyNumberFormat="1" applyFill="1" applyBorder="1" applyAlignment="1">
      <alignment horizontal="center"/>
    </xf>
    <xf numFmtId="188" fontId="123" fillId="58" borderId="24" xfId="3" applyNumberFormat="1" applyFont="1" applyFill="1" applyBorder="1"/>
    <xf numFmtId="10" fontId="60" fillId="0" borderId="0" xfId="36093" applyNumberFormat="1" applyFont="1" applyAlignment="1">
      <alignment horizontal="left" vertical="top"/>
    </xf>
    <xf numFmtId="189" fontId="60" fillId="110" borderId="24" xfId="3" applyNumberFormat="1" applyFont="1" applyFill="1" applyBorder="1"/>
    <xf numFmtId="168" fontId="61" fillId="24" borderId="10" xfId="0" applyNumberFormat="1" applyFont="1" applyFill="1" applyBorder="1" applyAlignment="1">
      <alignment vertical="top"/>
    </xf>
    <xf numFmtId="168" fontId="64" fillId="29" borderId="11" xfId="1" applyNumberFormat="1" applyFont="1" applyBorder="1" applyAlignment="1">
      <alignment vertical="top" wrapText="1"/>
    </xf>
    <xf numFmtId="168" fontId="62" fillId="24" borderId="10" xfId="36185" applyNumberFormat="1" applyFont="1" applyFill="1" applyBorder="1" applyAlignment="1">
      <alignment horizontal="left" vertical="top"/>
    </xf>
    <xf numFmtId="168" fontId="106" fillId="111" borderId="24" xfId="4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center" vertical="center"/>
    </xf>
    <xf numFmtId="168" fontId="61" fillId="24" borderId="10" xfId="36186" applyNumberFormat="1" applyFont="1" applyFill="1" applyBorder="1" applyAlignment="1">
      <alignment horizontal="left" vertical="top"/>
    </xf>
    <xf numFmtId="168" fontId="60" fillId="56" borderId="77" xfId="4" applyNumberFormat="1" applyFont="1" applyFill="1" applyBorder="1"/>
    <xf numFmtId="0" fontId="60" fillId="0" borderId="41" xfId="0" applyFont="1" applyBorder="1" applyAlignment="1">
      <alignment horizontal="left" vertical="top"/>
    </xf>
    <xf numFmtId="168" fontId="60" fillId="111" borderId="75" xfId="4" applyNumberFormat="1" applyFont="1" applyFill="1" applyBorder="1"/>
    <xf numFmtId="0" fontId="60" fillId="111" borderId="75" xfId="0" applyFont="1" applyFill="1" applyBorder="1" applyAlignment="1">
      <alignment horizontal="left" vertical="top"/>
    </xf>
    <xf numFmtId="168" fontId="60" fillId="111" borderId="75" xfId="0" applyNumberFormat="1" applyFont="1" applyFill="1" applyBorder="1" applyAlignment="1">
      <alignment horizontal="left" vertical="top"/>
    </xf>
    <xf numFmtId="168" fontId="60" fillId="111" borderId="75" xfId="4" applyNumberFormat="1" applyFont="1" applyFill="1" applyBorder="1" applyAlignment="1">
      <alignment wrapText="1"/>
    </xf>
    <xf numFmtId="0" fontId="60" fillId="0" borderId="76" xfId="4" applyFont="1" applyBorder="1"/>
    <xf numFmtId="0" fontId="60" fillId="56" borderId="75" xfId="4" applyFont="1" applyFill="1" applyBorder="1"/>
    <xf numFmtId="0" fontId="60" fillId="56" borderId="24" xfId="4" applyFont="1" applyFill="1" applyBorder="1"/>
    <xf numFmtId="0" fontId="60" fillId="56" borderId="76" xfId="4" applyFont="1" applyFill="1" applyBorder="1"/>
    <xf numFmtId="0" fontId="60" fillId="0" borderId="77" xfId="4" applyFont="1" applyBorder="1"/>
    <xf numFmtId="0" fontId="60" fillId="0" borderId="75" xfId="4" applyFont="1" applyBorder="1"/>
    <xf numFmtId="0" fontId="60" fillId="56" borderId="77" xfId="4" applyFont="1" applyFill="1" applyBorder="1"/>
    <xf numFmtId="0" fontId="60" fillId="111" borderId="75" xfId="4" applyFont="1" applyFill="1" applyBorder="1"/>
    <xf numFmtId="0" fontId="60" fillId="0" borderId="41" xfId="0" applyFont="1" applyBorder="1" applyAlignment="1">
      <alignment horizontal="right" vertical="top"/>
    </xf>
    <xf numFmtId="0" fontId="132" fillId="113" borderId="0" xfId="4" applyFont="1" applyFill="1" applyAlignment="1">
      <alignment horizontal="center" vertical="center"/>
    </xf>
    <xf numFmtId="10" fontId="60" fillId="108" borderId="24" xfId="16922" applyNumberFormat="1" applyFont="1" applyFill="1" applyBorder="1"/>
    <xf numFmtId="167" fontId="60" fillId="0" borderId="0" xfId="0" applyNumberFormat="1" applyFont="1" applyAlignment="1">
      <alignment horizontal="left" vertical="top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60" fillId="0" borderId="74" xfId="0" applyFont="1" applyBorder="1" applyAlignment="1">
      <alignment horizontal="center" vertical="top"/>
    </xf>
  </cellXfs>
  <cellStyles count="36187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3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0" xr:uid="{00000000-0005-0000-0000-00001C000000}"/>
    <cellStyle name="20% - Accent1 14 2 2 3" xfId="30917" xr:uid="{00000000-0005-0000-0000-00001D000000}"/>
    <cellStyle name="20% - Accent1 14 2 3" xfId="12985" xr:uid="{00000000-0005-0000-0000-00001E000000}"/>
    <cellStyle name="20% - Accent1 14 2 3 2" xfId="24259" xr:uid="{00000000-0005-0000-0000-00001F000000}"/>
    <cellStyle name="20% - Accent1 14 2 3 3" xfId="33136" xr:uid="{00000000-0005-0000-0000-000020000000}"/>
    <cellStyle name="20% - Accent1 14 2 4" xfId="15435" xr:uid="{00000000-0005-0000-0000-000021000000}"/>
    <cellStyle name="20% - Accent1 14 2 4 2" xfId="26478" xr:uid="{00000000-0005-0000-0000-000022000000}"/>
    <cellStyle name="20% - Accent1 14 2 4 3" xfId="35355" xr:uid="{00000000-0005-0000-0000-000023000000}"/>
    <cellStyle name="20% - Accent1 14 2 5" xfId="19821" xr:uid="{00000000-0005-0000-0000-000024000000}"/>
    <cellStyle name="20% - Accent1 14 2 6" xfId="28698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7" xr:uid="{00000000-0005-0000-0000-000028000000}"/>
    <cellStyle name="20% - Accent1 14 3 2 3" xfId="30184" xr:uid="{00000000-0005-0000-0000-000029000000}"/>
    <cellStyle name="20% - Accent1 14 3 3" xfId="12252" xr:uid="{00000000-0005-0000-0000-00002A000000}"/>
    <cellStyle name="20% - Accent1 14 3 3 2" xfId="23526" xr:uid="{00000000-0005-0000-0000-00002B000000}"/>
    <cellStyle name="20% - Accent1 14 3 3 3" xfId="32403" xr:uid="{00000000-0005-0000-0000-00002C000000}"/>
    <cellStyle name="20% - Accent1 14 3 4" xfId="14702" xr:uid="{00000000-0005-0000-0000-00002D000000}"/>
    <cellStyle name="20% - Accent1 14 3 4 2" xfId="25745" xr:uid="{00000000-0005-0000-0000-00002E000000}"/>
    <cellStyle name="20% - Accent1 14 3 4 3" xfId="34622" xr:uid="{00000000-0005-0000-0000-00002F000000}"/>
    <cellStyle name="20% - Accent1 14 3 5" xfId="19088" xr:uid="{00000000-0005-0000-0000-000030000000}"/>
    <cellStyle name="20% - Accent1 14 3 6" xfId="27965" xr:uid="{00000000-0005-0000-0000-000031000000}"/>
    <cellStyle name="20% - Accent1 14 4" xfId="9061" xr:uid="{00000000-0005-0000-0000-000032000000}"/>
    <cellStyle name="20% - Accent1 14 4 2" xfId="20564" xr:uid="{00000000-0005-0000-0000-000033000000}"/>
    <cellStyle name="20% - Accent1 14 4 3" xfId="29441" xr:uid="{00000000-0005-0000-0000-000034000000}"/>
    <cellStyle name="20% - Accent1 14 5" xfId="11509" xr:uid="{00000000-0005-0000-0000-000035000000}"/>
    <cellStyle name="20% - Accent1 14 5 2" xfId="22783" xr:uid="{00000000-0005-0000-0000-000036000000}"/>
    <cellStyle name="20% - Accent1 14 5 3" xfId="31660" xr:uid="{00000000-0005-0000-0000-000037000000}"/>
    <cellStyle name="20% - Accent1 14 6" xfId="13730" xr:uid="{00000000-0005-0000-0000-000038000000}"/>
    <cellStyle name="20% - Accent1 14 6 2" xfId="25002" xr:uid="{00000000-0005-0000-0000-000039000000}"/>
    <cellStyle name="20% - Accent1 14 6 3" xfId="33879" xr:uid="{00000000-0005-0000-0000-00003A000000}"/>
    <cellStyle name="20% - Accent1 14 7" xfId="18339" xr:uid="{00000000-0005-0000-0000-00003B000000}"/>
    <cellStyle name="20% - Accent1 14 8" xfId="27220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1" xr:uid="{00000000-0005-0000-0000-000047000000}"/>
    <cellStyle name="20% - Accent1 2 10 2 2 2 3" xfId="30918" xr:uid="{00000000-0005-0000-0000-000048000000}"/>
    <cellStyle name="20% - Accent1 2 10 2 2 3" xfId="12986" xr:uid="{00000000-0005-0000-0000-000049000000}"/>
    <cellStyle name="20% - Accent1 2 10 2 2 3 2" xfId="24260" xr:uid="{00000000-0005-0000-0000-00004A000000}"/>
    <cellStyle name="20% - Accent1 2 10 2 2 3 3" xfId="33137" xr:uid="{00000000-0005-0000-0000-00004B000000}"/>
    <cellStyle name="20% - Accent1 2 10 2 2 4" xfId="15436" xr:uid="{00000000-0005-0000-0000-00004C000000}"/>
    <cellStyle name="20% - Accent1 2 10 2 2 4 2" xfId="26479" xr:uid="{00000000-0005-0000-0000-00004D000000}"/>
    <cellStyle name="20% - Accent1 2 10 2 2 4 3" xfId="35356" xr:uid="{00000000-0005-0000-0000-00004E000000}"/>
    <cellStyle name="20% - Accent1 2 10 2 2 5" xfId="19822" xr:uid="{00000000-0005-0000-0000-00004F000000}"/>
    <cellStyle name="20% - Accent1 2 10 2 2 6" xfId="28699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8" xr:uid="{00000000-0005-0000-0000-000053000000}"/>
    <cellStyle name="20% - Accent1 2 10 2 3 2 3" xfId="30185" xr:uid="{00000000-0005-0000-0000-000054000000}"/>
    <cellStyle name="20% - Accent1 2 10 2 3 3" xfId="12253" xr:uid="{00000000-0005-0000-0000-000055000000}"/>
    <cellStyle name="20% - Accent1 2 10 2 3 3 2" xfId="23527" xr:uid="{00000000-0005-0000-0000-000056000000}"/>
    <cellStyle name="20% - Accent1 2 10 2 3 3 3" xfId="32404" xr:uid="{00000000-0005-0000-0000-000057000000}"/>
    <cellStyle name="20% - Accent1 2 10 2 3 4" xfId="14703" xr:uid="{00000000-0005-0000-0000-000058000000}"/>
    <cellStyle name="20% - Accent1 2 10 2 3 4 2" xfId="25746" xr:uid="{00000000-0005-0000-0000-000059000000}"/>
    <cellStyle name="20% - Accent1 2 10 2 3 4 3" xfId="34623" xr:uid="{00000000-0005-0000-0000-00005A000000}"/>
    <cellStyle name="20% - Accent1 2 10 2 3 5" xfId="19089" xr:uid="{00000000-0005-0000-0000-00005B000000}"/>
    <cellStyle name="20% - Accent1 2 10 2 3 6" xfId="27966" xr:uid="{00000000-0005-0000-0000-00005C000000}"/>
    <cellStyle name="20% - Accent1 2 10 2 4" xfId="9062" xr:uid="{00000000-0005-0000-0000-00005D000000}"/>
    <cellStyle name="20% - Accent1 2 10 2 4 2" xfId="20565" xr:uid="{00000000-0005-0000-0000-00005E000000}"/>
    <cellStyle name="20% - Accent1 2 10 2 4 3" xfId="29442" xr:uid="{00000000-0005-0000-0000-00005F000000}"/>
    <cellStyle name="20% - Accent1 2 10 2 5" xfId="11510" xr:uid="{00000000-0005-0000-0000-000060000000}"/>
    <cellStyle name="20% - Accent1 2 10 2 5 2" xfId="22784" xr:uid="{00000000-0005-0000-0000-000061000000}"/>
    <cellStyle name="20% - Accent1 2 10 2 5 3" xfId="31661" xr:uid="{00000000-0005-0000-0000-000062000000}"/>
    <cellStyle name="20% - Accent1 2 10 2 6" xfId="13731" xr:uid="{00000000-0005-0000-0000-000063000000}"/>
    <cellStyle name="20% - Accent1 2 10 2 6 2" xfId="25003" xr:uid="{00000000-0005-0000-0000-000064000000}"/>
    <cellStyle name="20% - Accent1 2 10 2 6 3" xfId="33880" xr:uid="{00000000-0005-0000-0000-000065000000}"/>
    <cellStyle name="20% - Accent1 2 10 2 7" xfId="18340" xr:uid="{00000000-0005-0000-0000-000066000000}"/>
    <cellStyle name="20% - Accent1 2 10 2 8" xfId="27221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2" xr:uid="{00000000-0005-0000-0000-00006B000000}"/>
    <cellStyle name="20% - Accent1 2 10 3 2 2 3" xfId="30919" xr:uid="{00000000-0005-0000-0000-00006C000000}"/>
    <cellStyle name="20% - Accent1 2 10 3 2 3" xfId="12987" xr:uid="{00000000-0005-0000-0000-00006D000000}"/>
    <cellStyle name="20% - Accent1 2 10 3 2 3 2" xfId="24261" xr:uid="{00000000-0005-0000-0000-00006E000000}"/>
    <cellStyle name="20% - Accent1 2 10 3 2 3 3" xfId="33138" xr:uid="{00000000-0005-0000-0000-00006F000000}"/>
    <cellStyle name="20% - Accent1 2 10 3 2 4" xfId="15437" xr:uid="{00000000-0005-0000-0000-000070000000}"/>
    <cellStyle name="20% - Accent1 2 10 3 2 4 2" xfId="26480" xr:uid="{00000000-0005-0000-0000-000071000000}"/>
    <cellStyle name="20% - Accent1 2 10 3 2 4 3" xfId="35357" xr:uid="{00000000-0005-0000-0000-000072000000}"/>
    <cellStyle name="20% - Accent1 2 10 3 2 5" xfId="19823" xr:uid="{00000000-0005-0000-0000-000073000000}"/>
    <cellStyle name="20% - Accent1 2 10 3 2 6" xfId="28700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09" xr:uid="{00000000-0005-0000-0000-000077000000}"/>
    <cellStyle name="20% - Accent1 2 10 3 3 2 3" xfId="30186" xr:uid="{00000000-0005-0000-0000-000078000000}"/>
    <cellStyle name="20% - Accent1 2 10 3 3 3" xfId="12254" xr:uid="{00000000-0005-0000-0000-000079000000}"/>
    <cellStyle name="20% - Accent1 2 10 3 3 3 2" xfId="23528" xr:uid="{00000000-0005-0000-0000-00007A000000}"/>
    <cellStyle name="20% - Accent1 2 10 3 3 3 3" xfId="32405" xr:uid="{00000000-0005-0000-0000-00007B000000}"/>
    <cellStyle name="20% - Accent1 2 10 3 3 4" xfId="14704" xr:uid="{00000000-0005-0000-0000-00007C000000}"/>
    <cellStyle name="20% - Accent1 2 10 3 3 4 2" xfId="25747" xr:uid="{00000000-0005-0000-0000-00007D000000}"/>
    <cellStyle name="20% - Accent1 2 10 3 3 4 3" xfId="34624" xr:uid="{00000000-0005-0000-0000-00007E000000}"/>
    <cellStyle name="20% - Accent1 2 10 3 3 5" xfId="19090" xr:uid="{00000000-0005-0000-0000-00007F000000}"/>
    <cellStyle name="20% - Accent1 2 10 3 3 6" xfId="27967" xr:uid="{00000000-0005-0000-0000-000080000000}"/>
    <cellStyle name="20% - Accent1 2 10 3 4" xfId="9063" xr:uid="{00000000-0005-0000-0000-000081000000}"/>
    <cellStyle name="20% - Accent1 2 10 3 4 2" xfId="20566" xr:uid="{00000000-0005-0000-0000-000082000000}"/>
    <cellStyle name="20% - Accent1 2 10 3 4 3" xfId="29443" xr:uid="{00000000-0005-0000-0000-000083000000}"/>
    <cellStyle name="20% - Accent1 2 10 3 5" xfId="11511" xr:uid="{00000000-0005-0000-0000-000084000000}"/>
    <cellStyle name="20% - Accent1 2 10 3 5 2" xfId="22785" xr:uid="{00000000-0005-0000-0000-000085000000}"/>
    <cellStyle name="20% - Accent1 2 10 3 5 3" xfId="31662" xr:uid="{00000000-0005-0000-0000-000086000000}"/>
    <cellStyle name="20% - Accent1 2 10 3 6" xfId="13732" xr:uid="{00000000-0005-0000-0000-000087000000}"/>
    <cellStyle name="20% - Accent1 2 10 3 6 2" xfId="25004" xr:uid="{00000000-0005-0000-0000-000088000000}"/>
    <cellStyle name="20% - Accent1 2 10 3 6 3" xfId="33881" xr:uid="{00000000-0005-0000-0000-000089000000}"/>
    <cellStyle name="20% - Accent1 2 10 3 7" xfId="18341" xr:uid="{00000000-0005-0000-0000-00008A000000}"/>
    <cellStyle name="20% - Accent1 2 10 3 8" xfId="27222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3" xr:uid="{00000000-0005-0000-0000-00008F000000}"/>
    <cellStyle name="20% - Accent1 2 10 4 2 2 3" xfId="30920" xr:uid="{00000000-0005-0000-0000-000090000000}"/>
    <cellStyle name="20% - Accent1 2 10 4 2 3" xfId="12988" xr:uid="{00000000-0005-0000-0000-000091000000}"/>
    <cellStyle name="20% - Accent1 2 10 4 2 3 2" xfId="24262" xr:uid="{00000000-0005-0000-0000-000092000000}"/>
    <cellStyle name="20% - Accent1 2 10 4 2 3 3" xfId="33139" xr:uid="{00000000-0005-0000-0000-000093000000}"/>
    <cellStyle name="20% - Accent1 2 10 4 2 4" xfId="15438" xr:uid="{00000000-0005-0000-0000-000094000000}"/>
    <cellStyle name="20% - Accent1 2 10 4 2 4 2" xfId="26481" xr:uid="{00000000-0005-0000-0000-000095000000}"/>
    <cellStyle name="20% - Accent1 2 10 4 2 4 3" xfId="35358" xr:uid="{00000000-0005-0000-0000-000096000000}"/>
    <cellStyle name="20% - Accent1 2 10 4 2 5" xfId="19824" xr:uid="{00000000-0005-0000-0000-000097000000}"/>
    <cellStyle name="20% - Accent1 2 10 4 2 6" xfId="28701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0" xr:uid="{00000000-0005-0000-0000-00009B000000}"/>
    <cellStyle name="20% - Accent1 2 10 4 3 2 3" xfId="30187" xr:uid="{00000000-0005-0000-0000-00009C000000}"/>
    <cellStyle name="20% - Accent1 2 10 4 3 3" xfId="12255" xr:uid="{00000000-0005-0000-0000-00009D000000}"/>
    <cellStyle name="20% - Accent1 2 10 4 3 3 2" xfId="23529" xr:uid="{00000000-0005-0000-0000-00009E000000}"/>
    <cellStyle name="20% - Accent1 2 10 4 3 3 3" xfId="32406" xr:uid="{00000000-0005-0000-0000-00009F000000}"/>
    <cellStyle name="20% - Accent1 2 10 4 3 4" xfId="14705" xr:uid="{00000000-0005-0000-0000-0000A0000000}"/>
    <cellStyle name="20% - Accent1 2 10 4 3 4 2" xfId="25748" xr:uid="{00000000-0005-0000-0000-0000A1000000}"/>
    <cellStyle name="20% - Accent1 2 10 4 3 4 3" xfId="34625" xr:uid="{00000000-0005-0000-0000-0000A2000000}"/>
    <cellStyle name="20% - Accent1 2 10 4 3 5" xfId="19091" xr:uid="{00000000-0005-0000-0000-0000A3000000}"/>
    <cellStyle name="20% - Accent1 2 10 4 3 6" xfId="27968" xr:uid="{00000000-0005-0000-0000-0000A4000000}"/>
    <cellStyle name="20% - Accent1 2 10 4 4" xfId="9064" xr:uid="{00000000-0005-0000-0000-0000A5000000}"/>
    <cellStyle name="20% - Accent1 2 10 4 4 2" xfId="20567" xr:uid="{00000000-0005-0000-0000-0000A6000000}"/>
    <cellStyle name="20% - Accent1 2 10 4 4 3" xfId="29444" xr:uid="{00000000-0005-0000-0000-0000A7000000}"/>
    <cellStyle name="20% - Accent1 2 10 4 5" xfId="11512" xr:uid="{00000000-0005-0000-0000-0000A8000000}"/>
    <cellStyle name="20% - Accent1 2 10 4 5 2" xfId="22786" xr:uid="{00000000-0005-0000-0000-0000A9000000}"/>
    <cellStyle name="20% - Accent1 2 10 4 5 3" xfId="31663" xr:uid="{00000000-0005-0000-0000-0000AA000000}"/>
    <cellStyle name="20% - Accent1 2 10 4 6" xfId="13733" xr:uid="{00000000-0005-0000-0000-0000AB000000}"/>
    <cellStyle name="20% - Accent1 2 10 4 6 2" xfId="25005" xr:uid="{00000000-0005-0000-0000-0000AC000000}"/>
    <cellStyle name="20% - Accent1 2 10 4 6 3" xfId="33882" xr:uid="{00000000-0005-0000-0000-0000AD000000}"/>
    <cellStyle name="20% - Accent1 2 10 4 7" xfId="18342" xr:uid="{00000000-0005-0000-0000-0000AE000000}"/>
    <cellStyle name="20% - Accent1 2 10 4 8" xfId="27223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4" xr:uid="{00000000-0005-0000-0000-0000B3000000}"/>
    <cellStyle name="20% - Accent1 2 10 5 2 2 3" xfId="30921" xr:uid="{00000000-0005-0000-0000-0000B4000000}"/>
    <cellStyle name="20% - Accent1 2 10 5 2 3" xfId="12989" xr:uid="{00000000-0005-0000-0000-0000B5000000}"/>
    <cellStyle name="20% - Accent1 2 10 5 2 3 2" xfId="24263" xr:uid="{00000000-0005-0000-0000-0000B6000000}"/>
    <cellStyle name="20% - Accent1 2 10 5 2 3 3" xfId="33140" xr:uid="{00000000-0005-0000-0000-0000B7000000}"/>
    <cellStyle name="20% - Accent1 2 10 5 2 4" xfId="15439" xr:uid="{00000000-0005-0000-0000-0000B8000000}"/>
    <cellStyle name="20% - Accent1 2 10 5 2 4 2" xfId="26482" xr:uid="{00000000-0005-0000-0000-0000B9000000}"/>
    <cellStyle name="20% - Accent1 2 10 5 2 4 3" xfId="35359" xr:uid="{00000000-0005-0000-0000-0000BA000000}"/>
    <cellStyle name="20% - Accent1 2 10 5 2 5" xfId="19825" xr:uid="{00000000-0005-0000-0000-0000BB000000}"/>
    <cellStyle name="20% - Accent1 2 10 5 2 6" xfId="28702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1" xr:uid="{00000000-0005-0000-0000-0000BF000000}"/>
    <cellStyle name="20% - Accent1 2 10 5 3 2 3" xfId="30188" xr:uid="{00000000-0005-0000-0000-0000C0000000}"/>
    <cellStyle name="20% - Accent1 2 10 5 3 3" xfId="12256" xr:uid="{00000000-0005-0000-0000-0000C1000000}"/>
    <cellStyle name="20% - Accent1 2 10 5 3 3 2" xfId="23530" xr:uid="{00000000-0005-0000-0000-0000C2000000}"/>
    <cellStyle name="20% - Accent1 2 10 5 3 3 3" xfId="32407" xr:uid="{00000000-0005-0000-0000-0000C3000000}"/>
    <cellStyle name="20% - Accent1 2 10 5 3 4" xfId="14706" xr:uid="{00000000-0005-0000-0000-0000C4000000}"/>
    <cellStyle name="20% - Accent1 2 10 5 3 4 2" xfId="25749" xr:uid="{00000000-0005-0000-0000-0000C5000000}"/>
    <cellStyle name="20% - Accent1 2 10 5 3 4 3" xfId="34626" xr:uid="{00000000-0005-0000-0000-0000C6000000}"/>
    <cellStyle name="20% - Accent1 2 10 5 3 5" xfId="19092" xr:uid="{00000000-0005-0000-0000-0000C7000000}"/>
    <cellStyle name="20% - Accent1 2 10 5 3 6" xfId="27969" xr:uid="{00000000-0005-0000-0000-0000C8000000}"/>
    <cellStyle name="20% - Accent1 2 10 5 4" xfId="9065" xr:uid="{00000000-0005-0000-0000-0000C9000000}"/>
    <cellStyle name="20% - Accent1 2 10 5 4 2" xfId="20568" xr:uid="{00000000-0005-0000-0000-0000CA000000}"/>
    <cellStyle name="20% - Accent1 2 10 5 4 3" xfId="29445" xr:uid="{00000000-0005-0000-0000-0000CB000000}"/>
    <cellStyle name="20% - Accent1 2 10 5 5" xfId="11513" xr:uid="{00000000-0005-0000-0000-0000CC000000}"/>
    <cellStyle name="20% - Accent1 2 10 5 5 2" xfId="22787" xr:uid="{00000000-0005-0000-0000-0000CD000000}"/>
    <cellStyle name="20% - Accent1 2 10 5 5 3" xfId="31664" xr:uid="{00000000-0005-0000-0000-0000CE000000}"/>
    <cellStyle name="20% - Accent1 2 10 5 6" xfId="13734" xr:uid="{00000000-0005-0000-0000-0000CF000000}"/>
    <cellStyle name="20% - Accent1 2 10 5 6 2" xfId="25006" xr:uid="{00000000-0005-0000-0000-0000D0000000}"/>
    <cellStyle name="20% - Accent1 2 10 5 6 3" xfId="33883" xr:uid="{00000000-0005-0000-0000-0000D1000000}"/>
    <cellStyle name="20% - Accent1 2 10 5 7" xfId="18343" xr:uid="{00000000-0005-0000-0000-0000D2000000}"/>
    <cellStyle name="20% - Accent1 2 10 5 8" xfId="27224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5" xr:uid="{00000000-0005-0000-0000-0000D7000000}"/>
    <cellStyle name="20% - Accent1 2 11 2 2 3" xfId="30922" xr:uid="{00000000-0005-0000-0000-0000D8000000}"/>
    <cellStyle name="20% - Accent1 2 11 2 3" xfId="12990" xr:uid="{00000000-0005-0000-0000-0000D9000000}"/>
    <cellStyle name="20% - Accent1 2 11 2 3 2" xfId="24264" xr:uid="{00000000-0005-0000-0000-0000DA000000}"/>
    <cellStyle name="20% - Accent1 2 11 2 3 3" xfId="33141" xr:uid="{00000000-0005-0000-0000-0000DB000000}"/>
    <cellStyle name="20% - Accent1 2 11 2 4" xfId="15440" xr:uid="{00000000-0005-0000-0000-0000DC000000}"/>
    <cellStyle name="20% - Accent1 2 11 2 4 2" xfId="26483" xr:uid="{00000000-0005-0000-0000-0000DD000000}"/>
    <cellStyle name="20% - Accent1 2 11 2 4 3" xfId="35360" xr:uid="{00000000-0005-0000-0000-0000DE000000}"/>
    <cellStyle name="20% - Accent1 2 11 2 5" xfId="19826" xr:uid="{00000000-0005-0000-0000-0000DF000000}"/>
    <cellStyle name="20% - Accent1 2 11 2 6" xfId="28703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2" xr:uid="{00000000-0005-0000-0000-0000E3000000}"/>
    <cellStyle name="20% - Accent1 2 11 3 2 3" xfId="30189" xr:uid="{00000000-0005-0000-0000-0000E4000000}"/>
    <cellStyle name="20% - Accent1 2 11 3 3" xfId="12257" xr:uid="{00000000-0005-0000-0000-0000E5000000}"/>
    <cellStyle name="20% - Accent1 2 11 3 3 2" xfId="23531" xr:uid="{00000000-0005-0000-0000-0000E6000000}"/>
    <cellStyle name="20% - Accent1 2 11 3 3 3" xfId="32408" xr:uid="{00000000-0005-0000-0000-0000E7000000}"/>
    <cellStyle name="20% - Accent1 2 11 3 4" xfId="14707" xr:uid="{00000000-0005-0000-0000-0000E8000000}"/>
    <cellStyle name="20% - Accent1 2 11 3 4 2" xfId="25750" xr:uid="{00000000-0005-0000-0000-0000E9000000}"/>
    <cellStyle name="20% - Accent1 2 11 3 4 3" xfId="34627" xr:uid="{00000000-0005-0000-0000-0000EA000000}"/>
    <cellStyle name="20% - Accent1 2 11 3 5" xfId="19093" xr:uid="{00000000-0005-0000-0000-0000EB000000}"/>
    <cellStyle name="20% - Accent1 2 11 3 6" xfId="27970" xr:uid="{00000000-0005-0000-0000-0000EC000000}"/>
    <cellStyle name="20% - Accent1 2 11 4" xfId="9066" xr:uid="{00000000-0005-0000-0000-0000ED000000}"/>
    <cellStyle name="20% - Accent1 2 11 4 2" xfId="20569" xr:uid="{00000000-0005-0000-0000-0000EE000000}"/>
    <cellStyle name="20% - Accent1 2 11 4 3" xfId="29446" xr:uid="{00000000-0005-0000-0000-0000EF000000}"/>
    <cellStyle name="20% - Accent1 2 11 5" xfId="11514" xr:uid="{00000000-0005-0000-0000-0000F0000000}"/>
    <cellStyle name="20% - Accent1 2 11 5 2" xfId="22788" xr:uid="{00000000-0005-0000-0000-0000F1000000}"/>
    <cellStyle name="20% - Accent1 2 11 5 3" xfId="31665" xr:uid="{00000000-0005-0000-0000-0000F2000000}"/>
    <cellStyle name="20% - Accent1 2 11 6" xfId="13735" xr:uid="{00000000-0005-0000-0000-0000F3000000}"/>
    <cellStyle name="20% - Accent1 2 11 6 2" xfId="25007" xr:uid="{00000000-0005-0000-0000-0000F4000000}"/>
    <cellStyle name="20% - Accent1 2 11 6 3" xfId="33884" xr:uid="{00000000-0005-0000-0000-0000F5000000}"/>
    <cellStyle name="20% - Accent1 2 11 7" xfId="18344" xr:uid="{00000000-0005-0000-0000-0000F6000000}"/>
    <cellStyle name="20% - Accent1 2 11 8" xfId="27225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6" xr:uid="{00000000-0005-0000-0000-0000FE000000}"/>
    <cellStyle name="20% - Accent1 2 15 2 2 3" xfId="30923" xr:uid="{00000000-0005-0000-0000-0000FF000000}"/>
    <cellStyle name="20% - Accent1 2 15 2 3" xfId="12991" xr:uid="{00000000-0005-0000-0000-000000010000}"/>
    <cellStyle name="20% - Accent1 2 15 2 3 2" xfId="24265" xr:uid="{00000000-0005-0000-0000-000001010000}"/>
    <cellStyle name="20% - Accent1 2 15 2 3 3" xfId="33142" xr:uid="{00000000-0005-0000-0000-000002010000}"/>
    <cellStyle name="20% - Accent1 2 15 2 4" xfId="15441" xr:uid="{00000000-0005-0000-0000-000003010000}"/>
    <cellStyle name="20% - Accent1 2 15 2 4 2" xfId="26484" xr:uid="{00000000-0005-0000-0000-000004010000}"/>
    <cellStyle name="20% - Accent1 2 15 2 4 3" xfId="35361" xr:uid="{00000000-0005-0000-0000-000005010000}"/>
    <cellStyle name="20% - Accent1 2 15 2 5" xfId="19827" xr:uid="{00000000-0005-0000-0000-000006010000}"/>
    <cellStyle name="20% - Accent1 2 15 2 6" xfId="28704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3" xr:uid="{00000000-0005-0000-0000-00000A010000}"/>
    <cellStyle name="20% - Accent1 2 15 3 2 3" xfId="30190" xr:uid="{00000000-0005-0000-0000-00000B010000}"/>
    <cellStyle name="20% - Accent1 2 15 3 3" xfId="12258" xr:uid="{00000000-0005-0000-0000-00000C010000}"/>
    <cellStyle name="20% - Accent1 2 15 3 3 2" xfId="23532" xr:uid="{00000000-0005-0000-0000-00000D010000}"/>
    <cellStyle name="20% - Accent1 2 15 3 3 3" xfId="32409" xr:uid="{00000000-0005-0000-0000-00000E010000}"/>
    <cellStyle name="20% - Accent1 2 15 3 4" xfId="14708" xr:uid="{00000000-0005-0000-0000-00000F010000}"/>
    <cellStyle name="20% - Accent1 2 15 3 4 2" xfId="25751" xr:uid="{00000000-0005-0000-0000-000010010000}"/>
    <cellStyle name="20% - Accent1 2 15 3 4 3" xfId="34628" xr:uid="{00000000-0005-0000-0000-000011010000}"/>
    <cellStyle name="20% - Accent1 2 15 3 5" xfId="19094" xr:uid="{00000000-0005-0000-0000-000012010000}"/>
    <cellStyle name="20% - Accent1 2 15 3 6" xfId="27971" xr:uid="{00000000-0005-0000-0000-000013010000}"/>
    <cellStyle name="20% - Accent1 2 15 4" xfId="9067" xr:uid="{00000000-0005-0000-0000-000014010000}"/>
    <cellStyle name="20% - Accent1 2 15 4 2" xfId="20570" xr:uid="{00000000-0005-0000-0000-000015010000}"/>
    <cellStyle name="20% - Accent1 2 15 4 3" xfId="29447" xr:uid="{00000000-0005-0000-0000-000016010000}"/>
    <cellStyle name="20% - Accent1 2 15 5" xfId="11515" xr:uid="{00000000-0005-0000-0000-000017010000}"/>
    <cellStyle name="20% - Accent1 2 15 5 2" xfId="22789" xr:uid="{00000000-0005-0000-0000-000018010000}"/>
    <cellStyle name="20% - Accent1 2 15 5 3" xfId="31666" xr:uid="{00000000-0005-0000-0000-000019010000}"/>
    <cellStyle name="20% - Accent1 2 15 6" xfId="13736" xr:uid="{00000000-0005-0000-0000-00001A010000}"/>
    <cellStyle name="20% - Accent1 2 15 6 2" xfId="25008" xr:uid="{00000000-0005-0000-0000-00001B010000}"/>
    <cellStyle name="20% - Accent1 2 15 6 3" xfId="33885" xr:uid="{00000000-0005-0000-0000-00001C010000}"/>
    <cellStyle name="20% - Accent1 2 15 7" xfId="18345" xr:uid="{00000000-0005-0000-0000-00001D010000}"/>
    <cellStyle name="20% - Accent1 2 15 8" xfId="27226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7" xr:uid="{00000000-0005-0000-0000-000023010000}"/>
    <cellStyle name="20% - Accent1 2 2 10 2 3" xfId="30924" xr:uid="{00000000-0005-0000-0000-000024010000}"/>
    <cellStyle name="20% - Accent1 2 2 10 3" xfId="12992" xr:uid="{00000000-0005-0000-0000-000025010000}"/>
    <cellStyle name="20% - Accent1 2 2 10 3 2" xfId="24266" xr:uid="{00000000-0005-0000-0000-000026010000}"/>
    <cellStyle name="20% - Accent1 2 2 10 3 3" xfId="33143" xr:uid="{00000000-0005-0000-0000-000027010000}"/>
    <cellStyle name="20% - Accent1 2 2 10 4" xfId="15442" xr:uid="{00000000-0005-0000-0000-000028010000}"/>
    <cellStyle name="20% - Accent1 2 2 10 4 2" xfId="26485" xr:uid="{00000000-0005-0000-0000-000029010000}"/>
    <cellStyle name="20% - Accent1 2 2 10 4 3" xfId="35362" xr:uid="{00000000-0005-0000-0000-00002A010000}"/>
    <cellStyle name="20% - Accent1 2 2 10 5" xfId="19828" xr:uid="{00000000-0005-0000-0000-00002B010000}"/>
    <cellStyle name="20% - Accent1 2 2 10 6" xfId="28705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4" xr:uid="{00000000-0005-0000-0000-00002F010000}"/>
    <cellStyle name="20% - Accent1 2 2 11 2 3" xfId="30191" xr:uid="{00000000-0005-0000-0000-000030010000}"/>
    <cellStyle name="20% - Accent1 2 2 11 3" xfId="12259" xr:uid="{00000000-0005-0000-0000-000031010000}"/>
    <cellStyle name="20% - Accent1 2 2 11 3 2" xfId="23533" xr:uid="{00000000-0005-0000-0000-000032010000}"/>
    <cellStyle name="20% - Accent1 2 2 11 3 3" xfId="32410" xr:uid="{00000000-0005-0000-0000-000033010000}"/>
    <cellStyle name="20% - Accent1 2 2 11 4" xfId="14709" xr:uid="{00000000-0005-0000-0000-000034010000}"/>
    <cellStyle name="20% - Accent1 2 2 11 4 2" xfId="25752" xr:uid="{00000000-0005-0000-0000-000035010000}"/>
    <cellStyle name="20% - Accent1 2 2 11 4 3" xfId="34629" xr:uid="{00000000-0005-0000-0000-000036010000}"/>
    <cellStyle name="20% - Accent1 2 2 11 5" xfId="19095" xr:uid="{00000000-0005-0000-0000-000037010000}"/>
    <cellStyle name="20% - Accent1 2 2 11 6" xfId="27972" xr:uid="{00000000-0005-0000-0000-000038010000}"/>
    <cellStyle name="20% - Accent1 2 2 12" xfId="9068" xr:uid="{00000000-0005-0000-0000-000039010000}"/>
    <cellStyle name="20% - Accent1 2 2 12 2" xfId="20571" xr:uid="{00000000-0005-0000-0000-00003A010000}"/>
    <cellStyle name="20% - Accent1 2 2 12 3" xfId="29448" xr:uid="{00000000-0005-0000-0000-00003B010000}"/>
    <cellStyle name="20% - Accent1 2 2 13" xfId="11516" xr:uid="{00000000-0005-0000-0000-00003C010000}"/>
    <cellStyle name="20% - Accent1 2 2 13 2" xfId="22790" xr:uid="{00000000-0005-0000-0000-00003D010000}"/>
    <cellStyle name="20% - Accent1 2 2 13 3" xfId="31667" xr:uid="{00000000-0005-0000-0000-00003E010000}"/>
    <cellStyle name="20% - Accent1 2 2 14" xfId="13737" xr:uid="{00000000-0005-0000-0000-00003F010000}"/>
    <cellStyle name="20% - Accent1 2 2 14 2" xfId="25009" xr:uid="{00000000-0005-0000-0000-000040010000}"/>
    <cellStyle name="20% - Accent1 2 2 14 3" xfId="33886" xr:uid="{00000000-0005-0000-0000-000041010000}"/>
    <cellStyle name="20% - Accent1 2 2 15" xfId="18346" xr:uid="{00000000-0005-0000-0000-000042010000}"/>
    <cellStyle name="20% - Accent1 2 2 16" xfId="27227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8" xr:uid="{00000000-0005-0000-0000-000047010000}"/>
    <cellStyle name="20% - Accent1 2 2 2 2 2 3" xfId="30925" xr:uid="{00000000-0005-0000-0000-000048010000}"/>
    <cellStyle name="20% - Accent1 2 2 2 2 3" xfId="12993" xr:uid="{00000000-0005-0000-0000-000049010000}"/>
    <cellStyle name="20% - Accent1 2 2 2 2 3 2" xfId="24267" xr:uid="{00000000-0005-0000-0000-00004A010000}"/>
    <cellStyle name="20% - Accent1 2 2 2 2 3 3" xfId="33144" xr:uid="{00000000-0005-0000-0000-00004B010000}"/>
    <cellStyle name="20% - Accent1 2 2 2 2 4" xfId="15443" xr:uid="{00000000-0005-0000-0000-00004C010000}"/>
    <cellStyle name="20% - Accent1 2 2 2 2 4 2" xfId="26486" xr:uid="{00000000-0005-0000-0000-00004D010000}"/>
    <cellStyle name="20% - Accent1 2 2 2 2 4 3" xfId="35363" xr:uid="{00000000-0005-0000-0000-00004E010000}"/>
    <cellStyle name="20% - Accent1 2 2 2 2 5" xfId="19829" xr:uid="{00000000-0005-0000-0000-00004F010000}"/>
    <cellStyle name="20% - Accent1 2 2 2 2 6" xfId="28706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5" xr:uid="{00000000-0005-0000-0000-000053010000}"/>
    <cellStyle name="20% - Accent1 2 2 2 3 2 3" xfId="30192" xr:uid="{00000000-0005-0000-0000-000054010000}"/>
    <cellStyle name="20% - Accent1 2 2 2 3 3" xfId="12260" xr:uid="{00000000-0005-0000-0000-000055010000}"/>
    <cellStyle name="20% - Accent1 2 2 2 3 3 2" xfId="23534" xr:uid="{00000000-0005-0000-0000-000056010000}"/>
    <cellStyle name="20% - Accent1 2 2 2 3 3 3" xfId="32411" xr:uid="{00000000-0005-0000-0000-000057010000}"/>
    <cellStyle name="20% - Accent1 2 2 2 3 4" xfId="14710" xr:uid="{00000000-0005-0000-0000-000058010000}"/>
    <cellStyle name="20% - Accent1 2 2 2 3 4 2" xfId="25753" xr:uid="{00000000-0005-0000-0000-000059010000}"/>
    <cellStyle name="20% - Accent1 2 2 2 3 4 3" xfId="34630" xr:uid="{00000000-0005-0000-0000-00005A010000}"/>
    <cellStyle name="20% - Accent1 2 2 2 3 5" xfId="19096" xr:uid="{00000000-0005-0000-0000-00005B010000}"/>
    <cellStyle name="20% - Accent1 2 2 2 3 6" xfId="27973" xr:uid="{00000000-0005-0000-0000-00005C010000}"/>
    <cellStyle name="20% - Accent1 2 2 2 4" xfId="9069" xr:uid="{00000000-0005-0000-0000-00005D010000}"/>
    <cellStyle name="20% - Accent1 2 2 2 4 2" xfId="20572" xr:uid="{00000000-0005-0000-0000-00005E010000}"/>
    <cellStyle name="20% - Accent1 2 2 2 4 3" xfId="29449" xr:uid="{00000000-0005-0000-0000-00005F010000}"/>
    <cellStyle name="20% - Accent1 2 2 2 5" xfId="11517" xr:uid="{00000000-0005-0000-0000-000060010000}"/>
    <cellStyle name="20% - Accent1 2 2 2 5 2" xfId="22791" xr:uid="{00000000-0005-0000-0000-000061010000}"/>
    <cellStyle name="20% - Accent1 2 2 2 5 3" xfId="31668" xr:uid="{00000000-0005-0000-0000-000062010000}"/>
    <cellStyle name="20% - Accent1 2 2 2 6" xfId="13738" xr:uid="{00000000-0005-0000-0000-000063010000}"/>
    <cellStyle name="20% - Accent1 2 2 2 6 2" xfId="25010" xr:uid="{00000000-0005-0000-0000-000064010000}"/>
    <cellStyle name="20% - Accent1 2 2 2 6 3" xfId="33887" xr:uid="{00000000-0005-0000-0000-000065010000}"/>
    <cellStyle name="20% - Accent1 2 2 2 7" xfId="18347" xr:uid="{00000000-0005-0000-0000-000066010000}"/>
    <cellStyle name="20% - Accent1 2 2 2 8" xfId="27228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49" xr:uid="{00000000-0005-0000-0000-00006B010000}"/>
    <cellStyle name="20% - Accent1 2 2 3 2 2 3" xfId="30926" xr:uid="{00000000-0005-0000-0000-00006C010000}"/>
    <cellStyle name="20% - Accent1 2 2 3 2 3" xfId="12994" xr:uid="{00000000-0005-0000-0000-00006D010000}"/>
    <cellStyle name="20% - Accent1 2 2 3 2 3 2" xfId="24268" xr:uid="{00000000-0005-0000-0000-00006E010000}"/>
    <cellStyle name="20% - Accent1 2 2 3 2 3 3" xfId="33145" xr:uid="{00000000-0005-0000-0000-00006F010000}"/>
    <cellStyle name="20% - Accent1 2 2 3 2 4" xfId="15444" xr:uid="{00000000-0005-0000-0000-000070010000}"/>
    <cellStyle name="20% - Accent1 2 2 3 2 4 2" xfId="26487" xr:uid="{00000000-0005-0000-0000-000071010000}"/>
    <cellStyle name="20% - Accent1 2 2 3 2 4 3" xfId="35364" xr:uid="{00000000-0005-0000-0000-000072010000}"/>
    <cellStyle name="20% - Accent1 2 2 3 2 5" xfId="19830" xr:uid="{00000000-0005-0000-0000-000073010000}"/>
    <cellStyle name="20% - Accent1 2 2 3 2 6" xfId="28707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6" xr:uid="{00000000-0005-0000-0000-000077010000}"/>
    <cellStyle name="20% - Accent1 2 2 3 3 2 3" xfId="30193" xr:uid="{00000000-0005-0000-0000-000078010000}"/>
    <cellStyle name="20% - Accent1 2 2 3 3 3" xfId="12261" xr:uid="{00000000-0005-0000-0000-000079010000}"/>
    <cellStyle name="20% - Accent1 2 2 3 3 3 2" xfId="23535" xr:uid="{00000000-0005-0000-0000-00007A010000}"/>
    <cellStyle name="20% - Accent1 2 2 3 3 3 3" xfId="32412" xr:uid="{00000000-0005-0000-0000-00007B010000}"/>
    <cellStyle name="20% - Accent1 2 2 3 3 4" xfId="14711" xr:uid="{00000000-0005-0000-0000-00007C010000}"/>
    <cellStyle name="20% - Accent1 2 2 3 3 4 2" xfId="25754" xr:uid="{00000000-0005-0000-0000-00007D010000}"/>
    <cellStyle name="20% - Accent1 2 2 3 3 4 3" xfId="34631" xr:uid="{00000000-0005-0000-0000-00007E010000}"/>
    <cellStyle name="20% - Accent1 2 2 3 3 5" xfId="19097" xr:uid="{00000000-0005-0000-0000-00007F010000}"/>
    <cellStyle name="20% - Accent1 2 2 3 3 6" xfId="27974" xr:uid="{00000000-0005-0000-0000-000080010000}"/>
    <cellStyle name="20% - Accent1 2 2 3 4" xfId="9070" xr:uid="{00000000-0005-0000-0000-000081010000}"/>
    <cellStyle name="20% - Accent1 2 2 3 4 2" xfId="20573" xr:uid="{00000000-0005-0000-0000-000082010000}"/>
    <cellStyle name="20% - Accent1 2 2 3 4 3" xfId="29450" xr:uid="{00000000-0005-0000-0000-000083010000}"/>
    <cellStyle name="20% - Accent1 2 2 3 5" xfId="11518" xr:uid="{00000000-0005-0000-0000-000084010000}"/>
    <cellStyle name="20% - Accent1 2 2 3 5 2" xfId="22792" xr:uid="{00000000-0005-0000-0000-000085010000}"/>
    <cellStyle name="20% - Accent1 2 2 3 5 3" xfId="31669" xr:uid="{00000000-0005-0000-0000-000086010000}"/>
    <cellStyle name="20% - Accent1 2 2 3 6" xfId="13739" xr:uid="{00000000-0005-0000-0000-000087010000}"/>
    <cellStyle name="20% - Accent1 2 2 3 6 2" xfId="25011" xr:uid="{00000000-0005-0000-0000-000088010000}"/>
    <cellStyle name="20% - Accent1 2 2 3 6 3" xfId="33888" xr:uid="{00000000-0005-0000-0000-000089010000}"/>
    <cellStyle name="20% - Accent1 2 2 3 7" xfId="18348" xr:uid="{00000000-0005-0000-0000-00008A010000}"/>
    <cellStyle name="20% - Accent1 2 2 3 8" xfId="27229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0" xr:uid="{00000000-0005-0000-0000-00008F010000}"/>
    <cellStyle name="20% - Accent1 2 2 4 2 2 3" xfId="30927" xr:uid="{00000000-0005-0000-0000-000090010000}"/>
    <cellStyle name="20% - Accent1 2 2 4 2 3" xfId="12995" xr:uid="{00000000-0005-0000-0000-000091010000}"/>
    <cellStyle name="20% - Accent1 2 2 4 2 3 2" xfId="24269" xr:uid="{00000000-0005-0000-0000-000092010000}"/>
    <cellStyle name="20% - Accent1 2 2 4 2 3 3" xfId="33146" xr:uid="{00000000-0005-0000-0000-000093010000}"/>
    <cellStyle name="20% - Accent1 2 2 4 2 4" xfId="15445" xr:uid="{00000000-0005-0000-0000-000094010000}"/>
    <cellStyle name="20% - Accent1 2 2 4 2 4 2" xfId="26488" xr:uid="{00000000-0005-0000-0000-000095010000}"/>
    <cellStyle name="20% - Accent1 2 2 4 2 4 3" xfId="35365" xr:uid="{00000000-0005-0000-0000-000096010000}"/>
    <cellStyle name="20% - Accent1 2 2 4 2 5" xfId="19831" xr:uid="{00000000-0005-0000-0000-000097010000}"/>
    <cellStyle name="20% - Accent1 2 2 4 2 6" xfId="28708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7" xr:uid="{00000000-0005-0000-0000-00009B010000}"/>
    <cellStyle name="20% - Accent1 2 2 4 3 2 3" xfId="30194" xr:uid="{00000000-0005-0000-0000-00009C010000}"/>
    <cellStyle name="20% - Accent1 2 2 4 3 3" xfId="12262" xr:uid="{00000000-0005-0000-0000-00009D010000}"/>
    <cellStyle name="20% - Accent1 2 2 4 3 3 2" xfId="23536" xr:uid="{00000000-0005-0000-0000-00009E010000}"/>
    <cellStyle name="20% - Accent1 2 2 4 3 3 3" xfId="32413" xr:uid="{00000000-0005-0000-0000-00009F010000}"/>
    <cellStyle name="20% - Accent1 2 2 4 3 4" xfId="14712" xr:uid="{00000000-0005-0000-0000-0000A0010000}"/>
    <cellStyle name="20% - Accent1 2 2 4 3 4 2" xfId="25755" xr:uid="{00000000-0005-0000-0000-0000A1010000}"/>
    <cellStyle name="20% - Accent1 2 2 4 3 4 3" xfId="34632" xr:uid="{00000000-0005-0000-0000-0000A2010000}"/>
    <cellStyle name="20% - Accent1 2 2 4 3 5" xfId="19098" xr:uid="{00000000-0005-0000-0000-0000A3010000}"/>
    <cellStyle name="20% - Accent1 2 2 4 3 6" xfId="27975" xr:uid="{00000000-0005-0000-0000-0000A4010000}"/>
    <cellStyle name="20% - Accent1 2 2 4 4" xfId="9071" xr:uid="{00000000-0005-0000-0000-0000A5010000}"/>
    <cellStyle name="20% - Accent1 2 2 4 4 2" xfId="20574" xr:uid="{00000000-0005-0000-0000-0000A6010000}"/>
    <cellStyle name="20% - Accent1 2 2 4 4 3" xfId="29451" xr:uid="{00000000-0005-0000-0000-0000A7010000}"/>
    <cellStyle name="20% - Accent1 2 2 4 5" xfId="11519" xr:uid="{00000000-0005-0000-0000-0000A8010000}"/>
    <cellStyle name="20% - Accent1 2 2 4 5 2" xfId="22793" xr:uid="{00000000-0005-0000-0000-0000A9010000}"/>
    <cellStyle name="20% - Accent1 2 2 4 5 3" xfId="31670" xr:uid="{00000000-0005-0000-0000-0000AA010000}"/>
    <cellStyle name="20% - Accent1 2 2 4 6" xfId="13740" xr:uid="{00000000-0005-0000-0000-0000AB010000}"/>
    <cellStyle name="20% - Accent1 2 2 4 6 2" xfId="25012" xr:uid="{00000000-0005-0000-0000-0000AC010000}"/>
    <cellStyle name="20% - Accent1 2 2 4 6 3" xfId="33889" xr:uid="{00000000-0005-0000-0000-0000AD010000}"/>
    <cellStyle name="20% - Accent1 2 2 4 7" xfId="18349" xr:uid="{00000000-0005-0000-0000-0000AE010000}"/>
    <cellStyle name="20% - Accent1 2 2 4 8" xfId="27230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1" xr:uid="{00000000-0005-0000-0000-0000B3010000}"/>
    <cellStyle name="20% - Accent1 2 2 5 2 2 3" xfId="30928" xr:uid="{00000000-0005-0000-0000-0000B4010000}"/>
    <cellStyle name="20% - Accent1 2 2 5 2 3" xfId="12996" xr:uid="{00000000-0005-0000-0000-0000B5010000}"/>
    <cellStyle name="20% - Accent1 2 2 5 2 3 2" xfId="24270" xr:uid="{00000000-0005-0000-0000-0000B6010000}"/>
    <cellStyle name="20% - Accent1 2 2 5 2 3 3" xfId="33147" xr:uid="{00000000-0005-0000-0000-0000B7010000}"/>
    <cellStyle name="20% - Accent1 2 2 5 2 4" xfId="15446" xr:uid="{00000000-0005-0000-0000-0000B8010000}"/>
    <cellStyle name="20% - Accent1 2 2 5 2 4 2" xfId="26489" xr:uid="{00000000-0005-0000-0000-0000B9010000}"/>
    <cellStyle name="20% - Accent1 2 2 5 2 4 3" xfId="35366" xr:uid="{00000000-0005-0000-0000-0000BA010000}"/>
    <cellStyle name="20% - Accent1 2 2 5 2 5" xfId="19832" xr:uid="{00000000-0005-0000-0000-0000BB010000}"/>
    <cellStyle name="20% - Accent1 2 2 5 2 6" xfId="28709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8" xr:uid="{00000000-0005-0000-0000-0000BF010000}"/>
    <cellStyle name="20% - Accent1 2 2 5 3 2 3" xfId="30195" xr:uid="{00000000-0005-0000-0000-0000C0010000}"/>
    <cellStyle name="20% - Accent1 2 2 5 3 3" xfId="12263" xr:uid="{00000000-0005-0000-0000-0000C1010000}"/>
    <cellStyle name="20% - Accent1 2 2 5 3 3 2" xfId="23537" xr:uid="{00000000-0005-0000-0000-0000C2010000}"/>
    <cellStyle name="20% - Accent1 2 2 5 3 3 3" xfId="32414" xr:uid="{00000000-0005-0000-0000-0000C3010000}"/>
    <cellStyle name="20% - Accent1 2 2 5 3 4" xfId="14713" xr:uid="{00000000-0005-0000-0000-0000C4010000}"/>
    <cellStyle name="20% - Accent1 2 2 5 3 4 2" xfId="25756" xr:uid="{00000000-0005-0000-0000-0000C5010000}"/>
    <cellStyle name="20% - Accent1 2 2 5 3 4 3" xfId="34633" xr:uid="{00000000-0005-0000-0000-0000C6010000}"/>
    <cellStyle name="20% - Accent1 2 2 5 3 5" xfId="19099" xr:uid="{00000000-0005-0000-0000-0000C7010000}"/>
    <cellStyle name="20% - Accent1 2 2 5 3 6" xfId="27976" xr:uid="{00000000-0005-0000-0000-0000C8010000}"/>
    <cellStyle name="20% - Accent1 2 2 5 4" xfId="9072" xr:uid="{00000000-0005-0000-0000-0000C9010000}"/>
    <cellStyle name="20% - Accent1 2 2 5 4 2" xfId="20575" xr:uid="{00000000-0005-0000-0000-0000CA010000}"/>
    <cellStyle name="20% - Accent1 2 2 5 4 3" xfId="29452" xr:uid="{00000000-0005-0000-0000-0000CB010000}"/>
    <cellStyle name="20% - Accent1 2 2 5 5" xfId="11520" xr:uid="{00000000-0005-0000-0000-0000CC010000}"/>
    <cellStyle name="20% - Accent1 2 2 5 5 2" xfId="22794" xr:uid="{00000000-0005-0000-0000-0000CD010000}"/>
    <cellStyle name="20% - Accent1 2 2 5 5 3" xfId="31671" xr:uid="{00000000-0005-0000-0000-0000CE010000}"/>
    <cellStyle name="20% - Accent1 2 2 5 6" xfId="13741" xr:uid="{00000000-0005-0000-0000-0000CF010000}"/>
    <cellStyle name="20% - Accent1 2 2 5 6 2" xfId="25013" xr:uid="{00000000-0005-0000-0000-0000D0010000}"/>
    <cellStyle name="20% - Accent1 2 2 5 6 3" xfId="33890" xr:uid="{00000000-0005-0000-0000-0000D1010000}"/>
    <cellStyle name="20% - Accent1 2 2 5 7" xfId="18350" xr:uid="{00000000-0005-0000-0000-0000D2010000}"/>
    <cellStyle name="20% - Accent1 2 2 5 8" xfId="27231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2" xr:uid="{00000000-0005-0000-0000-0000D7010000}"/>
    <cellStyle name="20% - Accent1 2 2 6 2 2 3" xfId="30929" xr:uid="{00000000-0005-0000-0000-0000D8010000}"/>
    <cellStyle name="20% - Accent1 2 2 6 2 3" xfId="12997" xr:uid="{00000000-0005-0000-0000-0000D9010000}"/>
    <cellStyle name="20% - Accent1 2 2 6 2 3 2" xfId="24271" xr:uid="{00000000-0005-0000-0000-0000DA010000}"/>
    <cellStyle name="20% - Accent1 2 2 6 2 3 3" xfId="33148" xr:uid="{00000000-0005-0000-0000-0000DB010000}"/>
    <cellStyle name="20% - Accent1 2 2 6 2 4" xfId="15447" xr:uid="{00000000-0005-0000-0000-0000DC010000}"/>
    <cellStyle name="20% - Accent1 2 2 6 2 4 2" xfId="26490" xr:uid="{00000000-0005-0000-0000-0000DD010000}"/>
    <cellStyle name="20% - Accent1 2 2 6 2 4 3" xfId="35367" xr:uid="{00000000-0005-0000-0000-0000DE010000}"/>
    <cellStyle name="20% - Accent1 2 2 6 2 5" xfId="19833" xr:uid="{00000000-0005-0000-0000-0000DF010000}"/>
    <cellStyle name="20% - Accent1 2 2 6 2 6" xfId="28710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19" xr:uid="{00000000-0005-0000-0000-0000E3010000}"/>
    <cellStyle name="20% - Accent1 2 2 6 3 2 3" xfId="30196" xr:uid="{00000000-0005-0000-0000-0000E4010000}"/>
    <cellStyle name="20% - Accent1 2 2 6 3 3" xfId="12264" xr:uid="{00000000-0005-0000-0000-0000E5010000}"/>
    <cellStyle name="20% - Accent1 2 2 6 3 3 2" xfId="23538" xr:uid="{00000000-0005-0000-0000-0000E6010000}"/>
    <cellStyle name="20% - Accent1 2 2 6 3 3 3" xfId="32415" xr:uid="{00000000-0005-0000-0000-0000E7010000}"/>
    <cellStyle name="20% - Accent1 2 2 6 3 4" xfId="14714" xr:uid="{00000000-0005-0000-0000-0000E8010000}"/>
    <cellStyle name="20% - Accent1 2 2 6 3 4 2" xfId="25757" xr:uid="{00000000-0005-0000-0000-0000E9010000}"/>
    <cellStyle name="20% - Accent1 2 2 6 3 4 3" xfId="34634" xr:uid="{00000000-0005-0000-0000-0000EA010000}"/>
    <cellStyle name="20% - Accent1 2 2 6 3 5" xfId="19100" xr:uid="{00000000-0005-0000-0000-0000EB010000}"/>
    <cellStyle name="20% - Accent1 2 2 6 3 6" xfId="27977" xr:uid="{00000000-0005-0000-0000-0000EC010000}"/>
    <cellStyle name="20% - Accent1 2 2 6 4" xfId="9073" xr:uid="{00000000-0005-0000-0000-0000ED010000}"/>
    <cellStyle name="20% - Accent1 2 2 6 4 2" xfId="20576" xr:uid="{00000000-0005-0000-0000-0000EE010000}"/>
    <cellStyle name="20% - Accent1 2 2 6 4 3" xfId="29453" xr:uid="{00000000-0005-0000-0000-0000EF010000}"/>
    <cellStyle name="20% - Accent1 2 2 6 5" xfId="11521" xr:uid="{00000000-0005-0000-0000-0000F0010000}"/>
    <cellStyle name="20% - Accent1 2 2 6 5 2" xfId="22795" xr:uid="{00000000-0005-0000-0000-0000F1010000}"/>
    <cellStyle name="20% - Accent1 2 2 6 5 3" xfId="31672" xr:uid="{00000000-0005-0000-0000-0000F2010000}"/>
    <cellStyle name="20% - Accent1 2 2 6 6" xfId="13742" xr:uid="{00000000-0005-0000-0000-0000F3010000}"/>
    <cellStyle name="20% - Accent1 2 2 6 6 2" xfId="25014" xr:uid="{00000000-0005-0000-0000-0000F4010000}"/>
    <cellStyle name="20% - Accent1 2 2 6 6 3" xfId="33891" xr:uid="{00000000-0005-0000-0000-0000F5010000}"/>
    <cellStyle name="20% - Accent1 2 2 6 7" xfId="18351" xr:uid="{00000000-0005-0000-0000-0000F6010000}"/>
    <cellStyle name="20% - Accent1 2 2 6 8" xfId="27232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3" xr:uid="{00000000-0005-0000-0000-0000FB010000}"/>
    <cellStyle name="20% - Accent1 2 2 7 2 2 3" xfId="30930" xr:uid="{00000000-0005-0000-0000-0000FC010000}"/>
    <cellStyle name="20% - Accent1 2 2 7 2 3" xfId="12998" xr:uid="{00000000-0005-0000-0000-0000FD010000}"/>
    <cellStyle name="20% - Accent1 2 2 7 2 3 2" xfId="24272" xr:uid="{00000000-0005-0000-0000-0000FE010000}"/>
    <cellStyle name="20% - Accent1 2 2 7 2 3 3" xfId="33149" xr:uid="{00000000-0005-0000-0000-0000FF010000}"/>
    <cellStyle name="20% - Accent1 2 2 7 2 4" xfId="15448" xr:uid="{00000000-0005-0000-0000-000000020000}"/>
    <cellStyle name="20% - Accent1 2 2 7 2 4 2" xfId="26491" xr:uid="{00000000-0005-0000-0000-000001020000}"/>
    <cellStyle name="20% - Accent1 2 2 7 2 4 3" xfId="35368" xr:uid="{00000000-0005-0000-0000-000002020000}"/>
    <cellStyle name="20% - Accent1 2 2 7 2 5" xfId="19834" xr:uid="{00000000-0005-0000-0000-000003020000}"/>
    <cellStyle name="20% - Accent1 2 2 7 2 6" xfId="28711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0" xr:uid="{00000000-0005-0000-0000-000007020000}"/>
    <cellStyle name="20% - Accent1 2 2 7 3 2 3" xfId="30197" xr:uid="{00000000-0005-0000-0000-000008020000}"/>
    <cellStyle name="20% - Accent1 2 2 7 3 3" xfId="12265" xr:uid="{00000000-0005-0000-0000-000009020000}"/>
    <cellStyle name="20% - Accent1 2 2 7 3 3 2" xfId="23539" xr:uid="{00000000-0005-0000-0000-00000A020000}"/>
    <cellStyle name="20% - Accent1 2 2 7 3 3 3" xfId="32416" xr:uid="{00000000-0005-0000-0000-00000B020000}"/>
    <cellStyle name="20% - Accent1 2 2 7 3 4" xfId="14715" xr:uid="{00000000-0005-0000-0000-00000C020000}"/>
    <cellStyle name="20% - Accent1 2 2 7 3 4 2" xfId="25758" xr:uid="{00000000-0005-0000-0000-00000D020000}"/>
    <cellStyle name="20% - Accent1 2 2 7 3 4 3" xfId="34635" xr:uid="{00000000-0005-0000-0000-00000E020000}"/>
    <cellStyle name="20% - Accent1 2 2 7 3 5" xfId="19101" xr:uid="{00000000-0005-0000-0000-00000F020000}"/>
    <cellStyle name="20% - Accent1 2 2 7 3 6" xfId="27978" xr:uid="{00000000-0005-0000-0000-000010020000}"/>
    <cellStyle name="20% - Accent1 2 2 7 4" xfId="9074" xr:uid="{00000000-0005-0000-0000-000011020000}"/>
    <cellStyle name="20% - Accent1 2 2 7 4 2" xfId="20577" xr:uid="{00000000-0005-0000-0000-000012020000}"/>
    <cellStyle name="20% - Accent1 2 2 7 4 3" xfId="29454" xr:uid="{00000000-0005-0000-0000-000013020000}"/>
    <cellStyle name="20% - Accent1 2 2 7 5" xfId="11522" xr:uid="{00000000-0005-0000-0000-000014020000}"/>
    <cellStyle name="20% - Accent1 2 2 7 5 2" xfId="22796" xr:uid="{00000000-0005-0000-0000-000015020000}"/>
    <cellStyle name="20% - Accent1 2 2 7 5 3" xfId="31673" xr:uid="{00000000-0005-0000-0000-000016020000}"/>
    <cellStyle name="20% - Accent1 2 2 7 6" xfId="13743" xr:uid="{00000000-0005-0000-0000-000017020000}"/>
    <cellStyle name="20% - Accent1 2 2 7 6 2" xfId="25015" xr:uid="{00000000-0005-0000-0000-000018020000}"/>
    <cellStyle name="20% - Accent1 2 2 7 6 3" xfId="33892" xr:uid="{00000000-0005-0000-0000-000019020000}"/>
    <cellStyle name="20% - Accent1 2 2 7 7" xfId="18352" xr:uid="{00000000-0005-0000-0000-00001A020000}"/>
    <cellStyle name="20% - Accent1 2 2 7 8" xfId="27233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4" xr:uid="{00000000-0005-0000-0000-00001F020000}"/>
    <cellStyle name="20% - Accent1 2 2 8 2 2 3" xfId="30931" xr:uid="{00000000-0005-0000-0000-000020020000}"/>
    <cellStyle name="20% - Accent1 2 2 8 2 3" xfId="12999" xr:uid="{00000000-0005-0000-0000-000021020000}"/>
    <cellStyle name="20% - Accent1 2 2 8 2 3 2" xfId="24273" xr:uid="{00000000-0005-0000-0000-000022020000}"/>
    <cellStyle name="20% - Accent1 2 2 8 2 3 3" xfId="33150" xr:uid="{00000000-0005-0000-0000-000023020000}"/>
    <cellStyle name="20% - Accent1 2 2 8 2 4" xfId="15449" xr:uid="{00000000-0005-0000-0000-000024020000}"/>
    <cellStyle name="20% - Accent1 2 2 8 2 4 2" xfId="26492" xr:uid="{00000000-0005-0000-0000-000025020000}"/>
    <cellStyle name="20% - Accent1 2 2 8 2 4 3" xfId="35369" xr:uid="{00000000-0005-0000-0000-000026020000}"/>
    <cellStyle name="20% - Accent1 2 2 8 2 5" xfId="19835" xr:uid="{00000000-0005-0000-0000-000027020000}"/>
    <cellStyle name="20% - Accent1 2 2 8 2 6" xfId="28712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1" xr:uid="{00000000-0005-0000-0000-00002B020000}"/>
    <cellStyle name="20% - Accent1 2 2 8 3 2 3" xfId="30198" xr:uid="{00000000-0005-0000-0000-00002C020000}"/>
    <cellStyle name="20% - Accent1 2 2 8 3 3" xfId="12266" xr:uid="{00000000-0005-0000-0000-00002D020000}"/>
    <cellStyle name="20% - Accent1 2 2 8 3 3 2" xfId="23540" xr:uid="{00000000-0005-0000-0000-00002E020000}"/>
    <cellStyle name="20% - Accent1 2 2 8 3 3 3" xfId="32417" xr:uid="{00000000-0005-0000-0000-00002F020000}"/>
    <cellStyle name="20% - Accent1 2 2 8 3 4" xfId="14716" xr:uid="{00000000-0005-0000-0000-000030020000}"/>
    <cellStyle name="20% - Accent1 2 2 8 3 4 2" xfId="25759" xr:uid="{00000000-0005-0000-0000-000031020000}"/>
    <cellStyle name="20% - Accent1 2 2 8 3 4 3" xfId="34636" xr:uid="{00000000-0005-0000-0000-000032020000}"/>
    <cellStyle name="20% - Accent1 2 2 8 3 5" xfId="19102" xr:uid="{00000000-0005-0000-0000-000033020000}"/>
    <cellStyle name="20% - Accent1 2 2 8 3 6" xfId="27979" xr:uid="{00000000-0005-0000-0000-000034020000}"/>
    <cellStyle name="20% - Accent1 2 2 8 4" xfId="9075" xr:uid="{00000000-0005-0000-0000-000035020000}"/>
    <cellStyle name="20% - Accent1 2 2 8 4 2" xfId="20578" xr:uid="{00000000-0005-0000-0000-000036020000}"/>
    <cellStyle name="20% - Accent1 2 2 8 4 3" xfId="29455" xr:uid="{00000000-0005-0000-0000-000037020000}"/>
    <cellStyle name="20% - Accent1 2 2 8 5" xfId="11523" xr:uid="{00000000-0005-0000-0000-000038020000}"/>
    <cellStyle name="20% - Accent1 2 2 8 5 2" xfId="22797" xr:uid="{00000000-0005-0000-0000-000039020000}"/>
    <cellStyle name="20% - Accent1 2 2 8 5 3" xfId="31674" xr:uid="{00000000-0005-0000-0000-00003A020000}"/>
    <cellStyle name="20% - Accent1 2 2 8 6" xfId="13744" xr:uid="{00000000-0005-0000-0000-00003B020000}"/>
    <cellStyle name="20% - Accent1 2 2 8 6 2" xfId="25016" xr:uid="{00000000-0005-0000-0000-00003C020000}"/>
    <cellStyle name="20% - Accent1 2 2 8 6 3" xfId="33893" xr:uid="{00000000-0005-0000-0000-00003D020000}"/>
    <cellStyle name="20% - Accent1 2 2 8 7" xfId="18353" xr:uid="{00000000-0005-0000-0000-00003E020000}"/>
    <cellStyle name="20% - Accent1 2 2 8 8" xfId="27234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5" xr:uid="{00000000-0005-0000-0000-000043020000}"/>
    <cellStyle name="20% - Accent1 2 2 9 2 2 3" xfId="30932" xr:uid="{00000000-0005-0000-0000-000044020000}"/>
    <cellStyle name="20% - Accent1 2 2 9 2 3" xfId="13000" xr:uid="{00000000-0005-0000-0000-000045020000}"/>
    <cellStyle name="20% - Accent1 2 2 9 2 3 2" xfId="24274" xr:uid="{00000000-0005-0000-0000-000046020000}"/>
    <cellStyle name="20% - Accent1 2 2 9 2 3 3" xfId="33151" xr:uid="{00000000-0005-0000-0000-000047020000}"/>
    <cellStyle name="20% - Accent1 2 2 9 2 4" xfId="15450" xr:uid="{00000000-0005-0000-0000-000048020000}"/>
    <cellStyle name="20% - Accent1 2 2 9 2 4 2" xfId="26493" xr:uid="{00000000-0005-0000-0000-000049020000}"/>
    <cellStyle name="20% - Accent1 2 2 9 2 4 3" xfId="35370" xr:uid="{00000000-0005-0000-0000-00004A020000}"/>
    <cellStyle name="20% - Accent1 2 2 9 2 5" xfId="19836" xr:uid="{00000000-0005-0000-0000-00004B020000}"/>
    <cellStyle name="20% - Accent1 2 2 9 2 6" xfId="28713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2" xr:uid="{00000000-0005-0000-0000-00004F020000}"/>
    <cellStyle name="20% - Accent1 2 2 9 3 2 3" xfId="30199" xr:uid="{00000000-0005-0000-0000-000050020000}"/>
    <cellStyle name="20% - Accent1 2 2 9 3 3" xfId="12267" xr:uid="{00000000-0005-0000-0000-000051020000}"/>
    <cellStyle name="20% - Accent1 2 2 9 3 3 2" xfId="23541" xr:uid="{00000000-0005-0000-0000-000052020000}"/>
    <cellStyle name="20% - Accent1 2 2 9 3 3 3" xfId="32418" xr:uid="{00000000-0005-0000-0000-000053020000}"/>
    <cellStyle name="20% - Accent1 2 2 9 3 4" xfId="14717" xr:uid="{00000000-0005-0000-0000-000054020000}"/>
    <cellStyle name="20% - Accent1 2 2 9 3 4 2" xfId="25760" xr:uid="{00000000-0005-0000-0000-000055020000}"/>
    <cellStyle name="20% - Accent1 2 2 9 3 4 3" xfId="34637" xr:uid="{00000000-0005-0000-0000-000056020000}"/>
    <cellStyle name="20% - Accent1 2 2 9 3 5" xfId="19103" xr:uid="{00000000-0005-0000-0000-000057020000}"/>
    <cellStyle name="20% - Accent1 2 2 9 3 6" xfId="27980" xr:uid="{00000000-0005-0000-0000-000058020000}"/>
    <cellStyle name="20% - Accent1 2 2 9 4" xfId="9076" xr:uid="{00000000-0005-0000-0000-000059020000}"/>
    <cellStyle name="20% - Accent1 2 2 9 4 2" xfId="20579" xr:uid="{00000000-0005-0000-0000-00005A020000}"/>
    <cellStyle name="20% - Accent1 2 2 9 4 3" xfId="29456" xr:uid="{00000000-0005-0000-0000-00005B020000}"/>
    <cellStyle name="20% - Accent1 2 2 9 5" xfId="11524" xr:uid="{00000000-0005-0000-0000-00005C020000}"/>
    <cellStyle name="20% - Accent1 2 2 9 5 2" xfId="22798" xr:uid="{00000000-0005-0000-0000-00005D020000}"/>
    <cellStyle name="20% - Accent1 2 2 9 5 3" xfId="31675" xr:uid="{00000000-0005-0000-0000-00005E020000}"/>
    <cellStyle name="20% - Accent1 2 2 9 6" xfId="13745" xr:uid="{00000000-0005-0000-0000-00005F020000}"/>
    <cellStyle name="20% - Accent1 2 2 9 6 2" xfId="25017" xr:uid="{00000000-0005-0000-0000-000060020000}"/>
    <cellStyle name="20% - Accent1 2 2 9 6 3" xfId="33894" xr:uid="{00000000-0005-0000-0000-000061020000}"/>
    <cellStyle name="20% - Accent1 2 2 9 7" xfId="18354" xr:uid="{00000000-0005-0000-0000-000062020000}"/>
    <cellStyle name="20% - Accent1 2 2 9 8" xfId="27235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6" xr:uid="{00000000-0005-0000-0000-000067020000}"/>
    <cellStyle name="20% - Accent1 2 3 10 2 3" xfId="30933" xr:uid="{00000000-0005-0000-0000-000068020000}"/>
    <cellStyle name="20% - Accent1 2 3 10 3" xfId="13001" xr:uid="{00000000-0005-0000-0000-000069020000}"/>
    <cellStyle name="20% - Accent1 2 3 10 3 2" xfId="24275" xr:uid="{00000000-0005-0000-0000-00006A020000}"/>
    <cellStyle name="20% - Accent1 2 3 10 3 3" xfId="33152" xr:uid="{00000000-0005-0000-0000-00006B020000}"/>
    <cellStyle name="20% - Accent1 2 3 10 4" xfId="15451" xr:uid="{00000000-0005-0000-0000-00006C020000}"/>
    <cellStyle name="20% - Accent1 2 3 10 4 2" xfId="26494" xr:uid="{00000000-0005-0000-0000-00006D020000}"/>
    <cellStyle name="20% - Accent1 2 3 10 4 3" xfId="35371" xr:uid="{00000000-0005-0000-0000-00006E020000}"/>
    <cellStyle name="20% - Accent1 2 3 10 5" xfId="19837" xr:uid="{00000000-0005-0000-0000-00006F020000}"/>
    <cellStyle name="20% - Accent1 2 3 10 6" xfId="28714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3" xr:uid="{00000000-0005-0000-0000-000073020000}"/>
    <cellStyle name="20% - Accent1 2 3 11 2 3" xfId="30200" xr:uid="{00000000-0005-0000-0000-000074020000}"/>
    <cellStyle name="20% - Accent1 2 3 11 3" xfId="12268" xr:uid="{00000000-0005-0000-0000-000075020000}"/>
    <cellStyle name="20% - Accent1 2 3 11 3 2" xfId="23542" xr:uid="{00000000-0005-0000-0000-000076020000}"/>
    <cellStyle name="20% - Accent1 2 3 11 3 3" xfId="32419" xr:uid="{00000000-0005-0000-0000-000077020000}"/>
    <cellStyle name="20% - Accent1 2 3 11 4" xfId="14718" xr:uid="{00000000-0005-0000-0000-000078020000}"/>
    <cellStyle name="20% - Accent1 2 3 11 4 2" xfId="25761" xr:uid="{00000000-0005-0000-0000-000079020000}"/>
    <cellStyle name="20% - Accent1 2 3 11 4 3" xfId="34638" xr:uid="{00000000-0005-0000-0000-00007A020000}"/>
    <cellStyle name="20% - Accent1 2 3 11 5" xfId="19104" xr:uid="{00000000-0005-0000-0000-00007B020000}"/>
    <cellStyle name="20% - Accent1 2 3 11 6" xfId="27981" xr:uid="{00000000-0005-0000-0000-00007C020000}"/>
    <cellStyle name="20% - Accent1 2 3 12" xfId="9077" xr:uid="{00000000-0005-0000-0000-00007D020000}"/>
    <cellStyle name="20% - Accent1 2 3 12 2" xfId="20580" xr:uid="{00000000-0005-0000-0000-00007E020000}"/>
    <cellStyle name="20% - Accent1 2 3 12 3" xfId="29457" xr:uid="{00000000-0005-0000-0000-00007F020000}"/>
    <cellStyle name="20% - Accent1 2 3 13" xfId="11525" xr:uid="{00000000-0005-0000-0000-000080020000}"/>
    <cellStyle name="20% - Accent1 2 3 13 2" xfId="22799" xr:uid="{00000000-0005-0000-0000-000081020000}"/>
    <cellStyle name="20% - Accent1 2 3 13 3" xfId="31676" xr:uid="{00000000-0005-0000-0000-000082020000}"/>
    <cellStyle name="20% - Accent1 2 3 14" xfId="13746" xr:uid="{00000000-0005-0000-0000-000083020000}"/>
    <cellStyle name="20% - Accent1 2 3 14 2" xfId="25018" xr:uid="{00000000-0005-0000-0000-000084020000}"/>
    <cellStyle name="20% - Accent1 2 3 14 3" xfId="33895" xr:uid="{00000000-0005-0000-0000-000085020000}"/>
    <cellStyle name="20% - Accent1 2 3 15" xfId="18355" xr:uid="{00000000-0005-0000-0000-000086020000}"/>
    <cellStyle name="20% - Accent1 2 3 16" xfId="27236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7" xr:uid="{00000000-0005-0000-0000-00008B020000}"/>
    <cellStyle name="20% - Accent1 2 3 2 2 2 3" xfId="30934" xr:uid="{00000000-0005-0000-0000-00008C020000}"/>
    <cellStyle name="20% - Accent1 2 3 2 2 3" xfId="13002" xr:uid="{00000000-0005-0000-0000-00008D020000}"/>
    <cellStyle name="20% - Accent1 2 3 2 2 3 2" xfId="24276" xr:uid="{00000000-0005-0000-0000-00008E020000}"/>
    <cellStyle name="20% - Accent1 2 3 2 2 3 3" xfId="33153" xr:uid="{00000000-0005-0000-0000-00008F020000}"/>
    <cellStyle name="20% - Accent1 2 3 2 2 4" xfId="15452" xr:uid="{00000000-0005-0000-0000-000090020000}"/>
    <cellStyle name="20% - Accent1 2 3 2 2 4 2" xfId="26495" xr:uid="{00000000-0005-0000-0000-000091020000}"/>
    <cellStyle name="20% - Accent1 2 3 2 2 4 3" xfId="35372" xr:uid="{00000000-0005-0000-0000-000092020000}"/>
    <cellStyle name="20% - Accent1 2 3 2 2 5" xfId="19838" xr:uid="{00000000-0005-0000-0000-000093020000}"/>
    <cellStyle name="20% - Accent1 2 3 2 2 6" xfId="28715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4" xr:uid="{00000000-0005-0000-0000-000097020000}"/>
    <cellStyle name="20% - Accent1 2 3 2 3 2 3" xfId="30201" xr:uid="{00000000-0005-0000-0000-000098020000}"/>
    <cellStyle name="20% - Accent1 2 3 2 3 3" xfId="12269" xr:uid="{00000000-0005-0000-0000-000099020000}"/>
    <cellStyle name="20% - Accent1 2 3 2 3 3 2" xfId="23543" xr:uid="{00000000-0005-0000-0000-00009A020000}"/>
    <cellStyle name="20% - Accent1 2 3 2 3 3 3" xfId="32420" xr:uid="{00000000-0005-0000-0000-00009B020000}"/>
    <cellStyle name="20% - Accent1 2 3 2 3 4" xfId="14719" xr:uid="{00000000-0005-0000-0000-00009C020000}"/>
    <cellStyle name="20% - Accent1 2 3 2 3 4 2" xfId="25762" xr:uid="{00000000-0005-0000-0000-00009D020000}"/>
    <cellStyle name="20% - Accent1 2 3 2 3 4 3" xfId="34639" xr:uid="{00000000-0005-0000-0000-00009E020000}"/>
    <cellStyle name="20% - Accent1 2 3 2 3 5" xfId="19105" xr:uid="{00000000-0005-0000-0000-00009F020000}"/>
    <cellStyle name="20% - Accent1 2 3 2 3 6" xfId="27982" xr:uid="{00000000-0005-0000-0000-0000A0020000}"/>
    <cellStyle name="20% - Accent1 2 3 2 4" xfId="9078" xr:uid="{00000000-0005-0000-0000-0000A1020000}"/>
    <cellStyle name="20% - Accent1 2 3 2 4 2" xfId="20581" xr:uid="{00000000-0005-0000-0000-0000A2020000}"/>
    <cellStyle name="20% - Accent1 2 3 2 4 3" xfId="29458" xr:uid="{00000000-0005-0000-0000-0000A3020000}"/>
    <cellStyle name="20% - Accent1 2 3 2 5" xfId="11526" xr:uid="{00000000-0005-0000-0000-0000A4020000}"/>
    <cellStyle name="20% - Accent1 2 3 2 5 2" xfId="22800" xr:uid="{00000000-0005-0000-0000-0000A5020000}"/>
    <cellStyle name="20% - Accent1 2 3 2 5 3" xfId="31677" xr:uid="{00000000-0005-0000-0000-0000A6020000}"/>
    <cellStyle name="20% - Accent1 2 3 2 6" xfId="13747" xr:uid="{00000000-0005-0000-0000-0000A7020000}"/>
    <cellStyle name="20% - Accent1 2 3 2 6 2" xfId="25019" xr:uid="{00000000-0005-0000-0000-0000A8020000}"/>
    <cellStyle name="20% - Accent1 2 3 2 6 3" xfId="33896" xr:uid="{00000000-0005-0000-0000-0000A9020000}"/>
    <cellStyle name="20% - Accent1 2 3 2 7" xfId="18356" xr:uid="{00000000-0005-0000-0000-0000AA020000}"/>
    <cellStyle name="20% - Accent1 2 3 2 8" xfId="27237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8" xr:uid="{00000000-0005-0000-0000-0000AF020000}"/>
    <cellStyle name="20% - Accent1 2 3 3 2 2 3" xfId="30935" xr:uid="{00000000-0005-0000-0000-0000B0020000}"/>
    <cellStyle name="20% - Accent1 2 3 3 2 3" xfId="13003" xr:uid="{00000000-0005-0000-0000-0000B1020000}"/>
    <cellStyle name="20% - Accent1 2 3 3 2 3 2" xfId="24277" xr:uid="{00000000-0005-0000-0000-0000B2020000}"/>
    <cellStyle name="20% - Accent1 2 3 3 2 3 3" xfId="33154" xr:uid="{00000000-0005-0000-0000-0000B3020000}"/>
    <cellStyle name="20% - Accent1 2 3 3 2 4" xfId="15453" xr:uid="{00000000-0005-0000-0000-0000B4020000}"/>
    <cellStyle name="20% - Accent1 2 3 3 2 4 2" xfId="26496" xr:uid="{00000000-0005-0000-0000-0000B5020000}"/>
    <cellStyle name="20% - Accent1 2 3 3 2 4 3" xfId="35373" xr:uid="{00000000-0005-0000-0000-0000B6020000}"/>
    <cellStyle name="20% - Accent1 2 3 3 2 5" xfId="19839" xr:uid="{00000000-0005-0000-0000-0000B7020000}"/>
    <cellStyle name="20% - Accent1 2 3 3 2 6" xfId="28716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5" xr:uid="{00000000-0005-0000-0000-0000BB020000}"/>
    <cellStyle name="20% - Accent1 2 3 3 3 2 3" xfId="30202" xr:uid="{00000000-0005-0000-0000-0000BC020000}"/>
    <cellStyle name="20% - Accent1 2 3 3 3 3" xfId="12270" xr:uid="{00000000-0005-0000-0000-0000BD020000}"/>
    <cellStyle name="20% - Accent1 2 3 3 3 3 2" xfId="23544" xr:uid="{00000000-0005-0000-0000-0000BE020000}"/>
    <cellStyle name="20% - Accent1 2 3 3 3 3 3" xfId="32421" xr:uid="{00000000-0005-0000-0000-0000BF020000}"/>
    <cellStyle name="20% - Accent1 2 3 3 3 4" xfId="14720" xr:uid="{00000000-0005-0000-0000-0000C0020000}"/>
    <cellStyle name="20% - Accent1 2 3 3 3 4 2" xfId="25763" xr:uid="{00000000-0005-0000-0000-0000C1020000}"/>
    <cellStyle name="20% - Accent1 2 3 3 3 4 3" xfId="34640" xr:uid="{00000000-0005-0000-0000-0000C2020000}"/>
    <cellStyle name="20% - Accent1 2 3 3 3 5" xfId="19106" xr:uid="{00000000-0005-0000-0000-0000C3020000}"/>
    <cellStyle name="20% - Accent1 2 3 3 3 6" xfId="27983" xr:uid="{00000000-0005-0000-0000-0000C4020000}"/>
    <cellStyle name="20% - Accent1 2 3 3 4" xfId="9079" xr:uid="{00000000-0005-0000-0000-0000C5020000}"/>
    <cellStyle name="20% - Accent1 2 3 3 4 2" xfId="20582" xr:uid="{00000000-0005-0000-0000-0000C6020000}"/>
    <cellStyle name="20% - Accent1 2 3 3 4 3" xfId="29459" xr:uid="{00000000-0005-0000-0000-0000C7020000}"/>
    <cellStyle name="20% - Accent1 2 3 3 5" xfId="11527" xr:uid="{00000000-0005-0000-0000-0000C8020000}"/>
    <cellStyle name="20% - Accent1 2 3 3 5 2" xfId="22801" xr:uid="{00000000-0005-0000-0000-0000C9020000}"/>
    <cellStyle name="20% - Accent1 2 3 3 5 3" xfId="31678" xr:uid="{00000000-0005-0000-0000-0000CA020000}"/>
    <cellStyle name="20% - Accent1 2 3 3 6" xfId="13748" xr:uid="{00000000-0005-0000-0000-0000CB020000}"/>
    <cellStyle name="20% - Accent1 2 3 3 6 2" xfId="25020" xr:uid="{00000000-0005-0000-0000-0000CC020000}"/>
    <cellStyle name="20% - Accent1 2 3 3 6 3" xfId="33897" xr:uid="{00000000-0005-0000-0000-0000CD020000}"/>
    <cellStyle name="20% - Accent1 2 3 3 7" xfId="18357" xr:uid="{00000000-0005-0000-0000-0000CE020000}"/>
    <cellStyle name="20% - Accent1 2 3 3 8" xfId="27238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59" xr:uid="{00000000-0005-0000-0000-0000D3020000}"/>
    <cellStyle name="20% - Accent1 2 3 4 2 2 3" xfId="30936" xr:uid="{00000000-0005-0000-0000-0000D4020000}"/>
    <cellStyle name="20% - Accent1 2 3 4 2 3" xfId="13004" xr:uid="{00000000-0005-0000-0000-0000D5020000}"/>
    <cellStyle name="20% - Accent1 2 3 4 2 3 2" xfId="24278" xr:uid="{00000000-0005-0000-0000-0000D6020000}"/>
    <cellStyle name="20% - Accent1 2 3 4 2 3 3" xfId="33155" xr:uid="{00000000-0005-0000-0000-0000D7020000}"/>
    <cellStyle name="20% - Accent1 2 3 4 2 4" xfId="15454" xr:uid="{00000000-0005-0000-0000-0000D8020000}"/>
    <cellStyle name="20% - Accent1 2 3 4 2 4 2" xfId="26497" xr:uid="{00000000-0005-0000-0000-0000D9020000}"/>
    <cellStyle name="20% - Accent1 2 3 4 2 4 3" xfId="35374" xr:uid="{00000000-0005-0000-0000-0000DA020000}"/>
    <cellStyle name="20% - Accent1 2 3 4 2 5" xfId="19840" xr:uid="{00000000-0005-0000-0000-0000DB020000}"/>
    <cellStyle name="20% - Accent1 2 3 4 2 6" xfId="28717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6" xr:uid="{00000000-0005-0000-0000-0000DF020000}"/>
    <cellStyle name="20% - Accent1 2 3 4 3 2 3" xfId="30203" xr:uid="{00000000-0005-0000-0000-0000E0020000}"/>
    <cellStyle name="20% - Accent1 2 3 4 3 3" xfId="12271" xr:uid="{00000000-0005-0000-0000-0000E1020000}"/>
    <cellStyle name="20% - Accent1 2 3 4 3 3 2" xfId="23545" xr:uid="{00000000-0005-0000-0000-0000E2020000}"/>
    <cellStyle name="20% - Accent1 2 3 4 3 3 3" xfId="32422" xr:uid="{00000000-0005-0000-0000-0000E3020000}"/>
    <cellStyle name="20% - Accent1 2 3 4 3 4" xfId="14721" xr:uid="{00000000-0005-0000-0000-0000E4020000}"/>
    <cellStyle name="20% - Accent1 2 3 4 3 4 2" xfId="25764" xr:uid="{00000000-0005-0000-0000-0000E5020000}"/>
    <cellStyle name="20% - Accent1 2 3 4 3 4 3" xfId="34641" xr:uid="{00000000-0005-0000-0000-0000E6020000}"/>
    <cellStyle name="20% - Accent1 2 3 4 3 5" xfId="19107" xr:uid="{00000000-0005-0000-0000-0000E7020000}"/>
    <cellStyle name="20% - Accent1 2 3 4 3 6" xfId="27984" xr:uid="{00000000-0005-0000-0000-0000E8020000}"/>
    <cellStyle name="20% - Accent1 2 3 4 4" xfId="9080" xr:uid="{00000000-0005-0000-0000-0000E9020000}"/>
    <cellStyle name="20% - Accent1 2 3 4 4 2" xfId="20583" xr:uid="{00000000-0005-0000-0000-0000EA020000}"/>
    <cellStyle name="20% - Accent1 2 3 4 4 3" xfId="29460" xr:uid="{00000000-0005-0000-0000-0000EB020000}"/>
    <cellStyle name="20% - Accent1 2 3 4 5" xfId="11528" xr:uid="{00000000-0005-0000-0000-0000EC020000}"/>
    <cellStyle name="20% - Accent1 2 3 4 5 2" xfId="22802" xr:uid="{00000000-0005-0000-0000-0000ED020000}"/>
    <cellStyle name="20% - Accent1 2 3 4 5 3" xfId="31679" xr:uid="{00000000-0005-0000-0000-0000EE020000}"/>
    <cellStyle name="20% - Accent1 2 3 4 6" xfId="13749" xr:uid="{00000000-0005-0000-0000-0000EF020000}"/>
    <cellStyle name="20% - Accent1 2 3 4 6 2" xfId="25021" xr:uid="{00000000-0005-0000-0000-0000F0020000}"/>
    <cellStyle name="20% - Accent1 2 3 4 6 3" xfId="33898" xr:uid="{00000000-0005-0000-0000-0000F1020000}"/>
    <cellStyle name="20% - Accent1 2 3 4 7" xfId="18358" xr:uid="{00000000-0005-0000-0000-0000F2020000}"/>
    <cellStyle name="20% - Accent1 2 3 4 8" xfId="27239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0" xr:uid="{00000000-0005-0000-0000-0000F7020000}"/>
    <cellStyle name="20% - Accent1 2 3 5 2 2 3" xfId="30937" xr:uid="{00000000-0005-0000-0000-0000F8020000}"/>
    <cellStyle name="20% - Accent1 2 3 5 2 3" xfId="13005" xr:uid="{00000000-0005-0000-0000-0000F9020000}"/>
    <cellStyle name="20% - Accent1 2 3 5 2 3 2" xfId="24279" xr:uid="{00000000-0005-0000-0000-0000FA020000}"/>
    <cellStyle name="20% - Accent1 2 3 5 2 3 3" xfId="33156" xr:uid="{00000000-0005-0000-0000-0000FB020000}"/>
    <cellStyle name="20% - Accent1 2 3 5 2 4" xfId="15455" xr:uid="{00000000-0005-0000-0000-0000FC020000}"/>
    <cellStyle name="20% - Accent1 2 3 5 2 4 2" xfId="26498" xr:uid="{00000000-0005-0000-0000-0000FD020000}"/>
    <cellStyle name="20% - Accent1 2 3 5 2 4 3" xfId="35375" xr:uid="{00000000-0005-0000-0000-0000FE020000}"/>
    <cellStyle name="20% - Accent1 2 3 5 2 5" xfId="19841" xr:uid="{00000000-0005-0000-0000-0000FF020000}"/>
    <cellStyle name="20% - Accent1 2 3 5 2 6" xfId="28718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7" xr:uid="{00000000-0005-0000-0000-000003030000}"/>
    <cellStyle name="20% - Accent1 2 3 5 3 2 3" xfId="30204" xr:uid="{00000000-0005-0000-0000-000004030000}"/>
    <cellStyle name="20% - Accent1 2 3 5 3 3" xfId="12272" xr:uid="{00000000-0005-0000-0000-000005030000}"/>
    <cellStyle name="20% - Accent1 2 3 5 3 3 2" xfId="23546" xr:uid="{00000000-0005-0000-0000-000006030000}"/>
    <cellStyle name="20% - Accent1 2 3 5 3 3 3" xfId="32423" xr:uid="{00000000-0005-0000-0000-000007030000}"/>
    <cellStyle name="20% - Accent1 2 3 5 3 4" xfId="14722" xr:uid="{00000000-0005-0000-0000-000008030000}"/>
    <cellStyle name="20% - Accent1 2 3 5 3 4 2" xfId="25765" xr:uid="{00000000-0005-0000-0000-000009030000}"/>
    <cellStyle name="20% - Accent1 2 3 5 3 4 3" xfId="34642" xr:uid="{00000000-0005-0000-0000-00000A030000}"/>
    <cellStyle name="20% - Accent1 2 3 5 3 5" xfId="19108" xr:uid="{00000000-0005-0000-0000-00000B030000}"/>
    <cellStyle name="20% - Accent1 2 3 5 3 6" xfId="27985" xr:uid="{00000000-0005-0000-0000-00000C030000}"/>
    <cellStyle name="20% - Accent1 2 3 5 4" xfId="9081" xr:uid="{00000000-0005-0000-0000-00000D030000}"/>
    <cellStyle name="20% - Accent1 2 3 5 4 2" xfId="20584" xr:uid="{00000000-0005-0000-0000-00000E030000}"/>
    <cellStyle name="20% - Accent1 2 3 5 4 3" xfId="29461" xr:uid="{00000000-0005-0000-0000-00000F030000}"/>
    <cellStyle name="20% - Accent1 2 3 5 5" xfId="11529" xr:uid="{00000000-0005-0000-0000-000010030000}"/>
    <cellStyle name="20% - Accent1 2 3 5 5 2" xfId="22803" xr:uid="{00000000-0005-0000-0000-000011030000}"/>
    <cellStyle name="20% - Accent1 2 3 5 5 3" xfId="31680" xr:uid="{00000000-0005-0000-0000-000012030000}"/>
    <cellStyle name="20% - Accent1 2 3 5 6" xfId="13750" xr:uid="{00000000-0005-0000-0000-000013030000}"/>
    <cellStyle name="20% - Accent1 2 3 5 6 2" xfId="25022" xr:uid="{00000000-0005-0000-0000-000014030000}"/>
    <cellStyle name="20% - Accent1 2 3 5 6 3" xfId="33899" xr:uid="{00000000-0005-0000-0000-000015030000}"/>
    <cellStyle name="20% - Accent1 2 3 5 7" xfId="18359" xr:uid="{00000000-0005-0000-0000-000016030000}"/>
    <cellStyle name="20% - Accent1 2 3 5 8" xfId="27240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1" xr:uid="{00000000-0005-0000-0000-00001B030000}"/>
    <cellStyle name="20% - Accent1 2 3 6 2 2 3" xfId="30938" xr:uid="{00000000-0005-0000-0000-00001C030000}"/>
    <cellStyle name="20% - Accent1 2 3 6 2 3" xfId="13006" xr:uid="{00000000-0005-0000-0000-00001D030000}"/>
    <cellStyle name="20% - Accent1 2 3 6 2 3 2" xfId="24280" xr:uid="{00000000-0005-0000-0000-00001E030000}"/>
    <cellStyle name="20% - Accent1 2 3 6 2 3 3" xfId="33157" xr:uid="{00000000-0005-0000-0000-00001F030000}"/>
    <cellStyle name="20% - Accent1 2 3 6 2 4" xfId="15456" xr:uid="{00000000-0005-0000-0000-000020030000}"/>
    <cellStyle name="20% - Accent1 2 3 6 2 4 2" xfId="26499" xr:uid="{00000000-0005-0000-0000-000021030000}"/>
    <cellStyle name="20% - Accent1 2 3 6 2 4 3" xfId="35376" xr:uid="{00000000-0005-0000-0000-000022030000}"/>
    <cellStyle name="20% - Accent1 2 3 6 2 5" xfId="19842" xr:uid="{00000000-0005-0000-0000-000023030000}"/>
    <cellStyle name="20% - Accent1 2 3 6 2 6" xfId="28719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8" xr:uid="{00000000-0005-0000-0000-000027030000}"/>
    <cellStyle name="20% - Accent1 2 3 6 3 2 3" xfId="30205" xr:uid="{00000000-0005-0000-0000-000028030000}"/>
    <cellStyle name="20% - Accent1 2 3 6 3 3" xfId="12273" xr:uid="{00000000-0005-0000-0000-000029030000}"/>
    <cellStyle name="20% - Accent1 2 3 6 3 3 2" xfId="23547" xr:uid="{00000000-0005-0000-0000-00002A030000}"/>
    <cellStyle name="20% - Accent1 2 3 6 3 3 3" xfId="32424" xr:uid="{00000000-0005-0000-0000-00002B030000}"/>
    <cellStyle name="20% - Accent1 2 3 6 3 4" xfId="14723" xr:uid="{00000000-0005-0000-0000-00002C030000}"/>
    <cellStyle name="20% - Accent1 2 3 6 3 4 2" xfId="25766" xr:uid="{00000000-0005-0000-0000-00002D030000}"/>
    <cellStyle name="20% - Accent1 2 3 6 3 4 3" xfId="34643" xr:uid="{00000000-0005-0000-0000-00002E030000}"/>
    <cellStyle name="20% - Accent1 2 3 6 3 5" xfId="19109" xr:uid="{00000000-0005-0000-0000-00002F030000}"/>
    <cellStyle name="20% - Accent1 2 3 6 3 6" xfId="27986" xr:uid="{00000000-0005-0000-0000-000030030000}"/>
    <cellStyle name="20% - Accent1 2 3 6 4" xfId="9082" xr:uid="{00000000-0005-0000-0000-000031030000}"/>
    <cellStyle name="20% - Accent1 2 3 6 4 2" xfId="20585" xr:uid="{00000000-0005-0000-0000-000032030000}"/>
    <cellStyle name="20% - Accent1 2 3 6 4 3" xfId="29462" xr:uid="{00000000-0005-0000-0000-000033030000}"/>
    <cellStyle name="20% - Accent1 2 3 6 5" xfId="11530" xr:uid="{00000000-0005-0000-0000-000034030000}"/>
    <cellStyle name="20% - Accent1 2 3 6 5 2" xfId="22804" xr:uid="{00000000-0005-0000-0000-000035030000}"/>
    <cellStyle name="20% - Accent1 2 3 6 5 3" xfId="31681" xr:uid="{00000000-0005-0000-0000-000036030000}"/>
    <cellStyle name="20% - Accent1 2 3 6 6" xfId="13751" xr:uid="{00000000-0005-0000-0000-000037030000}"/>
    <cellStyle name="20% - Accent1 2 3 6 6 2" xfId="25023" xr:uid="{00000000-0005-0000-0000-000038030000}"/>
    <cellStyle name="20% - Accent1 2 3 6 6 3" xfId="33900" xr:uid="{00000000-0005-0000-0000-000039030000}"/>
    <cellStyle name="20% - Accent1 2 3 6 7" xfId="18360" xr:uid="{00000000-0005-0000-0000-00003A030000}"/>
    <cellStyle name="20% - Accent1 2 3 6 8" xfId="27241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2" xr:uid="{00000000-0005-0000-0000-00003F030000}"/>
    <cellStyle name="20% - Accent1 2 3 7 2 2 3" xfId="30939" xr:uid="{00000000-0005-0000-0000-000040030000}"/>
    <cellStyle name="20% - Accent1 2 3 7 2 3" xfId="13007" xr:uid="{00000000-0005-0000-0000-000041030000}"/>
    <cellStyle name="20% - Accent1 2 3 7 2 3 2" xfId="24281" xr:uid="{00000000-0005-0000-0000-000042030000}"/>
    <cellStyle name="20% - Accent1 2 3 7 2 3 3" xfId="33158" xr:uid="{00000000-0005-0000-0000-000043030000}"/>
    <cellStyle name="20% - Accent1 2 3 7 2 4" xfId="15457" xr:uid="{00000000-0005-0000-0000-000044030000}"/>
    <cellStyle name="20% - Accent1 2 3 7 2 4 2" xfId="26500" xr:uid="{00000000-0005-0000-0000-000045030000}"/>
    <cellStyle name="20% - Accent1 2 3 7 2 4 3" xfId="35377" xr:uid="{00000000-0005-0000-0000-000046030000}"/>
    <cellStyle name="20% - Accent1 2 3 7 2 5" xfId="19843" xr:uid="{00000000-0005-0000-0000-000047030000}"/>
    <cellStyle name="20% - Accent1 2 3 7 2 6" xfId="28720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29" xr:uid="{00000000-0005-0000-0000-00004B030000}"/>
    <cellStyle name="20% - Accent1 2 3 7 3 2 3" xfId="30206" xr:uid="{00000000-0005-0000-0000-00004C030000}"/>
    <cellStyle name="20% - Accent1 2 3 7 3 3" xfId="12274" xr:uid="{00000000-0005-0000-0000-00004D030000}"/>
    <cellStyle name="20% - Accent1 2 3 7 3 3 2" xfId="23548" xr:uid="{00000000-0005-0000-0000-00004E030000}"/>
    <cellStyle name="20% - Accent1 2 3 7 3 3 3" xfId="32425" xr:uid="{00000000-0005-0000-0000-00004F030000}"/>
    <cellStyle name="20% - Accent1 2 3 7 3 4" xfId="14724" xr:uid="{00000000-0005-0000-0000-000050030000}"/>
    <cellStyle name="20% - Accent1 2 3 7 3 4 2" xfId="25767" xr:uid="{00000000-0005-0000-0000-000051030000}"/>
    <cellStyle name="20% - Accent1 2 3 7 3 4 3" xfId="34644" xr:uid="{00000000-0005-0000-0000-000052030000}"/>
    <cellStyle name="20% - Accent1 2 3 7 3 5" xfId="19110" xr:uid="{00000000-0005-0000-0000-000053030000}"/>
    <cellStyle name="20% - Accent1 2 3 7 3 6" xfId="27987" xr:uid="{00000000-0005-0000-0000-000054030000}"/>
    <cellStyle name="20% - Accent1 2 3 7 4" xfId="9083" xr:uid="{00000000-0005-0000-0000-000055030000}"/>
    <cellStyle name="20% - Accent1 2 3 7 4 2" xfId="20586" xr:uid="{00000000-0005-0000-0000-000056030000}"/>
    <cellStyle name="20% - Accent1 2 3 7 4 3" xfId="29463" xr:uid="{00000000-0005-0000-0000-000057030000}"/>
    <cellStyle name="20% - Accent1 2 3 7 5" xfId="11531" xr:uid="{00000000-0005-0000-0000-000058030000}"/>
    <cellStyle name="20% - Accent1 2 3 7 5 2" xfId="22805" xr:uid="{00000000-0005-0000-0000-000059030000}"/>
    <cellStyle name="20% - Accent1 2 3 7 5 3" xfId="31682" xr:uid="{00000000-0005-0000-0000-00005A030000}"/>
    <cellStyle name="20% - Accent1 2 3 7 6" xfId="13752" xr:uid="{00000000-0005-0000-0000-00005B030000}"/>
    <cellStyle name="20% - Accent1 2 3 7 6 2" xfId="25024" xr:uid="{00000000-0005-0000-0000-00005C030000}"/>
    <cellStyle name="20% - Accent1 2 3 7 6 3" xfId="33901" xr:uid="{00000000-0005-0000-0000-00005D030000}"/>
    <cellStyle name="20% - Accent1 2 3 7 7" xfId="18361" xr:uid="{00000000-0005-0000-0000-00005E030000}"/>
    <cellStyle name="20% - Accent1 2 3 7 8" xfId="27242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3" xr:uid="{00000000-0005-0000-0000-000063030000}"/>
    <cellStyle name="20% - Accent1 2 3 8 2 2 3" xfId="30940" xr:uid="{00000000-0005-0000-0000-000064030000}"/>
    <cellStyle name="20% - Accent1 2 3 8 2 3" xfId="13008" xr:uid="{00000000-0005-0000-0000-000065030000}"/>
    <cellStyle name="20% - Accent1 2 3 8 2 3 2" xfId="24282" xr:uid="{00000000-0005-0000-0000-000066030000}"/>
    <cellStyle name="20% - Accent1 2 3 8 2 3 3" xfId="33159" xr:uid="{00000000-0005-0000-0000-000067030000}"/>
    <cellStyle name="20% - Accent1 2 3 8 2 4" xfId="15458" xr:uid="{00000000-0005-0000-0000-000068030000}"/>
    <cellStyle name="20% - Accent1 2 3 8 2 4 2" xfId="26501" xr:uid="{00000000-0005-0000-0000-000069030000}"/>
    <cellStyle name="20% - Accent1 2 3 8 2 4 3" xfId="35378" xr:uid="{00000000-0005-0000-0000-00006A030000}"/>
    <cellStyle name="20% - Accent1 2 3 8 2 5" xfId="19844" xr:uid="{00000000-0005-0000-0000-00006B030000}"/>
    <cellStyle name="20% - Accent1 2 3 8 2 6" xfId="28721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0" xr:uid="{00000000-0005-0000-0000-00006F030000}"/>
    <cellStyle name="20% - Accent1 2 3 8 3 2 3" xfId="30207" xr:uid="{00000000-0005-0000-0000-000070030000}"/>
    <cellStyle name="20% - Accent1 2 3 8 3 3" xfId="12275" xr:uid="{00000000-0005-0000-0000-000071030000}"/>
    <cellStyle name="20% - Accent1 2 3 8 3 3 2" xfId="23549" xr:uid="{00000000-0005-0000-0000-000072030000}"/>
    <cellStyle name="20% - Accent1 2 3 8 3 3 3" xfId="32426" xr:uid="{00000000-0005-0000-0000-000073030000}"/>
    <cellStyle name="20% - Accent1 2 3 8 3 4" xfId="14725" xr:uid="{00000000-0005-0000-0000-000074030000}"/>
    <cellStyle name="20% - Accent1 2 3 8 3 4 2" xfId="25768" xr:uid="{00000000-0005-0000-0000-000075030000}"/>
    <cellStyle name="20% - Accent1 2 3 8 3 4 3" xfId="34645" xr:uid="{00000000-0005-0000-0000-000076030000}"/>
    <cellStyle name="20% - Accent1 2 3 8 3 5" xfId="19111" xr:uid="{00000000-0005-0000-0000-000077030000}"/>
    <cellStyle name="20% - Accent1 2 3 8 3 6" xfId="27988" xr:uid="{00000000-0005-0000-0000-000078030000}"/>
    <cellStyle name="20% - Accent1 2 3 8 4" xfId="9084" xr:uid="{00000000-0005-0000-0000-000079030000}"/>
    <cellStyle name="20% - Accent1 2 3 8 4 2" xfId="20587" xr:uid="{00000000-0005-0000-0000-00007A030000}"/>
    <cellStyle name="20% - Accent1 2 3 8 4 3" xfId="29464" xr:uid="{00000000-0005-0000-0000-00007B030000}"/>
    <cellStyle name="20% - Accent1 2 3 8 5" xfId="11532" xr:uid="{00000000-0005-0000-0000-00007C030000}"/>
    <cellStyle name="20% - Accent1 2 3 8 5 2" xfId="22806" xr:uid="{00000000-0005-0000-0000-00007D030000}"/>
    <cellStyle name="20% - Accent1 2 3 8 5 3" xfId="31683" xr:uid="{00000000-0005-0000-0000-00007E030000}"/>
    <cellStyle name="20% - Accent1 2 3 8 6" xfId="13753" xr:uid="{00000000-0005-0000-0000-00007F030000}"/>
    <cellStyle name="20% - Accent1 2 3 8 6 2" xfId="25025" xr:uid="{00000000-0005-0000-0000-000080030000}"/>
    <cellStyle name="20% - Accent1 2 3 8 6 3" xfId="33902" xr:uid="{00000000-0005-0000-0000-000081030000}"/>
    <cellStyle name="20% - Accent1 2 3 8 7" xfId="18362" xr:uid="{00000000-0005-0000-0000-000082030000}"/>
    <cellStyle name="20% - Accent1 2 3 8 8" xfId="27243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4" xr:uid="{00000000-0005-0000-0000-000087030000}"/>
    <cellStyle name="20% - Accent1 2 3 9 2 2 3" xfId="30941" xr:uid="{00000000-0005-0000-0000-000088030000}"/>
    <cellStyle name="20% - Accent1 2 3 9 2 3" xfId="13009" xr:uid="{00000000-0005-0000-0000-000089030000}"/>
    <cellStyle name="20% - Accent1 2 3 9 2 3 2" xfId="24283" xr:uid="{00000000-0005-0000-0000-00008A030000}"/>
    <cellStyle name="20% - Accent1 2 3 9 2 3 3" xfId="33160" xr:uid="{00000000-0005-0000-0000-00008B030000}"/>
    <cellStyle name="20% - Accent1 2 3 9 2 4" xfId="15459" xr:uid="{00000000-0005-0000-0000-00008C030000}"/>
    <cellStyle name="20% - Accent1 2 3 9 2 4 2" xfId="26502" xr:uid="{00000000-0005-0000-0000-00008D030000}"/>
    <cellStyle name="20% - Accent1 2 3 9 2 4 3" xfId="35379" xr:uid="{00000000-0005-0000-0000-00008E030000}"/>
    <cellStyle name="20% - Accent1 2 3 9 2 5" xfId="19845" xr:uid="{00000000-0005-0000-0000-00008F030000}"/>
    <cellStyle name="20% - Accent1 2 3 9 2 6" xfId="28722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1" xr:uid="{00000000-0005-0000-0000-000093030000}"/>
    <cellStyle name="20% - Accent1 2 3 9 3 2 3" xfId="30208" xr:uid="{00000000-0005-0000-0000-000094030000}"/>
    <cellStyle name="20% - Accent1 2 3 9 3 3" xfId="12276" xr:uid="{00000000-0005-0000-0000-000095030000}"/>
    <cellStyle name="20% - Accent1 2 3 9 3 3 2" xfId="23550" xr:uid="{00000000-0005-0000-0000-000096030000}"/>
    <cellStyle name="20% - Accent1 2 3 9 3 3 3" xfId="32427" xr:uid="{00000000-0005-0000-0000-000097030000}"/>
    <cellStyle name="20% - Accent1 2 3 9 3 4" xfId="14726" xr:uid="{00000000-0005-0000-0000-000098030000}"/>
    <cellStyle name="20% - Accent1 2 3 9 3 4 2" xfId="25769" xr:uid="{00000000-0005-0000-0000-000099030000}"/>
    <cellStyle name="20% - Accent1 2 3 9 3 4 3" xfId="34646" xr:uid="{00000000-0005-0000-0000-00009A030000}"/>
    <cellStyle name="20% - Accent1 2 3 9 3 5" xfId="19112" xr:uid="{00000000-0005-0000-0000-00009B030000}"/>
    <cellStyle name="20% - Accent1 2 3 9 3 6" xfId="27989" xr:uid="{00000000-0005-0000-0000-00009C030000}"/>
    <cellStyle name="20% - Accent1 2 3 9 4" xfId="9085" xr:uid="{00000000-0005-0000-0000-00009D030000}"/>
    <cellStyle name="20% - Accent1 2 3 9 4 2" xfId="20588" xr:uid="{00000000-0005-0000-0000-00009E030000}"/>
    <cellStyle name="20% - Accent1 2 3 9 4 3" xfId="29465" xr:uid="{00000000-0005-0000-0000-00009F030000}"/>
    <cellStyle name="20% - Accent1 2 3 9 5" xfId="11533" xr:uid="{00000000-0005-0000-0000-0000A0030000}"/>
    <cellStyle name="20% - Accent1 2 3 9 5 2" xfId="22807" xr:uid="{00000000-0005-0000-0000-0000A1030000}"/>
    <cellStyle name="20% - Accent1 2 3 9 5 3" xfId="31684" xr:uid="{00000000-0005-0000-0000-0000A2030000}"/>
    <cellStyle name="20% - Accent1 2 3 9 6" xfId="13754" xr:uid="{00000000-0005-0000-0000-0000A3030000}"/>
    <cellStyle name="20% - Accent1 2 3 9 6 2" xfId="25026" xr:uid="{00000000-0005-0000-0000-0000A4030000}"/>
    <cellStyle name="20% - Accent1 2 3 9 6 3" xfId="33903" xr:uid="{00000000-0005-0000-0000-0000A5030000}"/>
    <cellStyle name="20% - Accent1 2 3 9 7" xfId="18363" xr:uid="{00000000-0005-0000-0000-0000A6030000}"/>
    <cellStyle name="20% - Accent1 2 3 9 8" xfId="27244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5" xr:uid="{00000000-0005-0000-0000-0000AB030000}"/>
    <cellStyle name="20% - Accent1 2 4 10 2 3" xfId="30942" xr:uid="{00000000-0005-0000-0000-0000AC030000}"/>
    <cellStyle name="20% - Accent1 2 4 10 3" xfId="13010" xr:uid="{00000000-0005-0000-0000-0000AD030000}"/>
    <cellStyle name="20% - Accent1 2 4 10 3 2" xfId="24284" xr:uid="{00000000-0005-0000-0000-0000AE030000}"/>
    <cellStyle name="20% - Accent1 2 4 10 3 3" xfId="33161" xr:uid="{00000000-0005-0000-0000-0000AF030000}"/>
    <cellStyle name="20% - Accent1 2 4 10 4" xfId="15460" xr:uid="{00000000-0005-0000-0000-0000B0030000}"/>
    <cellStyle name="20% - Accent1 2 4 10 4 2" xfId="26503" xr:uid="{00000000-0005-0000-0000-0000B1030000}"/>
    <cellStyle name="20% - Accent1 2 4 10 4 3" xfId="35380" xr:uid="{00000000-0005-0000-0000-0000B2030000}"/>
    <cellStyle name="20% - Accent1 2 4 10 5" xfId="19846" xr:uid="{00000000-0005-0000-0000-0000B3030000}"/>
    <cellStyle name="20% - Accent1 2 4 10 6" xfId="28723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2" xr:uid="{00000000-0005-0000-0000-0000B7030000}"/>
    <cellStyle name="20% - Accent1 2 4 11 2 3" xfId="30209" xr:uid="{00000000-0005-0000-0000-0000B8030000}"/>
    <cellStyle name="20% - Accent1 2 4 11 3" xfId="12277" xr:uid="{00000000-0005-0000-0000-0000B9030000}"/>
    <cellStyle name="20% - Accent1 2 4 11 3 2" xfId="23551" xr:uid="{00000000-0005-0000-0000-0000BA030000}"/>
    <cellStyle name="20% - Accent1 2 4 11 3 3" xfId="32428" xr:uid="{00000000-0005-0000-0000-0000BB030000}"/>
    <cellStyle name="20% - Accent1 2 4 11 4" xfId="14727" xr:uid="{00000000-0005-0000-0000-0000BC030000}"/>
    <cellStyle name="20% - Accent1 2 4 11 4 2" xfId="25770" xr:uid="{00000000-0005-0000-0000-0000BD030000}"/>
    <cellStyle name="20% - Accent1 2 4 11 4 3" xfId="34647" xr:uid="{00000000-0005-0000-0000-0000BE030000}"/>
    <cellStyle name="20% - Accent1 2 4 11 5" xfId="19113" xr:uid="{00000000-0005-0000-0000-0000BF030000}"/>
    <cellStyle name="20% - Accent1 2 4 11 6" xfId="27990" xr:uid="{00000000-0005-0000-0000-0000C0030000}"/>
    <cellStyle name="20% - Accent1 2 4 12" xfId="9086" xr:uid="{00000000-0005-0000-0000-0000C1030000}"/>
    <cellStyle name="20% - Accent1 2 4 12 2" xfId="20589" xr:uid="{00000000-0005-0000-0000-0000C2030000}"/>
    <cellStyle name="20% - Accent1 2 4 12 3" xfId="29466" xr:uid="{00000000-0005-0000-0000-0000C3030000}"/>
    <cellStyle name="20% - Accent1 2 4 13" xfId="11534" xr:uid="{00000000-0005-0000-0000-0000C4030000}"/>
    <cellStyle name="20% - Accent1 2 4 13 2" xfId="22808" xr:uid="{00000000-0005-0000-0000-0000C5030000}"/>
    <cellStyle name="20% - Accent1 2 4 13 3" xfId="31685" xr:uid="{00000000-0005-0000-0000-0000C6030000}"/>
    <cellStyle name="20% - Accent1 2 4 14" xfId="13755" xr:uid="{00000000-0005-0000-0000-0000C7030000}"/>
    <cellStyle name="20% - Accent1 2 4 14 2" xfId="25027" xr:uid="{00000000-0005-0000-0000-0000C8030000}"/>
    <cellStyle name="20% - Accent1 2 4 14 3" xfId="33904" xr:uid="{00000000-0005-0000-0000-0000C9030000}"/>
    <cellStyle name="20% - Accent1 2 4 15" xfId="18364" xr:uid="{00000000-0005-0000-0000-0000CA030000}"/>
    <cellStyle name="20% - Accent1 2 4 16" xfId="27245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6" xr:uid="{00000000-0005-0000-0000-0000CF030000}"/>
    <cellStyle name="20% - Accent1 2 4 2 2 2 3" xfId="30943" xr:uid="{00000000-0005-0000-0000-0000D0030000}"/>
    <cellStyle name="20% - Accent1 2 4 2 2 3" xfId="13011" xr:uid="{00000000-0005-0000-0000-0000D1030000}"/>
    <cellStyle name="20% - Accent1 2 4 2 2 3 2" xfId="24285" xr:uid="{00000000-0005-0000-0000-0000D2030000}"/>
    <cellStyle name="20% - Accent1 2 4 2 2 3 3" xfId="33162" xr:uid="{00000000-0005-0000-0000-0000D3030000}"/>
    <cellStyle name="20% - Accent1 2 4 2 2 4" xfId="15461" xr:uid="{00000000-0005-0000-0000-0000D4030000}"/>
    <cellStyle name="20% - Accent1 2 4 2 2 4 2" xfId="26504" xr:uid="{00000000-0005-0000-0000-0000D5030000}"/>
    <cellStyle name="20% - Accent1 2 4 2 2 4 3" xfId="35381" xr:uid="{00000000-0005-0000-0000-0000D6030000}"/>
    <cellStyle name="20% - Accent1 2 4 2 2 5" xfId="19847" xr:uid="{00000000-0005-0000-0000-0000D7030000}"/>
    <cellStyle name="20% - Accent1 2 4 2 2 6" xfId="28724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3" xr:uid="{00000000-0005-0000-0000-0000DB030000}"/>
    <cellStyle name="20% - Accent1 2 4 2 3 2 3" xfId="30210" xr:uid="{00000000-0005-0000-0000-0000DC030000}"/>
    <cellStyle name="20% - Accent1 2 4 2 3 3" xfId="12278" xr:uid="{00000000-0005-0000-0000-0000DD030000}"/>
    <cellStyle name="20% - Accent1 2 4 2 3 3 2" xfId="23552" xr:uid="{00000000-0005-0000-0000-0000DE030000}"/>
    <cellStyle name="20% - Accent1 2 4 2 3 3 3" xfId="32429" xr:uid="{00000000-0005-0000-0000-0000DF030000}"/>
    <cellStyle name="20% - Accent1 2 4 2 3 4" xfId="14728" xr:uid="{00000000-0005-0000-0000-0000E0030000}"/>
    <cellStyle name="20% - Accent1 2 4 2 3 4 2" xfId="25771" xr:uid="{00000000-0005-0000-0000-0000E1030000}"/>
    <cellStyle name="20% - Accent1 2 4 2 3 4 3" xfId="34648" xr:uid="{00000000-0005-0000-0000-0000E2030000}"/>
    <cellStyle name="20% - Accent1 2 4 2 3 5" xfId="19114" xr:uid="{00000000-0005-0000-0000-0000E3030000}"/>
    <cellStyle name="20% - Accent1 2 4 2 3 6" xfId="27991" xr:uid="{00000000-0005-0000-0000-0000E4030000}"/>
    <cellStyle name="20% - Accent1 2 4 2 4" xfId="9087" xr:uid="{00000000-0005-0000-0000-0000E5030000}"/>
    <cellStyle name="20% - Accent1 2 4 2 4 2" xfId="20590" xr:uid="{00000000-0005-0000-0000-0000E6030000}"/>
    <cellStyle name="20% - Accent1 2 4 2 4 3" xfId="29467" xr:uid="{00000000-0005-0000-0000-0000E7030000}"/>
    <cellStyle name="20% - Accent1 2 4 2 5" xfId="11535" xr:uid="{00000000-0005-0000-0000-0000E8030000}"/>
    <cellStyle name="20% - Accent1 2 4 2 5 2" xfId="22809" xr:uid="{00000000-0005-0000-0000-0000E9030000}"/>
    <cellStyle name="20% - Accent1 2 4 2 5 3" xfId="31686" xr:uid="{00000000-0005-0000-0000-0000EA030000}"/>
    <cellStyle name="20% - Accent1 2 4 2 6" xfId="13756" xr:uid="{00000000-0005-0000-0000-0000EB030000}"/>
    <cellStyle name="20% - Accent1 2 4 2 6 2" xfId="25028" xr:uid="{00000000-0005-0000-0000-0000EC030000}"/>
    <cellStyle name="20% - Accent1 2 4 2 6 3" xfId="33905" xr:uid="{00000000-0005-0000-0000-0000ED030000}"/>
    <cellStyle name="20% - Accent1 2 4 2 7" xfId="18365" xr:uid="{00000000-0005-0000-0000-0000EE030000}"/>
    <cellStyle name="20% - Accent1 2 4 2 8" xfId="27246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7" xr:uid="{00000000-0005-0000-0000-0000F3030000}"/>
    <cellStyle name="20% - Accent1 2 4 3 2 2 3" xfId="30944" xr:uid="{00000000-0005-0000-0000-0000F4030000}"/>
    <cellStyle name="20% - Accent1 2 4 3 2 3" xfId="13012" xr:uid="{00000000-0005-0000-0000-0000F5030000}"/>
    <cellStyle name="20% - Accent1 2 4 3 2 3 2" xfId="24286" xr:uid="{00000000-0005-0000-0000-0000F6030000}"/>
    <cellStyle name="20% - Accent1 2 4 3 2 3 3" xfId="33163" xr:uid="{00000000-0005-0000-0000-0000F7030000}"/>
    <cellStyle name="20% - Accent1 2 4 3 2 4" xfId="15462" xr:uid="{00000000-0005-0000-0000-0000F8030000}"/>
    <cellStyle name="20% - Accent1 2 4 3 2 4 2" xfId="26505" xr:uid="{00000000-0005-0000-0000-0000F9030000}"/>
    <cellStyle name="20% - Accent1 2 4 3 2 4 3" xfId="35382" xr:uid="{00000000-0005-0000-0000-0000FA030000}"/>
    <cellStyle name="20% - Accent1 2 4 3 2 5" xfId="19848" xr:uid="{00000000-0005-0000-0000-0000FB030000}"/>
    <cellStyle name="20% - Accent1 2 4 3 2 6" xfId="28725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4" xr:uid="{00000000-0005-0000-0000-0000FF030000}"/>
    <cellStyle name="20% - Accent1 2 4 3 3 2 3" xfId="30211" xr:uid="{00000000-0005-0000-0000-000000040000}"/>
    <cellStyle name="20% - Accent1 2 4 3 3 3" xfId="12279" xr:uid="{00000000-0005-0000-0000-000001040000}"/>
    <cellStyle name="20% - Accent1 2 4 3 3 3 2" xfId="23553" xr:uid="{00000000-0005-0000-0000-000002040000}"/>
    <cellStyle name="20% - Accent1 2 4 3 3 3 3" xfId="32430" xr:uid="{00000000-0005-0000-0000-000003040000}"/>
    <cellStyle name="20% - Accent1 2 4 3 3 4" xfId="14729" xr:uid="{00000000-0005-0000-0000-000004040000}"/>
    <cellStyle name="20% - Accent1 2 4 3 3 4 2" xfId="25772" xr:uid="{00000000-0005-0000-0000-000005040000}"/>
    <cellStyle name="20% - Accent1 2 4 3 3 4 3" xfId="34649" xr:uid="{00000000-0005-0000-0000-000006040000}"/>
    <cellStyle name="20% - Accent1 2 4 3 3 5" xfId="19115" xr:uid="{00000000-0005-0000-0000-000007040000}"/>
    <cellStyle name="20% - Accent1 2 4 3 3 6" xfId="27992" xr:uid="{00000000-0005-0000-0000-000008040000}"/>
    <cellStyle name="20% - Accent1 2 4 3 4" xfId="9088" xr:uid="{00000000-0005-0000-0000-000009040000}"/>
    <cellStyle name="20% - Accent1 2 4 3 4 2" xfId="20591" xr:uid="{00000000-0005-0000-0000-00000A040000}"/>
    <cellStyle name="20% - Accent1 2 4 3 4 3" xfId="29468" xr:uid="{00000000-0005-0000-0000-00000B040000}"/>
    <cellStyle name="20% - Accent1 2 4 3 5" xfId="11536" xr:uid="{00000000-0005-0000-0000-00000C040000}"/>
    <cellStyle name="20% - Accent1 2 4 3 5 2" xfId="22810" xr:uid="{00000000-0005-0000-0000-00000D040000}"/>
    <cellStyle name="20% - Accent1 2 4 3 5 3" xfId="31687" xr:uid="{00000000-0005-0000-0000-00000E040000}"/>
    <cellStyle name="20% - Accent1 2 4 3 6" xfId="13757" xr:uid="{00000000-0005-0000-0000-00000F040000}"/>
    <cellStyle name="20% - Accent1 2 4 3 6 2" xfId="25029" xr:uid="{00000000-0005-0000-0000-000010040000}"/>
    <cellStyle name="20% - Accent1 2 4 3 6 3" xfId="33906" xr:uid="{00000000-0005-0000-0000-000011040000}"/>
    <cellStyle name="20% - Accent1 2 4 3 7" xfId="18366" xr:uid="{00000000-0005-0000-0000-000012040000}"/>
    <cellStyle name="20% - Accent1 2 4 3 8" xfId="27247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8" xr:uid="{00000000-0005-0000-0000-000017040000}"/>
    <cellStyle name="20% - Accent1 2 4 4 2 2 3" xfId="30945" xr:uid="{00000000-0005-0000-0000-000018040000}"/>
    <cellStyle name="20% - Accent1 2 4 4 2 3" xfId="13013" xr:uid="{00000000-0005-0000-0000-000019040000}"/>
    <cellStyle name="20% - Accent1 2 4 4 2 3 2" xfId="24287" xr:uid="{00000000-0005-0000-0000-00001A040000}"/>
    <cellStyle name="20% - Accent1 2 4 4 2 3 3" xfId="33164" xr:uid="{00000000-0005-0000-0000-00001B040000}"/>
    <cellStyle name="20% - Accent1 2 4 4 2 4" xfId="15463" xr:uid="{00000000-0005-0000-0000-00001C040000}"/>
    <cellStyle name="20% - Accent1 2 4 4 2 4 2" xfId="26506" xr:uid="{00000000-0005-0000-0000-00001D040000}"/>
    <cellStyle name="20% - Accent1 2 4 4 2 4 3" xfId="35383" xr:uid="{00000000-0005-0000-0000-00001E040000}"/>
    <cellStyle name="20% - Accent1 2 4 4 2 5" xfId="19849" xr:uid="{00000000-0005-0000-0000-00001F040000}"/>
    <cellStyle name="20% - Accent1 2 4 4 2 6" xfId="28726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5" xr:uid="{00000000-0005-0000-0000-000023040000}"/>
    <cellStyle name="20% - Accent1 2 4 4 3 2 3" xfId="30212" xr:uid="{00000000-0005-0000-0000-000024040000}"/>
    <cellStyle name="20% - Accent1 2 4 4 3 3" xfId="12280" xr:uid="{00000000-0005-0000-0000-000025040000}"/>
    <cellStyle name="20% - Accent1 2 4 4 3 3 2" xfId="23554" xr:uid="{00000000-0005-0000-0000-000026040000}"/>
    <cellStyle name="20% - Accent1 2 4 4 3 3 3" xfId="32431" xr:uid="{00000000-0005-0000-0000-000027040000}"/>
    <cellStyle name="20% - Accent1 2 4 4 3 4" xfId="14730" xr:uid="{00000000-0005-0000-0000-000028040000}"/>
    <cellStyle name="20% - Accent1 2 4 4 3 4 2" xfId="25773" xr:uid="{00000000-0005-0000-0000-000029040000}"/>
    <cellStyle name="20% - Accent1 2 4 4 3 4 3" xfId="34650" xr:uid="{00000000-0005-0000-0000-00002A040000}"/>
    <cellStyle name="20% - Accent1 2 4 4 3 5" xfId="19116" xr:uid="{00000000-0005-0000-0000-00002B040000}"/>
    <cellStyle name="20% - Accent1 2 4 4 3 6" xfId="27993" xr:uid="{00000000-0005-0000-0000-00002C040000}"/>
    <cellStyle name="20% - Accent1 2 4 4 4" xfId="9089" xr:uid="{00000000-0005-0000-0000-00002D040000}"/>
    <cellStyle name="20% - Accent1 2 4 4 4 2" xfId="20592" xr:uid="{00000000-0005-0000-0000-00002E040000}"/>
    <cellStyle name="20% - Accent1 2 4 4 4 3" xfId="29469" xr:uid="{00000000-0005-0000-0000-00002F040000}"/>
    <cellStyle name="20% - Accent1 2 4 4 5" xfId="11537" xr:uid="{00000000-0005-0000-0000-000030040000}"/>
    <cellStyle name="20% - Accent1 2 4 4 5 2" xfId="22811" xr:uid="{00000000-0005-0000-0000-000031040000}"/>
    <cellStyle name="20% - Accent1 2 4 4 5 3" xfId="31688" xr:uid="{00000000-0005-0000-0000-000032040000}"/>
    <cellStyle name="20% - Accent1 2 4 4 6" xfId="13758" xr:uid="{00000000-0005-0000-0000-000033040000}"/>
    <cellStyle name="20% - Accent1 2 4 4 6 2" xfId="25030" xr:uid="{00000000-0005-0000-0000-000034040000}"/>
    <cellStyle name="20% - Accent1 2 4 4 6 3" xfId="33907" xr:uid="{00000000-0005-0000-0000-000035040000}"/>
    <cellStyle name="20% - Accent1 2 4 4 7" xfId="18367" xr:uid="{00000000-0005-0000-0000-000036040000}"/>
    <cellStyle name="20% - Accent1 2 4 4 8" xfId="27248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69" xr:uid="{00000000-0005-0000-0000-00003B040000}"/>
    <cellStyle name="20% - Accent1 2 4 5 2 2 3" xfId="30946" xr:uid="{00000000-0005-0000-0000-00003C040000}"/>
    <cellStyle name="20% - Accent1 2 4 5 2 3" xfId="13014" xr:uid="{00000000-0005-0000-0000-00003D040000}"/>
    <cellStyle name="20% - Accent1 2 4 5 2 3 2" xfId="24288" xr:uid="{00000000-0005-0000-0000-00003E040000}"/>
    <cellStyle name="20% - Accent1 2 4 5 2 3 3" xfId="33165" xr:uid="{00000000-0005-0000-0000-00003F040000}"/>
    <cellStyle name="20% - Accent1 2 4 5 2 4" xfId="15464" xr:uid="{00000000-0005-0000-0000-000040040000}"/>
    <cellStyle name="20% - Accent1 2 4 5 2 4 2" xfId="26507" xr:uid="{00000000-0005-0000-0000-000041040000}"/>
    <cellStyle name="20% - Accent1 2 4 5 2 4 3" xfId="35384" xr:uid="{00000000-0005-0000-0000-000042040000}"/>
    <cellStyle name="20% - Accent1 2 4 5 2 5" xfId="19850" xr:uid="{00000000-0005-0000-0000-000043040000}"/>
    <cellStyle name="20% - Accent1 2 4 5 2 6" xfId="28727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6" xr:uid="{00000000-0005-0000-0000-000047040000}"/>
    <cellStyle name="20% - Accent1 2 4 5 3 2 3" xfId="30213" xr:uid="{00000000-0005-0000-0000-000048040000}"/>
    <cellStyle name="20% - Accent1 2 4 5 3 3" xfId="12281" xr:uid="{00000000-0005-0000-0000-000049040000}"/>
    <cellStyle name="20% - Accent1 2 4 5 3 3 2" xfId="23555" xr:uid="{00000000-0005-0000-0000-00004A040000}"/>
    <cellStyle name="20% - Accent1 2 4 5 3 3 3" xfId="32432" xr:uid="{00000000-0005-0000-0000-00004B040000}"/>
    <cellStyle name="20% - Accent1 2 4 5 3 4" xfId="14731" xr:uid="{00000000-0005-0000-0000-00004C040000}"/>
    <cellStyle name="20% - Accent1 2 4 5 3 4 2" xfId="25774" xr:uid="{00000000-0005-0000-0000-00004D040000}"/>
    <cellStyle name="20% - Accent1 2 4 5 3 4 3" xfId="34651" xr:uid="{00000000-0005-0000-0000-00004E040000}"/>
    <cellStyle name="20% - Accent1 2 4 5 3 5" xfId="19117" xr:uid="{00000000-0005-0000-0000-00004F040000}"/>
    <cellStyle name="20% - Accent1 2 4 5 3 6" xfId="27994" xr:uid="{00000000-0005-0000-0000-000050040000}"/>
    <cellStyle name="20% - Accent1 2 4 5 4" xfId="9090" xr:uid="{00000000-0005-0000-0000-000051040000}"/>
    <cellStyle name="20% - Accent1 2 4 5 4 2" xfId="20593" xr:uid="{00000000-0005-0000-0000-000052040000}"/>
    <cellStyle name="20% - Accent1 2 4 5 4 3" xfId="29470" xr:uid="{00000000-0005-0000-0000-000053040000}"/>
    <cellStyle name="20% - Accent1 2 4 5 5" xfId="11538" xr:uid="{00000000-0005-0000-0000-000054040000}"/>
    <cellStyle name="20% - Accent1 2 4 5 5 2" xfId="22812" xr:uid="{00000000-0005-0000-0000-000055040000}"/>
    <cellStyle name="20% - Accent1 2 4 5 5 3" xfId="31689" xr:uid="{00000000-0005-0000-0000-000056040000}"/>
    <cellStyle name="20% - Accent1 2 4 5 6" xfId="13759" xr:uid="{00000000-0005-0000-0000-000057040000}"/>
    <cellStyle name="20% - Accent1 2 4 5 6 2" xfId="25031" xr:uid="{00000000-0005-0000-0000-000058040000}"/>
    <cellStyle name="20% - Accent1 2 4 5 6 3" xfId="33908" xr:uid="{00000000-0005-0000-0000-000059040000}"/>
    <cellStyle name="20% - Accent1 2 4 5 7" xfId="18368" xr:uid="{00000000-0005-0000-0000-00005A040000}"/>
    <cellStyle name="20% - Accent1 2 4 5 8" xfId="27249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0" xr:uid="{00000000-0005-0000-0000-00005F040000}"/>
    <cellStyle name="20% - Accent1 2 4 6 2 2 3" xfId="30947" xr:uid="{00000000-0005-0000-0000-000060040000}"/>
    <cellStyle name="20% - Accent1 2 4 6 2 3" xfId="13015" xr:uid="{00000000-0005-0000-0000-000061040000}"/>
    <cellStyle name="20% - Accent1 2 4 6 2 3 2" xfId="24289" xr:uid="{00000000-0005-0000-0000-000062040000}"/>
    <cellStyle name="20% - Accent1 2 4 6 2 3 3" xfId="33166" xr:uid="{00000000-0005-0000-0000-000063040000}"/>
    <cellStyle name="20% - Accent1 2 4 6 2 4" xfId="15465" xr:uid="{00000000-0005-0000-0000-000064040000}"/>
    <cellStyle name="20% - Accent1 2 4 6 2 4 2" xfId="26508" xr:uid="{00000000-0005-0000-0000-000065040000}"/>
    <cellStyle name="20% - Accent1 2 4 6 2 4 3" xfId="35385" xr:uid="{00000000-0005-0000-0000-000066040000}"/>
    <cellStyle name="20% - Accent1 2 4 6 2 5" xfId="19851" xr:uid="{00000000-0005-0000-0000-000067040000}"/>
    <cellStyle name="20% - Accent1 2 4 6 2 6" xfId="28728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7" xr:uid="{00000000-0005-0000-0000-00006B040000}"/>
    <cellStyle name="20% - Accent1 2 4 6 3 2 3" xfId="30214" xr:uid="{00000000-0005-0000-0000-00006C040000}"/>
    <cellStyle name="20% - Accent1 2 4 6 3 3" xfId="12282" xr:uid="{00000000-0005-0000-0000-00006D040000}"/>
    <cellStyle name="20% - Accent1 2 4 6 3 3 2" xfId="23556" xr:uid="{00000000-0005-0000-0000-00006E040000}"/>
    <cellStyle name="20% - Accent1 2 4 6 3 3 3" xfId="32433" xr:uid="{00000000-0005-0000-0000-00006F040000}"/>
    <cellStyle name="20% - Accent1 2 4 6 3 4" xfId="14732" xr:uid="{00000000-0005-0000-0000-000070040000}"/>
    <cellStyle name="20% - Accent1 2 4 6 3 4 2" xfId="25775" xr:uid="{00000000-0005-0000-0000-000071040000}"/>
    <cellStyle name="20% - Accent1 2 4 6 3 4 3" xfId="34652" xr:uid="{00000000-0005-0000-0000-000072040000}"/>
    <cellStyle name="20% - Accent1 2 4 6 3 5" xfId="19118" xr:uid="{00000000-0005-0000-0000-000073040000}"/>
    <cellStyle name="20% - Accent1 2 4 6 3 6" xfId="27995" xr:uid="{00000000-0005-0000-0000-000074040000}"/>
    <cellStyle name="20% - Accent1 2 4 6 4" xfId="9091" xr:uid="{00000000-0005-0000-0000-000075040000}"/>
    <cellStyle name="20% - Accent1 2 4 6 4 2" xfId="20594" xr:uid="{00000000-0005-0000-0000-000076040000}"/>
    <cellStyle name="20% - Accent1 2 4 6 4 3" xfId="29471" xr:uid="{00000000-0005-0000-0000-000077040000}"/>
    <cellStyle name="20% - Accent1 2 4 6 5" xfId="11539" xr:uid="{00000000-0005-0000-0000-000078040000}"/>
    <cellStyle name="20% - Accent1 2 4 6 5 2" xfId="22813" xr:uid="{00000000-0005-0000-0000-000079040000}"/>
    <cellStyle name="20% - Accent1 2 4 6 5 3" xfId="31690" xr:uid="{00000000-0005-0000-0000-00007A040000}"/>
    <cellStyle name="20% - Accent1 2 4 6 6" xfId="13760" xr:uid="{00000000-0005-0000-0000-00007B040000}"/>
    <cellStyle name="20% - Accent1 2 4 6 6 2" xfId="25032" xr:uid="{00000000-0005-0000-0000-00007C040000}"/>
    <cellStyle name="20% - Accent1 2 4 6 6 3" xfId="33909" xr:uid="{00000000-0005-0000-0000-00007D040000}"/>
    <cellStyle name="20% - Accent1 2 4 6 7" xfId="18369" xr:uid="{00000000-0005-0000-0000-00007E040000}"/>
    <cellStyle name="20% - Accent1 2 4 6 8" xfId="27250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1" xr:uid="{00000000-0005-0000-0000-000083040000}"/>
    <cellStyle name="20% - Accent1 2 4 7 2 2 3" xfId="30948" xr:uid="{00000000-0005-0000-0000-000084040000}"/>
    <cellStyle name="20% - Accent1 2 4 7 2 3" xfId="13016" xr:uid="{00000000-0005-0000-0000-000085040000}"/>
    <cellStyle name="20% - Accent1 2 4 7 2 3 2" xfId="24290" xr:uid="{00000000-0005-0000-0000-000086040000}"/>
    <cellStyle name="20% - Accent1 2 4 7 2 3 3" xfId="33167" xr:uid="{00000000-0005-0000-0000-000087040000}"/>
    <cellStyle name="20% - Accent1 2 4 7 2 4" xfId="15466" xr:uid="{00000000-0005-0000-0000-000088040000}"/>
    <cellStyle name="20% - Accent1 2 4 7 2 4 2" xfId="26509" xr:uid="{00000000-0005-0000-0000-000089040000}"/>
    <cellStyle name="20% - Accent1 2 4 7 2 4 3" xfId="35386" xr:uid="{00000000-0005-0000-0000-00008A040000}"/>
    <cellStyle name="20% - Accent1 2 4 7 2 5" xfId="19852" xr:uid="{00000000-0005-0000-0000-00008B040000}"/>
    <cellStyle name="20% - Accent1 2 4 7 2 6" xfId="28729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8" xr:uid="{00000000-0005-0000-0000-00008F040000}"/>
    <cellStyle name="20% - Accent1 2 4 7 3 2 3" xfId="30215" xr:uid="{00000000-0005-0000-0000-000090040000}"/>
    <cellStyle name="20% - Accent1 2 4 7 3 3" xfId="12283" xr:uid="{00000000-0005-0000-0000-000091040000}"/>
    <cellStyle name="20% - Accent1 2 4 7 3 3 2" xfId="23557" xr:uid="{00000000-0005-0000-0000-000092040000}"/>
    <cellStyle name="20% - Accent1 2 4 7 3 3 3" xfId="32434" xr:uid="{00000000-0005-0000-0000-000093040000}"/>
    <cellStyle name="20% - Accent1 2 4 7 3 4" xfId="14733" xr:uid="{00000000-0005-0000-0000-000094040000}"/>
    <cellStyle name="20% - Accent1 2 4 7 3 4 2" xfId="25776" xr:uid="{00000000-0005-0000-0000-000095040000}"/>
    <cellStyle name="20% - Accent1 2 4 7 3 4 3" xfId="34653" xr:uid="{00000000-0005-0000-0000-000096040000}"/>
    <cellStyle name="20% - Accent1 2 4 7 3 5" xfId="19119" xr:uid="{00000000-0005-0000-0000-000097040000}"/>
    <cellStyle name="20% - Accent1 2 4 7 3 6" xfId="27996" xr:uid="{00000000-0005-0000-0000-000098040000}"/>
    <cellStyle name="20% - Accent1 2 4 7 4" xfId="9092" xr:uid="{00000000-0005-0000-0000-000099040000}"/>
    <cellStyle name="20% - Accent1 2 4 7 4 2" xfId="20595" xr:uid="{00000000-0005-0000-0000-00009A040000}"/>
    <cellStyle name="20% - Accent1 2 4 7 4 3" xfId="29472" xr:uid="{00000000-0005-0000-0000-00009B040000}"/>
    <cellStyle name="20% - Accent1 2 4 7 5" xfId="11540" xr:uid="{00000000-0005-0000-0000-00009C040000}"/>
    <cellStyle name="20% - Accent1 2 4 7 5 2" xfId="22814" xr:uid="{00000000-0005-0000-0000-00009D040000}"/>
    <cellStyle name="20% - Accent1 2 4 7 5 3" xfId="31691" xr:uid="{00000000-0005-0000-0000-00009E040000}"/>
    <cellStyle name="20% - Accent1 2 4 7 6" xfId="13761" xr:uid="{00000000-0005-0000-0000-00009F040000}"/>
    <cellStyle name="20% - Accent1 2 4 7 6 2" xfId="25033" xr:uid="{00000000-0005-0000-0000-0000A0040000}"/>
    <cellStyle name="20% - Accent1 2 4 7 6 3" xfId="33910" xr:uid="{00000000-0005-0000-0000-0000A1040000}"/>
    <cellStyle name="20% - Accent1 2 4 7 7" xfId="18370" xr:uid="{00000000-0005-0000-0000-0000A2040000}"/>
    <cellStyle name="20% - Accent1 2 4 7 8" xfId="27251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2" xr:uid="{00000000-0005-0000-0000-0000A7040000}"/>
    <cellStyle name="20% - Accent1 2 4 8 2 2 3" xfId="30949" xr:uid="{00000000-0005-0000-0000-0000A8040000}"/>
    <cellStyle name="20% - Accent1 2 4 8 2 3" xfId="13017" xr:uid="{00000000-0005-0000-0000-0000A9040000}"/>
    <cellStyle name="20% - Accent1 2 4 8 2 3 2" xfId="24291" xr:uid="{00000000-0005-0000-0000-0000AA040000}"/>
    <cellStyle name="20% - Accent1 2 4 8 2 3 3" xfId="33168" xr:uid="{00000000-0005-0000-0000-0000AB040000}"/>
    <cellStyle name="20% - Accent1 2 4 8 2 4" xfId="15467" xr:uid="{00000000-0005-0000-0000-0000AC040000}"/>
    <cellStyle name="20% - Accent1 2 4 8 2 4 2" xfId="26510" xr:uid="{00000000-0005-0000-0000-0000AD040000}"/>
    <cellStyle name="20% - Accent1 2 4 8 2 4 3" xfId="35387" xr:uid="{00000000-0005-0000-0000-0000AE040000}"/>
    <cellStyle name="20% - Accent1 2 4 8 2 5" xfId="19853" xr:uid="{00000000-0005-0000-0000-0000AF040000}"/>
    <cellStyle name="20% - Accent1 2 4 8 2 6" xfId="28730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39" xr:uid="{00000000-0005-0000-0000-0000B3040000}"/>
    <cellStyle name="20% - Accent1 2 4 8 3 2 3" xfId="30216" xr:uid="{00000000-0005-0000-0000-0000B4040000}"/>
    <cellStyle name="20% - Accent1 2 4 8 3 3" xfId="12284" xr:uid="{00000000-0005-0000-0000-0000B5040000}"/>
    <cellStyle name="20% - Accent1 2 4 8 3 3 2" xfId="23558" xr:uid="{00000000-0005-0000-0000-0000B6040000}"/>
    <cellStyle name="20% - Accent1 2 4 8 3 3 3" xfId="32435" xr:uid="{00000000-0005-0000-0000-0000B7040000}"/>
    <cellStyle name="20% - Accent1 2 4 8 3 4" xfId="14734" xr:uid="{00000000-0005-0000-0000-0000B8040000}"/>
    <cellStyle name="20% - Accent1 2 4 8 3 4 2" xfId="25777" xr:uid="{00000000-0005-0000-0000-0000B9040000}"/>
    <cellStyle name="20% - Accent1 2 4 8 3 4 3" xfId="34654" xr:uid="{00000000-0005-0000-0000-0000BA040000}"/>
    <cellStyle name="20% - Accent1 2 4 8 3 5" xfId="19120" xr:uid="{00000000-0005-0000-0000-0000BB040000}"/>
    <cellStyle name="20% - Accent1 2 4 8 3 6" xfId="27997" xr:uid="{00000000-0005-0000-0000-0000BC040000}"/>
    <cellStyle name="20% - Accent1 2 4 8 4" xfId="9093" xr:uid="{00000000-0005-0000-0000-0000BD040000}"/>
    <cellStyle name="20% - Accent1 2 4 8 4 2" xfId="20596" xr:uid="{00000000-0005-0000-0000-0000BE040000}"/>
    <cellStyle name="20% - Accent1 2 4 8 4 3" xfId="29473" xr:uid="{00000000-0005-0000-0000-0000BF040000}"/>
    <cellStyle name="20% - Accent1 2 4 8 5" xfId="11541" xr:uid="{00000000-0005-0000-0000-0000C0040000}"/>
    <cellStyle name="20% - Accent1 2 4 8 5 2" xfId="22815" xr:uid="{00000000-0005-0000-0000-0000C1040000}"/>
    <cellStyle name="20% - Accent1 2 4 8 5 3" xfId="31692" xr:uid="{00000000-0005-0000-0000-0000C2040000}"/>
    <cellStyle name="20% - Accent1 2 4 8 6" xfId="13762" xr:uid="{00000000-0005-0000-0000-0000C3040000}"/>
    <cellStyle name="20% - Accent1 2 4 8 6 2" xfId="25034" xr:uid="{00000000-0005-0000-0000-0000C4040000}"/>
    <cellStyle name="20% - Accent1 2 4 8 6 3" xfId="33911" xr:uid="{00000000-0005-0000-0000-0000C5040000}"/>
    <cellStyle name="20% - Accent1 2 4 8 7" xfId="18371" xr:uid="{00000000-0005-0000-0000-0000C6040000}"/>
    <cellStyle name="20% - Accent1 2 4 8 8" xfId="27252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3" xr:uid="{00000000-0005-0000-0000-0000CB040000}"/>
    <cellStyle name="20% - Accent1 2 4 9 2 2 3" xfId="30950" xr:uid="{00000000-0005-0000-0000-0000CC040000}"/>
    <cellStyle name="20% - Accent1 2 4 9 2 3" xfId="13018" xr:uid="{00000000-0005-0000-0000-0000CD040000}"/>
    <cellStyle name="20% - Accent1 2 4 9 2 3 2" xfId="24292" xr:uid="{00000000-0005-0000-0000-0000CE040000}"/>
    <cellStyle name="20% - Accent1 2 4 9 2 3 3" xfId="33169" xr:uid="{00000000-0005-0000-0000-0000CF040000}"/>
    <cellStyle name="20% - Accent1 2 4 9 2 4" xfId="15468" xr:uid="{00000000-0005-0000-0000-0000D0040000}"/>
    <cellStyle name="20% - Accent1 2 4 9 2 4 2" xfId="26511" xr:uid="{00000000-0005-0000-0000-0000D1040000}"/>
    <cellStyle name="20% - Accent1 2 4 9 2 4 3" xfId="35388" xr:uid="{00000000-0005-0000-0000-0000D2040000}"/>
    <cellStyle name="20% - Accent1 2 4 9 2 5" xfId="19854" xr:uid="{00000000-0005-0000-0000-0000D3040000}"/>
    <cellStyle name="20% - Accent1 2 4 9 2 6" xfId="28731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0" xr:uid="{00000000-0005-0000-0000-0000D7040000}"/>
    <cellStyle name="20% - Accent1 2 4 9 3 2 3" xfId="30217" xr:uid="{00000000-0005-0000-0000-0000D8040000}"/>
    <cellStyle name="20% - Accent1 2 4 9 3 3" xfId="12285" xr:uid="{00000000-0005-0000-0000-0000D9040000}"/>
    <cellStyle name="20% - Accent1 2 4 9 3 3 2" xfId="23559" xr:uid="{00000000-0005-0000-0000-0000DA040000}"/>
    <cellStyle name="20% - Accent1 2 4 9 3 3 3" xfId="32436" xr:uid="{00000000-0005-0000-0000-0000DB040000}"/>
    <cellStyle name="20% - Accent1 2 4 9 3 4" xfId="14735" xr:uid="{00000000-0005-0000-0000-0000DC040000}"/>
    <cellStyle name="20% - Accent1 2 4 9 3 4 2" xfId="25778" xr:uid="{00000000-0005-0000-0000-0000DD040000}"/>
    <cellStyle name="20% - Accent1 2 4 9 3 4 3" xfId="34655" xr:uid="{00000000-0005-0000-0000-0000DE040000}"/>
    <cellStyle name="20% - Accent1 2 4 9 3 5" xfId="19121" xr:uid="{00000000-0005-0000-0000-0000DF040000}"/>
    <cellStyle name="20% - Accent1 2 4 9 3 6" xfId="27998" xr:uid="{00000000-0005-0000-0000-0000E0040000}"/>
    <cellStyle name="20% - Accent1 2 4 9 4" xfId="9094" xr:uid="{00000000-0005-0000-0000-0000E1040000}"/>
    <cellStyle name="20% - Accent1 2 4 9 4 2" xfId="20597" xr:uid="{00000000-0005-0000-0000-0000E2040000}"/>
    <cellStyle name="20% - Accent1 2 4 9 4 3" xfId="29474" xr:uid="{00000000-0005-0000-0000-0000E3040000}"/>
    <cellStyle name="20% - Accent1 2 4 9 5" xfId="11542" xr:uid="{00000000-0005-0000-0000-0000E4040000}"/>
    <cellStyle name="20% - Accent1 2 4 9 5 2" xfId="22816" xr:uid="{00000000-0005-0000-0000-0000E5040000}"/>
    <cellStyle name="20% - Accent1 2 4 9 5 3" xfId="31693" xr:uid="{00000000-0005-0000-0000-0000E6040000}"/>
    <cellStyle name="20% - Accent1 2 4 9 6" xfId="13763" xr:uid="{00000000-0005-0000-0000-0000E7040000}"/>
    <cellStyle name="20% - Accent1 2 4 9 6 2" xfId="25035" xr:uid="{00000000-0005-0000-0000-0000E8040000}"/>
    <cellStyle name="20% - Accent1 2 4 9 6 3" xfId="33912" xr:uid="{00000000-0005-0000-0000-0000E9040000}"/>
    <cellStyle name="20% - Accent1 2 4 9 7" xfId="18372" xr:uid="{00000000-0005-0000-0000-0000EA040000}"/>
    <cellStyle name="20% - Accent1 2 4 9 8" xfId="27253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4" xr:uid="{00000000-0005-0000-0000-0000EF040000}"/>
    <cellStyle name="20% - Accent1 2 5 10 2 3" xfId="30951" xr:uid="{00000000-0005-0000-0000-0000F0040000}"/>
    <cellStyle name="20% - Accent1 2 5 10 3" xfId="13019" xr:uid="{00000000-0005-0000-0000-0000F1040000}"/>
    <cellStyle name="20% - Accent1 2 5 10 3 2" xfId="24293" xr:uid="{00000000-0005-0000-0000-0000F2040000}"/>
    <cellStyle name="20% - Accent1 2 5 10 3 3" xfId="33170" xr:uid="{00000000-0005-0000-0000-0000F3040000}"/>
    <cellStyle name="20% - Accent1 2 5 10 4" xfId="15469" xr:uid="{00000000-0005-0000-0000-0000F4040000}"/>
    <cellStyle name="20% - Accent1 2 5 10 4 2" xfId="26512" xr:uid="{00000000-0005-0000-0000-0000F5040000}"/>
    <cellStyle name="20% - Accent1 2 5 10 4 3" xfId="35389" xr:uid="{00000000-0005-0000-0000-0000F6040000}"/>
    <cellStyle name="20% - Accent1 2 5 10 5" xfId="19855" xr:uid="{00000000-0005-0000-0000-0000F7040000}"/>
    <cellStyle name="20% - Accent1 2 5 10 6" xfId="28732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1" xr:uid="{00000000-0005-0000-0000-0000FB040000}"/>
    <cellStyle name="20% - Accent1 2 5 11 2 3" xfId="30218" xr:uid="{00000000-0005-0000-0000-0000FC040000}"/>
    <cellStyle name="20% - Accent1 2 5 11 3" xfId="12286" xr:uid="{00000000-0005-0000-0000-0000FD040000}"/>
    <cellStyle name="20% - Accent1 2 5 11 3 2" xfId="23560" xr:uid="{00000000-0005-0000-0000-0000FE040000}"/>
    <cellStyle name="20% - Accent1 2 5 11 3 3" xfId="32437" xr:uid="{00000000-0005-0000-0000-0000FF040000}"/>
    <cellStyle name="20% - Accent1 2 5 11 4" xfId="14736" xr:uid="{00000000-0005-0000-0000-000000050000}"/>
    <cellStyle name="20% - Accent1 2 5 11 4 2" xfId="25779" xr:uid="{00000000-0005-0000-0000-000001050000}"/>
    <cellStyle name="20% - Accent1 2 5 11 4 3" xfId="34656" xr:uid="{00000000-0005-0000-0000-000002050000}"/>
    <cellStyle name="20% - Accent1 2 5 11 5" xfId="19122" xr:uid="{00000000-0005-0000-0000-000003050000}"/>
    <cellStyle name="20% - Accent1 2 5 11 6" xfId="27999" xr:uid="{00000000-0005-0000-0000-000004050000}"/>
    <cellStyle name="20% - Accent1 2 5 12" xfId="9095" xr:uid="{00000000-0005-0000-0000-000005050000}"/>
    <cellStyle name="20% - Accent1 2 5 12 2" xfId="20598" xr:uid="{00000000-0005-0000-0000-000006050000}"/>
    <cellStyle name="20% - Accent1 2 5 12 3" xfId="29475" xr:uid="{00000000-0005-0000-0000-000007050000}"/>
    <cellStyle name="20% - Accent1 2 5 13" xfId="11543" xr:uid="{00000000-0005-0000-0000-000008050000}"/>
    <cellStyle name="20% - Accent1 2 5 13 2" xfId="22817" xr:uid="{00000000-0005-0000-0000-000009050000}"/>
    <cellStyle name="20% - Accent1 2 5 13 3" xfId="31694" xr:uid="{00000000-0005-0000-0000-00000A050000}"/>
    <cellStyle name="20% - Accent1 2 5 14" xfId="13764" xr:uid="{00000000-0005-0000-0000-00000B050000}"/>
    <cellStyle name="20% - Accent1 2 5 14 2" xfId="25036" xr:uid="{00000000-0005-0000-0000-00000C050000}"/>
    <cellStyle name="20% - Accent1 2 5 14 3" xfId="33913" xr:uid="{00000000-0005-0000-0000-00000D050000}"/>
    <cellStyle name="20% - Accent1 2 5 15" xfId="18373" xr:uid="{00000000-0005-0000-0000-00000E050000}"/>
    <cellStyle name="20% - Accent1 2 5 16" xfId="27254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5" xr:uid="{00000000-0005-0000-0000-000013050000}"/>
    <cellStyle name="20% - Accent1 2 5 2 2 2 3" xfId="30952" xr:uid="{00000000-0005-0000-0000-000014050000}"/>
    <cellStyle name="20% - Accent1 2 5 2 2 3" xfId="13020" xr:uid="{00000000-0005-0000-0000-000015050000}"/>
    <cellStyle name="20% - Accent1 2 5 2 2 3 2" xfId="24294" xr:uid="{00000000-0005-0000-0000-000016050000}"/>
    <cellStyle name="20% - Accent1 2 5 2 2 3 3" xfId="33171" xr:uid="{00000000-0005-0000-0000-000017050000}"/>
    <cellStyle name="20% - Accent1 2 5 2 2 4" xfId="15470" xr:uid="{00000000-0005-0000-0000-000018050000}"/>
    <cellStyle name="20% - Accent1 2 5 2 2 4 2" xfId="26513" xr:uid="{00000000-0005-0000-0000-000019050000}"/>
    <cellStyle name="20% - Accent1 2 5 2 2 4 3" xfId="35390" xr:uid="{00000000-0005-0000-0000-00001A050000}"/>
    <cellStyle name="20% - Accent1 2 5 2 2 5" xfId="19856" xr:uid="{00000000-0005-0000-0000-00001B050000}"/>
    <cellStyle name="20% - Accent1 2 5 2 2 6" xfId="28733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2" xr:uid="{00000000-0005-0000-0000-00001F050000}"/>
    <cellStyle name="20% - Accent1 2 5 2 3 2 3" xfId="30219" xr:uid="{00000000-0005-0000-0000-000020050000}"/>
    <cellStyle name="20% - Accent1 2 5 2 3 3" xfId="12287" xr:uid="{00000000-0005-0000-0000-000021050000}"/>
    <cellStyle name="20% - Accent1 2 5 2 3 3 2" xfId="23561" xr:uid="{00000000-0005-0000-0000-000022050000}"/>
    <cellStyle name="20% - Accent1 2 5 2 3 3 3" xfId="32438" xr:uid="{00000000-0005-0000-0000-000023050000}"/>
    <cellStyle name="20% - Accent1 2 5 2 3 4" xfId="14737" xr:uid="{00000000-0005-0000-0000-000024050000}"/>
    <cellStyle name="20% - Accent1 2 5 2 3 4 2" xfId="25780" xr:uid="{00000000-0005-0000-0000-000025050000}"/>
    <cellStyle name="20% - Accent1 2 5 2 3 4 3" xfId="34657" xr:uid="{00000000-0005-0000-0000-000026050000}"/>
    <cellStyle name="20% - Accent1 2 5 2 3 5" xfId="19123" xr:uid="{00000000-0005-0000-0000-000027050000}"/>
    <cellStyle name="20% - Accent1 2 5 2 3 6" xfId="28000" xr:uid="{00000000-0005-0000-0000-000028050000}"/>
    <cellStyle name="20% - Accent1 2 5 2 4" xfId="9096" xr:uid="{00000000-0005-0000-0000-000029050000}"/>
    <cellStyle name="20% - Accent1 2 5 2 4 2" xfId="20599" xr:uid="{00000000-0005-0000-0000-00002A050000}"/>
    <cellStyle name="20% - Accent1 2 5 2 4 3" xfId="29476" xr:uid="{00000000-0005-0000-0000-00002B050000}"/>
    <cellStyle name="20% - Accent1 2 5 2 5" xfId="11544" xr:uid="{00000000-0005-0000-0000-00002C050000}"/>
    <cellStyle name="20% - Accent1 2 5 2 5 2" xfId="22818" xr:uid="{00000000-0005-0000-0000-00002D050000}"/>
    <cellStyle name="20% - Accent1 2 5 2 5 3" xfId="31695" xr:uid="{00000000-0005-0000-0000-00002E050000}"/>
    <cellStyle name="20% - Accent1 2 5 2 6" xfId="13765" xr:uid="{00000000-0005-0000-0000-00002F050000}"/>
    <cellStyle name="20% - Accent1 2 5 2 6 2" xfId="25037" xr:uid="{00000000-0005-0000-0000-000030050000}"/>
    <cellStyle name="20% - Accent1 2 5 2 6 3" xfId="33914" xr:uid="{00000000-0005-0000-0000-000031050000}"/>
    <cellStyle name="20% - Accent1 2 5 2 7" xfId="18374" xr:uid="{00000000-0005-0000-0000-000032050000}"/>
    <cellStyle name="20% - Accent1 2 5 2 8" xfId="27255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6" xr:uid="{00000000-0005-0000-0000-000037050000}"/>
    <cellStyle name="20% - Accent1 2 5 3 2 2 3" xfId="30953" xr:uid="{00000000-0005-0000-0000-000038050000}"/>
    <cellStyle name="20% - Accent1 2 5 3 2 3" xfId="13021" xr:uid="{00000000-0005-0000-0000-000039050000}"/>
    <cellStyle name="20% - Accent1 2 5 3 2 3 2" xfId="24295" xr:uid="{00000000-0005-0000-0000-00003A050000}"/>
    <cellStyle name="20% - Accent1 2 5 3 2 3 3" xfId="33172" xr:uid="{00000000-0005-0000-0000-00003B050000}"/>
    <cellStyle name="20% - Accent1 2 5 3 2 4" xfId="15471" xr:uid="{00000000-0005-0000-0000-00003C050000}"/>
    <cellStyle name="20% - Accent1 2 5 3 2 4 2" xfId="26514" xr:uid="{00000000-0005-0000-0000-00003D050000}"/>
    <cellStyle name="20% - Accent1 2 5 3 2 4 3" xfId="35391" xr:uid="{00000000-0005-0000-0000-00003E050000}"/>
    <cellStyle name="20% - Accent1 2 5 3 2 5" xfId="19857" xr:uid="{00000000-0005-0000-0000-00003F050000}"/>
    <cellStyle name="20% - Accent1 2 5 3 2 6" xfId="28734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3" xr:uid="{00000000-0005-0000-0000-000043050000}"/>
    <cellStyle name="20% - Accent1 2 5 3 3 2 3" xfId="30220" xr:uid="{00000000-0005-0000-0000-000044050000}"/>
    <cellStyle name="20% - Accent1 2 5 3 3 3" xfId="12288" xr:uid="{00000000-0005-0000-0000-000045050000}"/>
    <cellStyle name="20% - Accent1 2 5 3 3 3 2" xfId="23562" xr:uid="{00000000-0005-0000-0000-000046050000}"/>
    <cellStyle name="20% - Accent1 2 5 3 3 3 3" xfId="32439" xr:uid="{00000000-0005-0000-0000-000047050000}"/>
    <cellStyle name="20% - Accent1 2 5 3 3 4" xfId="14738" xr:uid="{00000000-0005-0000-0000-000048050000}"/>
    <cellStyle name="20% - Accent1 2 5 3 3 4 2" xfId="25781" xr:uid="{00000000-0005-0000-0000-000049050000}"/>
    <cellStyle name="20% - Accent1 2 5 3 3 4 3" xfId="34658" xr:uid="{00000000-0005-0000-0000-00004A050000}"/>
    <cellStyle name="20% - Accent1 2 5 3 3 5" xfId="19124" xr:uid="{00000000-0005-0000-0000-00004B050000}"/>
    <cellStyle name="20% - Accent1 2 5 3 3 6" xfId="28001" xr:uid="{00000000-0005-0000-0000-00004C050000}"/>
    <cellStyle name="20% - Accent1 2 5 3 4" xfId="9097" xr:uid="{00000000-0005-0000-0000-00004D050000}"/>
    <cellStyle name="20% - Accent1 2 5 3 4 2" xfId="20600" xr:uid="{00000000-0005-0000-0000-00004E050000}"/>
    <cellStyle name="20% - Accent1 2 5 3 4 3" xfId="29477" xr:uid="{00000000-0005-0000-0000-00004F050000}"/>
    <cellStyle name="20% - Accent1 2 5 3 5" xfId="11545" xr:uid="{00000000-0005-0000-0000-000050050000}"/>
    <cellStyle name="20% - Accent1 2 5 3 5 2" xfId="22819" xr:uid="{00000000-0005-0000-0000-000051050000}"/>
    <cellStyle name="20% - Accent1 2 5 3 5 3" xfId="31696" xr:uid="{00000000-0005-0000-0000-000052050000}"/>
    <cellStyle name="20% - Accent1 2 5 3 6" xfId="13766" xr:uid="{00000000-0005-0000-0000-000053050000}"/>
    <cellStyle name="20% - Accent1 2 5 3 6 2" xfId="25038" xr:uid="{00000000-0005-0000-0000-000054050000}"/>
    <cellStyle name="20% - Accent1 2 5 3 6 3" xfId="33915" xr:uid="{00000000-0005-0000-0000-000055050000}"/>
    <cellStyle name="20% - Accent1 2 5 3 7" xfId="18375" xr:uid="{00000000-0005-0000-0000-000056050000}"/>
    <cellStyle name="20% - Accent1 2 5 3 8" xfId="27256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7" xr:uid="{00000000-0005-0000-0000-00005B050000}"/>
    <cellStyle name="20% - Accent1 2 5 4 2 2 3" xfId="30954" xr:uid="{00000000-0005-0000-0000-00005C050000}"/>
    <cellStyle name="20% - Accent1 2 5 4 2 3" xfId="13022" xr:uid="{00000000-0005-0000-0000-00005D050000}"/>
    <cellStyle name="20% - Accent1 2 5 4 2 3 2" xfId="24296" xr:uid="{00000000-0005-0000-0000-00005E050000}"/>
    <cellStyle name="20% - Accent1 2 5 4 2 3 3" xfId="33173" xr:uid="{00000000-0005-0000-0000-00005F050000}"/>
    <cellStyle name="20% - Accent1 2 5 4 2 4" xfId="15472" xr:uid="{00000000-0005-0000-0000-000060050000}"/>
    <cellStyle name="20% - Accent1 2 5 4 2 4 2" xfId="26515" xr:uid="{00000000-0005-0000-0000-000061050000}"/>
    <cellStyle name="20% - Accent1 2 5 4 2 4 3" xfId="35392" xr:uid="{00000000-0005-0000-0000-000062050000}"/>
    <cellStyle name="20% - Accent1 2 5 4 2 5" xfId="19858" xr:uid="{00000000-0005-0000-0000-000063050000}"/>
    <cellStyle name="20% - Accent1 2 5 4 2 6" xfId="28735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4" xr:uid="{00000000-0005-0000-0000-000067050000}"/>
    <cellStyle name="20% - Accent1 2 5 4 3 2 3" xfId="30221" xr:uid="{00000000-0005-0000-0000-000068050000}"/>
    <cellStyle name="20% - Accent1 2 5 4 3 3" xfId="12289" xr:uid="{00000000-0005-0000-0000-000069050000}"/>
    <cellStyle name="20% - Accent1 2 5 4 3 3 2" xfId="23563" xr:uid="{00000000-0005-0000-0000-00006A050000}"/>
    <cellStyle name="20% - Accent1 2 5 4 3 3 3" xfId="32440" xr:uid="{00000000-0005-0000-0000-00006B050000}"/>
    <cellStyle name="20% - Accent1 2 5 4 3 4" xfId="14739" xr:uid="{00000000-0005-0000-0000-00006C050000}"/>
    <cellStyle name="20% - Accent1 2 5 4 3 4 2" xfId="25782" xr:uid="{00000000-0005-0000-0000-00006D050000}"/>
    <cellStyle name="20% - Accent1 2 5 4 3 4 3" xfId="34659" xr:uid="{00000000-0005-0000-0000-00006E050000}"/>
    <cellStyle name="20% - Accent1 2 5 4 3 5" xfId="19125" xr:uid="{00000000-0005-0000-0000-00006F050000}"/>
    <cellStyle name="20% - Accent1 2 5 4 3 6" xfId="28002" xr:uid="{00000000-0005-0000-0000-000070050000}"/>
    <cellStyle name="20% - Accent1 2 5 4 4" xfId="9098" xr:uid="{00000000-0005-0000-0000-000071050000}"/>
    <cellStyle name="20% - Accent1 2 5 4 4 2" xfId="20601" xr:uid="{00000000-0005-0000-0000-000072050000}"/>
    <cellStyle name="20% - Accent1 2 5 4 4 3" xfId="29478" xr:uid="{00000000-0005-0000-0000-000073050000}"/>
    <cellStyle name="20% - Accent1 2 5 4 5" xfId="11546" xr:uid="{00000000-0005-0000-0000-000074050000}"/>
    <cellStyle name="20% - Accent1 2 5 4 5 2" xfId="22820" xr:uid="{00000000-0005-0000-0000-000075050000}"/>
    <cellStyle name="20% - Accent1 2 5 4 5 3" xfId="31697" xr:uid="{00000000-0005-0000-0000-000076050000}"/>
    <cellStyle name="20% - Accent1 2 5 4 6" xfId="13767" xr:uid="{00000000-0005-0000-0000-000077050000}"/>
    <cellStyle name="20% - Accent1 2 5 4 6 2" xfId="25039" xr:uid="{00000000-0005-0000-0000-000078050000}"/>
    <cellStyle name="20% - Accent1 2 5 4 6 3" xfId="33916" xr:uid="{00000000-0005-0000-0000-000079050000}"/>
    <cellStyle name="20% - Accent1 2 5 4 7" xfId="18376" xr:uid="{00000000-0005-0000-0000-00007A050000}"/>
    <cellStyle name="20% - Accent1 2 5 4 8" xfId="27257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8" xr:uid="{00000000-0005-0000-0000-00007F050000}"/>
    <cellStyle name="20% - Accent1 2 5 5 2 2 3" xfId="30955" xr:uid="{00000000-0005-0000-0000-000080050000}"/>
    <cellStyle name="20% - Accent1 2 5 5 2 3" xfId="13023" xr:uid="{00000000-0005-0000-0000-000081050000}"/>
    <cellStyle name="20% - Accent1 2 5 5 2 3 2" xfId="24297" xr:uid="{00000000-0005-0000-0000-000082050000}"/>
    <cellStyle name="20% - Accent1 2 5 5 2 3 3" xfId="33174" xr:uid="{00000000-0005-0000-0000-000083050000}"/>
    <cellStyle name="20% - Accent1 2 5 5 2 4" xfId="15473" xr:uid="{00000000-0005-0000-0000-000084050000}"/>
    <cellStyle name="20% - Accent1 2 5 5 2 4 2" xfId="26516" xr:uid="{00000000-0005-0000-0000-000085050000}"/>
    <cellStyle name="20% - Accent1 2 5 5 2 4 3" xfId="35393" xr:uid="{00000000-0005-0000-0000-000086050000}"/>
    <cellStyle name="20% - Accent1 2 5 5 2 5" xfId="19859" xr:uid="{00000000-0005-0000-0000-000087050000}"/>
    <cellStyle name="20% - Accent1 2 5 5 2 6" xfId="28736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5" xr:uid="{00000000-0005-0000-0000-00008B050000}"/>
    <cellStyle name="20% - Accent1 2 5 5 3 2 3" xfId="30222" xr:uid="{00000000-0005-0000-0000-00008C050000}"/>
    <cellStyle name="20% - Accent1 2 5 5 3 3" xfId="12290" xr:uid="{00000000-0005-0000-0000-00008D050000}"/>
    <cellStyle name="20% - Accent1 2 5 5 3 3 2" xfId="23564" xr:uid="{00000000-0005-0000-0000-00008E050000}"/>
    <cellStyle name="20% - Accent1 2 5 5 3 3 3" xfId="32441" xr:uid="{00000000-0005-0000-0000-00008F050000}"/>
    <cellStyle name="20% - Accent1 2 5 5 3 4" xfId="14740" xr:uid="{00000000-0005-0000-0000-000090050000}"/>
    <cellStyle name="20% - Accent1 2 5 5 3 4 2" xfId="25783" xr:uid="{00000000-0005-0000-0000-000091050000}"/>
    <cellStyle name="20% - Accent1 2 5 5 3 4 3" xfId="34660" xr:uid="{00000000-0005-0000-0000-000092050000}"/>
    <cellStyle name="20% - Accent1 2 5 5 3 5" xfId="19126" xr:uid="{00000000-0005-0000-0000-000093050000}"/>
    <cellStyle name="20% - Accent1 2 5 5 3 6" xfId="28003" xr:uid="{00000000-0005-0000-0000-000094050000}"/>
    <cellStyle name="20% - Accent1 2 5 5 4" xfId="9099" xr:uid="{00000000-0005-0000-0000-000095050000}"/>
    <cellStyle name="20% - Accent1 2 5 5 4 2" xfId="20602" xr:uid="{00000000-0005-0000-0000-000096050000}"/>
    <cellStyle name="20% - Accent1 2 5 5 4 3" xfId="29479" xr:uid="{00000000-0005-0000-0000-000097050000}"/>
    <cellStyle name="20% - Accent1 2 5 5 5" xfId="11547" xr:uid="{00000000-0005-0000-0000-000098050000}"/>
    <cellStyle name="20% - Accent1 2 5 5 5 2" xfId="22821" xr:uid="{00000000-0005-0000-0000-000099050000}"/>
    <cellStyle name="20% - Accent1 2 5 5 5 3" xfId="31698" xr:uid="{00000000-0005-0000-0000-00009A050000}"/>
    <cellStyle name="20% - Accent1 2 5 5 6" xfId="13768" xr:uid="{00000000-0005-0000-0000-00009B050000}"/>
    <cellStyle name="20% - Accent1 2 5 5 6 2" xfId="25040" xr:uid="{00000000-0005-0000-0000-00009C050000}"/>
    <cellStyle name="20% - Accent1 2 5 5 6 3" xfId="33917" xr:uid="{00000000-0005-0000-0000-00009D050000}"/>
    <cellStyle name="20% - Accent1 2 5 5 7" xfId="18377" xr:uid="{00000000-0005-0000-0000-00009E050000}"/>
    <cellStyle name="20% - Accent1 2 5 5 8" xfId="27258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79" xr:uid="{00000000-0005-0000-0000-0000A3050000}"/>
    <cellStyle name="20% - Accent1 2 5 6 2 2 3" xfId="30956" xr:uid="{00000000-0005-0000-0000-0000A4050000}"/>
    <cellStyle name="20% - Accent1 2 5 6 2 3" xfId="13024" xr:uid="{00000000-0005-0000-0000-0000A5050000}"/>
    <cellStyle name="20% - Accent1 2 5 6 2 3 2" xfId="24298" xr:uid="{00000000-0005-0000-0000-0000A6050000}"/>
    <cellStyle name="20% - Accent1 2 5 6 2 3 3" xfId="33175" xr:uid="{00000000-0005-0000-0000-0000A7050000}"/>
    <cellStyle name="20% - Accent1 2 5 6 2 4" xfId="15474" xr:uid="{00000000-0005-0000-0000-0000A8050000}"/>
    <cellStyle name="20% - Accent1 2 5 6 2 4 2" xfId="26517" xr:uid="{00000000-0005-0000-0000-0000A9050000}"/>
    <cellStyle name="20% - Accent1 2 5 6 2 4 3" xfId="35394" xr:uid="{00000000-0005-0000-0000-0000AA050000}"/>
    <cellStyle name="20% - Accent1 2 5 6 2 5" xfId="19860" xr:uid="{00000000-0005-0000-0000-0000AB050000}"/>
    <cellStyle name="20% - Accent1 2 5 6 2 6" xfId="28737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6" xr:uid="{00000000-0005-0000-0000-0000AF050000}"/>
    <cellStyle name="20% - Accent1 2 5 6 3 2 3" xfId="30223" xr:uid="{00000000-0005-0000-0000-0000B0050000}"/>
    <cellStyle name="20% - Accent1 2 5 6 3 3" xfId="12291" xr:uid="{00000000-0005-0000-0000-0000B1050000}"/>
    <cellStyle name="20% - Accent1 2 5 6 3 3 2" xfId="23565" xr:uid="{00000000-0005-0000-0000-0000B2050000}"/>
    <cellStyle name="20% - Accent1 2 5 6 3 3 3" xfId="32442" xr:uid="{00000000-0005-0000-0000-0000B3050000}"/>
    <cellStyle name="20% - Accent1 2 5 6 3 4" xfId="14741" xr:uid="{00000000-0005-0000-0000-0000B4050000}"/>
    <cellStyle name="20% - Accent1 2 5 6 3 4 2" xfId="25784" xr:uid="{00000000-0005-0000-0000-0000B5050000}"/>
    <cellStyle name="20% - Accent1 2 5 6 3 4 3" xfId="34661" xr:uid="{00000000-0005-0000-0000-0000B6050000}"/>
    <cellStyle name="20% - Accent1 2 5 6 3 5" xfId="19127" xr:uid="{00000000-0005-0000-0000-0000B7050000}"/>
    <cellStyle name="20% - Accent1 2 5 6 3 6" xfId="28004" xr:uid="{00000000-0005-0000-0000-0000B8050000}"/>
    <cellStyle name="20% - Accent1 2 5 6 4" xfId="9100" xr:uid="{00000000-0005-0000-0000-0000B9050000}"/>
    <cellStyle name="20% - Accent1 2 5 6 4 2" xfId="20603" xr:uid="{00000000-0005-0000-0000-0000BA050000}"/>
    <cellStyle name="20% - Accent1 2 5 6 4 3" xfId="29480" xr:uid="{00000000-0005-0000-0000-0000BB050000}"/>
    <cellStyle name="20% - Accent1 2 5 6 5" xfId="11548" xr:uid="{00000000-0005-0000-0000-0000BC050000}"/>
    <cellStyle name="20% - Accent1 2 5 6 5 2" xfId="22822" xr:uid="{00000000-0005-0000-0000-0000BD050000}"/>
    <cellStyle name="20% - Accent1 2 5 6 5 3" xfId="31699" xr:uid="{00000000-0005-0000-0000-0000BE050000}"/>
    <cellStyle name="20% - Accent1 2 5 6 6" xfId="13769" xr:uid="{00000000-0005-0000-0000-0000BF050000}"/>
    <cellStyle name="20% - Accent1 2 5 6 6 2" xfId="25041" xr:uid="{00000000-0005-0000-0000-0000C0050000}"/>
    <cellStyle name="20% - Accent1 2 5 6 6 3" xfId="33918" xr:uid="{00000000-0005-0000-0000-0000C1050000}"/>
    <cellStyle name="20% - Accent1 2 5 6 7" xfId="18378" xr:uid="{00000000-0005-0000-0000-0000C2050000}"/>
    <cellStyle name="20% - Accent1 2 5 6 8" xfId="27259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0" xr:uid="{00000000-0005-0000-0000-0000C7050000}"/>
    <cellStyle name="20% - Accent1 2 5 7 2 2 3" xfId="30957" xr:uid="{00000000-0005-0000-0000-0000C8050000}"/>
    <cellStyle name="20% - Accent1 2 5 7 2 3" xfId="13025" xr:uid="{00000000-0005-0000-0000-0000C9050000}"/>
    <cellStyle name="20% - Accent1 2 5 7 2 3 2" xfId="24299" xr:uid="{00000000-0005-0000-0000-0000CA050000}"/>
    <cellStyle name="20% - Accent1 2 5 7 2 3 3" xfId="33176" xr:uid="{00000000-0005-0000-0000-0000CB050000}"/>
    <cellStyle name="20% - Accent1 2 5 7 2 4" xfId="15475" xr:uid="{00000000-0005-0000-0000-0000CC050000}"/>
    <cellStyle name="20% - Accent1 2 5 7 2 4 2" xfId="26518" xr:uid="{00000000-0005-0000-0000-0000CD050000}"/>
    <cellStyle name="20% - Accent1 2 5 7 2 4 3" xfId="35395" xr:uid="{00000000-0005-0000-0000-0000CE050000}"/>
    <cellStyle name="20% - Accent1 2 5 7 2 5" xfId="19861" xr:uid="{00000000-0005-0000-0000-0000CF050000}"/>
    <cellStyle name="20% - Accent1 2 5 7 2 6" xfId="28738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7" xr:uid="{00000000-0005-0000-0000-0000D3050000}"/>
    <cellStyle name="20% - Accent1 2 5 7 3 2 3" xfId="30224" xr:uid="{00000000-0005-0000-0000-0000D4050000}"/>
    <cellStyle name="20% - Accent1 2 5 7 3 3" xfId="12292" xr:uid="{00000000-0005-0000-0000-0000D5050000}"/>
    <cellStyle name="20% - Accent1 2 5 7 3 3 2" xfId="23566" xr:uid="{00000000-0005-0000-0000-0000D6050000}"/>
    <cellStyle name="20% - Accent1 2 5 7 3 3 3" xfId="32443" xr:uid="{00000000-0005-0000-0000-0000D7050000}"/>
    <cellStyle name="20% - Accent1 2 5 7 3 4" xfId="14742" xr:uid="{00000000-0005-0000-0000-0000D8050000}"/>
    <cellStyle name="20% - Accent1 2 5 7 3 4 2" xfId="25785" xr:uid="{00000000-0005-0000-0000-0000D9050000}"/>
    <cellStyle name="20% - Accent1 2 5 7 3 4 3" xfId="34662" xr:uid="{00000000-0005-0000-0000-0000DA050000}"/>
    <cellStyle name="20% - Accent1 2 5 7 3 5" xfId="19128" xr:uid="{00000000-0005-0000-0000-0000DB050000}"/>
    <cellStyle name="20% - Accent1 2 5 7 3 6" xfId="28005" xr:uid="{00000000-0005-0000-0000-0000DC050000}"/>
    <cellStyle name="20% - Accent1 2 5 7 4" xfId="9101" xr:uid="{00000000-0005-0000-0000-0000DD050000}"/>
    <cellStyle name="20% - Accent1 2 5 7 4 2" xfId="20604" xr:uid="{00000000-0005-0000-0000-0000DE050000}"/>
    <cellStyle name="20% - Accent1 2 5 7 4 3" xfId="29481" xr:uid="{00000000-0005-0000-0000-0000DF050000}"/>
    <cellStyle name="20% - Accent1 2 5 7 5" xfId="11549" xr:uid="{00000000-0005-0000-0000-0000E0050000}"/>
    <cellStyle name="20% - Accent1 2 5 7 5 2" xfId="22823" xr:uid="{00000000-0005-0000-0000-0000E1050000}"/>
    <cellStyle name="20% - Accent1 2 5 7 5 3" xfId="31700" xr:uid="{00000000-0005-0000-0000-0000E2050000}"/>
    <cellStyle name="20% - Accent1 2 5 7 6" xfId="13770" xr:uid="{00000000-0005-0000-0000-0000E3050000}"/>
    <cellStyle name="20% - Accent1 2 5 7 6 2" xfId="25042" xr:uid="{00000000-0005-0000-0000-0000E4050000}"/>
    <cellStyle name="20% - Accent1 2 5 7 6 3" xfId="33919" xr:uid="{00000000-0005-0000-0000-0000E5050000}"/>
    <cellStyle name="20% - Accent1 2 5 7 7" xfId="18379" xr:uid="{00000000-0005-0000-0000-0000E6050000}"/>
    <cellStyle name="20% - Accent1 2 5 7 8" xfId="27260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1" xr:uid="{00000000-0005-0000-0000-0000EB050000}"/>
    <cellStyle name="20% - Accent1 2 5 8 2 2 3" xfId="30958" xr:uid="{00000000-0005-0000-0000-0000EC050000}"/>
    <cellStyle name="20% - Accent1 2 5 8 2 3" xfId="13026" xr:uid="{00000000-0005-0000-0000-0000ED050000}"/>
    <cellStyle name="20% - Accent1 2 5 8 2 3 2" xfId="24300" xr:uid="{00000000-0005-0000-0000-0000EE050000}"/>
    <cellStyle name="20% - Accent1 2 5 8 2 3 3" xfId="33177" xr:uid="{00000000-0005-0000-0000-0000EF050000}"/>
    <cellStyle name="20% - Accent1 2 5 8 2 4" xfId="15476" xr:uid="{00000000-0005-0000-0000-0000F0050000}"/>
    <cellStyle name="20% - Accent1 2 5 8 2 4 2" xfId="26519" xr:uid="{00000000-0005-0000-0000-0000F1050000}"/>
    <cellStyle name="20% - Accent1 2 5 8 2 4 3" xfId="35396" xr:uid="{00000000-0005-0000-0000-0000F2050000}"/>
    <cellStyle name="20% - Accent1 2 5 8 2 5" xfId="19862" xr:uid="{00000000-0005-0000-0000-0000F3050000}"/>
    <cellStyle name="20% - Accent1 2 5 8 2 6" xfId="28739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8" xr:uid="{00000000-0005-0000-0000-0000F7050000}"/>
    <cellStyle name="20% - Accent1 2 5 8 3 2 3" xfId="30225" xr:uid="{00000000-0005-0000-0000-0000F8050000}"/>
    <cellStyle name="20% - Accent1 2 5 8 3 3" xfId="12293" xr:uid="{00000000-0005-0000-0000-0000F9050000}"/>
    <cellStyle name="20% - Accent1 2 5 8 3 3 2" xfId="23567" xr:uid="{00000000-0005-0000-0000-0000FA050000}"/>
    <cellStyle name="20% - Accent1 2 5 8 3 3 3" xfId="32444" xr:uid="{00000000-0005-0000-0000-0000FB050000}"/>
    <cellStyle name="20% - Accent1 2 5 8 3 4" xfId="14743" xr:uid="{00000000-0005-0000-0000-0000FC050000}"/>
    <cellStyle name="20% - Accent1 2 5 8 3 4 2" xfId="25786" xr:uid="{00000000-0005-0000-0000-0000FD050000}"/>
    <cellStyle name="20% - Accent1 2 5 8 3 4 3" xfId="34663" xr:uid="{00000000-0005-0000-0000-0000FE050000}"/>
    <cellStyle name="20% - Accent1 2 5 8 3 5" xfId="19129" xr:uid="{00000000-0005-0000-0000-0000FF050000}"/>
    <cellStyle name="20% - Accent1 2 5 8 3 6" xfId="28006" xr:uid="{00000000-0005-0000-0000-000000060000}"/>
    <cellStyle name="20% - Accent1 2 5 8 4" xfId="9102" xr:uid="{00000000-0005-0000-0000-000001060000}"/>
    <cellStyle name="20% - Accent1 2 5 8 4 2" xfId="20605" xr:uid="{00000000-0005-0000-0000-000002060000}"/>
    <cellStyle name="20% - Accent1 2 5 8 4 3" xfId="29482" xr:uid="{00000000-0005-0000-0000-000003060000}"/>
    <cellStyle name="20% - Accent1 2 5 8 5" xfId="11550" xr:uid="{00000000-0005-0000-0000-000004060000}"/>
    <cellStyle name="20% - Accent1 2 5 8 5 2" xfId="22824" xr:uid="{00000000-0005-0000-0000-000005060000}"/>
    <cellStyle name="20% - Accent1 2 5 8 5 3" xfId="31701" xr:uid="{00000000-0005-0000-0000-000006060000}"/>
    <cellStyle name="20% - Accent1 2 5 8 6" xfId="13771" xr:uid="{00000000-0005-0000-0000-000007060000}"/>
    <cellStyle name="20% - Accent1 2 5 8 6 2" xfId="25043" xr:uid="{00000000-0005-0000-0000-000008060000}"/>
    <cellStyle name="20% - Accent1 2 5 8 6 3" xfId="33920" xr:uid="{00000000-0005-0000-0000-000009060000}"/>
    <cellStyle name="20% - Accent1 2 5 8 7" xfId="18380" xr:uid="{00000000-0005-0000-0000-00000A060000}"/>
    <cellStyle name="20% - Accent1 2 5 8 8" xfId="27261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2" xr:uid="{00000000-0005-0000-0000-00000F060000}"/>
    <cellStyle name="20% - Accent1 2 5 9 2 2 3" xfId="30959" xr:uid="{00000000-0005-0000-0000-000010060000}"/>
    <cellStyle name="20% - Accent1 2 5 9 2 3" xfId="13027" xr:uid="{00000000-0005-0000-0000-000011060000}"/>
    <cellStyle name="20% - Accent1 2 5 9 2 3 2" xfId="24301" xr:uid="{00000000-0005-0000-0000-000012060000}"/>
    <cellStyle name="20% - Accent1 2 5 9 2 3 3" xfId="33178" xr:uid="{00000000-0005-0000-0000-000013060000}"/>
    <cellStyle name="20% - Accent1 2 5 9 2 4" xfId="15477" xr:uid="{00000000-0005-0000-0000-000014060000}"/>
    <cellStyle name="20% - Accent1 2 5 9 2 4 2" xfId="26520" xr:uid="{00000000-0005-0000-0000-000015060000}"/>
    <cellStyle name="20% - Accent1 2 5 9 2 4 3" xfId="35397" xr:uid="{00000000-0005-0000-0000-000016060000}"/>
    <cellStyle name="20% - Accent1 2 5 9 2 5" xfId="19863" xr:uid="{00000000-0005-0000-0000-000017060000}"/>
    <cellStyle name="20% - Accent1 2 5 9 2 6" xfId="28740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49" xr:uid="{00000000-0005-0000-0000-00001B060000}"/>
    <cellStyle name="20% - Accent1 2 5 9 3 2 3" xfId="30226" xr:uid="{00000000-0005-0000-0000-00001C060000}"/>
    <cellStyle name="20% - Accent1 2 5 9 3 3" xfId="12294" xr:uid="{00000000-0005-0000-0000-00001D060000}"/>
    <cellStyle name="20% - Accent1 2 5 9 3 3 2" xfId="23568" xr:uid="{00000000-0005-0000-0000-00001E060000}"/>
    <cellStyle name="20% - Accent1 2 5 9 3 3 3" xfId="32445" xr:uid="{00000000-0005-0000-0000-00001F060000}"/>
    <cellStyle name="20% - Accent1 2 5 9 3 4" xfId="14744" xr:uid="{00000000-0005-0000-0000-000020060000}"/>
    <cellStyle name="20% - Accent1 2 5 9 3 4 2" xfId="25787" xr:uid="{00000000-0005-0000-0000-000021060000}"/>
    <cellStyle name="20% - Accent1 2 5 9 3 4 3" xfId="34664" xr:uid="{00000000-0005-0000-0000-000022060000}"/>
    <cellStyle name="20% - Accent1 2 5 9 3 5" xfId="19130" xr:uid="{00000000-0005-0000-0000-000023060000}"/>
    <cellStyle name="20% - Accent1 2 5 9 3 6" xfId="28007" xr:uid="{00000000-0005-0000-0000-000024060000}"/>
    <cellStyle name="20% - Accent1 2 5 9 4" xfId="9103" xr:uid="{00000000-0005-0000-0000-000025060000}"/>
    <cellStyle name="20% - Accent1 2 5 9 4 2" xfId="20606" xr:uid="{00000000-0005-0000-0000-000026060000}"/>
    <cellStyle name="20% - Accent1 2 5 9 4 3" xfId="29483" xr:uid="{00000000-0005-0000-0000-000027060000}"/>
    <cellStyle name="20% - Accent1 2 5 9 5" xfId="11551" xr:uid="{00000000-0005-0000-0000-000028060000}"/>
    <cellStyle name="20% - Accent1 2 5 9 5 2" xfId="22825" xr:uid="{00000000-0005-0000-0000-000029060000}"/>
    <cellStyle name="20% - Accent1 2 5 9 5 3" xfId="31702" xr:uid="{00000000-0005-0000-0000-00002A060000}"/>
    <cellStyle name="20% - Accent1 2 5 9 6" xfId="13772" xr:uid="{00000000-0005-0000-0000-00002B060000}"/>
    <cellStyle name="20% - Accent1 2 5 9 6 2" xfId="25044" xr:uid="{00000000-0005-0000-0000-00002C060000}"/>
    <cellStyle name="20% - Accent1 2 5 9 6 3" xfId="33921" xr:uid="{00000000-0005-0000-0000-00002D060000}"/>
    <cellStyle name="20% - Accent1 2 5 9 7" xfId="18381" xr:uid="{00000000-0005-0000-0000-00002E060000}"/>
    <cellStyle name="20% - Accent1 2 5 9 8" xfId="27262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3" xr:uid="{00000000-0005-0000-0000-000033060000}"/>
    <cellStyle name="20% - Accent1 2 6 2 2 3" xfId="30960" xr:uid="{00000000-0005-0000-0000-000034060000}"/>
    <cellStyle name="20% - Accent1 2 6 2 3" xfId="13028" xr:uid="{00000000-0005-0000-0000-000035060000}"/>
    <cellStyle name="20% - Accent1 2 6 2 3 2" xfId="24302" xr:uid="{00000000-0005-0000-0000-000036060000}"/>
    <cellStyle name="20% - Accent1 2 6 2 3 3" xfId="33179" xr:uid="{00000000-0005-0000-0000-000037060000}"/>
    <cellStyle name="20% - Accent1 2 6 2 4" xfId="15478" xr:uid="{00000000-0005-0000-0000-000038060000}"/>
    <cellStyle name="20% - Accent1 2 6 2 4 2" xfId="26521" xr:uid="{00000000-0005-0000-0000-000039060000}"/>
    <cellStyle name="20% - Accent1 2 6 2 4 3" xfId="35398" xr:uid="{00000000-0005-0000-0000-00003A060000}"/>
    <cellStyle name="20% - Accent1 2 6 2 5" xfId="19864" xr:uid="{00000000-0005-0000-0000-00003B060000}"/>
    <cellStyle name="20% - Accent1 2 6 2 6" xfId="28741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0" xr:uid="{00000000-0005-0000-0000-00003F060000}"/>
    <cellStyle name="20% - Accent1 2 6 3 2 3" xfId="30227" xr:uid="{00000000-0005-0000-0000-000040060000}"/>
    <cellStyle name="20% - Accent1 2 6 3 3" xfId="12295" xr:uid="{00000000-0005-0000-0000-000041060000}"/>
    <cellStyle name="20% - Accent1 2 6 3 3 2" xfId="23569" xr:uid="{00000000-0005-0000-0000-000042060000}"/>
    <cellStyle name="20% - Accent1 2 6 3 3 3" xfId="32446" xr:uid="{00000000-0005-0000-0000-000043060000}"/>
    <cellStyle name="20% - Accent1 2 6 3 4" xfId="14745" xr:uid="{00000000-0005-0000-0000-000044060000}"/>
    <cellStyle name="20% - Accent1 2 6 3 4 2" xfId="25788" xr:uid="{00000000-0005-0000-0000-000045060000}"/>
    <cellStyle name="20% - Accent1 2 6 3 4 3" xfId="34665" xr:uid="{00000000-0005-0000-0000-000046060000}"/>
    <cellStyle name="20% - Accent1 2 6 3 5" xfId="19131" xr:uid="{00000000-0005-0000-0000-000047060000}"/>
    <cellStyle name="20% - Accent1 2 6 3 6" xfId="28008" xr:uid="{00000000-0005-0000-0000-000048060000}"/>
    <cellStyle name="20% - Accent1 2 6 4" xfId="9104" xr:uid="{00000000-0005-0000-0000-000049060000}"/>
    <cellStyle name="20% - Accent1 2 6 4 2" xfId="20607" xr:uid="{00000000-0005-0000-0000-00004A060000}"/>
    <cellStyle name="20% - Accent1 2 6 4 3" xfId="29484" xr:uid="{00000000-0005-0000-0000-00004B060000}"/>
    <cellStyle name="20% - Accent1 2 6 5" xfId="11552" xr:uid="{00000000-0005-0000-0000-00004C060000}"/>
    <cellStyle name="20% - Accent1 2 6 5 2" xfId="22826" xr:uid="{00000000-0005-0000-0000-00004D060000}"/>
    <cellStyle name="20% - Accent1 2 6 5 3" xfId="31703" xr:uid="{00000000-0005-0000-0000-00004E060000}"/>
    <cellStyle name="20% - Accent1 2 6 6" xfId="13773" xr:uid="{00000000-0005-0000-0000-00004F060000}"/>
    <cellStyle name="20% - Accent1 2 6 6 2" xfId="25045" xr:uid="{00000000-0005-0000-0000-000050060000}"/>
    <cellStyle name="20% - Accent1 2 6 6 3" xfId="33922" xr:uid="{00000000-0005-0000-0000-000051060000}"/>
    <cellStyle name="20% - Accent1 2 6 7" xfId="18382" xr:uid="{00000000-0005-0000-0000-000052060000}"/>
    <cellStyle name="20% - Accent1 2 6 8" xfId="27263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4" xr:uid="{00000000-0005-0000-0000-000057060000}"/>
    <cellStyle name="20% - Accent1 2 7 2 2 3" xfId="30961" xr:uid="{00000000-0005-0000-0000-000058060000}"/>
    <cellStyle name="20% - Accent1 2 7 2 3" xfId="13029" xr:uid="{00000000-0005-0000-0000-000059060000}"/>
    <cellStyle name="20% - Accent1 2 7 2 3 2" xfId="24303" xr:uid="{00000000-0005-0000-0000-00005A060000}"/>
    <cellStyle name="20% - Accent1 2 7 2 3 3" xfId="33180" xr:uid="{00000000-0005-0000-0000-00005B060000}"/>
    <cellStyle name="20% - Accent1 2 7 2 4" xfId="15479" xr:uid="{00000000-0005-0000-0000-00005C060000}"/>
    <cellStyle name="20% - Accent1 2 7 2 4 2" xfId="26522" xr:uid="{00000000-0005-0000-0000-00005D060000}"/>
    <cellStyle name="20% - Accent1 2 7 2 4 3" xfId="35399" xr:uid="{00000000-0005-0000-0000-00005E060000}"/>
    <cellStyle name="20% - Accent1 2 7 2 5" xfId="19865" xr:uid="{00000000-0005-0000-0000-00005F060000}"/>
    <cellStyle name="20% - Accent1 2 7 2 6" xfId="28742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1" xr:uid="{00000000-0005-0000-0000-000063060000}"/>
    <cellStyle name="20% - Accent1 2 7 3 2 3" xfId="30228" xr:uid="{00000000-0005-0000-0000-000064060000}"/>
    <cellStyle name="20% - Accent1 2 7 3 3" xfId="12296" xr:uid="{00000000-0005-0000-0000-000065060000}"/>
    <cellStyle name="20% - Accent1 2 7 3 3 2" xfId="23570" xr:uid="{00000000-0005-0000-0000-000066060000}"/>
    <cellStyle name="20% - Accent1 2 7 3 3 3" xfId="32447" xr:uid="{00000000-0005-0000-0000-000067060000}"/>
    <cellStyle name="20% - Accent1 2 7 3 4" xfId="14746" xr:uid="{00000000-0005-0000-0000-000068060000}"/>
    <cellStyle name="20% - Accent1 2 7 3 4 2" xfId="25789" xr:uid="{00000000-0005-0000-0000-000069060000}"/>
    <cellStyle name="20% - Accent1 2 7 3 4 3" xfId="34666" xr:uid="{00000000-0005-0000-0000-00006A060000}"/>
    <cellStyle name="20% - Accent1 2 7 3 5" xfId="19132" xr:uid="{00000000-0005-0000-0000-00006B060000}"/>
    <cellStyle name="20% - Accent1 2 7 3 6" xfId="28009" xr:uid="{00000000-0005-0000-0000-00006C060000}"/>
    <cellStyle name="20% - Accent1 2 7 4" xfId="9105" xr:uid="{00000000-0005-0000-0000-00006D060000}"/>
    <cellStyle name="20% - Accent1 2 7 4 2" xfId="20608" xr:uid="{00000000-0005-0000-0000-00006E060000}"/>
    <cellStyle name="20% - Accent1 2 7 4 3" xfId="29485" xr:uid="{00000000-0005-0000-0000-00006F060000}"/>
    <cellStyle name="20% - Accent1 2 7 5" xfId="11553" xr:uid="{00000000-0005-0000-0000-000070060000}"/>
    <cellStyle name="20% - Accent1 2 7 5 2" xfId="22827" xr:uid="{00000000-0005-0000-0000-000071060000}"/>
    <cellStyle name="20% - Accent1 2 7 5 3" xfId="31704" xr:uid="{00000000-0005-0000-0000-000072060000}"/>
    <cellStyle name="20% - Accent1 2 7 6" xfId="13774" xr:uid="{00000000-0005-0000-0000-000073060000}"/>
    <cellStyle name="20% - Accent1 2 7 6 2" xfId="25046" xr:uid="{00000000-0005-0000-0000-000074060000}"/>
    <cellStyle name="20% - Accent1 2 7 6 3" xfId="33923" xr:uid="{00000000-0005-0000-0000-000075060000}"/>
    <cellStyle name="20% - Accent1 2 7 7" xfId="18383" xr:uid="{00000000-0005-0000-0000-000076060000}"/>
    <cellStyle name="20% - Accent1 2 7 8" xfId="27264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5" xr:uid="{00000000-0005-0000-0000-00007B060000}"/>
    <cellStyle name="20% - Accent1 2 8 2 2 3" xfId="30962" xr:uid="{00000000-0005-0000-0000-00007C060000}"/>
    <cellStyle name="20% - Accent1 2 8 2 3" xfId="13030" xr:uid="{00000000-0005-0000-0000-00007D060000}"/>
    <cellStyle name="20% - Accent1 2 8 2 3 2" xfId="24304" xr:uid="{00000000-0005-0000-0000-00007E060000}"/>
    <cellStyle name="20% - Accent1 2 8 2 3 3" xfId="33181" xr:uid="{00000000-0005-0000-0000-00007F060000}"/>
    <cellStyle name="20% - Accent1 2 8 2 4" xfId="15480" xr:uid="{00000000-0005-0000-0000-000080060000}"/>
    <cellStyle name="20% - Accent1 2 8 2 4 2" xfId="26523" xr:uid="{00000000-0005-0000-0000-000081060000}"/>
    <cellStyle name="20% - Accent1 2 8 2 4 3" xfId="35400" xr:uid="{00000000-0005-0000-0000-000082060000}"/>
    <cellStyle name="20% - Accent1 2 8 2 5" xfId="19866" xr:uid="{00000000-0005-0000-0000-000083060000}"/>
    <cellStyle name="20% - Accent1 2 8 2 6" xfId="28743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2" xr:uid="{00000000-0005-0000-0000-000087060000}"/>
    <cellStyle name="20% - Accent1 2 8 3 2 3" xfId="30229" xr:uid="{00000000-0005-0000-0000-000088060000}"/>
    <cellStyle name="20% - Accent1 2 8 3 3" xfId="12297" xr:uid="{00000000-0005-0000-0000-000089060000}"/>
    <cellStyle name="20% - Accent1 2 8 3 3 2" xfId="23571" xr:uid="{00000000-0005-0000-0000-00008A060000}"/>
    <cellStyle name="20% - Accent1 2 8 3 3 3" xfId="32448" xr:uid="{00000000-0005-0000-0000-00008B060000}"/>
    <cellStyle name="20% - Accent1 2 8 3 4" xfId="14747" xr:uid="{00000000-0005-0000-0000-00008C060000}"/>
    <cellStyle name="20% - Accent1 2 8 3 4 2" xfId="25790" xr:uid="{00000000-0005-0000-0000-00008D060000}"/>
    <cellStyle name="20% - Accent1 2 8 3 4 3" xfId="34667" xr:uid="{00000000-0005-0000-0000-00008E060000}"/>
    <cellStyle name="20% - Accent1 2 8 3 5" xfId="19133" xr:uid="{00000000-0005-0000-0000-00008F060000}"/>
    <cellStyle name="20% - Accent1 2 8 3 6" xfId="28010" xr:uid="{00000000-0005-0000-0000-000090060000}"/>
    <cellStyle name="20% - Accent1 2 8 4" xfId="9106" xr:uid="{00000000-0005-0000-0000-000091060000}"/>
    <cellStyle name="20% - Accent1 2 8 4 2" xfId="20609" xr:uid="{00000000-0005-0000-0000-000092060000}"/>
    <cellStyle name="20% - Accent1 2 8 4 3" xfId="29486" xr:uid="{00000000-0005-0000-0000-000093060000}"/>
    <cellStyle name="20% - Accent1 2 8 5" xfId="11554" xr:uid="{00000000-0005-0000-0000-000094060000}"/>
    <cellStyle name="20% - Accent1 2 8 5 2" xfId="22828" xr:uid="{00000000-0005-0000-0000-000095060000}"/>
    <cellStyle name="20% - Accent1 2 8 5 3" xfId="31705" xr:uid="{00000000-0005-0000-0000-000096060000}"/>
    <cellStyle name="20% - Accent1 2 8 6" xfId="13775" xr:uid="{00000000-0005-0000-0000-000097060000}"/>
    <cellStyle name="20% - Accent1 2 8 6 2" xfId="25047" xr:uid="{00000000-0005-0000-0000-000098060000}"/>
    <cellStyle name="20% - Accent1 2 8 6 3" xfId="33924" xr:uid="{00000000-0005-0000-0000-000099060000}"/>
    <cellStyle name="20% - Accent1 2 8 7" xfId="18384" xr:uid="{00000000-0005-0000-0000-00009A060000}"/>
    <cellStyle name="20% - Accent1 2 8 8" xfId="27265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6" xr:uid="{00000000-0005-0000-0000-00009F060000}"/>
    <cellStyle name="20% - Accent1 2 9 2 2 3" xfId="30963" xr:uid="{00000000-0005-0000-0000-0000A0060000}"/>
    <cellStyle name="20% - Accent1 2 9 2 3" xfId="13031" xr:uid="{00000000-0005-0000-0000-0000A1060000}"/>
    <cellStyle name="20% - Accent1 2 9 2 3 2" xfId="24305" xr:uid="{00000000-0005-0000-0000-0000A2060000}"/>
    <cellStyle name="20% - Accent1 2 9 2 3 3" xfId="33182" xr:uid="{00000000-0005-0000-0000-0000A3060000}"/>
    <cellStyle name="20% - Accent1 2 9 2 4" xfId="15481" xr:uid="{00000000-0005-0000-0000-0000A4060000}"/>
    <cellStyle name="20% - Accent1 2 9 2 4 2" xfId="26524" xr:uid="{00000000-0005-0000-0000-0000A5060000}"/>
    <cellStyle name="20% - Accent1 2 9 2 4 3" xfId="35401" xr:uid="{00000000-0005-0000-0000-0000A6060000}"/>
    <cellStyle name="20% - Accent1 2 9 2 5" xfId="19867" xr:uid="{00000000-0005-0000-0000-0000A7060000}"/>
    <cellStyle name="20% - Accent1 2 9 2 6" xfId="28744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3" xr:uid="{00000000-0005-0000-0000-0000AB060000}"/>
    <cellStyle name="20% - Accent1 2 9 3 2 3" xfId="30230" xr:uid="{00000000-0005-0000-0000-0000AC060000}"/>
    <cellStyle name="20% - Accent1 2 9 3 3" xfId="12298" xr:uid="{00000000-0005-0000-0000-0000AD060000}"/>
    <cellStyle name="20% - Accent1 2 9 3 3 2" xfId="23572" xr:uid="{00000000-0005-0000-0000-0000AE060000}"/>
    <cellStyle name="20% - Accent1 2 9 3 3 3" xfId="32449" xr:uid="{00000000-0005-0000-0000-0000AF060000}"/>
    <cellStyle name="20% - Accent1 2 9 3 4" xfId="14748" xr:uid="{00000000-0005-0000-0000-0000B0060000}"/>
    <cellStyle name="20% - Accent1 2 9 3 4 2" xfId="25791" xr:uid="{00000000-0005-0000-0000-0000B1060000}"/>
    <cellStyle name="20% - Accent1 2 9 3 4 3" xfId="34668" xr:uid="{00000000-0005-0000-0000-0000B2060000}"/>
    <cellStyle name="20% - Accent1 2 9 3 5" xfId="19134" xr:uid="{00000000-0005-0000-0000-0000B3060000}"/>
    <cellStyle name="20% - Accent1 2 9 3 6" xfId="28011" xr:uid="{00000000-0005-0000-0000-0000B4060000}"/>
    <cellStyle name="20% - Accent1 2 9 4" xfId="9107" xr:uid="{00000000-0005-0000-0000-0000B5060000}"/>
    <cellStyle name="20% - Accent1 2 9 4 2" xfId="20610" xr:uid="{00000000-0005-0000-0000-0000B6060000}"/>
    <cellStyle name="20% - Accent1 2 9 4 3" xfId="29487" xr:uid="{00000000-0005-0000-0000-0000B7060000}"/>
    <cellStyle name="20% - Accent1 2 9 5" xfId="11555" xr:uid="{00000000-0005-0000-0000-0000B8060000}"/>
    <cellStyle name="20% - Accent1 2 9 5 2" xfId="22829" xr:uid="{00000000-0005-0000-0000-0000B9060000}"/>
    <cellStyle name="20% - Accent1 2 9 5 3" xfId="31706" xr:uid="{00000000-0005-0000-0000-0000BA060000}"/>
    <cellStyle name="20% - Accent1 2 9 6" xfId="13776" xr:uid="{00000000-0005-0000-0000-0000BB060000}"/>
    <cellStyle name="20% - Accent1 2 9 6 2" xfId="25048" xr:uid="{00000000-0005-0000-0000-0000BC060000}"/>
    <cellStyle name="20% - Accent1 2 9 6 3" xfId="33925" xr:uid="{00000000-0005-0000-0000-0000BD060000}"/>
    <cellStyle name="20% - Accent1 2 9 7" xfId="18385" xr:uid="{00000000-0005-0000-0000-0000BE060000}"/>
    <cellStyle name="20% - Accent1 2 9 8" xfId="27266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7" xr:uid="{00000000-0005-0000-0000-0000CD060000}"/>
    <cellStyle name="20% - Accent1 3 2 2 2 3" xfId="30964" xr:uid="{00000000-0005-0000-0000-0000CE060000}"/>
    <cellStyle name="20% - Accent1 3 2 2 3" xfId="13032" xr:uid="{00000000-0005-0000-0000-0000CF060000}"/>
    <cellStyle name="20% - Accent1 3 2 2 3 2" xfId="24306" xr:uid="{00000000-0005-0000-0000-0000D0060000}"/>
    <cellStyle name="20% - Accent1 3 2 2 3 3" xfId="33183" xr:uid="{00000000-0005-0000-0000-0000D1060000}"/>
    <cellStyle name="20% - Accent1 3 2 2 4" xfId="15482" xr:uid="{00000000-0005-0000-0000-0000D2060000}"/>
    <cellStyle name="20% - Accent1 3 2 2 4 2" xfId="26525" xr:uid="{00000000-0005-0000-0000-0000D3060000}"/>
    <cellStyle name="20% - Accent1 3 2 2 4 3" xfId="35402" xr:uid="{00000000-0005-0000-0000-0000D4060000}"/>
    <cellStyle name="20% - Accent1 3 2 2 5" xfId="19868" xr:uid="{00000000-0005-0000-0000-0000D5060000}"/>
    <cellStyle name="20% - Accent1 3 2 2 6" xfId="28745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4" xr:uid="{00000000-0005-0000-0000-0000D9060000}"/>
    <cellStyle name="20% - Accent1 3 2 3 2 3" xfId="30231" xr:uid="{00000000-0005-0000-0000-0000DA060000}"/>
    <cellStyle name="20% - Accent1 3 2 3 3" xfId="12299" xr:uid="{00000000-0005-0000-0000-0000DB060000}"/>
    <cellStyle name="20% - Accent1 3 2 3 3 2" xfId="23573" xr:uid="{00000000-0005-0000-0000-0000DC060000}"/>
    <cellStyle name="20% - Accent1 3 2 3 3 3" xfId="32450" xr:uid="{00000000-0005-0000-0000-0000DD060000}"/>
    <cellStyle name="20% - Accent1 3 2 3 4" xfId="14749" xr:uid="{00000000-0005-0000-0000-0000DE060000}"/>
    <cellStyle name="20% - Accent1 3 2 3 4 2" xfId="25792" xr:uid="{00000000-0005-0000-0000-0000DF060000}"/>
    <cellStyle name="20% - Accent1 3 2 3 4 3" xfId="34669" xr:uid="{00000000-0005-0000-0000-0000E0060000}"/>
    <cellStyle name="20% - Accent1 3 2 3 5" xfId="19135" xr:uid="{00000000-0005-0000-0000-0000E1060000}"/>
    <cellStyle name="20% - Accent1 3 2 3 6" xfId="28012" xr:uid="{00000000-0005-0000-0000-0000E2060000}"/>
    <cellStyle name="20% - Accent1 3 2 4" xfId="9108" xr:uid="{00000000-0005-0000-0000-0000E3060000}"/>
    <cellStyle name="20% - Accent1 3 2 4 2" xfId="20611" xr:uid="{00000000-0005-0000-0000-0000E4060000}"/>
    <cellStyle name="20% - Accent1 3 2 4 3" xfId="29488" xr:uid="{00000000-0005-0000-0000-0000E5060000}"/>
    <cellStyle name="20% - Accent1 3 2 5" xfId="11556" xr:uid="{00000000-0005-0000-0000-0000E6060000}"/>
    <cellStyle name="20% - Accent1 3 2 5 2" xfId="22830" xr:uid="{00000000-0005-0000-0000-0000E7060000}"/>
    <cellStyle name="20% - Accent1 3 2 5 3" xfId="31707" xr:uid="{00000000-0005-0000-0000-0000E8060000}"/>
    <cellStyle name="20% - Accent1 3 2 6" xfId="13777" xr:uid="{00000000-0005-0000-0000-0000E9060000}"/>
    <cellStyle name="20% - Accent1 3 2 6 2" xfId="25049" xr:uid="{00000000-0005-0000-0000-0000EA060000}"/>
    <cellStyle name="20% - Accent1 3 2 6 3" xfId="33926" xr:uid="{00000000-0005-0000-0000-0000EB060000}"/>
    <cellStyle name="20% - Accent1 3 2 7" xfId="18386" xr:uid="{00000000-0005-0000-0000-0000EC060000}"/>
    <cellStyle name="20% - Accent1 3 2 8" xfId="27267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8" xr:uid="{00000000-0005-0000-0000-0000F1060000}"/>
    <cellStyle name="20% - Accent1 3 3 2 2 3" xfId="30965" xr:uid="{00000000-0005-0000-0000-0000F2060000}"/>
    <cellStyle name="20% - Accent1 3 3 2 3" xfId="13033" xr:uid="{00000000-0005-0000-0000-0000F3060000}"/>
    <cellStyle name="20% - Accent1 3 3 2 3 2" xfId="24307" xr:uid="{00000000-0005-0000-0000-0000F4060000}"/>
    <cellStyle name="20% - Accent1 3 3 2 3 3" xfId="33184" xr:uid="{00000000-0005-0000-0000-0000F5060000}"/>
    <cellStyle name="20% - Accent1 3 3 2 4" xfId="15483" xr:uid="{00000000-0005-0000-0000-0000F6060000}"/>
    <cellStyle name="20% - Accent1 3 3 2 4 2" xfId="26526" xr:uid="{00000000-0005-0000-0000-0000F7060000}"/>
    <cellStyle name="20% - Accent1 3 3 2 4 3" xfId="35403" xr:uid="{00000000-0005-0000-0000-0000F8060000}"/>
    <cellStyle name="20% - Accent1 3 3 2 5" xfId="19869" xr:uid="{00000000-0005-0000-0000-0000F9060000}"/>
    <cellStyle name="20% - Accent1 3 3 2 6" xfId="28746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5" xr:uid="{00000000-0005-0000-0000-0000FD060000}"/>
    <cellStyle name="20% - Accent1 3 3 3 2 3" xfId="30232" xr:uid="{00000000-0005-0000-0000-0000FE060000}"/>
    <cellStyle name="20% - Accent1 3 3 3 3" xfId="12300" xr:uid="{00000000-0005-0000-0000-0000FF060000}"/>
    <cellStyle name="20% - Accent1 3 3 3 3 2" xfId="23574" xr:uid="{00000000-0005-0000-0000-000000070000}"/>
    <cellStyle name="20% - Accent1 3 3 3 3 3" xfId="32451" xr:uid="{00000000-0005-0000-0000-000001070000}"/>
    <cellStyle name="20% - Accent1 3 3 3 4" xfId="14750" xr:uid="{00000000-0005-0000-0000-000002070000}"/>
    <cellStyle name="20% - Accent1 3 3 3 4 2" xfId="25793" xr:uid="{00000000-0005-0000-0000-000003070000}"/>
    <cellStyle name="20% - Accent1 3 3 3 4 3" xfId="34670" xr:uid="{00000000-0005-0000-0000-000004070000}"/>
    <cellStyle name="20% - Accent1 3 3 3 5" xfId="19136" xr:uid="{00000000-0005-0000-0000-000005070000}"/>
    <cellStyle name="20% - Accent1 3 3 3 6" xfId="28013" xr:uid="{00000000-0005-0000-0000-000006070000}"/>
    <cellStyle name="20% - Accent1 3 3 4" xfId="9109" xr:uid="{00000000-0005-0000-0000-000007070000}"/>
    <cellStyle name="20% - Accent1 3 3 4 2" xfId="20612" xr:uid="{00000000-0005-0000-0000-000008070000}"/>
    <cellStyle name="20% - Accent1 3 3 4 3" xfId="29489" xr:uid="{00000000-0005-0000-0000-000009070000}"/>
    <cellStyle name="20% - Accent1 3 3 5" xfId="11557" xr:uid="{00000000-0005-0000-0000-00000A070000}"/>
    <cellStyle name="20% - Accent1 3 3 5 2" xfId="22831" xr:uid="{00000000-0005-0000-0000-00000B070000}"/>
    <cellStyle name="20% - Accent1 3 3 5 3" xfId="31708" xr:uid="{00000000-0005-0000-0000-00000C070000}"/>
    <cellStyle name="20% - Accent1 3 3 6" xfId="13778" xr:uid="{00000000-0005-0000-0000-00000D070000}"/>
    <cellStyle name="20% - Accent1 3 3 6 2" xfId="25050" xr:uid="{00000000-0005-0000-0000-00000E070000}"/>
    <cellStyle name="20% - Accent1 3 3 6 3" xfId="33927" xr:uid="{00000000-0005-0000-0000-00000F070000}"/>
    <cellStyle name="20% - Accent1 3 3 7" xfId="18387" xr:uid="{00000000-0005-0000-0000-000010070000}"/>
    <cellStyle name="20% - Accent1 3 3 8" xfId="27268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89" xr:uid="{00000000-0005-0000-0000-000015070000}"/>
    <cellStyle name="20% - Accent1 3 4 2 2 3" xfId="30966" xr:uid="{00000000-0005-0000-0000-000016070000}"/>
    <cellStyle name="20% - Accent1 3 4 2 3" xfId="13034" xr:uid="{00000000-0005-0000-0000-000017070000}"/>
    <cellStyle name="20% - Accent1 3 4 2 3 2" xfId="24308" xr:uid="{00000000-0005-0000-0000-000018070000}"/>
    <cellStyle name="20% - Accent1 3 4 2 3 3" xfId="33185" xr:uid="{00000000-0005-0000-0000-000019070000}"/>
    <cellStyle name="20% - Accent1 3 4 2 4" xfId="15484" xr:uid="{00000000-0005-0000-0000-00001A070000}"/>
    <cellStyle name="20% - Accent1 3 4 2 4 2" xfId="26527" xr:uid="{00000000-0005-0000-0000-00001B070000}"/>
    <cellStyle name="20% - Accent1 3 4 2 4 3" xfId="35404" xr:uid="{00000000-0005-0000-0000-00001C070000}"/>
    <cellStyle name="20% - Accent1 3 4 2 5" xfId="19870" xr:uid="{00000000-0005-0000-0000-00001D070000}"/>
    <cellStyle name="20% - Accent1 3 4 2 6" xfId="28747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6" xr:uid="{00000000-0005-0000-0000-000021070000}"/>
    <cellStyle name="20% - Accent1 3 4 3 2 3" xfId="30233" xr:uid="{00000000-0005-0000-0000-000022070000}"/>
    <cellStyle name="20% - Accent1 3 4 3 3" xfId="12301" xr:uid="{00000000-0005-0000-0000-000023070000}"/>
    <cellStyle name="20% - Accent1 3 4 3 3 2" xfId="23575" xr:uid="{00000000-0005-0000-0000-000024070000}"/>
    <cellStyle name="20% - Accent1 3 4 3 3 3" xfId="32452" xr:uid="{00000000-0005-0000-0000-000025070000}"/>
    <cellStyle name="20% - Accent1 3 4 3 4" xfId="14751" xr:uid="{00000000-0005-0000-0000-000026070000}"/>
    <cellStyle name="20% - Accent1 3 4 3 4 2" xfId="25794" xr:uid="{00000000-0005-0000-0000-000027070000}"/>
    <cellStyle name="20% - Accent1 3 4 3 4 3" xfId="34671" xr:uid="{00000000-0005-0000-0000-000028070000}"/>
    <cellStyle name="20% - Accent1 3 4 3 5" xfId="19137" xr:uid="{00000000-0005-0000-0000-000029070000}"/>
    <cellStyle name="20% - Accent1 3 4 3 6" xfId="28014" xr:uid="{00000000-0005-0000-0000-00002A070000}"/>
    <cellStyle name="20% - Accent1 3 4 4" xfId="9110" xr:uid="{00000000-0005-0000-0000-00002B070000}"/>
    <cellStyle name="20% - Accent1 3 4 4 2" xfId="20613" xr:uid="{00000000-0005-0000-0000-00002C070000}"/>
    <cellStyle name="20% - Accent1 3 4 4 3" xfId="29490" xr:uid="{00000000-0005-0000-0000-00002D070000}"/>
    <cellStyle name="20% - Accent1 3 4 5" xfId="11558" xr:uid="{00000000-0005-0000-0000-00002E070000}"/>
    <cellStyle name="20% - Accent1 3 4 5 2" xfId="22832" xr:uid="{00000000-0005-0000-0000-00002F070000}"/>
    <cellStyle name="20% - Accent1 3 4 5 3" xfId="31709" xr:uid="{00000000-0005-0000-0000-000030070000}"/>
    <cellStyle name="20% - Accent1 3 4 6" xfId="13779" xr:uid="{00000000-0005-0000-0000-000031070000}"/>
    <cellStyle name="20% - Accent1 3 4 6 2" xfId="25051" xr:uid="{00000000-0005-0000-0000-000032070000}"/>
    <cellStyle name="20% - Accent1 3 4 6 3" xfId="33928" xr:uid="{00000000-0005-0000-0000-000033070000}"/>
    <cellStyle name="20% - Accent1 3 4 7" xfId="18388" xr:uid="{00000000-0005-0000-0000-000034070000}"/>
    <cellStyle name="20% - Accent1 3 4 8" xfId="27269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0" xr:uid="{00000000-0005-0000-0000-000039070000}"/>
    <cellStyle name="20% - Accent1 3 5 2 2 3" xfId="30967" xr:uid="{00000000-0005-0000-0000-00003A070000}"/>
    <cellStyle name="20% - Accent1 3 5 2 3" xfId="13035" xr:uid="{00000000-0005-0000-0000-00003B070000}"/>
    <cellStyle name="20% - Accent1 3 5 2 3 2" xfId="24309" xr:uid="{00000000-0005-0000-0000-00003C070000}"/>
    <cellStyle name="20% - Accent1 3 5 2 3 3" xfId="33186" xr:uid="{00000000-0005-0000-0000-00003D070000}"/>
    <cellStyle name="20% - Accent1 3 5 2 4" xfId="15485" xr:uid="{00000000-0005-0000-0000-00003E070000}"/>
    <cellStyle name="20% - Accent1 3 5 2 4 2" xfId="26528" xr:uid="{00000000-0005-0000-0000-00003F070000}"/>
    <cellStyle name="20% - Accent1 3 5 2 4 3" xfId="35405" xr:uid="{00000000-0005-0000-0000-000040070000}"/>
    <cellStyle name="20% - Accent1 3 5 2 5" xfId="19871" xr:uid="{00000000-0005-0000-0000-000041070000}"/>
    <cellStyle name="20% - Accent1 3 5 2 6" xfId="28748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7" xr:uid="{00000000-0005-0000-0000-000045070000}"/>
    <cellStyle name="20% - Accent1 3 5 3 2 3" xfId="30234" xr:uid="{00000000-0005-0000-0000-000046070000}"/>
    <cellStyle name="20% - Accent1 3 5 3 3" xfId="12302" xr:uid="{00000000-0005-0000-0000-000047070000}"/>
    <cellStyle name="20% - Accent1 3 5 3 3 2" xfId="23576" xr:uid="{00000000-0005-0000-0000-000048070000}"/>
    <cellStyle name="20% - Accent1 3 5 3 3 3" xfId="32453" xr:uid="{00000000-0005-0000-0000-000049070000}"/>
    <cellStyle name="20% - Accent1 3 5 3 4" xfId="14752" xr:uid="{00000000-0005-0000-0000-00004A070000}"/>
    <cellStyle name="20% - Accent1 3 5 3 4 2" xfId="25795" xr:uid="{00000000-0005-0000-0000-00004B070000}"/>
    <cellStyle name="20% - Accent1 3 5 3 4 3" xfId="34672" xr:uid="{00000000-0005-0000-0000-00004C070000}"/>
    <cellStyle name="20% - Accent1 3 5 3 5" xfId="19138" xr:uid="{00000000-0005-0000-0000-00004D070000}"/>
    <cellStyle name="20% - Accent1 3 5 3 6" xfId="28015" xr:uid="{00000000-0005-0000-0000-00004E070000}"/>
    <cellStyle name="20% - Accent1 3 5 4" xfId="9111" xr:uid="{00000000-0005-0000-0000-00004F070000}"/>
    <cellStyle name="20% - Accent1 3 5 4 2" xfId="20614" xr:uid="{00000000-0005-0000-0000-000050070000}"/>
    <cellStyle name="20% - Accent1 3 5 4 3" xfId="29491" xr:uid="{00000000-0005-0000-0000-000051070000}"/>
    <cellStyle name="20% - Accent1 3 5 5" xfId="11559" xr:uid="{00000000-0005-0000-0000-000052070000}"/>
    <cellStyle name="20% - Accent1 3 5 5 2" xfId="22833" xr:uid="{00000000-0005-0000-0000-000053070000}"/>
    <cellStyle name="20% - Accent1 3 5 5 3" xfId="31710" xr:uid="{00000000-0005-0000-0000-000054070000}"/>
    <cellStyle name="20% - Accent1 3 5 6" xfId="13780" xr:uid="{00000000-0005-0000-0000-000055070000}"/>
    <cellStyle name="20% - Accent1 3 5 6 2" xfId="25052" xr:uid="{00000000-0005-0000-0000-000056070000}"/>
    <cellStyle name="20% - Accent1 3 5 6 3" xfId="33929" xr:uid="{00000000-0005-0000-0000-000057070000}"/>
    <cellStyle name="20% - Accent1 3 5 7" xfId="18389" xr:uid="{00000000-0005-0000-0000-000058070000}"/>
    <cellStyle name="20% - Accent1 3 5 8" xfId="27270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4" xr:uid="{00000000-0005-0000-0000-000072070000}"/>
    <cellStyle name="20% - Accent1 7 10 3" xfId="31711" xr:uid="{00000000-0005-0000-0000-000073070000}"/>
    <cellStyle name="20% - Accent1 7 11" xfId="13781" xr:uid="{00000000-0005-0000-0000-000074070000}"/>
    <cellStyle name="20% - Accent1 7 11 2" xfId="25053" xr:uid="{00000000-0005-0000-0000-000075070000}"/>
    <cellStyle name="20% - Accent1 7 11 3" xfId="33930" xr:uid="{00000000-0005-0000-0000-000076070000}"/>
    <cellStyle name="20% - Accent1 7 12" xfId="18390" xr:uid="{00000000-0005-0000-0000-000077070000}"/>
    <cellStyle name="20% - Accent1 7 13" xfId="27271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1" xr:uid="{00000000-0005-0000-0000-000080070000}"/>
    <cellStyle name="20% - Accent1 7 7 2 3" xfId="30968" xr:uid="{00000000-0005-0000-0000-000081070000}"/>
    <cellStyle name="20% - Accent1 7 7 3" xfId="13036" xr:uid="{00000000-0005-0000-0000-000082070000}"/>
    <cellStyle name="20% - Accent1 7 7 3 2" xfId="24310" xr:uid="{00000000-0005-0000-0000-000083070000}"/>
    <cellStyle name="20% - Accent1 7 7 3 3" xfId="33187" xr:uid="{00000000-0005-0000-0000-000084070000}"/>
    <cellStyle name="20% - Accent1 7 7 4" xfId="15486" xr:uid="{00000000-0005-0000-0000-000085070000}"/>
    <cellStyle name="20% - Accent1 7 7 4 2" xfId="26529" xr:uid="{00000000-0005-0000-0000-000086070000}"/>
    <cellStyle name="20% - Accent1 7 7 4 3" xfId="35406" xr:uid="{00000000-0005-0000-0000-000087070000}"/>
    <cellStyle name="20% - Accent1 7 7 5" xfId="19872" xr:uid="{00000000-0005-0000-0000-000088070000}"/>
    <cellStyle name="20% - Accent1 7 7 6" xfId="28749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8" xr:uid="{00000000-0005-0000-0000-00008C070000}"/>
    <cellStyle name="20% - Accent1 7 8 2 3" xfId="30235" xr:uid="{00000000-0005-0000-0000-00008D070000}"/>
    <cellStyle name="20% - Accent1 7 8 3" xfId="12303" xr:uid="{00000000-0005-0000-0000-00008E070000}"/>
    <cellStyle name="20% - Accent1 7 8 3 2" xfId="23577" xr:uid="{00000000-0005-0000-0000-00008F070000}"/>
    <cellStyle name="20% - Accent1 7 8 3 3" xfId="32454" xr:uid="{00000000-0005-0000-0000-000090070000}"/>
    <cellStyle name="20% - Accent1 7 8 4" xfId="14753" xr:uid="{00000000-0005-0000-0000-000091070000}"/>
    <cellStyle name="20% - Accent1 7 8 4 2" xfId="25796" xr:uid="{00000000-0005-0000-0000-000092070000}"/>
    <cellStyle name="20% - Accent1 7 8 4 3" xfId="34673" xr:uid="{00000000-0005-0000-0000-000093070000}"/>
    <cellStyle name="20% - Accent1 7 8 5" xfId="19139" xr:uid="{00000000-0005-0000-0000-000094070000}"/>
    <cellStyle name="20% - Accent1 7 8 6" xfId="28016" xr:uid="{00000000-0005-0000-0000-000095070000}"/>
    <cellStyle name="20% - Accent1 7 9" xfId="9112" xr:uid="{00000000-0005-0000-0000-000096070000}"/>
    <cellStyle name="20% - Accent1 7 9 2" xfId="20615" xr:uid="{00000000-0005-0000-0000-000097070000}"/>
    <cellStyle name="20% - Accent1 7 9 3" xfId="29492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47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2" xr:uid="{00000000-0005-0000-0000-0000BF070000}"/>
    <cellStyle name="20% - Accent2 2 10 2 2 3" xfId="30969" xr:uid="{00000000-0005-0000-0000-0000C0070000}"/>
    <cellStyle name="20% - Accent2 2 10 2 3" xfId="13037" xr:uid="{00000000-0005-0000-0000-0000C1070000}"/>
    <cellStyle name="20% - Accent2 2 10 2 3 2" xfId="24311" xr:uid="{00000000-0005-0000-0000-0000C2070000}"/>
    <cellStyle name="20% - Accent2 2 10 2 3 3" xfId="33188" xr:uid="{00000000-0005-0000-0000-0000C3070000}"/>
    <cellStyle name="20% - Accent2 2 10 2 4" xfId="15487" xr:uid="{00000000-0005-0000-0000-0000C4070000}"/>
    <cellStyle name="20% - Accent2 2 10 2 4 2" xfId="26530" xr:uid="{00000000-0005-0000-0000-0000C5070000}"/>
    <cellStyle name="20% - Accent2 2 10 2 4 3" xfId="35407" xr:uid="{00000000-0005-0000-0000-0000C6070000}"/>
    <cellStyle name="20% - Accent2 2 10 2 5" xfId="19873" xr:uid="{00000000-0005-0000-0000-0000C7070000}"/>
    <cellStyle name="20% - Accent2 2 10 2 6" xfId="28750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59" xr:uid="{00000000-0005-0000-0000-0000CB070000}"/>
    <cellStyle name="20% - Accent2 2 10 3 2 3" xfId="30236" xr:uid="{00000000-0005-0000-0000-0000CC070000}"/>
    <cellStyle name="20% - Accent2 2 10 3 3" xfId="12304" xr:uid="{00000000-0005-0000-0000-0000CD070000}"/>
    <cellStyle name="20% - Accent2 2 10 3 3 2" xfId="23578" xr:uid="{00000000-0005-0000-0000-0000CE070000}"/>
    <cellStyle name="20% - Accent2 2 10 3 3 3" xfId="32455" xr:uid="{00000000-0005-0000-0000-0000CF070000}"/>
    <cellStyle name="20% - Accent2 2 10 3 4" xfId="14754" xr:uid="{00000000-0005-0000-0000-0000D0070000}"/>
    <cellStyle name="20% - Accent2 2 10 3 4 2" xfId="25797" xr:uid="{00000000-0005-0000-0000-0000D1070000}"/>
    <cellStyle name="20% - Accent2 2 10 3 4 3" xfId="34674" xr:uid="{00000000-0005-0000-0000-0000D2070000}"/>
    <cellStyle name="20% - Accent2 2 10 3 5" xfId="19140" xr:uid="{00000000-0005-0000-0000-0000D3070000}"/>
    <cellStyle name="20% - Accent2 2 10 3 6" xfId="28017" xr:uid="{00000000-0005-0000-0000-0000D4070000}"/>
    <cellStyle name="20% - Accent2 2 10 4" xfId="9113" xr:uid="{00000000-0005-0000-0000-0000D5070000}"/>
    <cellStyle name="20% - Accent2 2 10 4 2" xfId="20616" xr:uid="{00000000-0005-0000-0000-0000D6070000}"/>
    <cellStyle name="20% - Accent2 2 10 4 3" xfId="29493" xr:uid="{00000000-0005-0000-0000-0000D7070000}"/>
    <cellStyle name="20% - Accent2 2 10 5" xfId="11561" xr:uid="{00000000-0005-0000-0000-0000D8070000}"/>
    <cellStyle name="20% - Accent2 2 10 5 2" xfId="22835" xr:uid="{00000000-0005-0000-0000-0000D9070000}"/>
    <cellStyle name="20% - Accent2 2 10 5 3" xfId="31712" xr:uid="{00000000-0005-0000-0000-0000DA070000}"/>
    <cellStyle name="20% - Accent2 2 10 6" xfId="13782" xr:uid="{00000000-0005-0000-0000-0000DB070000}"/>
    <cellStyle name="20% - Accent2 2 10 6 2" xfId="25054" xr:uid="{00000000-0005-0000-0000-0000DC070000}"/>
    <cellStyle name="20% - Accent2 2 10 6 3" xfId="33931" xr:uid="{00000000-0005-0000-0000-0000DD070000}"/>
    <cellStyle name="20% - Accent2 2 10 7" xfId="18391" xr:uid="{00000000-0005-0000-0000-0000DE070000}"/>
    <cellStyle name="20% - Accent2 2 10 8" xfId="27272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3" xr:uid="{00000000-0005-0000-0000-0000E4070000}"/>
    <cellStyle name="20% - Accent2 2 11 2 2 2 3" xfId="30970" xr:uid="{00000000-0005-0000-0000-0000E5070000}"/>
    <cellStyle name="20% - Accent2 2 11 2 2 3" xfId="13038" xr:uid="{00000000-0005-0000-0000-0000E6070000}"/>
    <cellStyle name="20% - Accent2 2 11 2 2 3 2" xfId="24312" xr:uid="{00000000-0005-0000-0000-0000E7070000}"/>
    <cellStyle name="20% - Accent2 2 11 2 2 3 3" xfId="33189" xr:uid="{00000000-0005-0000-0000-0000E8070000}"/>
    <cellStyle name="20% - Accent2 2 11 2 2 4" xfId="15488" xr:uid="{00000000-0005-0000-0000-0000E9070000}"/>
    <cellStyle name="20% - Accent2 2 11 2 2 4 2" xfId="26531" xr:uid="{00000000-0005-0000-0000-0000EA070000}"/>
    <cellStyle name="20% - Accent2 2 11 2 2 4 3" xfId="35408" xr:uid="{00000000-0005-0000-0000-0000EB070000}"/>
    <cellStyle name="20% - Accent2 2 11 2 2 5" xfId="19874" xr:uid="{00000000-0005-0000-0000-0000EC070000}"/>
    <cellStyle name="20% - Accent2 2 11 2 2 6" xfId="28751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0" xr:uid="{00000000-0005-0000-0000-0000F0070000}"/>
    <cellStyle name="20% - Accent2 2 11 2 3 2 3" xfId="30237" xr:uid="{00000000-0005-0000-0000-0000F1070000}"/>
    <cellStyle name="20% - Accent2 2 11 2 3 3" xfId="12305" xr:uid="{00000000-0005-0000-0000-0000F2070000}"/>
    <cellStyle name="20% - Accent2 2 11 2 3 3 2" xfId="23579" xr:uid="{00000000-0005-0000-0000-0000F3070000}"/>
    <cellStyle name="20% - Accent2 2 11 2 3 3 3" xfId="32456" xr:uid="{00000000-0005-0000-0000-0000F4070000}"/>
    <cellStyle name="20% - Accent2 2 11 2 3 4" xfId="14755" xr:uid="{00000000-0005-0000-0000-0000F5070000}"/>
    <cellStyle name="20% - Accent2 2 11 2 3 4 2" xfId="25798" xr:uid="{00000000-0005-0000-0000-0000F6070000}"/>
    <cellStyle name="20% - Accent2 2 11 2 3 4 3" xfId="34675" xr:uid="{00000000-0005-0000-0000-0000F7070000}"/>
    <cellStyle name="20% - Accent2 2 11 2 3 5" xfId="19141" xr:uid="{00000000-0005-0000-0000-0000F8070000}"/>
    <cellStyle name="20% - Accent2 2 11 2 3 6" xfId="28018" xr:uid="{00000000-0005-0000-0000-0000F9070000}"/>
    <cellStyle name="20% - Accent2 2 11 2 4" xfId="9114" xr:uid="{00000000-0005-0000-0000-0000FA070000}"/>
    <cellStyle name="20% - Accent2 2 11 2 4 2" xfId="20617" xr:uid="{00000000-0005-0000-0000-0000FB070000}"/>
    <cellStyle name="20% - Accent2 2 11 2 4 3" xfId="29494" xr:uid="{00000000-0005-0000-0000-0000FC070000}"/>
    <cellStyle name="20% - Accent2 2 11 2 5" xfId="11562" xr:uid="{00000000-0005-0000-0000-0000FD070000}"/>
    <cellStyle name="20% - Accent2 2 11 2 5 2" xfId="22836" xr:uid="{00000000-0005-0000-0000-0000FE070000}"/>
    <cellStyle name="20% - Accent2 2 11 2 5 3" xfId="31713" xr:uid="{00000000-0005-0000-0000-0000FF070000}"/>
    <cellStyle name="20% - Accent2 2 11 2 6" xfId="13783" xr:uid="{00000000-0005-0000-0000-000000080000}"/>
    <cellStyle name="20% - Accent2 2 11 2 6 2" xfId="25055" xr:uid="{00000000-0005-0000-0000-000001080000}"/>
    <cellStyle name="20% - Accent2 2 11 2 6 3" xfId="33932" xr:uid="{00000000-0005-0000-0000-000002080000}"/>
    <cellStyle name="20% - Accent2 2 11 2 7" xfId="18392" xr:uid="{00000000-0005-0000-0000-000003080000}"/>
    <cellStyle name="20% - Accent2 2 11 2 8" xfId="27273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4" xr:uid="{00000000-0005-0000-0000-000008080000}"/>
    <cellStyle name="20% - Accent2 2 11 3 2 2 3" xfId="30971" xr:uid="{00000000-0005-0000-0000-000009080000}"/>
    <cellStyle name="20% - Accent2 2 11 3 2 3" xfId="13039" xr:uid="{00000000-0005-0000-0000-00000A080000}"/>
    <cellStyle name="20% - Accent2 2 11 3 2 3 2" xfId="24313" xr:uid="{00000000-0005-0000-0000-00000B080000}"/>
    <cellStyle name="20% - Accent2 2 11 3 2 3 3" xfId="33190" xr:uid="{00000000-0005-0000-0000-00000C080000}"/>
    <cellStyle name="20% - Accent2 2 11 3 2 4" xfId="15489" xr:uid="{00000000-0005-0000-0000-00000D080000}"/>
    <cellStyle name="20% - Accent2 2 11 3 2 4 2" xfId="26532" xr:uid="{00000000-0005-0000-0000-00000E080000}"/>
    <cellStyle name="20% - Accent2 2 11 3 2 4 3" xfId="35409" xr:uid="{00000000-0005-0000-0000-00000F080000}"/>
    <cellStyle name="20% - Accent2 2 11 3 2 5" xfId="19875" xr:uid="{00000000-0005-0000-0000-000010080000}"/>
    <cellStyle name="20% - Accent2 2 11 3 2 6" xfId="28752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1" xr:uid="{00000000-0005-0000-0000-000014080000}"/>
    <cellStyle name="20% - Accent2 2 11 3 3 2 3" xfId="30238" xr:uid="{00000000-0005-0000-0000-000015080000}"/>
    <cellStyle name="20% - Accent2 2 11 3 3 3" xfId="12306" xr:uid="{00000000-0005-0000-0000-000016080000}"/>
    <cellStyle name="20% - Accent2 2 11 3 3 3 2" xfId="23580" xr:uid="{00000000-0005-0000-0000-000017080000}"/>
    <cellStyle name="20% - Accent2 2 11 3 3 3 3" xfId="32457" xr:uid="{00000000-0005-0000-0000-000018080000}"/>
    <cellStyle name="20% - Accent2 2 11 3 3 4" xfId="14756" xr:uid="{00000000-0005-0000-0000-000019080000}"/>
    <cellStyle name="20% - Accent2 2 11 3 3 4 2" xfId="25799" xr:uid="{00000000-0005-0000-0000-00001A080000}"/>
    <cellStyle name="20% - Accent2 2 11 3 3 4 3" xfId="34676" xr:uid="{00000000-0005-0000-0000-00001B080000}"/>
    <cellStyle name="20% - Accent2 2 11 3 3 5" xfId="19142" xr:uid="{00000000-0005-0000-0000-00001C080000}"/>
    <cellStyle name="20% - Accent2 2 11 3 3 6" xfId="28019" xr:uid="{00000000-0005-0000-0000-00001D080000}"/>
    <cellStyle name="20% - Accent2 2 11 3 4" xfId="9115" xr:uid="{00000000-0005-0000-0000-00001E080000}"/>
    <cellStyle name="20% - Accent2 2 11 3 4 2" xfId="20618" xr:uid="{00000000-0005-0000-0000-00001F080000}"/>
    <cellStyle name="20% - Accent2 2 11 3 4 3" xfId="29495" xr:uid="{00000000-0005-0000-0000-000020080000}"/>
    <cellStyle name="20% - Accent2 2 11 3 5" xfId="11563" xr:uid="{00000000-0005-0000-0000-000021080000}"/>
    <cellStyle name="20% - Accent2 2 11 3 5 2" xfId="22837" xr:uid="{00000000-0005-0000-0000-000022080000}"/>
    <cellStyle name="20% - Accent2 2 11 3 5 3" xfId="31714" xr:uid="{00000000-0005-0000-0000-000023080000}"/>
    <cellStyle name="20% - Accent2 2 11 3 6" xfId="13784" xr:uid="{00000000-0005-0000-0000-000024080000}"/>
    <cellStyle name="20% - Accent2 2 11 3 6 2" xfId="25056" xr:uid="{00000000-0005-0000-0000-000025080000}"/>
    <cellStyle name="20% - Accent2 2 11 3 6 3" xfId="33933" xr:uid="{00000000-0005-0000-0000-000026080000}"/>
    <cellStyle name="20% - Accent2 2 11 3 7" xfId="18393" xr:uid="{00000000-0005-0000-0000-000027080000}"/>
    <cellStyle name="20% - Accent2 2 11 3 8" xfId="27274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5" xr:uid="{00000000-0005-0000-0000-00002C080000}"/>
    <cellStyle name="20% - Accent2 2 11 4 2 2 3" xfId="30972" xr:uid="{00000000-0005-0000-0000-00002D080000}"/>
    <cellStyle name="20% - Accent2 2 11 4 2 3" xfId="13040" xr:uid="{00000000-0005-0000-0000-00002E080000}"/>
    <cellStyle name="20% - Accent2 2 11 4 2 3 2" xfId="24314" xr:uid="{00000000-0005-0000-0000-00002F080000}"/>
    <cellStyle name="20% - Accent2 2 11 4 2 3 3" xfId="33191" xr:uid="{00000000-0005-0000-0000-000030080000}"/>
    <cellStyle name="20% - Accent2 2 11 4 2 4" xfId="15490" xr:uid="{00000000-0005-0000-0000-000031080000}"/>
    <cellStyle name="20% - Accent2 2 11 4 2 4 2" xfId="26533" xr:uid="{00000000-0005-0000-0000-000032080000}"/>
    <cellStyle name="20% - Accent2 2 11 4 2 4 3" xfId="35410" xr:uid="{00000000-0005-0000-0000-000033080000}"/>
    <cellStyle name="20% - Accent2 2 11 4 2 5" xfId="19876" xr:uid="{00000000-0005-0000-0000-000034080000}"/>
    <cellStyle name="20% - Accent2 2 11 4 2 6" xfId="28753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2" xr:uid="{00000000-0005-0000-0000-000038080000}"/>
    <cellStyle name="20% - Accent2 2 11 4 3 2 3" xfId="30239" xr:uid="{00000000-0005-0000-0000-000039080000}"/>
    <cellStyle name="20% - Accent2 2 11 4 3 3" xfId="12307" xr:uid="{00000000-0005-0000-0000-00003A080000}"/>
    <cellStyle name="20% - Accent2 2 11 4 3 3 2" xfId="23581" xr:uid="{00000000-0005-0000-0000-00003B080000}"/>
    <cellStyle name="20% - Accent2 2 11 4 3 3 3" xfId="32458" xr:uid="{00000000-0005-0000-0000-00003C080000}"/>
    <cellStyle name="20% - Accent2 2 11 4 3 4" xfId="14757" xr:uid="{00000000-0005-0000-0000-00003D080000}"/>
    <cellStyle name="20% - Accent2 2 11 4 3 4 2" xfId="25800" xr:uid="{00000000-0005-0000-0000-00003E080000}"/>
    <cellStyle name="20% - Accent2 2 11 4 3 4 3" xfId="34677" xr:uid="{00000000-0005-0000-0000-00003F080000}"/>
    <cellStyle name="20% - Accent2 2 11 4 3 5" xfId="19143" xr:uid="{00000000-0005-0000-0000-000040080000}"/>
    <cellStyle name="20% - Accent2 2 11 4 3 6" xfId="28020" xr:uid="{00000000-0005-0000-0000-000041080000}"/>
    <cellStyle name="20% - Accent2 2 11 4 4" xfId="9116" xr:uid="{00000000-0005-0000-0000-000042080000}"/>
    <cellStyle name="20% - Accent2 2 11 4 4 2" xfId="20619" xr:uid="{00000000-0005-0000-0000-000043080000}"/>
    <cellStyle name="20% - Accent2 2 11 4 4 3" xfId="29496" xr:uid="{00000000-0005-0000-0000-000044080000}"/>
    <cellStyle name="20% - Accent2 2 11 4 5" xfId="11564" xr:uid="{00000000-0005-0000-0000-000045080000}"/>
    <cellStyle name="20% - Accent2 2 11 4 5 2" xfId="22838" xr:uid="{00000000-0005-0000-0000-000046080000}"/>
    <cellStyle name="20% - Accent2 2 11 4 5 3" xfId="31715" xr:uid="{00000000-0005-0000-0000-000047080000}"/>
    <cellStyle name="20% - Accent2 2 11 4 6" xfId="13785" xr:uid="{00000000-0005-0000-0000-000048080000}"/>
    <cellStyle name="20% - Accent2 2 11 4 6 2" xfId="25057" xr:uid="{00000000-0005-0000-0000-000049080000}"/>
    <cellStyle name="20% - Accent2 2 11 4 6 3" xfId="33934" xr:uid="{00000000-0005-0000-0000-00004A080000}"/>
    <cellStyle name="20% - Accent2 2 11 4 7" xfId="18394" xr:uid="{00000000-0005-0000-0000-00004B080000}"/>
    <cellStyle name="20% - Accent2 2 11 4 8" xfId="27275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6" xr:uid="{00000000-0005-0000-0000-000050080000}"/>
    <cellStyle name="20% - Accent2 2 11 5 2 2 3" xfId="30973" xr:uid="{00000000-0005-0000-0000-000051080000}"/>
    <cellStyle name="20% - Accent2 2 11 5 2 3" xfId="13041" xr:uid="{00000000-0005-0000-0000-000052080000}"/>
    <cellStyle name="20% - Accent2 2 11 5 2 3 2" xfId="24315" xr:uid="{00000000-0005-0000-0000-000053080000}"/>
    <cellStyle name="20% - Accent2 2 11 5 2 3 3" xfId="33192" xr:uid="{00000000-0005-0000-0000-000054080000}"/>
    <cellStyle name="20% - Accent2 2 11 5 2 4" xfId="15491" xr:uid="{00000000-0005-0000-0000-000055080000}"/>
    <cellStyle name="20% - Accent2 2 11 5 2 4 2" xfId="26534" xr:uid="{00000000-0005-0000-0000-000056080000}"/>
    <cellStyle name="20% - Accent2 2 11 5 2 4 3" xfId="35411" xr:uid="{00000000-0005-0000-0000-000057080000}"/>
    <cellStyle name="20% - Accent2 2 11 5 2 5" xfId="19877" xr:uid="{00000000-0005-0000-0000-000058080000}"/>
    <cellStyle name="20% - Accent2 2 11 5 2 6" xfId="28754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3" xr:uid="{00000000-0005-0000-0000-00005C080000}"/>
    <cellStyle name="20% - Accent2 2 11 5 3 2 3" xfId="30240" xr:uid="{00000000-0005-0000-0000-00005D080000}"/>
    <cellStyle name="20% - Accent2 2 11 5 3 3" xfId="12308" xr:uid="{00000000-0005-0000-0000-00005E080000}"/>
    <cellStyle name="20% - Accent2 2 11 5 3 3 2" xfId="23582" xr:uid="{00000000-0005-0000-0000-00005F080000}"/>
    <cellStyle name="20% - Accent2 2 11 5 3 3 3" xfId="32459" xr:uid="{00000000-0005-0000-0000-000060080000}"/>
    <cellStyle name="20% - Accent2 2 11 5 3 4" xfId="14758" xr:uid="{00000000-0005-0000-0000-000061080000}"/>
    <cellStyle name="20% - Accent2 2 11 5 3 4 2" xfId="25801" xr:uid="{00000000-0005-0000-0000-000062080000}"/>
    <cellStyle name="20% - Accent2 2 11 5 3 4 3" xfId="34678" xr:uid="{00000000-0005-0000-0000-000063080000}"/>
    <cellStyle name="20% - Accent2 2 11 5 3 5" xfId="19144" xr:uid="{00000000-0005-0000-0000-000064080000}"/>
    <cellStyle name="20% - Accent2 2 11 5 3 6" xfId="28021" xr:uid="{00000000-0005-0000-0000-000065080000}"/>
    <cellStyle name="20% - Accent2 2 11 5 4" xfId="9117" xr:uid="{00000000-0005-0000-0000-000066080000}"/>
    <cellStyle name="20% - Accent2 2 11 5 4 2" xfId="20620" xr:uid="{00000000-0005-0000-0000-000067080000}"/>
    <cellStyle name="20% - Accent2 2 11 5 4 3" xfId="29497" xr:uid="{00000000-0005-0000-0000-000068080000}"/>
    <cellStyle name="20% - Accent2 2 11 5 5" xfId="11565" xr:uid="{00000000-0005-0000-0000-000069080000}"/>
    <cellStyle name="20% - Accent2 2 11 5 5 2" xfId="22839" xr:uid="{00000000-0005-0000-0000-00006A080000}"/>
    <cellStyle name="20% - Accent2 2 11 5 5 3" xfId="31716" xr:uid="{00000000-0005-0000-0000-00006B080000}"/>
    <cellStyle name="20% - Accent2 2 11 5 6" xfId="13786" xr:uid="{00000000-0005-0000-0000-00006C080000}"/>
    <cellStyle name="20% - Accent2 2 11 5 6 2" xfId="25058" xr:uid="{00000000-0005-0000-0000-00006D080000}"/>
    <cellStyle name="20% - Accent2 2 11 5 6 3" xfId="33935" xr:uid="{00000000-0005-0000-0000-00006E080000}"/>
    <cellStyle name="20% - Accent2 2 11 5 7" xfId="18395" xr:uid="{00000000-0005-0000-0000-00006F080000}"/>
    <cellStyle name="20% - Accent2 2 11 5 8" xfId="27276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7" xr:uid="{00000000-0005-0000-0000-000077080000}"/>
    <cellStyle name="20% - Accent2 2 15 2 2 3" xfId="30974" xr:uid="{00000000-0005-0000-0000-000078080000}"/>
    <cellStyle name="20% - Accent2 2 15 2 3" xfId="13042" xr:uid="{00000000-0005-0000-0000-000079080000}"/>
    <cellStyle name="20% - Accent2 2 15 2 3 2" xfId="24316" xr:uid="{00000000-0005-0000-0000-00007A080000}"/>
    <cellStyle name="20% - Accent2 2 15 2 3 3" xfId="33193" xr:uid="{00000000-0005-0000-0000-00007B080000}"/>
    <cellStyle name="20% - Accent2 2 15 2 4" xfId="15492" xr:uid="{00000000-0005-0000-0000-00007C080000}"/>
    <cellStyle name="20% - Accent2 2 15 2 4 2" xfId="26535" xr:uid="{00000000-0005-0000-0000-00007D080000}"/>
    <cellStyle name="20% - Accent2 2 15 2 4 3" xfId="35412" xr:uid="{00000000-0005-0000-0000-00007E080000}"/>
    <cellStyle name="20% - Accent2 2 15 2 5" xfId="19878" xr:uid="{00000000-0005-0000-0000-00007F080000}"/>
    <cellStyle name="20% - Accent2 2 15 2 6" xfId="28755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4" xr:uid="{00000000-0005-0000-0000-000083080000}"/>
    <cellStyle name="20% - Accent2 2 15 3 2 3" xfId="30241" xr:uid="{00000000-0005-0000-0000-000084080000}"/>
    <cellStyle name="20% - Accent2 2 15 3 3" xfId="12309" xr:uid="{00000000-0005-0000-0000-000085080000}"/>
    <cellStyle name="20% - Accent2 2 15 3 3 2" xfId="23583" xr:uid="{00000000-0005-0000-0000-000086080000}"/>
    <cellStyle name="20% - Accent2 2 15 3 3 3" xfId="32460" xr:uid="{00000000-0005-0000-0000-000087080000}"/>
    <cellStyle name="20% - Accent2 2 15 3 4" xfId="14759" xr:uid="{00000000-0005-0000-0000-000088080000}"/>
    <cellStyle name="20% - Accent2 2 15 3 4 2" xfId="25802" xr:uid="{00000000-0005-0000-0000-000089080000}"/>
    <cellStyle name="20% - Accent2 2 15 3 4 3" xfId="34679" xr:uid="{00000000-0005-0000-0000-00008A080000}"/>
    <cellStyle name="20% - Accent2 2 15 3 5" xfId="19145" xr:uid="{00000000-0005-0000-0000-00008B080000}"/>
    <cellStyle name="20% - Accent2 2 15 3 6" xfId="28022" xr:uid="{00000000-0005-0000-0000-00008C080000}"/>
    <cellStyle name="20% - Accent2 2 15 4" xfId="9118" xr:uid="{00000000-0005-0000-0000-00008D080000}"/>
    <cellStyle name="20% - Accent2 2 15 4 2" xfId="20621" xr:uid="{00000000-0005-0000-0000-00008E080000}"/>
    <cellStyle name="20% - Accent2 2 15 4 3" xfId="29498" xr:uid="{00000000-0005-0000-0000-00008F080000}"/>
    <cellStyle name="20% - Accent2 2 15 5" xfId="11566" xr:uid="{00000000-0005-0000-0000-000090080000}"/>
    <cellStyle name="20% - Accent2 2 15 5 2" xfId="22840" xr:uid="{00000000-0005-0000-0000-000091080000}"/>
    <cellStyle name="20% - Accent2 2 15 5 3" xfId="31717" xr:uid="{00000000-0005-0000-0000-000092080000}"/>
    <cellStyle name="20% - Accent2 2 15 6" xfId="13787" xr:uid="{00000000-0005-0000-0000-000093080000}"/>
    <cellStyle name="20% - Accent2 2 15 6 2" xfId="25059" xr:uid="{00000000-0005-0000-0000-000094080000}"/>
    <cellStyle name="20% - Accent2 2 15 6 3" xfId="33936" xr:uid="{00000000-0005-0000-0000-000095080000}"/>
    <cellStyle name="20% - Accent2 2 15 7" xfId="18396" xr:uid="{00000000-0005-0000-0000-000096080000}"/>
    <cellStyle name="20% - Accent2 2 15 8" xfId="27277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8" xr:uid="{00000000-0005-0000-0000-00009C080000}"/>
    <cellStyle name="20% - Accent2 2 2 10 2 3" xfId="30975" xr:uid="{00000000-0005-0000-0000-00009D080000}"/>
    <cellStyle name="20% - Accent2 2 2 10 3" xfId="13043" xr:uid="{00000000-0005-0000-0000-00009E080000}"/>
    <cellStyle name="20% - Accent2 2 2 10 3 2" xfId="24317" xr:uid="{00000000-0005-0000-0000-00009F080000}"/>
    <cellStyle name="20% - Accent2 2 2 10 3 3" xfId="33194" xr:uid="{00000000-0005-0000-0000-0000A0080000}"/>
    <cellStyle name="20% - Accent2 2 2 10 4" xfId="15493" xr:uid="{00000000-0005-0000-0000-0000A1080000}"/>
    <cellStyle name="20% - Accent2 2 2 10 4 2" xfId="26536" xr:uid="{00000000-0005-0000-0000-0000A2080000}"/>
    <cellStyle name="20% - Accent2 2 2 10 4 3" xfId="35413" xr:uid="{00000000-0005-0000-0000-0000A3080000}"/>
    <cellStyle name="20% - Accent2 2 2 10 5" xfId="19879" xr:uid="{00000000-0005-0000-0000-0000A4080000}"/>
    <cellStyle name="20% - Accent2 2 2 10 6" xfId="28756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5" xr:uid="{00000000-0005-0000-0000-0000A8080000}"/>
    <cellStyle name="20% - Accent2 2 2 11 2 3" xfId="30242" xr:uid="{00000000-0005-0000-0000-0000A9080000}"/>
    <cellStyle name="20% - Accent2 2 2 11 3" xfId="12310" xr:uid="{00000000-0005-0000-0000-0000AA080000}"/>
    <cellStyle name="20% - Accent2 2 2 11 3 2" xfId="23584" xr:uid="{00000000-0005-0000-0000-0000AB080000}"/>
    <cellStyle name="20% - Accent2 2 2 11 3 3" xfId="32461" xr:uid="{00000000-0005-0000-0000-0000AC080000}"/>
    <cellStyle name="20% - Accent2 2 2 11 4" xfId="14760" xr:uid="{00000000-0005-0000-0000-0000AD080000}"/>
    <cellStyle name="20% - Accent2 2 2 11 4 2" xfId="25803" xr:uid="{00000000-0005-0000-0000-0000AE080000}"/>
    <cellStyle name="20% - Accent2 2 2 11 4 3" xfId="34680" xr:uid="{00000000-0005-0000-0000-0000AF080000}"/>
    <cellStyle name="20% - Accent2 2 2 11 5" xfId="19146" xr:uid="{00000000-0005-0000-0000-0000B0080000}"/>
    <cellStyle name="20% - Accent2 2 2 11 6" xfId="28023" xr:uid="{00000000-0005-0000-0000-0000B1080000}"/>
    <cellStyle name="20% - Accent2 2 2 12" xfId="9119" xr:uid="{00000000-0005-0000-0000-0000B2080000}"/>
    <cellStyle name="20% - Accent2 2 2 12 2" xfId="20622" xr:uid="{00000000-0005-0000-0000-0000B3080000}"/>
    <cellStyle name="20% - Accent2 2 2 12 3" xfId="29499" xr:uid="{00000000-0005-0000-0000-0000B4080000}"/>
    <cellStyle name="20% - Accent2 2 2 13" xfId="11567" xr:uid="{00000000-0005-0000-0000-0000B5080000}"/>
    <cellStyle name="20% - Accent2 2 2 13 2" xfId="22841" xr:uid="{00000000-0005-0000-0000-0000B6080000}"/>
    <cellStyle name="20% - Accent2 2 2 13 3" xfId="31718" xr:uid="{00000000-0005-0000-0000-0000B7080000}"/>
    <cellStyle name="20% - Accent2 2 2 14" xfId="13788" xr:uid="{00000000-0005-0000-0000-0000B8080000}"/>
    <cellStyle name="20% - Accent2 2 2 14 2" xfId="25060" xr:uid="{00000000-0005-0000-0000-0000B9080000}"/>
    <cellStyle name="20% - Accent2 2 2 14 3" xfId="33937" xr:uid="{00000000-0005-0000-0000-0000BA080000}"/>
    <cellStyle name="20% - Accent2 2 2 15" xfId="18397" xr:uid="{00000000-0005-0000-0000-0000BB080000}"/>
    <cellStyle name="20% - Accent2 2 2 16" xfId="27278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099" xr:uid="{00000000-0005-0000-0000-0000C0080000}"/>
    <cellStyle name="20% - Accent2 2 2 2 2 2 3" xfId="30976" xr:uid="{00000000-0005-0000-0000-0000C1080000}"/>
    <cellStyle name="20% - Accent2 2 2 2 2 3" xfId="13044" xr:uid="{00000000-0005-0000-0000-0000C2080000}"/>
    <cellStyle name="20% - Accent2 2 2 2 2 3 2" xfId="24318" xr:uid="{00000000-0005-0000-0000-0000C3080000}"/>
    <cellStyle name="20% - Accent2 2 2 2 2 3 3" xfId="33195" xr:uid="{00000000-0005-0000-0000-0000C4080000}"/>
    <cellStyle name="20% - Accent2 2 2 2 2 4" xfId="15494" xr:uid="{00000000-0005-0000-0000-0000C5080000}"/>
    <cellStyle name="20% - Accent2 2 2 2 2 4 2" xfId="26537" xr:uid="{00000000-0005-0000-0000-0000C6080000}"/>
    <cellStyle name="20% - Accent2 2 2 2 2 4 3" xfId="35414" xr:uid="{00000000-0005-0000-0000-0000C7080000}"/>
    <cellStyle name="20% - Accent2 2 2 2 2 5" xfId="19880" xr:uid="{00000000-0005-0000-0000-0000C8080000}"/>
    <cellStyle name="20% - Accent2 2 2 2 2 6" xfId="28757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6" xr:uid="{00000000-0005-0000-0000-0000CC080000}"/>
    <cellStyle name="20% - Accent2 2 2 2 3 2 3" xfId="30243" xr:uid="{00000000-0005-0000-0000-0000CD080000}"/>
    <cellStyle name="20% - Accent2 2 2 2 3 3" xfId="12311" xr:uid="{00000000-0005-0000-0000-0000CE080000}"/>
    <cellStyle name="20% - Accent2 2 2 2 3 3 2" xfId="23585" xr:uid="{00000000-0005-0000-0000-0000CF080000}"/>
    <cellStyle name="20% - Accent2 2 2 2 3 3 3" xfId="32462" xr:uid="{00000000-0005-0000-0000-0000D0080000}"/>
    <cellStyle name="20% - Accent2 2 2 2 3 4" xfId="14761" xr:uid="{00000000-0005-0000-0000-0000D1080000}"/>
    <cellStyle name="20% - Accent2 2 2 2 3 4 2" xfId="25804" xr:uid="{00000000-0005-0000-0000-0000D2080000}"/>
    <cellStyle name="20% - Accent2 2 2 2 3 4 3" xfId="34681" xr:uid="{00000000-0005-0000-0000-0000D3080000}"/>
    <cellStyle name="20% - Accent2 2 2 2 3 5" xfId="19147" xr:uid="{00000000-0005-0000-0000-0000D4080000}"/>
    <cellStyle name="20% - Accent2 2 2 2 3 6" xfId="28024" xr:uid="{00000000-0005-0000-0000-0000D5080000}"/>
    <cellStyle name="20% - Accent2 2 2 2 4" xfId="9120" xr:uid="{00000000-0005-0000-0000-0000D6080000}"/>
    <cellStyle name="20% - Accent2 2 2 2 4 2" xfId="20623" xr:uid="{00000000-0005-0000-0000-0000D7080000}"/>
    <cellStyle name="20% - Accent2 2 2 2 4 3" xfId="29500" xr:uid="{00000000-0005-0000-0000-0000D8080000}"/>
    <cellStyle name="20% - Accent2 2 2 2 5" xfId="11568" xr:uid="{00000000-0005-0000-0000-0000D9080000}"/>
    <cellStyle name="20% - Accent2 2 2 2 5 2" xfId="22842" xr:uid="{00000000-0005-0000-0000-0000DA080000}"/>
    <cellStyle name="20% - Accent2 2 2 2 5 3" xfId="31719" xr:uid="{00000000-0005-0000-0000-0000DB080000}"/>
    <cellStyle name="20% - Accent2 2 2 2 6" xfId="13789" xr:uid="{00000000-0005-0000-0000-0000DC080000}"/>
    <cellStyle name="20% - Accent2 2 2 2 6 2" xfId="25061" xr:uid="{00000000-0005-0000-0000-0000DD080000}"/>
    <cellStyle name="20% - Accent2 2 2 2 6 3" xfId="33938" xr:uid="{00000000-0005-0000-0000-0000DE080000}"/>
    <cellStyle name="20% - Accent2 2 2 2 7" xfId="18398" xr:uid="{00000000-0005-0000-0000-0000DF080000}"/>
    <cellStyle name="20% - Accent2 2 2 2 8" xfId="27279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0" xr:uid="{00000000-0005-0000-0000-0000E4080000}"/>
    <cellStyle name="20% - Accent2 2 2 3 2 2 3" xfId="30977" xr:uid="{00000000-0005-0000-0000-0000E5080000}"/>
    <cellStyle name="20% - Accent2 2 2 3 2 3" xfId="13045" xr:uid="{00000000-0005-0000-0000-0000E6080000}"/>
    <cellStyle name="20% - Accent2 2 2 3 2 3 2" xfId="24319" xr:uid="{00000000-0005-0000-0000-0000E7080000}"/>
    <cellStyle name="20% - Accent2 2 2 3 2 3 3" xfId="33196" xr:uid="{00000000-0005-0000-0000-0000E8080000}"/>
    <cellStyle name="20% - Accent2 2 2 3 2 4" xfId="15495" xr:uid="{00000000-0005-0000-0000-0000E9080000}"/>
    <cellStyle name="20% - Accent2 2 2 3 2 4 2" xfId="26538" xr:uid="{00000000-0005-0000-0000-0000EA080000}"/>
    <cellStyle name="20% - Accent2 2 2 3 2 4 3" xfId="35415" xr:uid="{00000000-0005-0000-0000-0000EB080000}"/>
    <cellStyle name="20% - Accent2 2 2 3 2 5" xfId="19881" xr:uid="{00000000-0005-0000-0000-0000EC080000}"/>
    <cellStyle name="20% - Accent2 2 2 3 2 6" xfId="28758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7" xr:uid="{00000000-0005-0000-0000-0000F0080000}"/>
    <cellStyle name="20% - Accent2 2 2 3 3 2 3" xfId="30244" xr:uid="{00000000-0005-0000-0000-0000F1080000}"/>
    <cellStyle name="20% - Accent2 2 2 3 3 3" xfId="12312" xr:uid="{00000000-0005-0000-0000-0000F2080000}"/>
    <cellStyle name="20% - Accent2 2 2 3 3 3 2" xfId="23586" xr:uid="{00000000-0005-0000-0000-0000F3080000}"/>
    <cellStyle name="20% - Accent2 2 2 3 3 3 3" xfId="32463" xr:uid="{00000000-0005-0000-0000-0000F4080000}"/>
    <cellStyle name="20% - Accent2 2 2 3 3 4" xfId="14762" xr:uid="{00000000-0005-0000-0000-0000F5080000}"/>
    <cellStyle name="20% - Accent2 2 2 3 3 4 2" xfId="25805" xr:uid="{00000000-0005-0000-0000-0000F6080000}"/>
    <cellStyle name="20% - Accent2 2 2 3 3 4 3" xfId="34682" xr:uid="{00000000-0005-0000-0000-0000F7080000}"/>
    <cellStyle name="20% - Accent2 2 2 3 3 5" xfId="19148" xr:uid="{00000000-0005-0000-0000-0000F8080000}"/>
    <cellStyle name="20% - Accent2 2 2 3 3 6" xfId="28025" xr:uid="{00000000-0005-0000-0000-0000F9080000}"/>
    <cellStyle name="20% - Accent2 2 2 3 4" xfId="9121" xr:uid="{00000000-0005-0000-0000-0000FA080000}"/>
    <cellStyle name="20% - Accent2 2 2 3 4 2" xfId="20624" xr:uid="{00000000-0005-0000-0000-0000FB080000}"/>
    <cellStyle name="20% - Accent2 2 2 3 4 3" xfId="29501" xr:uid="{00000000-0005-0000-0000-0000FC080000}"/>
    <cellStyle name="20% - Accent2 2 2 3 5" xfId="11569" xr:uid="{00000000-0005-0000-0000-0000FD080000}"/>
    <cellStyle name="20% - Accent2 2 2 3 5 2" xfId="22843" xr:uid="{00000000-0005-0000-0000-0000FE080000}"/>
    <cellStyle name="20% - Accent2 2 2 3 5 3" xfId="31720" xr:uid="{00000000-0005-0000-0000-0000FF080000}"/>
    <cellStyle name="20% - Accent2 2 2 3 6" xfId="13790" xr:uid="{00000000-0005-0000-0000-000000090000}"/>
    <cellStyle name="20% - Accent2 2 2 3 6 2" xfId="25062" xr:uid="{00000000-0005-0000-0000-000001090000}"/>
    <cellStyle name="20% - Accent2 2 2 3 6 3" xfId="33939" xr:uid="{00000000-0005-0000-0000-000002090000}"/>
    <cellStyle name="20% - Accent2 2 2 3 7" xfId="18399" xr:uid="{00000000-0005-0000-0000-000003090000}"/>
    <cellStyle name="20% - Accent2 2 2 3 8" xfId="27280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1" xr:uid="{00000000-0005-0000-0000-000008090000}"/>
    <cellStyle name="20% - Accent2 2 2 4 2 2 3" xfId="30978" xr:uid="{00000000-0005-0000-0000-000009090000}"/>
    <cellStyle name="20% - Accent2 2 2 4 2 3" xfId="13046" xr:uid="{00000000-0005-0000-0000-00000A090000}"/>
    <cellStyle name="20% - Accent2 2 2 4 2 3 2" xfId="24320" xr:uid="{00000000-0005-0000-0000-00000B090000}"/>
    <cellStyle name="20% - Accent2 2 2 4 2 3 3" xfId="33197" xr:uid="{00000000-0005-0000-0000-00000C090000}"/>
    <cellStyle name="20% - Accent2 2 2 4 2 4" xfId="15496" xr:uid="{00000000-0005-0000-0000-00000D090000}"/>
    <cellStyle name="20% - Accent2 2 2 4 2 4 2" xfId="26539" xr:uid="{00000000-0005-0000-0000-00000E090000}"/>
    <cellStyle name="20% - Accent2 2 2 4 2 4 3" xfId="35416" xr:uid="{00000000-0005-0000-0000-00000F090000}"/>
    <cellStyle name="20% - Accent2 2 2 4 2 5" xfId="19882" xr:uid="{00000000-0005-0000-0000-000010090000}"/>
    <cellStyle name="20% - Accent2 2 2 4 2 6" xfId="28759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8" xr:uid="{00000000-0005-0000-0000-000014090000}"/>
    <cellStyle name="20% - Accent2 2 2 4 3 2 3" xfId="30245" xr:uid="{00000000-0005-0000-0000-000015090000}"/>
    <cellStyle name="20% - Accent2 2 2 4 3 3" xfId="12313" xr:uid="{00000000-0005-0000-0000-000016090000}"/>
    <cellStyle name="20% - Accent2 2 2 4 3 3 2" xfId="23587" xr:uid="{00000000-0005-0000-0000-000017090000}"/>
    <cellStyle name="20% - Accent2 2 2 4 3 3 3" xfId="32464" xr:uid="{00000000-0005-0000-0000-000018090000}"/>
    <cellStyle name="20% - Accent2 2 2 4 3 4" xfId="14763" xr:uid="{00000000-0005-0000-0000-000019090000}"/>
    <cellStyle name="20% - Accent2 2 2 4 3 4 2" xfId="25806" xr:uid="{00000000-0005-0000-0000-00001A090000}"/>
    <cellStyle name="20% - Accent2 2 2 4 3 4 3" xfId="34683" xr:uid="{00000000-0005-0000-0000-00001B090000}"/>
    <cellStyle name="20% - Accent2 2 2 4 3 5" xfId="19149" xr:uid="{00000000-0005-0000-0000-00001C090000}"/>
    <cellStyle name="20% - Accent2 2 2 4 3 6" xfId="28026" xr:uid="{00000000-0005-0000-0000-00001D090000}"/>
    <cellStyle name="20% - Accent2 2 2 4 4" xfId="9122" xr:uid="{00000000-0005-0000-0000-00001E090000}"/>
    <cellStyle name="20% - Accent2 2 2 4 4 2" xfId="20625" xr:uid="{00000000-0005-0000-0000-00001F090000}"/>
    <cellStyle name="20% - Accent2 2 2 4 4 3" xfId="29502" xr:uid="{00000000-0005-0000-0000-000020090000}"/>
    <cellStyle name="20% - Accent2 2 2 4 5" xfId="11570" xr:uid="{00000000-0005-0000-0000-000021090000}"/>
    <cellStyle name="20% - Accent2 2 2 4 5 2" xfId="22844" xr:uid="{00000000-0005-0000-0000-000022090000}"/>
    <cellStyle name="20% - Accent2 2 2 4 5 3" xfId="31721" xr:uid="{00000000-0005-0000-0000-000023090000}"/>
    <cellStyle name="20% - Accent2 2 2 4 6" xfId="13791" xr:uid="{00000000-0005-0000-0000-000024090000}"/>
    <cellStyle name="20% - Accent2 2 2 4 6 2" xfId="25063" xr:uid="{00000000-0005-0000-0000-000025090000}"/>
    <cellStyle name="20% - Accent2 2 2 4 6 3" xfId="33940" xr:uid="{00000000-0005-0000-0000-000026090000}"/>
    <cellStyle name="20% - Accent2 2 2 4 7" xfId="18400" xr:uid="{00000000-0005-0000-0000-000027090000}"/>
    <cellStyle name="20% - Accent2 2 2 4 8" xfId="27281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2" xr:uid="{00000000-0005-0000-0000-00002C090000}"/>
    <cellStyle name="20% - Accent2 2 2 5 2 2 3" xfId="30979" xr:uid="{00000000-0005-0000-0000-00002D090000}"/>
    <cellStyle name="20% - Accent2 2 2 5 2 3" xfId="13047" xr:uid="{00000000-0005-0000-0000-00002E090000}"/>
    <cellStyle name="20% - Accent2 2 2 5 2 3 2" xfId="24321" xr:uid="{00000000-0005-0000-0000-00002F090000}"/>
    <cellStyle name="20% - Accent2 2 2 5 2 3 3" xfId="33198" xr:uid="{00000000-0005-0000-0000-000030090000}"/>
    <cellStyle name="20% - Accent2 2 2 5 2 4" xfId="15497" xr:uid="{00000000-0005-0000-0000-000031090000}"/>
    <cellStyle name="20% - Accent2 2 2 5 2 4 2" xfId="26540" xr:uid="{00000000-0005-0000-0000-000032090000}"/>
    <cellStyle name="20% - Accent2 2 2 5 2 4 3" xfId="35417" xr:uid="{00000000-0005-0000-0000-000033090000}"/>
    <cellStyle name="20% - Accent2 2 2 5 2 5" xfId="19883" xr:uid="{00000000-0005-0000-0000-000034090000}"/>
    <cellStyle name="20% - Accent2 2 2 5 2 6" xfId="28760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69" xr:uid="{00000000-0005-0000-0000-000038090000}"/>
    <cellStyle name="20% - Accent2 2 2 5 3 2 3" xfId="30246" xr:uid="{00000000-0005-0000-0000-000039090000}"/>
    <cellStyle name="20% - Accent2 2 2 5 3 3" xfId="12314" xr:uid="{00000000-0005-0000-0000-00003A090000}"/>
    <cellStyle name="20% - Accent2 2 2 5 3 3 2" xfId="23588" xr:uid="{00000000-0005-0000-0000-00003B090000}"/>
    <cellStyle name="20% - Accent2 2 2 5 3 3 3" xfId="32465" xr:uid="{00000000-0005-0000-0000-00003C090000}"/>
    <cellStyle name="20% - Accent2 2 2 5 3 4" xfId="14764" xr:uid="{00000000-0005-0000-0000-00003D090000}"/>
    <cellStyle name="20% - Accent2 2 2 5 3 4 2" xfId="25807" xr:uid="{00000000-0005-0000-0000-00003E090000}"/>
    <cellStyle name="20% - Accent2 2 2 5 3 4 3" xfId="34684" xr:uid="{00000000-0005-0000-0000-00003F090000}"/>
    <cellStyle name="20% - Accent2 2 2 5 3 5" xfId="19150" xr:uid="{00000000-0005-0000-0000-000040090000}"/>
    <cellStyle name="20% - Accent2 2 2 5 3 6" xfId="28027" xr:uid="{00000000-0005-0000-0000-000041090000}"/>
    <cellStyle name="20% - Accent2 2 2 5 4" xfId="9123" xr:uid="{00000000-0005-0000-0000-000042090000}"/>
    <cellStyle name="20% - Accent2 2 2 5 4 2" xfId="20626" xr:uid="{00000000-0005-0000-0000-000043090000}"/>
    <cellStyle name="20% - Accent2 2 2 5 4 3" xfId="29503" xr:uid="{00000000-0005-0000-0000-000044090000}"/>
    <cellStyle name="20% - Accent2 2 2 5 5" xfId="11571" xr:uid="{00000000-0005-0000-0000-000045090000}"/>
    <cellStyle name="20% - Accent2 2 2 5 5 2" xfId="22845" xr:uid="{00000000-0005-0000-0000-000046090000}"/>
    <cellStyle name="20% - Accent2 2 2 5 5 3" xfId="31722" xr:uid="{00000000-0005-0000-0000-000047090000}"/>
    <cellStyle name="20% - Accent2 2 2 5 6" xfId="13792" xr:uid="{00000000-0005-0000-0000-000048090000}"/>
    <cellStyle name="20% - Accent2 2 2 5 6 2" xfId="25064" xr:uid="{00000000-0005-0000-0000-000049090000}"/>
    <cellStyle name="20% - Accent2 2 2 5 6 3" xfId="33941" xr:uid="{00000000-0005-0000-0000-00004A090000}"/>
    <cellStyle name="20% - Accent2 2 2 5 7" xfId="18401" xr:uid="{00000000-0005-0000-0000-00004B090000}"/>
    <cellStyle name="20% - Accent2 2 2 5 8" xfId="27282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3" xr:uid="{00000000-0005-0000-0000-000050090000}"/>
    <cellStyle name="20% - Accent2 2 2 6 2 2 3" xfId="30980" xr:uid="{00000000-0005-0000-0000-000051090000}"/>
    <cellStyle name="20% - Accent2 2 2 6 2 3" xfId="13048" xr:uid="{00000000-0005-0000-0000-000052090000}"/>
    <cellStyle name="20% - Accent2 2 2 6 2 3 2" xfId="24322" xr:uid="{00000000-0005-0000-0000-000053090000}"/>
    <cellStyle name="20% - Accent2 2 2 6 2 3 3" xfId="33199" xr:uid="{00000000-0005-0000-0000-000054090000}"/>
    <cellStyle name="20% - Accent2 2 2 6 2 4" xfId="15498" xr:uid="{00000000-0005-0000-0000-000055090000}"/>
    <cellStyle name="20% - Accent2 2 2 6 2 4 2" xfId="26541" xr:uid="{00000000-0005-0000-0000-000056090000}"/>
    <cellStyle name="20% - Accent2 2 2 6 2 4 3" xfId="35418" xr:uid="{00000000-0005-0000-0000-000057090000}"/>
    <cellStyle name="20% - Accent2 2 2 6 2 5" xfId="19884" xr:uid="{00000000-0005-0000-0000-000058090000}"/>
    <cellStyle name="20% - Accent2 2 2 6 2 6" xfId="28761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0" xr:uid="{00000000-0005-0000-0000-00005C090000}"/>
    <cellStyle name="20% - Accent2 2 2 6 3 2 3" xfId="30247" xr:uid="{00000000-0005-0000-0000-00005D090000}"/>
    <cellStyle name="20% - Accent2 2 2 6 3 3" xfId="12315" xr:uid="{00000000-0005-0000-0000-00005E090000}"/>
    <cellStyle name="20% - Accent2 2 2 6 3 3 2" xfId="23589" xr:uid="{00000000-0005-0000-0000-00005F090000}"/>
    <cellStyle name="20% - Accent2 2 2 6 3 3 3" xfId="32466" xr:uid="{00000000-0005-0000-0000-000060090000}"/>
    <cellStyle name="20% - Accent2 2 2 6 3 4" xfId="14765" xr:uid="{00000000-0005-0000-0000-000061090000}"/>
    <cellStyle name="20% - Accent2 2 2 6 3 4 2" xfId="25808" xr:uid="{00000000-0005-0000-0000-000062090000}"/>
    <cellStyle name="20% - Accent2 2 2 6 3 4 3" xfId="34685" xr:uid="{00000000-0005-0000-0000-000063090000}"/>
    <cellStyle name="20% - Accent2 2 2 6 3 5" xfId="19151" xr:uid="{00000000-0005-0000-0000-000064090000}"/>
    <cellStyle name="20% - Accent2 2 2 6 3 6" xfId="28028" xr:uid="{00000000-0005-0000-0000-000065090000}"/>
    <cellStyle name="20% - Accent2 2 2 6 4" xfId="9124" xr:uid="{00000000-0005-0000-0000-000066090000}"/>
    <cellStyle name="20% - Accent2 2 2 6 4 2" xfId="20627" xr:uid="{00000000-0005-0000-0000-000067090000}"/>
    <cellStyle name="20% - Accent2 2 2 6 4 3" xfId="29504" xr:uid="{00000000-0005-0000-0000-000068090000}"/>
    <cellStyle name="20% - Accent2 2 2 6 5" xfId="11572" xr:uid="{00000000-0005-0000-0000-000069090000}"/>
    <cellStyle name="20% - Accent2 2 2 6 5 2" xfId="22846" xr:uid="{00000000-0005-0000-0000-00006A090000}"/>
    <cellStyle name="20% - Accent2 2 2 6 5 3" xfId="31723" xr:uid="{00000000-0005-0000-0000-00006B090000}"/>
    <cellStyle name="20% - Accent2 2 2 6 6" xfId="13793" xr:uid="{00000000-0005-0000-0000-00006C090000}"/>
    <cellStyle name="20% - Accent2 2 2 6 6 2" xfId="25065" xr:uid="{00000000-0005-0000-0000-00006D090000}"/>
    <cellStyle name="20% - Accent2 2 2 6 6 3" xfId="33942" xr:uid="{00000000-0005-0000-0000-00006E090000}"/>
    <cellStyle name="20% - Accent2 2 2 6 7" xfId="18402" xr:uid="{00000000-0005-0000-0000-00006F090000}"/>
    <cellStyle name="20% - Accent2 2 2 6 8" xfId="27283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4" xr:uid="{00000000-0005-0000-0000-000074090000}"/>
    <cellStyle name="20% - Accent2 2 2 7 2 2 3" xfId="30981" xr:uid="{00000000-0005-0000-0000-000075090000}"/>
    <cellStyle name="20% - Accent2 2 2 7 2 3" xfId="13049" xr:uid="{00000000-0005-0000-0000-000076090000}"/>
    <cellStyle name="20% - Accent2 2 2 7 2 3 2" xfId="24323" xr:uid="{00000000-0005-0000-0000-000077090000}"/>
    <cellStyle name="20% - Accent2 2 2 7 2 3 3" xfId="33200" xr:uid="{00000000-0005-0000-0000-000078090000}"/>
    <cellStyle name="20% - Accent2 2 2 7 2 4" xfId="15499" xr:uid="{00000000-0005-0000-0000-000079090000}"/>
    <cellStyle name="20% - Accent2 2 2 7 2 4 2" xfId="26542" xr:uid="{00000000-0005-0000-0000-00007A090000}"/>
    <cellStyle name="20% - Accent2 2 2 7 2 4 3" xfId="35419" xr:uid="{00000000-0005-0000-0000-00007B090000}"/>
    <cellStyle name="20% - Accent2 2 2 7 2 5" xfId="19885" xr:uid="{00000000-0005-0000-0000-00007C090000}"/>
    <cellStyle name="20% - Accent2 2 2 7 2 6" xfId="28762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1" xr:uid="{00000000-0005-0000-0000-000080090000}"/>
    <cellStyle name="20% - Accent2 2 2 7 3 2 3" xfId="30248" xr:uid="{00000000-0005-0000-0000-000081090000}"/>
    <cellStyle name="20% - Accent2 2 2 7 3 3" xfId="12316" xr:uid="{00000000-0005-0000-0000-000082090000}"/>
    <cellStyle name="20% - Accent2 2 2 7 3 3 2" xfId="23590" xr:uid="{00000000-0005-0000-0000-000083090000}"/>
    <cellStyle name="20% - Accent2 2 2 7 3 3 3" xfId="32467" xr:uid="{00000000-0005-0000-0000-000084090000}"/>
    <cellStyle name="20% - Accent2 2 2 7 3 4" xfId="14766" xr:uid="{00000000-0005-0000-0000-000085090000}"/>
    <cellStyle name="20% - Accent2 2 2 7 3 4 2" xfId="25809" xr:uid="{00000000-0005-0000-0000-000086090000}"/>
    <cellStyle name="20% - Accent2 2 2 7 3 4 3" xfId="34686" xr:uid="{00000000-0005-0000-0000-000087090000}"/>
    <cellStyle name="20% - Accent2 2 2 7 3 5" xfId="19152" xr:uid="{00000000-0005-0000-0000-000088090000}"/>
    <cellStyle name="20% - Accent2 2 2 7 3 6" xfId="28029" xr:uid="{00000000-0005-0000-0000-000089090000}"/>
    <cellStyle name="20% - Accent2 2 2 7 4" xfId="9125" xr:uid="{00000000-0005-0000-0000-00008A090000}"/>
    <cellStyle name="20% - Accent2 2 2 7 4 2" xfId="20628" xr:uid="{00000000-0005-0000-0000-00008B090000}"/>
    <cellStyle name="20% - Accent2 2 2 7 4 3" xfId="29505" xr:uid="{00000000-0005-0000-0000-00008C090000}"/>
    <cellStyle name="20% - Accent2 2 2 7 5" xfId="11573" xr:uid="{00000000-0005-0000-0000-00008D090000}"/>
    <cellStyle name="20% - Accent2 2 2 7 5 2" xfId="22847" xr:uid="{00000000-0005-0000-0000-00008E090000}"/>
    <cellStyle name="20% - Accent2 2 2 7 5 3" xfId="31724" xr:uid="{00000000-0005-0000-0000-00008F090000}"/>
    <cellStyle name="20% - Accent2 2 2 7 6" xfId="13794" xr:uid="{00000000-0005-0000-0000-000090090000}"/>
    <cellStyle name="20% - Accent2 2 2 7 6 2" xfId="25066" xr:uid="{00000000-0005-0000-0000-000091090000}"/>
    <cellStyle name="20% - Accent2 2 2 7 6 3" xfId="33943" xr:uid="{00000000-0005-0000-0000-000092090000}"/>
    <cellStyle name="20% - Accent2 2 2 7 7" xfId="18403" xr:uid="{00000000-0005-0000-0000-000093090000}"/>
    <cellStyle name="20% - Accent2 2 2 7 8" xfId="27284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5" xr:uid="{00000000-0005-0000-0000-000098090000}"/>
    <cellStyle name="20% - Accent2 2 2 8 2 2 3" xfId="30982" xr:uid="{00000000-0005-0000-0000-000099090000}"/>
    <cellStyle name="20% - Accent2 2 2 8 2 3" xfId="13050" xr:uid="{00000000-0005-0000-0000-00009A090000}"/>
    <cellStyle name="20% - Accent2 2 2 8 2 3 2" xfId="24324" xr:uid="{00000000-0005-0000-0000-00009B090000}"/>
    <cellStyle name="20% - Accent2 2 2 8 2 3 3" xfId="33201" xr:uid="{00000000-0005-0000-0000-00009C090000}"/>
    <cellStyle name="20% - Accent2 2 2 8 2 4" xfId="15500" xr:uid="{00000000-0005-0000-0000-00009D090000}"/>
    <cellStyle name="20% - Accent2 2 2 8 2 4 2" xfId="26543" xr:uid="{00000000-0005-0000-0000-00009E090000}"/>
    <cellStyle name="20% - Accent2 2 2 8 2 4 3" xfId="35420" xr:uid="{00000000-0005-0000-0000-00009F090000}"/>
    <cellStyle name="20% - Accent2 2 2 8 2 5" xfId="19886" xr:uid="{00000000-0005-0000-0000-0000A0090000}"/>
    <cellStyle name="20% - Accent2 2 2 8 2 6" xfId="28763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2" xr:uid="{00000000-0005-0000-0000-0000A4090000}"/>
    <cellStyle name="20% - Accent2 2 2 8 3 2 3" xfId="30249" xr:uid="{00000000-0005-0000-0000-0000A5090000}"/>
    <cellStyle name="20% - Accent2 2 2 8 3 3" xfId="12317" xr:uid="{00000000-0005-0000-0000-0000A6090000}"/>
    <cellStyle name="20% - Accent2 2 2 8 3 3 2" xfId="23591" xr:uid="{00000000-0005-0000-0000-0000A7090000}"/>
    <cellStyle name="20% - Accent2 2 2 8 3 3 3" xfId="32468" xr:uid="{00000000-0005-0000-0000-0000A8090000}"/>
    <cellStyle name="20% - Accent2 2 2 8 3 4" xfId="14767" xr:uid="{00000000-0005-0000-0000-0000A9090000}"/>
    <cellStyle name="20% - Accent2 2 2 8 3 4 2" xfId="25810" xr:uid="{00000000-0005-0000-0000-0000AA090000}"/>
    <cellStyle name="20% - Accent2 2 2 8 3 4 3" xfId="34687" xr:uid="{00000000-0005-0000-0000-0000AB090000}"/>
    <cellStyle name="20% - Accent2 2 2 8 3 5" xfId="19153" xr:uid="{00000000-0005-0000-0000-0000AC090000}"/>
    <cellStyle name="20% - Accent2 2 2 8 3 6" xfId="28030" xr:uid="{00000000-0005-0000-0000-0000AD090000}"/>
    <cellStyle name="20% - Accent2 2 2 8 4" xfId="9126" xr:uid="{00000000-0005-0000-0000-0000AE090000}"/>
    <cellStyle name="20% - Accent2 2 2 8 4 2" xfId="20629" xr:uid="{00000000-0005-0000-0000-0000AF090000}"/>
    <cellStyle name="20% - Accent2 2 2 8 4 3" xfId="29506" xr:uid="{00000000-0005-0000-0000-0000B0090000}"/>
    <cellStyle name="20% - Accent2 2 2 8 5" xfId="11574" xr:uid="{00000000-0005-0000-0000-0000B1090000}"/>
    <cellStyle name="20% - Accent2 2 2 8 5 2" xfId="22848" xr:uid="{00000000-0005-0000-0000-0000B2090000}"/>
    <cellStyle name="20% - Accent2 2 2 8 5 3" xfId="31725" xr:uid="{00000000-0005-0000-0000-0000B3090000}"/>
    <cellStyle name="20% - Accent2 2 2 8 6" xfId="13795" xr:uid="{00000000-0005-0000-0000-0000B4090000}"/>
    <cellStyle name="20% - Accent2 2 2 8 6 2" xfId="25067" xr:uid="{00000000-0005-0000-0000-0000B5090000}"/>
    <cellStyle name="20% - Accent2 2 2 8 6 3" xfId="33944" xr:uid="{00000000-0005-0000-0000-0000B6090000}"/>
    <cellStyle name="20% - Accent2 2 2 8 7" xfId="18404" xr:uid="{00000000-0005-0000-0000-0000B7090000}"/>
    <cellStyle name="20% - Accent2 2 2 8 8" xfId="27285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6" xr:uid="{00000000-0005-0000-0000-0000BC090000}"/>
    <cellStyle name="20% - Accent2 2 2 9 2 2 3" xfId="30983" xr:uid="{00000000-0005-0000-0000-0000BD090000}"/>
    <cellStyle name="20% - Accent2 2 2 9 2 3" xfId="13051" xr:uid="{00000000-0005-0000-0000-0000BE090000}"/>
    <cellStyle name="20% - Accent2 2 2 9 2 3 2" xfId="24325" xr:uid="{00000000-0005-0000-0000-0000BF090000}"/>
    <cellStyle name="20% - Accent2 2 2 9 2 3 3" xfId="33202" xr:uid="{00000000-0005-0000-0000-0000C0090000}"/>
    <cellStyle name="20% - Accent2 2 2 9 2 4" xfId="15501" xr:uid="{00000000-0005-0000-0000-0000C1090000}"/>
    <cellStyle name="20% - Accent2 2 2 9 2 4 2" xfId="26544" xr:uid="{00000000-0005-0000-0000-0000C2090000}"/>
    <cellStyle name="20% - Accent2 2 2 9 2 4 3" xfId="35421" xr:uid="{00000000-0005-0000-0000-0000C3090000}"/>
    <cellStyle name="20% - Accent2 2 2 9 2 5" xfId="19887" xr:uid="{00000000-0005-0000-0000-0000C4090000}"/>
    <cellStyle name="20% - Accent2 2 2 9 2 6" xfId="28764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3" xr:uid="{00000000-0005-0000-0000-0000C8090000}"/>
    <cellStyle name="20% - Accent2 2 2 9 3 2 3" xfId="30250" xr:uid="{00000000-0005-0000-0000-0000C9090000}"/>
    <cellStyle name="20% - Accent2 2 2 9 3 3" xfId="12318" xr:uid="{00000000-0005-0000-0000-0000CA090000}"/>
    <cellStyle name="20% - Accent2 2 2 9 3 3 2" xfId="23592" xr:uid="{00000000-0005-0000-0000-0000CB090000}"/>
    <cellStyle name="20% - Accent2 2 2 9 3 3 3" xfId="32469" xr:uid="{00000000-0005-0000-0000-0000CC090000}"/>
    <cellStyle name="20% - Accent2 2 2 9 3 4" xfId="14768" xr:uid="{00000000-0005-0000-0000-0000CD090000}"/>
    <cellStyle name="20% - Accent2 2 2 9 3 4 2" xfId="25811" xr:uid="{00000000-0005-0000-0000-0000CE090000}"/>
    <cellStyle name="20% - Accent2 2 2 9 3 4 3" xfId="34688" xr:uid="{00000000-0005-0000-0000-0000CF090000}"/>
    <cellStyle name="20% - Accent2 2 2 9 3 5" xfId="19154" xr:uid="{00000000-0005-0000-0000-0000D0090000}"/>
    <cellStyle name="20% - Accent2 2 2 9 3 6" xfId="28031" xr:uid="{00000000-0005-0000-0000-0000D1090000}"/>
    <cellStyle name="20% - Accent2 2 2 9 4" xfId="9127" xr:uid="{00000000-0005-0000-0000-0000D2090000}"/>
    <cellStyle name="20% - Accent2 2 2 9 4 2" xfId="20630" xr:uid="{00000000-0005-0000-0000-0000D3090000}"/>
    <cellStyle name="20% - Accent2 2 2 9 4 3" xfId="29507" xr:uid="{00000000-0005-0000-0000-0000D4090000}"/>
    <cellStyle name="20% - Accent2 2 2 9 5" xfId="11575" xr:uid="{00000000-0005-0000-0000-0000D5090000}"/>
    <cellStyle name="20% - Accent2 2 2 9 5 2" xfId="22849" xr:uid="{00000000-0005-0000-0000-0000D6090000}"/>
    <cellStyle name="20% - Accent2 2 2 9 5 3" xfId="31726" xr:uid="{00000000-0005-0000-0000-0000D7090000}"/>
    <cellStyle name="20% - Accent2 2 2 9 6" xfId="13796" xr:uid="{00000000-0005-0000-0000-0000D8090000}"/>
    <cellStyle name="20% - Accent2 2 2 9 6 2" xfId="25068" xr:uid="{00000000-0005-0000-0000-0000D9090000}"/>
    <cellStyle name="20% - Accent2 2 2 9 6 3" xfId="33945" xr:uid="{00000000-0005-0000-0000-0000DA090000}"/>
    <cellStyle name="20% - Accent2 2 2 9 7" xfId="18405" xr:uid="{00000000-0005-0000-0000-0000DB090000}"/>
    <cellStyle name="20% - Accent2 2 2 9 8" xfId="27286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7" xr:uid="{00000000-0005-0000-0000-0000E0090000}"/>
    <cellStyle name="20% - Accent2 2 3 10 2 3" xfId="30984" xr:uid="{00000000-0005-0000-0000-0000E1090000}"/>
    <cellStyle name="20% - Accent2 2 3 10 3" xfId="13052" xr:uid="{00000000-0005-0000-0000-0000E2090000}"/>
    <cellStyle name="20% - Accent2 2 3 10 3 2" xfId="24326" xr:uid="{00000000-0005-0000-0000-0000E3090000}"/>
    <cellStyle name="20% - Accent2 2 3 10 3 3" xfId="33203" xr:uid="{00000000-0005-0000-0000-0000E4090000}"/>
    <cellStyle name="20% - Accent2 2 3 10 4" xfId="15502" xr:uid="{00000000-0005-0000-0000-0000E5090000}"/>
    <cellStyle name="20% - Accent2 2 3 10 4 2" xfId="26545" xr:uid="{00000000-0005-0000-0000-0000E6090000}"/>
    <cellStyle name="20% - Accent2 2 3 10 4 3" xfId="35422" xr:uid="{00000000-0005-0000-0000-0000E7090000}"/>
    <cellStyle name="20% - Accent2 2 3 10 5" xfId="19888" xr:uid="{00000000-0005-0000-0000-0000E8090000}"/>
    <cellStyle name="20% - Accent2 2 3 10 6" xfId="28765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4" xr:uid="{00000000-0005-0000-0000-0000EC090000}"/>
    <cellStyle name="20% - Accent2 2 3 11 2 3" xfId="30251" xr:uid="{00000000-0005-0000-0000-0000ED090000}"/>
    <cellStyle name="20% - Accent2 2 3 11 3" xfId="12319" xr:uid="{00000000-0005-0000-0000-0000EE090000}"/>
    <cellStyle name="20% - Accent2 2 3 11 3 2" xfId="23593" xr:uid="{00000000-0005-0000-0000-0000EF090000}"/>
    <cellStyle name="20% - Accent2 2 3 11 3 3" xfId="32470" xr:uid="{00000000-0005-0000-0000-0000F0090000}"/>
    <cellStyle name="20% - Accent2 2 3 11 4" xfId="14769" xr:uid="{00000000-0005-0000-0000-0000F1090000}"/>
    <cellStyle name="20% - Accent2 2 3 11 4 2" xfId="25812" xr:uid="{00000000-0005-0000-0000-0000F2090000}"/>
    <cellStyle name="20% - Accent2 2 3 11 4 3" xfId="34689" xr:uid="{00000000-0005-0000-0000-0000F3090000}"/>
    <cellStyle name="20% - Accent2 2 3 11 5" xfId="19155" xr:uid="{00000000-0005-0000-0000-0000F4090000}"/>
    <cellStyle name="20% - Accent2 2 3 11 6" xfId="28032" xr:uid="{00000000-0005-0000-0000-0000F5090000}"/>
    <cellStyle name="20% - Accent2 2 3 12" xfId="9128" xr:uid="{00000000-0005-0000-0000-0000F6090000}"/>
    <cellStyle name="20% - Accent2 2 3 12 2" xfId="20631" xr:uid="{00000000-0005-0000-0000-0000F7090000}"/>
    <cellStyle name="20% - Accent2 2 3 12 3" xfId="29508" xr:uid="{00000000-0005-0000-0000-0000F8090000}"/>
    <cellStyle name="20% - Accent2 2 3 13" xfId="11576" xr:uid="{00000000-0005-0000-0000-0000F9090000}"/>
    <cellStyle name="20% - Accent2 2 3 13 2" xfId="22850" xr:uid="{00000000-0005-0000-0000-0000FA090000}"/>
    <cellStyle name="20% - Accent2 2 3 13 3" xfId="31727" xr:uid="{00000000-0005-0000-0000-0000FB090000}"/>
    <cellStyle name="20% - Accent2 2 3 14" xfId="13797" xr:uid="{00000000-0005-0000-0000-0000FC090000}"/>
    <cellStyle name="20% - Accent2 2 3 14 2" xfId="25069" xr:uid="{00000000-0005-0000-0000-0000FD090000}"/>
    <cellStyle name="20% - Accent2 2 3 14 3" xfId="33946" xr:uid="{00000000-0005-0000-0000-0000FE090000}"/>
    <cellStyle name="20% - Accent2 2 3 15" xfId="18406" xr:uid="{00000000-0005-0000-0000-0000FF090000}"/>
    <cellStyle name="20% - Accent2 2 3 16" xfId="27287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8" xr:uid="{00000000-0005-0000-0000-0000040A0000}"/>
    <cellStyle name="20% - Accent2 2 3 2 2 2 3" xfId="30985" xr:uid="{00000000-0005-0000-0000-0000050A0000}"/>
    <cellStyle name="20% - Accent2 2 3 2 2 3" xfId="13053" xr:uid="{00000000-0005-0000-0000-0000060A0000}"/>
    <cellStyle name="20% - Accent2 2 3 2 2 3 2" xfId="24327" xr:uid="{00000000-0005-0000-0000-0000070A0000}"/>
    <cellStyle name="20% - Accent2 2 3 2 2 3 3" xfId="33204" xr:uid="{00000000-0005-0000-0000-0000080A0000}"/>
    <cellStyle name="20% - Accent2 2 3 2 2 4" xfId="15503" xr:uid="{00000000-0005-0000-0000-0000090A0000}"/>
    <cellStyle name="20% - Accent2 2 3 2 2 4 2" xfId="26546" xr:uid="{00000000-0005-0000-0000-00000A0A0000}"/>
    <cellStyle name="20% - Accent2 2 3 2 2 4 3" xfId="35423" xr:uid="{00000000-0005-0000-0000-00000B0A0000}"/>
    <cellStyle name="20% - Accent2 2 3 2 2 5" xfId="19889" xr:uid="{00000000-0005-0000-0000-00000C0A0000}"/>
    <cellStyle name="20% - Accent2 2 3 2 2 6" xfId="28766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5" xr:uid="{00000000-0005-0000-0000-0000100A0000}"/>
    <cellStyle name="20% - Accent2 2 3 2 3 2 3" xfId="30252" xr:uid="{00000000-0005-0000-0000-0000110A0000}"/>
    <cellStyle name="20% - Accent2 2 3 2 3 3" xfId="12320" xr:uid="{00000000-0005-0000-0000-0000120A0000}"/>
    <cellStyle name="20% - Accent2 2 3 2 3 3 2" xfId="23594" xr:uid="{00000000-0005-0000-0000-0000130A0000}"/>
    <cellStyle name="20% - Accent2 2 3 2 3 3 3" xfId="32471" xr:uid="{00000000-0005-0000-0000-0000140A0000}"/>
    <cellStyle name="20% - Accent2 2 3 2 3 4" xfId="14770" xr:uid="{00000000-0005-0000-0000-0000150A0000}"/>
    <cellStyle name="20% - Accent2 2 3 2 3 4 2" xfId="25813" xr:uid="{00000000-0005-0000-0000-0000160A0000}"/>
    <cellStyle name="20% - Accent2 2 3 2 3 4 3" xfId="34690" xr:uid="{00000000-0005-0000-0000-0000170A0000}"/>
    <cellStyle name="20% - Accent2 2 3 2 3 5" xfId="19156" xr:uid="{00000000-0005-0000-0000-0000180A0000}"/>
    <cellStyle name="20% - Accent2 2 3 2 3 6" xfId="28033" xr:uid="{00000000-0005-0000-0000-0000190A0000}"/>
    <cellStyle name="20% - Accent2 2 3 2 4" xfId="9129" xr:uid="{00000000-0005-0000-0000-00001A0A0000}"/>
    <cellStyle name="20% - Accent2 2 3 2 4 2" xfId="20632" xr:uid="{00000000-0005-0000-0000-00001B0A0000}"/>
    <cellStyle name="20% - Accent2 2 3 2 4 3" xfId="29509" xr:uid="{00000000-0005-0000-0000-00001C0A0000}"/>
    <cellStyle name="20% - Accent2 2 3 2 5" xfId="11577" xr:uid="{00000000-0005-0000-0000-00001D0A0000}"/>
    <cellStyle name="20% - Accent2 2 3 2 5 2" xfId="22851" xr:uid="{00000000-0005-0000-0000-00001E0A0000}"/>
    <cellStyle name="20% - Accent2 2 3 2 5 3" xfId="31728" xr:uid="{00000000-0005-0000-0000-00001F0A0000}"/>
    <cellStyle name="20% - Accent2 2 3 2 6" xfId="13798" xr:uid="{00000000-0005-0000-0000-0000200A0000}"/>
    <cellStyle name="20% - Accent2 2 3 2 6 2" xfId="25070" xr:uid="{00000000-0005-0000-0000-0000210A0000}"/>
    <cellStyle name="20% - Accent2 2 3 2 6 3" xfId="33947" xr:uid="{00000000-0005-0000-0000-0000220A0000}"/>
    <cellStyle name="20% - Accent2 2 3 2 7" xfId="18407" xr:uid="{00000000-0005-0000-0000-0000230A0000}"/>
    <cellStyle name="20% - Accent2 2 3 2 8" xfId="27288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09" xr:uid="{00000000-0005-0000-0000-0000280A0000}"/>
    <cellStyle name="20% - Accent2 2 3 3 2 2 3" xfId="30986" xr:uid="{00000000-0005-0000-0000-0000290A0000}"/>
    <cellStyle name="20% - Accent2 2 3 3 2 3" xfId="13054" xr:uid="{00000000-0005-0000-0000-00002A0A0000}"/>
    <cellStyle name="20% - Accent2 2 3 3 2 3 2" xfId="24328" xr:uid="{00000000-0005-0000-0000-00002B0A0000}"/>
    <cellStyle name="20% - Accent2 2 3 3 2 3 3" xfId="33205" xr:uid="{00000000-0005-0000-0000-00002C0A0000}"/>
    <cellStyle name="20% - Accent2 2 3 3 2 4" xfId="15504" xr:uid="{00000000-0005-0000-0000-00002D0A0000}"/>
    <cellStyle name="20% - Accent2 2 3 3 2 4 2" xfId="26547" xr:uid="{00000000-0005-0000-0000-00002E0A0000}"/>
    <cellStyle name="20% - Accent2 2 3 3 2 4 3" xfId="35424" xr:uid="{00000000-0005-0000-0000-00002F0A0000}"/>
    <cellStyle name="20% - Accent2 2 3 3 2 5" xfId="19890" xr:uid="{00000000-0005-0000-0000-0000300A0000}"/>
    <cellStyle name="20% - Accent2 2 3 3 2 6" xfId="28767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6" xr:uid="{00000000-0005-0000-0000-0000340A0000}"/>
    <cellStyle name="20% - Accent2 2 3 3 3 2 3" xfId="30253" xr:uid="{00000000-0005-0000-0000-0000350A0000}"/>
    <cellStyle name="20% - Accent2 2 3 3 3 3" xfId="12321" xr:uid="{00000000-0005-0000-0000-0000360A0000}"/>
    <cellStyle name="20% - Accent2 2 3 3 3 3 2" xfId="23595" xr:uid="{00000000-0005-0000-0000-0000370A0000}"/>
    <cellStyle name="20% - Accent2 2 3 3 3 3 3" xfId="32472" xr:uid="{00000000-0005-0000-0000-0000380A0000}"/>
    <cellStyle name="20% - Accent2 2 3 3 3 4" xfId="14771" xr:uid="{00000000-0005-0000-0000-0000390A0000}"/>
    <cellStyle name="20% - Accent2 2 3 3 3 4 2" xfId="25814" xr:uid="{00000000-0005-0000-0000-00003A0A0000}"/>
    <cellStyle name="20% - Accent2 2 3 3 3 4 3" xfId="34691" xr:uid="{00000000-0005-0000-0000-00003B0A0000}"/>
    <cellStyle name="20% - Accent2 2 3 3 3 5" xfId="19157" xr:uid="{00000000-0005-0000-0000-00003C0A0000}"/>
    <cellStyle name="20% - Accent2 2 3 3 3 6" xfId="28034" xr:uid="{00000000-0005-0000-0000-00003D0A0000}"/>
    <cellStyle name="20% - Accent2 2 3 3 4" xfId="9130" xr:uid="{00000000-0005-0000-0000-00003E0A0000}"/>
    <cellStyle name="20% - Accent2 2 3 3 4 2" xfId="20633" xr:uid="{00000000-0005-0000-0000-00003F0A0000}"/>
    <cellStyle name="20% - Accent2 2 3 3 4 3" xfId="29510" xr:uid="{00000000-0005-0000-0000-0000400A0000}"/>
    <cellStyle name="20% - Accent2 2 3 3 5" xfId="11578" xr:uid="{00000000-0005-0000-0000-0000410A0000}"/>
    <cellStyle name="20% - Accent2 2 3 3 5 2" xfId="22852" xr:uid="{00000000-0005-0000-0000-0000420A0000}"/>
    <cellStyle name="20% - Accent2 2 3 3 5 3" xfId="31729" xr:uid="{00000000-0005-0000-0000-0000430A0000}"/>
    <cellStyle name="20% - Accent2 2 3 3 6" xfId="13799" xr:uid="{00000000-0005-0000-0000-0000440A0000}"/>
    <cellStyle name="20% - Accent2 2 3 3 6 2" xfId="25071" xr:uid="{00000000-0005-0000-0000-0000450A0000}"/>
    <cellStyle name="20% - Accent2 2 3 3 6 3" xfId="33948" xr:uid="{00000000-0005-0000-0000-0000460A0000}"/>
    <cellStyle name="20% - Accent2 2 3 3 7" xfId="18408" xr:uid="{00000000-0005-0000-0000-0000470A0000}"/>
    <cellStyle name="20% - Accent2 2 3 3 8" xfId="27289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0" xr:uid="{00000000-0005-0000-0000-00004C0A0000}"/>
    <cellStyle name="20% - Accent2 2 3 4 2 2 3" xfId="30987" xr:uid="{00000000-0005-0000-0000-00004D0A0000}"/>
    <cellStyle name="20% - Accent2 2 3 4 2 3" xfId="13055" xr:uid="{00000000-0005-0000-0000-00004E0A0000}"/>
    <cellStyle name="20% - Accent2 2 3 4 2 3 2" xfId="24329" xr:uid="{00000000-0005-0000-0000-00004F0A0000}"/>
    <cellStyle name="20% - Accent2 2 3 4 2 3 3" xfId="33206" xr:uid="{00000000-0005-0000-0000-0000500A0000}"/>
    <cellStyle name="20% - Accent2 2 3 4 2 4" xfId="15505" xr:uid="{00000000-0005-0000-0000-0000510A0000}"/>
    <cellStyle name="20% - Accent2 2 3 4 2 4 2" xfId="26548" xr:uid="{00000000-0005-0000-0000-0000520A0000}"/>
    <cellStyle name="20% - Accent2 2 3 4 2 4 3" xfId="35425" xr:uid="{00000000-0005-0000-0000-0000530A0000}"/>
    <cellStyle name="20% - Accent2 2 3 4 2 5" xfId="19891" xr:uid="{00000000-0005-0000-0000-0000540A0000}"/>
    <cellStyle name="20% - Accent2 2 3 4 2 6" xfId="28768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7" xr:uid="{00000000-0005-0000-0000-0000580A0000}"/>
    <cellStyle name="20% - Accent2 2 3 4 3 2 3" xfId="30254" xr:uid="{00000000-0005-0000-0000-0000590A0000}"/>
    <cellStyle name="20% - Accent2 2 3 4 3 3" xfId="12322" xr:uid="{00000000-0005-0000-0000-00005A0A0000}"/>
    <cellStyle name="20% - Accent2 2 3 4 3 3 2" xfId="23596" xr:uid="{00000000-0005-0000-0000-00005B0A0000}"/>
    <cellStyle name="20% - Accent2 2 3 4 3 3 3" xfId="32473" xr:uid="{00000000-0005-0000-0000-00005C0A0000}"/>
    <cellStyle name="20% - Accent2 2 3 4 3 4" xfId="14772" xr:uid="{00000000-0005-0000-0000-00005D0A0000}"/>
    <cellStyle name="20% - Accent2 2 3 4 3 4 2" xfId="25815" xr:uid="{00000000-0005-0000-0000-00005E0A0000}"/>
    <cellStyle name="20% - Accent2 2 3 4 3 4 3" xfId="34692" xr:uid="{00000000-0005-0000-0000-00005F0A0000}"/>
    <cellStyle name="20% - Accent2 2 3 4 3 5" xfId="19158" xr:uid="{00000000-0005-0000-0000-0000600A0000}"/>
    <cellStyle name="20% - Accent2 2 3 4 3 6" xfId="28035" xr:uid="{00000000-0005-0000-0000-0000610A0000}"/>
    <cellStyle name="20% - Accent2 2 3 4 4" xfId="9131" xr:uid="{00000000-0005-0000-0000-0000620A0000}"/>
    <cellStyle name="20% - Accent2 2 3 4 4 2" xfId="20634" xr:uid="{00000000-0005-0000-0000-0000630A0000}"/>
    <cellStyle name="20% - Accent2 2 3 4 4 3" xfId="29511" xr:uid="{00000000-0005-0000-0000-0000640A0000}"/>
    <cellStyle name="20% - Accent2 2 3 4 5" xfId="11579" xr:uid="{00000000-0005-0000-0000-0000650A0000}"/>
    <cellStyle name="20% - Accent2 2 3 4 5 2" xfId="22853" xr:uid="{00000000-0005-0000-0000-0000660A0000}"/>
    <cellStyle name="20% - Accent2 2 3 4 5 3" xfId="31730" xr:uid="{00000000-0005-0000-0000-0000670A0000}"/>
    <cellStyle name="20% - Accent2 2 3 4 6" xfId="13800" xr:uid="{00000000-0005-0000-0000-0000680A0000}"/>
    <cellStyle name="20% - Accent2 2 3 4 6 2" xfId="25072" xr:uid="{00000000-0005-0000-0000-0000690A0000}"/>
    <cellStyle name="20% - Accent2 2 3 4 6 3" xfId="33949" xr:uid="{00000000-0005-0000-0000-00006A0A0000}"/>
    <cellStyle name="20% - Accent2 2 3 4 7" xfId="18409" xr:uid="{00000000-0005-0000-0000-00006B0A0000}"/>
    <cellStyle name="20% - Accent2 2 3 4 8" xfId="27290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1" xr:uid="{00000000-0005-0000-0000-0000700A0000}"/>
    <cellStyle name="20% - Accent2 2 3 5 2 2 3" xfId="30988" xr:uid="{00000000-0005-0000-0000-0000710A0000}"/>
    <cellStyle name="20% - Accent2 2 3 5 2 3" xfId="13056" xr:uid="{00000000-0005-0000-0000-0000720A0000}"/>
    <cellStyle name="20% - Accent2 2 3 5 2 3 2" xfId="24330" xr:uid="{00000000-0005-0000-0000-0000730A0000}"/>
    <cellStyle name="20% - Accent2 2 3 5 2 3 3" xfId="33207" xr:uid="{00000000-0005-0000-0000-0000740A0000}"/>
    <cellStyle name="20% - Accent2 2 3 5 2 4" xfId="15506" xr:uid="{00000000-0005-0000-0000-0000750A0000}"/>
    <cellStyle name="20% - Accent2 2 3 5 2 4 2" xfId="26549" xr:uid="{00000000-0005-0000-0000-0000760A0000}"/>
    <cellStyle name="20% - Accent2 2 3 5 2 4 3" xfId="35426" xr:uid="{00000000-0005-0000-0000-0000770A0000}"/>
    <cellStyle name="20% - Accent2 2 3 5 2 5" xfId="19892" xr:uid="{00000000-0005-0000-0000-0000780A0000}"/>
    <cellStyle name="20% - Accent2 2 3 5 2 6" xfId="28769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8" xr:uid="{00000000-0005-0000-0000-00007C0A0000}"/>
    <cellStyle name="20% - Accent2 2 3 5 3 2 3" xfId="30255" xr:uid="{00000000-0005-0000-0000-00007D0A0000}"/>
    <cellStyle name="20% - Accent2 2 3 5 3 3" xfId="12323" xr:uid="{00000000-0005-0000-0000-00007E0A0000}"/>
    <cellStyle name="20% - Accent2 2 3 5 3 3 2" xfId="23597" xr:uid="{00000000-0005-0000-0000-00007F0A0000}"/>
    <cellStyle name="20% - Accent2 2 3 5 3 3 3" xfId="32474" xr:uid="{00000000-0005-0000-0000-0000800A0000}"/>
    <cellStyle name="20% - Accent2 2 3 5 3 4" xfId="14773" xr:uid="{00000000-0005-0000-0000-0000810A0000}"/>
    <cellStyle name="20% - Accent2 2 3 5 3 4 2" xfId="25816" xr:uid="{00000000-0005-0000-0000-0000820A0000}"/>
    <cellStyle name="20% - Accent2 2 3 5 3 4 3" xfId="34693" xr:uid="{00000000-0005-0000-0000-0000830A0000}"/>
    <cellStyle name="20% - Accent2 2 3 5 3 5" xfId="19159" xr:uid="{00000000-0005-0000-0000-0000840A0000}"/>
    <cellStyle name="20% - Accent2 2 3 5 3 6" xfId="28036" xr:uid="{00000000-0005-0000-0000-0000850A0000}"/>
    <cellStyle name="20% - Accent2 2 3 5 4" xfId="9132" xr:uid="{00000000-0005-0000-0000-0000860A0000}"/>
    <cellStyle name="20% - Accent2 2 3 5 4 2" xfId="20635" xr:uid="{00000000-0005-0000-0000-0000870A0000}"/>
    <cellStyle name="20% - Accent2 2 3 5 4 3" xfId="29512" xr:uid="{00000000-0005-0000-0000-0000880A0000}"/>
    <cellStyle name="20% - Accent2 2 3 5 5" xfId="11580" xr:uid="{00000000-0005-0000-0000-0000890A0000}"/>
    <cellStyle name="20% - Accent2 2 3 5 5 2" xfId="22854" xr:uid="{00000000-0005-0000-0000-00008A0A0000}"/>
    <cellStyle name="20% - Accent2 2 3 5 5 3" xfId="31731" xr:uid="{00000000-0005-0000-0000-00008B0A0000}"/>
    <cellStyle name="20% - Accent2 2 3 5 6" xfId="13801" xr:uid="{00000000-0005-0000-0000-00008C0A0000}"/>
    <cellStyle name="20% - Accent2 2 3 5 6 2" xfId="25073" xr:uid="{00000000-0005-0000-0000-00008D0A0000}"/>
    <cellStyle name="20% - Accent2 2 3 5 6 3" xfId="33950" xr:uid="{00000000-0005-0000-0000-00008E0A0000}"/>
    <cellStyle name="20% - Accent2 2 3 5 7" xfId="18410" xr:uid="{00000000-0005-0000-0000-00008F0A0000}"/>
    <cellStyle name="20% - Accent2 2 3 5 8" xfId="27291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2" xr:uid="{00000000-0005-0000-0000-0000940A0000}"/>
    <cellStyle name="20% - Accent2 2 3 6 2 2 3" xfId="30989" xr:uid="{00000000-0005-0000-0000-0000950A0000}"/>
    <cellStyle name="20% - Accent2 2 3 6 2 3" xfId="13057" xr:uid="{00000000-0005-0000-0000-0000960A0000}"/>
    <cellStyle name="20% - Accent2 2 3 6 2 3 2" xfId="24331" xr:uid="{00000000-0005-0000-0000-0000970A0000}"/>
    <cellStyle name="20% - Accent2 2 3 6 2 3 3" xfId="33208" xr:uid="{00000000-0005-0000-0000-0000980A0000}"/>
    <cellStyle name="20% - Accent2 2 3 6 2 4" xfId="15507" xr:uid="{00000000-0005-0000-0000-0000990A0000}"/>
    <cellStyle name="20% - Accent2 2 3 6 2 4 2" xfId="26550" xr:uid="{00000000-0005-0000-0000-00009A0A0000}"/>
    <cellStyle name="20% - Accent2 2 3 6 2 4 3" xfId="35427" xr:uid="{00000000-0005-0000-0000-00009B0A0000}"/>
    <cellStyle name="20% - Accent2 2 3 6 2 5" xfId="19893" xr:uid="{00000000-0005-0000-0000-00009C0A0000}"/>
    <cellStyle name="20% - Accent2 2 3 6 2 6" xfId="28770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79" xr:uid="{00000000-0005-0000-0000-0000A00A0000}"/>
    <cellStyle name="20% - Accent2 2 3 6 3 2 3" xfId="30256" xr:uid="{00000000-0005-0000-0000-0000A10A0000}"/>
    <cellStyle name="20% - Accent2 2 3 6 3 3" xfId="12324" xr:uid="{00000000-0005-0000-0000-0000A20A0000}"/>
    <cellStyle name="20% - Accent2 2 3 6 3 3 2" xfId="23598" xr:uid="{00000000-0005-0000-0000-0000A30A0000}"/>
    <cellStyle name="20% - Accent2 2 3 6 3 3 3" xfId="32475" xr:uid="{00000000-0005-0000-0000-0000A40A0000}"/>
    <cellStyle name="20% - Accent2 2 3 6 3 4" xfId="14774" xr:uid="{00000000-0005-0000-0000-0000A50A0000}"/>
    <cellStyle name="20% - Accent2 2 3 6 3 4 2" xfId="25817" xr:uid="{00000000-0005-0000-0000-0000A60A0000}"/>
    <cellStyle name="20% - Accent2 2 3 6 3 4 3" xfId="34694" xr:uid="{00000000-0005-0000-0000-0000A70A0000}"/>
    <cellStyle name="20% - Accent2 2 3 6 3 5" xfId="19160" xr:uid="{00000000-0005-0000-0000-0000A80A0000}"/>
    <cellStyle name="20% - Accent2 2 3 6 3 6" xfId="28037" xr:uid="{00000000-0005-0000-0000-0000A90A0000}"/>
    <cellStyle name="20% - Accent2 2 3 6 4" xfId="9133" xr:uid="{00000000-0005-0000-0000-0000AA0A0000}"/>
    <cellStyle name="20% - Accent2 2 3 6 4 2" xfId="20636" xr:uid="{00000000-0005-0000-0000-0000AB0A0000}"/>
    <cellStyle name="20% - Accent2 2 3 6 4 3" xfId="29513" xr:uid="{00000000-0005-0000-0000-0000AC0A0000}"/>
    <cellStyle name="20% - Accent2 2 3 6 5" xfId="11581" xr:uid="{00000000-0005-0000-0000-0000AD0A0000}"/>
    <cellStyle name="20% - Accent2 2 3 6 5 2" xfId="22855" xr:uid="{00000000-0005-0000-0000-0000AE0A0000}"/>
    <cellStyle name="20% - Accent2 2 3 6 5 3" xfId="31732" xr:uid="{00000000-0005-0000-0000-0000AF0A0000}"/>
    <cellStyle name="20% - Accent2 2 3 6 6" xfId="13802" xr:uid="{00000000-0005-0000-0000-0000B00A0000}"/>
    <cellStyle name="20% - Accent2 2 3 6 6 2" xfId="25074" xr:uid="{00000000-0005-0000-0000-0000B10A0000}"/>
    <cellStyle name="20% - Accent2 2 3 6 6 3" xfId="33951" xr:uid="{00000000-0005-0000-0000-0000B20A0000}"/>
    <cellStyle name="20% - Accent2 2 3 6 7" xfId="18411" xr:uid="{00000000-0005-0000-0000-0000B30A0000}"/>
    <cellStyle name="20% - Accent2 2 3 6 8" xfId="27292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3" xr:uid="{00000000-0005-0000-0000-0000B80A0000}"/>
    <cellStyle name="20% - Accent2 2 3 7 2 2 3" xfId="30990" xr:uid="{00000000-0005-0000-0000-0000B90A0000}"/>
    <cellStyle name="20% - Accent2 2 3 7 2 3" xfId="13058" xr:uid="{00000000-0005-0000-0000-0000BA0A0000}"/>
    <cellStyle name="20% - Accent2 2 3 7 2 3 2" xfId="24332" xr:uid="{00000000-0005-0000-0000-0000BB0A0000}"/>
    <cellStyle name="20% - Accent2 2 3 7 2 3 3" xfId="33209" xr:uid="{00000000-0005-0000-0000-0000BC0A0000}"/>
    <cellStyle name="20% - Accent2 2 3 7 2 4" xfId="15508" xr:uid="{00000000-0005-0000-0000-0000BD0A0000}"/>
    <cellStyle name="20% - Accent2 2 3 7 2 4 2" xfId="26551" xr:uid="{00000000-0005-0000-0000-0000BE0A0000}"/>
    <cellStyle name="20% - Accent2 2 3 7 2 4 3" xfId="35428" xr:uid="{00000000-0005-0000-0000-0000BF0A0000}"/>
    <cellStyle name="20% - Accent2 2 3 7 2 5" xfId="19894" xr:uid="{00000000-0005-0000-0000-0000C00A0000}"/>
    <cellStyle name="20% - Accent2 2 3 7 2 6" xfId="28771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0" xr:uid="{00000000-0005-0000-0000-0000C40A0000}"/>
    <cellStyle name="20% - Accent2 2 3 7 3 2 3" xfId="30257" xr:uid="{00000000-0005-0000-0000-0000C50A0000}"/>
    <cellStyle name="20% - Accent2 2 3 7 3 3" xfId="12325" xr:uid="{00000000-0005-0000-0000-0000C60A0000}"/>
    <cellStyle name="20% - Accent2 2 3 7 3 3 2" xfId="23599" xr:uid="{00000000-0005-0000-0000-0000C70A0000}"/>
    <cellStyle name="20% - Accent2 2 3 7 3 3 3" xfId="32476" xr:uid="{00000000-0005-0000-0000-0000C80A0000}"/>
    <cellStyle name="20% - Accent2 2 3 7 3 4" xfId="14775" xr:uid="{00000000-0005-0000-0000-0000C90A0000}"/>
    <cellStyle name="20% - Accent2 2 3 7 3 4 2" xfId="25818" xr:uid="{00000000-0005-0000-0000-0000CA0A0000}"/>
    <cellStyle name="20% - Accent2 2 3 7 3 4 3" xfId="34695" xr:uid="{00000000-0005-0000-0000-0000CB0A0000}"/>
    <cellStyle name="20% - Accent2 2 3 7 3 5" xfId="19161" xr:uid="{00000000-0005-0000-0000-0000CC0A0000}"/>
    <cellStyle name="20% - Accent2 2 3 7 3 6" xfId="28038" xr:uid="{00000000-0005-0000-0000-0000CD0A0000}"/>
    <cellStyle name="20% - Accent2 2 3 7 4" xfId="9134" xr:uid="{00000000-0005-0000-0000-0000CE0A0000}"/>
    <cellStyle name="20% - Accent2 2 3 7 4 2" xfId="20637" xr:uid="{00000000-0005-0000-0000-0000CF0A0000}"/>
    <cellStyle name="20% - Accent2 2 3 7 4 3" xfId="29514" xr:uid="{00000000-0005-0000-0000-0000D00A0000}"/>
    <cellStyle name="20% - Accent2 2 3 7 5" xfId="11582" xr:uid="{00000000-0005-0000-0000-0000D10A0000}"/>
    <cellStyle name="20% - Accent2 2 3 7 5 2" xfId="22856" xr:uid="{00000000-0005-0000-0000-0000D20A0000}"/>
    <cellStyle name="20% - Accent2 2 3 7 5 3" xfId="31733" xr:uid="{00000000-0005-0000-0000-0000D30A0000}"/>
    <cellStyle name="20% - Accent2 2 3 7 6" xfId="13803" xr:uid="{00000000-0005-0000-0000-0000D40A0000}"/>
    <cellStyle name="20% - Accent2 2 3 7 6 2" xfId="25075" xr:uid="{00000000-0005-0000-0000-0000D50A0000}"/>
    <cellStyle name="20% - Accent2 2 3 7 6 3" xfId="33952" xr:uid="{00000000-0005-0000-0000-0000D60A0000}"/>
    <cellStyle name="20% - Accent2 2 3 7 7" xfId="18412" xr:uid="{00000000-0005-0000-0000-0000D70A0000}"/>
    <cellStyle name="20% - Accent2 2 3 7 8" xfId="27293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4" xr:uid="{00000000-0005-0000-0000-0000DC0A0000}"/>
    <cellStyle name="20% - Accent2 2 3 8 2 2 3" xfId="30991" xr:uid="{00000000-0005-0000-0000-0000DD0A0000}"/>
    <cellStyle name="20% - Accent2 2 3 8 2 3" xfId="13059" xr:uid="{00000000-0005-0000-0000-0000DE0A0000}"/>
    <cellStyle name="20% - Accent2 2 3 8 2 3 2" xfId="24333" xr:uid="{00000000-0005-0000-0000-0000DF0A0000}"/>
    <cellStyle name="20% - Accent2 2 3 8 2 3 3" xfId="33210" xr:uid="{00000000-0005-0000-0000-0000E00A0000}"/>
    <cellStyle name="20% - Accent2 2 3 8 2 4" xfId="15509" xr:uid="{00000000-0005-0000-0000-0000E10A0000}"/>
    <cellStyle name="20% - Accent2 2 3 8 2 4 2" xfId="26552" xr:uid="{00000000-0005-0000-0000-0000E20A0000}"/>
    <cellStyle name="20% - Accent2 2 3 8 2 4 3" xfId="35429" xr:uid="{00000000-0005-0000-0000-0000E30A0000}"/>
    <cellStyle name="20% - Accent2 2 3 8 2 5" xfId="19895" xr:uid="{00000000-0005-0000-0000-0000E40A0000}"/>
    <cellStyle name="20% - Accent2 2 3 8 2 6" xfId="28772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1" xr:uid="{00000000-0005-0000-0000-0000E80A0000}"/>
    <cellStyle name="20% - Accent2 2 3 8 3 2 3" xfId="30258" xr:uid="{00000000-0005-0000-0000-0000E90A0000}"/>
    <cellStyle name="20% - Accent2 2 3 8 3 3" xfId="12326" xr:uid="{00000000-0005-0000-0000-0000EA0A0000}"/>
    <cellStyle name="20% - Accent2 2 3 8 3 3 2" xfId="23600" xr:uid="{00000000-0005-0000-0000-0000EB0A0000}"/>
    <cellStyle name="20% - Accent2 2 3 8 3 3 3" xfId="32477" xr:uid="{00000000-0005-0000-0000-0000EC0A0000}"/>
    <cellStyle name="20% - Accent2 2 3 8 3 4" xfId="14776" xr:uid="{00000000-0005-0000-0000-0000ED0A0000}"/>
    <cellStyle name="20% - Accent2 2 3 8 3 4 2" xfId="25819" xr:uid="{00000000-0005-0000-0000-0000EE0A0000}"/>
    <cellStyle name="20% - Accent2 2 3 8 3 4 3" xfId="34696" xr:uid="{00000000-0005-0000-0000-0000EF0A0000}"/>
    <cellStyle name="20% - Accent2 2 3 8 3 5" xfId="19162" xr:uid="{00000000-0005-0000-0000-0000F00A0000}"/>
    <cellStyle name="20% - Accent2 2 3 8 3 6" xfId="28039" xr:uid="{00000000-0005-0000-0000-0000F10A0000}"/>
    <cellStyle name="20% - Accent2 2 3 8 4" xfId="9135" xr:uid="{00000000-0005-0000-0000-0000F20A0000}"/>
    <cellStyle name="20% - Accent2 2 3 8 4 2" xfId="20638" xr:uid="{00000000-0005-0000-0000-0000F30A0000}"/>
    <cellStyle name="20% - Accent2 2 3 8 4 3" xfId="29515" xr:uid="{00000000-0005-0000-0000-0000F40A0000}"/>
    <cellStyle name="20% - Accent2 2 3 8 5" xfId="11583" xr:uid="{00000000-0005-0000-0000-0000F50A0000}"/>
    <cellStyle name="20% - Accent2 2 3 8 5 2" xfId="22857" xr:uid="{00000000-0005-0000-0000-0000F60A0000}"/>
    <cellStyle name="20% - Accent2 2 3 8 5 3" xfId="31734" xr:uid="{00000000-0005-0000-0000-0000F70A0000}"/>
    <cellStyle name="20% - Accent2 2 3 8 6" xfId="13804" xr:uid="{00000000-0005-0000-0000-0000F80A0000}"/>
    <cellStyle name="20% - Accent2 2 3 8 6 2" xfId="25076" xr:uid="{00000000-0005-0000-0000-0000F90A0000}"/>
    <cellStyle name="20% - Accent2 2 3 8 6 3" xfId="33953" xr:uid="{00000000-0005-0000-0000-0000FA0A0000}"/>
    <cellStyle name="20% - Accent2 2 3 8 7" xfId="18413" xr:uid="{00000000-0005-0000-0000-0000FB0A0000}"/>
    <cellStyle name="20% - Accent2 2 3 8 8" xfId="27294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5" xr:uid="{00000000-0005-0000-0000-0000000B0000}"/>
    <cellStyle name="20% - Accent2 2 3 9 2 2 3" xfId="30992" xr:uid="{00000000-0005-0000-0000-0000010B0000}"/>
    <cellStyle name="20% - Accent2 2 3 9 2 3" xfId="13060" xr:uid="{00000000-0005-0000-0000-0000020B0000}"/>
    <cellStyle name="20% - Accent2 2 3 9 2 3 2" xfId="24334" xr:uid="{00000000-0005-0000-0000-0000030B0000}"/>
    <cellStyle name="20% - Accent2 2 3 9 2 3 3" xfId="33211" xr:uid="{00000000-0005-0000-0000-0000040B0000}"/>
    <cellStyle name="20% - Accent2 2 3 9 2 4" xfId="15510" xr:uid="{00000000-0005-0000-0000-0000050B0000}"/>
    <cellStyle name="20% - Accent2 2 3 9 2 4 2" xfId="26553" xr:uid="{00000000-0005-0000-0000-0000060B0000}"/>
    <cellStyle name="20% - Accent2 2 3 9 2 4 3" xfId="35430" xr:uid="{00000000-0005-0000-0000-0000070B0000}"/>
    <cellStyle name="20% - Accent2 2 3 9 2 5" xfId="19896" xr:uid="{00000000-0005-0000-0000-0000080B0000}"/>
    <cellStyle name="20% - Accent2 2 3 9 2 6" xfId="28773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2" xr:uid="{00000000-0005-0000-0000-00000C0B0000}"/>
    <cellStyle name="20% - Accent2 2 3 9 3 2 3" xfId="30259" xr:uid="{00000000-0005-0000-0000-00000D0B0000}"/>
    <cellStyle name="20% - Accent2 2 3 9 3 3" xfId="12327" xr:uid="{00000000-0005-0000-0000-00000E0B0000}"/>
    <cellStyle name="20% - Accent2 2 3 9 3 3 2" xfId="23601" xr:uid="{00000000-0005-0000-0000-00000F0B0000}"/>
    <cellStyle name="20% - Accent2 2 3 9 3 3 3" xfId="32478" xr:uid="{00000000-0005-0000-0000-0000100B0000}"/>
    <cellStyle name="20% - Accent2 2 3 9 3 4" xfId="14777" xr:uid="{00000000-0005-0000-0000-0000110B0000}"/>
    <cellStyle name="20% - Accent2 2 3 9 3 4 2" xfId="25820" xr:uid="{00000000-0005-0000-0000-0000120B0000}"/>
    <cellStyle name="20% - Accent2 2 3 9 3 4 3" xfId="34697" xr:uid="{00000000-0005-0000-0000-0000130B0000}"/>
    <cellStyle name="20% - Accent2 2 3 9 3 5" xfId="19163" xr:uid="{00000000-0005-0000-0000-0000140B0000}"/>
    <cellStyle name="20% - Accent2 2 3 9 3 6" xfId="28040" xr:uid="{00000000-0005-0000-0000-0000150B0000}"/>
    <cellStyle name="20% - Accent2 2 3 9 4" xfId="9136" xr:uid="{00000000-0005-0000-0000-0000160B0000}"/>
    <cellStyle name="20% - Accent2 2 3 9 4 2" xfId="20639" xr:uid="{00000000-0005-0000-0000-0000170B0000}"/>
    <cellStyle name="20% - Accent2 2 3 9 4 3" xfId="29516" xr:uid="{00000000-0005-0000-0000-0000180B0000}"/>
    <cellStyle name="20% - Accent2 2 3 9 5" xfId="11584" xr:uid="{00000000-0005-0000-0000-0000190B0000}"/>
    <cellStyle name="20% - Accent2 2 3 9 5 2" xfId="22858" xr:uid="{00000000-0005-0000-0000-00001A0B0000}"/>
    <cellStyle name="20% - Accent2 2 3 9 5 3" xfId="31735" xr:uid="{00000000-0005-0000-0000-00001B0B0000}"/>
    <cellStyle name="20% - Accent2 2 3 9 6" xfId="13805" xr:uid="{00000000-0005-0000-0000-00001C0B0000}"/>
    <cellStyle name="20% - Accent2 2 3 9 6 2" xfId="25077" xr:uid="{00000000-0005-0000-0000-00001D0B0000}"/>
    <cellStyle name="20% - Accent2 2 3 9 6 3" xfId="33954" xr:uid="{00000000-0005-0000-0000-00001E0B0000}"/>
    <cellStyle name="20% - Accent2 2 3 9 7" xfId="18414" xr:uid="{00000000-0005-0000-0000-00001F0B0000}"/>
    <cellStyle name="20% - Accent2 2 3 9 8" xfId="27295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6" xr:uid="{00000000-0005-0000-0000-0000240B0000}"/>
    <cellStyle name="20% - Accent2 2 4 10 2 3" xfId="30993" xr:uid="{00000000-0005-0000-0000-0000250B0000}"/>
    <cellStyle name="20% - Accent2 2 4 10 3" xfId="13061" xr:uid="{00000000-0005-0000-0000-0000260B0000}"/>
    <cellStyle name="20% - Accent2 2 4 10 3 2" xfId="24335" xr:uid="{00000000-0005-0000-0000-0000270B0000}"/>
    <cellStyle name="20% - Accent2 2 4 10 3 3" xfId="33212" xr:uid="{00000000-0005-0000-0000-0000280B0000}"/>
    <cellStyle name="20% - Accent2 2 4 10 4" xfId="15511" xr:uid="{00000000-0005-0000-0000-0000290B0000}"/>
    <cellStyle name="20% - Accent2 2 4 10 4 2" xfId="26554" xr:uid="{00000000-0005-0000-0000-00002A0B0000}"/>
    <cellStyle name="20% - Accent2 2 4 10 4 3" xfId="35431" xr:uid="{00000000-0005-0000-0000-00002B0B0000}"/>
    <cellStyle name="20% - Accent2 2 4 10 5" xfId="19897" xr:uid="{00000000-0005-0000-0000-00002C0B0000}"/>
    <cellStyle name="20% - Accent2 2 4 10 6" xfId="28774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3" xr:uid="{00000000-0005-0000-0000-0000300B0000}"/>
    <cellStyle name="20% - Accent2 2 4 11 2 3" xfId="30260" xr:uid="{00000000-0005-0000-0000-0000310B0000}"/>
    <cellStyle name="20% - Accent2 2 4 11 3" xfId="12328" xr:uid="{00000000-0005-0000-0000-0000320B0000}"/>
    <cellStyle name="20% - Accent2 2 4 11 3 2" xfId="23602" xr:uid="{00000000-0005-0000-0000-0000330B0000}"/>
    <cellStyle name="20% - Accent2 2 4 11 3 3" xfId="32479" xr:uid="{00000000-0005-0000-0000-0000340B0000}"/>
    <cellStyle name="20% - Accent2 2 4 11 4" xfId="14778" xr:uid="{00000000-0005-0000-0000-0000350B0000}"/>
    <cellStyle name="20% - Accent2 2 4 11 4 2" xfId="25821" xr:uid="{00000000-0005-0000-0000-0000360B0000}"/>
    <cellStyle name="20% - Accent2 2 4 11 4 3" xfId="34698" xr:uid="{00000000-0005-0000-0000-0000370B0000}"/>
    <cellStyle name="20% - Accent2 2 4 11 5" xfId="19164" xr:uid="{00000000-0005-0000-0000-0000380B0000}"/>
    <cellStyle name="20% - Accent2 2 4 11 6" xfId="28041" xr:uid="{00000000-0005-0000-0000-0000390B0000}"/>
    <cellStyle name="20% - Accent2 2 4 12" xfId="9137" xr:uid="{00000000-0005-0000-0000-00003A0B0000}"/>
    <cellStyle name="20% - Accent2 2 4 12 2" xfId="20640" xr:uid="{00000000-0005-0000-0000-00003B0B0000}"/>
    <cellStyle name="20% - Accent2 2 4 12 3" xfId="29517" xr:uid="{00000000-0005-0000-0000-00003C0B0000}"/>
    <cellStyle name="20% - Accent2 2 4 13" xfId="11585" xr:uid="{00000000-0005-0000-0000-00003D0B0000}"/>
    <cellStyle name="20% - Accent2 2 4 13 2" xfId="22859" xr:uid="{00000000-0005-0000-0000-00003E0B0000}"/>
    <cellStyle name="20% - Accent2 2 4 13 3" xfId="31736" xr:uid="{00000000-0005-0000-0000-00003F0B0000}"/>
    <cellStyle name="20% - Accent2 2 4 14" xfId="13806" xr:uid="{00000000-0005-0000-0000-0000400B0000}"/>
    <cellStyle name="20% - Accent2 2 4 14 2" xfId="25078" xr:uid="{00000000-0005-0000-0000-0000410B0000}"/>
    <cellStyle name="20% - Accent2 2 4 14 3" xfId="33955" xr:uid="{00000000-0005-0000-0000-0000420B0000}"/>
    <cellStyle name="20% - Accent2 2 4 15" xfId="18415" xr:uid="{00000000-0005-0000-0000-0000430B0000}"/>
    <cellStyle name="20% - Accent2 2 4 16" xfId="27296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7" xr:uid="{00000000-0005-0000-0000-0000480B0000}"/>
    <cellStyle name="20% - Accent2 2 4 2 2 2 3" xfId="30994" xr:uid="{00000000-0005-0000-0000-0000490B0000}"/>
    <cellStyle name="20% - Accent2 2 4 2 2 3" xfId="13062" xr:uid="{00000000-0005-0000-0000-00004A0B0000}"/>
    <cellStyle name="20% - Accent2 2 4 2 2 3 2" xfId="24336" xr:uid="{00000000-0005-0000-0000-00004B0B0000}"/>
    <cellStyle name="20% - Accent2 2 4 2 2 3 3" xfId="33213" xr:uid="{00000000-0005-0000-0000-00004C0B0000}"/>
    <cellStyle name="20% - Accent2 2 4 2 2 4" xfId="15512" xr:uid="{00000000-0005-0000-0000-00004D0B0000}"/>
    <cellStyle name="20% - Accent2 2 4 2 2 4 2" xfId="26555" xr:uid="{00000000-0005-0000-0000-00004E0B0000}"/>
    <cellStyle name="20% - Accent2 2 4 2 2 4 3" xfId="35432" xr:uid="{00000000-0005-0000-0000-00004F0B0000}"/>
    <cellStyle name="20% - Accent2 2 4 2 2 5" xfId="19898" xr:uid="{00000000-0005-0000-0000-0000500B0000}"/>
    <cellStyle name="20% - Accent2 2 4 2 2 6" xfId="28775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4" xr:uid="{00000000-0005-0000-0000-0000540B0000}"/>
    <cellStyle name="20% - Accent2 2 4 2 3 2 3" xfId="30261" xr:uid="{00000000-0005-0000-0000-0000550B0000}"/>
    <cellStyle name="20% - Accent2 2 4 2 3 3" xfId="12329" xr:uid="{00000000-0005-0000-0000-0000560B0000}"/>
    <cellStyle name="20% - Accent2 2 4 2 3 3 2" xfId="23603" xr:uid="{00000000-0005-0000-0000-0000570B0000}"/>
    <cellStyle name="20% - Accent2 2 4 2 3 3 3" xfId="32480" xr:uid="{00000000-0005-0000-0000-0000580B0000}"/>
    <cellStyle name="20% - Accent2 2 4 2 3 4" xfId="14779" xr:uid="{00000000-0005-0000-0000-0000590B0000}"/>
    <cellStyle name="20% - Accent2 2 4 2 3 4 2" xfId="25822" xr:uid="{00000000-0005-0000-0000-00005A0B0000}"/>
    <cellStyle name="20% - Accent2 2 4 2 3 4 3" xfId="34699" xr:uid="{00000000-0005-0000-0000-00005B0B0000}"/>
    <cellStyle name="20% - Accent2 2 4 2 3 5" xfId="19165" xr:uid="{00000000-0005-0000-0000-00005C0B0000}"/>
    <cellStyle name="20% - Accent2 2 4 2 3 6" xfId="28042" xr:uid="{00000000-0005-0000-0000-00005D0B0000}"/>
    <cellStyle name="20% - Accent2 2 4 2 4" xfId="9138" xr:uid="{00000000-0005-0000-0000-00005E0B0000}"/>
    <cellStyle name="20% - Accent2 2 4 2 4 2" xfId="20641" xr:uid="{00000000-0005-0000-0000-00005F0B0000}"/>
    <cellStyle name="20% - Accent2 2 4 2 4 3" xfId="29518" xr:uid="{00000000-0005-0000-0000-0000600B0000}"/>
    <cellStyle name="20% - Accent2 2 4 2 5" xfId="11586" xr:uid="{00000000-0005-0000-0000-0000610B0000}"/>
    <cellStyle name="20% - Accent2 2 4 2 5 2" xfId="22860" xr:uid="{00000000-0005-0000-0000-0000620B0000}"/>
    <cellStyle name="20% - Accent2 2 4 2 5 3" xfId="31737" xr:uid="{00000000-0005-0000-0000-0000630B0000}"/>
    <cellStyle name="20% - Accent2 2 4 2 6" xfId="13807" xr:uid="{00000000-0005-0000-0000-0000640B0000}"/>
    <cellStyle name="20% - Accent2 2 4 2 6 2" xfId="25079" xr:uid="{00000000-0005-0000-0000-0000650B0000}"/>
    <cellStyle name="20% - Accent2 2 4 2 6 3" xfId="33956" xr:uid="{00000000-0005-0000-0000-0000660B0000}"/>
    <cellStyle name="20% - Accent2 2 4 2 7" xfId="18416" xr:uid="{00000000-0005-0000-0000-0000670B0000}"/>
    <cellStyle name="20% - Accent2 2 4 2 8" xfId="27297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8" xr:uid="{00000000-0005-0000-0000-00006C0B0000}"/>
    <cellStyle name="20% - Accent2 2 4 3 2 2 3" xfId="30995" xr:uid="{00000000-0005-0000-0000-00006D0B0000}"/>
    <cellStyle name="20% - Accent2 2 4 3 2 3" xfId="13063" xr:uid="{00000000-0005-0000-0000-00006E0B0000}"/>
    <cellStyle name="20% - Accent2 2 4 3 2 3 2" xfId="24337" xr:uid="{00000000-0005-0000-0000-00006F0B0000}"/>
    <cellStyle name="20% - Accent2 2 4 3 2 3 3" xfId="33214" xr:uid="{00000000-0005-0000-0000-0000700B0000}"/>
    <cellStyle name="20% - Accent2 2 4 3 2 4" xfId="15513" xr:uid="{00000000-0005-0000-0000-0000710B0000}"/>
    <cellStyle name="20% - Accent2 2 4 3 2 4 2" xfId="26556" xr:uid="{00000000-0005-0000-0000-0000720B0000}"/>
    <cellStyle name="20% - Accent2 2 4 3 2 4 3" xfId="35433" xr:uid="{00000000-0005-0000-0000-0000730B0000}"/>
    <cellStyle name="20% - Accent2 2 4 3 2 5" xfId="19899" xr:uid="{00000000-0005-0000-0000-0000740B0000}"/>
    <cellStyle name="20% - Accent2 2 4 3 2 6" xfId="28776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5" xr:uid="{00000000-0005-0000-0000-0000780B0000}"/>
    <cellStyle name="20% - Accent2 2 4 3 3 2 3" xfId="30262" xr:uid="{00000000-0005-0000-0000-0000790B0000}"/>
    <cellStyle name="20% - Accent2 2 4 3 3 3" xfId="12330" xr:uid="{00000000-0005-0000-0000-00007A0B0000}"/>
    <cellStyle name="20% - Accent2 2 4 3 3 3 2" xfId="23604" xr:uid="{00000000-0005-0000-0000-00007B0B0000}"/>
    <cellStyle name="20% - Accent2 2 4 3 3 3 3" xfId="32481" xr:uid="{00000000-0005-0000-0000-00007C0B0000}"/>
    <cellStyle name="20% - Accent2 2 4 3 3 4" xfId="14780" xr:uid="{00000000-0005-0000-0000-00007D0B0000}"/>
    <cellStyle name="20% - Accent2 2 4 3 3 4 2" xfId="25823" xr:uid="{00000000-0005-0000-0000-00007E0B0000}"/>
    <cellStyle name="20% - Accent2 2 4 3 3 4 3" xfId="34700" xr:uid="{00000000-0005-0000-0000-00007F0B0000}"/>
    <cellStyle name="20% - Accent2 2 4 3 3 5" xfId="19166" xr:uid="{00000000-0005-0000-0000-0000800B0000}"/>
    <cellStyle name="20% - Accent2 2 4 3 3 6" xfId="28043" xr:uid="{00000000-0005-0000-0000-0000810B0000}"/>
    <cellStyle name="20% - Accent2 2 4 3 4" xfId="9139" xr:uid="{00000000-0005-0000-0000-0000820B0000}"/>
    <cellStyle name="20% - Accent2 2 4 3 4 2" xfId="20642" xr:uid="{00000000-0005-0000-0000-0000830B0000}"/>
    <cellStyle name="20% - Accent2 2 4 3 4 3" xfId="29519" xr:uid="{00000000-0005-0000-0000-0000840B0000}"/>
    <cellStyle name="20% - Accent2 2 4 3 5" xfId="11587" xr:uid="{00000000-0005-0000-0000-0000850B0000}"/>
    <cellStyle name="20% - Accent2 2 4 3 5 2" xfId="22861" xr:uid="{00000000-0005-0000-0000-0000860B0000}"/>
    <cellStyle name="20% - Accent2 2 4 3 5 3" xfId="31738" xr:uid="{00000000-0005-0000-0000-0000870B0000}"/>
    <cellStyle name="20% - Accent2 2 4 3 6" xfId="13808" xr:uid="{00000000-0005-0000-0000-0000880B0000}"/>
    <cellStyle name="20% - Accent2 2 4 3 6 2" xfId="25080" xr:uid="{00000000-0005-0000-0000-0000890B0000}"/>
    <cellStyle name="20% - Accent2 2 4 3 6 3" xfId="33957" xr:uid="{00000000-0005-0000-0000-00008A0B0000}"/>
    <cellStyle name="20% - Accent2 2 4 3 7" xfId="18417" xr:uid="{00000000-0005-0000-0000-00008B0B0000}"/>
    <cellStyle name="20% - Accent2 2 4 3 8" xfId="27298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19" xr:uid="{00000000-0005-0000-0000-0000900B0000}"/>
    <cellStyle name="20% - Accent2 2 4 4 2 2 3" xfId="30996" xr:uid="{00000000-0005-0000-0000-0000910B0000}"/>
    <cellStyle name="20% - Accent2 2 4 4 2 3" xfId="13064" xr:uid="{00000000-0005-0000-0000-0000920B0000}"/>
    <cellStyle name="20% - Accent2 2 4 4 2 3 2" xfId="24338" xr:uid="{00000000-0005-0000-0000-0000930B0000}"/>
    <cellStyle name="20% - Accent2 2 4 4 2 3 3" xfId="33215" xr:uid="{00000000-0005-0000-0000-0000940B0000}"/>
    <cellStyle name="20% - Accent2 2 4 4 2 4" xfId="15514" xr:uid="{00000000-0005-0000-0000-0000950B0000}"/>
    <cellStyle name="20% - Accent2 2 4 4 2 4 2" xfId="26557" xr:uid="{00000000-0005-0000-0000-0000960B0000}"/>
    <cellStyle name="20% - Accent2 2 4 4 2 4 3" xfId="35434" xr:uid="{00000000-0005-0000-0000-0000970B0000}"/>
    <cellStyle name="20% - Accent2 2 4 4 2 5" xfId="19900" xr:uid="{00000000-0005-0000-0000-0000980B0000}"/>
    <cellStyle name="20% - Accent2 2 4 4 2 6" xfId="28777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6" xr:uid="{00000000-0005-0000-0000-00009C0B0000}"/>
    <cellStyle name="20% - Accent2 2 4 4 3 2 3" xfId="30263" xr:uid="{00000000-0005-0000-0000-00009D0B0000}"/>
    <cellStyle name="20% - Accent2 2 4 4 3 3" xfId="12331" xr:uid="{00000000-0005-0000-0000-00009E0B0000}"/>
    <cellStyle name="20% - Accent2 2 4 4 3 3 2" xfId="23605" xr:uid="{00000000-0005-0000-0000-00009F0B0000}"/>
    <cellStyle name="20% - Accent2 2 4 4 3 3 3" xfId="32482" xr:uid="{00000000-0005-0000-0000-0000A00B0000}"/>
    <cellStyle name="20% - Accent2 2 4 4 3 4" xfId="14781" xr:uid="{00000000-0005-0000-0000-0000A10B0000}"/>
    <cellStyle name="20% - Accent2 2 4 4 3 4 2" xfId="25824" xr:uid="{00000000-0005-0000-0000-0000A20B0000}"/>
    <cellStyle name="20% - Accent2 2 4 4 3 4 3" xfId="34701" xr:uid="{00000000-0005-0000-0000-0000A30B0000}"/>
    <cellStyle name="20% - Accent2 2 4 4 3 5" xfId="19167" xr:uid="{00000000-0005-0000-0000-0000A40B0000}"/>
    <cellStyle name="20% - Accent2 2 4 4 3 6" xfId="28044" xr:uid="{00000000-0005-0000-0000-0000A50B0000}"/>
    <cellStyle name="20% - Accent2 2 4 4 4" xfId="9140" xr:uid="{00000000-0005-0000-0000-0000A60B0000}"/>
    <cellStyle name="20% - Accent2 2 4 4 4 2" xfId="20643" xr:uid="{00000000-0005-0000-0000-0000A70B0000}"/>
    <cellStyle name="20% - Accent2 2 4 4 4 3" xfId="29520" xr:uid="{00000000-0005-0000-0000-0000A80B0000}"/>
    <cellStyle name="20% - Accent2 2 4 4 5" xfId="11588" xr:uid="{00000000-0005-0000-0000-0000A90B0000}"/>
    <cellStyle name="20% - Accent2 2 4 4 5 2" xfId="22862" xr:uid="{00000000-0005-0000-0000-0000AA0B0000}"/>
    <cellStyle name="20% - Accent2 2 4 4 5 3" xfId="31739" xr:uid="{00000000-0005-0000-0000-0000AB0B0000}"/>
    <cellStyle name="20% - Accent2 2 4 4 6" xfId="13809" xr:uid="{00000000-0005-0000-0000-0000AC0B0000}"/>
    <cellStyle name="20% - Accent2 2 4 4 6 2" xfId="25081" xr:uid="{00000000-0005-0000-0000-0000AD0B0000}"/>
    <cellStyle name="20% - Accent2 2 4 4 6 3" xfId="33958" xr:uid="{00000000-0005-0000-0000-0000AE0B0000}"/>
    <cellStyle name="20% - Accent2 2 4 4 7" xfId="18418" xr:uid="{00000000-0005-0000-0000-0000AF0B0000}"/>
    <cellStyle name="20% - Accent2 2 4 4 8" xfId="27299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0" xr:uid="{00000000-0005-0000-0000-0000B40B0000}"/>
    <cellStyle name="20% - Accent2 2 4 5 2 2 3" xfId="30997" xr:uid="{00000000-0005-0000-0000-0000B50B0000}"/>
    <cellStyle name="20% - Accent2 2 4 5 2 3" xfId="13065" xr:uid="{00000000-0005-0000-0000-0000B60B0000}"/>
    <cellStyle name="20% - Accent2 2 4 5 2 3 2" xfId="24339" xr:uid="{00000000-0005-0000-0000-0000B70B0000}"/>
    <cellStyle name="20% - Accent2 2 4 5 2 3 3" xfId="33216" xr:uid="{00000000-0005-0000-0000-0000B80B0000}"/>
    <cellStyle name="20% - Accent2 2 4 5 2 4" xfId="15515" xr:uid="{00000000-0005-0000-0000-0000B90B0000}"/>
    <cellStyle name="20% - Accent2 2 4 5 2 4 2" xfId="26558" xr:uid="{00000000-0005-0000-0000-0000BA0B0000}"/>
    <cellStyle name="20% - Accent2 2 4 5 2 4 3" xfId="35435" xr:uid="{00000000-0005-0000-0000-0000BB0B0000}"/>
    <cellStyle name="20% - Accent2 2 4 5 2 5" xfId="19901" xr:uid="{00000000-0005-0000-0000-0000BC0B0000}"/>
    <cellStyle name="20% - Accent2 2 4 5 2 6" xfId="28778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7" xr:uid="{00000000-0005-0000-0000-0000C00B0000}"/>
    <cellStyle name="20% - Accent2 2 4 5 3 2 3" xfId="30264" xr:uid="{00000000-0005-0000-0000-0000C10B0000}"/>
    <cellStyle name="20% - Accent2 2 4 5 3 3" xfId="12332" xr:uid="{00000000-0005-0000-0000-0000C20B0000}"/>
    <cellStyle name="20% - Accent2 2 4 5 3 3 2" xfId="23606" xr:uid="{00000000-0005-0000-0000-0000C30B0000}"/>
    <cellStyle name="20% - Accent2 2 4 5 3 3 3" xfId="32483" xr:uid="{00000000-0005-0000-0000-0000C40B0000}"/>
    <cellStyle name="20% - Accent2 2 4 5 3 4" xfId="14782" xr:uid="{00000000-0005-0000-0000-0000C50B0000}"/>
    <cellStyle name="20% - Accent2 2 4 5 3 4 2" xfId="25825" xr:uid="{00000000-0005-0000-0000-0000C60B0000}"/>
    <cellStyle name="20% - Accent2 2 4 5 3 4 3" xfId="34702" xr:uid="{00000000-0005-0000-0000-0000C70B0000}"/>
    <cellStyle name="20% - Accent2 2 4 5 3 5" xfId="19168" xr:uid="{00000000-0005-0000-0000-0000C80B0000}"/>
    <cellStyle name="20% - Accent2 2 4 5 3 6" xfId="28045" xr:uid="{00000000-0005-0000-0000-0000C90B0000}"/>
    <cellStyle name="20% - Accent2 2 4 5 4" xfId="9141" xr:uid="{00000000-0005-0000-0000-0000CA0B0000}"/>
    <cellStyle name="20% - Accent2 2 4 5 4 2" xfId="20644" xr:uid="{00000000-0005-0000-0000-0000CB0B0000}"/>
    <cellStyle name="20% - Accent2 2 4 5 4 3" xfId="29521" xr:uid="{00000000-0005-0000-0000-0000CC0B0000}"/>
    <cellStyle name="20% - Accent2 2 4 5 5" xfId="11589" xr:uid="{00000000-0005-0000-0000-0000CD0B0000}"/>
    <cellStyle name="20% - Accent2 2 4 5 5 2" xfId="22863" xr:uid="{00000000-0005-0000-0000-0000CE0B0000}"/>
    <cellStyle name="20% - Accent2 2 4 5 5 3" xfId="31740" xr:uid="{00000000-0005-0000-0000-0000CF0B0000}"/>
    <cellStyle name="20% - Accent2 2 4 5 6" xfId="13810" xr:uid="{00000000-0005-0000-0000-0000D00B0000}"/>
    <cellStyle name="20% - Accent2 2 4 5 6 2" xfId="25082" xr:uid="{00000000-0005-0000-0000-0000D10B0000}"/>
    <cellStyle name="20% - Accent2 2 4 5 6 3" xfId="33959" xr:uid="{00000000-0005-0000-0000-0000D20B0000}"/>
    <cellStyle name="20% - Accent2 2 4 5 7" xfId="18419" xr:uid="{00000000-0005-0000-0000-0000D30B0000}"/>
    <cellStyle name="20% - Accent2 2 4 5 8" xfId="27300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1" xr:uid="{00000000-0005-0000-0000-0000D80B0000}"/>
    <cellStyle name="20% - Accent2 2 4 6 2 2 3" xfId="30998" xr:uid="{00000000-0005-0000-0000-0000D90B0000}"/>
    <cellStyle name="20% - Accent2 2 4 6 2 3" xfId="13066" xr:uid="{00000000-0005-0000-0000-0000DA0B0000}"/>
    <cellStyle name="20% - Accent2 2 4 6 2 3 2" xfId="24340" xr:uid="{00000000-0005-0000-0000-0000DB0B0000}"/>
    <cellStyle name="20% - Accent2 2 4 6 2 3 3" xfId="33217" xr:uid="{00000000-0005-0000-0000-0000DC0B0000}"/>
    <cellStyle name="20% - Accent2 2 4 6 2 4" xfId="15516" xr:uid="{00000000-0005-0000-0000-0000DD0B0000}"/>
    <cellStyle name="20% - Accent2 2 4 6 2 4 2" xfId="26559" xr:uid="{00000000-0005-0000-0000-0000DE0B0000}"/>
    <cellStyle name="20% - Accent2 2 4 6 2 4 3" xfId="35436" xr:uid="{00000000-0005-0000-0000-0000DF0B0000}"/>
    <cellStyle name="20% - Accent2 2 4 6 2 5" xfId="19902" xr:uid="{00000000-0005-0000-0000-0000E00B0000}"/>
    <cellStyle name="20% - Accent2 2 4 6 2 6" xfId="28779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8" xr:uid="{00000000-0005-0000-0000-0000E40B0000}"/>
    <cellStyle name="20% - Accent2 2 4 6 3 2 3" xfId="30265" xr:uid="{00000000-0005-0000-0000-0000E50B0000}"/>
    <cellStyle name="20% - Accent2 2 4 6 3 3" xfId="12333" xr:uid="{00000000-0005-0000-0000-0000E60B0000}"/>
    <cellStyle name="20% - Accent2 2 4 6 3 3 2" xfId="23607" xr:uid="{00000000-0005-0000-0000-0000E70B0000}"/>
    <cellStyle name="20% - Accent2 2 4 6 3 3 3" xfId="32484" xr:uid="{00000000-0005-0000-0000-0000E80B0000}"/>
    <cellStyle name="20% - Accent2 2 4 6 3 4" xfId="14783" xr:uid="{00000000-0005-0000-0000-0000E90B0000}"/>
    <cellStyle name="20% - Accent2 2 4 6 3 4 2" xfId="25826" xr:uid="{00000000-0005-0000-0000-0000EA0B0000}"/>
    <cellStyle name="20% - Accent2 2 4 6 3 4 3" xfId="34703" xr:uid="{00000000-0005-0000-0000-0000EB0B0000}"/>
    <cellStyle name="20% - Accent2 2 4 6 3 5" xfId="19169" xr:uid="{00000000-0005-0000-0000-0000EC0B0000}"/>
    <cellStyle name="20% - Accent2 2 4 6 3 6" xfId="28046" xr:uid="{00000000-0005-0000-0000-0000ED0B0000}"/>
    <cellStyle name="20% - Accent2 2 4 6 4" xfId="9142" xr:uid="{00000000-0005-0000-0000-0000EE0B0000}"/>
    <cellStyle name="20% - Accent2 2 4 6 4 2" xfId="20645" xr:uid="{00000000-0005-0000-0000-0000EF0B0000}"/>
    <cellStyle name="20% - Accent2 2 4 6 4 3" xfId="29522" xr:uid="{00000000-0005-0000-0000-0000F00B0000}"/>
    <cellStyle name="20% - Accent2 2 4 6 5" xfId="11590" xr:uid="{00000000-0005-0000-0000-0000F10B0000}"/>
    <cellStyle name="20% - Accent2 2 4 6 5 2" xfId="22864" xr:uid="{00000000-0005-0000-0000-0000F20B0000}"/>
    <cellStyle name="20% - Accent2 2 4 6 5 3" xfId="31741" xr:uid="{00000000-0005-0000-0000-0000F30B0000}"/>
    <cellStyle name="20% - Accent2 2 4 6 6" xfId="13811" xr:uid="{00000000-0005-0000-0000-0000F40B0000}"/>
    <cellStyle name="20% - Accent2 2 4 6 6 2" xfId="25083" xr:uid="{00000000-0005-0000-0000-0000F50B0000}"/>
    <cellStyle name="20% - Accent2 2 4 6 6 3" xfId="33960" xr:uid="{00000000-0005-0000-0000-0000F60B0000}"/>
    <cellStyle name="20% - Accent2 2 4 6 7" xfId="18420" xr:uid="{00000000-0005-0000-0000-0000F70B0000}"/>
    <cellStyle name="20% - Accent2 2 4 6 8" xfId="27301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2" xr:uid="{00000000-0005-0000-0000-0000FC0B0000}"/>
    <cellStyle name="20% - Accent2 2 4 7 2 2 3" xfId="30999" xr:uid="{00000000-0005-0000-0000-0000FD0B0000}"/>
    <cellStyle name="20% - Accent2 2 4 7 2 3" xfId="13067" xr:uid="{00000000-0005-0000-0000-0000FE0B0000}"/>
    <cellStyle name="20% - Accent2 2 4 7 2 3 2" xfId="24341" xr:uid="{00000000-0005-0000-0000-0000FF0B0000}"/>
    <cellStyle name="20% - Accent2 2 4 7 2 3 3" xfId="33218" xr:uid="{00000000-0005-0000-0000-0000000C0000}"/>
    <cellStyle name="20% - Accent2 2 4 7 2 4" xfId="15517" xr:uid="{00000000-0005-0000-0000-0000010C0000}"/>
    <cellStyle name="20% - Accent2 2 4 7 2 4 2" xfId="26560" xr:uid="{00000000-0005-0000-0000-0000020C0000}"/>
    <cellStyle name="20% - Accent2 2 4 7 2 4 3" xfId="35437" xr:uid="{00000000-0005-0000-0000-0000030C0000}"/>
    <cellStyle name="20% - Accent2 2 4 7 2 5" xfId="19903" xr:uid="{00000000-0005-0000-0000-0000040C0000}"/>
    <cellStyle name="20% - Accent2 2 4 7 2 6" xfId="28780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89" xr:uid="{00000000-0005-0000-0000-0000080C0000}"/>
    <cellStyle name="20% - Accent2 2 4 7 3 2 3" xfId="30266" xr:uid="{00000000-0005-0000-0000-0000090C0000}"/>
    <cellStyle name="20% - Accent2 2 4 7 3 3" xfId="12334" xr:uid="{00000000-0005-0000-0000-00000A0C0000}"/>
    <cellStyle name="20% - Accent2 2 4 7 3 3 2" xfId="23608" xr:uid="{00000000-0005-0000-0000-00000B0C0000}"/>
    <cellStyle name="20% - Accent2 2 4 7 3 3 3" xfId="32485" xr:uid="{00000000-0005-0000-0000-00000C0C0000}"/>
    <cellStyle name="20% - Accent2 2 4 7 3 4" xfId="14784" xr:uid="{00000000-0005-0000-0000-00000D0C0000}"/>
    <cellStyle name="20% - Accent2 2 4 7 3 4 2" xfId="25827" xr:uid="{00000000-0005-0000-0000-00000E0C0000}"/>
    <cellStyle name="20% - Accent2 2 4 7 3 4 3" xfId="34704" xr:uid="{00000000-0005-0000-0000-00000F0C0000}"/>
    <cellStyle name="20% - Accent2 2 4 7 3 5" xfId="19170" xr:uid="{00000000-0005-0000-0000-0000100C0000}"/>
    <cellStyle name="20% - Accent2 2 4 7 3 6" xfId="28047" xr:uid="{00000000-0005-0000-0000-0000110C0000}"/>
    <cellStyle name="20% - Accent2 2 4 7 4" xfId="9143" xr:uid="{00000000-0005-0000-0000-0000120C0000}"/>
    <cellStyle name="20% - Accent2 2 4 7 4 2" xfId="20646" xr:uid="{00000000-0005-0000-0000-0000130C0000}"/>
    <cellStyle name="20% - Accent2 2 4 7 4 3" xfId="29523" xr:uid="{00000000-0005-0000-0000-0000140C0000}"/>
    <cellStyle name="20% - Accent2 2 4 7 5" xfId="11591" xr:uid="{00000000-0005-0000-0000-0000150C0000}"/>
    <cellStyle name="20% - Accent2 2 4 7 5 2" xfId="22865" xr:uid="{00000000-0005-0000-0000-0000160C0000}"/>
    <cellStyle name="20% - Accent2 2 4 7 5 3" xfId="31742" xr:uid="{00000000-0005-0000-0000-0000170C0000}"/>
    <cellStyle name="20% - Accent2 2 4 7 6" xfId="13812" xr:uid="{00000000-0005-0000-0000-0000180C0000}"/>
    <cellStyle name="20% - Accent2 2 4 7 6 2" xfId="25084" xr:uid="{00000000-0005-0000-0000-0000190C0000}"/>
    <cellStyle name="20% - Accent2 2 4 7 6 3" xfId="33961" xr:uid="{00000000-0005-0000-0000-00001A0C0000}"/>
    <cellStyle name="20% - Accent2 2 4 7 7" xfId="18421" xr:uid="{00000000-0005-0000-0000-00001B0C0000}"/>
    <cellStyle name="20% - Accent2 2 4 7 8" xfId="27302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3" xr:uid="{00000000-0005-0000-0000-0000200C0000}"/>
    <cellStyle name="20% - Accent2 2 4 8 2 2 3" xfId="31000" xr:uid="{00000000-0005-0000-0000-0000210C0000}"/>
    <cellStyle name="20% - Accent2 2 4 8 2 3" xfId="13068" xr:uid="{00000000-0005-0000-0000-0000220C0000}"/>
    <cellStyle name="20% - Accent2 2 4 8 2 3 2" xfId="24342" xr:uid="{00000000-0005-0000-0000-0000230C0000}"/>
    <cellStyle name="20% - Accent2 2 4 8 2 3 3" xfId="33219" xr:uid="{00000000-0005-0000-0000-0000240C0000}"/>
    <cellStyle name="20% - Accent2 2 4 8 2 4" xfId="15518" xr:uid="{00000000-0005-0000-0000-0000250C0000}"/>
    <cellStyle name="20% - Accent2 2 4 8 2 4 2" xfId="26561" xr:uid="{00000000-0005-0000-0000-0000260C0000}"/>
    <cellStyle name="20% - Accent2 2 4 8 2 4 3" xfId="35438" xr:uid="{00000000-0005-0000-0000-0000270C0000}"/>
    <cellStyle name="20% - Accent2 2 4 8 2 5" xfId="19904" xr:uid="{00000000-0005-0000-0000-0000280C0000}"/>
    <cellStyle name="20% - Accent2 2 4 8 2 6" xfId="28781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0" xr:uid="{00000000-0005-0000-0000-00002C0C0000}"/>
    <cellStyle name="20% - Accent2 2 4 8 3 2 3" xfId="30267" xr:uid="{00000000-0005-0000-0000-00002D0C0000}"/>
    <cellStyle name="20% - Accent2 2 4 8 3 3" xfId="12335" xr:uid="{00000000-0005-0000-0000-00002E0C0000}"/>
    <cellStyle name="20% - Accent2 2 4 8 3 3 2" xfId="23609" xr:uid="{00000000-0005-0000-0000-00002F0C0000}"/>
    <cellStyle name="20% - Accent2 2 4 8 3 3 3" xfId="32486" xr:uid="{00000000-0005-0000-0000-0000300C0000}"/>
    <cellStyle name="20% - Accent2 2 4 8 3 4" xfId="14785" xr:uid="{00000000-0005-0000-0000-0000310C0000}"/>
    <cellStyle name="20% - Accent2 2 4 8 3 4 2" xfId="25828" xr:uid="{00000000-0005-0000-0000-0000320C0000}"/>
    <cellStyle name="20% - Accent2 2 4 8 3 4 3" xfId="34705" xr:uid="{00000000-0005-0000-0000-0000330C0000}"/>
    <cellStyle name="20% - Accent2 2 4 8 3 5" xfId="19171" xr:uid="{00000000-0005-0000-0000-0000340C0000}"/>
    <cellStyle name="20% - Accent2 2 4 8 3 6" xfId="28048" xr:uid="{00000000-0005-0000-0000-0000350C0000}"/>
    <cellStyle name="20% - Accent2 2 4 8 4" xfId="9144" xr:uid="{00000000-0005-0000-0000-0000360C0000}"/>
    <cellStyle name="20% - Accent2 2 4 8 4 2" xfId="20647" xr:uid="{00000000-0005-0000-0000-0000370C0000}"/>
    <cellStyle name="20% - Accent2 2 4 8 4 3" xfId="29524" xr:uid="{00000000-0005-0000-0000-0000380C0000}"/>
    <cellStyle name="20% - Accent2 2 4 8 5" xfId="11592" xr:uid="{00000000-0005-0000-0000-0000390C0000}"/>
    <cellStyle name="20% - Accent2 2 4 8 5 2" xfId="22866" xr:uid="{00000000-0005-0000-0000-00003A0C0000}"/>
    <cellStyle name="20% - Accent2 2 4 8 5 3" xfId="31743" xr:uid="{00000000-0005-0000-0000-00003B0C0000}"/>
    <cellStyle name="20% - Accent2 2 4 8 6" xfId="13813" xr:uid="{00000000-0005-0000-0000-00003C0C0000}"/>
    <cellStyle name="20% - Accent2 2 4 8 6 2" xfId="25085" xr:uid="{00000000-0005-0000-0000-00003D0C0000}"/>
    <cellStyle name="20% - Accent2 2 4 8 6 3" xfId="33962" xr:uid="{00000000-0005-0000-0000-00003E0C0000}"/>
    <cellStyle name="20% - Accent2 2 4 8 7" xfId="18422" xr:uid="{00000000-0005-0000-0000-00003F0C0000}"/>
    <cellStyle name="20% - Accent2 2 4 8 8" xfId="27303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4" xr:uid="{00000000-0005-0000-0000-0000440C0000}"/>
    <cellStyle name="20% - Accent2 2 4 9 2 2 3" xfId="31001" xr:uid="{00000000-0005-0000-0000-0000450C0000}"/>
    <cellStyle name="20% - Accent2 2 4 9 2 3" xfId="13069" xr:uid="{00000000-0005-0000-0000-0000460C0000}"/>
    <cellStyle name="20% - Accent2 2 4 9 2 3 2" xfId="24343" xr:uid="{00000000-0005-0000-0000-0000470C0000}"/>
    <cellStyle name="20% - Accent2 2 4 9 2 3 3" xfId="33220" xr:uid="{00000000-0005-0000-0000-0000480C0000}"/>
    <cellStyle name="20% - Accent2 2 4 9 2 4" xfId="15519" xr:uid="{00000000-0005-0000-0000-0000490C0000}"/>
    <cellStyle name="20% - Accent2 2 4 9 2 4 2" xfId="26562" xr:uid="{00000000-0005-0000-0000-00004A0C0000}"/>
    <cellStyle name="20% - Accent2 2 4 9 2 4 3" xfId="35439" xr:uid="{00000000-0005-0000-0000-00004B0C0000}"/>
    <cellStyle name="20% - Accent2 2 4 9 2 5" xfId="19905" xr:uid="{00000000-0005-0000-0000-00004C0C0000}"/>
    <cellStyle name="20% - Accent2 2 4 9 2 6" xfId="28782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1" xr:uid="{00000000-0005-0000-0000-0000500C0000}"/>
    <cellStyle name="20% - Accent2 2 4 9 3 2 3" xfId="30268" xr:uid="{00000000-0005-0000-0000-0000510C0000}"/>
    <cellStyle name="20% - Accent2 2 4 9 3 3" xfId="12336" xr:uid="{00000000-0005-0000-0000-0000520C0000}"/>
    <cellStyle name="20% - Accent2 2 4 9 3 3 2" xfId="23610" xr:uid="{00000000-0005-0000-0000-0000530C0000}"/>
    <cellStyle name="20% - Accent2 2 4 9 3 3 3" xfId="32487" xr:uid="{00000000-0005-0000-0000-0000540C0000}"/>
    <cellStyle name="20% - Accent2 2 4 9 3 4" xfId="14786" xr:uid="{00000000-0005-0000-0000-0000550C0000}"/>
    <cellStyle name="20% - Accent2 2 4 9 3 4 2" xfId="25829" xr:uid="{00000000-0005-0000-0000-0000560C0000}"/>
    <cellStyle name="20% - Accent2 2 4 9 3 4 3" xfId="34706" xr:uid="{00000000-0005-0000-0000-0000570C0000}"/>
    <cellStyle name="20% - Accent2 2 4 9 3 5" xfId="19172" xr:uid="{00000000-0005-0000-0000-0000580C0000}"/>
    <cellStyle name="20% - Accent2 2 4 9 3 6" xfId="28049" xr:uid="{00000000-0005-0000-0000-0000590C0000}"/>
    <cellStyle name="20% - Accent2 2 4 9 4" xfId="9145" xr:uid="{00000000-0005-0000-0000-00005A0C0000}"/>
    <cellStyle name="20% - Accent2 2 4 9 4 2" xfId="20648" xr:uid="{00000000-0005-0000-0000-00005B0C0000}"/>
    <cellStyle name="20% - Accent2 2 4 9 4 3" xfId="29525" xr:uid="{00000000-0005-0000-0000-00005C0C0000}"/>
    <cellStyle name="20% - Accent2 2 4 9 5" xfId="11593" xr:uid="{00000000-0005-0000-0000-00005D0C0000}"/>
    <cellStyle name="20% - Accent2 2 4 9 5 2" xfId="22867" xr:uid="{00000000-0005-0000-0000-00005E0C0000}"/>
    <cellStyle name="20% - Accent2 2 4 9 5 3" xfId="31744" xr:uid="{00000000-0005-0000-0000-00005F0C0000}"/>
    <cellStyle name="20% - Accent2 2 4 9 6" xfId="13814" xr:uid="{00000000-0005-0000-0000-0000600C0000}"/>
    <cellStyle name="20% - Accent2 2 4 9 6 2" xfId="25086" xr:uid="{00000000-0005-0000-0000-0000610C0000}"/>
    <cellStyle name="20% - Accent2 2 4 9 6 3" xfId="33963" xr:uid="{00000000-0005-0000-0000-0000620C0000}"/>
    <cellStyle name="20% - Accent2 2 4 9 7" xfId="18423" xr:uid="{00000000-0005-0000-0000-0000630C0000}"/>
    <cellStyle name="20% - Accent2 2 4 9 8" xfId="27304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5" xr:uid="{00000000-0005-0000-0000-0000680C0000}"/>
    <cellStyle name="20% - Accent2 2 5 10 2 3" xfId="31002" xr:uid="{00000000-0005-0000-0000-0000690C0000}"/>
    <cellStyle name="20% - Accent2 2 5 10 3" xfId="13070" xr:uid="{00000000-0005-0000-0000-00006A0C0000}"/>
    <cellStyle name="20% - Accent2 2 5 10 3 2" xfId="24344" xr:uid="{00000000-0005-0000-0000-00006B0C0000}"/>
    <cellStyle name="20% - Accent2 2 5 10 3 3" xfId="33221" xr:uid="{00000000-0005-0000-0000-00006C0C0000}"/>
    <cellStyle name="20% - Accent2 2 5 10 4" xfId="15520" xr:uid="{00000000-0005-0000-0000-00006D0C0000}"/>
    <cellStyle name="20% - Accent2 2 5 10 4 2" xfId="26563" xr:uid="{00000000-0005-0000-0000-00006E0C0000}"/>
    <cellStyle name="20% - Accent2 2 5 10 4 3" xfId="35440" xr:uid="{00000000-0005-0000-0000-00006F0C0000}"/>
    <cellStyle name="20% - Accent2 2 5 10 5" xfId="19906" xr:uid="{00000000-0005-0000-0000-0000700C0000}"/>
    <cellStyle name="20% - Accent2 2 5 10 6" xfId="28783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2" xr:uid="{00000000-0005-0000-0000-0000740C0000}"/>
    <cellStyle name="20% - Accent2 2 5 11 2 3" xfId="30269" xr:uid="{00000000-0005-0000-0000-0000750C0000}"/>
    <cellStyle name="20% - Accent2 2 5 11 3" xfId="12337" xr:uid="{00000000-0005-0000-0000-0000760C0000}"/>
    <cellStyle name="20% - Accent2 2 5 11 3 2" xfId="23611" xr:uid="{00000000-0005-0000-0000-0000770C0000}"/>
    <cellStyle name="20% - Accent2 2 5 11 3 3" xfId="32488" xr:uid="{00000000-0005-0000-0000-0000780C0000}"/>
    <cellStyle name="20% - Accent2 2 5 11 4" xfId="14787" xr:uid="{00000000-0005-0000-0000-0000790C0000}"/>
    <cellStyle name="20% - Accent2 2 5 11 4 2" xfId="25830" xr:uid="{00000000-0005-0000-0000-00007A0C0000}"/>
    <cellStyle name="20% - Accent2 2 5 11 4 3" xfId="34707" xr:uid="{00000000-0005-0000-0000-00007B0C0000}"/>
    <cellStyle name="20% - Accent2 2 5 11 5" xfId="19173" xr:uid="{00000000-0005-0000-0000-00007C0C0000}"/>
    <cellStyle name="20% - Accent2 2 5 11 6" xfId="28050" xr:uid="{00000000-0005-0000-0000-00007D0C0000}"/>
    <cellStyle name="20% - Accent2 2 5 12" xfId="9146" xr:uid="{00000000-0005-0000-0000-00007E0C0000}"/>
    <cellStyle name="20% - Accent2 2 5 12 2" xfId="20649" xr:uid="{00000000-0005-0000-0000-00007F0C0000}"/>
    <cellStyle name="20% - Accent2 2 5 12 3" xfId="29526" xr:uid="{00000000-0005-0000-0000-0000800C0000}"/>
    <cellStyle name="20% - Accent2 2 5 13" xfId="11594" xr:uid="{00000000-0005-0000-0000-0000810C0000}"/>
    <cellStyle name="20% - Accent2 2 5 13 2" xfId="22868" xr:uid="{00000000-0005-0000-0000-0000820C0000}"/>
    <cellStyle name="20% - Accent2 2 5 13 3" xfId="31745" xr:uid="{00000000-0005-0000-0000-0000830C0000}"/>
    <cellStyle name="20% - Accent2 2 5 14" xfId="13815" xr:uid="{00000000-0005-0000-0000-0000840C0000}"/>
    <cellStyle name="20% - Accent2 2 5 14 2" xfId="25087" xr:uid="{00000000-0005-0000-0000-0000850C0000}"/>
    <cellStyle name="20% - Accent2 2 5 14 3" xfId="33964" xr:uid="{00000000-0005-0000-0000-0000860C0000}"/>
    <cellStyle name="20% - Accent2 2 5 15" xfId="18424" xr:uid="{00000000-0005-0000-0000-0000870C0000}"/>
    <cellStyle name="20% - Accent2 2 5 16" xfId="27305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6" xr:uid="{00000000-0005-0000-0000-00008C0C0000}"/>
    <cellStyle name="20% - Accent2 2 5 2 2 2 3" xfId="31003" xr:uid="{00000000-0005-0000-0000-00008D0C0000}"/>
    <cellStyle name="20% - Accent2 2 5 2 2 3" xfId="13071" xr:uid="{00000000-0005-0000-0000-00008E0C0000}"/>
    <cellStyle name="20% - Accent2 2 5 2 2 3 2" xfId="24345" xr:uid="{00000000-0005-0000-0000-00008F0C0000}"/>
    <cellStyle name="20% - Accent2 2 5 2 2 3 3" xfId="33222" xr:uid="{00000000-0005-0000-0000-0000900C0000}"/>
    <cellStyle name="20% - Accent2 2 5 2 2 4" xfId="15521" xr:uid="{00000000-0005-0000-0000-0000910C0000}"/>
    <cellStyle name="20% - Accent2 2 5 2 2 4 2" xfId="26564" xr:uid="{00000000-0005-0000-0000-0000920C0000}"/>
    <cellStyle name="20% - Accent2 2 5 2 2 4 3" xfId="35441" xr:uid="{00000000-0005-0000-0000-0000930C0000}"/>
    <cellStyle name="20% - Accent2 2 5 2 2 5" xfId="19907" xr:uid="{00000000-0005-0000-0000-0000940C0000}"/>
    <cellStyle name="20% - Accent2 2 5 2 2 6" xfId="28784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3" xr:uid="{00000000-0005-0000-0000-0000980C0000}"/>
    <cellStyle name="20% - Accent2 2 5 2 3 2 3" xfId="30270" xr:uid="{00000000-0005-0000-0000-0000990C0000}"/>
    <cellStyle name="20% - Accent2 2 5 2 3 3" xfId="12338" xr:uid="{00000000-0005-0000-0000-00009A0C0000}"/>
    <cellStyle name="20% - Accent2 2 5 2 3 3 2" xfId="23612" xr:uid="{00000000-0005-0000-0000-00009B0C0000}"/>
    <cellStyle name="20% - Accent2 2 5 2 3 3 3" xfId="32489" xr:uid="{00000000-0005-0000-0000-00009C0C0000}"/>
    <cellStyle name="20% - Accent2 2 5 2 3 4" xfId="14788" xr:uid="{00000000-0005-0000-0000-00009D0C0000}"/>
    <cellStyle name="20% - Accent2 2 5 2 3 4 2" xfId="25831" xr:uid="{00000000-0005-0000-0000-00009E0C0000}"/>
    <cellStyle name="20% - Accent2 2 5 2 3 4 3" xfId="34708" xr:uid="{00000000-0005-0000-0000-00009F0C0000}"/>
    <cellStyle name="20% - Accent2 2 5 2 3 5" xfId="19174" xr:uid="{00000000-0005-0000-0000-0000A00C0000}"/>
    <cellStyle name="20% - Accent2 2 5 2 3 6" xfId="28051" xr:uid="{00000000-0005-0000-0000-0000A10C0000}"/>
    <cellStyle name="20% - Accent2 2 5 2 4" xfId="9147" xr:uid="{00000000-0005-0000-0000-0000A20C0000}"/>
    <cellStyle name="20% - Accent2 2 5 2 4 2" xfId="20650" xr:uid="{00000000-0005-0000-0000-0000A30C0000}"/>
    <cellStyle name="20% - Accent2 2 5 2 4 3" xfId="29527" xr:uid="{00000000-0005-0000-0000-0000A40C0000}"/>
    <cellStyle name="20% - Accent2 2 5 2 5" xfId="11595" xr:uid="{00000000-0005-0000-0000-0000A50C0000}"/>
    <cellStyle name="20% - Accent2 2 5 2 5 2" xfId="22869" xr:uid="{00000000-0005-0000-0000-0000A60C0000}"/>
    <cellStyle name="20% - Accent2 2 5 2 5 3" xfId="31746" xr:uid="{00000000-0005-0000-0000-0000A70C0000}"/>
    <cellStyle name="20% - Accent2 2 5 2 6" xfId="13816" xr:uid="{00000000-0005-0000-0000-0000A80C0000}"/>
    <cellStyle name="20% - Accent2 2 5 2 6 2" xfId="25088" xr:uid="{00000000-0005-0000-0000-0000A90C0000}"/>
    <cellStyle name="20% - Accent2 2 5 2 6 3" xfId="33965" xr:uid="{00000000-0005-0000-0000-0000AA0C0000}"/>
    <cellStyle name="20% - Accent2 2 5 2 7" xfId="18425" xr:uid="{00000000-0005-0000-0000-0000AB0C0000}"/>
    <cellStyle name="20% - Accent2 2 5 2 8" xfId="27306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7" xr:uid="{00000000-0005-0000-0000-0000B00C0000}"/>
    <cellStyle name="20% - Accent2 2 5 3 2 2 3" xfId="31004" xr:uid="{00000000-0005-0000-0000-0000B10C0000}"/>
    <cellStyle name="20% - Accent2 2 5 3 2 3" xfId="13072" xr:uid="{00000000-0005-0000-0000-0000B20C0000}"/>
    <cellStyle name="20% - Accent2 2 5 3 2 3 2" xfId="24346" xr:uid="{00000000-0005-0000-0000-0000B30C0000}"/>
    <cellStyle name="20% - Accent2 2 5 3 2 3 3" xfId="33223" xr:uid="{00000000-0005-0000-0000-0000B40C0000}"/>
    <cellStyle name="20% - Accent2 2 5 3 2 4" xfId="15522" xr:uid="{00000000-0005-0000-0000-0000B50C0000}"/>
    <cellStyle name="20% - Accent2 2 5 3 2 4 2" xfId="26565" xr:uid="{00000000-0005-0000-0000-0000B60C0000}"/>
    <cellStyle name="20% - Accent2 2 5 3 2 4 3" xfId="35442" xr:uid="{00000000-0005-0000-0000-0000B70C0000}"/>
    <cellStyle name="20% - Accent2 2 5 3 2 5" xfId="19908" xr:uid="{00000000-0005-0000-0000-0000B80C0000}"/>
    <cellStyle name="20% - Accent2 2 5 3 2 6" xfId="28785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4" xr:uid="{00000000-0005-0000-0000-0000BC0C0000}"/>
    <cellStyle name="20% - Accent2 2 5 3 3 2 3" xfId="30271" xr:uid="{00000000-0005-0000-0000-0000BD0C0000}"/>
    <cellStyle name="20% - Accent2 2 5 3 3 3" xfId="12339" xr:uid="{00000000-0005-0000-0000-0000BE0C0000}"/>
    <cellStyle name="20% - Accent2 2 5 3 3 3 2" xfId="23613" xr:uid="{00000000-0005-0000-0000-0000BF0C0000}"/>
    <cellStyle name="20% - Accent2 2 5 3 3 3 3" xfId="32490" xr:uid="{00000000-0005-0000-0000-0000C00C0000}"/>
    <cellStyle name="20% - Accent2 2 5 3 3 4" xfId="14789" xr:uid="{00000000-0005-0000-0000-0000C10C0000}"/>
    <cellStyle name="20% - Accent2 2 5 3 3 4 2" xfId="25832" xr:uid="{00000000-0005-0000-0000-0000C20C0000}"/>
    <cellStyle name="20% - Accent2 2 5 3 3 4 3" xfId="34709" xr:uid="{00000000-0005-0000-0000-0000C30C0000}"/>
    <cellStyle name="20% - Accent2 2 5 3 3 5" xfId="19175" xr:uid="{00000000-0005-0000-0000-0000C40C0000}"/>
    <cellStyle name="20% - Accent2 2 5 3 3 6" xfId="28052" xr:uid="{00000000-0005-0000-0000-0000C50C0000}"/>
    <cellStyle name="20% - Accent2 2 5 3 4" xfId="9148" xr:uid="{00000000-0005-0000-0000-0000C60C0000}"/>
    <cellStyle name="20% - Accent2 2 5 3 4 2" xfId="20651" xr:uid="{00000000-0005-0000-0000-0000C70C0000}"/>
    <cellStyle name="20% - Accent2 2 5 3 4 3" xfId="29528" xr:uid="{00000000-0005-0000-0000-0000C80C0000}"/>
    <cellStyle name="20% - Accent2 2 5 3 5" xfId="11596" xr:uid="{00000000-0005-0000-0000-0000C90C0000}"/>
    <cellStyle name="20% - Accent2 2 5 3 5 2" xfId="22870" xr:uid="{00000000-0005-0000-0000-0000CA0C0000}"/>
    <cellStyle name="20% - Accent2 2 5 3 5 3" xfId="31747" xr:uid="{00000000-0005-0000-0000-0000CB0C0000}"/>
    <cellStyle name="20% - Accent2 2 5 3 6" xfId="13817" xr:uid="{00000000-0005-0000-0000-0000CC0C0000}"/>
    <cellStyle name="20% - Accent2 2 5 3 6 2" xfId="25089" xr:uid="{00000000-0005-0000-0000-0000CD0C0000}"/>
    <cellStyle name="20% - Accent2 2 5 3 6 3" xfId="33966" xr:uid="{00000000-0005-0000-0000-0000CE0C0000}"/>
    <cellStyle name="20% - Accent2 2 5 3 7" xfId="18426" xr:uid="{00000000-0005-0000-0000-0000CF0C0000}"/>
    <cellStyle name="20% - Accent2 2 5 3 8" xfId="27307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8" xr:uid="{00000000-0005-0000-0000-0000D40C0000}"/>
    <cellStyle name="20% - Accent2 2 5 4 2 2 3" xfId="31005" xr:uid="{00000000-0005-0000-0000-0000D50C0000}"/>
    <cellStyle name="20% - Accent2 2 5 4 2 3" xfId="13073" xr:uid="{00000000-0005-0000-0000-0000D60C0000}"/>
    <cellStyle name="20% - Accent2 2 5 4 2 3 2" xfId="24347" xr:uid="{00000000-0005-0000-0000-0000D70C0000}"/>
    <cellStyle name="20% - Accent2 2 5 4 2 3 3" xfId="33224" xr:uid="{00000000-0005-0000-0000-0000D80C0000}"/>
    <cellStyle name="20% - Accent2 2 5 4 2 4" xfId="15523" xr:uid="{00000000-0005-0000-0000-0000D90C0000}"/>
    <cellStyle name="20% - Accent2 2 5 4 2 4 2" xfId="26566" xr:uid="{00000000-0005-0000-0000-0000DA0C0000}"/>
    <cellStyle name="20% - Accent2 2 5 4 2 4 3" xfId="35443" xr:uid="{00000000-0005-0000-0000-0000DB0C0000}"/>
    <cellStyle name="20% - Accent2 2 5 4 2 5" xfId="19909" xr:uid="{00000000-0005-0000-0000-0000DC0C0000}"/>
    <cellStyle name="20% - Accent2 2 5 4 2 6" xfId="28786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5" xr:uid="{00000000-0005-0000-0000-0000E00C0000}"/>
    <cellStyle name="20% - Accent2 2 5 4 3 2 3" xfId="30272" xr:uid="{00000000-0005-0000-0000-0000E10C0000}"/>
    <cellStyle name="20% - Accent2 2 5 4 3 3" xfId="12340" xr:uid="{00000000-0005-0000-0000-0000E20C0000}"/>
    <cellStyle name="20% - Accent2 2 5 4 3 3 2" xfId="23614" xr:uid="{00000000-0005-0000-0000-0000E30C0000}"/>
    <cellStyle name="20% - Accent2 2 5 4 3 3 3" xfId="32491" xr:uid="{00000000-0005-0000-0000-0000E40C0000}"/>
    <cellStyle name="20% - Accent2 2 5 4 3 4" xfId="14790" xr:uid="{00000000-0005-0000-0000-0000E50C0000}"/>
    <cellStyle name="20% - Accent2 2 5 4 3 4 2" xfId="25833" xr:uid="{00000000-0005-0000-0000-0000E60C0000}"/>
    <cellStyle name="20% - Accent2 2 5 4 3 4 3" xfId="34710" xr:uid="{00000000-0005-0000-0000-0000E70C0000}"/>
    <cellStyle name="20% - Accent2 2 5 4 3 5" xfId="19176" xr:uid="{00000000-0005-0000-0000-0000E80C0000}"/>
    <cellStyle name="20% - Accent2 2 5 4 3 6" xfId="28053" xr:uid="{00000000-0005-0000-0000-0000E90C0000}"/>
    <cellStyle name="20% - Accent2 2 5 4 4" xfId="9149" xr:uid="{00000000-0005-0000-0000-0000EA0C0000}"/>
    <cellStyle name="20% - Accent2 2 5 4 4 2" xfId="20652" xr:uid="{00000000-0005-0000-0000-0000EB0C0000}"/>
    <cellStyle name="20% - Accent2 2 5 4 4 3" xfId="29529" xr:uid="{00000000-0005-0000-0000-0000EC0C0000}"/>
    <cellStyle name="20% - Accent2 2 5 4 5" xfId="11597" xr:uid="{00000000-0005-0000-0000-0000ED0C0000}"/>
    <cellStyle name="20% - Accent2 2 5 4 5 2" xfId="22871" xr:uid="{00000000-0005-0000-0000-0000EE0C0000}"/>
    <cellStyle name="20% - Accent2 2 5 4 5 3" xfId="31748" xr:uid="{00000000-0005-0000-0000-0000EF0C0000}"/>
    <cellStyle name="20% - Accent2 2 5 4 6" xfId="13818" xr:uid="{00000000-0005-0000-0000-0000F00C0000}"/>
    <cellStyle name="20% - Accent2 2 5 4 6 2" xfId="25090" xr:uid="{00000000-0005-0000-0000-0000F10C0000}"/>
    <cellStyle name="20% - Accent2 2 5 4 6 3" xfId="33967" xr:uid="{00000000-0005-0000-0000-0000F20C0000}"/>
    <cellStyle name="20% - Accent2 2 5 4 7" xfId="18427" xr:uid="{00000000-0005-0000-0000-0000F30C0000}"/>
    <cellStyle name="20% - Accent2 2 5 4 8" xfId="27308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29" xr:uid="{00000000-0005-0000-0000-0000F80C0000}"/>
    <cellStyle name="20% - Accent2 2 5 5 2 2 3" xfId="31006" xr:uid="{00000000-0005-0000-0000-0000F90C0000}"/>
    <cellStyle name="20% - Accent2 2 5 5 2 3" xfId="13074" xr:uid="{00000000-0005-0000-0000-0000FA0C0000}"/>
    <cellStyle name="20% - Accent2 2 5 5 2 3 2" xfId="24348" xr:uid="{00000000-0005-0000-0000-0000FB0C0000}"/>
    <cellStyle name="20% - Accent2 2 5 5 2 3 3" xfId="33225" xr:uid="{00000000-0005-0000-0000-0000FC0C0000}"/>
    <cellStyle name="20% - Accent2 2 5 5 2 4" xfId="15524" xr:uid="{00000000-0005-0000-0000-0000FD0C0000}"/>
    <cellStyle name="20% - Accent2 2 5 5 2 4 2" xfId="26567" xr:uid="{00000000-0005-0000-0000-0000FE0C0000}"/>
    <cellStyle name="20% - Accent2 2 5 5 2 4 3" xfId="35444" xr:uid="{00000000-0005-0000-0000-0000FF0C0000}"/>
    <cellStyle name="20% - Accent2 2 5 5 2 5" xfId="19910" xr:uid="{00000000-0005-0000-0000-0000000D0000}"/>
    <cellStyle name="20% - Accent2 2 5 5 2 6" xfId="28787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6" xr:uid="{00000000-0005-0000-0000-0000040D0000}"/>
    <cellStyle name="20% - Accent2 2 5 5 3 2 3" xfId="30273" xr:uid="{00000000-0005-0000-0000-0000050D0000}"/>
    <cellStyle name="20% - Accent2 2 5 5 3 3" xfId="12341" xr:uid="{00000000-0005-0000-0000-0000060D0000}"/>
    <cellStyle name="20% - Accent2 2 5 5 3 3 2" xfId="23615" xr:uid="{00000000-0005-0000-0000-0000070D0000}"/>
    <cellStyle name="20% - Accent2 2 5 5 3 3 3" xfId="32492" xr:uid="{00000000-0005-0000-0000-0000080D0000}"/>
    <cellStyle name="20% - Accent2 2 5 5 3 4" xfId="14791" xr:uid="{00000000-0005-0000-0000-0000090D0000}"/>
    <cellStyle name="20% - Accent2 2 5 5 3 4 2" xfId="25834" xr:uid="{00000000-0005-0000-0000-00000A0D0000}"/>
    <cellStyle name="20% - Accent2 2 5 5 3 4 3" xfId="34711" xr:uid="{00000000-0005-0000-0000-00000B0D0000}"/>
    <cellStyle name="20% - Accent2 2 5 5 3 5" xfId="19177" xr:uid="{00000000-0005-0000-0000-00000C0D0000}"/>
    <cellStyle name="20% - Accent2 2 5 5 3 6" xfId="28054" xr:uid="{00000000-0005-0000-0000-00000D0D0000}"/>
    <cellStyle name="20% - Accent2 2 5 5 4" xfId="9150" xr:uid="{00000000-0005-0000-0000-00000E0D0000}"/>
    <cellStyle name="20% - Accent2 2 5 5 4 2" xfId="20653" xr:uid="{00000000-0005-0000-0000-00000F0D0000}"/>
    <cellStyle name="20% - Accent2 2 5 5 4 3" xfId="29530" xr:uid="{00000000-0005-0000-0000-0000100D0000}"/>
    <cellStyle name="20% - Accent2 2 5 5 5" xfId="11598" xr:uid="{00000000-0005-0000-0000-0000110D0000}"/>
    <cellStyle name="20% - Accent2 2 5 5 5 2" xfId="22872" xr:uid="{00000000-0005-0000-0000-0000120D0000}"/>
    <cellStyle name="20% - Accent2 2 5 5 5 3" xfId="31749" xr:uid="{00000000-0005-0000-0000-0000130D0000}"/>
    <cellStyle name="20% - Accent2 2 5 5 6" xfId="13819" xr:uid="{00000000-0005-0000-0000-0000140D0000}"/>
    <cellStyle name="20% - Accent2 2 5 5 6 2" xfId="25091" xr:uid="{00000000-0005-0000-0000-0000150D0000}"/>
    <cellStyle name="20% - Accent2 2 5 5 6 3" xfId="33968" xr:uid="{00000000-0005-0000-0000-0000160D0000}"/>
    <cellStyle name="20% - Accent2 2 5 5 7" xfId="18428" xr:uid="{00000000-0005-0000-0000-0000170D0000}"/>
    <cellStyle name="20% - Accent2 2 5 5 8" xfId="27309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0" xr:uid="{00000000-0005-0000-0000-00001C0D0000}"/>
    <cellStyle name="20% - Accent2 2 5 6 2 2 3" xfId="31007" xr:uid="{00000000-0005-0000-0000-00001D0D0000}"/>
    <cellStyle name="20% - Accent2 2 5 6 2 3" xfId="13075" xr:uid="{00000000-0005-0000-0000-00001E0D0000}"/>
    <cellStyle name="20% - Accent2 2 5 6 2 3 2" xfId="24349" xr:uid="{00000000-0005-0000-0000-00001F0D0000}"/>
    <cellStyle name="20% - Accent2 2 5 6 2 3 3" xfId="33226" xr:uid="{00000000-0005-0000-0000-0000200D0000}"/>
    <cellStyle name="20% - Accent2 2 5 6 2 4" xfId="15525" xr:uid="{00000000-0005-0000-0000-0000210D0000}"/>
    <cellStyle name="20% - Accent2 2 5 6 2 4 2" xfId="26568" xr:uid="{00000000-0005-0000-0000-0000220D0000}"/>
    <cellStyle name="20% - Accent2 2 5 6 2 4 3" xfId="35445" xr:uid="{00000000-0005-0000-0000-0000230D0000}"/>
    <cellStyle name="20% - Accent2 2 5 6 2 5" xfId="19911" xr:uid="{00000000-0005-0000-0000-0000240D0000}"/>
    <cellStyle name="20% - Accent2 2 5 6 2 6" xfId="28788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7" xr:uid="{00000000-0005-0000-0000-0000280D0000}"/>
    <cellStyle name="20% - Accent2 2 5 6 3 2 3" xfId="30274" xr:uid="{00000000-0005-0000-0000-0000290D0000}"/>
    <cellStyle name="20% - Accent2 2 5 6 3 3" xfId="12342" xr:uid="{00000000-0005-0000-0000-00002A0D0000}"/>
    <cellStyle name="20% - Accent2 2 5 6 3 3 2" xfId="23616" xr:uid="{00000000-0005-0000-0000-00002B0D0000}"/>
    <cellStyle name="20% - Accent2 2 5 6 3 3 3" xfId="32493" xr:uid="{00000000-0005-0000-0000-00002C0D0000}"/>
    <cellStyle name="20% - Accent2 2 5 6 3 4" xfId="14792" xr:uid="{00000000-0005-0000-0000-00002D0D0000}"/>
    <cellStyle name="20% - Accent2 2 5 6 3 4 2" xfId="25835" xr:uid="{00000000-0005-0000-0000-00002E0D0000}"/>
    <cellStyle name="20% - Accent2 2 5 6 3 4 3" xfId="34712" xr:uid="{00000000-0005-0000-0000-00002F0D0000}"/>
    <cellStyle name="20% - Accent2 2 5 6 3 5" xfId="19178" xr:uid="{00000000-0005-0000-0000-0000300D0000}"/>
    <cellStyle name="20% - Accent2 2 5 6 3 6" xfId="28055" xr:uid="{00000000-0005-0000-0000-0000310D0000}"/>
    <cellStyle name="20% - Accent2 2 5 6 4" xfId="9151" xr:uid="{00000000-0005-0000-0000-0000320D0000}"/>
    <cellStyle name="20% - Accent2 2 5 6 4 2" xfId="20654" xr:uid="{00000000-0005-0000-0000-0000330D0000}"/>
    <cellStyle name="20% - Accent2 2 5 6 4 3" xfId="29531" xr:uid="{00000000-0005-0000-0000-0000340D0000}"/>
    <cellStyle name="20% - Accent2 2 5 6 5" xfId="11599" xr:uid="{00000000-0005-0000-0000-0000350D0000}"/>
    <cellStyle name="20% - Accent2 2 5 6 5 2" xfId="22873" xr:uid="{00000000-0005-0000-0000-0000360D0000}"/>
    <cellStyle name="20% - Accent2 2 5 6 5 3" xfId="31750" xr:uid="{00000000-0005-0000-0000-0000370D0000}"/>
    <cellStyle name="20% - Accent2 2 5 6 6" xfId="13820" xr:uid="{00000000-0005-0000-0000-0000380D0000}"/>
    <cellStyle name="20% - Accent2 2 5 6 6 2" xfId="25092" xr:uid="{00000000-0005-0000-0000-0000390D0000}"/>
    <cellStyle name="20% - Accent2 2 5 6 6 3" xfId="33969" xr:uid="{00000000-0005-0000-0000-00003A0D0000}"/>
    <cellStyle name="20% - Accent2 2 5 6 7" xfId="18429" xr:uid="{00000000-0005-0000-0000-00003B0D0000}"/>
    <cellStyle name="20% - Accent2 2 5 6 8" xfId="27310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1" xr:uid="{00000000-0005-0000-0000-0000400D0000}"/>
    <cellStyle name="20% - Accent2 2 5 7 2 2 3" xfId="31008" xr:uid="{00000000-0005-0000-0000-0000410D0000}"/>
    <cellStyle name="20% - Accent2 2 5 7 2 3" xfId="13076" xr:uid="{00000000-0005-0000-0000-0000420D0000}"/>
    <cellStyle name="20% - Accent2 2 5 7 2 3 2" xfId="24350" xr:uid="{00000000-0005-0000-0000-0000430D0000}"/>
    <cellStyle name="20% - Accent2 2 5 7 2 3 3" xfId="33227" xr:uid="{00000000-0005-0000-0000-0000440D0000}"/>
    <cellStyle name="20% - Accent2 2 5 7 2 4" xfId="15526" xr:uid="{00000000-0005-0000-0000-0000450D0000}"/>
    <cellStyle name="20% - Accent2 2 5 7 2 4 2" xfId="26569" xr:uid="{00000000-0005-0000-0000-0000460D0000}"/>
    <cellStyle name="20% - Accent2 2 5 7 2 4 3" xfId="35446" xr:uid="{00000000-0005-0000-0000-0000470D0000}"/>
    <cellStyle name="20% - Accent2 2 5 7 2 5" xfId="19912" xr:uid="{00000000-0005-0000-0000-0000480D0000}"/>
    <cellStyle name="20% - Accent2 2 5 7 2 6" xfId="28789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8" xr:uid="{00000000-0005-0000-0000-00004C0D0000}"/>
    <cellStyle name="20% - Accent2 2 5 7 3 2 3" xfId="30275" xr:uid="{00000000-0005-0000-0000-00004D0D0000}"/>
    <cellStyle name="20% - Accent2 2 5 7 3 3" xfId="12343" xr:uid="{00000000-0005-0000-0000-00004E0D0000}"/>
    <cellStyle name="20% - Accent2 2 5 7 3 3 2" xfId="23617" xr:uid="{00000000-0005-0000-0000-00004F0D0000}"/>
    <cellStyle name="20% - Accent2 2 5 7 3 3 3" xfId="32494" xr:uid="{00000000-0005-0000-0000-0000500D0000}"/>
    <cellStyle name="20% - Accent2 2 5 7 3 4" xfId="14793" xr:uid="{00000000-0005-0000-0000-0000510D0000}"/>
    <cellStyle name="20% - Accent2 2 5 7 3 4 2" xfId="25836" xr:uid="{00000000-0005-0000-0000-0000520D0000}"/>
    <cellStyle name="20% - Accent2 2 5 7 3 4 3" xfId="34713" xr:uid="{00000000-0005-0000-0000-0000530D0000}"/>
    <cellStyle name="20% - Accent2 2 5 7 3 5" xfId="19179" xr:uid="{00000000-0005-0000-0000-0000540D0000}"/>
    <cellStyle name="20% - Accent2 2 5 7 3 6" xfId="28056" xr:uid="{00000000-0005-0000-0000-0000550D0000}"/>
    <cellStyle name="20% - Accent2 2 5 7 4" xfId="9152" xr:uid="{00000000-0005-0000-0000-0000560D0000}"/>
    <cellStyle name="20% - Accent2 2 5 7 4 2" xfId="20655" xr:uid="{00000000-0005-0000-0000-0000570D0000}"/>
    <cellStyle name="20% - Accent2 2 5 7 4 3" xfId="29532" xr:uid="{00000000-0005-0000-0000-0000580D0000}"/>
    <cellStyle name="20% - Accent2 2 5 7 5" xfId="11600" xr:uid="{00000000-0005-0000-0000-0000590D0000}"/>
    <cellStyle name="20% - Accent2 2 5 7 5 2" xfId="22874" xr:uid="{00000000-0005-0000-0000-00005A0D0000}"/>
    <cellStyle name="20% - Accent2 2 5 7 5 3" xfId="31751" xr:uid="{00000000-0005-0000-0000-00005B0D0000}"/>
    <cellStyle name="20% - Accent2 2 5 7 6" xfId="13821" xr:uid="{00000000-0005-0000-0000-00005C0D0000}"/>
    <cellStyle name="20% - Accent2 2 5 7 6 2" xfId="25093" xr:uid="{00000000-0005-0000-0000-00005D0D0000}"/>
    <cellStyle name="20% - Accent2 2 5 7 6 3" xfId="33970" xr:uid="{00000000-0005-0000-0000-00005E0D0000}"/>
    <cellStyle name="20% - Accent2 2 5 7 7" xfId="18430" xr:uid="{00000000-0005-0000-0000-00005F0D0000}"/>
    <cellStyle name="20% - Accent2 2 5 7 8" xfId="27311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2" xr:uid="{00000000-0005-0000-0000-0000640D0000}"/>
    <cellStyle name="20% - Accent2 2 5 8 2 2 3" xfId="31009" xr:uid="{00000000-0005-0000-0000-0000650D0000}"/>
    <cellStyle name="20% - Accent2 2 5 8 2 3" xfId="13077" xr:uid="{00000000-0005-0000-0000-0000660D0000}"/>
    <cellStyle name="20% - Accent2 2 5 8 2 3 2" xfId="24351" xr:uid="{00000000-0005-0000-0000-0000670D0000}"/>
    <cellStyle name="20% - Accent2 2 5 8 2 3 3" xfId="33228" xr:uid="{00000000-0005-0000-0000-0000680D0000}"/>
    <cellStyle name="20% - Accent2 2 5 8 2 4" xfId="15527" xr:uid="{00000000-0005-0000-0000-0000690D0000}"/>
    <cellStyle name="20% - Accent2 2 5 8 2 4 2" xfId="26570" xr:uid="{00000000-0005-0000-0000-00006A0D0000}"/>
    <cellStyle name="20% - Accent2 2 5 8 2 4 3" xfId="35447" xr:uid="{00000000-0005-0000-0000-00006B0D0000}"/>
    <cellStyle name="20% - Accent2 2 5 8 2 5" xfId="19913" xr:uid="{00000000-0005-0000-0000-00006C0D0000}"/>
    <cellStyle name="20% - Accent2 2 5 8 2 6" xfId="28790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399" xr:uid="{00000000-0005-0000-0000-0000700D0000}"/>
    <cellStyle name="20% - Accent2 2 5 8 3 2 3" xfId="30276" xr:uid="{00000000-0005-0000-0000-0000710D0000}"/>
    <cellStyle name="20% - Accent2 2 5 8 3 3" xfId="12344" xr:uid="{00000000-0005-0000-0000-0000720D0000}"/>
    <cellStyle name="20% - Accent2 2 5 8 3 3 2" xfId="23618" xr:uid="{00000000-0005-0000-0000-0000730D0000}"/>
    <cellStyle name="20% - Accent2 2 5 8 3 3 3" xfId="32495" xr:uid="{00000000-0005-0000-0000-0000740D0000}"/>
    <cellStyle name="20% - Accent2 2 5 8 3 4" xfId="14794" xr:uid="{00000000-0005-0000-0000-0000750D0000}"/>
    <cellStyle name="20% - Accent2 2 5 8 3 4 2" xfId="25837" xr:uid="{00000000-0005-0000-0000-0000760D0000}"/>
    <cellStyle name="20% - Accent2 2 5 8 3 4 3" xfId="34714" xr:uid="{00000000-0005-0000-0000-0000770D0000}"/>
    <cellStyle name="20% - Accent2 2 5 8 3 5" xfId="19180" xr:uid="{00000000-0005-0000-0000-0000780D0000}"/>
    <cellStyle name="20% - Accent2 2 5 8 3 6" xfId="28057" xr:uid="{00000000-0005-0000-0000-0000790D0000}"/>
    <cellStyle name="20% - Accent2 2 5 8 4" xfId="9153" xr:uid="{00000000-0005-0000-0000-00007A0D0000}"/>
    <cellStyle name="20% - Accent2 2 5 8 4 2" xfId="20656" xr:uid="{00000000-0005-0000-0000-00007B0D0000}"/>
    <cellStyle name="20% - Accent2 2 5 8 4 3" xfId="29533" xr:uid="{00000000-0005-0000-0000-00007C0D0000}"/>
    <cellStyle name="20% - Accent2 2 5 8 5" xfId="11601" xr:uid="{00000000-0005-0000-0000-00007D0D0000}"/>
    <cellStyle name="20% - Accent2 2 5 8 5 2" xfId="22875" xr:uid="{00000000-0005-0000-0000-00007E0D0000}"/>
    <cellStyle name="20% - Accent2 2 5 8 5 3" xfId="31752" xr:uid="{00000000-0005-0000-0000-00007F0D0000}"/>
    <cellStyle name="20% - Accent2 2 5 8 6" xfId="13822" xr:uid="{00000000-0005-0000-0000-0000800D0000}"/>
    <cellStyle name="20% - Accent2 2 5 8 6 2" xfId="25094" xr:uid="{00000000-0005-0000-0000-0000810D0000}"/>
    <cellStyle name="20% - Accent2 2 5 8 6 3" xfId="33971" xr:uid="{00000000-0005-0000-0000-0000820D0000}"/>
    <cellStyle name="20% - Accent2 2 5 8 7" xfId="18431" xr:uid="{00000000-0005-0000-0000-0000830D0000}"/>
    <cellStyle name="20% - Accent2 2 5 8 8" xfId="27312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3" xr:uid="{00000000-0005-0000-0000-0000880D0000}"/>
    <cellStyle name="20% - Accent2 2 5 9 2 2 3" xfId="31010" xr:uid="{00000000-0005-0000-0000-0000890D0000}"/>
    <cellStyle name="20% - Accent2 2 5 9 2 3" xfId="13078" xr:uid="{00000000-0005-0000-0000-00008A0D0000}"/>
    <cellStyle name="20% - Accent2 2 5 9 2 3 2" xfId="24352" xr:uid="{00000000-0005-0000-0000-00008B0D0000}"/>
    <cellStyle name="20% - Accent2 2 5 9 2 3 3" xfId="33229" xr:uid="{00000000-0005-0000-0000-00008C0D0000}"/>
    <cellStyle name="20% - Accent2 2 5 9 2 4" xfId="15528" xr:uid="{00000000-0005-0000-0000-00008D0D0000}"/>
    <cellStyle name="20% - Accent2 2 5 9 2 4 2" xfId="26571" xr:uid="{00000000-0005-0000-0000-00008E0D0000}"/>
    <cellStyle name="20% - Accent2 2 5 9 2 4 3" xfId="35448" xr:uid="{00000000-0005-0000-0000-00008F0D0000}"/>
    <cellStyle name="20% - Accent2 2 5 9 2 5" xfId="19914" xr:uid="{00000000-0005-0000-0000-0000900D0000}"/>
    <cellStyle name="20% - Accent2 2 5 9 2 6" xfId="28791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0" xr:uid="{00000000-0005-0000-0000-0000940D0000}"/>
    <cellStyle name="20% - Accent2 2 5 9 3 2 3" xfId="30277" xr:uid="{00000000-0005-0000-0000-0000950D0000}"/>
    <cellStyle name="20% - Accent2 2 5 9 3 3" xfId="12345" xr:uid="{00000000-0005-0000-0000-0000960D0000}"/>
    <cellStyle name="20% - Accent2 2 5 9 3 3 2" xfId="23619" xr:uid="{00000000-0005-0000-0000-0000970D0000}"/>
    <cellStyle name="20% - Accent2 2 5 9 3 3 3" xfId="32496" xr:uid="{00000000-0005-0000-0000-0000980D0000}"/>
    <cellStyle name="20% - Accent2 2 5 9 3 4" xfId="14795" xr:uid="{00000000-0005-0000-0000-0000990D0000}"/>
    <cellStyle name="20% - Accent2 2 5 9 3 4 2" xfId="25838" xr:uid="{00000000-0005-0000-0000-00009A0D0000}"/>
    <cellStyle name="20% - Accent2 2 5 9 3 4 3" xfId="34715" xr:uid="{00000000-0005-0000-0000-00009B0D0000}"/>
    <cellStyle name="20% - Accent2 2 5 9 3 5" xfId="19181" xr:uid="{00000000-0005-0000-0000-00009C0D0000}"/>
    <cellStyle name="20% - Accent2 2 5 9 3 6" xfId="28058" xr:uid="{00000000-0005-0000-0000-00009D0D0000}"/>
    <cellStyle name="20% - Accent2 2 5 9 4" xfId="9154" xr:uid="{00000000-0005-0000-0000-00009E0D0000}"/>
    <cellStyle name="20% - Accent2 2 5 9 4 2" xfId="20657" xr:uid="{00000000-0005-0000-0000-00009F0D0000}"/>
    <cellStyle name="20% - Accent2 2 5 9 4 3" xfId="29534" xr:uid="{00000000-0005-0000-0000-0000A00D0000}"/>
    <cellStyle name="20% - Accent2 2 5 9 5" xfId="11602" xr:uid="{00000000-0005-0000-0000-0000A10D0000}"/>
    <cellStyle name="20% - Accent2 2 5 9 5 2" xfId="22876" xr:uid="{00000000-0005-0000-0000-0000A20D0000}"/>
    <cellStyle name="20% - Accent2 2 5 9 5 3" xfId="31753" xr:uid="{00000000-0005-0000-0000-0000A30D0000}"/>
    <cellStyle name="20% - Accent2 2 5 9 6" xfId="13823" xr:uid="{00000000-0005-0000-0000-0000A40D0000}"/>
    <cellStyle name="20% - Accent2 2 5 9 6 2" xfId="25095" xr:uid="{00000000-0005-0000-0000-0000A50D0000}"/>
    <cellStyle name="20% - Accent2 2 5 9 6 3" xfId="33972" xr:uid="{00000000-0005-0000-0000-0000A60D0000}"/>
    <cellStyle name="20% - Accent2 2 5 9 7" xfId="18432" xr:uid="{00000000-0005-0000-0000-0000A70D0000}"/>
    <cellStyle name="20% - Accent2 2 5 9 8" xfId="27313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6" xr:uid="{00000000-0005-0000-0000-0000AB0D0000}"/>
    <cellStyle name="20% - Accent2 2 6 10 3" xfId="33973" xr:uid="{00000000-0005-0000-0000-0000AC0D0000}"/>
    <cellStyle name="20% - Accent2 2 6 11" xfId="18433" xr:uid="{00000000-0005-0000-0000-0000AD0D0000}"/>
    <cellStyle name="20% - Accent2 2 6 12" xfId="27314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5" xr:uid="{00000000-0005-0000-0000-0000B20D0000}"/>
    <cellStyle name="20% - Accent2 2 6 2 2 2 3" xfId="31012" xr:uid="{00000000-0005-0000-0000-0000B30D0000}"/>
    <cellStyle name="20% - Accent2 2 6 2 2 3" xfId="13080" xr:uid="{00000000-0005-0000-0000-0000B40D0000}"/>
    <cellStyle name="20% - Accent2 2 6 2 2 3 2" xfId="24354" xr:uid="{00000000-0005-0000-0000-0000B50D0000}"/>
    <cellStyle name="20% - Accent2 2 6 2 2 3 3" xfId="33231" xr:uid="{00000000-0005-0000-0000-0000B60D0000}"/>
    <cellStyle name="20% - Accent2 2 6 2 2 4" xfId="15530" xr:uid="{00000000-0005-0000-0000-0000B70D0000}"/>
    <cellStyle name="20% - Accent2 2 6 2 2 4 2" xfId="26573" xr:uid="{00000000-0005-0000-0000-0000B80D0000}"/>
    <cellStyle name="20% - Accent2 2 6 2 2 4 3" xfId="35450" xr:uid="{00000000-0005-0000-0000-0000B90D0000}"/>
    <cellStyle name="20% - Accent2 2 6 2 2 5" xfId="19916" xr:uid="{00000000-0005-0000-0000-0000BA0D0000}"/>
    <cellStyle name="20% - Accent2 2 6 2 2 6" xfId="28793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2" xr:uid="{00000000-0005-0000-0000-0000BE0D0000}"/>
    <cellStyle name="20% - Accent2 2 6 2 3 2 3" xfId="30279" xr:uid="{00000000-0005-0000-0000-0000BF0D0000}"/>
    <cellStyle name="20% - Accent2 2 6 2 3 3" xfId="12347" xr:uid="{00000000-0005-0000-0000-0000C00D0000}"/>
    <cellStyle name="20% - Accent2 2 6 2 3 3 2" xfId="23621" xr:uid="{00000000-0005-0000-0000-0000C10D0000}"/>
    <cellStyle name="20% - Accent2 2 6 2 3 3 3" xfId="32498" xr:uid="{00000000-0005-0000-0000-0000C20D0000}"/>
    <cellStyle name="20% - Accent2 2 6 2 3 4" xfId="14797" xr:uid="{00000000-0005-0000-0000-0000C30D0000}"/>
    <cellStyle name="20% - Accent2 2 6 2 3 4 2" xfId="25840" xr:uid="{00000000-0005-0000-0000-0000C40D0000}"/>
    <cellStyle name="20% - Accent2 2 6 2 3 4 3" xfId="34717" xr:uid="{00000000-0005-0000-0000-0000C50D0000}"/>
    <cellStyle name="20% - Accent2 2 6 2 3 5" xfId="19183" xr:uid="{00000000-0005-0000-0000-0000C60D0000}"/>
    <cellStyle name="20% - Accent2 2 6 2 3 6" xfId="28060" xr:uid="{00000000-0005-0000-0000-0000C70D0000}"/>
    <cellStyle name="20% - Accent2 2 6 2 4" xfId="9156" xr:uid="{00000000-0005-0000-0000-0000C80D0000}"/>
    <cellStyle name="20% - Accent2 2 6 2 4 2" xfId="20659" xr:uid="{00000000-0005-0000-0000-0000C90D0000}"/>
    <cellStyle name="20% - Accent2 2 6 2 4 3" xfId="29536" xr:uid="{00000000-0005-0000-0000-0000CA0D0000}"/>
    <cellStyle name="20% - Accent2 2 6 2 5" xfId="11604" xr:uid="{00000000-0005-0000-0000-0000CB0D0000}"/>
    <cellStyle name="20% - Accent2 2 6 2 5 2" xfId="22878" xr:uid="{00000000-0005-0000-0000-0000CC0D0000}"/>
    <cellStyle name="20% - Accent2 2 6 2 5 3" xfId="31755" xr:uid="{00000000-0005-0000-0000-0000CD0D0000}"/>
    <cellStyle name="20% - Accent2 2 6 2 6" xfId="13825" xr:uid="{00000000-0005-0000-0000-0000CE0D0000}"/>
    <cellStyle name="20% - Accent2 2 6 2 6 2" xfId="25097" xr:uid="{00000000-0005-0000-0000-0000CF0D0000}"/>
    <cellStyle name="20% - Accent2 2 6 2 6 3" xfId="33974" xr:uid="{00000000-0005-0000-0000-0000D00D0000}"/>
    <cellStyle name="20% - Accent2 2 6 2 7" xfId="18434" xr:uid="{00000000-0005-0000-0000-0000D10D0000}"/>
    <cellStyle name="20% - Accent2 2 6 2 8" xfId="27315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6" xr:uid="{00000000-0005-0000-0000-0000D60D0000}"/>
    <cellStyle name="20% - Accent2 2 6 3 2 2 3" xfId="31013" xr:uid="{00000000-0005-0000-0000-0000D70D0000}"/>
    <cellStyle name="20% - Accent2 2 6 3 2 3" xfId="13081" xr:uid="{00000000-0005-0000-0000-0000D80D0000}"/>
    <cellStyle name="20% - Accent2 2 6 3 2 3 2" xfId="24355" xr:uid="{00000000-0005-0000-0000-0000D90D0000}"/>
    <cellStyle name="20% - Accent2 2 6 3 2 3 3" xfId="33232" xr:uid="{00000000-0005-0000-0000-0000DA0D0000}"/>
    <cellStyle name="20% - Accent2 2 6 3 2 4" xfId="15531" xr:uid="{00000000-0005-0000-0000-0000DB0D0000}"/>
    <cellStyle name="20% - Accent2 2 6 3 2 4 2" xfId="26574" xr:uid="{00000000-0005-0000-0000-0000DC0D0000}"/>
    <cellStyle name="20% - Accent2 2 6 3 2 4 3" xfId="35451" xr:uid="{00000000-0005-0000-0000-0000DD0D0000}"/>
    <cellStyle name="20% - Accent2 2 6 3 2 5" xfId="19917" xr:uid="{00000000-0005-0000-0000-0000DE0D0000}"/>
    <cellStyle name="20% - Accent2 2 6 3 2 6" xfId="28794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3" xr:uid="{00000000-0005-0000-0000-0000E20D0000}"/>
    <cellStyle name="20% - Accent2 2 6 3 3 2 3" xfId="30280" xr:uid="{00000000-0005-0000-0000-0000E30D0000}"/>
    <cellStyle name="20% - Accent2 2 6 3 3 3" xfId="12348" xr:uid="{00000000-0005-0000-0000-0000E40D0000}"/>
    <cellStyle name="20% - Accent2 2 6 3 3 3 2" xfId="23622" xr:uid="{00000000-0005-0000-0000-0000E50D0000}"/>
    <cellStyle name="20% - Accent2 2 6 3 3 3 3" xfId="32499" xr:uid="{00000000-0005-0000-0000-0000E60D0000}"/>
    <cellStyle name="20% - Accent2 2 6 3 3 4" xfId="14798" xr:uid="{00000000-0005-0000-0000-0000E70D0000}"/>
    <cellStyle name="20% - Accent2 2 6 3 3 4 2" xfId="25841" xr:uid="{00000000-0005-0000-0000-0000E80D0000}"/>
    <cellStyle name="20% - Accent2 2 6 3 3 4 3" xfId="34718" xr:uid="{00000000-0005-0000-0000-0000E90D0000}"/>
    <cellStyle name="20% - Accent2 2 6 3 3 5" xfId="19184" xr:uid="{00000000-0005-0000-0000-0000EA0D0000}"/>
    <cellStyle name="20% - Accent2 2 6 3 3 6" xfId="28061" xr:uid="{00000000-0005-0000-0000-0000EB0D0000}"/>
    <cellStyle name="20% - Accent2 2 6 3 4" xfId="9157" xr:uid="{00000000-0005-0000-0000-0000EC0D0000}"/>
    <cellStyle name="20% - Accent2 2 6 3 4 2" xfId="20660" xr:uid="{00000000-0005-0000-0000-0000ED0D0000}"/>
    <cellStyle name="20% - Accent2 2 6 3 4 3" xfId="29537" xr:uid="{00000000-0005-0000-0000-0000EE0D0000}"/>
    <cellStyle name="20% - Accent2 2 6 3 5" xfId="11605" xr:uid="{00000000-0005-0000-0000-0000EF0D0000}"/>
    <cellStyle name="20% - Accent2 2 6 3 5 2" xfId="22879" xr:uid="{00000000-0005-0000-0000-0000F00D0000}"/>
    <cellStyle name="20% - Accent2 2 6 3 5 3" xfId="31756" xr:uid="{00000000-0005-0000-0000-0000F10D0000}"/>
    <cellStyle name="20% - Accent2 2 6 3 6" xfId="13826" xr:uid="{00000000-0005-0000-0000-0000F20D0000}"/>
    <cellStyle name="20% - Accent2 2 6 3 6 2" xfId="25098" xr:uid="{00000000-0005-0000-0000-0000F30D0000}"/>
    <cellStyle name="20% - Accent2 2 6 3 6 3" xfId="33975" xr:uid="{00000000-0005-0000-0000-0000F40D0000}"/>
    <cellStyle name="20% - Accent2 2 6 3 7" xfId="18435" xr:uid="{00000000-0005-0000-0000-0000F50D0000}"/>
    <cellStyle name="20% - Accent2 2 6 3 8" xfId="27316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7" xr:uid="{00000000-0005-0000-0000-0000FA0D0000}"/>
    <cellStyle name="20% - Accent2 2 6 4 2 2 3" xfId="31014" xr:uid="{00000000-0005-0000-0000-0000FB0D0000}"/>
    <cellStyle name="20% - Accent2 2 6 4 2 3" xfId="13082" xr:uid="{00000000-0005-0000-0000-0000FC0D0000}"/>
    <cellStyle name="20% - Accent2 2 6 4 2 3 2" xfId="24356" xr:uid="{00000000-0005-0000-0000-0000FD0D0000}"/>
    <cellStyle name="20% - Accent2 2 6 4 2 3 3" xfId="33233" xr:uid="{00000000-0005-0000-0000-0000FE0D0000}"/>
    <cellStyle name="20% - Accent2 2 6 4 2 4" xfId="15532" xr:uid="{00000000-0005-0000-0000-0000FF0D0000}"/>
    <cellStyle name="20% - Accent2 2 6 4 2 4 2" xfId="26575" xr:uid="{00000000-0005-0000-0000-0000000E0000}"/>
    <cellStyle name="20% - Accent2 2 6 4 2 4 3" xfId="35452" xr:uid="{00000000-0005-0000-0000-0000010E0000}"/>
    <cellStyle name="20% - Accent2 2 6 4 2 5" xfId="19918" xr:uid="{00000000-0005-0000-0000-0000020E0000}"/>
    <cellStyle name="20% - Accent2 2 6 4 2 6" xfId="28795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4" xr:uid="{00000000-0005-0000-0000-0000060E0000}"/>
    <cellStyle name="20% - Accent2 2 6 4 3 2 3" xfId="30281" xr:uid="{00000000-0005-0000-0000-0000070E0000}"/>
    <cellStyle name="20% - Accent2 2 6 4 3 3" xfId="12349" xr:uid="{00000000-0005-0000-0000-0000080E0000}"/>
    <cellStyle name="20% - Accent2 2 6 4 3 3 2" xfId="23623" xr:uid="{00000000-0005-0000-0000-0000090E0000}"/>
    <cellStyle name="20% - Accent2 2 6 4 3 3 3" xfId="32500" xr:uid="{00000000-0005-0000-0000-00000A0E0000}"/>
    <cellStyle name="20% - Accent2 2 6 4 3 4" xfId="14799" xr:uid="{00000000-0005-0000-0000-00000B0E0000}"/>
    <cellStyle name="20% - Accent2 2 6 4 3 4 2" xfId="25842" xr:uid="{00000000-0005-0000-0000-00000C0E0000}"/>
    <cellStyle name="20% - Accent2 2 6 4 3 4 3" xfId="34719" xr:uid="{00000000-0005-0000-0000-00000D0E0000}"/>
    <cellStyle name="20% - Accent2 2 6 4 3 5" xfId="19185" xr:uid="{00000000-0005-0000-0000-00000E0E0000}"/>
    <cellStyle name="20% - Accent2 2 6 4 3 6" xfId="28062" xr:uid="{00000000-0005-0000-0000-00000F0E0000}"/>
    <cellStyle name="20% - Accent2 2 6 4 4" xfId="9158" xr:uid="{00000000-0005-0000-0000-0000100E0000}"/>
    <cellStyle name="20% - Accent2 2 6 4 4 2" xfId="20661" xr:uid="{00000000-0005-0000-0000-0000110E0000}"/>
    <cellStyle name="20% - Accent2 2 6 4 4 3" xfId="29538" xr:uid="{00000000-0005-0000-0000-0000120E0000}"/>
    <cellStyle name="20% - Accent2 2 6 4 5" xfId="11606" xr:uid="{00000000-0005-0000-0000-0000130E0000}"/>
    <cellStyle name="20% - Accent2 2 6 4 5 2" xfId="22880" xr:uid="{00000000-0005-0000-0000-0000140E0000}"/>
    <cellStyle name="20% - Accent2 2 6 4 5 3" xfId="31757" xr:uid="{00000000-0005-0000-0000-0000150E0000}"/>
    <cellStyle name="20% - Accent2 2 6 4 6" xfId="13827" xr:uid="{00000000-0005-0000-0000-0000160E0000}"/>
    <cellStyle name="20% - Accent2 2 6 4 6 2" xfId="25099" xr:uid="{00000000-0005-0000-0000-0000170E0000}"/>
    <cellStyle name="20% - Accent2 2 6 4 6 3" xfId="33976" xr:uid="{00000000-0005-0000-0000-0000180E0000}"/>
    <cellStyle name="20% - Accent2 2 6 4 7" xfId="18436" xr:uid="{00000000-0005-0000-0000-0000190E0000}"/>
    <cellStyle name="20% - Accent2 2 6 4 8" xfId="27317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8" xr:uid="{00000000-0005-0000-0000-00001E0E0000}"/>
    <cellStyle name="20% - Accent2 2 6 5 2 2 3" xfId="31015" xr:uid="{00000000-0005-0000-0000-00001F0E0000}"/>
    <cellStyle name="20% - Accent2 2 6 5 2 3" xfId="13083" xr:uid="{00000000-0005-0000-0000-0000200E0000}"/>
    <cellStyle name="20% - Accent2 2 6 5 2 3 2" xfId="24357" xr:uid="{00000000-0005-0000-0000-0000210E0000}"/>
    <cellStyle name="20% - Accent2 2 6 5 2 3 3" xfId="33234" xr:uid="{00000000-0005-0000-0000-0000220E0000}"/>
    <cellStyle name="20% - Accent2 2 6 5 2 4" xfId="15533" xr:uid="{00000000-0005-0000-0000-0000230E0000}"/>
    <cellStyle name="20% - Accent2 2 6 5 2 4 2" xfId="26576" xr:uid="{00000000-0005-0000-0000-0000240E0000}"/>
    <cellStyle name="20% - Accent2 2 6 5 2 4 3" xfId="35453" xr:uid="{00000000-0005-0000-0000-0000250E0000}"/>
    <cellStyle name="20% - Accent2 2 6 5 2 5" xfId="19919" xr:uid="{00000000-0005-0000-0000-0000260E0000}"/>
    <cellStyle name="20% - Accent2 2 6 5 2 6" xfId="28796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5" xr:uid="{00000000-0005-0000-0000-00002A0E0000}"/>
    <cellStyle name="20% - Accent2 2 6 5 3 2 3" xfId="30282" xr:uid="{00000000-0005-0000-0000-00002B0E0000}"/>
    <cellStyle name="20% - Accent2 2 6 5 3 3" xfId="12350" xr:uid="{00000000-0005-0000-0000-00002C0E0000}"/>
    <cellStyle name="20% - Accent2 2 6 5 3 3 2" xfId="23624" xr:uid="{00000000-0005-0000-0000-00002D0E0000}"/>
    <cellStyle name="20% - Accent2 2 6 5 3 3 3" xfId="32501" xr:uid="{00000000-0005-0000-0000-00002E0E0000}"/>
    <cellStyle name="20% - Accent2 2 6 5 3 4" xfId="14800" xr:uid="{00000000-0005-0000-0000-00002F0E0000}"/>
    <cellStyle name="20% - Accent2 2 6 5 3 4 2" xfId="25843" xr:uid="{00000000-0005-0000-0000-0000300E0000}"/>
    <cellStyle name="20% - Accent2 2 6 5 3 4 3" xfId="34720" xr:uid="{00000000-0005-0000-0000-0000310E0000}"/>
    <cellStyle name="20% - Accent2 2 6 5 3 5" xfId="19186" xr:uid="{00000000-0005-0000-0000-0000320E0000}"/>
    <cellStyle name="20% - Accent2 2 6 5 3 6" xfId="28063" xr:uid="{00000000-0005-0000-0000-0000330E0000}"/>
    <cellStyle name="20% - Accent2 2 6 5 4" xfId="9159" xr:uid="{00000000-0005-0000-0000-0000340E0000}"/>
    <cellStyle name="20% - Accent2 2 6 5 4 2" xfId="20662" xr:uid="{00000000-0005-0000-0000-0000350E0000}"/>
    <cellStyle name="20% - Accent2 2 6 5 4 3" xfId="29539" xr:uid="{00000000-0005-0000-0000-0000360E0000}"/>
    <cellStyle name="20% - Accent2 2 6 5 5" xfId="11607" xr:uid="{00000000-0005-0000-0000-0000370E0000}"/>
    <cellStyle name="20% - Accent2 2 6 5 5 2" xfId="22881" xr:uid="{00000000-0005-0000-0000-0000380E0000}"/>
    <cellStyle name="20% - Accent2 2 6 5 5 3" xfId="31758" xr:uid="{00000000-0005-0000-0000-0000390E0000}"/>
    <cellStyle name="20% - Accent2 2 6 5 6" xfId="13828" xr:uid="{00000000-0005-0000-0000-00003A0E0000}"/>
    <cellStyle name="20% - Accent2 2 6 5 6 2" xfId="25100" xr:uid="{00000000-0005-0000-0000-00003B0E0000}"/>
    <cellStyle name="20% - Accent2 2 6 5 6 3" xfId="33977" xr:uid="{00000000-0005-0000-0000-00003C0E0000}"/>
    <cellStyle name="20% - Accent2 2 6 5 7" xfId="18437" xr:uid="{00000000-0005-0000-0000-00003D0E0000}"/>
    <cellStyle name="20% - Accent2 2 6 5 8" xfId="27318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4" xr:uid="{00000000-0005-0000-0000-0000410E0000}"/>
    <cellStyle name="20% - Accent2 2 6 6 2 3" xfId="31011" xr:uid="{00000000-0005-0000-0000-0000420E0000}"/>
    <cellStyle name="20% - Accent2 2 6 6 3" xfId="13079" xr:uid="{00000000-0005-0000-0000-0000430E0000}"/>
    <cellStyle name="20% - Accent2 2 6 6 3 2" xfId="24353" xr:uid="{00000000-0005-0000-0000-0000440E0000}"/>
    <cellStyle name="20% - Accent2 2 6 6 3 3" xfId="33230" xr:uid="{00000000-0005-0000-0000-0000450E0000}"/>
    <cellStyle name="20% - Accent2 2 6 6 4" xfId="15529" xr:uid="{00000000-0005-0000-0000-0000460E0000}"/>
    <cellStyle name="20% - Accent2 2 6 6 4 2" xfId="26572" xr:uid="{00000000-0005-0000-0000-0000470E0000}"/>
    <cellStyle name="20% - Accent2 2 6 6 4 3" xfId="35449" xr:uid="{00000000-0005-0000-0000-0000480E0000}"/>
    <cellStyle name="20% - Accent2 2 6 6 5" xfId="19915" xr:uid="{00000000-0005-0000-0000-0000490E0000}"/>
    <cellStyle name="20% - Accent2 2 6 6 6" xfId="28792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1" xr:uid="{00000000-0005-0000-0000-00004D0E0000}"/>
    <cellStyle name="20% - Accent2 2 6 7 2 3" xfId="30278" xr:uid="{00000000-0005-0000-0000-00004E0E0000}"/>
    <cellStyle name="20% - Accent2 2 6 7 3" xfId="12346" xr:uid="{00000000-0005-0000-0000-00004F0E0000}"/>
    <cellStyle name="20% - Accent2 2 6 7 3 2" xfId="23620" xr:uid="{00000000-0005-0000-0000-0000500E0000}"/>
    <cellStyle name="20% - Accent2 2 6 7 3 3" xfId="32497" xr:uid="{00000000-0005-0000-0000-0000510E0000}"/>
    <cellStyle name="20% - Accent2 2 6 7 4" xfId="14796" xr:uid="{00000000-0005-0000-0000-0000520E0000}"/>
    <cellStyle name="20% - Accent2 2 6 7 4 2" xfId="25839" xr:uid="{00000000-0005-0000-0000-0000530E0000}"/>
    <cellStyle name="20% - Accent2 2 6 7 4 3" xfId="34716" xr:uid="{00000000-0005-0000-0000-0000540E0000}"/>
    <cellStyle name="20% - Accent2 2 6 7 5" xfId="19182" xr:uid="{00000000-0005-0000-0000-0000550E0000}"/>
    <cellStyle name="20% - Accent2 2 6 7 6" xfId="28059" xr:uid="{00000000-0005-0000-0000-0000560E0000}"/>
    <cellStyle name="20% - Accent2 2 6 8" xfId="9155" xr:uid="{00000000-0005-0000-0000-0000570E0000}"/>
    <cellStyle name="20% - Accent2 2 6 8 2" xfId="20658" xr:uid="{00000000-0005-0000-0000-0000580E0000}"/>
    <cellStyle name="20% - Accent2 2 6 8 3" xfId="29535" xr:uid="{00000000-0005-0000-0000-0000590E0000}"/>
    <cellStyle name="20% - Accent2 2 6 9" xfId="11603" xr:uid="{00000000-0005-0000-0000-00005A0E0000}"/>
    <cellStyle name="20% - Accent2 2 6 9 2" xfId="22877" xr:uid="{00000000-0005-0000-0000-00005B0E0000}"/>
    <cellStyle name="20% - Accent2 2 6 9 3" xfId="31754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39" xr:uid="{00000000-0005-0000-0000-0000600E0000}"/>
    <cellStyle name="20% - Accent2 2 7 2 2 3" xfId="31016" xr:uid="{00000000-0005-0000-0000-0000610E0000}"/>
    <cellStyle name="20% - Accent2 2 7 2 3" xfId="13084" xr:uid="{00000000-0005-0000-0000-0000620E0000}"/>
    <cellStyle name="20% - Accent2 2 7 2 3 2" xfId="24358" xr:uid="{00000000-0005-0000-0000-0000630E0000}"/>
    <cellStyle name="20% - Accent2 2 7 2 3 3" xfId="33235" xr:uid="{00000000-0005-0000-0000-0000640E0000}"/>
    <cellStyle name="20% - Accent2 2 7 2 4" xfId="15534" xr:uid="{00000000-0005-0000-0000-0000650E0000}"/>
    <cellStyle name="20% - Accent2 2 7 2 4 2" xfId="26577" xr:uid="{00000000-0005-0000-0000-0000660E0000}"/>
    <cellStyle name="20% - Accent2 2 7 2 4 3" xfId="35454" xr:uid="{00000000-0005-0000-0000-0000670E0000}"/>
    <cellStyle name="20% - Accent2 2 7 2 5" xfId="19920" xr:uid="{00000000-0005-0000-0000-0000680E0000}"/>
    <cellStyle name="20% - Accent2 2 7 2 6" xfId="28797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6" xr:uid="{00000000-0005-0000-0000-00006C0E0000}"/>
    <cellStyle name="20% - Accent2 2 7 3 2 3" xfId="30283" xr:uid="{00000000-0005-0000-0000-00006D0E0000}"/>
    <cellStyle name="20% - Accent2 2 7 3 3" xfId="12351" xr:uid="{00000000-0005-0000-0000-00006E0E0000}"/>
    <cellStyle name="20% - Accent2 2 7 3 3 2" xfId="23625" xr:uid="{00000000-0005-0000-0000-00006F0E0000}"/>
    <cellStyle name="20% - Accent2 2 7 3 3 3" xfId="32502" xr:uid="{00000000-0005-0000-0000-0000700E0000}"/>
    <cellStyle name="20% - Accent2 2 7 3 4" xfId="14801" xr:uid="{00000000-0005-0000-0000-0000710E0000}"/>
    <cellStyle name="20% - Accent2 2 7 3 4 2" xfId="25844" xr:uid="{00000000-0005-0000-0000-0000720E0000}"/>
    <cellStyle name="20% - Accent2 2 7 3 4 3" xfId="34721" xr:uid="{00000000-0005-0000-0000-0000730E0000}"/>
    <cellStyle name="20% - Accent2 2 7 3 5" xfId="19187" xr:uid="{00000000-0005-0000-0000-0000740E0000}"/>
    <cellStyle name="20% - Accent2 2 7 3 6" xfId="28064" xr:uid="{00000000-0005-0000-0000-0000750E0000}"/>
    <cellStyle name="20% - Accent2 2 7 4" xfId="9160" xr:uid="{00000000-0005-0000-0000-0000760E0000}"/>
    <cellStyle name="20% - Accent2 2 7 4 2" xfId="20663" xr:uid="{00000000-0005-0000-0000-0000770E0000}"/>
    <cellStyle name="20% - Accent2 2 7 4 3" xfId="29540" xr:uid="{00000000-0005-0000-0000-0000780E0000}"/>
    <cellStyle name="20% - Accent2 2 7 5" xfId="11608" xr:uid="{00000000-0005-0000-0000-0000790E0000}"/>
    <cellStyle name="20% - Accent2 2 7 5 2" xfId="22882" xr:uid="{00000000-0005-0000-0000-00007A0E0000}"/>
    <cellStyle name="20% - Accent2 2 7 5 3" xfId="31759" xr:uid="{00000000-0005-0000-0000-00007B0E0000}"/>
    <cellStyle name="20% - Accent2 2 7 6" xfId="13829" xr:uid="{00000000-0005-0000-0000-00007C0E0000}"/>
    <cellStyle name="20% - Accent2 2 7 6 2" xfId="25101" xr:uid="{00000000-0005-0000-0000-00007D0E0000}"/>
    <cellStyle name="20% - Accent2 2 7 6 3" xfId="33978" xr:uid="{00000000-0005-0000-0000-00007E0E0000}"/>
    <cellStyle name="20% - Accent2 2 7 7" xfId="18438" xr:uid="{00000000-0005-0000-0000-00007F0E0000}"/>
    <cellStyle name="20% - Accent2 2 7 8" xfId="27319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0" xr:uid="{00000000-0005-0000-0000-0000840E0000}"/>
    <cellStyle name="20% - Accent2 2 8 2 2 3" xfId="31017" xr:uid="{00000000-0005-0000-0000-0000850E0000}"/>
    <cellStyle name="20% - Accent2 2 8 2 3" xfId="13085" xr:uid="{00000000-0005-0000-0000-0000860E0000}"/>
    <cellStyle name="20% - Accent2 2 8 2 3 2" xfId="24359" xr:uid="{00000000-0005-0000-0000-0000870E0000}"/>
    <cellStyle name="20% - Accent2 2 8 2 3 3" xfId="33236" xr:uid="{00000000-0005-0000-0000-0000880E0000}"/>
    <cellStyle name="20% - Accent2 2 8 2 4" xfId="15535" xr:uid="{00000000-0005-0000-0000-0000890E0000}"/>
    <cellStyle name="20% - Accent2 2 8 2 4 2" xfId="26578" xr:uid="{00000000-0005-0000-0000-00008A0E0000}"/>
    <cellStyle name="20% - Accent2 2 8 2 4 3" xfId="35455" xr:uid="{00000000-0005-0000-0000-00008B0E0000}"/>
    <cellStyle name="20% - Accent2 2 8 2 5" xfId="19921" xr:uid="{00000000-0005-0000-0000-00008C0E0000}"/>
    <cellStyle name="20% - Accent2 2 8 2 6" xfId="28798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7" xr:uid="{00000000-0005-0000-0000-0000900E0000}"/>
    <cellStyle name="20% - Accent2 2 8 3 2 3" xfId="30284" xr:uid="{00000000-0005-0000-0000-0000910E0000}"/>
    <cellStyle name="20% - Accent2 2 8 3 3" xfId="12352" xr:uid="{00000000-0005-0000-0000-0000920E0000}"/>
    <cellStyle name="20% - Accent2 2 8 3 3 2" xfId="23626" xr:uid="{00000000-0005-0000-0000-0000930E0000}"/>
    <cellStyle name="20% - Accent2 2 8 3 3 3" xfId="32503" xr:uid="{00000000-0005-0000-0000-0000940E0000}"/>
    <cellStyle name="20% - Accent2 2 8 3 4" xfId="14802" xr:uid="{00000000-0005-0000-0000-0000950E0000}"/>
    <cellStyle name="20% - Accent2 2 8 3 4 2" xfId="25845" xr:uid="{00000000-0005-0000-0000-0000960E0000}"/>
    <cellStyle name="20% - Accent2 2 8 3 4 3" xfId="34722" xr:uid="{00000000-0005-0000-0000-0000970E0000}"/>
    <cellStyle name="20% - Accent2 2 8 3 5" xfId="19188" xr:uid="{00000000-0005-0000-0000-0000980E0000}"/>
    <cellStyle name="20% - Accent2 2 8 3 6" xfId="28065" xr:uid="{00000000-0005-0000-0000-0000990E0000}"/>
    <cellStyle name="20% - Accent2 2 8 4" xfId="9161" xr:uid="{00000000-0005-0000-0000-00009A0E0000}"/>
    <cellStyle name="20% - Accent2 2 8 4 2" xfId="20664" xr:uid="{00000000-0005-0000-0000-00009B0E0000}"/>
    <cellStyle name="20% - Accent2 2 8 4 3" xfId="29541" xr:uid="{00000000-0005-0000-0000-00009C0E0000}"/>
    <cellStyle name="20% - Accent2 2 8 5" xfId="11609" xr:uid="{00000000-0005-0000-0000-00009D0E0000}"/>
    <cellStyle name="20% - Accent2 2 8 5 2" xfId="22883" xr:uid="{00000000-0005-0000-0000-00009E0E0000}"/>
    <cellStyle name="20% - Accent2 2 8 5 3" xfId="31760" xr:uid="{00000000-0005-0000-0000-00009F0E0000}"/>
    <cellStyle name="20% - Accent2 2 8 6" xfId="13830" xr:uid="{00000000-0005-0000-0000-0000A00E0000}"/>
    <cellStyle name="20% - Accent2 2 8 6 2" xfId="25102" xr:uid="{00000000-0005-0000-0000-0000A10E0000}"/>
    <cellStyle name="20% - Accent2 2 8 6 3" xfId="33979" xr:uid="{00000000-0005-0000-0000-0000A20E0000}"/>
    <cellStyle name="20% - Accent2 2 8 7" xfId="18439" xr:uid="{00000000-0005-0000-0000-0000A30E0000}"/>
    <cellStyle name="20% - Accent2 2 8 8" xfId="27320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1" xr:uid="{00000000-0005-0000-0000-0000A80E0000}"/>
    <cellStyle name="20% - Accent2 2 9 2 2 3" xfId="31018" xr:uid="{00000000-0005-0000-0000-0000A90E0000}"/>
    <cellStyle name="20% - Accent2 2 9 2 3" xfId="13086" xr:uid="{00000000-0005-0000-0000-0000AA0E0000}"/>
    <cellStyle name="20% - Accent2 2 9 2 3 2" xfId="24360" xr:uid="{00000000-0005-0000-0000-0000AB0E0000}"/>
    <cellStyle name="20% - Accent2 2 9 2 3 3" xfId="33237" xr:uid="{00000000-0005-0000-0000-0000AC0E0000}"/>
    <cellStyle name="20% - Accent2 2 9 2 4" xfId="15536" xr:uid="{00000000-0005-0000-0000-0000AD0E0000}"/>
    <cellStyle name="20% - Accent2 2 9 2 4 2" xfId="26579" xr:uid="{00000000-0005-0000-0000-0000AE0E0000}"/>
    <cellStyle name="20% - Accent2 2 9 2 4 3" xfId="35456" xr:uid="{00000000-0005-0000-0000-0000AF0E0000}"/>
    <cellStyle name="20% - Accent2 2 9 2 5" xfId="19922" xr:uid="{00000000-0005-0000-0000-0000B00E0000}"/>
    <cellStyle name="20% - Accent2 2 9 2 6" xfId="28799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8" xr:uid="{00000000-0005-0000-0000-0000B40E0000}"/>
    <cellStyle name="20% - Accent2 2 9 3 2 3" xfId="30285" xr:uid="{00000000-0005-0000-0000-0000B50E0000}"/>
    <cellStyle name="20% - Accent2 2 9 3 3" xfId="12353" xr:uid="{00000000-0005-0000-0000-0000B60E0000}"/>
    <cellStyle name="20% - Accent2 2 9 3 3 2" xfId="23627" xr:uid="{00000000-0005-0000-0000-0000B70E0000}"/>
    <cellStyle name="20% - Accent2 2 9 3 3 3" xfId="32504" xr:uid="{00000000-0005-0000-0000-0000B80E0000}"/>
    <cellStyle name="20% - Accent2 2 9 3 4" xfId="14803" xr:uid="{00000000-0005-0000-0000-0000B90E0000}"/>
    <cellStyle name="20% - Accent2 2 9 3 4 2" xfId="25846" xr:uid="{00000000-0005-0000-0000-0000BA0E0000}"/>
    <cellStyle name="20% - Accent2 2 9 3 4 3" xfId="34723" xr:uid="{00000000-0005-0000-0000-0000BB0E0000}"/>
    <cellStyle name="20% - Accent2 2 9 3 5" xfId="19189" xr:uid="{00000000-0005-0000-0000-0000BC0E0000}"/>
    <cellStyle name="20% - Accent2 2 9 3 6" xfId="28066" xr:uid="{00000000-0005-0000-0000-0000BD0E0000}"/>
    <cellStyle name="20% - Accent2 2 9 4" xfId="9162" xr:uid="{00000000-0005-0000-0000-0000BE0E0000}"/>
    <cellStyle name="20% - Accent2 2 9 4 2" xfId="20665" xr:uid="{00000000-0005-0000-0000-0000BF0E0000}"/>
    <cellStyle name="20% - Accent2 2 9 4 3" xfId="29542" xr:uid="{00000000-0005-0000-0000-0000C00E0000}"/>
    <cellStyle name="20% - Accent2 2 9 5" xfId="11610" xr:uid="{00000000-0005-0000-0000-0000C10E0000}"/>
    <cellStyle name="20% - Accent2 2 9 5 2" xfId="22884" xr:uid="{00000000-0005-0000-0000-0000C20E0000}"/>
    <cellStyle name="20% - Accent2 2 9 5 3" xfId="31761" xr:uid="{00000000-0005-0000-0000-0000C30E0000}"/>
    <cellStyle name="20% - Accent2 2 9 6" xfId="13831" xr:uid="{00000000-0005-0000-0000-0000C40E0000}"/>
    <cellStyle name="20% - Accent2 2 9 6 2" xfId="25103" xr:uid="{00000000-0005-0000-0000-0000C50E0000}"/>
    <cellStyle name="20% - Accent2 2 9 6 3" xfId="33980" xr:uid="{00000000-0005-0000-0000-0000C60E0000}"/>
    <cellStyle name="20% - Accent2 2 9 7" xfId="18440" xr:uid="{00000000-0005-0000-0000-0000C70E0000}"/>
    <cellStyle name="20% - Accent2 2 9 8" xfId="27321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2" xr:uid="{00000000-0005-0000-0000-0000D50E0000}"/>
    <cellStyle name="20% - Accent2 3 2 2 2 3" xfId="31019" xr:uid="{00000000-0005-0000-0000-0000D60E0000}"/>
    <cellStyle name="20% - Accent2 3 2 2 3" xfId="13087" xr:uid="{00000000-0005-0000-0000-0000D70E0000}"/>
    <cellStyle name="20% - Accent2 3 2 2 3 2" xfId="24361" xr:uid="{00000000-0005-0000-0000-0000D80E0000}"/>
    <cellStyle name="20% - Accent2 3 2 2 3 3" xfId="33238" xr:uid="{00000000-0005-0000-0000-0000D90E0000}"/>
    <cellStyle name="20% - Accent2 3 2 2 4" xfId="15537" xr:uid="{00000000-0005-0000-0000-0000DA0E0000}"/>
    <cellStyle name="20% - Accent2 3 2 2 4 2" xfId="26580" xr:uid="{00000000-0005-0000-0000-0000DB0E0000}"/>
    <cellStyle name="20% - Accent2 3 2 2 4 3" xfId="35457" xr:uid="{00000000-0005-0000-0000-0000DC0E0000}"/>
    <cellStyle name="20% - Accent2 3 2 2 5" xfId="19923" xr:uid="{00000000-0005-0000-0000-0000DD0E0000}"/>
    <cellStyle name="20% - Accent2 3 2 2 6" xfId="28800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09" xr:uid="{00000000-0005-0000-0000-0000E10E0000}"/>
    <cellStyle name="20% - Accent2 3 2 3 2 3" xfId="30286" xr:uid="{00000000-0005-0000-0000-0000E20E0000}"/>
    <cellStyle name="20% - Accent2 3 2 3 3" xfId="12354" xr:uid="{00000000-0005-0000-0000-0000E30E0000}"/>
    <cellStyle name="20% - Accent2 3 2 3 3 2" xfId="23628" xr:uid="{00000000-0005-0000-0000-0000E40E0000}"/>
    <cellStyle name="20% - Accent2 3 2 3 3 3" xfId="32505" xr:uid="{00000000-0005-0000-0000-0000E50E0000}"/>
    <cellStyle name="20% - Accent2 3 2 3 4" xfId="14804" xr:uid="{00000000-0005-0000-0000-0000E60E0000}"/>
    <cellStyle name="20% - Accent2 3 2 3 4 2" xfId="25847" xr:uid="{00000000-0005-0000-0000-0000E70E0000}"/>
    <cellStyle name="20% - Accent2 3 2 3 4 3" xfId="34724" xr:uid="{00000000-0005-0000-0000-0000E80E0000}"/>
    <cellStyle name="20% - Accent2 3 2 3 5" xfId="19190" xr:uid="{00000000-0005-0000-0000-0000E90E0000}"/>
    <cellStyle name="20% - Accent2 3 2 3 6" xfId="28067" xr:uid="{00000000-0005-0000-0000-0000EA0E0000}"/>
    <cellStyle name="20% - Accent2 3 2 4" xfId="9163" xr:uid="{00000000-0005-0000-0000-0000EB0E0000}"/>
    <cellStyle name="20% - Accent2 3 2 4 2" xfId="20666" xr:uid="{00000000-0005-0000-0000-0000EC0E0000}"/>
    <cellStyle name="20% - Accent2 3 2 4 3" xfId="29543" xr:uid="{00000000-0005-0000-0000-0000ED0E0000}"/>
    <cellStyle name="20% - Accent2 3 2 5" xfId="11611" xr:uid="{00000000-0005-0000-0000-0000EE0E0000}"/>
    <cellStyle name="20% - Accent2 3 2 5 2" xfId="22885" xr:uid="{00000000-0005-0000-0000-0000EF0E0000}"/>
    <cellStyle name="20% - Accent2 3 2 5 3" xfId="31762" xr:uid="{00000000-0005-0000-0000-0000F00E0000}"/>
    <cellStyle name="20% - Accent2 3 2 6" xfId="13832" xr:uid="{00000000-0005-0000-0000-0000F10E0000}"/>
    <cellStyle name="20% - Accent2 3 2 6 2" xfId="25104" xr:uid="{00000000-0005-0000-0000-0000F20E0000}"/>
    <cellStyle name="20% - Accent2 3 2 6 3" xfId="33981" xr:uid="{00000000-0005-0000-0000-0000F30E0000}"/>
    <cellStyle name="20% - Accent2 3 2 7" xfId="18441" xr:uid="{00000000-0005-0000-0000-0000F40E0000}"/>
    <cellStyle name="20% - Accent2 3 2 8" xfId="27322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3" xr:uid="{00000000-0005-0000-0000-0000F90E0000}"/>
    <cellStyle name="20% - Accent2 3 3 2 2 3" xfId="31020" xr:uid="{00000000-0005-0000-0000-0000FA0E0000}"/>
    <cellStyle name="20% - Accent2 3 3 2 3" xfId="13088" xr:uid="{00000000-0005-0000-0000-0000FB0E0000}"/>
    <cellStyle name="20% - Accent2 3 3 2 3 2" xfId="24362" xr:uid="{00000000-0005-0000-0000-0000FC0E0000}"/>
    <cellStyle name="20% - Accent2 3 3 2 3 3" xfId="33239" xr:uid="{00000000-0005-0000-0000-0000FD0E0000}"/>
    <cellStyle name="20% - Accent2 3 3 2 4" xfId="15538" xr:uid="{00000000-0005-0000-0000-0000FE0E0000}"/>
    <cellStyle name="20% - Accent2 3 3 2 4 2" xfId="26581" xr:uid="{00000000-0005-0000-0000-0000FF0E0000}"/>
    <cellStyle name="20% - Accent2 3 3 2 4 3" xfId="35458" xr:uid="{00000000-0005-0000-0000-0000000F0000}"/>
    <cellStyle name="20% - Accent2 3 3 2 5" xfId="19924" xr:uid="{00000000-0005-0000-0000-0000010F0000}"/>
    <cellStyle name="20% - Accent2 3 3 2 6" xfId="28801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0" xr:uid="{00000000-0005-0000-0000-0000050F0000}"/>
    <cellStyle name="20% - Accent2 3 3 3 2 3" xfId="30287" xr:uid="{00000000-0005-0000-0000-0000060F0000}"/>
    <cellStyle name="20% - Accent2 3 3 3 3" xfId="12355" xr:uid="{00000000-0005-0000-0000-0000070F0000}"/>
    <cellStyle name="20% - Accent2 3 3 3 3 2" xfId="23629" xr:uid="{00000000-0005-0000-0000-0000080F0000}"/>
    <cellStyle name="20% - Accent2 3 3 3 3 3" xfId="32506" xr:uid="{00000000-0005-0000-0000-0000090F0000}"/>
    <cellStyle name="20% - Accent2 3 3 3 4" xfId="14805" xr:uid="{00000000-0005-0000-0000-00000A0F0000}"/>
    <cellStyle name="20% - Accent2 3 3 3 4 2" xfId="25848" xr:uid="{00000000-0005-0000-0000-00000B0F0000}"/>
    <cellStyle name="20% - Accent2 3 3 3 4 3" xfId="34725" xr:uid="{00000000-0005-0000-0000-00000C0F0000}"/>
    <cellStyle name="20% - Accent2 3 3 3 5" xfId="19191" xr:uid="{00000000-0005-0000-0000-00000D0F0000}"/>
    <cellStyle name="20% - Accent2 3 3 3 6" xfId="28068" xr:uid="{00000000-0005-0000-0000-00000E0F0000}"/>
    <cellStyle name="20% - Accent2 3 3 4" xfId="9164" xr:uid="{00000000-0005-0000-0000-00000F0F0000}"/>
    <cellStyle name="20% - Accent2 3 3 4 2" xfId="20667" xr:uid="{00000000-0005-0000-0000-0000100F0000}"/>
    <cellStyle name="20% - Accent2 3 3 4 3" xfId="29544" xr:uid="{00000000-0005-0000-0000-0000110F0000}"/>
    <cellStyle name="20% - Accent2 3 3 5" xfId="11612" xr:uid="{00000000-0005-0000-0000-0000120F0000}"/>
    <cellStyle name="20% - Accent2 3 3 5 2" xfId="22886" xr:uid="{00000000-0005-0000-0000-0000130F0000}"/>
    <cellStyle name="20% - Accent2 3 3 5 3" xfId="31763" xr:uid="{00000000-0005-0000-0000-0000140F0000}"/>
    <cellStyle name="20% - Accent2 3 3 6" xfId="13833" xr:uid="{00000000-0005-0000-0000-0000150F0000}"/>
    <cellStyle name="20% - Accent2 3 3 6 2" xfId="25105" xr:uid="{00000000-0005-0000-0000-0000160F0000}"/>
    <cellStyle name="20% - Accent2 3 3 6 3" xfId="33982" xr:uid="{00000000-0005-0000-0000-0000170F0000}"/>
    <cellStyle name="20% - Accent2 3 3 7" xfId="18442" xr:uid="{00000000-0005-0000-0000-0000180F0000}"/>
    <cellStyle name="20% - Accent2 3 3 8" xfId="27323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4" xr:uid="{00000000-0005-0000-0000-00001D0F0000}"/>
    <cellStyle name="20% - Accent2 3 4 2 2 3" xfId="31021" xr:uid="{00000000-0005-0000-0000-00001E0F0000}"/>
    <cellStyle name="20% - Accent2 3 4 2 3" xfId="13089" xr:uid="{00000000-0005-0000-0000-00001F0F0000}"/>
    <cellStyle name="20% - Accent2 3 4 2 3 2" xfId="24363" xr:uid="{00000000-0005-0000-0000-0000200F0000}"/>
    <cellStyle name="20% - Accent2 3 4 2 3 3" xfId="33240" xr:uid="{00000000-0005-0000-0000-0000210F0000}"/>
    <cellStyle name="20% - Accent2 3 4 2 4" xfId="15539" xr:uid="{00000000-0005-0000-0000-0000220F0000}"/>
    <cellStyle name="20% - Accent2 3 4 2 4 2" xfId="26582" xr:uid="{00000000-0005-0000-0000-0000230F0000}"/>
    <cellStyle name="20% - Accent2 3 4 2 4 3" xfId="35459" xr:uid="{00000000-0005-0000-0000-0000240F0000}"/>
    <cellStyle name="20% - Accent2 3 4 2 5" xfId="19925" xr:uid="{00000000-0005-0000-0000-0000250F0000}"/>
    <cellStyle name="20% - Accent2 3 4 2 6" xfId="28802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1" xr:uid="{00000000-0005-0000-0000-0000290F0000}"/>
    <cellStyle name="20% - Accent2 3 4 3 2 3" xfId="30288" xr:uid="{00000000-0005-0000-0000-00002A0F0000}"/>
    <cellStyle name="20% - Accent2 3 4 3 3" xfId="12356" xr:uid="{00000000-0005-0000-0000-00002B0F0000}"/>
    <cellStyle name="20% - Accent2 3 4 3 3 2" xfId="23630" xr:uid="{00000000-0005-0000-0000-00002C0F0000}"/>
    <cellStyle name="20% - Accent2 3 4 3 3 3" xfId="32507" xr:uid="{00000000-0005-0000-0000-00002D0F0000}"/>
    <cellStyle name="20% - Accent2 3 4 3 4" xfId="14806" xr:uid="{00000000-0005-0000-0000-00002E0F0000}"/>
    <cellStyle name="20% - Accent2 3 4 3 4 2" xfId="25849" xr:uid="{00000000-0005-0000-0000-00002F0F0000}"/>
    <cellStyle name="20% - Accent2 3 4 3 4 3" xfId="34726" xr:uid="{00000000-0005-0000-0000-0000300F0000}"/>
    <cellStyle name="20% - Accent2 3 4 3 5" xfId="19192" xr:uid="{00000000-0005-0000-0000-0000310F0000}"/>
    <cellStyle name="20% - Accent2 3 4 3 6" xfId="28069" xr:uid="{00000000-0005-0000-0000-0000320F0000}"/>
    <cellStyle name="20% - Accent2 3 4 4" xfId="9165" xr:uid="{00000000-0005-0000-0000-0000330F0000}"/>
    <cellStyle name="20% - Accent2 3 4 4 2" xfId="20668" xr:uid="{00000000-0005-0000-0000-0000340F0000}"/>
    <cellStyle name="20% - Accent2 3 4 4 3" xfId="29545" xr:uid="{00000000-0005-0000-0000-0000350F0000}"/>
    <cellStyle name="20% - Accent2 3 4 5" xfId="11613" xr:uid="{00000000-0005-0000-0000-0000360F0000}"/>
    <cellStyle name="20% - Accent2 3 4 5 2" xfId="22887" xr:uid="{00000000-0005-0000-0000-0000370F0000}"/>
    <cellStyle name="20% - Accent2 3 4 5 3" xfId="31764" xr:uid="{00000000-0005-0000-0000-0000380F0000}"/>
    <cellStyle name="20% - Accent2 3 4 6" xfId="13834" xr:uid="{00000000-0005-0000-0000-0000390F0000}"/>
    <cellStyle name="20% - Accent2 3 4 6 2" xfId="25106" xr:uid="{00000000-0005-0000-0000-00003A0F0000}"/>
    <cellStyle name="20% - Accent2 3 4 6 3" xfId="33983" xr:uid="{00000000-0005-0000-0000-00003B0F0000}"/>
    <cellStyle name="20% - Accent2 3 4 7" xfId="18443" xr:uid="{00000000-0005-0000-0000-00003C0F0000}"/>
    <cellStyle name="20% - Accent2 3 4 8" xfId="27324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5" xr:uid="{00000000-0005-0000-0000-0000410F0000}"/>
    <cellStyle name="20% - Accent2 3 5 2 2 3" xfId="31022" xr:uid="{00000000-0005-0000-0000-0000420F0000}"/>
    <cellStyle name="20% - Accent2 3 5 2 3" xfId="13090" xr:uid="{00000000-0005-0000-0000-0000430F0000}"/>
    <cellStyle name="20% - Accent2 3 5 2 3 2" xfId="24364" xr:uid="{00000000-0005-0000-0000-0000440F0000}"/>
    <cellStyle name="20% - Accent2 3 5 2 3 3" xfId="33241" xr:uid="{00000000-0005-0000-0000-0000450F0000}"/>
    <cellStyle name="20% - Accent2 3 5 2 4" xfId="15540" xr:uid="{00000000-0005-0000-0000-0000460F0000}"/>
    <cellStyle name="20% - Accent2 3 5 2 4 2" xfId="26583" xr:uid="{00000000-0005-0000-0000-0000470F0000}"/>
    <cellStyle name="20% - Accent2 3 5 2 4 3" xfId="35460" xr:uid="{00000000-0005-0000-0000-0000480F0000}"/>
    <cellStyle name="20% - Accent2 3 5 2 5" xfId="19926" xr:uid="{00000000-0005-0000-0000-0000490F0000}"/>
    <cellStyle name="20% - Accent2 3 5 2 6" xfId="28803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2" xr:uid="{00000000-0005-0000-0000-00004D0F0000}"/>
    <cellStyle name="20% - Accent2 3 5 3 2 3" xfId="30289" xr:uid="{00000000-0005-0000-0000-00004E0F0000}"/>
    <cellStyle name="20% - Accent2 3 5 3 3" xfId="12357" xr:uid="{00000000-0005-0000-0000-00004F0F0000}"/>
    <cellStyle name="20% - Accent2 3 5 3 3 2" xfId="23631" xr:uid="{00000000-0005-0000-0000-0000500F0000}"/>
    <cellStyle name="20% - Accent2 3 5 3 3 3" xfId="32508" xr:uid="{00000000-0005-0000-0000-0000510F0000}"/>
    <cellStyle name="20% - Accent2 3 5 3 4" xfId="14807" xr:uid="{00000000-0005-0000-0000-0000520F0000}"/>
    <cellStyle name="20% - Accent2 3 5 3 4 2" xfId="25850" xr:uid="{00000000-0005-0000-0000-0000530F0000}"/>
    <cellStyle name="20% - Accent2 3 5 3 4 3" xfId="34727" xr:uid="{00000000-0005-0000-0000-0000540F0000}"/>
    <cellStyle name="20% - Accent2 3 5 3 5" xfId="19193" xr:uid="{00000000-0005-0000-0000-0000550F0000}"/>
    <cellStyle name="20% - Accent2 3 5 3 6" xfId="28070" xr:uid="{00000000-0005-0000-0000-0000560F0000}"/>
    <cellStyle name="20% - Accent2 3 5 4" xfId="9166" xr:uid="{00000000-0005-0000-0000-0000570F0000}"/>
    <cellStyle name="20% - Accent2 3 5 4 2" xfId="20669" xr:uid="{00000000-0005-0000-0000-0000580F0000}"/>
    <cellStyle name="20% - Accent2 3 5 4 3" xfId="29546" xr:uid="{00000000-0005-0000-0000-0000590F0000}"/>
    <cellStyle name="20% - Accent2 3 5 5" xfId="11614" xr:uid="{00000000-0005-0000-0000-00005A0F0000}"/>
    <cellStyle name="20% - Accent2 3 5 5 2" xfId="22888" xr:uid="{00000000-0005-0000-0000-00005B0F0000}"/>
    <cellStyle name="20% - Accent2 3 5 5 3" xfId="31765" xr:uid="{00000000-0005-0000-0000-00005C0F0000}"/>
    <cellStyle name="20% - Accent2 3 5 6" xfId="13835" xr:uid="{00000000-0005-0000-0000-00005D0F0000}"/>
    <cellStyle name="20% - Accent2 3 5 6 2" xfId="25107" xr:uid="{00000000-0005-0000-0000-00005E0F0000}"/>
    <cellStyle name="20% - Accent2 3 5 6 3" xfId="33984" xr:uid="{00000000-0005-0000-0000-00005F0F0000}"/>
    <cellStyle name="20% - Accent2 3 5 7" xfId="18444" xr:uid="{00000000-0005-0000-0000-0000600F0000}"/>
    <cellStyle name="20% - Accent2 3 5 8" xfId="27325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89" xr:uid="{00000000-0005-0000-0000-00007A0F0000}"/>
    <cellStyle name="20% - Accent2 7 10 3" xfId="31766" xr:uid="{00000000-0005-0000-0000-00007B0F0000}"/>
    <cellStyle name="20% - Accent2 7 11" xfId="13836" xr:uid="{00000000-0005-0000-0000-00007C0F0000}"/>
    <cellStyle name="20% - Accent2 7 11 2" xfId="25108" xr:uid="{00000000-0005-0000-0000-00007D0F0000}"/>
    <cellStyle name="20% - Accent2 7 11 3" xfId="33985" xr:uid="{00000000-0005-0000-0000-00007E0F0000}"/>
    <cellStyle name="20% - Accent2 7 12" xfId="18445" xr:uid="{00000000-0005-0000-0000-00007F0F0000}"/>
    <cellStyle name="20% - Accent2 7 13" xfId="27326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6" xr:uid="{00000000-0005-0000-0000-0000880F0000}"/>
    <cellStyle name="20% - Accent2 7 7 2 3" xfId="31023" xr:uid="{00000000-0005-0000-0000-0000890F0000}"/>
    <cellStyle name="20% - Accent2 7 7 3" xfId="13091" xr:uid="{00000000-0005-0000-0000-00008A0F0000}"/>
    <cellStyle name="20% - Accent2 7 7 3 2" xfId="24365" xr:uid="{00000000-0005-0000-0000-00008B0F0000}"/>
    <cellStyle name="20% - Accent2 7 7 3 3" xfId="33242" xr:uid="{00000000-0005-0000-0000-00008C0F0000}"/>
    <cellStyle name="20% - Accent2 7 7 4" xfId="15541" xr:uid="{00000000-0005-0000-0000-00008D0F0000}"/>
    <cellStyle name="20% - Accent2 7 7 4 2" xfId="26584" xr:uid="{00000000-0005-0000-0000-00008E0F0000}"/>
    <cellStyle name="20% - Accent2 7 7 4 3" xfId="35461" xr:uid="{00000000-0005-0000-0000-00008F0F0000}"/>
    <cellStyle name="20% - Accent2 7 7 5" xfId="19927" xr:uid="{00000000-0005-0000-0000-0000900F0000}"/>
    <cellStyle name="20% - Accent2 7 7 6" xfId="28804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3" xr:uid="{00000000-0005-0000-0000-0000940F0000}"/>
    <cellStyle name="20% - Accent2 7 8 2 3" xfId="30290" xr:uid="{00000000-0005-0000-0000-0000950F0000}"/>
    <cellStyle name="20% - Accent2 7 8 3" xfId="12358" xr:uid="{00000000-0005-0000-0000-0000960F0000}"/>
    <cellStyle name="20% - Accent2 7 8 3 2" xfId="23632" xr:uid="{00000000-0005-0000-0000-0000970F0000}"/>
    <cellStyle name="20% - Accent2 7 8 3 3" xfId="32509" xr:uid="{00000000-0005-0000-0000-0000980F0000}"/>
    <cellStyle name="20% - Accent2 7 8 4" xfId="14808" xr:uid="{00000000-0005-0000-0000-0000990F0000}"/>
    <cellStyle name="20% - Accent2 7 8 4 2" xfId="25851" xr:uid="{00000000-0005-0000-0000-00009A0F0000}"/>
    <cellStyle name="20% - Accent2 7 8 4 3" xfId="34728" xr:uid="{00000000-0005-0000-0000-00009B0F0000}"/>
    <cellStyle name="20% - Accent2 7 8 5" xfId="19194" xr:uid="{00000000-0005-0000-0000-00009C0F0000}"/>
    <cellStyle name="20% - Accent2 7 8 6" xfId="28071" xr:uid="{00000000-0005-0000-0000-00009D0F0000}"/>
    <cellStyle name="20% - Accent2 7 9" xfId="9167" xr:uid="{00000000-0005-0000-0000-00009E0F0000}"/>
    <cellStyle name="20% - Accent2 7 9 2" xfId="20670" xr:uid="{00000000-0005-0000-0000-00009F0F0000}"/>
    <cellStyle name="20% - Accent2 7 9 3" xfId="29547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7" xr:uid="{00000000-0005-0000-0000-0000C60F0000}"/>
    <cellStyle name="20% - Accent3 2 10 2 2 3" xfId="31024" xr:uid="{00000000-0005-0000-0000-0000C70F0000}"/>
    <cellStyle name="20% - Accent3 2 10 2 3" xfId="13092" xr:uid="{00000000-0005-0000-0000-0000C80F0000}"/>
    <cellStyle name="20% - Accent3 2 10 2 3 2" xfId="24366" xr:uid="{00000000-0005-0000-0000-0000C90F0000}"/>
    <cellStyle name="20% - Accent3 2 10 2 3 3" xfId="33243" xr:uid="{00000000-0005-0000-0000-0000CA0F0000}"/>
    <cellStyle name="20% - Accent3 2 10 2 4" xfId="15542" xr:uid="{00000000-0005-0000-0000-0000CB0F0000}"/>
    <cellStyle name="20% - Accent3 2 10 2 4 2" xfId="26585" xr:uid="{00000000-0005-0000-0000-0000CC0F0000}"/>
    <cellStyle name="20% - Accent3 2 10 2 4 3" xfId="35462" xr:uid="{00000000-0005-0000-0000-0000CD0F0000}"/>
    <cellStyle name="20% - Accent3 2 10 2 5" xfId="19928" xr:uid="{00000000-0005-0000-0000-0000CE0F0000}"/>
    <cellStyle name="20% - Accent3 2 10 2 6" xfId="28805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4" xr:uid="{00000000-0005-0000-0000-0000D20F0000}"/>
    <cellStyle name="20% - Accent3 2 10 3 2 3" xfId="30291" xr:uid="{00000000-0005-0000-0000-0000D30F0000}"/>
    <cellStyle name="20% - Accent3 2 10 3 3" xfId="12359" xr:uid="{00000000-0005-0000-0000-0000D40F0000}"/>
    <cellStyle name="20% - Accent3 2 10 3 3 2" xfId="23633" xr:uid="{00000000-0005-0000-0000-0000D50F0000}"/>
    <cellStyle name="20% - Accent3 2 10 3 3 3" xfId="32510" xr:uid="{00000000-0005-0000-0000-0000D60F0000}"/>
    <cellStyle name="20% - Accent3 2 10 3 4" xfId="14809" xr:uid="{00000000-0005-0000-0000-0000D70F0000}"/>
    <cellStyle name="20% - Accent3 2 10 3 4 2" xfId="25852" xr:uid="{00000000-0005-0000-0000-0000D80F0000}"/>
    <cellStyle name="20% - Accent3 2 10 3 4 3" xfId="34729" xr:uid="{00000000-0005-0000-0000-0000D90F0000}"/>
    <cellStyle name="20% - Accent3 2 10 3 5" xfId="19195" xr:uid="{00000000-0005-0000-0000-0000DA0F0000}"/>
    <cellStyle name="20% - Accent3 2 10 3 6" xfId="28072" xr:uid="{00000000-0005-0000-0000-0000DB0F0000}"/>
    <cellStyle name="20% - Accent3 2 10 4" xfId="9168" xr:uid="{00000000-0005-0000-0000-0000DC0F0000}"/>
    <cellStyle name="20% - Accent3 2 10 4 2" xfId="20671" xr:uid="{00000000-0005-0000-0000-0000DD0F0000}"/>
    <cellStyle name="20% - Accent3 2 10 4 3" xfId="29548" xr:uid="{00000000-0005-0000-0000-0000DE0F0000}"/>
    <cellStyle name="20% - Accent3 2 10 5" xfId="11616" xr:uid="{00000000-0005-0000-0000-0000DF0F0000}"/>
    <cellStyle name="20% - Accent3 2 10 5 2" xfId="22890" xr:uid="{00000000-0005-0000-0000-0000E00F0000}"/>
    <cellStyle name="20% - Accent3 2 10 5 3" xfId="31767" xr:uid="{00000000-0005-0000-0000-0000E10F0000}"/>
    <cellStyle name="20% - Accent3 2 10 6" xfId="13837" xr:uid="{00000000-0005-0000-0000-0000E20F0000}"/>
    <cellStyle name="20% - Accent3 2 10 6 2" xfId="25109" xr:uid="{00000000-0005-0000-0000-0000E30F0000}"/>
    <cellStyle name="20% - Accent3 2 10 6 3" xfId="33986" xr:uid="{00000000-0005-0000-0000-0000E40F0000}"/>
    <cellStyle name="20% - Accent3 2 10 7" xfId="18446" xr:uid="{00000000-0005-0000-0000-0000E50F0000}"/>
    <cellStyle name="20% - Accent3 2 10 8" xfId="27327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8" xr:uid="{00000000-0005-0000-0000-0000EB0F0000}"/>
    <cellStyle name="20% - Accent3 2 11 2 2 2 3" xfId="31025" xr:uid="{00000000-0005-0000-0000-0000EC0F0000}"/>
    <cellStyle name="20% - Accent3 2 11 2 2 3" xfId="13093" xr:uid="{00000000-0005-0000-0000-0000ED0F0000}"/>
    <cellStyle name="20% - Accent3 2 11 2 2 3 2" xfId="24367" xr:uid="{00000000-0005-0000-0000-0000EE0F0000}"/>
    <cellStyle name="20% - Accent3 2 11 2 2 3 3" xfId="33244" xr:uid="{00000000-0005-0000-0000-0000EF0F0000}"/>
    <cellStyle name="20% - Accent3 2 11 2 2 4" xfId="15543" xr:uid="{00000000-0005-0000-0000-0000F00F0000}"/>
    <cellStyle name="20% - Accent3 2 11 2 2 4 2" xfId="26586" xr:uid="{00000000-0005-0000-0000-0000F10F0000}"/>
    <cellStyle name="20% - Accent3 2 11 2 2 4 3" xfId="35463" xr:uid="{00000000-0005-0000-0000-0000F20F0000}"/>
    <cellStyle name="20% - Accent3 2 11 2 2 5" xfId="19929" xr:uid="{00000000-0005-0000-0000-0000F30F0000}"/>
    <cellStyle name="20% - Accent3 2 11 2 2 6" xfId="28806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5" xr:uid="{00000000-0005-0000-0000-0000F70F0000}"/>
    <cellStyle name="20% - Accent3 2 11 2 3 2 3" xfId="30292" xr:uid="{00000000-0005-0000-0000-0000F80F0000}"/>
    <cellStyle name="20% - Accent3 2 11 2 3 3" xfId="12360" xr:uid="{00000000-0005-0000-0000-0000F90F0000}"/>
    <cellStyle name="20% - Accent3 2 11 2 3 3 2" xfId="23634" xr:uid="{00000000-0005-0000-0000-0000FA0F0000}"/>
    <cellStyle name="20% - Accent3 2 11 2 3 3 3" xfId="32511" xr:uid="{00000000-0005-0000-0000-0000FB0F0000}"/>
    <cellStyle name="20% - Accent3 2 11 2 3 4" xfId="14810" xr:uid="{00000000-0005-0000-0000-0000FC0F0000}"/>
    <cellStyle name="20% - Accent3 2 11 2 3 4 2" xfId="25853" xr:uid="{00000000-0005-0000-0000-0000FD0F0000}"/>
    <cellStyle name="20% - Accent3 2 11 2 3 4 3" xfId="34730" xr:uid="{00000000-0005-0000-0000-0000FE0F0000}"/>
    <cellStyle name="20% - Accent3 2 11 2 3 5" xfId="19196" xr:uid="{00000000-0005-0000-0000-0000FF0F0000}"/>
    <cellStyle name="20% - Accent3 2 11 2 3 6" xfId="28073" xr:uid="{00000000-0005-0000-0000-000000100000}"/>
    <cellStyle name="20% - Accent3 2 11 2 4" xfId="9169" xr:uid="{00000000-0005-0000-0000-000001100000}"/>
    <cellStyle name="20% - Accent3 2 11 2 4 2" xfId="20672" xr:uid="{00000000-0005-0000-0000-000002100000}"/>
    <cellStyle name="20% - Accent3 2 11 2 4 3" xfId="29549" xr:uid="{00000000-0005-0000-0000-000003100000}"/>
    <cellStyle name="20% - Accent3 2 11 2 5" xfId="11617" xr:uid="{00000000-0005-0000-0000-000004100000}"/>
    <cellStyle name="20% - Accent3 2 11 2 5 2" xfId="22891" xr:uid="{00000000-0005-0000-0000-000005100000}"/>
    <cellStyle name="20% - Accent3 2 11 2 5 3" xfId="31768" xr:uid="{00000000-0005-0000-0000-000006100000}"/>
    <cellStyle name="20% - Accent3 2 11 2 6" xfId="13838" xr:uid="{00000000-0005-0000-0000-000007100000}"/>
    <cellStyle name="20% - Accent3 2 11 2 6 2" xfId="25110" xr:uid="{00000000-0005-0000-0000-000008100000}"/>
    <cellStyle name="20% - Accent3 2 11 2 6 3" xfId="33987" xr:uid="{00000000-0005-0000-0000-000009100000}"/>
    <cellStyle name="20% - Accent3 2 11 2 7" xfId="18447" xr:uid="{00000000-0005-0000-0000-00000A100000}"/>
    <cellStyle name="20% - Accent3 2 11 2 8" xfId="27328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49" xr:uid="{00000000-0005-0000-0000-00000F100000}"/>
    <cellStyle name="20% - Accent3 2 11 3 2 2 3" xfId="31026" xr:uid="{00000000-0005-0000-0000-000010100000}"/>
    <cellStyle name="20% - Accent3 2 11 3 2 3" xfId="13094" xr:uid="{00000000-0005-0000-0000-000011100000}"/>
    <cellStyle name="20% - Accent3 2 11 3 2 3 2" xfId="24368" xr:uid="{00000000-0005-0000-0000-000012100000}"/>
    <cellStyle name="20% - Accent3 2 11 3 2 3 3" xfId="33245" xr:uid="{00000000-0005-0000-0000-000013100000}"/>
    <cellStyle name="20% - Accent3 2 11 3 2 4" xfId="15544" xr:uid="{00000000-0005-0000-0000-000014100000}"/>
    <cellStyle name="20% - Accent3 2 11 3 2 4 2" xfId="26587" xr:uid="{00000000-0005-0000-0000-000015100000}"/>
    <cellStyle name="20% - Accent3 2 11 3 2 4 3" xfId="35464" xr:uid="{00000000-0005-0000-0000-000016100000}"/>
    <cellStyle name="20% - Accent3 2 11 3 2 5" xfId="19930" xr:uid="{00000000-0005-0000-0000-000017100000}"/>
    <cellStyle name="20% - Accent3 2 11 3 2 6" xfId="28807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6" xr:uid="{00000000-0005-0000-0000-00001B100000}"/>
    <cellStyle name="20% - Accent3 2 11 3 3 2 3" xfId="30293" xr:uid="{00000000-0005-0000-0000-00001C100000}"/>
    <cellStyle name="20% - Accent3 2 11 3 3 3" xfId="12361" xr:uid="{00000000-0005-0000-0000-00001D100000}"/>
    <cellStyle name="20% - Accent3 2 11 3 3 3 2" xfId="23635" xr:uid="{00000000-0005-0000-0000-00001E100000}"/>
    <cellStyle name="20% - Accent3 2 11 3 3 3 3" xfId="32512" xr:uid="{00000000-0005-0000-0000-00001F100000}"/>
    <cellStyle name="20% - Accent3 2 11 3 3 4" xfId="14811" xr:uid="{00000000-0005-0000-0000-000020100000}"/>
    <cellStyle name="20% - Accent3 2 11 3 3 4 2" xfId="25854" xr:uid="{00000000-0005-0000-0000-000021100000}"/>
    <cellStyle name="20% - Accent3 2 11 3 3 4 3" xfId="34731" xr:uid="{00000000-0005-0000-0000-000022100000}"/>
    <cellStyle name="20% - Accent3 2 11 3 3 5" xfId="19197" xr:uid="{00000000-0005-0000-0000-000023100000}"/>
    <cellStyle name="20% - Accent3 2 11 3 3 6" xfId="28074" xr:uid="{00000000-0005-0000-0000-000024100000}"/>
    <cellStyle name="20% - Accent3 2 11 3 4" xfId="9170" xr:uid="{00000000-0005-0000-0000-000025100000}"/>
    <cellStyle name="20% - Accent3 2 11 3 4 2" xfId="20673" xr:uid="{00000000-0005-0000-0000-000026100000}"/>
    <cellStyle name="20% - Accent3 2 11 3 4 3" xfId="29550" xr:uid="{00000000-0005-0000-0000-000027100000}"/>
    <cellStyle name="20% - Accent3 2 11 3 5" xfId="11618" xr:uid="{00000000-0005-0000-0000-000028100000}"/>
    <cellStyle name="20% - Accent3 2 11 3 5 2" xfId="22892" xr:uid="{00000000-0005-0000-0000-000029100000}"/>
    <cellStyle name="20% - Accent3 2 11 3 5 3" xfId="31769" xr:uid="{00000000-0005-0000-0000-00002A100000}"/>
    <cellStyle name="20% - Accent3 2 11 3 6" xfId="13839" xr:uid="{00000000-0005-0000-0000-00002B100000}"/>
    <cellStyle name="20% - Accent3 2 11 3 6 2" xfId="25111" xr:uid="{00000000-0005-0000-0000-00002C100000}"/>
    <cellStyle name="20% - Accent3 2 11 3 6 3" xfId="33988" xr:uid="{00000000-0005-0000-0000-00002D100000}"/>
    <cellStyle name="20% - Accent3 2 11 3 7" xfId="18448" xr:uid="{00000000-0005-0000-0000-00002E100000}"/>
    <cellStyle name="20% - Accent3 2 11 3 8" xfId="27329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0" xr:uid="{00000000-0005-0000-0000-000033100000}"/>
    <cellStyle name="20% - Accent3 2 11 4 2 2 3" xfId="31027" xr:uid="{00000000-0005-0000-0000-000034100000}"/>
    <cellStyle name="20% - Accent3 2 11 4 2 3" xfId="13095" xr:uid="{00000000-0005-0000-0000-000035100000}"/>
    <cellStyle name="20% - Accent3 2 11 4 2 3 2" xfId="24369" xr:uid="{00000000-0005-0000-0000-000036100000}"/>
    <cellStyle name="20% - Accent3 2 11 4 2 3 3" xfId="33246" xr:uid="{00000000-0005-0000-0000-000037100000}"/>
    <cellStyle name="20% - Accent3 2 11 4 2 4" xfId="15545" xr:uid="{00000000-0005-0000-0000-000038100000}"/>
    <cellStyle name="20% - Accent3 2 11 4 2 4 2" xfId="26588" xr:uid="{00000000-0005-0000-0000-000039100000}"/>
    <cellStyle name="20% - Accent3 2 11 4 2 4 3" xfId="35465" xr:uid="{00000000-0005-0000-0000-00003A100000}"/>
    <cellStyle name="20% - Accent3 2 11 4 2 5" xfId="19931" xr:uid="{00000000-0005-0000-0000-00003B100000}"/>
    <cellStyle name="20% - Accent3 2 11 4 2 6" xfId="28808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7" xr:uid="{00000000-0005-0000-0000-00003F100000}"/>
    <cellStyle name="20% - Accent3 2 11 4 3 2 3" xfId="30294" xr:uid="{00000000-0005-0000-0000-000040100000}"/>
    <cellStyle name="20% - Accent3 2 11 4 3 3" xfId="12362" xr:uid="{00000000-0005-0000-0000-000041100000}"/>
    <cellStyle name="20% - Accent3 2 11 4 3 3 2" xfId="23636" xr:uid="{00000000-0005-0000-0000-000042100000}"/>
    <cellStyle name="20% - Accent3 2 11 4 3 3 3" xfId="32513" xr:uid="{00000000-0005-0000-0000-000043100000}"/>
    <cellStyle name="20% - Accent3 2 11 4 3 4" xfId="14812" xr:uid="{00000000-0005-0000-0000-000044100000}"/>
    <cellStyle name="20% - Accent3 2 11 4 3 4 2" xfId="25855" xr:uid="{00000000-0005-0000-0000-000045100000}"/>
    <cellStyle name="20% - Accent3 2 11 4 3 4 3" xfId="34732" xr:uid="{00000000-0005-0000-0000-000046100000}"/>
    <cellStyle name="20% - Accent3 2 11 4 3 5" xfId="19198" xr:uid="{00000000-0005-0000-0000-000047100000}"/>
    <cellStyle name="20% - Accent3 2 11 4 3 6" xfId="28075" xr:uid="{00000000-0005-0000-0000-000048100000}"/>
    <cellStyle name="20% - Accent3 2 11 4 4" xfId="9171" xr:uid="{00000000-0005-0000-0000-000049100000}"/>
    <cellStyle name="20% - Accent3 2 11 4 4 2" xfId="20674" xr:uid="{00000000-0005-0000-0000-00004A100000}"/>
    <cellStyle name="20% - Accent3 2 11 4 4 3" xfId="29551" xr:uid="{00000000-0005-0000-0000-00004B100000}"/>
    <cellStyle name="20% - Accent3 2 11 4 5" xfId="11619" xr:uid="{00000000-0005-0000-0000-00004C100000}"/>
    <cellStyle name="20% - Accent3 2 11 4 5 2" xfId="22893" xr:uid="{00000000-0005-0000-0000-00004D100000}"/>
    <cellStyle name="20% - Accent3 2 11 4 5 3" xfId="31770" xr:uid="{00000000-0005-0000-0000-00004E100000}"/>
    <cellStyle name="20% - Accent3 2 11 4 6" xfId="13840" xr:uid="{00000000-0005-0000-0000-00004F100000}"/>
    <cellStyle name="20% - Accent3 2 11 4 6 2" xfId="25112" xr:uid="{00000000-0005-0000-0000-000050100000}"/>
    <cellStyle name="20% - Accent3 2 11 4 6 3" xfId="33989" xr:uid="{00000000-0005-0000-0000-000051100000}"/>
    <cellStyle name="20% - Accent3 2 11 4 7" xfId="18449" xr:uid="{00000000-0005-0000-0000-000052100000}"/>
    <cellStyle name="20% - Accent3 2 11 4 8" xfId="27330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1" xr:uid="{00000000-0005-0000-0000-000057100000}"/>
    <cellStyle name="20% - Accent3 2 11 5 2 2 3" xfId="31028" xr:uid="{00000000-0005-0000-0000-000058100000}"/>
    <cellStyle name="20% - Accent3 2 11 5 2 3" xfId="13096" xr:uid="{00000000-0005-0000-0000-000059100000}"/>
    <cellStyle name="20% - Accent3 2 11 5 2 3 2" xfId="24370" xr:uid="{00000000-0005-0000-0000-00005A100000}"/>
    <cellStyle name="20% - Accent3 2 11 5 2 3 3" xfId="33247" xr:uid="{00000000-0005-0000-0000-00005B100000}"/>
    <cellStyle name="20% - Accent3 2 11 5 2 4" xfId="15546" xr:uid="{00000000-0005-0000-0000-00005C100000}"/>
    <cellStyle name="20% - Accent3 2 11 5 2 4 2" xfId="26589" xr:uid="{00000000-0005-0000-0000-00005D100000}"/>
    <cellStyle name="20% - Accent3 2 11 5 2 4 3" xfId="35466" xr:uid="{00000000-0005-0000-0000-00005E100000}"/>
    <cellStyle name="20% - Accent3 2 11 5 2 5" xfId="19932" xr:uid="{00000000-0005-0000-0000-00005F100000}"/>
    <cellStyle name="20% - Accent3 2 11 5 2 6" xfId="28809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8" xr:uid="{00000000-0005-0000-0000-000063100000}"/>
    <cellStyle name="20% - Accent3 2 11 5 3 2 3" xfId="30295" xr:uid="{00000000-0005-0000-0000-000064100000}"/>
    <cellStyle name="20% - Accent3 2 11 5 3 3" xfId="12363" xr:uid="{00000000-0005-0000-0000-000065100000}"/>
    <cellStyle name="20% - Accent3 2 11 5 3 3 2" xfId="23637" xr:uid="{00000000-0005-0000-0000-000066100000}"/>
    <cellStyle name="20% - Accent3 2 11 5 3 3 3" xfId="32514" xr:uid="{00000000-0005-0000-0000-000067100000}"/>
    <cellStyle name="20% - Accent3 2 11 5 3 4" xfId="14813" xr:uid="{00000000-0005-0000-0000-000068100000}"/>
    <cellStyle name="20% - Accent3 2 11 5 3 4 2" xfId="25856" xr:uid="{00000000-0005-0000-0000-000069100000}"/>
    <cellStyle name="20% - Accent3 2 11 5 3 4 3" xfId="34733" xr:uid="{00000000-0005-0000-0000-00006A100000}"/>
    <cellStyle name="20% - Accent3 2 11 5 3 5" xfId="19199" xr:uid="{00000000-0005-0000-0000-00006B100000}"/>
    <cellStyle name="20% - Accent3 2 11 5 3 6" xfId="28076" xr:uid="{00000000-0005-0000-0000-00006C100000}"/>
    <cellStyle name="20% - Accent3 2 11 5 4" xfId="9172" xr:uid="{00000000-0005-0000-0000-00006D100000}"/>
    <cellStyle name="20% - Accent3 2 11 5 4 2" xfId="20675" xr:uid="{00000000-0005-0000-0000-00006E100000}"/>
    <cellStyle name="20% - Accent3 2 11 5 4 3" xfId="29552" xr:uid="{00000000-0005-0000-0000-00006F100000}"/>
    <cellStyle name="20% - Accent3 2 11 5 5" xfId="11620" xr:uid="{00000000-0005-0000-0000-000070100000}"/>
    <cellStyle name="20% - Accent3 2 11 5 5 2" xfId="22894" xr:uid="{00000000-0005-0000-0000-000071100000}"/>
    <cellStyle name="20% - Accent3 2 11 5 5 3" xfId="31771" xr:uid="{00000000-0005-0000-0000-000072100000}"/>
    <cellStyle name="20% - Accent3 2 11 5 6" xfId="13841" xr:uid="{00000000-0005-0000-0000-000073100000}"/>
    <cellStyle name="20% - Accent3 2 11 5 6 2" xfId="25113" xr:uid="{00000000-0005-0000-0000-000074100000}"/>
    <cellStyle name="20% - Accent3 2 11 5 6 3" xfId="33990" xr:uid="{00000000-0005-0000-0000-000075100000}"/>
    <cellStyle name="20% - Accent3 2 11 5 7" xfId="18450" xr:uid="{00000000-0005-0000-0000-000076100000}"/>
    <cellStyle name="20% - Accent3 2 11 5 8" xfId="27331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2" xr:uid="{00000000-0005-0000-0000-00007E100000}"/>
    <cellStyle name="20% - Accent3 2 15 2 2 3" xfId="31029" xr:uid="{00000000-0005-0000-0000-00007F100000}"/>
    <cellStyle name="20% - Accent3 2 15 2 3" xfId="13097" xr:uid="{00000000-0005-0000-0000-000080100000}"/>
    <cellStyle name="20% - Accent3 2 15 2 3 2" xfId="24371" xr:uid="{00000000-0005-0000-0000-000081100000}"/>
    <cellStyle name="20% - Accent3 2 15 2 3 3" xfId="33248" xr:uid="{00000000-0005-0000-0000-000082100000}"/>
    <cellStyle name="20% - Accent3 2 15 2 4" xfId="15547" xr:uid="{00000000-0005-0000-0000-000083100000}"/>
    <cellStyle name="20% - Accent3 2 15 2 4 2" xfId="26590" xr:uid="{00000000-0005-0000-0000-000084100000}"/>
    <cellStyle name="20% - Accent3 2 15 2 4 3" xfId="35467" xr:uid="{00000000-0005-0000-0000-000085100000}"/>
    <cellStyle name="20% - Accent3 2 15 2 5" xfId="19933" xr:uid="{00000000-0005-0000-0000-000086100000}"/>
    <cellStyle name="20% - Accent3 2 15 2 6" xfId="28810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19" xr:uid="{00000000-0005-0000-0000-00008A100000}"/>
    <cellStyle name="20% - Accent3 2 15 3 2 3" xfId="30296" xr:uid="{00000000-0005-0000-0000-00008B100000}"/>
    <cellStyle name="20% - Accent3 2 15 3 3" xfId="12364" xr:uid="{00000000-0005-0000-0000-00008C100000}"/>
    <cellStyle name="20% - Accent3 2 15 3 3 2" xfId="23638" xr:uid="{00000000-0005-0000-0000-00008D100000}"/>
    <cellStyle name="20% - Accent3 2 15 3 3 3" xfId="32515" xr:uid="{00000000-0005-0000-0000-00008E100000}"/>
    <cellStyle name="20% - Accent3 2 15 3 4" xfId="14814" xr:uid="{00000000-0005-0000-0000-00008F100000}"/>
    <cellStyle name="20% - Accent3 2 15 3 4 2" xfId="25857" xr:uid="{00000000-0005-0000-0000-000090100000}"/>
    <cellStyle name="20% - Accent3 2 15 3 4 3" xfId="34734" xr:uid="{00000000-0005-0000-0000-000091100000}"/>
    <cellStyle name="20% - Accent3 2 15 3 5" xfId="19200" xr:uid="{00000000-0005-0000-0000-000092100000}"/>
    <cellStyle name="20% - Accent3 2 15 3 6" xfId="28077" xr:uid="{00000000-0005-0000-0000-000093100000}"/>
    <cellStyle name="20% - Accent3 2 15 4" xfId="9173" xr:uid="{00000000-0005-0000-0000-000094100000}"/>
    <cellStyle name="20% - Accent3 2 15 4 2" xfId="20676" xr:uid="{00000000-0005-0000-0000-000095100000}"/>
    <cellStyle name="20% - Accent3 2 15 4 3" xfId="29553" xr:uid="{00000000-0005-0000-0000-000096100000}"/>
    <cellStyle name="20% - Accent3 2 15 5" xfId="11621" xr:uid="{00000000-0005-0000-0000-000097100000}"/>
    <cellStyle name="20% - Accent3 2 15 5 2" xfId="22895" xr:uid="{00000000-0005-0000-0000-000098100000}"/>
    <cellStyle name="20% - Accent3 2 15 5 3" xfId="31772" xr:uid="{00000000-0005-0000-0000-000099100000}"/>
    <cellStyle name="20% - Accent3 2 15 6" xfId="13842" xr:uid="{00000000-0005-0000-0000-00009A100000}"/>
    <cellStyle name="20% - Accent3 2 15 6 2" xfId="25114" xr:uid="{00000000-0005-0000-0000-00009B100000}"/>
    <cellStyle name="20% - Accent3 2 15 6 3" xfId="33991" xr:uid="{00000000-0005-0000-0000-00009C100000}"/>
    <cellStyle name="20% - Accent3 2 15 7" xfId="18451" xr:uid="{00000000-0005-0000-0000-00009D100000}"/>
    <cellStyle name="20% - Accent3 2 15 8" xfId="27332" xr:uid="{00000000-0005-0000-0000-00009E100000}"/>
    <cellStyle name="20% - Accent3 2 16" xfId="382" xr:uid="{00000000-0005-0000-0000-00009F100000}"/>
    <cellStyle name="20% - Accent3 2 17" xfId="36180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3" xr:uid="{00000000-0005-0000-0000-0000A4100000}"/>
    <cellStyle name="20% - Accent3 2 2 10 2 3" xfId="31030" xr:uid="{00000000-0005-0000-0000-0000A5100000}"/>
    <cellStyle name="20% - Accent3 2 2 10 3" xfId="13098" xr:uid="{00000000-0005-0000-0000-0000A6100000}"/>
    <cellStyle name="20% - Accent3 2 2 10 3 2" xfId="24372" xr:uid="{00000000-0005-0000-0000-0000A7100000}"/>
    <cellStyle name="20% - Accent3 2 2 10 3 3" xfId="33249" xr:uid="{00000000-0005-0000-0000-0000A8100000}"/>
    <cellStyle name="20% - Accent3 2 2 10 4" xfId="15548" xr:uid="{00000000-0005-0000-0000-0000A9100000}"/>
    <cellStyle name="20% - Accent3 2 2 10 4 2" xfId="26591" xr:uid="{00000000-0005-0000-0000-0000AA100000}"/>
    <cellStyle name="20% - Accent3 2 2 10 4 3" xfId="35468" xr:uid="{00000000-0005-0000-0000-0000AB100000}"/>
    <cellStyle name="20% - Accent3 2 2 10 5" xfId="19934" xr:uid="{00000000-0005-0000-0000-0000AC100000}"/>
    <cellStyle name="20% - Accent3 2 2 10 6" xfId="28811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0" xr:uid="{00000000-0005-0000-0000-0000B0100000}"/>
    <cellStyle name="20% - Accent3 2 2 11 2 3" xfId="30297" xr:uid="{00000000-0005-0000-0000-0000B1100000}"/>
    <cellStyle name="20% - Accent3 2 2 11 3" xfId="12365" xr:uid="{00000000-0005-0000-0000-0000B2100000}"/>
    <cellStyle name="20% - Accent3 2 2 11 3 2" xfId="23639" xr:uid="{00000000-0005-0000-0000-0000B3100000}"/>
    <cellStyle name="20% - Accent3 2 2 11 3 3" xfId="32516" xr:uid="{00000000-0005-0000-0000-0000B4100000}"/>
    <cellStyle name="20% - Accent3 2 2 11 4" xfId="14815" xr:uid="{00000000-0005-0000-0000-0000B5100000}"/>
    <cellStyle name="20% - Accent3 2 2 11 4 2" xfId="25858" xr:uid="{00000000-0005-0000-0000-0000B6100000}"/>
    <cellStyle name="20% - Accent3 2 2 11 4 3" xfId="34735" xr:uid="{00000000-0005-0000-0000-0000B7100000}"/>
    <cellStyle name="20% - Accent3 2 2 11 5" xfId="19201" xr:uid="{00000000-0005-0000-0000-0000B8100000}"/>
    <cellStyle name="20% - Accent3 2 2 11 6" xfId="28078" xr:uid="{00000000-0005-0000-0000-0000B9100000}"/>
    <cellStyle name="20% - Accent3 2 2 12" xfId="9174" xr:uid="{00000000-0005-0000-0000-0000BA100000}"/>
    <cellStyle name="20% - Accent3 2 2 12 2" xfId="20677" xr:uid="{00000000-0005-0000-0000-0000BB100000}"/>
    <cellStyle name="20% - Accent3 2 2 12 3" xfId="29554" xr:uid="{00000000-0005-0000-0000-0000BC100000}"/>
    <cellStyle name="20% - Accent3 2 2 13" xfId="11622" xr:uid="{00000000-0005-0000-0000-0000BD100000}"/>
    <cellStyle name="20% - Accent3 2 2 13 2" xfId="22896" xr:uid="{00000000-0005-0000-0000-0000BE100000}"/>
    <cellStyle name="20% - Accent3 2 2 13 3" xfId="31773" xr:uid="{00000000-0005-0000-0000-0000BF100000}"/>
    <cellStyle name="20% - Accent3 2 2 14" xfId="13843" xr:uid="{00000000-0005-0000-0000-0000C0100000}"/>
    <cellStyle name="20% - Accent3 2 2 14 2" xfId="25115" xr:uid="{00000000-0005-0000-0000-0000C1100000}"/>
    <cellStyle name="20% - Accent3 2 2 14 3" xfId="33992" xr:uid="{00000000-0005-0000-0000-0000C2100000}"/>
    <cellStyle name="20% - Accent3 2 2 15" xfId="18452" xr:uid="{00000000-0005-0000-0000-0000C3100000}"/>
    <cellStyle name="20% - Accent3 2 2 16" xfId="27333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4" xr:uid="{00000000-0005-0000-0000-0000C8100000}"/>
    <cellStyle name="20% - Accent3 2 2 2 2 2 3" xfId="31031" xr:uid="{00000000-0005-0000-0000-0000C9100000}"/>
    <cellStyle name="20% - Accent3 2 2 2 2 3" xfId="13099" xr:uid="{00000000-0005-0000-0000-0000CA100000}"/>
    <cellStyle name="20% - Accent3 2 2 2 2 3 2" xfId="24373" xr:uid="{00000000-0005-0000-0000-0000CB100000}"/>
    <cellStyle name="20% - Accent3 2 2 2 2 3 3" xfId="33250" xr:uid="{00000000-0005-0000-0000-0000CC100000}"/>
    <cellStyle name="20% - Accent3 2 2 2 2 4" xfId="15549" xr:uid="{00000000-0005-0000-0000-0000CD100000}"/>
    <cellStyle name="20% - Accent3 2 2 2 2 4 2" xfId="26592" xr:uid="{00000000-0005-0000-0000-0000CE100000}"/>
    <cellStyle name="20% - Accent3 2 2 2 2 4 3" xfId="35469" xr:uid="{00000000-0005-0000-0000-0000CF100000}"/>
    <cellStyle name="20% - Accent3 2 2 2 2 5" xfId="19935" xr:uid="{00000000-0005-0000-0000-0000D0100000}"/>
    <cellStyle name="20% - Accent3 2 2 2 2 6" xfId="28812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1" xr:uid="{00000000-0005-0000-0000-0000D4100000}"/>
    <cellStyle name="20% - Accent3 2 2 2 3 2 3" xfId="30298" xr:uid="{00000000-0005-0000-0000-0000D5100000}"/>
    <cellStyle name="20% - Accent3 2 2 2 3 3" xfId="12366" xr:uid="{00000000-0005-0000-0000-0000D6100000}"/>
    <cellStyle name="20% - Accent3 2 2 2 3 3 2" xfId="23640" xr:uid="{00000000-0005-0000-0000-0000D7100000}"/>
    <cellStyle name="20% - Accent3 2 2 2 3 3 3" xfId="32517" xr:uid="{00000000-0005-0000-0000-0000D8100000}"/>
    <cellStyle name="20% - Accent3 2 2 2 3 4" xfId="14816" xr:uid="{00000000-0005-0000-0000-0000D9100000}"/>
    <cellStyle name="20% - Accent3 2 2 2 3 4 2" xfId="25859" xr:uid="{00000000-0005-0000-0000-0000DA100000}"/>
    <cellStyle name="20% - Accent3 2 2 2 3 4 3" xfId="34736" xr:uid="{00000000-0005-0000-0000-0000DB100000}"/>
    <cellStyle name="20% - Accent3 2 2 2 3 5" xfId="19202" xr:uid="{00000000-0005-0000-0000-0000DC100000}"/>
    <cellStyle name="20% - Accent3 2 2 2 3 6" xfId="28079" xr:uid="{00000000-0005-0000-0000-0000DD100000}"/>
    <cellStyle name="20% - Accent3 2 2 2 4" xfId="9175" xr:uid="{00000000-0005-0000-0000-0000DE100000}"/>
    <cellStyle name="20% - Accent3 2 2 2 4 2" xfId="20678" xr:uid="{00000000-0005-0000-0000-0000DF100000}"/>
    <cellStyle name="20% - Accent3 2 2 2 4 3" xfId="29555" xr:uid="{00000000-0005-0000-0000-0000E0100000}"/>
    <cellStyle name="20% - Accent3 2 2 2 5" xfId="11623" xr:uid="{00000000-0005-0000-0000-0000E1100000}"/>
    <cellStyle name="20% - Accent3 2 2 2 5 2" xfId="22897" xr:uid="{00000000-0005-0000-0000-0000E2100000}"/>
    <cellStyle name="20% - Accent3 2 2 2 5 3" xfId="31774" xr:uid="{00000000-0005-0000-0000-0000E3100000}"/>
    <cellStyle name="20% - Accent3 2 2 2 6" xfId="13844" xr:uid="{00000000-0005-0000-0000-0000E4100000}"/>
    <cellStyle name="20% - Accent3 2 2 2 6 2" xfId="25116" xr:uid="{00000000-0005-0000-0000-0000E5100000}"/>
    <cellStyle name="20% - Accent3 2 2 2 6 3" xfId="33993" xr:uid="{00000000-0005-0000-0000-0000E6100000}"/>
    <cellStyle name="20% - Accent3 2 2 2 7" xfId="18453" xr:uid="{00000000-0005-0000-0000-0000E7100000}"/>
    <cellStyle name="20% - Accent3 2 2 2 8" xfId="27334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5" xr:uid="{00000000-0005-0000-0000-0000EC100000}"/>
    <cellStyle name="20% - Accent3 2 2 3 2 2 3" xfId="31032" xr:uid="{00000000-0005-0000-0000-0000ED100000}"/>
    <cellStyle name="20% - Accent3 2 2 3 2 3" xfId="13100" xr:uid="{00000000-0005-0000-0000-0000EE100000}"/>
    <cellStyle name="20% - Accent3 2 2 3 2 3 2" xfId="24374" xr:uid="{00000000-0005-0000-0000-0000EF100000}"/>
    <cellStyle name="20% - Accent3 2 2 3 2 3 3" xfId="33251" xr:uid="{00000000-0005-0000-0000-0000F0100000}"/>
    <cellStyle name="20% - Accent3 2 2 3 2 4" xfId="15550" xr:uid="{00000000-0005-0000-0000-0000F1100000}"/>
    <cellStyle name="20% - Accent3 2 2 3 2 4 2" xfId="26593" xr:uid="{00000000-0005-0000-0000-0000F2100000}"/>
    <cellStyle name="20% - Accent3 2 2 3 2 4 3" xfId="35470" xr:uid="{00000000-0005-0000-0000-0000F3100000}"/>
    <cellStyle name="20% - Accent3 2 2 3 2 5" xfId="19936" xr:uid="{00000000-0005-0000-0000-0000F4100000}"/>
    <cellStyle name="20% - Accent3 2 2 3 2 6" xfId="28813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2" xr:uid="{00000000-0005-0000-0000-0000F8100000}"/>
    <cellStyle name="20% - Accent3 2 2 3 3 2 3" xfId="30299" xr:uid="{00000000-0005-0000-0000-0000F9100000}"/>
    <cellStyle name="20% - Accent3 2 2 3 3 3" xfId="12367" xr:uid="{00000000-0005-0000-0000-0000FA100000}"/>
    <cellStyle name="20% - Accent3 2 2 3 3 3 2" xfId="23641" xr:uid="{00000000-0005-0000-0000-0000FB100000}"/>
    <cellStyle name="20% - Accent3 2 2 3 3 3 3" xfId="32518" xr:uid="{00000000-0005-0000-0000-0000FC100000}"/>
    <cellStyle name="20% - Accent3 2 2 3 3 4" xfId="14817" xr:uid="{00000000-0005-0000-0000-0000FD100000}"/>
    <cellStyle name="20% - Accent3 2 2 3 3 4 2" xfId="25860" xr:uid="{00000000-0005-0000-0000-0000FE100000}"/>
    <cellStyle name="20% - Accent3 2 2 3 3 4 3" xfId="34737" xr:uid="{00000000-0005-0000-0000-0000FF100000}"/>
    <cellStyle name="20% - Accent3 2 2 3 3 5" xfId="19203" xr:uid="{00000000-0005-0000-0000-000000110000}"/>
    <cellStyle name="20% - Accent3 2 2 3 3 6" xfId="28080" xr:uid="{00000000-0005-0000-0000-000001110000}"/>
    <cellStyle name="20% - Accent3 2 2 3 4" xfId="9176" xr:uid="{00000000-0005-0000-0000-000002110000}"/>
    <cellStyle name="20% - Accent3 2 2 3 4 2" xfId="20679" xr:uid="{00000000-0005-0000-0000-000003110000}"/>
    <cellStyle name="20% - Accent3 2 2 3 4 3" xfId="29556" xr:uid="{00000000-0005-0000-0000-000004110000}"/>
    <cellStyle name="20% - Accent3 2 2 3 5" xfId="11624" xr:uid="{00000000-0005-0000-0000-000005110000}"/>
    <cellStyle name="20% - Accent3 2 2 3 5 2" xfId="22898" xr:uid="{00000000-0005-0000-0000-000006110000}"/>
    <cellStyle name="20% - Accent3 2 2 3 5 3" xfId="31775" xr:uid="{00000000-0005-0000-0000-000007110000}"/>
    <cellStyle name="20% - Accent3 2 2 3 6" xfId="13845" xr:uid="{00000000-0005-0000-0000-000008110000}"/>
    <cellStyle name="20% - Accent3 2 2 3 6 2" xfId="25117" xr:uid="{00000000-0005-0000-0000-000009110000}"/>
    <cellStyle name="20% - Accent3 2 2 3 6 3" xfId="33994" xr:uid="{00000000-0005-0000-0000-00000A110000}"/>
    <cellStyle name="20% - Accent3 2 2 3 7" xfId="18454" xr:uid="{00000000-0005-0000-0000-00000B110000}"/>
    <cellStyle name="20% - Accent3 2 2 3 8" xfId="27335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6" xr:uid="{00000000-0005-0000-0000-000010110000}"/>
    <cellStyle name="20% - Accent3 2 2 4 2 2 3" xfId="31033" xr:uid="{00000000-0005-0000-0000-000011110000}"/>
    <cellStyle name="20% - Accent3 2 2 4 2 3" xfId="13101" xr:uid="{00000000-0005-0000-0000-000012110000}"/>
    <cellStyle name="20% - Accent3 2 2 4 2 3 2" xfId="24375" xr:uid="{00000000-0005-0000-0000-000013110000}"/>
    <cellStyle name="20% - Accent3 2 2 4 2 3 3" xfId="33252" xr:uid="{00000000-0005-0000-0000-000014110000}"/>
    <cellStyle name="20% - Accent3 2 2 4 2 4" xfId="15551" xr:uid="{00000000-0005-0000-0000-000015110000}"/>
    <cellStyle name="20% - Accent3 2 2 4 2 4 2" xfId="26594" xr:uid="{00000000-0005-0000-0000-000016110000}"/>
    <cellStyle name="20% - Accent3 2 2 4 2 4 3" xfId="35471" xr:uid="{00000000-0005-0000-0000-000017110000}"/>
    <cellStyle name="20% - Accent3 2 2 4 2 5" xfId="19937" xr:uid="{00000000-0005-0000-0000-000018110000}"/>
    <cellStyle name="20% - Accent3 2 2 4 2 6" xfId="28814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3" xr:uid="{00000000-0005-0000-0000-00001C110000}"/>
    <cellStyle name="20% - Accent3 2 2 4 3 2 3" xfId="30300" xr:uid="{00000000-0005-0000-0000-00001D110000}"/>
    <cellStyle name="20% - Accent3 2 2 4 3 3" xfId="12368" xr:uid="{00000000-0005-0000-0000-00001E110000}"/>
    <cellStyle name="20% - Accent3 2 2 4 3 3 2" xfId="23642" xr:uid="{00000000-0005-0000-0000-00001F110000}"/>
    <cellStyle name="20% - Accent3 2 2 4 3 3 3" xfId="32519" xr:uid="{00000000-0005-0000-0000-000020110000}"/>
    <cellStyle name="20% - Accent3 2 2 4 3 4" xfId="14818" xr:uid="{00000000-0005-0000-0000-000021110000}"/>
    <cellStyle name="20% - Accent3 2 2 4 3 4 2" xfId="25861" xr:uid="{00000000-0005-0000-0000-000022110000}"/>
    <cellStyle name="20% - Accent3 2 2 4 3 4 3" xfId="34738" xr:uid="{00000000-0005-0000-0000-000023110000}"/>
    <cellStyle name="20% - Accent3 2 2 4 3 5" xfId="19204" xr:uid="{00000000-0005-0000-0000-000024110000}"/>
    <cellStyle name="20% - Accent3 2 2 4 3 6" xfId="28081" xr:uid="{00000000-0005-0000-0000-000025110000}"/>
    <cellStyle name="20% - Accent3 2 2 4 4" xfId="9177" xr:uid="{00000000-0005-0000-0000-000026110000}"/>
    <cellStyle name="20% - Accent3 2 2 4 4 2" xfId="20680" xr:uid="{00000000-0005-0000-0000-000027110000}"/>
    <cellStyle name="20% - Accent3 2 2 4 4 3" xfId="29557" xr:uid="{00000000-0005-0000-0000-000028110000}"/>
    <cellStyle name="20% - Accent3 2 2 4 5" xfId="11625" xr:uid="{00000000-0005-0000-0000-000029110000}"/>
    <cellStyle name="20% - Accent3 2 2 4 5 2" xfId="22899" xr:uid="{00000000-0005-0000-0000-00002A110000}"/>
    <cellStyle name="20% - Accent3 2 2 4 5 3" xfId="31776" xr:uid="{00000000-0005-0000-0000-00002B110000}"/>
    <cellStyle name="20% - Accent3 2 2 4 6" xfId="13846" xr:uid="{00000000-0005-0000-0000-00002C110000}"/>
    <cellStyle name="20% - Accent3 2 2 4 6 2" xfId="25118" xr:uid="{00000000-0005-0000-0000-00002D110000}"/>
    <cellStyle name="20% - Accent3 2 2 4 6 3" xfId="33995" xr:uid="{00000000-0005-0000-0000-00002E110000}"/>
    <cellStyle name="20% - Accent3 2 2 4 7" xfId="18455" xr:uid="{00000000-0005-0000-0000-00002F110000}"/>
    <cellStyle name="20% - Accent3 2 2 4 8" xfId="27336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7" xr:uid="{00000000-0005-0000-0000-000034110000}"/>
    <cellStyle name="20% - Accent3 2 2 5 2 2 3" xfId="31034" xr:uid="{00000000-0005-0000-0000-000035110000}"/>
    <cellStyle name="20% - Accent3 2 2 5 2 3" xfId="13102" xr:uid="{00000000-0005-0000-0000-000036110000}"/>
    <cellStyle name="20% - Accent3 2 2 5 2 3 2" xfId="24376" xr:uid="{00000000-0005-0000-0000-000037110000}"/>
    <cellStyle name="20% - Accent3 2 2 5 2 3 3" xfId="33253" xr:uid="{00000000-0005-0000-0000-000038110000}"/>
    <cellStyle name="20% - Accent3 2 2 5 2 4" xfId="15552" xr:uid="{00000000-0005-0000-0000-000039110000}"/>
    <cellStyle name="20% - Accent3 2 2 5 2 4 2" xfId="26595" xr:uid="{00000000-0005-0000-0000-00003A110000}"/>
    <cellStyle name="20% - Accent3 2 2 5 2 4 3" xfId="35472" xr:uid="{00000000-0005-0000-0000-00003B110000}"/>
    <cellStyle name="20% - Accent3 2 2 5 2 5" xfId="19938" xr:uid="{00000000-0005-0000-0000-00003C110000}"/>
    <cellStyle name="20% - Accent3 2 2 5 2 6" xfId="28815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4" xr:uid="{00000000-0005-0000-0000-000040110000}"/>
    <cellStyle name="20% - Accent3 2 2 5 3 2 3" xfId="30301" xr:uid="{00000000-0005-0000-0000-000041110000}"/>
    <cellStyle name="20% - Accent3 2 2 5 3 3" xfId="12369" xr:uid="{00000000-0005-0000-0000-000042110000}"/>
    <cellStyle name="20% - Accent3 2 2 5 3 3 2" xfId="23643" xr:uid="{00000000-0005-0000-0000-000043110000}"/>
    <cellStyle name="20% - Accent3 2 2 5 3 3 3" xfId="32520" xr:uid="{00000000-0005-0000-0000-000044110000}"/>
    <cellStyle name="20% - Accent3 2 2 5 3 4" xfId="14819" xr:uid="{00000000-0005-0000-0000-000045110000}"/>
    <cellStyle name="20% - Accent3 2 2 5 3 4 2" xfId="25862" xr:uid="{00000000-0005-0000-0000-000046110000}"/>
    <cellStyle name="20% - Accent3 2 2 5 3 4 3" xfId="34739" xr:uid="{00000000-0005-0000-0000-000047110000}"/>
    <cellStyle name="20% - Accent3 2 2 5 3 5" xfId="19205" xr:uid="{00000000-0005-0000-0000-000048110000}"/>
    <cellStyle name="20% - Accent3 2 2 5 3 6" xfId="28082" xr:uid="{00000000-0005-0000-0000-000049110000}"/>
    <cellStyle name="20% - Accent3 2 2 5 4" xfId="9178" xr:uid="{00000000-0005-0000-0000-00004A110000}"/>
    <cellStyle name="20% - Accent3 2 2 5 4 2" xfId="20681" xr:uid="{00000000-0005-0000-0000-00004B110000}"/>
    <cellStyle name="20% - Accent3 2 2 5 4 3" xfId="29558" xr:uid="{00000000-0005-0000-0000-00004C110000}"/>
    <cellStyle name="20% - Accent3 2 2 5 5" xfId="11626" xr:uid="{00000000-0005-0000-0000-00004D110000}"/>
    <cellStyle name="20% - Accent3 2 2 5 5 2" xfId="22900" xr:uid="{00000000-0005-0000-0000-00004E110000}"/>
    <cellStyle name="20% - Accent3 2 2 5 5 3" xfId="31777" xr:uid="{00000000-0005-0000-0000-00004F110000}"/>
    <cellStyle name="20% - Accent3 2 2 5 6" xfId="13847" xr:uid="{00000000-0005-0000-0000-000050110000}"/>
    <cellStyle name="20% - Accent3 2 2 5 6 2" xfId="25119" xr:uid="{00000000-0005-0000-0000-000051110000}"/>
    <cellStyle name="20% - Accent3 2 2 5 6 3" xfId="33996" xr:uid="{00000000-0005-0000-0000-000052110000}"/>
    <cellStyle name="20% - Accent3 2 2 5 7" xfId="18456" xr:uid="{00000000-0005-0000-0000-000053110000}"/>
    <cellStyle name="20% - Accent3 2 2 5 8" xfId="27337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8" xr:uid="{00000000-0005-0000-0000-000058110000}"/>
    <cellStyle name="20% - Accent3 2 2 6 2 2 3" xfId="31035" xr:uid="{00000000-0005-0000-0000-000059110000}"/>
    <cellStyle name="20% - Accent3 2 2 6 2 3" xfId="13103" xr:uid="{00000000-0005-0000-0000-00005A110000}"/>
    <cellStyle name="20% - Accent3 2 2 6 2 3 2" xfId="24377" xr:uid="{00000000-0005-0000-0000-00005B110000}"/>
    <cellStyle name="20% - Accent3 2 2 6 2 3 3" xfId="33254" xr:uid="{00000000-0005-0000-0000-00005C110000}"/>
    <cellStyle name="20% - Accent3 2 2 6 2 4" xfId="15553" xr:uid="{00000000-0005-0000-0000-00005D110000}"/>
    <cellStyle name="20% - Accent3 2 2 6 2 4 2" xfId="26596" xr:uid="{00000000-0005-0000-0000-00005E110000}"/>
    <cellStyle name="20% - Accent3 2 2 6 2 4 3" xfId="35473" xr:uid="{00000000-0005-0000-0000-00005F110000}"/>
    <cellStyle name="20% - Accent3 2 2 6 2 5" xfId="19939" xr:uid="{00000000-0005-0000-0000-000060110000}"/>
    <cellStyle name="20% - Accent3 2 2 6 2 6" xfId="28816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5" xr:uid="{00000000-0005-0000-0000-000064110000}"/>
    <cellStyle name="20% - Accent3 2 2 6 3 2 3" xfId="30302" xr:uid="{00000000-0005-0000-0000-000065110000}"/>
    <cellStyle name="20% - Accent3 2 2 6 3 3" xfId="12370" xr:uid="{00000000-0005-0000-0000-000066110000}"/>
    <cellStyle name="20% - Accent3 2 2 6 3 3 2" xfId="23644" xr:uid="{00000000-0005-0000-0000-000067110000}"/>
    <cellStyle name="20% - Accent3 2 2 6 3 3 3" xfId="32521" xr:uid="{00000000-0005-0000-0000-000068110000}"/>
    <cellStyle name="20% - Accent3 2 2 6 3 4" xfId="14820" xr:uid="{00000000-0005-0000-0000-000069110000}"/>
    <cellStyle name="20% - Accent3 2 2 6 3 4 2" xfId="25863" xr:uid="{00000000-0005-0000-0000-00006A110000}"/>
    <cellStyle name="20% - Accent3 2 2 6 3 4 3" xfId="34740" xr:uid="{00000000-0005-0000-0000-00006B110000}"/>
    <cellStyle name="20% - Accent3 2 2 6 3 5" xfId="19206" xr:uid="{00000000-0005-0000-0000-00006C110000}"/>
    <cellStyle name="20% - Accent3 2 2 6 3 6" xfId="28083" xr:uid="{00000000-0005-0000-0000-00006D110000}"/>
    <cellStyle name="20% - Accent3 2 2 6 4" xfId="9179" xr:uid="{00000000-0005-0000-0000-00006E110000}"/>
    <cellStyle name="20% - Accent3 2 2 6 4 2" xfId="20682" xr:uid="{00000000-0005-0000-0000-00006F110000}"/>
    <cellStyle name="20% - Accent3 2 2 6 4 3" xfId="29559" xr:uid="{00000000-0005-0000-0000-000070110000}"/>
    <cellStyle name="20% - Accent3 2 2 6 5" xfId="11627" xr:uid="{00000000-0005-0000-0000-000071110000}"/>
    <cellStyle name="20% - Accent3 2 2 6 5 2" xfId="22901" xr:uid="{00000000-0005-0000-0000-000072110000}"/>
    <cellStyle name="20% - Accent3 2 2 6 5 3" xfId="31778" xr:uid="{00000000-0005-0000-0000-000073110000}"/>
    <cellStyle name="20% - Accent3 2 2 6 6" xfId="13848" xr:uid="{00000000-0005-0000-0000-000074110000}"/>
    <cellStyle name="20% - Accent3 2 2 6 6 2" xfId="25120" xr:uid="{00000000-0005-0000-0000-000075110000}"/>
    <cellStyle name="20% - Accent3 2 2 6 6 3" xfId="33997" xr:uid="{00000000-0005-0000-0000-000076110000}"/>
    <cellStyle name="20% - Accent3 2 2 6 7" xfId="18457" xr:uid="{00000000-0005-0000-0000-000077110000}"/>
    <cellStyle name="20% - Accent3 2 2 6 8" xfId="27338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59" xr:uid="{00000000-0005-0000-0000-00007C110000}"/>
    <cellStyle name="20% - Accent3 2 2 7 2 2 3" xfId="31036" xr:uid="{00000000-0005-0000-0000-00007D110000}"/>
    <cellStyle name="20% - Accent3 2 2 7 2 3" xfId="13104" xr:uid="{00000000-0005-0000-0000-00007E110000}"/>
    <cellStyle name="20% - Accent3 2 2 7 2 3 2" xfId="24378" xr:uid="{00000000-0005-0000-0000-00007F110000}"/>
    <cellStyle name="20% - Accent3 2 2 7 2 3 3" xfId="33255" xr:uid="{00000000-0005-0000-0000-000080110000}"/>
    <cellStyle name="20% - Accent3 2 2 7 2 4" xfId="15554" xr:uid="{00000000-0005-0000-0000-000081110000}"/>
    <cellStyle name="20% - Accent3 2 2 7 2 4 2" xfId="26597" xr:uid="{00000000-0005-0000-0000-000082110000}"/>
    <cellStyle name="20% - Accent3 2 2 7 2 4 3" xfId="35474" xr:uid="{00000000-0005-0000-0000-000083110000}"/>
    <cellStyle name="20% - Accent3 2 2 7 2 5" xfId="19940" xr:uid="{00000000-0005-0000-0000-000084110000}"/>
    <cellStyle name="20% - Accent3 2 2 7 2 6" xfId="28817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6" xr:uid="{00000000-0005-0000-0000-000088110000}"/>
    <cellStyle name="20% - Accent3 2 2 7 3 2 3" xfId="30303" xr:uid="{00000000-0005-0000-0000-000089110000}"/>
    <cellStyle name="20% - Accent3 2 2 7 3 3" xfId="12371" xr:uid="{00000000-0005-0000-0000-00008A110000}"/>
    <cellStyle name="20% - Accent3 2 2 7 3 3 2" xfId="23645" xr:uid="{00000000-0005-0000-0000-00008B110000}"/>
    <cellStyle name="20% - Accent3 2 2 7 3 3 3" xfId="32522" xr:uid="{00000000-0005-0000-0000-00008C110000}"/>
    <cellStyle name="20% - Accent3 2 2 7 3 4" xfId="14821" xr:uid="{00000000-0005-0000-0000-00008D110000}"/>
    <cellStyle name="20% - Accent3 2 2 7 3 4 2" xfId="25864" xr:uid="{00000000-0005-0000-0000-00008E110000}"/>
    <cellStyle name="20% - Accent3 2 2 7 3 4 3" xfId="34741" xr:uid="{00000000-0005-0000-0000-00008F110000}"/>
    <cellStyle name="20% - Accent3 2 2 7 3 5" xfId="19207" xr:uid="{00000000-0005-0000-0000-000090110000}"/>
    <cellStyle name="20% - Accent3 2 2 7 3 6" xfId="28084" xr:uid="{00000000-0005-0000-0000-000091110000}"/>
    <cellStyle name="20% - Accent3 2 2 7 4" xfId="9180" xr:uid="{00000000-0005-0000-0000-000092110000}"/>
    <cellStyle name="20% - Accent3 2 2 7 4 2" xfId="20683" xr:uid="{00000000-0005-0000-0000-000093110000}"/>
    <cellStyle name="20% - Accent3 2 2 7 4 3" xfId="29560" xr:uid="{00000000-0005-0000-0000-000094110000}"/>
    <cellStyle name="20% - Accent3 2 2 7 5" xfId="11628" xr:uid="{00000000-0005-0000-0000-000095110000}"/>
    <cellStyle name="20% - Accent3 2 2 7 5 2" xfId="22902" xr:uid="{00000000-0005-0000-0000-000096110000}"/>
    <cellStyle name="20% - Accent3 2 2 7 5 3" xfId="31779" xr:uid="{00000000-0005-0000-0000-000097110000}"/>
    <cellStyle name="20% - Accent3 2 2 7 6" xfId="13849" xr:uid="{00000000-0005-0000-0000-000098110000}"/>
    <cellStyle name="20% - Accent3 2 2 7 6 2" xfId="25121" xr:uid="{00000000-0005-0000-0000-000099110000}"/>
    <cellStyle name="20% - Accent3 2 2 7 6 3" xfId="33998" xr:uid="{00000000-0005-0000-0000-00009A110000}"/>
    <cellStyle name="20% - Accent3 2 2 7 7" xfId="18458" xr:uid="{00000000-0005-0000-0000-00009B110000}"/>
    <cellStyle name="20% - Accent3 2 2 7 8" xfId="27339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0" xr:uid="{00000000-0005-0000-0000-0000A0110000}"/>
    <cellStyle name="20% - Accent3 2 2 8 2 2 3" xfId="31037" xr:uid="{00000000-0005-0000-0000-0000A1110000}"/>
    <cellStyle name="20% - Accent3 2 2 8 2 3" xfId="13105" xr:uid="{00000000-0005-0000-0000-0000A2110000}"/>
    <cellStyle name="20% - Accent3 2 2 8 2 3 2" xfId="24379" xr:uid="{00000000-0005-0000-0000-0000A3110000}"/>
    <cellStyle name="20% - Accent3 2 2 8 2 3 3" xfId="33256" xr:uid="{00000000-0005-0000-0000-0000A4110000}"/>
    <cellStyle name="20% - Accent3 2 2 8 2 4" xfId="15555" xr:uid="{00000000-0005-0000-0000-0000A5110000}"/>
    <cellStyle name="20% - Accent3 2 2 8 2 4 2" xfId="26598" xr:uid="{00000000-0005-0000-0000-0000A6110000}"/>
    <cellStyle name="20% - Accent3 2 2 8 2 4 3" xfId="35475" xr:uid="{00000000-0005-0000-0000-0000A7110000}"/>
    <cellStyle name="20% - Accent3 2 2 8 2 5" xfId="19941" xr:uid="{00000000-0005-0000-0000-0000A8110000}"/>
    <cellStyle name="20% - Accent3 2 2 8 2 6" xfId="28818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7" xr:uid="{00000000-0005-0000-0000-0000AC110000}"/>
    <cellStyle name="20% - Accent3 2 2 8 3 2 3" xfId="30304" xr:uid="{00000000-0005-0000-0000-0000AD110000}"/>
    <cellStyle name="20% - Accent3 2 2 8 3 3" xfId="12372" xr:uid="{00000000-0005-0000-0000-0000AE110000}"/>
    <cellStyle name="20% - Accent3 2 2 8 3 3 2" xfId="23646" xr:uid="{00000000-0005-0000-0000-0000AF110000}"/>
    <cellStyle name="20% - Accent3 2 2 8 3 3 3" xfId="32523" xr:uid="{00000000-0005-0000-0000-0000B0110000}"/>
    <cellStyle name="20% - Accent3 2 2 8 3 4" xfId="14822" xr:uid="{00000000-0005-0000-0000-0000B1110000}"/>
    <cellStyle name="20% - Accent3 2 2 8 3 4 2" xfId="25865" xr:uid="{00000000-0005-0000-0000-0000B2110000}"/>
    <cellStyle name="20% - Accent3 2 2 8 3 4 3" xfId="34742" xr:uid="{00000000-0005-0000-0000-0000B3110000}"/>
    <cellStyle name="20% - Accent3 2 2 8 3 5" xfId="19208" xr:uid="{00000000-0005-0000-0000-0000B4110000}"/>
    <cellStyle name="20% - Accent3 2 2 8 3 6" xfId="28085" xr:uid="{00000000-0005-0000-0000-0000B5110000}"/>
    <cellStyle name="20% - Accent3 2 2 8 4" xfId="9181" xr:uid="{00000000-0005-0000-0000-0000B6110000}"/>
    <cellStyle name="20% - Accent3 2 2 8 4 2" xfId="20684" xr:uid="{00000000-0005-0000-0000-0000B7110000}"/>
    <cellStyle name="20% - Accent3 2 2 8 4 3" xfId="29561" xr:uid="{00000000-0005-0000-0000-0000B8110000}"/>
    <cellStyle name="20% - Accent3 2 2 8 5" xfId="11629" xr:uid="{00000000-0005-0000-0000-0000B9110000}"/>
    <cellStyle name="20% - Accent3 2 2 8 5 2" xfId="22903" xr:uid="{00000000-0005-0000-0000-0000BA110000}"/>
    <cellStyle name="20% - Accent3 2 2 8 5 3" xfId="31780" xr:uid="{00000000-0005-0000-0000-0000BB110000}"/>
    <cellStyle name="20% - Accent3 2 2 8 6" xfId="13850" xr:uid="{00000000-0005-0000-0000-0000BC110000}"/>
    <cellStyle name="20% - Accent3 2 2 8 6 2" xfId="25122" xr:uid="{00000000-0005-0000-0000-0000BD110000}"/>
    <cellStyle name="20% - Accent3 2 2 8 6 3" xfId="33999" xr:uid="{00000000-0005-0000-0000-0000BE110000}"/>
    <cellStyle name="20% - Accent3 2 2 8 7" xfId="18459" xr:uid="{00000000-0005-0000-0000-0000BF110000}"/>
    <cellStyle name="20% - Accent3 2 2 8 8" xfId="27340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1" xr:uid="{00000000-0005-0000-0000-0000C4110000}"/>
    <cellStyle name="20% - Accent3 2 2 9 2 2 3" xfId="31038" xr:uid="{00000000-0005-0000-0000-0000C5110000}"/>
    <cellStyle name="20% - Accent3 2 2 9 2 3" xfId="13106" xr:uid="{00000000-0005-0000-0000-0000C6110000}"/>
    <cellStyle name="20% - Accent3 2 2 9 2 3 2" xfId="24380" xr:uid="{00000000-0005-0000-0000-0000C7110000}"/>
    <cellStyle name="20% - Accent3 2 2 9 2 3 3" xfId="33257" xr:uid="{00000000-0005-0000-0000-0000C8110000}"/>
    <cellStyle name="20% - Accent3 2 2 9 2 4" xfId="15556" xr:uid="{00000000-0005-0000-0000-0000C9110000}"/>
    <cellStyle name="20% - Accent3 2 2 9 2 4 2" xfId="26599" xr:uid="{00000000-0005-0000-0000-0000CA110000}"/>
    <cellStyle name="20% - Accent3 2 2 9 2 4 3" xfId="35476" xr:uid="{00000000-0005-0000-0000-0000CB110000}"/>
    <cellStyle name="20% - Accent3 2 2 9 2 5" xfId="19942" xr:uid="{00000000-0005-0000-0000-0000CC110000}"/>
    <cellStyle name="20% - Accent3 2 2 9 2 6" xfId="28819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8" xr:uid="{00000000-0005-0000-0000-0000D0110000}"/>
    <cellStyle name="20% - Accent3 2 2 9 3 2 3" xfId="30305" xr:uid="{00000000-0005-0000-0000-0000D1110000}"/>
    <cellStyle name="20% - Accent3 2 2 9 3 3" xfId="12373" xr:uid="{00000000-0005-0000-0000-0000D2110000}"/>
    <cellStyle name="20% - Accent3 2 2 9 3 3 2" xfId="23647" xr:uid="{00000000-0005-0000-0000-0000D3110000}"/>
    <cellStyle name="20% - Accent3 2 2 9 3 3 3" xfId="32524" xr:uid="{00000000-0005-0000-0000-0000D4110000}"/>
    <cellStyle name="20% - Accent3 2 2 9 3 4" xfId="14823" xr:uid="{00000000-0005-0000-0000-0000D5110000}"/>
    <cellStyle name="20% - Accent3 2 2 9 3 4 2" xfId="25866" xr:uid="{00000000-0005-0000-0000-0000D6110000}"/>
    <cellStyle name="20% - Accent3 2 2 9 3 4 3" xfId="34743" xr:uid="{00000000-0005-0000-0000-0000D7110000}"/>
    <cellStyle name="20% - Accent3 2 2 9 3 5" xfId="19209" xr:uid="{00000000-0005-0000-0000-0000D8110000}"/>
    <cellStyle name="20% - Accent3 2 2 9 3 6" xfId="28086" xr:uid="{00000000-0005-0000-0000-0000D9110000}"/>
    <cellStyle name="20% - Accent3 2 2 9 4" xfId="9182" xr:uid="{00000000-0005-0000-0000-0000DA110000}"/>
    <cellStyle name="20% - Accent3 2 2 9 4 2" xfId="20685" xr:uid="{00000000-0005-0000-0000-0000DB110000}"/>
    <cellStyle name="20% - Accent3 2 2 9 4 3" xfId="29562" xr:uid="{00000000-0005-0000-0000-0000DC110000}"/>
    <cellStyle name="20% - Accent3 2 2 9 5" xfId="11630" xr:uid="{00000000-0005-0000-0000-0000DD110000}"/>
    <cellStyle name="20% - Accent3 2 2 9 5 2" xfId="22904" xr:uid="{00000000-0005-0000-0000-0000DE110000}"/>
    <cellStyle name="20% - Accent3 2 2 9 5 3" xfId="31781" xr:uid="{00000000-0005-0000-0000-0000DF110000}"/>
    <cellStyle name="20% - Accent3 2 2 9 6" xfId="13851" xr:uid="{00000000-0005-0000-0000-0000E0110000}"/>
    <cellStyle name="20% - Accent3 2 2 9 6 2" xfId="25123" xr:uid="{00000000-0005-0000-0000-0000E1110000}"/>
    <cellStyle name="20% - Accent3 2 2 9 6 3" xfId="34000" xr:uid="{00000000-0005-0000-0000-0000E2110000}"/>
    <cellStyle name="20% - Accent3 2 2 9 7" xfId="18460" xr:uid="{00000000-0005-0000-0000-0000E3110000}"/>
    <cellStyle name="20% - Accent3 2 2 9 8" xfId="27341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2" xr:uid="{00000000-0005-0000-0000-0000E8110000}"/>
    <cellStyle name="20% - Accent3 2 3 10 2 3" xfId="31039" xr:uid="{00000000-0005-0000-0000-0000E9110000}"/>
    <cellStyle name="20% - Accent3 2 3 10 3" xfId="13107" xr:uid="{00000000-0005-0000-0000-0000EA110000}"/>
    <cellStyle name="20% - Accent3 2 3 10 3 2" xfId="24381" xr:uid="{00000000-0005-0000-0000-0000EB110000}"/>
    <cellStyle name="20% - Accent3 2 3 10 3 3" xfId="33258" xr:uid="{00000000-0005-0000-0000-0000EC110000}"/>
    <cellStyle name="20% - Accent3 2 3 10 4" xfId="15557" xr:uid="{00000000-0005-0000-0000-0000ED110000}"/>
    <cellStyle name="20% - Accent3 2 3 10 4 2" xfId="26600" xr:uid="{00000000-0005-0000-0000-0000EE110000}"/>
    <cellStyle name="20% - Accent3 2 3 10 4 3" xfId="35477" xr:uid="{00000000-0005-0000-0000-0000EF110000}"/>
    <cellStyle name="20% - Accent3 2 3 10 5" xfId="19943" xr:uid="{00000000-0005-0000-0000-0000F0110000}"/>
    <cellStyle name="20% - Accent3 2 3 10 6" xfId="28820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29" xr:uid="{00000000-0005-0000-0000-0000F4110000}"/>
    <cellStyle name="20% - Accent3 2 3 11 2 3" xfId="30306" xr:uid="{00000000-0005-0000-0000-0000F5110000}"/>
    <cellStyle name="20% - Accent3 2 3 11 3" xfId="12374" xr:uid="{00000000-0005-0000-0000-0000F6110000}"/>
    <cellStyle name="20% - Accent3 2 3 11 3 2" xfId="23648" xr:uid="{00000000-0005-0000-0000-0000F7110000}"/>
    <cellStyle name="20% - Accent3 2 3 11 3 3" xfId="32525" xr:uid="{00000000-0005-0000-0000-0000F8110000}"/>
    <cellStyle name="20% - Accent3 2 3 11 4" xfId="14824" xr:uid="{00000000-0005-0000-0000-0000F9110000}"/>
    <cellStyle name="20% - Accent3 2 3 11 4 2" xfId="25867" xr:uid="{00000000-0005-0000-0000-0000FA110000}"/>
    <cellStyle name="20% - Accent3 2 3 11 4 3" xfId="34744" xr:uid="{00000000-0005-0000-0000-0000FB110000}"/>
    <cellStyle name="20% - Accent3 2 3 11 5" xfId="19210" xr:uid="{00000000-0005-0000-0000-0000FC110000}"/>
    <cellStyle name="20% - Accent3 2 3 11 6" xfId="28087" xr:uid="{00000000-0005-0000-0000-0000FD110000}"/>
    <cellStyle name="20% - Accent3 2 3 12" xfId="9183" xr:uid="{00000000-0005-0000-0000-0000FE110000}"/>
    <cellStyle name="20% - Accent3 2 3 12 2" xfId="20686" xr:uid="{00000000-0005-0000-0000-0000FF110000}"/>
    <cellStyle name="20% - Accent3 2 3 12 3" xfId="29563" xr:uid="{00000000-0005-0000-0000-000000120000}"/>
    <cellStyle name="20% - Accent3 2 3 13" xfId="11631" xr:uid="{00000000-0005-0000-0000-000001120000}"/>
    <cellStyle name="20% - Accent3 2 3 13 2" xfId="22905" xr:uid="{00000000-0005-0000-0000-000002120000}"/>
    <cellStyle name="20% - Accent3 2 3 13 3" xfId="31782" xr:uid="{00000000-0005-0000-0000-000003120000}"/>
    <cellStyle name="20% - Accent3 2 3 14" xfId="13852" xr:uid="{00000000-0005-0000-0000-000004120000}"/>
    <cellStyle name="20% - Accent3 2 3 14 2" xfId="25124" xr:uid="{00000000-0005-0000-0000-000005120000}"/>
    <cellStyle name="20% - Accent3 2 3 14 3" xfId="34001" xr:uid="{00000000-0005-0000-0000-000006120000}"/>
    <cellStyle name="20% - Accent3 2 3 15" xfId="18461" xr:uid="{00000000-0005-0000-0000-000007120000}"/>
    <cellStyle name="20% - Accent3 2 3 16" xfId="27342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3" xr:uid="{00000000-0005-0000-0000-00000C120000}"/>
    <cellStyle name="20% - Accent3 2 3 2 2 2 3" xfId="31040" xr:uid="{00000000-0005-0000-0000-00000D120000}"/>
    <cellStyle name="20% - Accent3 2 3 2 2 3" xfId="13108" xr:uid="{00000000-0005-0000-0000-00000E120000}"/>
    <cellStyle name="20% - Accent3 2 3 2 2 3 2" xfId="24382" xr:uid="{00000000-0005-0000-0000-00000F120000}"/>
    <cellStyle name="20% - Accent3 2 3 2 2 3 3" xfId="33259" xr:uid="{00000000-0005-0000-0000-000010120000}"/>
    <cellStyle name="20% - Accent3 2 3 2 2 4" xfId="15558" xr:uid="{00000000-0005-0000-0000-000011120000}"/>
    <cellStyle name="20% - Accent3 2 3 2 2 4 2" xfId="26601" xr:uid="{00000000-0005-0000-0000-000012120000}"/>
    <cellStyle name="20% - Accent3 2 3 2 2 4 3" xfId="35478" xr:uid="{00000000-0005-0000-0000-000013120000}"/>
    <cellStyle name="20% - Accent3 2 3 2 2 5" xfId="19944" xr:uid="{00000000-0005-0000-0000-000014120000}"/>
    <cellStyle name="20% - Accent3 2 3 2 2 6" xfId="28821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0" xr:uid="{00000000-0005-0000-0000-000018120000}"/>
    <cellStyle name="20% - Accent3 2 3 2 3 2 3" xfId="30307" xr:uid="{00000000-0005-0000-0000-000019120000}"/>
    <cellStyle name="20% - Accent3 2 3 2 3 3" xfId="12375" xr:uid="{00000000-0005-0000-0000-00001A120000}"/>
    <cellStyle name="20% - Accent3 2 3 2 3 3 2" xfId="23649" xr:uid="{00000000-0005-0000-0000-00001B120000}"/>
    <cellStyle name="20% - Accent3 2 3 2 3 3 3" xfId="32526" xr:uid="{00000000-0005-0000-0000-00001C120000}"/>
    <cellStyle name="20% - Accent3 2 3 2 3 4" xfId="14825" xr:uid="{00000000-0005-0000-0000-00001D120000}"/>
    <cellStyle name="20% - Accent3 2 3 2 3 4 2" xfId="25868" xr:uid="{00000000-0005-0000-0000-00001E120000}"/>
    <cellStyle name="20% - Accent3 2 3 2 3 4 3" xfId="34745" xr:uid="{00000000-0005-0000-0000-00001F120000}"/>
    <cellStyle name="20% - Accent3 2 3 2 3 5" xfId="19211" xr:uid="{00000000-0005-0000-0000-000020120000}"/>
    <cellStyle name="20% - Accent3 2 3 2 3 6" xfId="28088" xr:uid="{00000000-0005-0000-0000-000021120000}"/>
    <cellStyle name="20% - Accent3 2 3 2 4" xfId="9184" xr:uid="{00000000-0005-0000-0000-000022120000}"/>
    <cellStyle name="20% - Accent3 2 3 2 4 2" xfId="20687" xr:uid="{00000000-0005-0000-0000-000023120000}"/>
    <cellStyle name="20% - Accent3 2 3 2 4 3" xfId="29564" xr:uid="{00000000-0005-0000-0000-000024120000}"/>
    <cellStyle name="20% - Accent3 2 3 2 5" xfId="11632" xr:uid="{00000000-0005-0000-0000-000025120000}"/>
    <cellStyle name="20% - Accent3 2 3 2 5 2" xfId="22906" xr:uid="{00000000-0005-0000-0000-000026120000}"/>
    <cellStyle name="20% - Accent3 2 3 2 5 3" xfId="31783" xr:uid="{00000000-0005-0000-0000-000027120000}"/>
    <cellStyle name="20% - Accent3 2 3 2 6" xfId="13853" xr:uid="{00000000-0005-0000-0000-000028120000}"/>
    <cellStyle name="20% - Accent3 2 3 2 6 2" xfId="25125" xr:uid="{00000000-0005-0000-0000-000029120000}"/>
    <cellStyle name="20% - Accent3 2 3 2 6 3" xfId="34002" xr:uid="{00000000-0005-0000-0000-00002A120000}"/>
    <cellStyle name="20% - Accent3 2 3 2 7" xfId="18462" xr:uid="{00000000-0005-0000-0000-00002B120000}"/>
    <cellStyle name="20% - Accent3 2 3 2 8" xfId="27343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4" xr:uid="{00000000-0005-0000-0000-000030120000}"/>
    <cellStyle name="20% - Accent3 2 3 3 2 2 3" xfId="31041" xr:uid="{00000000-0005-0000-0000-000031120000}"/>
    <cellStyle name="20% - Accent3 2 3 3 2 3" xfId="13109" xr:uid="{00000000-0005-0000-0000-000032120000}"/>
    <cellStyle name="20% - Accent3 2 3 3 2 3 2" xfId="24383" xr:uid="{00000000-0005-0000-0000-000033120000}"/>
    <cellStyle name="20% - Accent3 2 3 3 2 3 3" xfId="33260" xr:uid="{00000000-0005-0000-0000-000034120000}"/>
    <cellStyle name="20% - Accent3 2 3 3 2 4" xfId="15559" xr:uid="{00000000-0005-0000-0000-000035120000}"/>
    <cellStyle name="20% - Accent3 2 3 3 2 4 2" xfId="26602" xr:uid="{00000000-0005-0000-0000-000036120000}"/>
    <cellStyle name="20% - Accent3 2 3 3 2 4 3" xfId="35479" xr:uid="{00000000-0005-0000-0000-000037120000}"/>
    <cellStyle name="20% - Accent3 2 3 3 2 5" xfId="19945" xr:uid="{00000000-0005-0000-0000-000038120000}"/>
    <cellStyle name="20% - Accent3 2 3 3 2 6" xfId="28822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1" xr:uid="{00000000-0005-0000-0000-00003C120000}"/>
    <cellStyle name="20% - Accent3 2 3 3 3 2 3" xfId="30308" xr:uid="{00000000-0005-0000-0000-00003D120000}"/>
    <cellStyle name="20% - Accent3 2 3 3 3 3" xfId="12376" xr:uid="{00000000-0005-0000-0000-00003E120000}"/>
    <cellStyle name="20% - Accent3 2 3 3 3 3 2" xfId="23650" xr:uid="{00000000-0005-0000-0000-00003F120000}"/>
    <cellStyle name="20% - Accent3 2 3 3 3 3 3" xfId="32527" xr:uid="{00000000-0005-0000-0000-000040120000}"/>
    <cellStyle name="20% - Accent3 2 3 3 3 4" xfId="14826" xr:uid="{00000000-0005-0000-0000-000041120000}"/>
    <cellStyle name="20% - Accent3 2 3 3 3 4 2" xfId="25869" xr:uid="{00000000-0005-0000-0000-000042120000}"/>
    <cellStyle name="20% - Accent3 2 3 3 3 4 3" xfId="34746" xr:uid="{00000000-0005-0000-0000-000043120000}"/>
    <cellStyle name="20% - Accent3 2 3 3 3 5" xfId="19212" xr:uid="{00000000-0005-0000-0000-000044120000}"/>
    <cellStyle name="20% - Accent3 2 3 3 3 6" xfId="28089" xr:uid="{00000000-0005-0000-0000-000045120000}"/>
    <cellStyle name="20% - Accent3 2 3 3 4" xfId="9185" xr:uid="{00000000-0005-0000-0000-000046120000}"/>
    <cellStyle name="20% - Accent3 2 3 3 4 2" xfId="20688" xr:uid="{00000000-0005-0000-0000-000047120000}"/>
    <cellStyle name="20% - Accent3 2 3 3 4 3" xfId="29565" xr:uid="{00000000-0005-0000-0000-000048120000}"/>
    <cellStyle name="20% - Accent3 2 3 3 5" xfId="11633" xr:uid="{00000000-0005-0000-0000-000049120000}"/>
    <cellStyle name="20% - Accent3 2 3 3 5 2" xfId="22907" xr:uid="{00000000-0005-0000-0000-00004A120000}"/>
    <cellStyle name="20% - Accent3 2 3 3 5 3" xfId="31784" xr:uid="{00000000-0005-0000-0000-00004B120000}"/>
    <cellStyle name="20% - Accent3 2 3 3 6" xfId="13854" xr:uid="{00000000-0005-0000-0000-00004C120000}"/>
    <cellStyle name="20% - Accent3 2 3 3 6 2" xfId="25126" xr:uid="{00000000-0005-0000-0000-00004D120000}"/>
    <cellStyle name="20% - Accent3 2 3 3 6 3" xfId="34003" xr:uid="{00000000-0005-0000-0000-00004E120000}"/>
    <cellStyle name="20% - Accent3 2 3 3 7" xfId="18463" xr:uid="{00000000-0005-0000-0000-00004F120000}"/>
    <cellStyle name="20% - Accent3 2 3 3 8" xfId="27344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5" xr:uid="{00000000-0005-0000-0000-000054120000}"/>
    <cellStyle name="20% - Accent3 2 3 4 2 2 3" xfId="31042" xr:uid="{00000000-0005-0000-0000-000055120000}"/>
    <cellStyle name="20% - Accent3 2 3 4 2 3" xfId="13110" xr:uid="{00000000-0005-0000-0000-000056120000}"/>
    <cellStyle name="20% - Accent3 2 3 4 2 3 2" xfId="24384" xr:uid="{00000000-0005-0000-0000-000057120000}"/>
    <cellStyle name="20% - Accent3 2 3 4 2 3 3" xfId="33261" xr:uid="{00000000-0005-0000-0000-000058120000}"/>
    <cellStyle name="20% - Accent3 2 3 4 2 4" xfId="15560" xr:uid="{00000000-0005-0000-0000-000059120000}"/>
    <cellStyle name="20% - Accent3 2 3 4 2 4 2" xfId="26603" xr:uid="{00000000-0005-0000-0000-00005A120000}"/>
    <cellStyle name="20% - Accent3 2 3 4 2 4 3" xfId="35480" xr:uid="{00000000-0005-0000-0000-00005B120000}"/>
    <cellStyle name="20% - Accent3 2 3 4 2 5" xfId="19946" xr:uid="{00000000-0005-0000-0000-00005C120000}"/>
    <cellStyle name="20% - Accent3 2 3 4 2 6" xfId="28823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2" xr:uid="{00000000-0005-0000-0000-000060120000}"/>
    <cellStyle name="20% - Accent3 2 3 4 3 2 3" xfId="30309" xr:uid="{00000000-0005-0000-0000-000061120000}"/>
    <cellStyle name="20% - Accent3 2 3 4 3 3" xfId="12377" xr:uid="{00000000-0005-0000-0000-000062120000}"/>
    <cellStyle name="20% - Accent3 2 3 4 3 3 2" xfId="23651" xr:uid="{00000000-0005-0000-0000-000063120000}"/>
    <cellStyle name="20% - Accent3 2 3 4 3 3 3" xfId="32528" xr:uid="{00000000-0005-0000-0000-000064120000}"/>
    <cellStyle name="20% - Accent3 2 3 4 3 4" xfId="14827" xr:uid="{00000000-0005-0000-0000-000065120000}"/>
    <cellStyle name="20% - Accent3 2 3 4 3 4 2" xfId="25870" xr:uid="{00000000-0005-0000-0000-000066120000}"/>
    <cellStyle name="20% - Accent3 2 3 4 3 4 3" xfId="34747" xr:uid="{00000000-0005-0000-0000-000067120000}"/>
    <cellStyle name="20% - Accent3 2 3 4 3 5" xfId="19213" xr:uid="{00000000-0005-0000-0000-000068120000}"/>
    <cellStyle name="20% - Accent3 2 3 4 3 6" xfId="28090" xr:uid="{00000000-0005-0000-0000-000069120000}"/>
    <cellStyle name="20% - Accent3 2 3 4 4" xfId="9186" xr:uid="{00000000-0005-0000-0000-00006A120000}"/>
    <cellStyle name="20% - Accent3 2 3 4 4 2" xfId="20689" xr:uid="{00000000-0005-0000-0000-00006B120000}"/>
    <cellStyle name="20% - Accent3 2 3 4 4 3" xfId="29566" xr:uid="{00000000-0005-0000-0000-00006C120000}"/>
    <cellStyle name="20% - Accent3 2 3 4 5" xfId="11634" xr:uid="{00000000-0005-0000-0000-00006D120000}"/>
    <cellStyle name="20% - Accent3 2 3 4 5 2" xfId="22908" xr:uid="{00000000-0005-0000-0000-00006E120000}"/>
    <cellStyle name="20% - Accent3 2 3 4 5 3" xfId="31785" xr:uid="{00000000-0005-0000-0000-00006F120000}"/>
    <cellStyle name="20% - Accent3 2 3 4 6" xfId="13855" xr:uid="{00000000-0005-0000-0000-000070120000}"/>
    <cellStyle name="20% - Accent3 2 3 4 6 2" xfId="25127" xr:uid="{00000000-0005-0000-0000-000071120000}"/>
    <cellStyle name="20% - Accent3 2 3 4 6 3" xfId="34004" xr:uid="{00000000-0005-0000-0000-000072120000}"/>
    <cellStyle name="20% - Accent3 2 3 4 7" xfId="18464" xr:uid="{00000000-0005-0000-0000-000073120000}"/>
    <cellStyle name="20% - Accent3 2 3 4 8" xfId="27345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6" xr:uid="{00000000-0005-0000-0000-000078120000}"/>
    <cellStyle name="20% - Accent3 2 3 5 2 2 3" xfId="31043" xr:uid="{00000000-0005-0000-0000-000079120000}"/>
    <cellStyle name="20% - Accent3 2 3 5 2 3" xfId="13111" xr:uid="{00000000-0005-0000-0000-00007A120000}"/>
    <cellStyle name="20% - Accent3 2 3 5 2 3 2" xfId="24385" xr:uid="{00000000-0005-0000-0000-00007B120000}"/>
    <cellStyle name="20% - Accent3 2 3 5 2 3 3" xfId="33262" xr:uid="{00000000-0005-0000-0000-00007C120000}"/>
    <cellStyle name="20% - Accent3 2 3 5 2 4" xfId="15561" xr:uid="{00000000-0005-0000-0000-00007D120000}"/>
    <cellStyle name="20% - Accent3 2 3 5 2 4 2" xfId="26604" xr:uid="{00000000-0005-0000-0000-00007E120000}"/>
    <cellStyle name="20% - Accent3 2 3 5 2 4 3" xfId="35481" xr:uid="{00000000-0005-0000-0000-00007F120000}"/>
    <cellStyle name="20% - Accent3 2 3 5 2 5" xfId="19947" xr:uid="{00000000-0005-0000-0000-000080120000}"/>
    <cellStyle name="20% - Accent3 2 3 5 2 6" xfId="28824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3" xr:uid="{00000000-0005-0000-0000-000084120000}"/>
    <cellStyle name="20% - Accent3 2 3 5 3 2 3" xfId="30310" xr:uid="{00000000-0005-0000-0000-000085120000}"/>
    <cellStyle name="20% - Accent3 2 3 5 3 3" xfId="12378" xr:uid="{00000000-0005-0000-0000-000086120000}"/>
    <cellStyle name="20% - Accent3 2 3 5 3 3 2" xfId="23652" xr:uid="{00000000-0005-0000-0000-000087120000}"/>
    <cellStyle name="20% - Accent3 2 3 5 3 3 3" xfId="32529" xr:uid="{00000000-0005-0000-0000-000088120000}"/>
    <cellStyle name="20% - Accent3 2 3 5 3 4" xfId="14828" xr:uid="{00000000-0005-0000-0000-000089120000}"/>
    <cellStyle name="20% - Accent3 2 3 5 3 4 2" xfId="25871" xr:uid="{00000000-0005-0000-0000-00008A120000}"/>
    <cellStyle name="20% - Accent3 2 3 5 3 4 3" xfId="34748" xr:uid="{00000000-0005-0000-0000-00008B120000}"/>
    <cellStyle name="20% - Accent3 2 3 5 3 5" xfId="19214" xr:uid="{00000000-0005-0000-0000-00008C120000}"/>
    <cellStyle name="20% - Accent3 2 3 5 3 6" xfId="28091" xr:uid="{00000000-0005-0000-0000-00008D120000}"/>
    <cellStyle name="20% - Accent3 2 3 5 4" xfId="9187" xr:uid="{00000000-0005-0000-0000-00008E120000}"/>
    <cellStyle name="20% - Accent3 2 3 5 4 2" xfId="20690" xr:uid="{00000000-0005-0000-0000-00008F120000}"/>
    <cellStyle name="20% - Accent3 2 3 5 4 3" xfId="29567" xr:uid="{00000000-0005-0000-0000-000090120000}"/>
    <cellStyle name="20% - Accent3 2 3 5 5" xfId="11635" xr:uid="{00000000-0005-0000-0000-000091120000}"/>
    <cellStyle name="20% - Accent3 2 3 5 5 2" xfId="22909" xr:uid="{00000000-0005-0000-0000-000092120000}"/>
    <cellStyle name="20% - Accent3 2 3 5 5 3" xfId="31786" xr:uid="{00000000-0005-0000-0000-000093120000}"/>
    <cellStyle name="20% - Accent3 2 3 5 6" xfId="13856" xr:uid="{00000000-0005-0000-0000-000094120000}"/>
    <cellStyle name="20% - Accent3 2 3 5 6 2" xfId="25128" xr:uid="{00000000-0005-0000-0000-000095120000}"/>
    <cellStyle name="20% - Accent3 2 3 5 6 3" xfId="34005" xr:uid="{00000000-0005-0000-0000-000096120000}"/>
    <cellStyle name="20% - Accent3 2 3 5 7" xfId="18465" xr:uid="{00000000-0005-0000-0000-000097120000}"/>
    <cellStyle name="20% - Accent3 2 3 5 8" xfId="27346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7" xr:uid="{00000000-0005-0000-0000-00009C120000}"/>
    <cellStyle name="20% - Accent3 2 3 6 2 2 3" xfId="31044" xr:uid="{00000000-0005-0000-0000-00009D120000}"/>
    <cellStyle name="20% - Accent3 2 3 6 2 3" xfId="13112" xr:uid="{00000000-0005-0000-0000-00009E120000}"/>
    <cellStyle name="20% - Accent3 2 3 6 2 3 2" xfId="24386" xr:uid="{00000000-0005-0000-0000-00009F120000}"/>
    <cellStyle name="20% - Accent3 2 3 6 2 3 3" xfId="33263" xr:uid="{00000000-0005-0000-0000-0000A0120000}"/>
    <cellStyle name="20% - Accent3 2 3 6 2 4" xfId="15562" xr:uid="{00000000-0005-0000-0000-0000A1120000}"/>
    <cellStyle name="20% - Accent3 2 3 6 2 4 2" xfId="26605" xr:uid="{00000000-0005-0000-0000-0000A2120000}"/>
    <cellStyle name="20% - Accent3 2 3 6 2 4 3" xfId="35482" xr:uid="{00000000-0005-0000-0000-0000A3120000}"/>
    <cellStyle name="20% - Accent3 2 3 6 2 5" xfId="19948" xr:uid="{00000000-0005-0000-0000-0000A4120000}"/>
    <cellStyle name="20% - Accent3 2 3 6 2 6" xfId="28825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4" xr:uid="{00000000-0005-0000-0000-0000A8120000}"/>
    <cellStyle name="20% - Accent3 2 3 6 3 2 3" xfId="30311" xr:uid="{00000000-0005-0000-0000-0000A9120000}"/>
    <cellStyle name="20% - Accent3 2 3 6 3 3" xfId="12379" xr:uid="{00000000-0005-0000-0000-0000AA120000}"/>
    <cellStyle name="20% - Accent3 2 3 6 3 3 2" xfId="23653" xr:uid="{00000000-0005-0000-0000-0000AB120000}"/>
    <cellStyle name="20% - Accent3 2 3 6 3 3 3" xfId="32530" xr:uid="{00000000-0005-0000-0000-0000AC120000}"/>
    <cellStyle name="20% - Accent3 2 3 6 3 4" xfId="14829" xr:uid="{00000000-0005-0000-0000-0000AD120000}"/>
    <cellStyle name="20% - Accent3 2 3 6 3 4 2" xfId="25872" xr:uid="{00000000-0005-0000-0000-0000AE120000}"/>
    <cellStyle name="20% - Accent3 2 3 6 3 4 3" xfId="34749" xr:uid="{00000000-0005-0000-0000-0000AF120000}"/>
    <cellStyle name="20% - Accent3 2 3 6 3 5" xfId="19215" xr:uid="{00000000-0005-0000-0000-0000B0120000}"/>
    <cellStyle name="20% - Accent3 2 3 6 3 6" xfId="28092" xr:uid="{00000000-0005-0000-0000-0000B1120000}"/>
    <cellStyle name="20% - Accent3 2 3 6 4" xfId="9188" xr:uid="{00000000-0005-0000-0000-0000B2120000}"/>
    <cellStyle name="20% - Accent3 2 3 6 4 2" xfId="20691" xr:uid="{00000000-0005-0000-0000-0000B3120000}"/>
    <cellStyle name="20% - Accent3 2 3 6 4 3" xfId="29568" xr:uid="{00000000-0005-0000-0000-0000B4120000}"/>
    <cellStyle name="20% - Accent3 2 3 6 5" xfId="11636" xr:uid="{00000000-0005-0000-0000-0000B5120000}"/>
    <cellStyle name="20% - Accent3 2 3 6 5 2" xfId="22910" xr:uid="{00000000-0005-0000-0000-0000B6120000}"/>
    <cellStyle name="20% - Accent3 2 3 6 5 3" xfId="31787" xr:uid="{00000000-0005-0000-0000-0000B7120000}"/>
    <cellStyle name="20% - Accent3 2 3 6 6" xfId="13857" xr:uid="{00000000-0005-0000-0000-0000B8120000}"/>
    <cellStyle name="20% - Accent3 2 3 6 6 2" xfId="25129" xr:uid="{00000000-0005-0000-0000-0000B9120000}"/>
    <cellStyle name="20% - Accent3 2 3 6 6 3" xfId="34006" xr:uid="{00000000-0005-0000-0000-0000BA120000}"/>
    <cellStyle name="20% - Accent3 2 3 6 7" xfId="18466" xr:uid="{00000000-0005-0000-0000-0000BB120000}"/>
    <cellStyle name="20% - Accent3 2 3 6 8" xfId="27347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8" xr:uid="{00000000-0005-0000-0000-0000C0120000}"/>
    <cellStyle name="20% - Accent3 2 3 7 2 2 3" xfId="31045" xr:uid="{00000000-0005-0000-0000-0000C1120000}"/>
    <cellStyle name="20% - Accent3 2 3 7 2 3" xfId="13113" xr:uid="{00000000-0005-0000-0000-0000C2120000}"/>
    <cellStyle name="20% - Accent3 2 3 7 2 3 2" xfId="24387" xr:uid="{00000000-0005-0000-0000-0000C3120000}"/>
    <cellStyle name="20% - Accent3 2 3 7 2 3 3" xfId="33264" xr:uid="{00000000-0005-0000-0000-0000C4120000}"/>
    <cellStyle name="20% - Accent3 2 3 7 2 4" xfId="15563" xr:uid="{00000000-0005-0000-0000-0000C5120000}"/>
    <cellStyle name="20% - Accent3 2 3 7 2 4 2" xfId="26606" xr:uid="{00000000-0005-0000-0000-0000C6120000}"/>
    <cellStyle name="20% - Accent3 2 3 7 2 4 3" xfId="35483" xr:uid="{00000000-0005-0000-0000-0000C7120000}"/>
    <cellStyle name="20% - Accent3 2 3 7 2 5" xfId="19949" xr:uid="{00000000-0005-0000-0000-0000C8120000}"/>
    <cellStyle name="20% - Accent3 2 3 7 2 6" xfId="28826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5" xr:uid="{00000000-0005-0000-0000-0000CC120000}"/>
    <cellStyle name="20% - Accent3 2 3 7 3 2 3" xfId="30312" xr:uid="{00000000-0005-0000-0000-0000CD120000}"/>
    <cellStyle name="20% - Accent3 2 3 7 3 3" xfId="12380" xr:uid="{00000000-0005-0000-0000-0000CE120000}"/>
    <cellStyle name="20% - Accent3 2 3 7 3 3 2" xfId="23654" xr:uid="{00000000-0005-0000-0000-0000CF120000}"/>
    <cellStyle name="20% - Accent3 2 3 7 3 3 3" xfId="32531" xr:uid="{00000000-0005-0000-0000-0000D0120000}"/>
    <cellStyle name="20% - Accent3 2 3 7 3 4" xfId="14830" xr:uid="{00000000-0005-0000-0000-0000D1120000}"/>
    <cellStyle name="20% - Accent3 2 3 7 3 4 2" xfId="25873" xr:uid="{00000000-0005-0000-0000-0000D2120000}"/>
    <cellStyle name="20% - Accent3 2 3 7 3 4 3" xfId="34750" xr:uid="{00000000-0005-0000-0000-0000D3120000}"/>
    <cellStyle name="20% - Accent3 2 3 7 3 5" xfId="19216" xr:uid="{00000000-0005-0000-0000-0000D4120000}"/>
    <cellStyle name="20% - Accent3 2 3 7 3 6" xfId="28093" xr:uid="{00000000-0005-0000-0000-0000D5120000}"/>
    <cellStyle name="20% - Accent3 2 3 7 4" xfId="9189" xr:uid="{00000000-0005-0000-0000-0000D6120000}"/>
    <cellStyle name="20% - Accent3 2 3 7 4 2" xfId="20692" xr:uid="{00000000-0005-0000-0000-0000D7120000}"/>
    <cellStyle name="20% - Accent3 2 3 7 4 3" xfId="29569" xr:uid="{00000000-0005-0000-0000-0000D8120000}"/>
    <cellStyle name="20% - Accent3 2 3 7 5" xfId="11637" xr:uid="{00000000-0005-0000-0000-0000D9120000}"/>
    <cellStyle name="20% - Accent3 2 3 7 5 2" xfId="22911" xr:uid="{00000000-0005-0000-0000-0000DA120000}"/>
    <cellStyle name="20% - Accent3 2 3 7 5 3" xfId="31788" xr:uid="{00000000-0005-0000-0000-0000DB120000}"/>
    <cellStyle name="20% - Accent3 2 3 7 6" xfId="13858" xr:uid="{00000000-0005-0000-0000-0000DC120000}"/>
    <cellStyle name="20% - Accent3 2 3 7 6 2" xfId="25130" xr:uid="{00000000-0005-0000-0000-0000DD120000}"/>
    <cellStyle name="20% - Accent3 2 3 7 6 3" xfId="34007" xr:uid="{00000000-0005-0000-0000-0000DE120000}"/>
    <cellStyle name="20% - Accent3 2 3 7 7" xfId="18467" xr:uid="{00000000-0005-0000-0000-0000DF120000}"/>
    <cellStyle name="20% - Accent3 2 3 7 8" xfId="27348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69" xr:uid="{00000000-0005-0000-0000-0000E4120000}"/>
    <cellStyle name="20% - Accent3 2 3 8 2 2 3" xfId="31046" xr:uid="{00000000-0005-0000-0000-0000E5120000}"/>
    <cellStyle name="20% - Accent3 2 3 8 2 3" xfId="13114" xr:uid="{00000000-0005-0000-0000-0000E6120000}"/>
    <cellStyle name="20% - Accent3 2 3 8 2 3 2" xfId="24388" xr:uid="{00000000-0005-0000-0000-0000E7120000}"/>
    <cellStyle name="20% - Accent3 2 3 8 2 3 3" xfId="33265" xr:uid="{00000000-0005-0000-0000-0000E8120000}"/>
    <cellStyle name="20% - Accent3 2 3 8 2 4" xfId="15564" xr:uid="{00000000-0005-0000-0000-0000E9120000}"/>
    <cellStyle name="20% - Accent3 2 3 8 2 4 2" xfId="26607" xr:uid="{00000000-0005-0000-0000-0000EA120000}"/>
    <cellStyle name="20% - Accent3 2 3 8 2 4 3" xfId="35484" xr:uid="{00000000-0005-0000-0000-0000EB120000}"/>
    <cellStyle name="20% - Accent3 2 3 8 2 5" xfId="19950" xr:uid="{00000000-0005-0000-0000-0000EC120000}"/>
    <cellStyle name="20% - Accent3 2 3 8 2 6" xfId="28827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6" xr:uid="{00000000-0005-0000-0000-0000F0120000}"/>
    <cellStyle name="20% - Accent3 2 3 8 3 2 3" xfId="30313" xr:uid="{00000000-0005-0000-0000-0000F1120000}"/>
    <cellStyle name="20% - Accent3 2 3 8 3 3" xfId="12381" xr:uid="{00000000-0005-0000-0000-0000F2120000}"/>
    <cellStyle name="20% - Accent3 2 3 8 3 3 2" xfId="23655" xr:uid="{00000000-0005-0000-0000-0000F3120000}"/>
    <cellStyle name="20% - Accent3 2 3 8 3 3 3" xfId="32532" xr:uid="{00000000-0005-0000-0000-0000F4120000}"/>
    <cellStyle name="20% - Accent3 2 3 8 3 4" xfId="14831" xr:uid="{00000000-0005-0000-0000-0000F5120000}"/>
    <cellStyle name="20% - Accent3 2 3 8 3 4 2" xfId="25874" xr:uid="{00000000-0005-0000-0000-0000F6120000}"/>
    <cellStyle name="20% - Accent3 2 3 8 3 4 3" xfId="34751" xr:uid="{00000000-0005-0000-0000-0000F7120000}"/>
    <cellStyle name="20% - Accent3 2 3 8 3 5" xfId="19217" xr:uid="{00000000-0005-0000-0000-0000F8120000}"/>
    <cellStyle name="20% - Accent3 2 3 8 3 6" xfId="28094" xr:uid="{00000000-0005-0000-0000-0000F9120000}"/>
    <cellStyle name="20% - Accent3 2 3 8 4" xfId="9190" xr:uid="{00000000-0005-0000-0000-0000FA120000}"/>
    <cellStyle name="20% - Accent3 2 3 8 4 2" xfId="20693" xr:uid="{00000000-0005-0000-0000-0000FB120000}"/>
    <cellStyle name="20% - Accent3 2 3 8 4 3" xfId="29570" xr:uid="{00000000-0005-0000-0000-0000FC120000}"/>
    <cellStyle name="20% - Accent3 2 3 8 5" xfId="11638" xr:uid="{00000000-0005-0000-0000-0000FD120000}"/>
    <cellStyle name="20% - Accent3 2 3 8 5 2" xfId="22912" xr:uid="{00000000-0005-0000-0000-0000FE120000}"/>
    <cellStyle name="20% - Accent3 2 3 8 5 3" xfId="31789" xr:uid="{00000000-0005-0000-0000-0000FF120000}"/>
    <cellStyle name="20% - Accent3 2 3 8 6" xfId="13859" xr:uid="{00000000-0005-0000-0000-000000130000}"/>
    <cellStyle name="20% - Accent3 2 3 8 6 2" xfId="25131" xr:uid="{00000000-0005-0000-0000-000001130000}"/>
    <cellStyle name="20% - Accent3 2 3 8 6 3" xfId="34008" xr:uid="{00000000-0005-0000-0000-000002130000}"/>
    <cellStyle name="20% - Accent3 2 3 8 7" xfId="18468" xr:uid="{00000000-0005-0000-0000-000003130000}"/>
    <cellStyle name="20% - Accent3 2 3 8 8" xfId="27349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0" xr:uid="{00000000-0005-0000-0000-000008130000}"/>
    <cellStyle name="20% - Accent3 2 3 9 2 2 3" xfId="31047" xr:uid="{00000000-0005-0000-0000-000009130000}"/>
    <cellStyle name="20% - Accent3 2 3 9 2 3" xfId="13115" xr:uid="{00000000-0005-0000-0000-00000A130000}"/>
    <cellStyle name="20% - Accent3 2 3 9 2 3 2" xfId="24389" xr:uid="{00000000-0005-0000-0000-00000B130000}"/>
    <cellStyle name="20% - Accent3 2 3 9 2 3 3" xfId="33266" xr:uid="{00000000-0005-0000-0000-00000C130000}"/>
    <cellStyle name="20% - Accent3 2 3 9 2 4" xfId="15565" xr:uid="{00000000-0005-0000-0000-00000D130000}"/>
    <cellStyle name="20% - Accent3 2 3 9 2 4 2" xfId="26608" xr:uid="{00000000-0005-0000-0000-00000E130000}"/>
    <cellStyle name="20% - Accent3 2 3 9 2 4 3" xfId="35485" xr:uid="{00000000-0005-0000-0000-00000F130000}"/>
    <cellStyle name="20% - Accent3 2 3 9 2 5" xfId="19951" xr:uid="{00000000-0005-0000-0000-000010130000}"/>
    <cellStyle name="20% - Accent3 2 3 9 2 6" xfId="28828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7" xr:uid="{00000000-0005-0000-0000-000014130000}"/>
    <cellStyle name="20% - Accent3 2 3 9 3 2 3" xfId="30314" xr:uid="{00000000-0005-0000-0000-000015130000}"/>
    <cellStyle name="20% - Accent3 2 3 9 3 3" xfId="12382" xr:uid="{00000000-0005-0000-0000-000016130000}"/>
    <cellStyle name="20% - Accent3 2 3 9 3 3 2" xfId="23656" xr:uid="{00000000-0005-0000-0000-000017130000}"/>
    <cellStyle name="20% - Accent3 2 3 9 3 3 3" xfId="32533" xr:uid="{00000000-0005-0000-0000-000018130000}"/>
    <cellStyle name="20% - Accent3 2 3 9 3 4" xfId="14832" xr:uid="{00000000-0005-0000-0000-000019130000}"/>
    <cellStyle name="20% - Accent3 2 3 9 3 4 2" xfId="25875" xr:uid="{00000000-0005-0000-0000-00001A130000}"/>
    <cellStyle name="20% - Accent3 2 3 9 3 4 3" xfId="34752" xr:uid="{00000000-0005-0000-0000-00001B130000}"/>
    <cellStyle name="20% - Accent3 2 3 9 3 5" xfId="19218" xr:uid="{00000000-0005-0000-0000-00001C130000}"/>
    <cellStyle name="20% - Accent3 2 3 9 3 6" xfId="28095" xr:uid="{00000000-0005-0000-0000-00001D130000}"/>
    <cellStyle name="20% - Accent3 2 3 9 4" xfId="9191" xr:uid="{00000000-0005-0000-0000-00001E130000}"/>
    <cellStyle name="20% - Accent3 2 3 9 4 2" xfId="20694" xr:uid="{00000000-0005-0000-0000-00001F130000}"/>
    <cellStyle name="20% - Accent3 2 3 9 4 3" xfId="29571" xr:uid="{00000000-0005-0000-0000-000020130000}"/>
    <cellStyle name="20% - Accent3 2 3 9 5" xfId="11639" xr:uid="{00000000-0005-0000-0000-000021130000}"/>
    <cellStyle name="20% - Accent3 2 3 9 5 2" xfId="22913" xr:uid="{00000000-0005-0000-0000-000022130000}"/>
    <cellStyle name="20% - Accent3 2 3 9 5 3" xfId="31790" xr:uid="{00000000-0005-0000-0000-000023130000}"/>
    <cellStyle name="20% - Accent3 2 3 9 6" xfId="13860" xr:uid="{00000000-0005-0000-0000-000024130000}"/>
    <cellStyle name="20% - Accent3 2 3 9 6 2" xfId="25132" xr:uid="{00000000-0005-0000-0000-000025130000}"/>
    <cellStyle name="20% - Accent3 2 3 9 6 3" xfId="34009" xr:uid="{00000000-0005-0000-0000-000026130000}"/>
    <cellStyle name="20% - Accent3 2 3 9 7" xfId="18469" xr:uid="{00000000-0005-0000-0000-000027130000}"/>
    <cellStyle name="20% - Accent3 2 3 9 8" xfId="27350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1" xr:uid="{00000000-0005-0000-0000-00002C130000}"/>
    <cellStyle name="20% - Accent3 2 4 10 2 3" xfId="31048" xr:uid="{00000000-0005-0000-0000-00002D130000}"/>
    <cellStyle name="20% - Accent3 2 4 10 3" xfId="13116" xr:uid="{00000000-0005-0000-0000-00002E130000}"/>
    <cellStyle name="20% - Accent3 2 4 10 3 2" xfId="24390" xr:uid="{00000000-0005-0000-0000-00002F130000}"/>
    <cellStyle name="20% - Accent3 2 4 10 3 3" xfId="33267" xr:uid="{00000000-0005-0000-0000-000030130000}"/>
    <cellStyle name="20% - Accent3 2 4 10 4" xfId="15566" xr:uid="{00000000-0005-0000-0000-000031130000}"/>
    <cellStyle name="20% - Accent3 2 4 10 4 2" xfId="26609" xr:uid="{00000000-0005-0000-0000-000032130000}"/>
    <cellStyle name="20% - Accent3 2 4 10 4 3" xfId="35486" xr:uid="{00000000-0005-0000-0000-000033130000}"/>
    <cellStyle name="20% - Accent3 2 4 10 5" xfId="19952" xr:uid="{00000000-0005-0000-0000-000034130000}"/>
    <cellStyle name="20% - Accent3 2 4 10 6" xfId="28829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8" xr:uid="{00000000-0005-0000-0000-000038130000}"/>
    <cellStyle name="20% - Accent3 2 4 11 2 3" xfId="30315" xr:uid="{00000000-0005-0000-0000-000039130000}"/>
    <cellStyle name="20% - Accent3 2 4 11 3" xfId="12383" xr:uid="{00000000-0005-0000-0000-00003A130000}"/>
    <cellStyle name="20% - Accent3 2 4 11 3 2" xfId="23657" xr:uid="{00000000-0005-0000-0000-00003B130000}"/>
    <cellStyle name="20% - Accent3 2 4 11 3 3" xfId="32534" xr:uid="{00000000-0005-0000-0000-00003C130000}"/>
    <cellStyle name="20% - Accent3 2 4 11 4" xfId="14833" xr:uid="{00000000-0005-0000-0000-00003D130000}"/>
    <cellStyle name="20% - Accent3 2 4 11 4 2" xfId="25876" xr:uid="{00000000-0005-0000-0000-00003E130000}"/>
    <cellStyle name="20% - Accent3 2 4 11 4 3" xfId="34753" xr:uid="{00000000-0005-0000-0000-00003F130000}"/>
    <cellStyle name="20% - Accent3 2 4 11 5" xfId="19219" xr:uid="{00000000-0005-0000-0000-000040130000}"/>
    <cellStyle name="20% - Accent3 2 4 11 6" xfId="28096" xr:uid="{00000000-0005-0000-0000-000041130000}"/>
    <cellStyle name="20% - Accent3 2 4 12" xfId="9192" xr:uid="{00000000-0005-0000-0000-000042130000}"/>
    <cellStyle name="20% - Accent3 2 4 12 2" xfId="20695" xr:uid="{00000000-0005-0000-0000-000043130000}"/>
    <cellStyle name="20% - Accent3 2 4 12 3" xfId="29572" xr:uid="{00000000-0005-0000-0000-000044130000}"/>
    <cellStyle name="20% - Accent3 2 4 13" xfId="11640" xr:uid="{00000000-0005-0000-0000-000045130000}"/>
    <cellStyle name="20% - Accent3 2 4 13 2" xfId="22914" xr:uid="{00000000-0005-0000-0000-000046130000}"/>
    <cellStyle name="20% - Accent3 2 4 13 3" xfId="31791" xr:uid="{00000000-0005-0000-0000-000047130000}"/>
    <cellStyle name="20% - Accent3 2 4 14" xfId="13861" xr:uid="{00000000-0005-0000-0000-000048130000}"/>
    <cellStyle name="20% - Accent3 2 4 14 2" xfId="25133" xr:uid="{00000000-0005-0000-0000-000049130000}"/>
    <cellStyle name="20% - Accent3 2 4 14 3" xfId="34010" xr:uid="{00000000-0005-0000-0000-00004A130000}"/>
    <cellStyle name="20% - Accent3 2 4 15" xfId="18470" xr:uid="{00000000-0005-0000-0000-00004B130000}"/>
    <cellStyle name="20% - Accent3 2 4 16" xfId="27351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2" xr:uid="{00000000-0005-0000-0000-000050130000}"/>
    <cellStyle name="20% - Accent3 2 4 2 2 2 3" xfId="31049" xr:uid="{00000000-0005-0000-0000-000051130000}"/>
    <cellStyle name="20% - Accent3 2 4 2 2 3" xfId="13117" xr:uid="{00000000-0005-0000-0000-000052130000}"/>
    <cellStyle name="20% - Accent3 2 4 2 2 3 2" xfId="24391" xr:uid="{00000000-0005-0000-0000-000053130000}"/>
    <cellStyle name="20% - Accent3 2 4 2 2 3 3" xfId="33268" xr:uid="{00000000-0005-0000-0000-000054130000}"/>
    <cellStyle name="20% - Accent3 2 4 2 2 4" xfId="15567" xr:uid="{00000000-0005-0000-0000-000055130000}"/>
    <cellStyle name="20% - Accent3 2 4 2 2 4 2" xfId="26610" xr:uid="{00000000-0005-0000-0000-000056130000}"/>
    <cellStyle name="20% - Accent3 2 4 2 2 4 3" xfId="35487" xr:uid="{00000000-0005-0000-0000-000057130000}"/>
    <cellStyle name="20% - Accent3 2 4 2 2 5" xfId="19953" xr:uid="{00000000-0005-0000-0000-000058130000}"/>
    <cellStyle name="20% - Accent3 2 4 2 2 6" xfId="28830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39" xr:uid="{00000000-0005-0000-0000-00005C130000}"/>
    <cellStyle name="20% - Accent3 2 4 2 3 2 3" xfId="30316" xr:uid="{00000000-0005-0000-0000-00005D130000}"/>
    <cellStyle name="20% - Accent3 2 4 2 3 3" xfId="12384" xr:uid="{00000000-0005-0000-0000-00005E130000}"/>
    <cellStyle name="20% - Accent3 2 4 2 3 3 2" xfId="23658" xr:uid="{00000000-0005-0000-0000-00005F130000}"/>
    <cellStyle name="20% - Accent3 2 4 2 3 3 3" xfId="32535" xr:uid="{00000000-0005-0000-0000-000060130000}"/>
    <cellStyle name="20% - Accent3 2 4 2 3 4" xfId="14834" xr:uid="{00000000-0005-0000-0000-000061130000}"/>
    <cellStyle name="20% - Accent3 2 4 2 3 4 2" xfId="25877" xr:uid="{00000000-0005-0000-0000-000062130000}"/>
    <cellStyle name="20% - Accent3 2 4 2 3 4 3" xfId="34754" xr:uid="{00000000-0005-0000-0000-000063130000}"/>
    <cellStyle name="20% - Accent3 2 4 2 3 5" xfId="19220" xr:uid="{00000000-0005-0000-0000-000064130000}"/>
    <cellStyle name="20% - Accent3 2 4 2 3 6" xfId="28097" xr:uid="{00000000-0005-0000-0000-000065130000}"/>
    <cellStyle name="20% - Accent3 2 4 2 4" xfId="9193" xr:uid="{00000000-0005-0000-0000-000066130000}"/>
    <cellStyle name="20% - Accent3 2 4 2 4 2" xfId="20696" xr:uid="{00000000-0005-0000-0000-000067130000}"/>
    <cellStyle name="20% - Accent3 2 4 2 4 3" xfId="29573" xr:uid="{00000000-0005-0000-0000-000068130000}"/>
    <cellStyle name="20% - Accent3 2 4 2 5" xfId="11641" xr:uid="{00000000-0005-0000-0000-000069130000}"/>
    <cellStyle name="20% - Accent3 2 4 2 5 2" xfId="22915" xr:uid="{00000000-0005-0000-0000-00006A130000}"/>
    <cellStyle name="20% - Accent3 2 4 2 5 3" xfId="31792" xr:uid="{00000000-0005-0000-0000-00006B130000}"/>
    <cellStyle name="20% - Accent3 2 4 2 6" xfId="13862" xr:uid="{00000000-0005-0000-0000-00006C130000}"/>
    <cellStyle name="20% - Accent3 2 4 2 6 2" xfId="25134" xr:uid="{00000000-0005-0000-0000-00006D130000}"/>
    <cellStyle name="20% - Accent3 2 4 2 6 3" xfId="34011" xr:uid="{00000000-0005-0000-0000-00006E130000}"/>
    <cellStyle name="20% - Accent3 2 4 2 7" xfId="18471" xr:uid="{00000000-0005-0000-0000-00006F130000}"/>
    <cellStyle name="20% - Accent3 2 4 2 8" xfId="27352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3" xr:uid="{00000000-0005-0000-0000-000074130000}"/>
    <cellStyle name="20% - Accent3 2 4 3 2 2 3" xfId="31050" xr:uid="{00000000-0005-0000-0000-000075130000}"/>
    <cellStyle name="20% - Accent3 2 4 3 2 3" xfId="13118" xr:uid="{00000000-0005-0000-0000-000076130000}"/>
    <cellStyle name="20% - Accent3 2 4 3 2 3 2" xfId="24392" xr:uid="{00000000-0005-0000-0000-000077130000}"/>
    <cellStyle name="20% - Accent3 2 4 3 2 3 3" xfId="33269" xr:uid="{00000000-0005-0000-0000-000078130000}"/>
    <cellStyle name="20% - Accent3 2 4 3 2 4" xfId="15568" xr:uid="{00000000-0005-0000-0000-000079130000}"/>
    <cellStyle name="20% - Accent3 2 4 3 2 4 2" xfId="26611" xr:uid="{00000000-0005-0000-0000-00007A130000}"/>
    <cellStyle name="20% - Accent3 2 4 3 2 4 3" xfId="35488" xr:uid="{00000000-0005-0000-0000-00007B130000}"/>
    <cellStyle name="20% - Accent3 2 4 3 2 5" xfId="19954" xr:uid="{00000000-0005-0000-0000-00007C130000}"/>
    <cellStyle name="20% - Accent3 2 4 3 2 6" xfId="28831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0" xr:uid="{00000000-0005-0000-0000-000080130000}"/>
    <cellStyle name="20% - Accent3 2 4 3 3 2 3" xfId="30317" xr:uid="{00000000-0005-0000-0000-000081130000}"/>
    <cellStyle name="20% - Accent3 2 4 3 3 3" xfId="12385" xr:uid="{00000000-0005-0000-0000-000082130000}"/>
    <cellStyle name="20% - Accent3 2 4 3 3 3 2" xfId="23659" xr:uid="{00000000-0005-0000-0000-000083130000}"/>
    <cellStyle name="20% - Accent3 2 4 3 3 3 3" xfId="32536" xr:uid="{00000000-0005-0000-0000-000084130000}"/>
    <cellStyle name="20% - Accent3 2 4 3 3 4" xfId="14835" xr:uid="{00000000-0005-0000-0000-000085130000}"/>
    <cellStyle name="20% - Accent3 2 4 3 3 4 2" xfId="25878" xr:uid="{00000000-0005-0000-0000-000086130000}"/>
    <cellStyle name="20% - Accent3 2 4 3 3 4 3" xfId="34755" xr:uid="{00000000-0005-0000-0000-000087130000}"/>
    <cellStyle name="20% - Accent3 2 4 3 3 5" xfId="19221" xr:uid="{00000000-0005-0000-0000-000088130000}"/>
    <cellStyle name="20% - Accent3 2 4 3 3 6" xfId="28098" xr:uid="{00000000-0005-0000-0000-000089130000}"/>
    <cellStyle name="20% - Accent3 2 4 3 4" xfId="9194" xr:uid="{00000000-0005-0000-0000-00008A130000}"/>
    <cellStyle name="20% - Accent3 2 4 3 4 2" xfId="20697" xr:uid="{00000000-0005-0000-0000-00008B130000}"/>
    <cellStyle name="20% - Accent3 2 4 3 4 3" xfId="29574" xr:uid="{00000000-0005-0000-0000-00008C130000}"/>
    <cellStyle name="20% - Accent3 2 4 3 5" xfId="11642" xr:uid="{00000000-0005-0000-0000-00008D130000}"/>
    <cellStyle name="20% - Accent3 2 4 3 5 2" xfId="22916" xr:uid="{00000000-0005-0000-0000-00008E130000}"/>
    <cellStyle name="20% - Accent3 2 4 3 5 3" xfId="31793" xr:uid="{00000000-0005-0000-0000-00008F130000}"/>
    <cellStyle name="20% - Accent3 2 4 3 6" xfId="13863" xr:uid="{00000000-0005-0000-0000-000090130000}"/>
    <cellStyle name="20% - Accent3 2 4 3 6 2" xfId="25135" xr:uid="{00000000-0005-0000-0000-000091130000}"/>
    <cellStyle name="20% - Accent3 2 4 3 6 3" xfId="34012" xr:uid="{00000000-0005-0000-0000-000092130000}"/>
    <cellStyle name="20% - Accent3 2 4 3 7" xfId="18472" xr:uid="{00000000-0005-0000-0000-000093130000}"/>
    <cellStyle name="20% - Accent3 2 4 3 8" xfId="27353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4" xr:uid="{00000000-0005-0000-0000-000098130000}"/>
    <cellStyle name="20% - Accent3 2 4 4 2 2 3" xfId="31051" xr:uid="{00000000-0005-0000-0000-000099130000}"/>
    <cellStyle name="20% - Accent3 2 4 4 2 3" xfId="13119" xr:uid="{00000000-0005-0000-0000-00009A130000}"/>
    <cellStyle name="20% - Accent3 2 4 4 2 3 2" xfId="24393" xr:uid="{00000000-0005-0000-0000-00009B130000}"/>
    <cellStyle name="20% - Accent3 2 4 4 2 3 3" xfId="33270" xr:uid="{00000000-0005-0000-0000-00009C130000}"/>
    <cellStyle name="20% - Accent3 2 4 4 2 4" xfId="15569" xr:uid="{00000000-0005-0000-0000-00009D130000}"/>
    <cellStyle name="20% - Accent3 2 4 4 2 4 2" xfId="26612" xr:uid="{00000000-0005-0000-0000-00009E130000}"/>
    <cellStyle name="20% - Accent3 2 4 4 2 4 3" xfId="35489" xr:uid="{00000000-0005-0000-0000-00009F130000}"/>
    <cellStyle name="20% - Accent3 2 4 4 2 5" xfId="19955" xr:uid="{00000000-0005-0000-0000-0000A0130000}"/>
    <cellStyle name="20% - Accent3 2 4 4 2 6" xfId="28832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1" xr:uid="{00000000-0005-0000-0000-0000A4130000}"/>
    <cellStyle name="20% - Accent3 2 4 4 3 2 3" xfId="30318" xr:uid="{00000000-0005-0000-0000-0000A5130000}"/>
    <cellStyle name="20% - Accent3 2 4 4 3 3" xfId="12386" xr:uid="{00000000-0005-0000-0000-0000A6130000}"/>
    <cellStyle name="20% - Accent3 2 4 4 3 3 2" xfId="23660" xr:uid="{00000000-0005-0000-0000-0000A7130000}"/>
    <cellStyle name="20% - Accent3 2 4 4 3 3 3" xfId="32537" xr:uid="{00000000-0005-0000-0000-0000A8130000}"/>
    <cellStyle name="20% - Accent3 2 4 4 3 4" xfId="14836" xr:uid="{00000000-0005-0000-0000-0000A9130000}"/>
    <cellStyle name="20% - Accent3 2 4 4 3 4 2" xfId="25879" xr:uid="{00000000-0005-0000-0000-0000AA130000}"/>
    <cellStyle name="20% - Accent3 2 4 4 3 4 3" xfId="34756" xr:uid="{00000000-0005-0000-0000-0000AB130000}"/>
    <cellStyle name="20% - Accent3 2 4 4 3 5" xfId="19222" xr:uid="{00000000-0005-0000-0000-0000AC130000}"/>
    <cellStyle name="20% - Accent3 2 4 4 3 6" xfId="28099" xr:uid="{00000000-0005-0000-0000-0000AD130000}"/>
    <cellStyle name="20% - Accent3 2 4 4 4" xfId="9195" xr:uid="{00000000-0005-0000-0000-0000AE130000}"/>
    <cellStyle name="20% - Accent3 2 4 4 4 2" xfId="20698" xr:uid="{00000000-0005-0000-0000-0000AF130000}"/>
    <cellStyle name="20% - Accent3 2 4 4 4 3" xfId="29575" xr:uid="{00000000-0005-0000-0000-0000B0130000}"/>
    <cellStyle name="20% - Accent3 2 4 4 5" xfId="11643" xr:uid="{00000000-0005-0000-0000-0000B1130000}"/>
    <cellStyle name="20% - Accent3 2 4 4 5 2" xfId="22917" xr:uid="{00000000-0005-0000-0000-0000B2130000}"/>
    <cellStyle name="20% - Accent3 2 4 4 5 3" xfId="31794" xr:uid="{00000000-0005-0000-0000-0000B3130000}"/>
    <cellStyle name="20% - Accent3 2 4 4 6" xfId="13864" xr:uid="{00000000-0005-0000-0000-0000B4130000}"/>
    <cellStyle name="20% - Accent3 2 4 4 6 2" xfId="25136" xr:uid="{00000000-0005-0000-0000-0000B5130000}"/>
    <cellStyle name="20% - Accent3 2 4 4 6 3" xfId="34013" xr:uid="{00000000-0005-0000-0000-0000B6130000}"/>
    <cellStyle name="20% - Accent3 2 4 4 7" xfId="18473" xr:uid="{00000000-0005-0000-0000-0000B7130000}"/>
    <cellStyle name="20% - Accent3 2 4 4 8" xfId="27354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5" xr:uid="{00000000-0005-0000-0000-0000BC130000}"/>
    <cellStyle name="20% - Accent3 2 4 5 2 2 3" xfId="31052" xr:uid="{00000000-0005-0000-0000-0000BD130000}"/>
    <cellStyle name="20% - Accent3 2 4 5 2 3" xfId="13120" xr:uid="{00000000-0005-0000-0000-0000BE130000}"/>
    <cellStyle name="20% - Accent3 2 4 5 2 3 2" xfId="24394" xr:uid="{00000000-0005-0000-0000-0000BF130000}"/>
    <cellStyle name="20% - Accent3 2 4 5 2 3 3" xfId="33271" xr:uid="{00000000-0005-0000-0000-0000C0130000}"/>
    <cellStyle name="20% - Accent3 2 4 5 2 4" xfId="15570" xr:uid="{00000000-0005-0000-0000-0000C1130000}"/>
    <cellStyle name="20% - Accent3 2 4 5 2 4 2" xfId="26613" xr:uid="{00000000-0005-0000-0000-0000C2130000}"/>
    <cellStyle name="20% - Accent3 2 4 5 2 4 3" xfId="35490" xr:uid="{00000000-0005-0000-0000-0000C3130000}"/>
    <cellStyle name="20% - Accent3 2 4 5 2 5" xfId="19956" xr:uid="{00000000-0005-0000-0000-0000C4130000}"/>
    <cellStyle name="20% - Accent3 2 4 5 2 6" xfId="28833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2" xr:uid="{00000000-0005-0000-0000-0000C8130000}"/>
    <cellStyle name="20% - Accent3 2 4 5 3 2 3" xfId="30319" xr:uid="{00000000-0005-0000-0000-0000C9130000}"/>
    <cellStyle name="20% - Accent3 2 4 5 3 3" xfId="12387" xr:uid="{00000000-0005-0000-0000-0000CA130000}"/>
    <cellStyle name="20% - Accent3 2 4 5 3 3 2" xfId="23661" xr:uid="{00000000-0005-0000-0000-0000CB130000}"/>
    <cellStyle name="20% - Accent3 2 4 5 3 3 3" xfId="32538" xr:uid="{00000000-0005-0000-0000-0000CC130000}"/>
    <cellStyle name="20% - Accent3 2 4 5 3 4" xfId="14837" xr:uid="{00000000-0005-0000-0000-0000CD130000}"/>
    <cellStyle name="20% - Accent3 2 4 5 3 4 2" xfId="25880" xr:uid="{00000000-0005-0000-0000-0000CE130000}"/>
    <cellStyle name="20% - Accent3 2 4 5 3 4 3" xfId="34757" xr:uid="{00000000-0005-0000-0000-0000CF130000}"/>
    <cellStyle name="20% - Accent3 2 4 5 3 5" xfId="19223" xr:uid="{00000000-0005-0000-0000-0000D0130000}"/>
    <cellStyle name="20% - Accent3 2 4 5 3 6" xfId="28100" xr:uid="{00000000-0005-0000-0000-0000D1130000}"/>
    <cellStyle name="20% - Accent3 2 4 5 4" xfId="9196" xr:uid="{00000000-0005-0000-0000-0000D2130000}"/>
    <cellStyle name="20% - Accent3 2 4 5 4 2" xfId="20699" xr:uid="{00000000-0005-0000-0000-0000D3130000}"/>
    <cellStyle name="20% - Accent3 2 4 5 4 3" xfId="29576" xr:uid="{00000000-0005-0000-0000-0000D4130000}"/>
    <cellStyle name="20% - Accent3 2 4 5 5" xfId="11644" xr:uid="{00000000-0005-0000-0000-0000D5130000}"/>
    <cellStyle name="20% - Accent3 2 4 5 5 2" xfId="22918" xr:uid="{00000000-0005-0000-0000-0000D6130000}"/>
    <cellStyle name="20% - Accent3 2 4 5 5 3" xfId="31795" xr:uid="{00000000-0005-0000-0000-0000D7130000}"/>
    <cellStyle name="20% - Accent3 2 4 5 6" xfId="13865" xr:uid="{00000000-0005-0000-0000-0000D8130000}"/>
    <cellStyle name="20% - Accent3 2 4 5 6 2" xfId="25137" xr:uid="{00000000-0005-0000-0000-0000D9130000}"/>
    <cellStyle name="20% - Accent3 2 4 5 6 3" xfId="34014" xr:uid="{00000000-0005-0000-0000-0000DA130000}"/>
    <cellStyle name="20% - Accent3 2 4 5 7" xfId="18474" xr:uid="{00000000-0005-0000-0000-0000DB130000}"/>
    <cellStyle name="20% - Accent3 2 4 5 8" xfId="27355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6" xr:uid="{00000000-0005-0000-0000-0000E0130000}"/>
    <cellStyle name="20% - Accent3 2 4 6 2 2 3" xfId="31053" xr:uid="{00000000-0005-0000-0000-0000E1130000}"/>
    <cellStyle name="20% - Accent3 2 4 6 2 3" xfId="13121" xr:uid="{00000000-0005-0000-0000-0000E2130000}"/>
    <cellStyle name="20% - Accent3 2 4 6 2 3 2" xfId="24395" xr:uid="{00000000-0005-0000-0000-0000E3130000}"/>
    <cellStyle name="20% - Accent3 2 4 6 2 3 3" xfId="33272" xr:uid="{00000000-0005-0000-0000-0000E4130000}"/>
    <cellStyle name="20% - Accent3 2 4 6 2 4" xfId="15571" xr:uid="{00000000-0005-0000-0000-0000E5130000}"/>
    <cellStyle name="20% - Accent3 2 4 6 2 4 2" xfId="26614" xr:uid="{00000000-0005-0000-0000-0000E6130000}"/>
    <cellStyle name="20% - Accent3 2 4 6 2 4 3" xfId="35491" xr:uid="{00000000-0005-0000-0000-0000E7130000}"/>
    <cellStyle name="20% - Accent3 2 4 6 2 5" xfId="19957" xr:uid="{00000000-0005-0000-0000-0000E8130000}"/>
    <cellStyle name="20% - Accent3 2 4 6 2 6" xfId="28834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3" xr:uid="{00000000-0005-0000-0000-0000EC130000}"/>
    <cellStyle name="20% - Accent3 2 4 6 3 2 3" xfId="30320" xr:uid="{00000000-0005-0000-0000-0000ED130000}"/>
    <cellStyle name="20% - Accent3 2 4 6 3 3" xfId="12388" xr:uid="{00000000-0005-0000-0000-0000EE130000}"/>
    <cellStyle name="20% - Accent3 2 4 6 3 3 2" xfId="23662" xr:uid="{00000000-0005-0000-0000-0000EF130000}"/>
    <cellStyle name="20% - Accent3 2 4 6 3 3 3" xfId="32539" xr:uid="{00000000-0005-0000-0000-0000F0130000}"/>
    <cellStyle name="20% - Accent3 2 4 6 3 4" xfId="14838" xr:uid="{00000000-0005-0000-0000-0000F1130000}"/>
    <cellStyle name="20% - Accent3 2 4 6 3 4 2" xfId="25881" xr:uid="{00000000-0005-0000-0000-0000F2130000}"/>
    <cellStyle name="20% - Accent3 2 4 6 3 4 3" xfId="34758" xr:uid="{00000000-0005-0000-0000-0000F3130000}"/>
    <cellStyle name="20% - Accent3 2 4 6 3 5" xfId="19224" xr:uid="{00000000-0005-0000-0000-0000F4130000}"/>
    <cellStyle name="20% - Accent3 2 4 6 3 6" xfId="28101" xr:uid="{00000000-0005-0000-0000-0000F5130000}"/>
    <cellStyle name="20% - Accent3 2 4 6 4" xfId="9197" xr:uid="{00000000-0005-0000-0000-0000F6130000}"/>
    <cellStyle name="20% - Accent3 2 4 6 4 2" xfId="20700" xr:uid="{00000000-0005-0000-0000-0000F7130000}"/>
    <cellStyle name="20% - Accent3 2 4 6 4 3" xfId="29577" xr:uid="{00000000-0005-0000-0000-0000F8130000}"/>
    <cellStyle name="20% - Accent3 2 4 6 5" xfId="11645" xr:uid="{00000000-0005-0000-0000-0000F9130000}"/>
    <cellStyle name="20% - Accent3 2 4 6 5 2" xfId="22919" xr:uid="{00000000-0005-0000-0000-0000FA130000}"/>
    <cellStyle name="20% - Accent3 2 4 6 5 3" xfId="31796" xr:uid="{00000000-0005-0000-0000-0000FB130000}"/>
    <cellStyle name="20% - Accent3 2 4 6 6" xfId="13866" xr:uid="{00000000-0005-0000-0000-0000FC130000}"/>
    <cellStyle name="20% - Accent3 2 4 6 6 2" xfId="25138" xr:uid="{00000000-0005-0000-0000-0000FD130000}"/>
    <cellStyle name="20% - Accent3 2 4 6 6 3" xfId="34015" xr:uid="{00000000-0005-0000-0000-0000FE130000}"/>
    <cellStyle name="20% - Accent3 2 4 6 7" xfId="18475" xr:uid="{00000000-0005-0000-0000-0000FF130000}"/>
    <cellStyle name="20% - Accent3 2 4 6 8" xfId="27356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7" xr:uid="{00000000-0005-0000-0000-000004140000}"/>
    <cellStyle name="20% - Accent3 2 4 7 2 2 3" xfId="31054" xr:uid="{00000000-0005-0000-0000-000005140000}"/>
    <cellStyle name="20% - Accent3 2 4 7 2 3" xfId="13122" xr:uid="{00000000-0005-0000-0000-000006140000}"/>
    <cellStyle name="20% - Accent3 2 4 7 2 3 2" xfId="24396" xr:uid="{00000000-0005-0000-0000-000007140000}"/>
    <cellStyle name="20% - Accent3 2 4 7 2 3 3" xfId="33273" xr:uid="{00000000-0005-0000-0000-000008140000}"/>
    <cellStyle name="20% - Accent3 2 4 7 2 4" xfId="15572" xr:uid="{00000000-0005-0000-0000-000009140000}"/>
    <cellStyle name="20% - Accent3 2 4 7 2 4 2" xfId="26615" xr:uid="{00000000-0005-0000-0000-00000A140000}"/>
    <cellStyle name="20% - Accent3 2 4 7 2 4 3" xfId="35492" xr:uid="{00000000-0005-0000-0000-00000B140000}"/>
    <cellStyle name="20% - Accent3 2 4 7 2 5" xfId="19958" xr:uid="{00000000-0005-0000-0000-00000C140000}"/>
    <cellStyle name="20% - Accent3 2 4 7 2 6" xfId="28835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4" xr:uid="{00000000-0005-0000-0000-000010140000}"/>
    <cellStyle name="20% - Accent3 2 4 7 3 2 3" xfId="30321" xr:uid="{00000000-0005-0000-0000-000011140000}"/>
    <cellStyle name="20% - Accent3 2 4 7 3 3" xfId="12389" xr:uid="{00000000-0005-0000-0000-000012140000}"/>
    <cellStyle name="20% - Accent3 2 4 7 3 3 2" xfId="23663" xr:uid="{00000000-0005-0000-0000-000013140000}"/>
    <cellStyle name="20% - Accent3 2 4 7 3 3 3" xfId="32540" xr:uid="{00000000-0005-0000-0000-000014140000}"/>
    <cellStyle name="20% - Accent3 2 4 7 3 4" xfId="14839" xr:uid="{00000000-0005-0000-0000-000015140000}"/>
    <cellStyle name="20% - Accent3 2 4 7 3 4 2" xfId="25882" xr:uid="{00000000-0005-0000-0000-000016140000}"/>
    <cellStyle name="20% - Accent3 2 4 7 3 4 3" xfId="34759" xr:uid="{00000000-0005-0000-0000-000017140000}"/>
    <cellStyle name="20% - Accent3 2 4 7 3 5" xfId="19225" xr:uid="{00000000-0005-0000-0000-000018140000}"/>
    <cellStyle name="20% - Accent3 2 4 7 3 6" xfId="28102" xr:uid="{00000000-0005-0000-0000-000019140000}"/>
    <cellStyle name="20% - Accent3 2 4 7 4" xfId="9198" xr:uid="{00000000-0005-0000-0000-00001A140000}"/>
    <cellStyle name="20% - Accent3 2 4 7 4 2" xfId="20701" xr:uid="{00000000-0005-0000-0000-00001B140000}"/>
    <cellStyle name="20% - Accent3 2 4 7 4 3" xfId="29578" xr:uid="{00000000-0005-0000-0000-00001C140000}"/>
    <cellStyle name="20% - Accent3 2 4 7 5" xfId="11646" xr:uid="{00000000-0005-0000-0000-00001D140000}"/>
    <cellStyle name="20% - Accent3 2 4 7 5 2" xfId="22920" xr:uid="{00000000-0005-0000-0000-00001E140000}"/>
    <cellStyle name="20% - Accent3 2 4 7 5 3" xfId="31797" xr:uid="{00000000-0005-0000-0000-00001F140000}"/>
    <cellStyle name="20% - Accent3 2 4 7 6" xfId="13867" xr:uid="{00000000-0005-0000-0000-000020140000}"/>
    <cellStyle name="20% - Accent3 2 4 7 6 2" xfId="25139" xr:uid="{00000000-0005-0000-0000-000021140000}"/>
    <cellStyle name="20% - Accent3 2 4 7 6 3" xfId="34016" xr:uid="{00000000-0005-0000-0000-000022140000}"/>
    <cellStyle name="20% - Accent3 2 4 7 7" xfId="18476" xr:uid="{00000000-0005-0000-0000-000023140000}"/>
    <cellStyle name="20% - Accent3 2 4 7 8" xfId="27357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8" xr:uid="{00000000-0005-0000-0000-000028140000}"/>
    <cellStyle name="20% - Accent3 2 4 8 2 2 3" xfId="31055" xr:uid="{00000000-0005-0000-0000-000029140000}"/>
    <cellStyle name="20% - Accent3 2 4 8 2 3" xfId="13123" xr:uid="{00000000-0005-0000-0000-00002A140000}"/>
    <cellStyle name="20% - Accent3 2 4 8 2 3 2" xfId="24397" xr:uid="{00000000-0005-0000-0000-00002B140000}"/>
    <cellStyle name="20% - Accent3 2 4 8 2 3 3" xfId="33274" xr:uid="{00000000-0005-0000-0000-00002C140000}"/>
    <cellStyle name="20% - Accent3 2 4 8 2 4" xfId="15573" xr:uid="{00000000-0005-0000-0000-00002D140000}"/>
    <cellStyle name="20% - Accent3 2 4 8 2 4 2" xfId="26616" xr:uid="{00000000-0005-0000-0000-00002E140000}"/>
    <cellStyle name="20% - Accent3 2 4 8 2 4 3" xfId="35493" xr:uid="{00000000-0005-0000-0000-00002F140000}"/>
    <cellStyle name="20% - Accent3 2 4 8 2 5" xfId="19959" xr:uid="{00000000-0005-0000-0000-000030140000}"/>
    <cellStyle name="20% - Accent3 2 4 8 2 6" xfId="28836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5" xr:uid="{00000000-0005-0000-0000-000034140000}"/>
    <cellStyle name="20% - Accent3 2 4 8 3 2 3" xfId="30322" xr:uid="{00000000-0005-0000-0000-000035140000}"/>
    <cellStyle name="20% - Accent3 2 4 8 3 3" xfId="12390" xr:uid="{00000000-0005-0000-0000-000036140000}"/>
    <cellStyle name="20% - Accent3 2 4 8 3 3 2" xfId="23664" xr:uid="{00000000-0005-0000-0000-000037140000}"/>
    <cellStyle name="20% - Accent3 2 4 8 3 3 3" xfId="32541" xr:uid="{00000000-0005-0000-0000-000038140000}"/>
    <cellStyle name="20% - Accent3 2 4 8 3 4" xfId="14840" xr:uid="{00000000-0005-0000-0000-000039140000}"/>
    <cellStyle name="20% - Accent3 2 4 8 3 4 2" xfId="25883" xr:uid="{00000000-0005-0000-0000-00003A140000}"/>
    <cellStyle name="20% - Accent3 2 4 8 3 4 3" xfId="34760" xr:uid="{00000000-0005-0000-0000-00003B140000}"/>
    <cellStyle name="20% - Accent3 2 4 8 3 5" xfId="19226" xr:uid="{00000000-0005-0000-0000-00003C140000}"/>
    <cellStyle name="20% - Accent3 2 4 8 3 6" xfId="28103" xr:uid="{00000000-0005-0000-0000-00003D140000}"/>
    <cellStyle name="20% - Accent3 2 4 8 4" xfId="9199" xr:uid="{00000000-0005-0000-0000-00003E140000}"/>
    <cellStyle name="20% - Accent3 2 4 8 4 2" xfId="20702" xr:uid="{00000000-0005-0000-0000-00003F140000}"/>
    <cellStyle name="20% - Accent3 2 4 8 4 3" xfId="29579" xr:uid="{00000000-0005-0000-0000-000040140000}"/>
    <cellStyle name="20% - Accent3 2 4 8 5" xfId="11647" xr:uid="{00000000-0005-0000-0000-000041140000}"/>
    <cellStyle name="20% - Accent3 2 4 8 5 2" xfId="22921" xr:uid="{00000000-0005-0000-0000-000042140000}"/>
    <cellStyle name="20% - Accent3 2 4 8 5 3" xfId="31798" xr:uid="{00000000-0005-0000-0000-000043140000}"/>
    <cellStyle name="20% - Accent3 2 4 8 6" xfId="13868" xr:uid="{00000000-0005-0000-0000-000044140000}"/>
    <cellStyle name="20% - Accent3 2 4 8 6 2" xfId="25140" xr:uid="{00000000-0005-0000-0000-000045140000}"/>
    <cellStyle name="20% - Accent3 2 4 8 6 3" xfId="34017" xr:uid="{00000000-0005-0000-0000-000046140000}"/>
    <cellStyle name="20% - Accent3 2 4 8 7" xfId="18477" xr:uid="{00000000-0005-0000-0000-000047140000}"/>
    <cellStyle name="20% - Accent3 2 4 8 8" xfId="27358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79" xr:uid="{00000000-0005-0000-0000-00004C140000}"/>
    <cellStyle name="20% - Accent3 2 4 9 2 2 3" xfId="31056" xr:uid="{00000000-0005-0000-0000-00004D140000}"/>
    <cellStyle name="20% - Accent3 2 4 9 2 3" xfId="13124" xr:uid="{00000000-0005-0000-0000-00004E140000}"/>
    <cellStyle name="20% - Accent3 2 4 9 2 3 2" xfId="24398" xr:uid="{00000000-0005-0000-0000-00004F140000}"/>
    <cellStyle name="20% - Accent3 2 4 9 2 3 3" xfId="33275" xr:uid="{00000000-0005-0000-0000-000050140000}"/>
    <cellStyle name="20% - Accent3 2 4 9 2 4" xfId="15574" xr:uid="{00000000-0005-0000-0000-000051140000}"/>
    <cellStyle name="20% - Accent3 2 4 9 2 4 2" xfId="26617" xr:uid="{00000000-0005-0000-0000-000052140000}"/>
    <cellStyle name="20% - Accent3 2 4 9 2 4 3" xfId="35494" xr:uid="{00000000-0005-0000-0000-000053140000}"/>
    <cellStyle name="20% - Accent3 2 4 9 2 5" xfId="19960" xr:uid="{00000000-0005-0000-0000-000054140000}"/>
    <cellStyle name="20% - Accent3 2 4 9 2 6" xfId="28837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6" xr:uid="{00000000-0005-0000-0000-000058140000}"/>
    <cellStyle name="20% - Accent3 2 4 9 3 2 3" xfId="30323" xr:uid="{00000000-0005-0000-0000-000059140000}"/>
    <cellStyle name="20% - Accent3 2 4 9 3 3" xfId="12391" xr:uid="{00000000-0005-0000-0000-00005A140000}"/>
    <cellStyle name="20% - Accent3 2 4 9 3 3 2" xfId="23665" xr:uid="{00000000-0005-0000-0000-00005B140000}"/>
    <cellStyle name="20% - Accent3 2 4 9 3 3 3" xfId="32542" xr:uid="{00000000-0005-0000-0000-00005C140000}"/>
    <cellStyle name="20% - Accent3 2 4 9 3 4" xfId="14841" xr:uid="{00000000-0005-0000-0000-00005D140000}"/>
    <cellStyle name="20% - Accent3 2 4 9 3 4 2" xfId="25884" xr:uid="{00000000-0005-0000-0000-00005E140000}"/>
    <cellStyle name="20% - Accent3 2 4 9 3 4 3" xfId="34761" xr:uid="{00000000-0005-0000-0000-00005F140000}"/>
    <cellStyle name="20% - Accent3 2 4 9 3 5" xfId="19227" xr:uid="{00000000-0005-0000-0000-000060140000}"/>
    <cellStyle name="20% - Accent3 2 4 9 3 6" xfId="28104" xr:uid="{00000000-0005-0000-0000-000061140000}"/>
    <cellStyle name="20% - Accent3 2 4 9 4" xfId="9200" xr:uid="{00000000-0005-0000-0000-000062140000}"/>
    <cellStyle name="20% - Accent3 2 4 9 4 2" xfId="20703" xr:uid="{00000000-0005-0000-0000-000063140000}"/>
    <cellStyle name="20% - Accent3 2 4 9 4 3" xfId="29580" xr:uid="{00000000-0005-0000-0000-000064140000}"/>
    <cellStyle name="20% - Accent3 2 4 9 5" xfId="11648" xr:uid="{00000000-0005-0000-0000-000065140000}"/>
    <cellStyle name="20% - Accent3 2 4 9 5 2" xfId="22922" xr:uid="{00000000-0005-0000-0000-000066140000}"/>
    <cellStyle name="20% - Accent3 2 4 9 5 3" xfId="31799" xr:uid="{00000000-0005-0000-0000-000067140000}"/>
    <cellStyle name="20% - Accent3 2 4 9 6" xfId="13869" xr:uid="{00000000-0005-0000-0000-000068140000}"/>
    <cellStyle name="20% - Accent3 2 4 9 6 2" xfId="25141" xr:uid="{00000000-0005-0000-0000-000069140000}"/>
    <cellStyle name="20% - Accent3 2 4 9 6 3" xfId="34018" xr:uid="{00000000-0005-0000-0000-00006A140000}"/>
    <cellStyle name="20% - Accent3 2 4 9 7" xfId="18478" xr:uid="{00000000-0005-0000-0000-00006B140000}"/>
    <cellStyle name="20% - Accent3 2 4 9 8" xfId="27359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0" xr:uid="{00000000-0005-0000-0000-000070140000}"/>
    <cellStyle name="20% - Accent3 2 5 10 2 3" xfId="31057" xr:uid="{00000000-0005-0000-0000-000071140000}"/>
    <cellStyle name="20% - Accent3 2 5 10 3" xfId="13125" xr:uid="{00000000-0005-0000-0000-000072140000}"/>
    <cellStyle name="20% - Accent3 2 5 10 3 2" xfId="24399" xr:uid="{00000000-0005-0000-0000-000073140000}"/>
    <cellStyle name="20% - Accent3 2 5 10 3 3" xfId="33276" xr:uid="{00000000-0005-0000-0000-000074140000}"/>
    <cellStyle name="20% - Accent3 2 5 10 4" xfId="15575" xr:uid="{00000000-0005-0000-0000-000075140000}"/>
    <cellStyle name="20% - Accent3 2 5 10 4 2" xfId="26618" xr:uid="{00000000-0005-0000-0000-000076140000}"/>
    <cellStyle name="20% - Accent3 2 5 10 4 3" xfId="35495" xr:uid="{00000000-0005-0000-0000-000077140000}"/>
    <cellStyle name="20% - Accent3 2 5 10 5" xfId="19961" xr:uid="{00000000-0005-0000-0000-000078140000}"/>
    <cellStyle name="20% - Accent3 2 5 10 6" xfId="28838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7" xr:uid="{00000000-0005-0000-0000-00007C140000}"/>
    <cellStyle name="20% - Accent3 2 5 11 2 3" xfId="30324" xr:uid="{00000000-0005-0000-0000-00007D140000}"/>
    <cellStyle name="20% - Accent3 2 5 11 3" xfId="12392" xr:uid="{00000000-0005-0000-0000-00007E140000}"/>
    <cellStyle name="20% - Accent3 2 5 11 3 2" xfId="23666" xr:uid="{00000000-0005-0000-0000-00007F140000}"/>
    <cellStyle name="20% - Accent3 2 5 11 3 3" xfId="32543" xr:uid="{00000000-0005-0000-0000-000080140000}"/>
    <cellStyle name="20% - Accent3 2 5 11 4" xfId="14842" xr:uid="{00000000-0005-0000-0000-000081140000}"/>
    <cellStyle name="20% - Accent3 2 5 11 4 2" xfId="25885" xr:uid="{00000000-0005-0000-0000-000082140000}"/>
    <cellStyle name="20% - Accent3 2 5 11 4 3" xfId="34762" xr:uid="{00000000-0005-0000-0000-000083140000}"/>
    <cellStyle name="20% - Accent3 2 5 11 5" xfId="19228" xr:uid="{00000000-0005-0000-0000-000084140000}"/>
    <cellStyle name="20% - Accent3 2 5 11 6" xfId="28105" xr:uid="{00000000-0005-0000-0000-000085140000}"/>
    <cellStyle name="20% - Accent3 2 5 12" xfId="9201" xr:uid="{00000000-0005-0000-0000-000086140000}"/>
    <cellStyle name="20% - Accent3 2 5 12 2" xfId="20704" xr:uid="{00000000-0005-0000-0000-000087140000}"/>
    <cellStyle name="20% - Accent3 2 5 12 3" xfId="29581" xr:uid="{00000000-0005-0000-0000-000088140000}"/>
    <cellStyle name="20% - Accent3 2 5 13" xfId="11649" xr:uid="{00000000-0005-0000-0000-000089140000}"/>
    <cellStyle name="20% - Accent3 2 5 13 2" xfId="22923" xr:uid="{00000000-0005-0000-0000-00008A140000}"/>
    <cellStyle name="20% - Accent3 2 5 13 3" xfId="31800" xr:uid="{00000000-0005-0000-0000-00008B140000}"/>
    <cellStyle name="20% - Accent3 2 5 14" xfId="13870" xr:uid="{00000000-0005-0000-0000-00008C140000}"/>
    <cellStyle name="20% - Accent3 2 5 14 2" xfId="25142" xr:uid="{00000000-0005-0000-0000-00008D140000}"/>
    <cellStyle name="20% - Accent3 2 5 14 3" xfId="34019" xr:uid="{00000000-0005-0000-0000-00008E140000}"/>
    <cellStyle name="20% - Accent3 2 5 15" xfId="18479" xr:uid="{00000000-0005-0000-0000-00008F140000}"/>
    <cellStyle name="20% - Accent3 2 5 16" xfId="27360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1" xr:uid="{00000000-0005-0000-0000-000094140000}"/>
    <cellStyle name="20% - Accent3 2 5 2 2 2 3" xfId="31058" xr:uid="{00000000-0005-0000-0000-000095140000}"/>
    <cellStyle name="20% - Accent3 2 5 2 2 3" xfId="13126" xr:uid="{00000000-0005-0000-0000-000096140000}"/>
    <cellStyle name="20% - Accent3 2 5 2 2 3 2" xfId="24400" xr:uid="{00000000-0005-0000-0000-000097140000}"/>
    <cellStyle name="20% - Accent3 2 5 2 2 3 3" xfId="33277" xr:uid="{00000000-0005-0000-0000-000098140000}"/>
    <cellStyle name="20% - Accent3 2 5 2 2 4" xfId="15576" xr:uid="{00000000-0005-0000-0000-000099140000}"/>
    <cellStyle name="20% - Accent3 2 5 2 2 4 2" xfId="26619" xr:uid="{00000000-0005-0000-0000-00009A140000}"/>
    <cellStyle name="20% - Accent3 2 5 2 2 4 3" xfId="35496" xr:uid="{00000000-0005-0000-0000-00009B140000}"/>
    <cellStyle name="20% - Accent3 2 5 2 2 5" xfId="19962" xr:uid="{00000000-0005-0000-0000-00009C140000}"/>
    <cellStyle name="20% - Accent3 2 5 2 2 6" xfId="28839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8" xr:uid="{00000000-0005-0000-0000-0000A0140000}"/>
    <cellStyle name="20% - Accent3 2 5 2 3 2 3" xfId="30325" xr:uid="{00000000-0005-0000-0000-0000A1140000}"/>
    <cellStyle name="20% - Accent3 2 5 2 3 3" xfId="12393" xr:uid="{00000000-0005-0000-0000-0000A2140000}"/>
    <cellStyle name="20% - Accent3 2 5 2 3 3 2" xfId="23667" xr:uid="{00000000-0005-0000-0000-0000A3140000}"/>
    <cellStyle name="20% - Accent3 2 5 2 3 3 3" xfId="32544" xr:uid="{00000000-0005-0000-0000-0000A4140000}"/>
    <cellStyle name="20% - Accent3 2 5 2 3 4" xfId="14843" xr:uid="{00000000-0005-0000-0000-0000A5140000}"/>
    <cellStyle name="20% - Accent3 2 5 2 3 4 2" xfId="25886" xr:uid="{00000000-0005-0000-0000-0000A6140000}"/>
    <cellStyle name="20% - Accent3 2 5 2 3 4 3" xfId="34763" xr:uid="{00000000-0005-0000-0000-0000A7140000}"/>
    <cellStyle name="20% - Accent3 2 5 2 3 5" xfId="19229" xr:uid="{00000000-0005-0000-0000-0000A8140000}"/>
    <cellStyle name="20% - Accent3 2 5 2 3 6" xfId="28106" xr:uid="{00000000-0005-0000-0000-0000A9140000}"/>
    <cellStyle name="20% - Accent3 2 5 2 4" xfId="9202" xr:uid="{00000000-0005-0000-0000-0000AA140000}"/>
    <cellStyle name="20% - Accent3 2 5 2 4 2" xfId="20705" xr:uid="{00000000-0005-0000-0000-0000AB140000}"/>
    <cellStyle name="20% - Accent3 2 5 2 4 3" xfId="29582" xr:uid="{00000000-0005-0000-0000-0000AC140000}"/>
    <cellStyle name="20% - Accent3 2 5 2 5" xfId="11650" xr:uid="{00000000-0005-0000-0000-0000AD140000}"/>
    <cellStyle name="20% - Accent3 2 5 2 5 2" xfId="22924" xr:uid="{00000000-0005-0000-0000-0000AE140000}"/>
    <cellStyle name="20% - Accent3 2 5 2 5 3" xfId="31801" xr:uid="{00000000-0005-0000-0000-0000AF140000}"/>
    <cellStyle name="20% - Accent3 2 5 2 6" xfId="13871" xr:uid="{00000000-0005-0000-0000-0000B0140000}"/>
    <cellStyle name="20% - Accent3 2 5 2 6 2" xfId="25143" xr:uid="{00000000-0005-0000-0000-0000B1140000}"/>
    <cellStyle name="20% - Accent3 2 5 2 6 3" xfId="34020" xr:uid="{00000000-0005-0000-0000-0000B2140000}"/>
    <cellStyle name="20% - Accent3 2 5 2 7" xfId="18480" xr:uid="{00000000-0005-0000-0000-0000B3140000}"/>
    <cellStyle name="20% - Accent3 2 5 2 8" xfId="27361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2" xr:uid="{00000000-0005-0000-0000-0000B8140000}"/>
    <cellStyle name="20% - Accent3 2 5 3 2 2 3" xfId="31059" xr:uid="{00000000-0005-0000-0000-0000B9140000}"/>
    <cellStyle name="20% - Accent3 2 5 3 2 3" xfId="13127" xr:uid="{00000000-0005-0000-0000-0000BA140000}"/>
    <cellStyle name="20% - Accent3 2 5 3 2 3 2" xfId="24401" xr:uid="{00000000-0005-0000-0000-0000BB140000}"/>
    <cellStyle name="20% - Accent3 2 5 3 2 3 3" xfId="33278" xr:uid="{00000000-0005-0000-0000-0000BC140000}"/>
    <cellStyle name="20% - Accent3 2 5 3 2 4" xfId="15577" xr:uid="{00000000-0005-0000-0000-0000BD140000}"/>
    <cellStyle name="20% - Accent3 2 5 3 2 4 2" xfId="26620" xr:uid="{00000000-0005-0000-0000-0000BE140000}"/>
    <cellStyle name="20% - Accent3 2 5 3 2 4 3" xfId="35497" xr:uid="{00000000-0005-0000-0000-0000BF140000}"/>
    <cellStyle name="20% - Accent3 2 5 3 2 5" xfId="19963" xr:uid="{00000000-0005-0000-0000-0000C0140000}"/>
    <cellStyle name="20% - Accent3 2 5 3 2 6" xfId="28840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49" xr:uid="{00000000-0005-0000-0000-0000C4140000}"/>
    <cellStyle name="20% - Accent3 2 5 3 3 2 3" xfId="30326" xr:uid="{00000000-0005-0000-0000-0000C5140000}"/>
    <cellStyle name="20% - Accent3 2 5 3 3 3" xfId="12394" xr:uid="{00000000-0005-0000-0000-0000C6140000}"/>
    <cellStyle name="20% - Accent3 2 5 3 3 3 2" xfId="23668" xr:uid="{00000000-0005-0000-0000-0000C7140000}"/>
    <cellStyle name="20% - Accent3 2 5 3 3 3 3" xfId="32545" xr:uid="{00000000-0005-0000-0000-0000C8140000}"/>
    <cellStyle name="20% - Accent3 2 5 3 3 4" xfId="14844" xr:uid="{00000000-0005-0000-0000-0000C9140000}"/>
    <cellStyle name="20% - Accent3 2 5 3 3 4 2" xfId="25887" xr:uid="{00000000-0005-0000-0000-0000CA140000}"/>
    <cellStyle name="20% - Accent3 2 5 3 3 4 3" xfId="34764" xr:uid="{00000000-0005-0000-0000-0000CB140000}"/>
    <cellStyle name="20% - Accent3 2 5 3 3 5" xfId="19230" xr:uid="{00000000-0005-0000-0000-0000CC140000}"/>
    <cellStyle name="20% - Accent3 2 5 3 3 6" xfId="28107" xr:uid="{00000000-0005-0000-0000-0000CD140000}"/>
    <cellStyle name="20% - Accent3 2 5 3 4" xfId="9203" xr:uid="{00000000-0005-0000-0000-0000CE140000}"/>
    <cellStyle name="20% - Accent3 2 5 3 4 2" xfId="20706" xr:uid="{00000000-0005-0000-0000-0000CF140000}"/>
    <cellStyle name="20% - Accent3 2 5 3 4 3" xfId="29583" xr:uid="{00000000-0005-0000-0000-0000D0140000}"/>
    <cellStyle name="20% - Accent3 2 5 3 5" xfId="11651" xr:uid="{00000000-0005-0000-0000-0000D1140000}"/>
    <cellStyle name="20% - Accent3 2 5 3 5 2" xfId="22925" xr:uid="{00000000-0005-0000-0000-0000D2140000}"/>
    <cellStyle name="20% - Accent3 2 5 3 5 3" xfId="31802" xr:uid="{00000000-0005-0000-0000-0000D3140000}"/>
    <cellStyle name="20% - Accent3 2 5 3 6" xfId="13872" xr:uid="{00000000-0005-0000-0000-0000D4140000}"/>
    <cellStyle name="20% - Accent3 2 5 3 6 2" xfId="25144" xr:uid="{00000000-0005-0000-0000-0000D5140000}"/>
    <cellStyle name="20% - Accent3 2 5 3 6 3" xfId="34021" xr:uid="{00000000-0005-0000-0000-0000D6140000}"/>
    <cellStyle name="20% - Accent3 2 5 3 7" xfId="18481" xr:uid="{00000000-0005-0000-0000-0000D7140000}"/>
    <cellStyle name="20% - Accent3 2 5 3 8" xfId="27362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3" xr:uid="{00000000-0005-0000-0000-0000DC140000}"/>
    <cellStyle name="20% - Accent3 2 5 4 2 2 3" xfId="31060" xr:uid="{00000000-0005-0000-0000-0000DD140000}"/>
    <cellStyle name="20% - Accent3 2 5 4 2 3" xfId="13128" xr:uid="{00000000-0005-0000-0000-0000DE140000}"/>
    <cellStyle name="20% - Accent3 2 5 4 2 3 2" xfId="24402" xr:uid="{00000000-0005-0000-0000-0000DF140000}"/>
    <cellStyle name="20% - Accent3 2 5 4 2 3 3" xfId="33279" xr:uid="{00000000-0005-0000-0000-0000E0140000}"/>
    <cellStyle name="20% - Accent3 2 5 4 2 4" xfId="15578" xr:uid="{00000000-0005-0000-0000-0000E1140000}"/>
    <cellStyle name="20% - Accent3 2 5 4 2 4 2" xfId="26621" xr:uid="{00000000-0005-0000-0000-0000E2140000}"/>
    <cellStyle name="20% - Accent3 2 5 4 2 4 3" xfId="35498" xr:uid="{00000000-0005-0000-0000-0000E3140000}"/>
    <cellStyle name="20% - Accent3 2 5 4 2 5" xfId="19964" xr:uid="{00000000-0005-0000-0000-0000E4140000}"/>
    <cellStyle name="20% - Accent3 2 5 4 2 6" xfId="28841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0" xr:uid="{00000000-0005-0000-0000-0000E8140000}"/>
    <cellStyle name="20% - Accent3 2 5 4 3 2 3" xfId="30327" xr:uid="{00000000-0005-0000-0000-0000E9140000}"/>
    <cellStyle name="20% - Accent3 2 5 4 3 3" xfId="12395" xr:uid="{00000000-0005-0000-0000-0000EA140000}"/>
    <cellStyle name="20% - Accent3 2 5 4 3 3 2" xfId="23669" xr:uid="{00000000-0005-0000-0000-0000EB140000}"/>
    <cellStyle name="20% - Accent3 2 5 4 3 3 3" xfId="32546" xr:uid="{00000000-0005-0000-0000-0000EC140000}"/>
    <cellStyle name="20% - Accent3 2 5 4 3 4" xfId="14845" xr:uid="{00000000-0005-0000-0000-0000ED140000}"/>
    <cellStyle name="20% - Accent3 2 5 4 3 4 2" xfId="25888" xr:uid="{00000000-0005-0000-0000-0000EE140000}"/>
    <cellStyle name="20% - Accent3 2 5 4 3 4 3" xfId="34765" xr:uid="{00000000-0005-0000-0000-0000EF140000}"/>
    <cellStyle name="20% - Accent3 2 5 4 3 5" xfId="19231" xr:uid="{00000000-0005-0000-0000-0000F0140000}"/>
    <cellStyle name="20% - Accent3 2 5 4 3 6" xfId="28108" xr:uid="{00000000-0005-0000-0000-0000F1140000}"/>
    <cellStyle name="20% - Accent3 2 5 4 4" xfId="9204" xr:uid="{00000000-0005-0000-0000-0000F2140000}"/>
    <cellStyle name="20% - Accent3 2 5 4 4 2" xfId="20707" xr:uid="{00000000-0005-0000-0000-0000F3140000}"/>
    <cellStyle name="20% - Accent3 2 5 4 4 3" xfId="29584" xr:uid="{00000000-0005-0000-0000-0000F4140000}"/>
    <cellStyle name="20% - Accent3 2 5 4 5" xfId="11652" xr:uid="{00000000-0005-0000-0000-0000F5140000}"/>
    <cellStyle name="20% - Accent3 2 5 4 5 2" xfId="22926" xr:uid="{00000000-0005-0000-0000-0000F6140000}"/>
    <cellStyle name="20% - Accent3 2 5 4 5 3" xfId="31803" xr:uid="{00000000-0005-0000-0000-0000F7140000}"/>
    <cellStyle name="20% - Accent3 2 5 4 6" xfId="13873" xr:uid="{00000000-0005-0000-0000-0000F8140000}"/>
    <cellStyle name="20% - Accent3 2 5 4 6 2" xfId="25145" xr:uid="{00000000-0005-0000-0000-0000F9140000}"/>
    <cellStyle name="20% - Accent3 2 5 4 6 3" xfId="34022" xr:uid="{00000000-0005-0000-0000-0000FA140000}"/>
    <cellStyle name="20% - Accent3 2 5 4 7" xfId="18482" xr:uid="{00000000-0005-0000-0000-0000FB140000}"/>
    <cellStyle name="20% - Accent3 2 5 4 8" xfId="27363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4" xr:uid="{00000000-0005-0000-0000-000000150000}"/>
    <cellStyle name="20% - Accent3 2 5 5 2 2 3" xfId="31061" xr:uid="{00000000-0005-0000-0000-000001150000}"/>
    <cellStyle name="20% - Accent3 2 5 5 2 3" xfId="13129" xr:uid="{00000000-0005-0000-0000-000002150000}"/>
    <cellStyle name="20% - Accent3 2 5 5 2 3 2" xfId="24403" xr:uid="{00000000-0005-0000-0000-000003150000}"/>
    <cellStyle name="20% - Accent3 2 5 5 2 3 3" xfId="33280" xr:uid="{00000000-0005-0000-0000-000004150000}"/>
    <cellStyle name="20% - Accent3 2 5 5 2 4" xfId="15579" xr:uid="{00000000-0005-0000-0000-000005150000}"/>
    <cellStyle name="20% - Accent3 2 5 5 2 4 2" xfId="26622" xr:uid="{00000000-0005-0000-0000-000006150000}"/>
    <cellStyle name="20% - Accent3 2 5 5 2 4 3" xfId="35499" xr:uid="{00000000-0005-0000-0000-000007150000}"/>
    <cellStyle name="20% - Accent3 2 5 5 2 5" xfId="19965" xr:uid="{00000000-0005-0000-0000-000008150000}"/>
    <cellStyle name="20% - Accent3 2 5 5 2 6" xfId="28842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1" xr:uid="{00000000-0005-0000-0000-00000C150000}"/>
    <cellStyle name="20% - Accent3 2 5 5 3 2 3" xfId="30328" xr:uid="{00000000-0005-0000-0000-00000D150000}"/>
    <cellStyle name="20% - Accent3 2 5 5 3 3" xfId="12396" xr:uid="{00000000-0005-0000-0000-00000E150000}"/>
    <cellStyle name="20% - Accent3 2 5 5 3 3 2" xfId="23670" xr:uid="{00000000-0005-0000-0000-00000F150000}"/>
    <cellStyle name="20% - Accent3 2 5 5 3 3 3" xfId="32547" xr:uid="{00000000-0005-0000-0000-000010150000}"/>
    <cellStyle name="20% - Accent3 2 5 5 3 4" xfId="14846" xr:uid="{00000000-0005-0000-0000-000011150000}"/>
    <cellStyle name="20% - Accent3 2 5 5 3 4 2" xfId="25889" xr:uid="{00000000-0005-0000-0000-000012150000}"/>
    <cellStyle name="20% - Accent3 2 5 5 3 4 3" xfId="34766" xr:uid="{00000000-0005-0000-0000-000013150000}"/>
    <cellStyle name="20% - Accent3 2 5 5 3 5" xfId="19232" xr:uid="{00000000-0005-0000-0000-000014150000}"/>
    <cellStyle name="20% - Accent3 2 5 5 3 6" xfId="28109" xr:uid="{00000000-0005-0000-0000-000015150000}"/>
    <cellStyle name="20% - Accent3 2 5 5 4" xfId="9205" xr:uid="{00000000-0005-0000-0000-000016150000}"/>
    <cellStyle name="20% - Accent3 2 5 5 4 2" xfId="20708" xr:uid="{00000000-0005-0000-0000-000017150000}"/>
    <cellStyle name="20% - Accent3 2 5 5 4 3" xfId="29585" xr:uid="{00000000-0005-0000-0000-000018150000}"/>
    <cellStyle name="20% - Accent3 2 5 5 5" xfId="11653" xr:uid="{00000000-0005-0000-0000-000019150000}"/>
    <cellStyle name="20% - Accent3 2 5 5 5 2" xfId="22927" xr:uid="{00000000-0005-0000-0000-00001A150000}"/>
    <cellStyle name="20% - Accent3 2 5 5 5 3" xfId="31804" xr:uid="{00000000-0005-0000-0000-00001B150000}"/>
    <cellStyle name="20% - Accent3 2 5 5 6" xfId="13874" xr:uid="{00000000-0005-0000-0000-00001C150000}"/>
    <cellStyle name="20% - Accent3 2 5 5 6 2" xfId="25146" xr:uid="{00000000-0005-0000-0000-00001D150000}"/>
    <cellStyle name="20% - Accent3 2 5 5 6 3" xfId="34023" xr:uid="{00000000-0005-0000-0000-00001E150000}"/>
    <cellStyle name="20% - Accent3 2 5 5 7" xfId="18483" xr:uid="{00000000-0005-0000-0000-00001F150000}"/>
    <cellStyle name="20% - Accent3 2 5 5 8" xfId="27364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5" xr:uid="{00000000-0005-0000-0000-000024150000}"/>
    <cellStyle name="20% - Accent3 2 5 6 2 2 3" xfId="31062" xr:uid="{00000000-0005-0000-0000-000025150000}"/>
    <cellStyle name="20% - Accent3 2 5 6 2 3" xfId="13130" xr:uid="{00000000-0005-0000-0000-000026150000}"/>
    <cellStyle name="20% - Accent3 2 5 6 2 3 2" xfId="24404" xr:uid="{00000000-0005-0000-0000-000027150000}"/>
    <cellStyle name="20% - Accent3 2 5 6 2 3 3" xfId="33281" xr:uid="{00000000-0005-0000-0000-000028150000}"/>
    <cellStyle name="20% - Accent3 2 5 6 2 4" xfId="15580" xr:uid="{00000000-0005-0000-0000-000029150000}"/>
    <cellStyle name="20% - Accent3 2 5 6 2 4 2" xfId="26623" xr:uid="{00000000-0005-0000-0000-00002A150000}"/>
    <cellStyle name="20% - Accent3 2 5 6 2 4 3" xfId="35500" xr:uid="{00000000-0005-0000-0000-00002B150000}"/>
    <cellStyle name="20% - Accent3 2 5 6 2 5" xfId="19966" xr:uid="{00000000-0005-0000-0000-00002C150000}"/>
    <cellStyle name="20% - Accent3 2 5 6 2 6" xfId="28843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2" xr:uid="{00000000-0005-0000-0000-000030150000}"/>
    <cellStyle name="20% - Accent3 2 5 6 3 2 3" xfId="30329" xr:uid="{00000000-0005-0000-0000-000031150000}"/>
    <cellStyle name="20% - Accent3 2 5 6 3 3" xfId="12397" xr:uid="{00000000-0005-0000-0000-000032150000}"/>
    <cellStyle name="20% - Accent3 2 5 6 3 3 2" xfId="23671" xr:uid="{00000000-0005-0000-0000-000033150000}"/>
    <cellStyle name="20% - Accent3 2 5 6 3 3 3" xfId="32548" xr:uid="{00000000-0005-0000-0000-000034150000}"/>
    <cellStyle name="20% - Accent3 2 5 6 3 4" xfId="14847" xr:uid="{00000000-0005-0000-0000-000035150000}"/>
    <cellStyle name="20% - Accent3 2 5 6 3 4 2" xfId="25890" xr:uid="{00000000-0005-0000-0000-000036150000}"/>
    <cellStyle name="20% - Accent3 2 5 6 3 4 3" xfId="34767" xr:uid="{00000000-0005-0000-0000-000037150000}"/>
    <cellStyle name="20% - Accent3 2 5 6 3 5" xfId="19233" xr:uid="{00000000-0005-0000-0000-000038150000}"/>
    <cellStyle name="20% - Accent3 2 5 6 3 6" xfId="28110" xr:uid="{00000000-0005-0000-0000-000039150000}"/>
    <cellStyle name="20% - Accent3 2 5 6 4" xfId="9206" xr:uid="{00000000-0005-0000-0000-00003A150000}"/>
    <cellStyle name="20% - Accent3 2 5 6 4 2" xfId="20709" xr:uid="{00000000-0005-0000-0000-00003B150000}"/>
    <cellStyle name="20% - Accent3 2 5 6 4 3" xfId="29586" xr:uid="{00000000-0005-0000-0000-00003C150000}"/>
    <cellStyle name="20% - Accent3 2 5 6 5" xfId="11654" xr:uid="{00000000-0005-0000-0000-00003D150000}"/>
    <cellStyle name="20% - Accent3 2 5 6 5 2" xfId="22928" xr:uid="{00000000-0005-0000-0000-00003E150000}"/>
    <cellStyle name="20% - Accent3 2 5 6 5 3" xfId="31805" xr:uid="{00000000-0005-0000-0000-00003F150000}"/>
    <cellStyle name="20% - Accent3 2 5 6 6" xfId="13875" xr:uid="{00000000-0005-0000-0000-000040150000}"/>
    <cellStyle name="20% - Accent3 2 5 6 6 2" xfId="25147" xr:uid="{00000000-0005-0000-0000-000041150000}"/>
    <cellStyle name="20% - Accent3 2 5 6 6 3" xfId="34024" xr:uid="{00000000-0005-0000-0000-000042150000}"/>
    <cellStyle name="20% - Accent3 2 5 6 7" xfId="18484" xr:uid="{00000000-0005-0000-0000-000043150000}"/>
    <cellStyle name="20% - Accent3 2 5 6 8" xfId="27365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6" xr:uid="{00000000-0005-0000-0000-000048150000}"/>
    <cellStyle name="20% - Accent3 2 5 7 2 2 3" xfId="31063" xr:uid="{00000000-0005-0000-0000-000049150000}"/>
    <cellStyle name="20% - Accent3 2 5 7 2 3" xfId="13131" xr:uid="{00000000-0005-0000-0000-00004A150000}"/>
    <cellStyle name="20% - Accent3 2 5 7 2 3 2" xfId="24405" xr:uid="{00000000-0005-0000-0000-00004B150000}"/>
    <cellStyle name="20% - Accent3 2 5 7 2 3 3" xfId="33282" xr:uid="{00000000-0005-0000-0000-00004C150000}"/>
    <cellStyle name="20% - Accent3 2 5 7 2 4" xfId="15581" xr:uid="{00000000-0005-0000-0000-00004D150000}"/>
    <cellStyle name="20% - Accent3 2 5 7 2 4 2" xfId="26624" xr:uid="{00000000-0005-0000-0000-00004E150000}"/>
    <cellStyle name="20% - Accent3 2 5 7 2 4 3" xfId="35501" xr:uid="{00000000-0005-0000-0000-00004F150000}"/>
    <cellStyle name="20% - Accent3 2 5 7 2 5" xfId="19967" xr:uid="{00000000-0005-0000-0000-000050150000}"/>
    <cellStyle name="20% - Accent3 2 5 7 2 6" xfId="28844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3" xr:uid="{00000000-0005-0000-0000-000054150000}"/>
    <cellStyle name="20% - Accent3 2 5 7 3 2 3" xfId="30330" xr:uid="{00000000-0005-0000-0000-000055150000}"/>
    <cellStyle name="20% - Accent3 2 5 7 3 3" xfId="12398" xr:uid="{00000000-0005-0000-0000-000056150000}"/>
    <cellStyle name="20% - Accent3 2 5 7 3 3 2" xfId="23672" xr:uid="{00000000-0005-0000-0000-000057150000}"/>
    <cellStyle name="20% - Accent3 2 5 7 3 3 3" xfId="32549" xr:uid="{00000000-0005-0000-0000-000058150000}"/>
    <cellStyle name="20% - Accent3 2 5 7 3 4" xfId="14848" xr:uid="{00000000-0005-0000-0000-000059150000}"/>
    <cellStyle name="20% - Accent3 2 5 7 3 4 2" xfId="25891" xr:uid="{00000000-0005-0000-0000-00005A150000}"/>
    <cellStyle name="20% - Accent3 2 5 7 3 4 3" xfId="34768" xr:uid="{00000000-0005-0000-0000-00005B150000}"/>
    <cellStyle name="20% - Accent3 2 5 7 3 5" xfId="19234" xr:uid="{00000000-0005-0000-0000-00005C150000}"/>
    <cellStyle name="20% - Accent3 2 5 7 3 6" xfId="28111" xr:uid="{00000000-0005-0000-0000-00005D150000}"/>
    <cellStyle name="20% - Accent3 2 5 7 4" xfId="9207" xr:uid="{00000000-0005-0000-0000-00005E150000}"/>
    <cellStyle name="20% - Accent3 2 5 7 4 2" xfId="20710" xr:uid="{00000000-0005-0000-0000-00005F150000}"/>
    <cellStyle name="20% - Accent3 2 5 7 4 3" xfId="29587" xr:uid="{00000000-0005-0000-0000-000060150000}"/>
    <cellStyle name="20% - Accent3 2 5 7 5" xfId="11655" xr:uid="{00000000-0005-0000-0000-000061150000}"/>
    <cellStyle name="20% - Accent3 2 5 7 5 2" xfId="22929" xr:uid="{00000000-0005-0000-0000-000062150000}"/>
    <cellStyle name="20% - Accent3 2 5 7 5 3" xfId="31806" xr:uid="{00000000-0005-0000-0000-000063150000}"/>
    <cellStyle name="20% - Accent3 2 5 7 6" xfId="13876" xr:uid="{00000000-0005-0000-0000-000064150000}"/>
    <cellStyle name="20% - Accent3 2 5 7 6 2" xfId="25148" xr:uid="{00000000-0005-0000-0000-000065150000}"/>
    <cellStyle name="20% - Accent3 2 5 7 6 3" xfId="34025" xr:uid="{00000000-0005-0000-0000-000066150000}"/>
    <cellStyle name="20% - Accent3 2 5 7 7" xfId="18485" xr:uid="{00000000-0005-0000-0000-000067150000}"/>
    <cellStyle name="20% - Accent3 2 5 7 8" xfId="27366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7" xr:uid="{00000000-0005-0000-0000-00006C150000}"/>
    <cellStyle name="20% - Accent3 2 5 8 2 2 3" xfId="31064" xr:uid="{00000000-0005-0000-0000-00006D150000}"/>
    <cellStyle name="20% - Accent3 2 5 8 2 3" xfId="13132" xr:uid="{00000000-0005-0000-0000-00006E150000}"/>
    <cellStyle name="20% - Accent3 2 5 8 2 3 2" xfId="24406" xr:uid="{00000000-0005-0000-0000-00006F150000}"/>
    <cellStyle name="20% - Accent3 2 5 8 2 3 3" xfId="33283" xr:uid="{00000000-0005-0000-0000-000070150000}"/>
    <cellStyle name="20% - Accent3 2 5 8 2 4" xfId="15582" xr:uid="{00000000-0005-0000-0000-000071150000}"/>
    <cellStyle name="20% - Accent3 2 5 8 2 4 2" xfId="26625" xr:uid="{00000000-0005-0000-0000-000072150000}"/>
    <cellStyle name="20% - Accent3 2 5 8 2 4 3" xfId="35502" xr:uid="{00000000-0005-0000-0000-000073150000}"/>
    <cellStyle name="20% - Accent3 2 5 8 2 5" xfId="19968" xr:uid="{00000000-0005-0000-0000-000074150000}"/>
    <cellStyle name="20% - Accent3 2 5 8 2 6" xfId="28845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4" xr:uid="{00000000-0005-0000-0000-000078150000}"/>
    <cellStyle name="20% - Accent3 2 5 8 3 2 3" xfId="30331" xr:uid="{00000000-0005-0000-0000-000079150000}"/>
    <cellStyle name="20% - Accent3 2 5 8 3 3" xfId="12399" xr:uid="{00000000-0005-0000-0000-00007A150000}"/>
    <cellStyle name="20% - Accent3 2 5 8 3 3 2" xfId="23673" xr:uid="{00000000-0005-0000-0000-00007B150000}"/>
    <cellStyle name="20% - Accent3 2 5 8 3 3 3" xfId="32550" xr:uid="{00000000-0005-0000-0000-00007C150000}"/>
    <cellStyle name="20% - Accent3 2 5 8 3 4" xfId="14849" xr:uid="{00000000-0005-0000-0000-00007D150000}"/>
    <cellStyle name="20% - Accent3 2 5 8 3 4 2" xfId="25892" xr:uid="{00000000-0005-0000-0000-00007E150000}"/>
    <cellStyle name="20% - Accent3 2 5 8 3 4 3" xfId="34769" xr:uid="{00000000-0005-0000-0000-00007F150000}"/>
    <cellStyle name="20% - Accent3 2 5 8 3 5" xfId="19235" xr:uid="{00000000-0005-0000-0000-000080150000}"/>
    <cellStyle name="20% - Accent3 2 5 8 3 6" xfId="28112" xr:uid="{00000000-0005-0000-0000-000081150000}"/>
    <cellStyle name="20% - Accent3 2 5 8 4" xfId="9208" xr:uid="{00000000-0005-0000-0000-000082150000}"/>
    <cellStyle name="20% - Accent3 2 5 8 4 2" xfId="20711" xr:uid="{00000000-0005-0000-0000-000083150000}"/>
    <cellStyle name="20% - Accent3 2 5 8 4 3" xfId="29588" xr:uid="{00000000-0005-0000-0000-000084150000}"/>
    <cellStyle name="20% - Accent3 2 5 8 5" xfId="11656" xr:uid="{00000000-0005-0000-0000-000085150000}"/>
    <cellStyle name="20% - Accent3 2 5 8 5 2" xfId="22930" xr:uid="{00000000-0005-0000-0000-000086150000}"/>
    <cellStyle name="20% - Accent3 2 5 8 5 3" xfId="31807" xr:uid="{00000000-0005-0000-0000-000087150000}"/>
    <cellStyle name="20% - Accent3 2 5 8 6" xfId="13877" xr:uid="{00000000-0005-0000-0000-000088150000}"/>
    <cellStyle name="20% - Accent3 2 5 8 6 2" xfId="25149" xr:uid="{00000000-0005-0000-0000-000089150000}"/>
    <cellStyle name="20% - Accent3 2 5 8 6 3" xfId="34026" xr:uid="{00000000-0005-0000-0000-00008A150000}"/>
    <cellStyle name="20% - Accent3 2 5 8 7" xfId="18486" xr:uid="{00000000-0005-0000-0000-00008B150000}"/>
    <cellStyle name="20% - Accent3 2 5 8 8" xfId="27367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8" xr:uid="{00000000-0005-0000-0000-000090150000}"/>
    <cellStyle name="20% - Accent3 2 5 9 2 2 3" xfId="31065" xr:uid="{00000000-0005-0000-0000-000091150000}"/>
    <cellStyle name="20% - Accent3 2 5 9 2 3" xfId="13133" xr:uid="{00000000-0005-0000-0000-000092150000}"/>
    <cellStyle name="20% - Accent3 2 5 9 2 3 2" xfId="24407" xr:uid="{00000000-0005-0000-0000-000093150000}"/>
    <cellStyle name="20% - Accent3 2 5 9 2 3 3" xfId="33284" xr:uid="{00000000-0005-0000-0000-000094150000}"/>
    <cellStyle name="20% - Accent3 2 5 9 2 4" xfId="15583" xr:uid="{00000000-0005-0000-0000-000095150000}"/>
    <cellStyle name="20% - Accent3 2 5 9 2 4 2" xfId="26626" xr:uid="{00000000-0005-0000-0000-000096150000}"/>
    <cellStyle name="20% - Accent3 2 5 9 2 4 3" xfId="35503" xr:uid="{00000000-0005-0000-0000-000097150000}"/>
    <cellStyle name="20% - Accent3 2 5 9 2 5" xfId="19969" xr:uid="{00000000-0005-0000-0000-000098150000}"/>
    <cellStyle name="20% - Accent3 2 5 9 2 6" xfId="28846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5" xr:uid="{00000000-0005-0000-0000-00009C150000}"/>
    <cellStyle name="20% - Accent3 2 5 9 3 2 3" xfId="30332" xr:uid="{00000000-0005-0000-0000-00009D150000}"/>
    <cellStyle name="20% - Accent3 2 5 9 3 3" xfId="12400" xr:uid="{00000000-0005-0000-0000-00009E150000}"/>
    <cellStyle name="20% - Accent3 2 5 9 3 3 2" xfId="23674" xr:uid="{00000000-0005-0000-0000-00009F150000}"/>
    <cellStyle name="20% - Accent3 2 5 9 3 3 3" xfId="32551" xr:uid="{00000000-0005-0000-0000-0000A0150000}"/>
    <cellStyle name="20% - Accent3 2 5 9 3 4" xfId="14850" xr:uid="{00000000-0005-0000-0000-0000A1150000}"/>
    <cellStyle name="20% - Accent3 2 5 9 3 4 2" xfId="25893" xr:uid="{00000000-0005-0000-0000-0000A2150000}"/>
    <cellStyle name="20% - Accent3 2 5 9 3 4 3" xfId="34770" xr:uid="{00000000-0005-0000-0000-0000A3150000}"/>
    <cellStyle name="20% - Accent3 2 5 9 3 5" xfId="19236" xr:uid="{00000000-0005-0000-0000-0000A4150000}"/>
    <cellStyle name="20% - Accent3 2 5 9 3 6" xfId="28113" xr:uid="{00000000-0005-0000-0000-0000A5150000}"/>
    <cellStyle name="20% - Accent3 2 5 9 4" xfId="9209" xr:uid="{00000000-0005-0000-0000-0000A6150000}"/>
    <cellStyle name="20% - Accent3 2 5 9 4 2" xfId="20712" xr:uid="{00000000-0005-0000-0000-0000A7150000}"/>
    <cellStyle name="20% - Accent3 2 5 9 4 3" xfId="29589" xr:uid="{00000000-0005-0000-0000-0000A8150000}"/>
    <cellStyle name="20% - Accent3 2 5 9 5" xfId="11657" xr:uid="{00000000-0005-0000-0000-0000A9150000}"/>
    <cellStyle name="20% - Accent3 2 5 9 5 2" xfId="22931" xr:uid="{00000000-0005-0000-0000-0000AA150000}"/>
    <cellStyle name="20% - Accent3 2 5 9 5 3" xfId="31808" xr:uid="{00000000-0005-0000-0000-0000AB150000}"/>
    <cellStyle name="20% - Accent3 2 5 9 6" xfId="13878" xr:uid="{00000000-0005-0000-0000-0000AC150000}"/>
    <cellStyle name="20% - Accent3 2 5 9 6 2" xfId="25150" xr:uid="{00000000-0005-0000-0000-0000AD150000}"/>
    <cellStyle name="20% - Accent3 2 5 9 6 3" xfId="34027" xr:uid="{00000000-0005-0000-0000-0000AE150000}"/>
    <cellStyle name="20% - Accent3 2 5 9 7" xfId="18487" xr:uid="{00000000-0005-0000-0000-0000AF150000}"/>
    <cellStyle name="20% - Accent3 2 5 9 8" xfId="27368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1" xr:uid="{00000000-0005-0000-0000-0000B3150000}"/>
    <cellStyle name="20% - Accent3 2 6 10 3" xfId="34028" xr:uid="{00000000-0005-0000-0000-0000B4150000}"/>
    <cellStyle name="20% - Accent3 2 6 11" xfId="18488" xr:uid="{00000000-0005-0000-0000-0000B5150000}"/>
    <cellStyle name="20% - Accent3 2 6 12" xfId="27369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0" xr:uid="{00000000-0005-0000-0000-0000BA150000}"/>
    <cellStyle name="20% - Accent3 2 6 2 2 2 3" xfId="31067" xr:uid="{00000000-0005-0000-0000-0000BB150000}"/>
    <cellStyle name="20% - Accent3 2 6 2 2 3" xfId="13135" xr:uid="{00000000-0005-0000-0000-0000BC150000}"/>
    <cellStyle name="20% - Accent3 2 6 2 2 3 2" xfId="24409" xr:uid="{00000000-0005-0000-0000-0000BD150000}"/>
    <cellStyle name="20% - Accent3 2 6 2 2 3 3" xfId="33286" xr:uid="{00000000-0005-0000-0000-0000BE150000}"/>
    <cellStyle name="20% - Accent3 2 6 2 2 4" xfId="15585" xr:uid="{00000000-0005-0000-0000-0000BF150000}"/>
    <cellStyle name="20% - Accent3 2 6 2 2 4 2" xfId="26628" xr:uid="{00000000-0005-0000-0000-0000C0150000}"/>
    <cellStyle name="20% - Accent3 2 6 2 2 4 3" xfId="35505" xr:uid="{00000000-0005-0000-0000-0000C1150000}"/>
    <cellStyle name="20% - Accent3 2 6 2 2 5" xfId="19971" xr:uid="{00000000-0005-0000-0000-0000C2150000}"/>
    <cellStyle name="20% - Accent3 2 6 2 2 6" xfId="28848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7" xr:uid="{00000000-0005-0000-0000-0000C6150000}"/>
    <cellStyle name="20% - Accent3 2 6 2 3 2 3" xfId="30334" xr:uid="{00000000-0005-0000-0000-0000C7150000}"/>
    <cellStyle name="20% - Accent3 2 6 2 3 3" xfId="12402" xr:uid="{00000000-0005-0000-0000-0000C8150000}"/>
    <cellStyle name="20% - Accent3 2 6 2 3 3 2" xfId="23676" xr:uid="{00000000-0005-0000-0000-0000C9150000}"/>
    <cellStyle name="20% - Accent3 2 6 2 3 3 3" xfId="32553" xr:uid="{00000000-0005-0000-0000-0000CA150000}"/>
    <cellStyle name="20% - Accent3 2 6 2 3 4" xfId="14852" xr:uid="{00000000-0005-0000-0000-0000CB150000}"/>
    <cellStyle name="20% - Accent3 2 6 2 3 4 2" xfId="25895" xr:uid="{00000000-0005-0000-0000-0000CC150000}"/>
    <cellStyle name="20% - Accent3 2 6 2 3 4 3" xfId="34772" xr:uid="{00000000-0005-0000-0000-0000CD150000}"/>
    <cellStyle name="20% - Accent3 2 6 2 3 5" xfId="19238" xr:uid="{00000000-0005-0000-0000-0000CE150000}"/>
    <cellStyle name="20% - Accent3 2 6 2 3 6" xfId="28115" xr:uid="{00000000-0005-0000-0000-0000CF150000}"/>
    <cellStyle name="20% - Accent3 2 6 2 4" xfId="9211" xr:uid="{00000000-0005-0000-0000-0000D0150000}"/>
    <cellStyle name="20% - Accent3 2 6 2 4 2" xfId="20714" xr:uid="{00000000-0005-0000-0000-0000D1150000}"/>
    <cellStyle name="20% - Accent3 2 6 2 4 3" xfId="29591" xr:uid="{00000000-0005-0000-0000-0000D2150000}"/>
    <cellStyle name="20% - Accent3 2 6 2 5" xfId="11659" xr:uid="{00000000-0005-0000-0000-0000D3150000}"/>
    <cellStyle name="20% - Accent3 2 6 2 5 2" xfId="22933" xr:uid="{00000000-0005-0000-0000-0000D4150000}"/>
    <cellStyle name="20% - Accent3 2 6 2 5 3" xfId="31810" xr:uid="{00000000-0005-0000-0000-0000D5150000}"/>
    <cellStyle name="20% - Accent3 2 6 2 6" xfId="13880" xr:uid="{00000000-0005-0000-0000-0000D6150000}"/>
    <cellStyle name="20% - Accent3 2 6 2 6 2" xfId="25152" xr:uid="{00000000-0005-0000-0000-0000D7150000}"/>
    <cellStyle name="20% - Accent3 2 6 2 6 3" xfId="34029" xr:uid="{00000000-0005-0000-0000-0000D8150000}"/>
    <cellStyle name="20% - Accent3 2 6 2 7" xfId="18489" xr:uid="{00000000-0005-0000-0000-0000D9150000}"/>
    <cellStyle name="20% - Accent3 2 6 2 8" xfId="27370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1" xr:uid="{00000000-0005-0000-0000-0000DE150000}"/>
    <cellStyle name="20% - Accent3 2 6 3 2 2 3" xfId="31068" xr:uid="{00000000-0005-0000-0000-0000DF150000}"/>
    <cellStyle name="20% - Accent3 2 6 3 2 3" xfId="13136" xr:uid="{00000000-0005-0000-0000-0000E0150000}"/>
    <cellStyle name="20% - Accent3 2 6 3 2 3 2" xfId="24410" xr:uid="{00000000-0005-0000-0000-0000E1150000}"/>
    <cellStyle name="20% - Accent3 2 6 3 2 3 3" xfId="33287" xr:uid="{00000000-0005-0000-0000-0000E2150000}"/>
    <cellStyle name="20% - Accent3 2 6 3 2 4" xfId="15586" xr:uid="{00000000-0005-0000-0000-0000E3150000}"/>
    <cellStyle name="20% - Accent3 2 6 3 2 4 2" xfId="26629" xr:uid="{00000000-0005-0000-0000-0000E4150000}"/>
    <cellStyle name="20% - Accent3 2 6 3 2 4 3" xfId="35506" xr:uid="{00000000-0005-0000-0000-0000E5150000}"/>
    <cellStyle name="20% - Accent3 2 6 3 2 5" xfId="19972" xr:uid="{00000000-0005-0000-0000-0000E6150000}"/>
    <cellStyle name="20% - Accent3 2 6 3 2 6" xfId="28849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8" xr:uid="{00000000-0005-0000-0000-0000EA150000}"/>
    <cellStyle name="20% - Accent3 2 6 3 3 2 3" xfId="30335" xr:uid="{00000000-0005-0000-0000-0000EB150000}"/>
    <cellStyle name="20% - Accent3 2 6 3 3 3" xfId="12403" xr:uid="{00000000-0005-0000-0000-0000EC150000}"/>
    <cellStyle name="20% - Accent3 2 6 3 3 3 2" xfId="23677" xr:uid="{00000000-0005-0000-0000-0000ED150000}"/>
    <cellStyle name="20% - Accent3 2 6 3 3 3 3" xfId="32554" xr:uid="{00000000-0005-0000-0000-0000EE150000}"/>
    <cellStyle name="20% - Accent3 2 6 3 3 4" xfId="14853" xr:uid="{00000000-0005-0000-0000-0000EF150000}"/>
    <cellStyle name="20% - Accent3 2 6 3 3 4 2" xfId="25896" xr:uid="{00000000-0005-0000-0000-0000F0150000}"/>
    <cellStyle name="20% - Accent3 2 6 3 3 4 3" xfId="34773" xr:uid="{00000000-0005-0000-0000-0000F1150000}"/>
    <cellStyle name="20% - Accent3 2 6 3 3 5" xfId="19239" xr:uid="{00000000-0005-0000-0000-0000F2150000}"/>
    <cellStyle name="20% - Accent3 2 6 3 3 6" xfId="28116" xr:uid="{00000000-0005-0000-0000-0000F3150000}"/>
    <cellStyle name="20% - Accent3 2 6 3 4" xfId="9212" xr:uid="{00000000-0005-0000-0000-0000F4150000}"/>
    <cellStyle name="20% - Accent3 2 6 3 4 2" xfId="20715" xr:uid="{00000000-0005-0000-0000-0000F5150000}"/>
    <cellStyle name="20% - Accent3 2 6 3 4 3" xfId="29592" xr:uid="{00000000-0005-0000-0000-0000F6150000}"/>
    <cellStyle name="20% - Accent3 2 6 3 5" xfId="11660" xr:uid="{00000000-0005-0000-0000-0000F7150000}"/>
    <cellStyle name="20% - Accent3 2 6 3 5 2" xfId="22934" xr:uid="{00000000-0005-0000-0000-0000F8150000}"/>
    <cellStyle name="20% - Accent3 2 6 3 5 3" xfId="31811" xr:uid="{00000000-0005-0000-0000-0000F9150000}"/>
    <cellStyle name="20% - Accent3 2 6 3 6" xfId="13881" xr:uid="{00000000-0005-0000-0000-0000FA150000}"/>
    <cellStyle name="20% - Accent3 2 6 3 6 2" xfId="25153" xr:uid="{00000000-0005-0000-0000-0000FB150000}"/>
    <cellStyle name="20% - Accent3 2 6 3 6 3" xfId="34030" xr:uid="{00000000-0005-0000-0000-0000FC150000}"/>
    <cellStyle name="20% - Accent3 2 6 3 7" xfId="18490" xr:uid="{00000000-0005-0000-0000-0000FD150000}"/>
    <cellStyle name="20% - Accent3 2 6 3 8" xfId="27371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2" xr:uid="{00000000-0005-0000-0000-000002160000}"/>
    <cellStyle name="20% - Accent3 2 6 4 2 2 3" xfId="31069" xr:uid="{00000000-0005-0000-0000-000003160000}"/>
    <cellStyle name="20% - Accent3 2 6 4 2 3" xfId="13137" xr:uid="{00000000-0005-0000-0000-000004160000}"/>
    <cellStyle name="20% - Accent3 2 6 4 2 3 2" xfId="24411" xr:uid="{00000000-0005-0000-0000-000005160000}"/>
    <cellStyle name="20% - Accent3 2 6 4 2 3 3" xfId="33288" xr:uid="{00000000-0005-0000-0000-000006160000}"/>
    <cellStyle name="20% - Accent3 2 6 4 2 4" xfId="15587" xr:uid="{00000000-0005-0000-0000-000007160000}"/>
    <cellStyle name="20% - Accent3 2 6 4 2 4 2" xfId="26630" xr:uid="{00000000-0005-0000-0000-000008160000}"/>
    <cellStyle name="20% - Accent3 2 6 4 2 4 3" xfId="35507" xr:uid="{00000000-0005-0000-0000-000009160000}"/>
    <cellStyle name="20% - Accent3 2 6 4 2 5" xfId="19973" xr:uid="{00000000-0005-0000-0000-00000A160000}"/>
    <cellStyle name="20% - Accent3 2 6 4 2 6" xfId="28850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59" xr:uid="{00000000-0005-0000-0000-00000E160000}"/>
    <cellStyle name="20% - Accent3 2 6 4 3 2 3" xfId="30336" xr:uid="{00000000-0005-0000-0000-00000F160000}"/>
    <cellStyle name="20% - Accent3 2 6 4 3 3" xfId="12404" xr:uid="{00000000-0005-0000-0000-000010160000}"/>
    <cellStyle name="20% - Accent3 2 6 4 3 3 2" xfId="23678" xr:uid="{00000000-0005-0000-0000-000011160000}"/>
    <cellStyle name="20% - Accent3 2 6 4 3 3 3" xfId="32555" xr:uid="{00000000-0005-0000-0000-000012160000}"/>
    <cellStyle name="20% - Accent3 2 6 4 3 4" xfId="14854" xr:uid="{00000000-0005-0000-0000-000013160000}"/>
    <cellStyle name="20% - Accent3 2 6 4 3 4 2" xfId="25897" xr:uid="{00000000-0005-0000-0000-000014160000}"/>
    <cellStyle name="20% - Accent3 2 6 4 3 4 3" xfId="34774" xr:uid="{00000000-0005-0000-0000-000015160000}"/>
    <cellStyle name="20% - Accent3 2 6 4 3 5" xfId="19240" xr:uid="{00000000-0005-0000-0000-000016160000}"/>
    <cellStyle name="20% - Accent3 2 6 4 3 6" xfId="28117" xr:uid="{00000000-0005-0000-0000-000017160000}"/>
    <cellStyle name="20% - Accent3 2 6 4 4" xfId="9213" xr:uid="{00000000-0005-0000-0000-000018160000}"/>
    <cellStyle name="20% - Accent3 2 6 4 4 2" xfId="20716" xr:uid="{00000000-0005-0000-0000-000019160000}"/>
    <cellStyle name="20% - Accent3 2 6 4 4 3" xfId="29593" xr:uid="{00000000-0005-0000-0000-00001A160000}"/>
    <cellStyle name="20% - Accent3 2 6 4 5" xfId="11661" xr:uid="{00000000-0005-0000-0000-00001B160000}"/>
    <cellStyle name="20% - Accent3 2 6 4 5 2" xfId="22935" xr:uid="{00000000-0005-0000-0000-00001C160000}"/>
    <cellStyle name="20% - Accent3 2 6 4 5 3" xfId="31812" xr:uid="{00000000-0005-0000-0000-00001D160000}"/>
    <cellStyle name="20% - Accent3 2 6 4 6" xfId="13882" xr:uid="{00000000-0005-0000-0000-00001E160000}"/>
    <cellStyle name="20% - Accent3 2 6 4 6 2" xfId="25154" xr:uid="{00000000-0005-0000-0000-00001F160000}"/>
    <cellStyle name="20% - Accent3 2 6 4 6 3" xfId="34031" xr:uid="{00000000-0005-0000-0000-000020160000}"/>
    <cellStyle name="20% - Accent3 2 6 4 7" xfId="18491" xr:uid="{00000000-0005-0000-0000-000021160000}"/>
    <cellStyle name="20% - Accent3 2 6 4 8" xfId="27372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3" xr:uid="{00000000-0005-0000-0000-000026160000}"/>
    <cellStyle name="20% - Accent3 2 6 5 2 2 3" xfId="31070" xr:uid="{00000000-0005-0000-0000-000027160000}"/>
    <cellStyle name="20% - Accent3 2 6 5 2 3" xfId="13138" xr:uid="{00000000-0005-0000-0000-000028160000}"/>
    <cellStyle name="20% - Accent3 2 6 5 2 3 2" xfId="24412" xr:uid="{00000000-0005-0000-0000-000029160000}"/>
    <cellStyle name="20% - Accent3 2 6 5 2 3 3" xfId="33289" xr:uid="{00000000-0005-0000-0000-00002A160000}"/>
    <cellStyle name="20% - Accent3 2 6 5 2 4" xfId="15588" xr:uid="{00000000-0005-0000-0000-00002B160000}"/>
    <cellStyle name="20% - Accent3 2 6 5 2 4 2" xfId="26631" xr:uid="{00000000-0005-0000-0000-00002C160000}"/>
    <cellStyle name="20% - Accent3 2 6 5 2 4 3" xfId="35508" xr:uid="{00000000-0005-0000-0000-00002D160000}"/>
    <cellStyle name="20% - Accent3 2 6 5 2 5" xfId="19974" xr:uid="{00000000-0005-0000-0000-00002E160000}"/>
    <cellStyle name="20% - Accent3 2 6 5 2 6" xfId="28851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0" xr:uid="{00000000-0005-0000-0000-000032160000}"/>
    <cellStyle name="20% - Accent3 2 6 5 3 2 3" xfId="30337" xr:uid="{00000000-0005-0000-0000-000033160000}"/>
    <cellStyle name="20% - Accent3 2 6 5 3 3" xfId="12405" xr:uid="{00000000-0005-0000-0000-000034160000}"/>
    <cellStyle name="20% - Accent3 2 6 5 3 3 2" xfId="23679" xr:uid="{00000000-0005-0000-0000-000035160000}"/>
    <cellStyle name="20% - Accent3 2 6 5 3 3 3" xfId="32556" xr:uid="{00000000-0005-0000-0000-000036160000}"/>
    <cellStyle name="20% - Accent3 2 6 5 3 4" xfId="14855" xr:uid="{00000000-0005-0000-0000-000037160000}"/>
    <cellStyle name="20% - Accent3 2 6 5 3 4 2" xfId="25898" xr:uid="{00000000-0005-0000-0000-000038160000}"/>
    <cellStyle name="20% - Accent3 2 6 5 3 4 3" xfId="34775" xr:uid="{00000000-0005-0000-0000-000039160000}"/>
    <cellStyle name="20% - Accent3 2 6 5 3 5" xfId="19241" xr:uid="{00000000-0005-0000-0000-00003A160000}"/>
    <cellStyle name="20% - Accent3 2 6 5 3 6" xfId="28118" xr:uid="{00000000-0005-0000-0000-00003B160000}"/>
    <cellStyle name="20% - Accent3 2 6 5 4" xfId="9214" xr:uid="{00000000-0005-0000-0000-00003C160000}"/>
    <cellStyle name="20% - Accent3 2 6 5 4 2" xfId="20717" xr:uid="{00000000-0005-0000-0000-00003D160000}"/>
    <cellStyle name="20% - Accent3 2 6 5 4 3" xfId="29594" xr:uid="{00000000-0005-0000-0000-00003E160000}"/>
    <cellStyle name="20% - Accent3 2 6 5 5" xfId="11662" xr:uid="{00000000-0005-0000-0000-00003F160000}"/>
    <cellStyle name="20% - Accent3 2 6 5 5 2" xfId="22936" xr:uid="{00000000-0005-0000-0000-000040160000}"/>
    <cellStyle name="20% - Accent3 2 6 5 5 3" xfId="31813" xr:uid="{00000000-0005-0000-0000-000041160000}"/>
    <cellStyle name="20% - Accent3 2 6 5 6" xfId="13883" xr:uid="{00000000-0005-0000-0000-000042160000}"/>
    <cellStyle name="20% - Accent3 2 6 5 6 2" xfId="25155" xr:uid="{00000000-0005-0000-0000-000043160000}"/>
    <cellStyle name="20% - Accent3 2 6 5 6 3" xfId="34032" xr:uid="{00000000-0005-0000-0000-000044160000}"/>
    <cellStyle name="20% - Accent3 2 6 5 7" xfId="18492" xr:uid="{00000000-0005-0000-0000-000045160000}"/>
    <cellStyle name="20% - Accent3 2 6 5 8" xfId="27373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89" xr:uid="{00000000-0005-0000-0000-000049160000}"/>
    <cellStyle name="20% - Accent3 2 6 6 2 3" xfId="31066" xr:uid="{00000000-0005-0000-0000-00004A160000}"/>
    <cellStyle name="20% - Accent3 2 6 6 3" xfId="13134" xr:uid="{00000000-0005-0000-0000-00004B160000}"/>
    <cellStyle name="20% - Accent3 2 6 6 3 2" xfId="24408" xr:uid="{00000000-0005-0000-0000-00004C160000}"/>
    <cellStyle name="20% - Accent3 2 6 6 3 3" xfId="33285" xr:uid="{00000000-0005-0000-0000-00004D160000}"/>
    <cellStyle name="20% - Accent3 2 6 6 4" xfId="15584" xr:uid="{00000000-0005-0000-0000-00004E160000}"/>
    <cellStyle name="20% - Accent3 2 6 6 4 2" xfId="26627" xr:uid="{00000000-0005-0000-0000-00004F160000}"/>
    <cellStyle name="20% - Accent3 2 6 6 4 3" xfId="35504" xr:uid="{00000000-0005-0000-0000-000050160000}"/>
    <cellStyle name="20% - Accent3 2 6 6 5" xfId="19970" xr:uid="{00000000-0005-0000-0000-000051160000}"/>
    <cellStyle name="20% - Accent3 2 6 6 6" xfId="28847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6" xr:uid="{00000000-0005-0000-0000-000055160000}"/>
    <cellStyle name="20% - Accent3 2 6 7 2 3" xfId="30333" xr:uid="{00000000-0005-0000-0000-000056160000}"/>
    <cellStyle name="20% - Accent3 2 6 7 3" xfId="12401" xr:uid="{00000000-0005-0000-0000-000057160000}"/>
    <cellStyle name="20% - Accent3 2 6 7 3 2" xfId="23675" xr:uid="{00000000-0005-0000-0000-000058160000}"/>
    <cellStyle name="20% - Accent3 2 6 7 3 3" xfId="32552" xr:uid="{00000000-0005-0000-0000-000059160000}"/>
    <cellStyle name="20% - Accent3 2 6 7 4" xfId="14851" xr:uid="{00000000-0005-0000-0000-00005A160000}"/>
    <cellStyle name="20% - Accent3 2 6 7 4 2" xfId="25894" xr:uid="{00000000-0005-0000-0000-00005B160000}"/>
    <cellStyle name="20% - Accent3 2 6 7 4 3" xfId="34771" xr:uid="{00000000-0005-0000-0000-00005C160000}"/>
    <cellStyle name="20% - Accent3 2 6 7 5" xfId="19237" xr:uid="{00000000-0005-0000-0000-00005D160000}"/>
    <cellStyle name="20% - Accent3 2 6 7 6" xfId="28114" xr:uid="{00000000-0005-0000-0000-00005E160000}"/>
    <cellStyle name="20% - Accent3 2 6 8" xfId="9210" xr:uid="{00000000-0005-0000-0000-00005F160000}"/>
    <cellStyle name="20% - Accent3 2 6 8 2" xfId="20713" xr:uid="{00000000-0005-0000-0000-000060160000}"/>
    <cellStyle name="20% - Accent3 2 6 8 3" xfId="29590" xr:uid="{00000000-0005-0000-0000-000061160000}"/>
    <cellStyle name="20% - Accent3 2 6 9" xfId="11658" xr:uid="{00000000-0005-0000-0000-000062160000}"/>
    <cellStyle name="20% - Accent3 2 6 9 2" xfId="22932" xr:uid="{00000000-0005-0000-0000-000063160000}"/>
    <cellStyle name="20% - Accent3 2 6 9 3" xfId="31809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4" xr:uid="{00000000-0005-0000-0000-000068160000}"/>
    <cellStyle name="20% - Accent3 2 7 2 2 3" xfId="31071" xr:uid="{00000000-0005-0000-0000-000069160000}"/>
    <cellStyle name="20% - Accent3 2 7 2 3" xfId="13139" xr:uid="{00000000-0005-0000-0000-00006A160000}"/>
    <cellStyle name="20% - Accent3 2 7 2 3 2" xfId="24413" xr:uid="{00000000-0005-0000-0000-00006B160000}"/>
    <cellStyle name="20% - Accent3 2 7 2 3 3" xfId="33290" xr:uid="{00000000-0005-0000-0000-00006C160000}"/>
    <cellStyle name="20% - Accent3 2 7 2 4" xfId="15589" xr:uid="{00000000-0005-0000-0000-00006D160000}"/>
    <cellStyle name="20% - Accent3 2 7 2 4 2" xfId="26632" xr:uid="{00000000-0005-0000-0000-00006E160000}"/>
    <cellStyle name="20% - Accent3 2 7 2 4 3" xfId="35509" xr:uid="{00000000-0005-0000-0000-00006F160000}"/>
    <cellStyle name="20% - Accent3 2 7 2 5" xfId="19975" xr:uid="{00000000-0005-0000-0000-000070160000}"/>
    <cellStyle name="20% - Accent3 2 7 2 6" xfId="28852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1" xr:uid="{00000000-0005-0000-0000-000074160000}"/>
    <cellStyle name="20% - Accent3 2 7 3 2 3" xfId="30338" xr:uid="{00000000-0005-0000-0000-000075160000}"/>
    <cellStyle name="20% - Accent3 2 7 3 3" xfId="12406" xr:uid="{00000000-0005-0000-0000-000076160000}"/>
    <cellStyle name="20% - Accent3 2 7 3 3 2" xfId="23680" xr:uid="{00000000-0005-0000-0000-000077160000}"/>
    <cellStyle name="20% - Accent3 2 7 3 3 3" xfId="32557" xr:uid="{00000000-0005-0000-0000-000078160000}"/>
    <cellStyle name="20% - Accent3 2 7 3 4" xfId="14856" xr:uid="{00000000-0005-0000-0000-000079160000}"/>
    <cellStyle name="20% - Accent3 2 7 3 4 2" xfId="25899" xr:uid="{00000000-0005-0000-0000-00007A160000}"/>
    <cellStyle name="20% - Accent3 2 7 3 4 3" xfId="34776" xr:uid="{00000000-0005-0000-0000-00007B160000}"/>
    <cellStyle name="20% - Accent3 2 7 3 5" xfId="19242" xr:uid="{00000000-0005-0000-0000-00007C160000}"/>
    <cellStyle name="20% - Accent3 2 7 3 6" xfId="28119" xr:uid="{00000000-0005-0000-0000-00007D160000}"/>
    <cellStyle name="20% - Accent3 2 7 4" xfId="9215" xr:uid="{00000000-0005-0000-0000-00007E160000}"/>
    <cellStyle name="20% - Accent3 2 7 4 2" xfId="20718" xr:uid="{00000000-0005-0000-0000-00007F160000}"/>
    <cellStyle name="20% - Accent3 2 7 4 3" xfId="29595" xr:uid="{00000000-0005-0000-0000-000080160000}"/>
    <cellStyle name="20% - Accent3 2 7 5" xfId="11663" xr:uid="{00000000-0005-0000-0000-000081160000}"/>
    <cellStyle name="20% - Accent3 2 7 5 2" xfId="22937" xr:uid="{00000000-0005-0000-0000-000082160000}"/>
    <cellStyle name="20% - Accent3 2 7 5 3" xfId="31814" xr:uid="{00000000-0005-0000-0000-000083160000}"/>
    <cellStyle name="20% - Accent3 2 7 6" xfId="13884" xr:uid="{00000000-0005-0000-0000-000084160000}"/>
    <cellStyle name="20% - Accent3 2 7 6 2" xfId="25156" xr:uid="{00000000-0005-0000-0000-000085160000}"/>
    <cellStyle name="20% - Accent3 2 7 6 3" xfId="34033" xr:uid="{00000000-0005-0000-0000-000086160000}"/>
    <cellStyle name="20% - Accent3 2 7 7" xfId="18493" xr:uid="{00000000-0005-0000-0000-000087160000}"/>
    <cellStyle name="20% - Accent3 2 7 8" xfId="27374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5" xr:uid="{00000000-0005-0000-0000-00008C160000}"/>
    <cellStyle name="20% - Accent3 2 8 2 2 3" xfId="31072" xr:uid="{00000000-0005-0000-0000-00008D160000}"/>
    <cellStyle name="20% - Accent3 2 8 2 3" xfId="13140" xr:uid="{00000000-0005-0000-0000-00008E160000}"/>
    <cellStyle name="20% - Accent3 2 8 2 3 2" xfId="24414" xr:uid="{00000000-0005-0000-0000-00008F160000}"/>
    <cellStyle name="20% - Accent3 2 8 2 3 3" xfId="33291" xr:uid="{00000000-0005-0000-0000-000090160000}"/>
    <cellStyle name="20% - Accent3 2 8 2 4" xfId="15590" xr:uid="{00000000-0005-0000-0000-000091160000}"/>
    <cellStyle name="20% - Accent3 2 8 2 4 2" xfId="26633" xr:uid="{00000000-0005-0000-0000-000092160000}"/>
    <cellStyle name="20% - Accent3 2 8 2 4 3" xfId="35510" xr:uid="{00000000-0005-0000-0000-000093160000}"/>
    <cellStyle name="20% - Accent3 2 8 2 5" xfId="19976" xr:uid="{00000000-0005-0000-0000-000094160000}"/>
    <cellStyle name="20% - Accent3 2 8 2 6" xfId="28853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2" xr:uid="{00000000-0005-0000-0000-000098160000}"/>
    <cellStyle name="20% - Accent3 2 8 3 2 3" xfId="30339" xr:uid="{00000000-0005-0000-0000-000099160000}"/>
    <cellStyle name="20% - Accent3 2 8 3 3" xfId="12407" xr:uid="{00000000-0005-0000-0000-00009A160000}"/>
    <cellStyle name="20% - Accent3 2 8 3 3 2" xfId="23681" xr:uid="{00000000-0005-0000-0000-00009B160000}"/>
    <cellStyle name="20% - Accent3 2 8 3 3 3" xfId="32558" xr:uid="{00000000-0005-0000-0000-00009C160000}"/>
    <cellStyle name="20% - Accent3 2 8 3 4" xfId="14857" xr:uid="{00000000-0005-0000-0000-00009D160000}"/>
    <cellStyle name="20% - Accent3 2 8 3 4 2" xfId="25900" xr:uid="{00000000-0005-0000-0000-00009E160000}"/>
    <cellStyle name="20% - Accent3 2 8 3 4 3" xfId="34777" xr:uid="{00000000-0005-0000-0000-00009F160000}"/>
    <cellStyle name="20% - Accent3 2 8 3 5" xfId="19243" xr:uid="{00000000-0005-0000-0000-0000A0160000}"/>
    <cellStyle name="20% - Accent3 2 8 3 6" xfId="28120" xr:uid="{00000000-0005-0000-0000-0000A1160000}"/>
    <cellStyle name="20% - Accent3 2 8 4" xfId="9216" xr:uid="{00000000-0005-0000-0000-0000A2160000}"/>
    <cellStyle name="20% - Accent3 2 8 4 2" xfId="20719" xr:uid="{00000000-0005-0000-0000-0000A3160000}"/>
    <cellStyle name="20% - Accent3 2 8 4 3" xfId="29596" xr:uid="{00000000-0005-0000-0000-0000A4160000}"/>
    <cellStyle name="20% - Accent3 2 8 5" xfId="11664" xr:uid="{00000000-0005-0000-0000-0000A5160000}"/>
    <cellStyle name="20% - Accent3 2 8 5 2" xfId="22938" xr:uid="{00000000-0005-0000-0000-0000A6160000}"/>
    <cellStyle name="20% - Accent3 2 8 5 3" xfId="31815" xr:uid="{00000000-0005-0000-0000-0000A7160000}"/>
    <cellStyle name="20% - Accent3 2 8 6" xfId="13885" xr:uid="{00000000-0005-0000-0000-0000A8160000}"/>
    <cellStyle name="20% - Accent3 2 8 6 2" xfId="25157" xr:uid="{00000000-0005-0000-0000-0000A9160000}"/>
    <cellStyle name="20% - Accent3 2 8 6 3" xfId="34034" xr:uid="{00000000-0005-0000-0000-0000AA160000}"/>
    <cellStyle name="20% - Accent3 2 8 7" xfId="18494" xr:uid="{00000000-0005-0000-0000-0000AB160000}"/>
    <cellStyle name="20% - Accent3 2 8 8" xfId="27375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6" xr:uid="{00000000-0005-0000-0000-0000B0160000}"/>
    <cellStyle name="20% - Accent3 2 9 2 2 3" xfId="31073" xr:uid="{00000000-0005-0000-0000-0000B1160000}"/>
    <cellStyle name="20% - Accent3 2 9 2 3" xfId="13141" xr:uid="{00000000-0005-0000-0000-0000B2160000}"/>
    <cellStyle name="20% - Accent3 2 9 2 3 2" xfId="24415" xr:uid="{00000000-0005-0000-0000-0000B3160000}"/>
    <cellStyle name="20% - Accent3 2 9 2 3 3" xfId="33292" xr:uid="{00000000-0005-0000-0000-0000B4160000}"/>
    <cellStyle name="20% - Accent3 2 9 2 4" xfId="15591" xr:uid="{00000000-0005-0000-0000-0000B5160000}"/>
    <cellStyle name="20% - Accent3 2 9 2 4 2" xfId="26634" xr:uid="{00000000-0005-0000-0000-0000B6160000}"/>
    <cellStyle name="20% - Accent3 2 9 2 4 3" xfId="35511" xr:uid="{00000000-0005-0000-0000-0000B7160000}"/>
    <cellStyle name="20% - Accent3 2 9 2 5" xfId="19977" xr:uid="{00000000-0005-0000-0000-0000B8160000}"/>
    <cellStyle name="20% - Accent3 2 9 2 6" xfId="28854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3" xr:uid="{00000000-0005-0000-0000-0000BC160000}"/>
    <cellStyle name="20% - Accent3 2 9 3 2 3" xfId="30340" xr:uid="{00000000-0005-0000-0000-0000BD160000}"/>
    <cellStyle name="20% - Accent3 2 9 3 3" xfId="12408" xr:uid="{00000000-0005-0000-0000-0000BE160000}"/>
    <cellStyle name="20% - Accent3 2 9 3 3 2" xfId="23682" xr:uid="{00000000-0005-0000-0000-0000BF160000}"/>
    <cellStyle name="20% - Accent3 2 9 3 3 3" xfId="32559" xr:uid="{00000000-0005-0000-0000-0000C0160000}"/>
    <cellStyle name="20% - Accent3 2 9 3 4" xfId="14858" xr:uid="{00000000-0005-0000-0000-0000C1160000}"/>
    <cellStyle name="20% - Accent3 2 9 3 4 2" xfId="25901" xr:uid="{00000000-0005-0000-0000-0000C2160000}"/>
    <cellStyle name="20% - Accent3 2 9 3 4 3" xfId="34778" xr:uid="{00000000-0005-0000-0000-0000C3160000}"/>
    <cellStyle name="20% - Accent3 2 9 3 5" xfId="19244" xr:uid="{00000000-0005-0000-0000-0000C4160000}"/>
    <cellStyle name="20% - Accent3 2 9 3 6" xfId="28121" xr:uid="{00000000-0005-0000-0000-0000C5160000}"/>
    <cellStyle name="20% - Accent3 2 9 4" xfId="9217" xr:uid="{00000000-0005-0000-0000-0000C6160000}"/>
    <cellStyle name="20% - Accent3 2 9 4 2" xfId="20720" xr:uid="{00000000-0005-0000-0000-0000C7160000}"/>
    <cellStyle name="20% - Accent3 2 9 4 3" xfId="29597" xr:uid="{00000000-0005-0000-0000-0000C8160000}"/>
    <cellStyle name="20% - Accent3 2 9 5" xfId="11665" xr:uid="{00000000-0005-0000-0000-0000C9160000}"/>
    <cellStyle name="20% - Accent3 2 9 5 2" xfId="22939" xr:uid="{00000000-0005-0000-0000-0000CA160000}"/>
    <cellStyle name="20% - Accent3 2 9 5 3" xfId="31816" xr:uid="{00000000-0005-0000-0000-0000CB160000}"/>
    <cellStyle name="20% - Accent3 2 9 6" xfId="13886" xr:uid="{00000000-0005-0000-0000-0000CC160000}"/>
    <cellStyle name="20% - Accent3 2 9 6 2" xfId="25158" xr:uid="{00000000-0005-0000-0000-0000CD160000}"/>
    <cellStyle name="20% - Accent3 2 9 6 3" xfId="34035" xr:uid="{00000000-0005-0000-0000-0000CE160000}"/>
    <cellStyle name="20% - Accent3 2 9 7" xfId="18495" xr:uid="{00000000-0005-0000-0000-0000CF160000}"/>
    <cellStyle name="20% - Accent3 2 9 8" xfId="27376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7" xr:uid="{00000000-0005-0000-0000-0000DD160000}"/>
    <cellStyle name="20% - Accent3 3 2 2 2 3" xfId="31074" xr:uid="{00000000-0005-0000-0000-0000DE160000}"/>
    <cellStyle name="20% - Accent3 3 2 2 3" xfId="13142" xr:uid="{00000000-0005-0000-0000-0000DF160000}"/>
    <cellStyle name="20% - Accent3 3 2 2 3 2" xfId="24416" xr:uid="{00000000-0005-0000-0000-0000E0160000}"/>
    <cellStyle name="20% - Accent3 3 2 2 3 3" xfId="33293" xr:uid="{00000000-0005-0000-0000-0000E1160000}"/>
    <cellStyle name="20% - Accent3 3 2 2 4" xfId="15592" xr:uid="{00000000-0005-0000-0000-0000E2160000}"/>
    <cellStyle name="20% - Accent3 3 2 2 4 2" xfId="26635" xr:uid="{00000000-0005-0000-0000-0000E3160000}"/>
    <cellStyle name="20% - Accent3 3 2 2 4 3" xfId="35512" xr:uid="{00000000-0005-0000-0000-0000E4160000}"/>
    <cellStyle name="20% - Accent3 3 2 2 5" xfId="19978" xr:uid="{00000000-0005-0000-0000-0000E5160000}"/>
    <cellStyle name="20% - Accent3 3 2 2 6" xfId="28855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4" xr:uid="{00000000-0005-0000-0000-0000E9160000}"/>
    <cellStyle name="20% - Accent3 3 2 3 2 3" xfId="30341" xr:uid="{00000000-0005-0000-0000-0000EA160000}"/>
    <cellStyle name="20% - Accent3 3 2 3 3" xfId="12409" xr:uid="{00000000-0005-0000-0000-0000EB160000}"/>
    <cellStyle name="20% - Accent3 3 2 3 3 2" xfId="23683" xr:uid="{00000000-0005-0000-0000-0000EC160000}"/>
    <cellStyle name="20% - Accent3 3 2 3 3 3" xfId="32560" xr:uid="{00000000-0005-0000-0000-0000ED160000}"/>
    <cellStyle name="20% - Accent3 3 2 3 4" xfId="14859" xr:uid="{00000000-0005-0000-0000-0000EE160000}"/>
    <cellStyle name="20% - Accent3 3 2 3 4 2" xfId="25902" xr:uid="{00000000-0005-0000-0000-0000EF160000}"/>
    <cellStyle name="20% - Accent3 3 2 3 4 3" xfId="34779" xr:uid="{00000000-0005-0000-0000-0000F0160000}"/>
    <cellStyle name="20% - Accent3 3 2 3 5" xfId="19245" xr:uid="{00000000-0005-0000-0000-0000F1160000}"/>
    <cellStyle name="20% - Accent3 3 2 3 6" xfId="28122" xr:uid="{00000000-0005-0000-0000-0000F2160000}"/>
    <cellStyle name="20% - Accent3 3 2 4" xfId="9218" xr:uid="{00000000-0005-0000-0000-0000F3160000}"/>
    <cellStyle name="20% - Accent3 3 2 4 2" xfId="20721" xr:uid="{00000000-0005-0000-0000-0000F4160000}"/>
    <cellStyle name="20% - Accent3 3 2 4 3" xfId="29598" xr:uid="{00000000-0005-0000-0000-0000F5160000}"/>
    <cellStyle name="20% - Accent3 3 2 5" xfId="11666" xr:uid="{00000000-0005-0000-0000-0000F6160000}"/>
    <cellStyle name="20% - Accent3 3 2 5 2" xfId="22940" xr:uid="{00000000-0005-0000-0000-0000F7160000}"/>
    <cellStyle name="20% - Accent3 3 2 5 3" xfId="31817" xr:uid="{00000000-0005-0000-0000-0000F8160000}"/>
    <cellStyle name="20% - Accent3 3 2 6" xfId="13887" xr:uid="{00000000-0005-0000-0000-0000F9160000}"/>
    <cellStyle name="20% - Accent3 3 2 6 2" xfId="25159" xr:uid="{00000000-0005-0000-0000-0000FA160000}"/>
    <cellStyle name="20% - Accent3 3 2 6 3" xfId="34036" xr:uid="{00000000-0005-0000-0000-0000FB160000}"/>
    <cellStyle name="20% - Accent3 3 2 7" xfId="18496" xr:uid="{00000000-0005-0000-0000-0000FC160000}"/>
    <cellStyle name="20% - Accent3 3 2 8" xfId="27377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8" xr:uid="{00000000-0005-0000-0000-000001170000}"/>
    <cellStyle name="20% - Accent3 3 3 2 2 3" xfId="31075" xr:uid="{00000000-0005-0000-0000-000002170000}"/>
    <cellStyle name="20% - Accent3 3 3 2 3" xfId="13143" xr:uid="{00000000-0005-0000-0000-000003170000}"/>
    <cellStyle name="20% - Accent3 3 3 2 3 2" xfId="24417" xr:uid="{00000000-0005-0000-0000-000004170000}"/>
    <cellStyle name="20% - Accent3 3 3 2 3 3" xfId="33294" xr:uid="{00000000-0005-0000-0000-000005170000}"/>
    <cellStyle name="20% - Accent3 3 3 2 4" xfId="15593" xr:uid="{00000000-0005-0000-0000-000006170000}"/>
    <cellStyle name="20% - Accent3 3 3 2 4 2" xfId="26636" xr:uid="{00000000-0005-0000-0000-000007170000}"/>
    <cellStyle name="20% - Accent3 3 3 2 4 3" xfId="35513" xr:uid="{00000000-0005-0000-0000-000008170000}"/>
    <cellStyle name="20% - Accent3 3 3 2 5" xfId="19979" xr:uid="{00000000-0005-0000-0000-000009170000}"/>
    <cellStyle name="20% - Accent3 3 3 2 6" xfId="28856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5" xr:uid="{00000000-0005-0000-0000-00000D170000}"/>
    <cellStyle name="20% - Accent3 3 3 3 2 3" xfId="30342" xr:uid="{00000000-0005-0000-0000-00000E170000}"/>
    <cellStyle name="20% - Accent3 3 3 3 3" xfId="12410" xr:uid="{00000000-0005-0000-0000-00000F170000}"/>
    <cellStyle name="20% - Accent3 3 3 3 3 2" xfId="23684" xr:uid="{00000000-0005-0000-0000-000010170000}"/>
    <cellStyle name="20% - Accent3 3 3 3 3 3" xfId="32561" xr:uid="{00000000-0005-0000-0000-000011170000}"/>
    <cellStyle name="20% - Accent3 3 3 3 4" xfId="14860" xr:uid="{00000000-0005-0000-0000-000012170000}"/>
    <cellStyle name="20% - Accent3 3 3 3 4 2" xfId="25903" xr:uid="{00000000-0005-0000-0000-000013170000}"/>
    <cellStyle name="20% - Accent3 3 3 3 4 3" xfId="34780" xr:uid="{00000000-0005-0000-0000-000014170000}"/>
    <cellStyle name="20% - Accent3 3 3 3 5" xfId="19246" xr:uid="{00000000-0005-0000-0000-000015170000}"/>
    <cellStyle name="20% - Accent3 3 3 3 6" xfId="28123" xr:uid="{00000000-0005-0000-0000-000016170000}"/>
    <cellStyle name="20% - Accent3 3 3 4" xfId="9219" xr:uid="{00000000-0005-0000-0000-000017170000}"/>
    <cellStyle name="20% - Accent3 3 3 4 2" xfId="20722" xr:uid="{00000000-0005-0000-0000-000018170000}"/>
    <cellStyle name="20% - Accent3 3 3 4 3" xfId="29599" xr:uid="{00000000-0005-0000-0000-000019170000}"/>
    <cellStyle name="20% - Accent3 3 3 5" xfId="11667" xr:uid="{00000000-0005-0000-0000-00001A170000}"/>
    <cellStyle name="20% - Accent3 3 3 5 2" xfId="22941" xr:uid="{00000000-0005-0000-0000-00001B170000}"/>
    <cellStyle name="20% - Accent3 3 3 5 3" xfId="31818" xr:uid="{00000000-0005-0000-0000-00001C170000}"/>
    <cellStyle name="20% - Accent3 3 3 6" xfId="13888" xr:uid="{00000000-0005-0000-0000-00001D170000}"/>
    <cellStyle name="20% - Accent3 3 3 6 2" xfId="25160" xr:uid="{00000000-0005-0000-0000-00001E170000}"/>
    <cellStyle name="20% - Accent3 3 3 6 3" xfId="34037" xr:uid="{00000000-0005-0000-0000-00001F170000}"/>
    <cellStyle name="20% - Accent3 3 3 7" xfId="18497" xr:uid="{00000000-0005-0000-0000-000020170000}"/>
    <cellStyle name="20% - Accent3 3 3 8" xfId="27378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199" xr:uid="{00000000-0005-0000-0000-000025170000}"/>
    <cellStyle name="20% - Accent3 3 4 2 2 3" xfId="31076" xr:uid="{00000000-0005-0000-0000-000026170000}"/>
    <cellStyle name="20% - Accent3 3 4 2 3" xfId="13144" xr:uid="{00000000-0005-0000-0000-000027170000}"/>
    <cellStyle name="20% - Accent3 3 4 2 3 2" xfId="24418" xr:uid="{00000000-0005-0000-0000-000028170000}"/>
    <cellStyle name="20% - Accent3 3 4 2 3 3" xfId="33295" xr:uid="{00000000-0005-0000-0000-000029170000}"/>
    <cellStyle name="20% - Accent3 3 4 2 4" xfId="15594" xr:uid="{00000000-0005-0000-0000-00002A170000}"/>
    <cellStyle name="20% - Accent3 3 4 2 4 2" xfId="26637" xr:uid="{00000000-0005-0000-0000-00002B170000}"/>
    <cellStyle name="20% - Accent3 3 4 2 4 3" xfId="35514" xr:uid="{00000000-0005-0000-0000-00002C170000}"/>
    <cellStyle name="20% - Accent3 3 4 2 5" xfId="19980" xr:uid="{00000000-0005-0000-0000-00002D170000}"/>
    <cellStyle name="20% - Accent3 3 4 2 6" xfId="28857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6" xr:uid="{00000000-0005-0000-0000-000031170000}"/>
    <cellStyle name="20% - Accent3 3 4 3 2 3" xfId="30343" xr:uid="{00000000-0005-0000-0000-000032170000}"/>
    <cellStyle name="20% - Accent3 3 4 3 3" xfId="12411" xr:uid="{00000000-0005-0000-0000-000033170000}"/>
    <cellStyle name="20% - Accent3 3 4 3 3 2" xfId="23685" xr:uid="{00000000-0005-0000-0000-000034170000}"/>
    <cellStyle name="20% - Accent3 3 4 3 3 3" xfId="32562" xr:uid="{00000000-0005-0000-0000-000035170000}"/>
    <cellStyle name="20% - Accent3 3 4 3 4" xfId="14861" xr:uid="{00000000-0005-0000-0000-000036170000}"/>
    <cellStyle name="20% - Accent3 3 4 3 4 2" xfId="25904" xr:uid="{00000000-0005-0000-0000-000037170000}"/>
    <cellStyle name="20% - Accent3 3 4 3 4 3" xfId="34781" xr:uid="{00000000-0005-0000-0000-000038170000}"/>
    <cellStyle name="20% - Accent3 3 4 3 5" xfId="19247" xr:uid="{00000000-0005-0000-0000-000039170000}"/>
    <cellStyle name="20% - Accent3 3 4 3 6" xfId="28124" xr:uid="{00000000-0005-0000-0000-00003A170000}"/>
    <cellStyle name="20% - Accent3 3 4 4" xfId="9220" xr:uid="{00000000-0005-0000-0000-00003B170000}"/>
    <cellStyle name="20% - Accent3 3 4 4 2" xfId="20723" xr:uid="{00000000-0005-0000-0000-00003C170000}"/>
    <cellStyle name="20% - Accent3 3 4 4 3" xfId="29600" xr:uid="{00000000-0005-0000-0000-00003D170000}"/>
    <cellStyle name="20% - Accent3 3 4 5" xfId="11668" xr:uid="{00000000-0005-0000-0000-00003E170000}"/>
    <cellStyle name="20% - Accent3 3 4 5 2" xfId="22942" xr:uid="{00000000-0005-0000-0000-00003F170000}"/>
    <cellStyle name="20% - Accent3 3 4 5 3" xfId="31819" xr:uid="{00000000-0005-0000-0000-000040170000}"/>
    <cellStyle name="20% - Accent3 3 4 6" xfId="13889" xr:uid="{00000000-0005-0000-0000-000041170000}"/>
    <cellStyle name="20% - Accent3 3 4 6 2" xfId="25161" xr:uid="{00000000-0005-0000-0000-000042170000}"/>
    <cellStyle name="20% - Accent3 3 4 6 3" xfId="34038" xr:uid="{00000000-0005-0000-0000-000043170000}"/>
    <cellStyle name="20% - Accent3 3 4 7" xfId="18498" xr:uid="{00000000-0005-0000-0000-000044170000}"/>
    <cellStyle name="20% - Accent3 3 4 8" xfId="27379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0" xr:uid="{00000000-0005-0000-0000-000049170000}"/>
    <cellStyle name="20% - Accent3 3 5 2 2 3" xfId="31077" xr:uid="{00000000-0005-0000-0000-00004A170000}"/>
    <cellStyle name="20% - Accent3 3 5 2 3" xfId="13145" xr:uid="{00000000-0005-0000-0000-00004B170000}"/>
    <cellStyle name="20% - Accent3 3 5 2 3 2" xfId="24419" xr:uid="{00000000-0005-0000-0000-00004C170000}"/>
    <cellStyle name="20% - Accent3 3 5 2 3 3" xfId="33296" xr:uid="{00000000-0005-0000-0000-00004D170000}"/>
    <cellStyle name="20% - Accent3 3 5 2 4" xfId="15595" xr:uid="{00000000-0005-0000-0000-00004E170000}"/>
    <cellStyle name="20% - Accent3 3 5 2 4 2" xfId="26638" xr:uid="{00000000-0005-0000-0000-00004F170000}"/>
    <cellStyle name="20% - Accent3 3 5 2 4 3" xfId="35515" xr:uid="{00000000-0005-0000-0000-000050170000}"/>
    <cellStyle name="20% - Accent3 3 5 2 5" xfId="19981" xr:uid="{00000000-0005-0000-0000-000051170000}"/>
    <cellStyle name="20% - Accent3 3 5 2 6" xfId="28858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7" xr:uid="{00000000-0005-0000-0000-000055170000}"/>
    <cellStyle name="20% - Accent3 3 5 3 2 3" xfId="30344" xr:uid="{00000000-0005-0000-0000-000056170000}"/>
    <cellStyle name="20% - Accent3 3 5 3 3" xfId="12412" xr:uid="{00000000-0005-0000-0000-000057170000}"/>
    <cellStyle name="20% - Accent3 3 5 3 3 2" xfId="23686" xr:uid="{00000000-0005-0000-0000-000058170000}"/>
    <cellStyle name="20% - Accent3 3 5 3 3 3" xfId="32563" xr:uid="{00000000-0005-0000-0000-000059170000}"/>
    <cellStyle name="20% - Accent3 3 5 3 4" xfId="14862" xr:uid="{00000000-0005-0000-0000-00005A170000}"/>
    <cellStyle name="20% - Accent3 3 5 3 4 2" xfId="25905" xr:uid="{00000000-0005-0000-0000-00005B170000}"/>
    <cellStyle name="20% - Accent3 3 5 3 4 3" xfId="34782" xr:uid="{00000000-0005-0000-0000-00005C170000}"/>
    <cellStyle name="20% - Accent3 3 5 3 5" xfId="19248" xr:uid="{00000000-0005-0000-0000-00005D170000}"/>
    <cellStyle name="20% - Accent3 3 5 3 6" xfId="28125" xr:uid="{00000000-0005-0000-0000-00005E170000}"/>
    <cellStyle name="20% - Accent3 3 5 4" xfId="9221" xr:uid="{00000000-0005-0000-0000-00005F170000}"/>
    <cellStyle name="20% - Accent3 3 5 4 2" xfId="20724" xr:uid="{00000000-0005-0000-0000-000060170000}"/>
    <cellStyle name="20% - Accent3 3 5 4 3" xfId="29601" xr:uid="{00000000-0005-0000-0000-000061170000}"/>
    <cellStyle name="20% - Accent3 3 5 5" xfId="11669" xr:uid="{00000000-0005-0000-0000-000062170000}"/>
    <cellStyle name="20% - Accent3 3 5 5 2" xfId="22943" xr:uid="{00000000-0005-0000-0000-000063170000}"/>
    <cellStyle name="20% - Accent3 3 5 5 3" xfId="31820" xr:uid="{00000000-0005-0000-0000-000064170000}"/>
    <cellStyle name="20% - Accent3 3 5 6" xfId="13890" xr:uid="{00000000-0005-0000-0000-000065170000}"/>
    <cellStyle name="20% - Accent3 3 5 6 2" xfId="25162" xr:uid="{00000000-0005-0000-0000-000066170000}"/>
    <cellStyle name="20% - Accent3 3 5 6 3" xfId="34039" xr:uid="{00000000-0005-0000-0000-000067170000}"/>
    <cellStyle name="20% - Accent3 3 5 7" xfId="18499" xr:uid="{00000000-0005-0000-0000-000068170000}"/>
    <cellStyle name="20% - Accent3 3 5 8" xfId="27380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4" xr:uid="{00000000-0005-0000-0000-000082170000}"/>
    <cellStyle name="20% - Accent3 7 10 3" xfId="31821" xr:uid="{00000000-0005-0000-0000-000083170000}"/>
    <cellStyle name="20% - Accent3 7 11" xfId="13891" xr:uid="{00000000-0005-0000-0000-000084170000}"/>
    <cellStyle name="20% - Accent3 7 11 2" xfId="25163" xr:uid="{00000000-0005-0000-0000-000085170000}"/>
    <cellStyle name="20% - Accent3 7 11 3" xfId="34040" xr:uid="{00000000-0005-0000-0000-000086170000}"/>
    <cellStyle name="20% - Accent3 7 12" xfId="18500" xr:uid="{00000000-0005-0000-0000-000087170000}"/>
    <cellStyle name="20% - Accent3 7 13" xfId="27381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1" xr:uid="{00000000-0005-0000-0000-000090170000}"/>
    <cellStyle name="20% - Accent3 7 7 2 3" xfId="31078" xr:uid="{00000000-0005-0000-0000-000091170000}"/>
    <cellStyle name="20% - Accent3 7 7 3" xfId="13146" xr:uid="{00000000-0005-0000-0000-000092170000}"/>
    <cellStyle name="20% - Accent3 7 7 3 2" xfId="24420" xr:uid="{00000000-0005-0000-0000-000093170000}"/>
    <cellStyle name="20% - Accent3 7 7 3 3" xfId="33297" xr:uid="{00000000-0005-0000-0000-000094170000}"/>
    <cellStyle name="20% - Accent3 7 7 4" xfId="15596" xr:uid="{00000000-0005-0000-0000-000095170000}"/>
    <cellStyle name="20% - Accent3 7 7 4 2" xfId="26639" xr:uid="{00000000-0005-0000-0000-000096170000}"/>
    <cellStyle name="20% - Accent3 7 7 4 3" xfId="35516" xr:uid="{00000000-0005-0000-0000-000097170000}"/>
    <cellStyle name="20% - Accent3 7 7 5" xfId="19982" xr:uid="{00000000-0005-0000-0000-000098170000}"/>
    <cellStyle name="20% - Accent3 7 7 6" xfId="28859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8" xr:uid="{00000000-0005-0000-0000-00009C170000}"/>
    <cellStyle name="20% - Accent3 7 8 2 3" xfId="30345" xr:uid="{00000000-0005-0000-0000-00009D170000}"/>
    <cellStyle name="20% - Accent3 7 8 3" xfId="12413" xr:uid="{00000000-0005-0000-0000-00009E170000}"/>
    <cellStyle name="20% - Accent3 7 8 3 2" xfId="23687" xr:uid="{00000000-0005-0000-0000-00009F170000}"/>
    <cellStyle name="20% - Accent3 7 8 3 3" xfId="32564" xr:uid="{00000000-0005-0000-0000-0000A0170000}"/>
    <cellStyle name="20% - Accent3 7 8 4" xfId="14863" xr:uid="{00000000-0005-0000-0000-0000A1170000}"/>
    <cellStyle name="20% - Accent3 7 8 4 2" xfId="25906" xr:uid="{00000000-0005-0000-0000-0000A2170000}"/>
    <cellStyle name="20% - Accent3 7 8 4 3" xfId="34783" xr:uid="{00000000-0005-0000-0000-0000A3170000}"/>
    <cellStyle name="20% - Accent3 7 8 5" xfId="19249" xr:uid="{00000000-0005-0000-0000-0000A4170000}"/>
    <cellStyle name="20% - Accent3 7 8 6" xfId="28126" xr:uid="{00000000-0005-0000-0000-0000A5170000}"/>
    <cellStyle name="20% - Accent3 7 9" xfId="9222" xr:uid="{00000000-0005-0000-0000-0000A6170000}"/>
    <cellStyle name="20% - Accent3 7 9 2" xfId="20725" xr:uid="{00000000-0005-0000-0000-0000A7170000}"/>
    <cellStyle name="20% - Accent3 7 9 3" xfId="29602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4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2" xr:uid="{00000000-0005-0000-0000-0000CF170000}"/>
    <cellStyle name="20% - Accent4 2 10 2 2 3" xfId="31079" xr:uid="{00000000-0005-0000-0000-0000D0170000}"/>
    <cellStyle name="20% - Accent4 2 10 2 3" xfId="13147" xr:uid="{00000000-0005-0000-0000-0000D1170000}"/>
    <cellStyle name="20% - Accent4 2 10 2 3 2" xfId="24421" xr:uid="{00000000-0005-0000-0000-0000D2170000}"/>
    <cellStyle name="20% - Accent4 2 10 2 3 3" xfId="33298" xr:uid="{00000000-0005-0000-0000-0000D3170000}"/>
    <cellStyle name="20% - Accent4 2 10 2 4" xfId="15597" xr:uid="{00000000-0005-0000-0000-0000D4170000}"/>
    <cellStyle name="20% - Accent4 2 10 2 4 2" xfId="26640" xr:uid="{00000000-0005-0000-0000-0000D5170000}"/>
    <cellStyle name="20% - Accent4 2 10 2 4 3" xfId="35517" xr:uid="{00000000-0005-0000-0000-0000D6170000}"/>
    <cellStyle name="20% - Accent4 2 10 2 5" xfId="19983" xr:uid="{00000000-0005-0000-0000-0000D7170000}"/>
    <cellStyle name="20% - Accent4 2 10 2 6" xfId="28860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69" xr:uid="{00000000-0005-0000-0000-0000DB170000}"/>
    <cellStyle name="20% - Accent4 2 10 3 2 3" xfId="30346" xr:uid="{00000000-0005-0000-0000-0000DC170000}"/>
    <cellStyle name="20% - Accent4 2 10 3 3" xfId="12414" xr:uid="{00000000-0005-0000-0000-0000DD170000}"/>
    <cellStyle name="20% - Accent4 2 10 3 3 2" xfId="23688" xr:uid="{00000000-0005-0000-0000-0000DE170000}"/>
    <cellStyle name="20% - Accent4 2 10 3 3 3" xfId="32565" xr:uid="{00000000-0005-0000-0000-0000DF170000}"/>
    <cellStyle name="20% - Accent4 2 10 3 4" xfId="14864" xr:uid="{00000000-0005-0000-0000-0000E0170000}"/>
    <cellStyle name="20% - Accent4 2 10 3 4 2" xfId="25907" xr:uid="{00000000-0005-0000-0000-0000E1170000}"/>
    <cellStyle name="20% - Accent4 2 10 3 4 3" xfId="34784" xr:uid="{00000000-0005-0000-0000-0000E2170000}"/>
    <cellStyle name="20% - Accent4 2 10 3 5" xfId="19250" xr:uid="{00000000-0005-0000-0000-0000E3170000}"/>
    <cellStyle name="20% - Accent4 2 10 3 6" xfId="28127" xr:uid="{00000000-0005-0000-0000-0000E4170000}"/>
    <cellStyle name="20% - Accent4 2 10 4" xfId="9223" xr:uid="{00000000-0005-0000-0000-0000E5170000}"/>
    <cellStyle name="20% - Accent4 2 10 4 2" xfId="20726" xr:uid="{00000000-0005-0000-0000-0000E6170000}"/>
    <cellStyle name="20% - Accent4 2 10 4 3" xfId="29603" xr:uid="{00000000-0005-0000-0000-0000E7170000}"/>
    <cellStyle name="20% - Accent4 2 10 5" xfId="11671" xr:uid="{00000000-0005-0000-0000-0000E8170000}"/>
    <cellStyle name="20% - Accent4 2 10 5 2" xfId="22945" xr:uid="{00000000-0005-0000-0000-0000E9170000}"/>
    <cellStyle name="20% - Accent4 2 10 5 3" xfId="31822" xr:uid="{00000000-0005-0000-0000-0000EA170000}"/>
    <cellStyle name="20% - Accent4 2 10 6" xfId="13892" xr:uid="{00000000-0005-0000-0000-0000EB170000}"/>
    <cellStyle name="20% - Accent4 2 10 6 2" xfId="25164" xr:uid="{00000000-0005-0000-0000-0000EC170000}"/>
    <cellStyle name="20% - Accent4 2 10 6 3" xfId="34041" xr:uid="{00000000-0005-0000-0000-0000ED170000}"/>
    <cellStyle name="20% - Accent4 2 10 7" xfId="18501" xr:uid="{00000000-0005-0000-0000-0000EE170000}"/>
    <cellStyle name="20% - Accent4 2 10 8" xfId="27382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3" xr:uid="{00000000-0005-0000-0000-0000F4170000}"/>
    <cellStyle name="20% - Accent4 2 11 2 2 2 3" xfId="31080" xr:uid="{00000000-0005-0000-0000-0000F5170000}"/>
    <cellStyle name="20% - Accent4 2 11 2 2 3" xfId="13148" xr:uid="{00000000-0005-0000-0000-0000F6170000}"/>
    <cellStyle name="20% - Accent4 2 11 2 2 3 2" xfId="24422" xr:uid="{00000000-0005-0000-0000-0000F7170000}"/>
    <cellStyle name="20% - Accent4 2 11 2 2 3 3" xfId="33299" xr:uid="{00000000-0005-0000-0000-0000F8170000}"/>
    <cellStyle name="20% - Accent4 2 11 2 2 4" xfId="15598" xr:uid="{00000000-0005-0000-0000-0000F9170000}"/>
    <cellStyle name="20% - Accent4 2 11 2 2 4 2" xfId="26641" xr:uid="{00000000-0005-0000-0000-0000FA170000}"/>
    <cellStyle name="20% - Accent4 2 11 2 2 4 3" xfId="35518" xr:uid="{00000000-0005-0000-0000-0000FB170000}"/>
    <cellStyle name="20% - Accent4 2 11 2 2 5" xfId="19984" xr:uid="{00000000-0005-0000-0000-0000FC170000}"/>
    <cellStyle name="20% - Accent4 2 11 2 2 6" xfId="28861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0" xr:uid="{00000000-0005-0000-0000-000000180000}"/>
    <cellStyle name="20% - Accent4 2 11 2 3 2 3" xfId="30347" xr:uid="{00000000-0005-0000-0000-000001180000}"/>
    <cellStyle name="20% - Accent4 2 11 2 3 3" xfId="12415" xr:uid="{00000000-0005-0000-0000-000002180000}"/>
    <cellStyle name="20% - Accent4 2 11 2 3 3 2" xfId="23689" xr:uid="{00000000-0005-0000-0000-000003180000}"/>
    <cellStyle name="20% - Accent4 2 11 2 3 3 3" xfId="32566" xr:uid="{00000000-0005-0000-0000-000004180000}"/>
    <cellStyle name="20% - Accent4 2 11 2 3 4" xfId="14865" xr:uid="{00000000-0005-0000-0000-000005180000}"/>
    <cellStyle name="20% - Accent4 2 11 2 3 4 2" xfId="25908" xr:uid="{00000000-0005-0000-0000-000006180000}"/>
    <cellStyle name="20% - Accent4 2 11 2 3 4 3" xfId="34785" xr:uid="{00000000-0005-0000-0000-000007180000}"/>
    <cellStyle name="20% - Accent4 2 11 2 3 5" xfId="19251" xr:uid="{00000000-0005-0000-0000-000008180000}"/>
    <cellStyle name="20% - Accent4 2 11 2 3 6" xfId="28128" xr:uid="{00000000-0005-0000-0000-000009180000}"/>
    <cellStyle name="20% - Accent4 2 11 2 4" xfId="9224" xr:uid="{00000000-0005-0000-0000-00000A180000}"/>
    <cellStyle name="20% - Accent4 2 11 2 4 2" xfId="20727" xr:uid="{00000000-0005-0000-0000-00000B180000}"/>
    <cellStyle name="20% - Accent4 2 11 2 4 3" xfId="29604" xr:uid="{00000000-0005-0000-0000-00000C180000}"/>
    <cellStyle name="20% - Accent4 2 11 2 5" xfId="11672" xr:uid="{00000000-0005-0000-0000-00000D180000}"/>
    <cellStyle name="20% - Accent4 2 11 2 5 2" xfId="22946" xr:uid="{00000000-0005-0000-0000-00000E180000}"/>
    <cellStyle name="20% - Accent4 2 11 2 5 3" xfId="31823" xr:uid="{00000000-0005-0000-0000-00000F180000}"/>
    <cellStyle name="20% - Accent4 2 11 2 6" xfId="13893" xr:uid="{00000000-0005-0000-0000-000010180000}"/>
    <cellStyle name="20% - Accent4 2 11 2 6 2" xfId="25165" xr:uid="{00000000-0005-0000-0000-000011180000}"/>
    <cellStyle name="20% - Accent4 2 11 2 6 3" xfId="34042" xr:uid="{00000000-0005-0000-0000-000012180000}"/>
    <cellStyle name="20% - Accent4 2 11 2 7" xfId="18502" xr:uid="{00000000-0005-0000-0000-000013180000}"/>
    <cellStyle name="20% - Accent4 2 11 2 8" xfId="27383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4" xr:uid="{00000000-0005-0000-0000-000018180000}"/>
    <cellStyle name="20% - Accent4 2 11 3 2 2 3" xfId="31081" xr:uid="{00000000-0005-0000-0000-000019180000}"/>
    <cellStyle name="20% - Accent4 2 11 3 2 3" xfId="13149" xr:uid="{00000000-0005-0000-0000-00001A180000}"/>
    <cellStyle name="20% - Accent4 2 11 3 2 3 2" xfId="24423" xr:uid="{00000000-0005-0000-0000-00001B180000}"/>
    <cellStyle name="20% - Accent4 2 11 3 2 3 3" xfId="33300" xr:uid="{00000000-0005-0000-0000-00001C180000}"/>
    <cellStyle name="20% - Accent4 2 11 3 2 4" xfId="15599" xr:uid="{00000000-0005-0000-0000-00001D180000}"/>
    <cellStyle name="20% - Accent4 2 11 3 2 4 2" xfId="26642" xr:uid="{00000000-0005-0000-0000-00001E180000}"/>
    <cellStyle name="20% - Accent4 2 11 3 2 4 3" xfId="35519" xr:uid="{00000000-0005-0000-0000-00001F180000}"/>
    <cellStyle name="20% - Accent4 2 11 3 2 5" xfId="19985" xr:uid="{00000000-0005-0000-0000-000020180000}"/>
    <cellStyle name="20% - Accent4 2 11 3 2 6" xfId="28862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1" xr:uid="{00000000-0005-0000-0000-000024180000}"/>
    <cellStyle name="20% - Accent4 2 11 3 3 2 3" xfId="30348" xr:uid="{00000000-0005-0000-0000-000025180000}"/>
    <cellStyle name="20% - Accent4 2 11 3 3 3" xfId="12416" xr:uid="{00000000-0005-0000-0000-000026180000}"/>
    <cellStyle name="20% - Accent4 2 11 3 3 3 2" xfId="23690" xr:uid="{00000000-0005-0000-0000-000027180000}"/>
    <cellStyle name="20% - Accent4 2 11 3 3 3 3" xfId="32567" xr:uid="{00000000-0005-0000-0000-000028180000}"/>
    <cellStyle name="20% - Accent4 2 11 3 3 4" xfId="14866" xr:uid="{00000000-0005-0000-0000-000029180000}"/>
    <cellStyle name="20% - Accent4 2 11 3 3 4 2" xfId="25909" xr:uid="{00000000-0005-0000-0000-00002A180000}"/>
    <cellStyle name="20% - Accent4 2 11 3 3 4 3" xfId="34786" xr:uid="{00000000-0005-0000-0000-00002B180000}"/>
    <cellStyle name="20% - Accent4 2 11 3 3 5" xfId="19252" xr:uid="{00000000-0005-0000-0000-00002C180000}"/>
    <cellStyle name="20% - Accent4 2 11 3 3 6" xfId="28129" xr:uid="{00000000-0005-0000-0000-00002D180000}"/>
    <cellStyle name="20% - Accent4 2 11 3 4" xfId="9225" xr:uid="{00000000-0005-0000-0000-00002E180000}"/>
    <cellStyle name="20% - Accent4 2 11 3 4 2" xfId="20728" xr:uid="{00000000-0005-0000-0000-00002F180000}"/>
    <cellStyle name="20% - Accent4 2 11 3 4 3" xfId="29605" xr:uid="{00000000-0005-0000-0000-000030180000}"/>
    <cellStyle name="20% - Accent4 2 11 3 5" xfId="11673" xr:uid="{00000000-0005-0000-0000-000031180000}"/>
    <cellStyle name="20% - Accent4 2 11 3 5 2" xfId="22947" xr:uid="{00000000-0005-0000-0000-000032180000}"/>
    <cellStyle name="20% - Accent4 2 11 3 5 3" xfId="31824" xr:uid="{00000000-0005-0000-0000-000033180000}"/>
    <cellStyle name="20% - Accent4 2 11 3 6" xfId="13894" xr:uid="{00000000-0005-0000-0000-000034180000}"/>
    <cellStyle name="20% - Accent4 2 11 3 6 2" xfId="25166" xr:uid="{00000000-0005-0000-0000-000035180000}"/>
    <cellStyle name="20% - Accent4 2 11 3 6 3" xfId="34043" xr:uid="{00000000-0005-0000-0000-000036180000}"/>
    <cellStyle name="20% - Accent4 2 11 3 7" xfId="18503" xr:uid="{00000000-0005-0000-0000-000037180000}"/>
    <cellStyle name="20% - Accent4 2 11 3 8" xfId="27384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5" xr:uid="{00000000-0005-0000-0000-00003C180000}"/>
    <cellStyle name="20% - Accent4 2 11 4 2 2 3" xfId="31082" xr:uid="{00000000-0005-0000-0000-00003D180000}"/>
    <cellStyle name="20% - Accent4 2 11 4 2 3" xfId="13150" xr:uid="{00000000-0005-0000-0000-00003E180000}"/>
    <cellStyle name="20% - Accent4 2 11 4 2 3 2" xfId="24424" xr:uid="{00000000-0005-0000-0000-00003F180000}"/>
    <cellStyle name="20% - Accent4 2 11 4 2 3 3" xfId="33301" xr:uid="{00000000-0005-0000-0000-000040180000}"/>
    <cellStyle name="20% - Accent4 2 11 4 2 4" xfId="15600" xr:uid="{00000000-0005-0000-0000-000041180000}"/>
    <cellStyle name="20% - Accent4 2 11 4 2 4 2" xfId="26643" xr:uid="{00000000-0005-0000-0000-000042180000}"/>
    <cellStyle name="20% - Accent4 2 11 4 2 4 3" xfId="35520" xr:uid="{00000000-0005-0000-0000-000043180000}"/>
    <cellStyle name="20% - Accent4 2 11 4 2 5" xfId="19986" xr:uid="{00000000-0005-0000-0000-000044180000}"/>
    <cellStyle name="20% - Accent4 2 11 4 2 6" xfId="28863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2" xr:uid="{00000000-0005-0000-0000-000048180000}"/>
    <cellStyle name="20% - Accent4 2 11 4 3 2 3" xfId="30349" xr:uid="{00000000-0005-0000-0000-000049180000}"/>
    <cellStyle name="20% - Accent4 2 11 4 3 3" xfId="12417" xr:uid="{00000000-0005-0000-0000-00004A180000}"/>
    <cellStyle name="20% - Accent4 2 11 4 3 3 2" xfId="23691" xr:uid="{00000000-0005-0000-0000-00004B180000}"/>
    <cellStyle name="20% - Accent4 2 11 4 3 3 3" xfId="32568" xr:uid="{00000000-0005-0000-0000-00004C180000}"/>
    <cellStyle name="20% - Accent4 2 11 4 3 4" xfId="14867" xr:uid="{00000000-0005-0000-0000-00004D180000}"/>
    <cellStyle name="20% - Accent4 2 11 4 3 4 2" xfId="25910" xr:uid="{00000000-0005-0000-0000-00004E180000}"/>
    <cellStyle name="20% - Accent4 2 11 4 3 4 3" xfId="34787" xr:uid="{00000000-0005-0000-0000-00004F180000}"/>
    <cellStyle name="20% - Accent4 2 11 4 3 5" xfId="19253" xr:uid="{00000000-0005-0000-0000-000050180000}"/>
    <cellStyle name="20% - Accent4 2 11 4 3 6" xfId="28130" xr:uid="{00000000-0005-0000-0000-000051180000}"/>
    <cellStyle name="20% - Accent4 2 11 4 4" xfId="9226" xr:uid="{00000000-0005-0000-0000-000052180000}"/>
    <cellStyle name="20% - Accent4 2 11 4 4 2" xfId="20729" xr:uid="{00000000-0005-0000-0000-000053180000}"/>
    <cellStyle name="20% - Accent4 2 11 4 4 3" xfId="29606" xr:uid="{00000000-0005-0000-0000-000054180000}"/>
    <cellStyle name="20% - Accent4 2 11 4 5" xfId="11674" xr:uid="{00000000-0005-0000-0000-000055180000}"/>
    <cellStyle name="20% - Accent4 2 11 4 5 2" xfId="22948" xr:uid="{00000000-0005-0000-0000-000056180000}"/>
    <cellStyle name="20% - Accent4 2 11 4 5 3" xfId="31825" xr:uid="{00000000-0005-0000-0000-000057180000}"/>
    <cellStyle name="20% - Accent4 2 11 4 6" xfId="13895" xr:uid="{00000000-0005-0000-0000-000058180000}"/>
    <cellStyle name="20% - Accent4 2 11 4 6 2" xfId="25167" xr:uid="{00000000-0005-0000-0000-000059180000}"/>
    <cellStyle name="20% - Accent4 2 11 4 6 3" xfId="34044" xr:uid="{00000000-0005-0000-0000-00005A180000}"/>
    <cellStyle name="20% - Accent4 2 11 4 7" xfId="18504" xr:uid="{00000000-0005-0000-0000-00005B180000}"/>
    <cellStyle name="20% - Accent4 2 11 4 8" xfId="27385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6" xr:uid="{00000000-0005-0000-0000-000060180000}"/>
    <cellStyle name="20% - Accent4 2 11 5 2 2 3" xfId="31083" xr:uid="{00000000-0005-0000-0000-000061180000}"/>
    <cellStyle name="20% - Accent4 2 11 5 2 3" xfId="13151" xr:uid="{00000000-0005-0000-0000-000062180000}"/>
    <cellStyle name="20% - Accent4 2 11 5 2 3 2" xfId="24425" xr:uid="{00000000-0005-0000-0000-000063180000}"/>
    <cellStyle name="20% - Accent4 2 11 5 2 3 3" xfId="33302" xr:uid="{00000000-0005-0000-0000-000064180000}"/>
    <cellStyle name="20% - Accent4 2 11 5 2 4" xfId="15601" xr:uid="{00000000-0005-0000-0000-000065180000}"/>
    <cellStyle name="20% - Accent4 2 11 5 2 4 2" xfId="26644" xr:uid="{00000000-0005-0000-0000-000066180000}"/>
    <cellStyle name="20% - Accent4 2 11 5 2 4 3" xfId="35521" xr:uid="{00000000-0005-0000-0000-000067180000}"/>
    <cellStyle name="20% - Accent4 2 11 5 2 5" xfId="19987" xr:uid="{00000000-0005-0000-0000-000068180000}"/>
    <cellStyle name="20% - Accent4 2 11 5 2 6" xfId="28864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3" xr:uid="{00000000-0005-0000-0000-00006C180000}"/>
    <cellStyle name="20% - Accent4 2 11 5 3 2 3" xfId="30350" xr:uid="{00000000-0005-0000-0000-00006D180000}"/>
    <cellStyle name="20% - Accent4 2 11 5 3 3" xfId="12418" xr:uid="{00000000-0005-0000-0000-00006E180000}"/>
    <cellStyle name="20% - Accent4 2 11 5 3 3 2" xfId="23692" xr:uid="{00000000-0005-0000-0000-00006F180000}"/>
    <cellStyle name="20% - Accent4 2 11 5 3 3 3" xfId="32569" xr:uid="{00000000-0005-0000-0000-000070180000}"/>
    <cellStyle name="20% - Accent4 2 11 5 3 4" xfId="14868" xr:uid="{00000000-0005-0000-0000-000071180000}"/>
    <cellStyle name="20% - Accent4 2 11 5 3 4 2" xfId="25911" xr:uid="{00000000-0005-0000-0000-000072180000}"/>
    <cellStyle name="20% - Accent4 2 11 5 3 4 3" xfId="34788" xr:uid="{00000000-0005-0000-0000-000073180000}"/>
    <cellStyle name="20% - Accent4 2 11 5 3 5" xfId="19254" xr:uid="{00000000-0005-0000-0000-000074180000}"/>
    <cellStyle name="20% - Accent4 2 11 5 3 6" xfId="28131" xr:uid="{00000000-0005-0000-0000-000075180000}"/>
    <cellStyle name="20% - Accent4 2 11 5 4" xfId="9227" xr:uid="{00000000-0005-0000-0000-000076180000}"/>
    <cellStyle name="20% - Accent4 2 11 5 4 2" xfId="20730" xr:uid="{00000000-0005-0000-0000-000077180000}"/>
    <cellStyle name="20% - Accent4 2 11 5 4 3" xfId="29607" xr:uid="{00000000-0005-0000-0000-000078180000}"/>
    <cellStyle name="20% - Accent4 2 11 5 5" xfId="11675" xr:uid="{00000000-0005-0000-0000-000079180000}"/>
    <cellStyle name="20% - Accent4 2 11 5 5 2" xfId="22949" xr:uid="{00000000-0005-0000-0000-00007A180000}"/>
    <cellStyle name="20% - Accent4 2 11 5 5 3" xfId="31826" xr:uid="{00000000-0005-0000-0000-00007B180000}"/>
    <cellStyle name="20% - Accent4 2 11 5 6" xfId="13896" xr:uid="{00000000-0005-0000-0000-00007C180000}"/>
    <cellStyle name="20% - Accent4 2 11 5 6 2" xfId="25168" xr:uid="{00000000-0005-0000-0000-00007D180000}"/>
    <cellStyle name="20% - Accent4 2 11 5 6 3" xfId="34045" xr:uid="{00000000-0005-0000-0000-00007E180000}"/>
    <cellStyle name="20% - Accent4 2 11 5 7" xfId="18505" xr:uid="{00000000-0005-0000-0000-00007F180000}"/>
    <cellStyle name="20% - Accent4 2 11 5 8" xfId="27386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7" xr:uid="{00000000-0005-0000-0000-000087180000}"/>
    <cellStyle name="20% - Accent4 2 15 2 2 3" xfId="31084" xr:uid="{00000000-0005-0000-0000-000088180000}"/>
    <cellStyle name="20% - Accent4 2 15 2 3" xfId="13152" xr:uid="{00000000-0005-0000-0000-000089180000}"/>
    <cellStyle name="20% - Accent4 2 15 2 3 2" xfId="24426" xr:uid="{00000000-0005-0000-0000-00008A180000}"/>
    <cellStyle name="20% - Accent4 2 15 2 3 3" xfId="33303" xr:uid="{00000000-0005-0000-0000-00008B180000}"/>
    <cellStyle name="20% - Accent4 2 15 2 4" xfId="15602" xr:uid="{00000000-0005-0000-0000-00008C180000}"/>
    <cellStyle name="20% - Accent4 2 15 2 4 2" xfId="26645" xr:uid="{00000000-0005-0000-0000-00008D180000}"/>
    <cellStyle name="20% - Accent4 2 15 2 4 3" xfId="35522" xr:uid="{00000000-0005-0000-0000-00008E180000}"/>
    <cellStyle name="20% - Accent4 2 15 2 5" xfId="19988" xr:uid="{00000000-0005-0000-0000-00008F180000}"/>
    <cellStyle name="20% - Accent4 2 15 2 6" xfId="28865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4" xr:uid="{00000000-0005-0000-0000-000093180000}"/>
    <cellStyle name="20% - Accent4 2 15 3 2 3" xfId="30351" xr:uid="{00000000-0005-0000-0000-000094180000}"/>
    <cellStyle name="20% - Accent4 2 15 3 3" xfId="12419" xr:uid="{00000000-0005-0000-0000-000095180000}"/>
    <cellStyle name="20% - Accent4 2 15 3 3 2" xfId="23693" xr:uid="{00000000-0005-0000-0000-000096180000}"/>
    <cellStyle name="20% - Accent4 2 15 3 3 3" xfId="32570" xr:uid="{00000000-0005-0000-0000-000097180000}"/>
    <cellStyle name="20% - Accent4 2 15 3 4" xfId="14869" xr:uid="{00000000-0005-0000-0000-000098180000}"/>
    <cellStyle name="20% - Accent4 2 15 3 4 2" xfId="25912" xr:uid="{00000000-0005-0000-0000-000099180000}"/>
    <cellStyle name="20% - Accent4 2 15 3 4 3" xfId="34789" xr:uid="{00000000-0005-0000-0000-00009A180000}"/>
    <cellStyle name="20% - Accent4 2 15 3 5" xfId="19255" xr:uid="{00000000-0005-0000-0000-00009B180000}"/>
    <cellStyle name="20% - Accent4 2 15 3 6" xfId="28132" xr:uid="{00000000-0005-0000-0000-00009C180000}"/>
    <cellStyle name="20% - Accent4 2 15 4" xfId="9228" xr:uid="{00000000-0005-0000-0000-00009D180000}"/>
    <cellStyle name="20% - Accent4 2 15 4 2" xfId="20731" xr:uid="{00000000-0005-0000-0000-00009E180000}"/>
    <cellStyle name="20% - Accent4 2 15 4 3" xfId="29608" xr:uid="{00000000-0005-0000-0000-00009F180000}"/>
    <cellStyle name="20% - Accent4 2 15 5" xfId="11676" xr:uid="{00000000-0005-0000-0000-0000A0180000}"/>
    <cellStyle name="20% - Accent4 2 15 5 2" xfId="22950" xr:uid="{00000000-0005-0000-0000-0000A1180000}"/>
    <cellStyle name="20% - Accent4 2 15 5 3" xfId="31827" xr:uid="{00000000-0005-0000-0000-0000A2180000}"/>
    <cellStyle name="20% - Accent4 2 15 6" xfId="13897" xr:uid="{00000000-0005-0000-0000-0000A3180000}"/>
    <cellStyle name="20% - Accent4 2 15 6 2" xfId="25169" xr:uid="{00000000-0005-0000-0000-0000A4180000}"/>
    <cellStyle name="20% - Accent4 2 15 6 3" xfId="34046" xr:uid="{00000000-0005-0000-0000-0000A5180000}"/>
    <cellStyle name="20% - Accent4 2 15 7" xfId="18506" xr:uid="{00000000-0005-0000-0000-0000A6180000}"/>
    <cellStyle name="20% - Accent4 2 15 8" xfId="27387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8" xr:uid="{00000000-0005-0000-0000-0000AC180000}"/>
    <cellStyle name="20% - Accent4 2 2 10 2 3" xfId="31085" xr:uid="{00000000-0005-0000-0000-0000AD180000}"/>
    <cellStyle name="20% - Accent4 2 2 10 3" xfId="13153" xr:uid="{00000000-0005-0000-0000-0000AE180000}"/>
    <cellStyle name="20% - Accent4 2 2 10 3 2" xfId="24427" xr:uid="{00000000-0005-0000-0000-0000AF180000}"/>
    <cellStyle name="20% - Accent4 2 2 10 3 3" xfId="33304" xr:uid="{00000000-0005-0000-0000-0000B0180000}"/>
    <cellStyle name="20% - Accent4 2 2 10 4" xfId="15603" xr:uid="{00000000-0005-0000-0000-0000B1180000}"/>
    <cellStyle name="20% - Accent4 2 2 10 4 2" xfId="26646" xr:uid="{00000000-0005-0000-0000-0000B2180000}"/>
    <cellStyle name="20% - Accent4 2 2 10 4 3" xfId="35523" xr:uid="{00000000-0005-0000-0000-0000B3180000}"/>
    <cellStyle name="20% - Accent4 2 2 10 5" xfId="19989" xr:uid="{00000000-0005-0000-0000-0000B4180000}"/>
    <cellStyle name="20% - Accent4 2 2 10 6" xfId="28866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5" xr:uid="{00000000-0005-0000-0000-0000B8180000}"/>
    <cellStyle name="20% - Accent4 2 2 11 2 3" xfId="30352" xr:uid="{00000000-0005-0000-0000-0000B9180000}"/>
    <cellStyle name="20% - Accent4 2 2 11 3" xfId="12420" xr:uid="{00000000-0005-0000-0000-0000BA180000}"/>
    <cellStyle name="20% - Accent4 2 2 11 3 2" xfId="23694" xr:uid="{00000000-0005-0000-0000-0000BB180000}"/>
    <cellStyle name="20% - Accent4 2 2 11 3 3" xfId="32571" xr:uid="{00000000-0005-0000-0000-0000BC180000}"/>
    <cellStyle name="20% - Accent4 2 2 11 4" xfId="14870" xr:uid="{00000000-0005-0000-0000-0000BD180000}"/>
    <cellStyle name="20% - Accent4 2 2 11 4 2" xfId="25913" xr:uid="{00000000-0005-0000-0000-0000BE180000}"/>
    <cellStyle name="20% - Accent4 2 2 11 4 3" xfId="34790" xr:uid="{00000000-0005-0000-0000-0000BF180000}"/>
    <cellStyle name="20% - Accent4 2 2 11 5" xfId="19256" xr:uid="{00000000-0005-0000-0000-0000C0180000}"/>
    <cellStyle name="20% - Accent4 2 2 11 6" xfId="28133" xr:uid="{00000000-0005-0000-0000-0000C1180000}"/>
    <cellStyle name="20% - Accent4 2 2 12" xfId="9229" xr:uid="{00000000-0005-0000-0000-0000C2180000}"/>
    <cellStyle name="20% - Accent4 2 2 12 2" xfId="20732" xr:uid="{00000000-0005-0000-0000-0000C3180000}"/>
    <cellStyle name="20% - Accent4 2 2 12 3" xfId="29609" xr:uid="{00000000-0005-0000-0000-0000C4180000}"/>
    <cellStyle name="20% - Accent4 2 2 13" xfId="11677" xr:uid="{00000000-0005-0000-0000-0000C5180000}"/>
    <cellStyle name="20% - Accent4 2 2 13 2" xfId="22951" xr:uid="{00000000-0005-0000-0000-0000C6180000}"/>
    <cellStyle name="20% - Accent4 2 2 13 3" xfId="31828" xr:uid="{00000000-0005-0000-0000-0000C7180000}"/>
    <cellStyle name="20% - Accent4 2 2 14" xfId="13898" xr:uid="{00000000-0005-0000-0000-0000C8180000}"/>
    <cellStyle name="20% - Accent4 2 2 14 2" xfId="25170" xr:uid="{00000000-0005-0000-0000-0000C9180000}"/>
    <cellStyle name="20% - Accent4 2 2 14 3" xfId="34047" xr:uid="{00000000-0005-0000-0000-0000CA180000}"/>
    <cellStyle name="20% - Accent4 2 2 15" xfId="18507" xr:uid="{00000000-0005-0000-0000-0000CB180000}"/>
    <cellStyle name="20% - Accent4 2 2 16" xfId="27388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09" xr:uid="{00000000-0005-0000-0000-0000D0180000}"/>
    <cellStyle name="20% - Accent4 2 2 2 2 2 3" xfId="31086" xr:uid="{00000000-0005-0000-0000-0000D1180000}"/>
    <cellStyle name="20% - Accent4 2 2 2 2 3" xfId="13154" xr:uid="{00000000-0005-0000-0000-0000D2180000}"/>
    <cellStyle name="20% - Accent4 2 2 2 2 3 2" xfId="24428" xr:uid="{00000000-0005-0000-0000-0000D3180000}"/>
    <cellStyle name="20% - Accent4 2 2 2 2 3 3" xfId="33305" xr:uid="{00000000-0005-0000-0000-0000D4180000}"/>
    <cellStyle name="20% - Accent4 2 2 2 2 4" xfId="15604" xr:uid="{00000000-0005-0000-0000-0000D5180000}"/>
    <cellStyle name="20% - Accent4 2 2 2 2 4 2" xfId="26647" xr:uid="{00000000-0005-0000-0000-0000D6180000}"/>
    <cellStyle name="20% - Accent4 2 2 2 2 4 3" xfId="35524" xr:uid="{00000000-0005-0000-0000-0000D7180000}"/>
    <cellStyle name="20% - Accent4 2 2 2 2 5" xfId="19990" xr:uid="{00000000-0005-0000-0000-0000D8180000}"/>
    <cellStyle name="20% - Accent4 2 2 2 2 6" xfId="28867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6" xr:uid="{00000000-0005-0000-0000-0000DC180000}"/>
    <cellStyle name="20% - Accent4 2 2 2 3 2 3" xfId="30353" xr:uid="{00000000-0005-0000-0000-0000DD180000}"/>
    <cellStyle name="20% - Accent4 2 2 2 3 3" xfId="12421" xr:uid="{00000000-0005-0000-0000-0000DE180000}"/>
    <cellStyle name="20% - Accent4 2 2 2 3 3 2" xfId="23695" xr:uid="{00000000-0005-0000-0000-0000DF180000}"/>
    <cellStyle name="20% - Accent4 2 2 2 3 3 3" xfId="32572" xr:uid="{00000000-0005-0000-0000-0000E0180000}"/>
    <cellStyle name="20% - Accent4 2 2 2 3 4" xfId="14871" xr:uid="{00000000-0005-0000-0000-0000E1180000}"/>
    <cellStyle name="20% - Accent4 2 2 2 3 4 2" xfId="25914" xr:uid="{00000000-0005-0000-0000-0000E2180000}"/>
    <cellStyle name="20% - Accent4 2 2 2 3 4 3" xfId="34791" xr:uid="{00000000-0005-0000-0000-0000E3180000}"/>
    <cellStyle name="20% - Accent4 2 2 2 3 5" xfId="19257" xr:uid="{00000000-0005-0000-0000-0000E4180000}"/>
    <cellStyle name="20% - Accent4 2 2 2 3 6" xfId="28134" xr:uid="{00000000-0005-0000-0000-0000E5180000}"/>
    <cellStyle name="20% - Accent4 2 2 2 4" xfId="9230" xr:uid="{00000000-0005-0000-0000-0000E6180000}"/>
    <cellStyle name="20% - Accent4 2 2 2 4 2" xfId="20733" xr:uid="{00000000-0005-0000-0000-0000E7180000}"/>
    <cellStyle name="20% - Accent4 2 2 2 4 3" xfId="29610" xr:uid="{00000000-0005-0000-0000-0000E8180000}"/>
    <cellStyle name="20% - Accent4 2 2 2 5" xfId="11678" xr:uid="{00000000-0005-0000-0000-0000E9180000}"/>
    <cellStyle name="20% - Accent4 2 2 2 5 2" xfId="22952" xr:uid="{00000000-0005-0000-0000-0000EA180000}"/>
    <cellStyle name="20% - Accent4 2 2 2 5 3" xfId="31829" xr:uid="{00000000-0005-0000-0000-0000EB180000}"/>
    <cellStyle name="20% - Accent4 2 2 2 6" xfId="13899" xr:uid="{00000000-0005-0000-0000-0000EC180000}"/>
    <cellStyle name="20% - Accent4 2 2 2 6 2" xfId="25171" xr:uid="{00000000-0005-0000-0000-0000ED180000}"/>
    <cellStyle name="20% - Accent4 2 2 2 6 3" xfId="34048" xr:uid="{00000000-0005-0000-0000-0000EE180000}"/>
    <cellStyle name="20% - Accent4 2 2 2 7" xfId="18508" xr:uid="{00000000-0005-0000-0000-0000EF180000}"/>
    <cellStyle name="20% - Accent4 2 2 2 8" xfId="27389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0" xr:uid="{00000000-0005-0000-0000-0000F4180000}"/>
    <cellStyle name="20% - Accent4 2 2 3 2 2 3" xfId="31087" xr:uid="{00000000-0005-0000-0000-0000F5180000}"/>
    <cellStyle name="20% - Accent4 2 2 3 2 3" xfId="13155" xr:uid="{00000000-0005-0000-0000-0000F6180000}"/>
    <cellStyle name="20% - Accent4 2 2 3 2 3 2" xfId="24429" xr:uid="{00000000-0005-0000-0000-0000F7180000}"/>
    <cellStyle name="20% - Accent4 2 2 3 2 3 3" xfId="33306" xr:uid="{00000000-0005-0000-0000-0000F8180000}"/>
    <cellStyle name="20% - Accent4 2 2 3 2 4" xfId="15605" xr:uid="{00000000-0005-0000-0000-0000F9180000}"/>
    <cellStyle name="20% - Accent4 2 2 3 2 4 2" xfId="26648" xr:uid="{00000000-0005-0000-0000-0000FA180000}"/>
    <cellStyle name="20% - Accent4 2 2 3 2 4 3" xfId="35525" xr:uid="{00000000-0005-0000-0000-0000FB180000}"/>
    <cellStyle name="20% - Accent4 2 2 3 2 5" xfId="19991" xr:uid="{00000000-0005-0000-0000-0000FC180000}"/>
    <cellStyle name="20% - Accent4 2 2 3 2 6" xfId="28868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7" xr:uid="{00000000-0005-0000-0000-000000190000}"/>
    <cellStyle name="20% - Accent4 2 2 3 3 2 3" xfId="30354" xr:uid="{00000000-0005-0000-0000-000001190000}"/>
    <cellStyle name="20% - Accent4 2 2 3 3 3" xfId="12422" xr:uid="{00000000-0005-0000-0000-000002190000}"/>
    <cellStyle name="20% - Accent4 2 2 3 3 3 2" xfId="23696" xr:uid="{00000000-0005-0000-0000-000003190000}"/>
    <cellStyle name="20% - Accent4 2 2 3 3 3 3" xfId="32573" xr:uid="{00000000-0005-0000-0000-000004190000}"/>
    <cellStyle name="20% - Accent4 2 2 3 3 4" xfId="14872" xr:uid="{00000000-0005-0000-0000-000005190000}"/>
    <cellStyle name="20% - Accent4 2 2 3 3 4 2" xfId="25915" xr:uid="{00000000-0005-0000-0000-000006190000}"/>
    <cellStyle name="20% - Accent4 2 2 3 3 4 3" xfId="34792" xr:uid="{00000000-0005-0000-0000-000007190000}"/>
    <cellStyle name="20% - Accent4 2 2 3 3 5" xfId="19258" xr:uid="{00000000-0005-0000-0000-000008190000}"/>
    <cellStyle name="20% - Accent4 2 2 3 3 6" xfId="28135" xr:uid="{00000000-0005-0000-0000-000009190000}"/>
    <cellStyle name="20% - Accent4 2 2 3 4" xfId="9231" xr:uid="{00000000-0005-0000-0000-00000A190000}"/>
    <cellStyle name="20% - Accent4 2 2 3 4 2" xfId="20734" xr:uid="{00000000-0005-0000-0000-00000B190000}"/>
    <cellStyle name="20% - Accent4 2 2 3 4 3" xfId="29611" xr:uid="{00000000-0005-0000-0000-00000C190000}"/>
    <cellStyle name="20% - Accent4 2 2 3 5" xfId="11679" xr:uid="{00000000-0005-0000-0000-00000D190000}"/>
    <cellStyle name="20% - Accent4 2 2 3 5 2" xfId="22953" xr:uid="{00000000-0005-0000-0000-00000E190000}"/>
    <cellStyle name="20% - Accent4 2 2 3 5 3" xfId="31830" xr:uid="{00000000-0005-0000-0000-00000F190000}"/>
    <cellStyle name="20% - Accent4 2 2 3 6" xfId="13900" xr:uid="{00000000-0005-0000-0000-000010190000}"/>
    <cellStyle name="20% - Accent4 2 2 3 6 2" xfId="25172" xr:uid="{00000000-0005-0000-0000-000011190000}"/>
    <cellStyle name="20% - Accent4 2 2 3 6 3" xfId="34049" xr:uid="{00000000-0005-0000-0000-000012190000}"/>
    <cellStyle name="20% - Accent4 2 2 3 7" xfId="18509" xr:uid="{00000000-0005-0000-0000-000013190000}"/>
    <cellStyle name="20% - Accent4 2 2 3 8" xfId="27390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1" xr:uid="{00000000-0005-0000-0000-000018190000}"/>
    <cellStyle name="20% - Accent4 2 2 4 2 2 3" xfId="31088" xr:uid="{00000000-0005-0000-0000-000019190000}"/>
    <cellStyle name="20% - Accent4 2 2 4 2 3" xfId="13156" xr:uid="{00000000-0005-0000-0000-00001A190000}"/>
    <cellStyle name="20% - Accent4 2 2 4 2 3 2" xfId="24430" xr:uid="{00000000-0005-0000-0000-00001B190000}"/>
    <cellStyle name="20% - Accent4 2 2 4 2 3 3" xfId="33307" xr:uid="{00000000-0005-0000-0000-00001C190000}"/>
    <cellStyle name="20% - Accent4 2 2 4 2 4" xfId="15606" xr:uid="{00000000-0005-0000-0000-00001D190000}"/>
    <cellStyle name="20% - Accent4 2 2 4 2 4 2" xfId="26649" xr:uid="{00000000-0005-0000-0000-00001E190000}"/>
    <cellStyle name="20% - Accent4 2 2 4 2 4 3" xfId="35526" xr:uid="{00000000-0005-0000-0000-00001F190000}"/>
    <cellStyle name="20% - Accent4 2 2 4 2 5" xfId="19992" xr:uid="{00000000-0005-0000-0000-000020190000}"/>
    <cellStyle name="20% - Accent4 2 2 4 2 6" xfId="28869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8" xr:uid="{00000000-0005-0000-0000-000024190000}"/>
    <cellStyle name="20% - Accent4 2 2 4 3 2 3" xfId="30355" xr:uid="{00000000-0005-0000-0000-000025190000}"/>
    <cellStyle name="20% - Accent4 2 2 4 3 3" xfId="12423" xr:uid="{00000000-0005-0000-0000-000026190000}"/>
    <cellStyle name="20% - Accent4 2 2 4 3 3 2" xfId="23697" xr:uid="{00000000-0005-0000-0000-000027190000}"/>
    <cellStyle name="20% - Accent4 2 2 4 3 3 3" xfId="32574" xr:uid="{00000000-0005-0000-0000-000028190000}"/>
    <cellStyle name="20% - Accent4 2 2 4 3 4" xfId="14873" xr:uid="{00000000-0005-0000-0000-000029190000}"/>
    <cellStyle name="20% - Accent4 2 2 4 3 4 2" xfId="25916" xr:uid="{00000000-0005-0000-0000-00002A190000}"/>
    <cellStyle name="20% - Accent4 2 2 4 3 4 3" xfId="34793" xr:uid="{00000000-0005-0000-0000-00002B190000}"/>
    <cellStyle name="20% - Accent4 2 2 4 3 5" xfId="19259" xr:uid="{00000000-0005-0000-0000-00002C190000}"/>
    <cellStyle name="20% - Accent4 2 2 4 3 6" xfId="28136" xr:uid="{00000000-0005-0000-0000-00002D190000}"/>
    <cellStyle name="20% - Accent4 2 2 4 4" xfId="9232" xr:uid="{00000000-0005-0000-0000-00002E190000}"/>
    <cellStyle name="20% - Accent4 2 2 4 4 2" xfId="20735" xr:uid="{00000000-0005-0000-0000-00002F190000}"/>
    <cellStyle name="20% - Accent4 2 2 4 4 3" xfId="29612" xr:uid="{00000000-0005-0000-0000-000030190000}"/>
    <cellStyle name="20% - Accent4 2 2 4 5" xfId="11680" xr:uid="{00000000-0005-0000-0000-000031190000}"/>
    <cellStyle name="20% - Accent4 2 2 4 5 2" xfId="22954" xr:uid="{00000000-0005-0000-0000-000032190000}"/>
    <cellStyle name="20% - Accent4 2 2 4 5 3" xfId="31831" xr:uid="{00000000-0005-0000-0000-000033190000}"/>
    <cellStyle name="20% - Accent4 2 2 4 6" xfId="13901" xr:uid="{00000000-0005-0000-0000-000034190000}"/>
    <cellStyle name="20% - Accent4 2 2 4 6 2" xfId="25173" xr:uid="{00000000-0005-0000-0000-000035190000}"/>
    <cellStyle name="20% - Accent4 2 2 4 6 3" xfId="34050" xr:uid="{00000000-0005-0000-0000-000036190000}"/>
    <cellStyle name="20% - Accent4 2 2 4 7" xfId="18510" xr:uid="{00000000-0005-0000-0000-000037190000}"/>
    <cellStyle name="20% - Accent4 2 2 4 8" xfId="27391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2" xr:uid="{00000000-0005-0000-0000-00003C190000}"/>
    <cellStyle name="20% - Accent4 2 2 5 2 2 3" xfId="31089" xr:uid="{00000000-0005-0000-0000-00003D190000}"/>
    <cellStyle name="20% - Accent4 2 2 5 2 3" xfId="13157" xr:uid="{00000000-0005-0000-0000-00003E190000}"/>
    <cellStyle name="20% - Accent4 2 2 5 2 3 2" xfId="24431" xr:uid="{00000000-0005-0000-0000-00003F190000}"/>
    <cellStyle name="20% - Accent4 2 2 5 2 3 3" xfId="33308" xr:uid="{00000000-0005-0000-0000-000040190000}"/>
    <cellStyle name="20% - Accent4 2 2 5 2 4" xfId="15607" xr:uid="{00000000-0005-0000-0000-000041190000}"/>
    <cellStyle name="20% - Accent4 2 2 5 2 4 2" xfId="26650" xr:uid="{00000000-0005-0000-0000-000042190000}"/>
    <cellStyle name="20% - Accent4 2 2 5 2 4 3" xfId="35527" xr:uid="{00000000-0005-0000-0000-000043190000}"/>
    <cellStyle name="20% - Accent4 2 2 5 2 5" xfId="19993" xr:uid="{00000000-0005-0000-0000-000044190000}"/>
    <cellStyle name="20% - Accent4 2 2 5 2 6" xfId="28870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79" xr:uid="{00000000-0005-0000-0000-000048190000}"/>
    <cellStyle name="20% - Accent4 2 2 5 3 2 3" xfId="30356" xr:uid="{00000000-0005-0000-0000-000049190000}"/>
    <cellStyle name="20% - Accent4 2 2 5 3 3" xfId="12424" xr:uid="{00000000-0005-0000-0000-00004A190000}"/>
    <cellStyle name="20% - Accent4 2 2 5 3 3 2" xfId="23698" xr:uid="{00000000-0005-0000-0000-00004B190000}"/>
    <cellStyle name="20% - Accent4 2 2 5 3 3 3" xfId="32575" xr:uid="{00000000-0005-0000-0000-00004C190000}"/>
    <cellStyle name="20% - Accent4 2 2 5 3 4" xfId="14874" xr:uid="{00000000-0005-0000-0000-00004D190000}"/>
    <cellStyle name="20% - Accent4 2 2 5 3 4 2" xfId="25917" xr:uid="{00000000-0005-0000-0000-00004E190000}"/>
    <cellStyle name="20% - Accent4 2 2 5 3 4 3" xfId="34794" xr:uid="{00000000-0005-0000-0000-00004F190000}"/>
    <cellStyle name="20% - Accent4 2 2 5 3 5" xfId="19260" xr:uid="{00000000-0005-0000-0000-000050190000}"/>
    <cellStyle name="20% - Accent4 2 2 5 3 6" xfId="28137" xr:uid="{00000000-0005-0000-0000-000051190000}"/>
    <cellStyle name="20% - Accent4 2 2 5 4" xfId="9233" xr:uid="{00000000-0005-0000-0000-000052190000}"/>
    <cellStyle name="20% - Accent4 2 2 5 4 2" xfId="20736" xr:uid="{00000000-0005-0000-0000-000053190000}"/>
    <cellStyle name="20% - Accent4 2 2 5 4 3" xfId="29613" xr:uid="{00000000-0005-0000-0000-000054190000}"/>
    <cellStyle name="20% - Accent4 2 2 5 5" xfId="11681" xr:uid="{00000000-0005-0000-0000-000055190000}"/>
    <cellStyle name="20% - Accent4 2 2 5 5 2" xfId="22955" xr:uid="{00000000-0005-0000-0000-000056190000}"/>
    <cellStyle name="20% - Accent4 2 2 5 5 3" xfId="31832" xr:uid="{00000000-0005-0000-0000-000057190000}"/>
    <cellStyle name="20% - Accent4 2 2 5 6" xfId="13902" xr:uid="{00000000-0005-0000-0000-000058190000}"/>
    <cellStyle name="20% - Accent4 2 2 5 6 2" xfId="25174" xr:uid="{00000000-0005-0000-0000-000059190000}"/>
    <cellStyle name="20% - Accent4 2 2 5 6 3" xfId="34051" xr:uid="{00000000-0005-0000-0000-00005A190000}"/>
    <cellStyle name="20% - Accent4 2 2 5 7" xfId="18511" xr:uid="{00000000-0005-0000-0000-00005B190000}"/>
    <cellStyle name="20% - Accent4 2 2 5 8" xfId="27392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3" xr:uid="{00000000-0005-0000-0000-000060190000}"/>
    <cellStyle name="20% - Accent4 2 2 6 2 2 3" xfId="31090" xr:uid="{00000000-0005-0000-0000-000061190000}"/>
    <cellStyle name="20% - Accent4 2 2 6 2 3" xfId="13158" xr:uid="{00000000-0005-0000-0000-000062190000}"/>
    <cellStyle name="20% - Accent4 2 2 6 2 3 2" xfId="24432" xr:uid="{00000000-0005-0000-0000-000063190000}"/>
    <cellStyle name="20% - Accent4 2 2 6 2 3 3" xfId="33309" xr:uid="{00000000-0005-0000-0000-000064190000}"/>
    <cellStyle name="20% - Accent4 2 2 6 2 4" xfId="15608" xr:uid="{00000000-0005-0000-0000-000065190000}"/>
    <cellStyle name="20% - Accent4 2 2 6 2 4 2" xfId="26651" xr:uid="{00000000-0005-0000-0000-000066190000}"/>
    <cellStyle name="20% - Accent4 2 2 6 2 4 3" xfId="35528" xr:uid="{00000000-0005-0000-0000-000067190000}"/>
    <cellStyle name="20% - Accent4 2 2 6 2 5" xfId="19994" xr:uid="{00000000-0005-0000-0000-000068190000}"/>
    <cellStyle name="20% - Accent4 2 2 6 2 6" xfId="28871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0" xr:uid="{00000000-0005-0000-0000-00006C190000}"/>
    <cellStyle name="20% - Accent4 2 2 6 3 2 3" xfId="30357" xr:uid="{00000000-0005-0000-0000-00006D190000}"/>
    <cellStyle name="20% - Accent4 2 2 6 3 3" xfId="12425" xr:uid="{00000000-0005-0000-0000-00006E190000}"/>
    <cellStyle name="20% - Accent4 2 2 6 3 3 2" xfId="23699" xr:uid="{00000000-0005-0000-0000-00006F190000}"/>
    <cellStyle name="20% - Accent4 2 2 6 3 3 3" xfId="32576" xr:uid="{00000000-0005-0000-0000-000070190000}"/>
    <cellStyle name="20% - Accent4 2 2 6 3 4" xfId="14875" xr:uid="{00000000-0005-0000-0000-000071190000}"/>
    <cellStyle name="20% - Accent4 2 2 6 3 4 2" xfId="25918" xr:uid="{00000000-0005-0000-0000-000072190000}"/>
    <cellStyle name="20% - Accent4 2 2 6 3 4 3" xfId="34795" xr:uid="{00000000-0005-0000-0000-000073190000}"/>
    <cellStyle name="20% - Accent4 2 2 6 3 5" xfId="19261" xr:uid="{00000000-0005-0000-0000-000074190000}"/>
    <cellStyle name="20% - Accent4 2 2 6 3 6" xfId="28138" xr:uid="{00000000-0005-0000-0000-000075190000}"/>
    <cellStyle name="20% - Accent4 2 2 6 4" xfId="9234" xr:uid="{00000000-0005-0000-0000-000076190000}"/>
    <cellStyle name="20% - Accent4 2 2 6 4 2" xfId="20737" xr:uid="{00000000-0005-0000-0000-000077190000}"/>
    <cellStyle name="20% - Accent4 2 2 6 4 3" xfId="29614" xr:uid="{00000000-0005-0000-0000-000078190000}"/>
    <cellStyle name="20% - Accent4 2 2 6 5" xfId="11682" xr:uid="{00000000-0005-0000-0000-000079190000}"/>
    <cellStyle name="20% - Accent4 2 2 6 5 2" xfId="22956" xr:uid="{00000000-0005-0000-0000-00007A190000}"/>
    <cellStyle name="20% - Accent4 2 2 6 5 3" xfId="31833" xr:uid="{00000000-0005-0000-0000-00007B190000}"/>
    <cellStyle name="20% - Accent4 2 2 6 6" xfId="13903" xr:uid="{00000000-0005-0000-0000-00007C190000}"/>
    <cellStyle name="20% - Accent4 2 2 6 6 2" xfId="25175" xr:uid="{00000000-0005-0000-0000-00007D190000}"/>
    <cellStyle name="20% - Accent4 2 2 6 6 3" xfId="34052" xr:uid="{00000000-0005-0000-0000-00007E190000}"/>
    <cellStyle name="20% - Accent4 2 2 6 7" xfId="18512" xr:uid="{00000000-0005-0000-0000-00007F190000}"/>
    <cellStyle name="20% - Accent4 2 2 6 8" xfId="27393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4" xr:uid="{00000000-0005-0000-0000-000084190000}"/>
    <cellStyle name="20% - Accent4 2 2 7 2 2 3" xfId="31091" xr:uid="{00000000-0005-0000-0000-000085190000}"/>
    <cellStyle name="20% - Accent4 2 2 7 2 3" xfId="13159" xr:uid="{00000000-0005-0000-0000-000086190000}"/>
    <cellStyle name="20% - Accent4 2 2 7 2 3 2" xfId="24433" xr:uid="{00000000-0005-0000-0000-000087190000}"/>
    <cellStyle name="20% - Accent4 2 2 7 2 3 3" xfId="33310" xr:uid="{00000000-0005-0000-0000-000088190000}"/>
    <cellStyle name="20% - Accent4 2 2 7 2 4" xfId="15609" xr:uid="{00000000-0005-0000-0000-000089190000}"/>
    <cellStyle name="20% - Accent4 2 2 7 2 4 2" xfId="26652" xr:uid="{00000000-0005-0000-0000-00008A190000}"/>
    <cellStyle name="20% - Accent4 2 2 7 2 4 3" xfId="35529" xr:uid="{00000000-0005-0000-0000-00008B190000}"/>
    <cellStyle name="20% - Accent4 2 2 7 2 5" xfId="19995" xr:uid="{00000000-0005-0000-0000-00008C190000}"/>
    <cellStyle name="20% - Accent4 2 2 7 2 6" xfId="28872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1" xr:uid="{00000000-0005-0000-0000-000090190000}"/>
    <cellStyle name="20% - Accent4 2 2 7 3 2 3" xfId="30358" xr:uid="{00000000-0005-0000-0000-000091190000}"/>
    <cellStyle name="20% - Accent4 2 2 7 3 3" xfId="12426" xr:uid="{00000000-0005-0000-0000-000092190000}"/>
    <cellStyle name="20% - Accent4 2 2 7 3 3 2" xfId="23700" xr:uid="{00000000-0005-0000-0000-000093190000}"/>
    <cellStyle name="20% - Accent4 2 2 7 3 3 3" xfId="32577" xr:uid="{00000000-0005-0000-0000-000094190000}"/>
    <cellStyle name="20% - Accent4 2 2 7 3 4" xfId="14876" xr:uid="{00000000-0005-0000-0000-000095190000}"/>
    <cellStyle name="20% - Accent4 2 2 7 3 4 2" xfId="25919" xr:uid="{00000000-0005-0000-0000-000096190000}"/>
    <cellStyle name="20% - Accent4 2 2 7 3 4 3" xfId="34796" xr:uid="{00000000-0005-0000-0000-000097190000}"/>
    <cellStyle name="20% - Accent4 2 2 7 3 5" xfId="19262" xr:uid="{00000000-0005-0000-0000-000098190000}"/>
    <cellStyle name="20% - Accent4 2 2 7 3 6" xfId="28139" xr:uid="{00000000-0005-0000-0000-000099190000}"/>
    <cellStyle name="20% - Accent4 2 2 7 4" xfId="9235" xr:uid="{00000000-0005-0000-0000-00009A190000}"/>
    <cellStyle name="20% - Accent4 2 2 7 4 2" xfId="20738" xr:uid="{00000000-0005-0000-0000-00009B190000}"/>
    <cellStyle name="20% - Accent4 2 2 7 4 3" xfId="29615" xr:uid="{00000000-0005-0000-0000-00009C190000}"/>
    <cellStyle name="20% - Accent4 2 2 7 5" xfId="11683" xr:uid="{00000000-0005-0000-0000-00009D190000}"/>
    <cellStyle name="20% - Accent4 2 2 7 5 2" xfId="22957" xr:uid="{00000000-0005-0000-0000-00009E190000}"/>
    <cellStyle name="20% - Accent4 2 2 7 5 3" xfId="31834" xr:uid="{00000000-0005-0000-0000-00009F190000}"/>
    <cellStyle name="20% - Accent4 2 2 7 6" xfId="13904" xr:uid="{00000000-0005-0000-0000-0000A0190000}"/>
    <cellStyle name="20% - Accent4 2 2 7 6 2" xfId="25176" xr:uid="{00000000-0005-0000-0000-0000A1190000}"/>
    <cellStyle name="20% - Accent4 2 2 7 6 3" xfId="34053" xr:uid="{00000000-0005-0000-0000-0000A2190000}"/>
    <cellStyle name="20% - Accent4 2 2 7 7" xfId="18513" xr:uid="{00000000-0005-0000-0000-0000A3190000}"/>
    <cellStyle name="20% - Accent4 2 2 7 8" xfId="27394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5" xr:uid="{00000000-0005-0000-0000-0000A8190000}"/>
    <cellStyle name="20% - Accent4 2 2 8 2 2 3" xfId="31092" xr:uid="{00000000-0005-0000-0000-0000A9190000}"/>
    <cellStyle name="20% - Accent4 2 2 8 2 3" xfId="13160" xr:uid="{00000000-0005-0000-0000-0000AA190000}"/>
    <cellStyle name="20% - Accent4 2 2 8 2 3 2" xfId="24434" xr:uid="{00000000-0005-0000-0000-0000AB190000}"/>
    <cellStyle name="20% - Accent4 2 2 8 2 3 3" xfId="33311" xr:uid="{00000000-0005-0000-0000-0000AC190000}"/>
    <cellStyle name="20% - Accent4 2 2 8 2 4" xfId="15610" xr:uid="{00000000-0005-0000-0000-0000AD190000}"/>
    <cellStyle name="20% - Accent4 2 2 8 2 4 2" xfId="26653" xr:uid="{00000000-0005-0000-0000-0000AE190000}"/>
    <cellStyle name="20% - Accent4 2 2 8 2 4 3" xfId="35530" xr:uid="{00000000-0005-0000-0000-0000AF190000}"/>
    <cellStyle name="20% - Accent4 2 2 8 2 5" xfId="19996" xr:uid="{00000000-0005-0000-0000-0000B0190000}"/>
    <cellStyle name="20% - Accent4 2 2 8 2 6" xfId="28873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2" xr:uid="{00000000-0005-0000-0000-0000B4190000}"/>
    <cellStyle name="20% - Accent4 2 2 8 3 2 3" xfId="30359" xr:uid="{00000000-0005-0000-0000-0000B5190000}"/>
    <cellStyle name="20% - Accent4 2 2 8 3 3" xfId="12427" xr:uid="{00000000-0005-0000-0000-0000B6190000}"/>
    <cellStyle name="20% - Accent4 2 2 8 3 3 2" xfId="23701" xr:uid="{00000000-0005-0000-0000-0000B7190000}"/>
    <cellStyle name="20% - Accent4 2 2 8 3 3 3" xfId="32578" xr:uid="{00000000-0005-0000-0000-0000B8190000}"/>
    <cellStyle name="20% - Accent4 2 2 8 3 4" xfId="14877" xr:uid="{00000000-0005-0000-0000-0000B9190000}"/>
    <cellStyle name="20% - Accent4 2 2 8 3 4 2" xfId="25920" xr:uid="{00000000-0005-0000-0000-0000BA190000}"/>
    <cellStyle name="20% - Accent4 2 2 8 3 4 3" xfId="34797" xr:uid="{00000000-0005-0000-0000-0000BB190000}"/>
    <cellStyle name="20% - Accent4 2 2 8 3 5" xfId="19263" xr:uid="{00000000-0005-0000-0000-0000BC190000}"/>
    <cellStyle name="20% - Accent4 2 2 8 3 6" xfId="28140" xr:uid="{00000000-0005-0000-0000-0000BD190000}"/>
    <cellStyle name="20% - Accent4 2 2 8 4" xfId="9236" xr:uid="{00000000-0005-0000-0000-0000BE190000}"/>
    <cellStyle name="20% - Accent4 2 2 8 4 2" xfId="20739" xr:uid="{00000000-0005-0000-0000-0000BF190000}"/>
    <cellStyle name="20% - Accent4 2 2 8 4 3" xfId="29616" xr:uid="{00000000-0005-0000-0000-0000C0190000}"/>
    <cellStyle name="20% - Accent4 2 2 8 5" xfId="11684" xr:uid="{00000000-0005-0000-0000-0000C1190000}"/>
    <cellStyle name="20% - Accent4 2 2 8 5 2" xfId="22958" xr:uid="{00000000-0005-0000-0000-0000C2190000}"/>
    <cellStyle name="20% - Accent4 2 2 8 5 3" xfId="31835" xr:uid="{00000000-0005-0000-0000-0000C3190000}"/>
    <cellStyle name="20% - Accent4 2 2 8 6" xfId="13905" xr:uid="{00000000-0005-0000-0000-0000C4190000}"/>
    <cellStyle name="20% - Accent4 2 2 8 6 2" xfId="25177" xr:uid="{00000000-0005-0000-0000-0000C5190000}"/>
    <cellStyle name="20% - Accent4 2 2 8 6 3" xfId="34054" xr:uid="{00000000-0005-0000-0000-0000C6190000}"/>
    <cellStyle name="20% - Accent4 2 2 8 7" xfId="18514" xr:uid="{00000000-0005-0000-0000-0000C7190000}"/>
    <cellStyle name="20% - Accent4 2 2 8 8" xfId="27395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6" xr:uid="{00000000-0005-0000-0000-0000CC190000}"/>
    <cellStyle name="20% - Accent4 2 2 9 2 2 3" xfId="31093" xr:uid="{00000000-0005-0000-0000-0000CD190000}"/>
    <cellStyle name="20% - Accent4 2 2 9 2 3" xfId="13161" xr:uid="{00000000-0005-0000-0000-0000CE190000}"/>
    <cellStyle name="20% - Accent4 2 2 9 2 3 2" xfId="24435" xr:uid="{00000000-0005-0000-0000-0000CF190000}"/>
    <cellStyle name="20% - Accent4 2 2 9 2 3 3" xfId="33312" xr:uid="{00000000-0005-0000-0000-0000D0190000}"/>
    <cellStyle name="20% - Accent4 2 2 9 2 4" xfId="15611" xr:uid="{00000000-0005-0000-0000-0000D1190000}"/>
    <cellStyle name="20% - Accent4 2 2 9 2 4 2" xfId="26654" xr:uid="{00000000-0005-0000-0000-0000D2190000}"/>
    <cellStyle name="20% - Accent4 2 2 9 2 4 3" xfId="35531" xr:uid="{00000000-0005-0000-0000-0000D3190000}"/>
    <cellStyle name="20% - Accent4 2 2 9 2 5" xfId="19997" xr:uid="{00000000-0005-0000-0000-0000D4190000}"/>
    <cellStyle name="20% - Accent4 2 2 9 2 6" xfId="28874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3" xr:uid="{00000000-0005-0000-0000-0000D8190000}"/>
    <cellStyle name="20% - Accent4 2 2 9 3 2 3" xfId="30360" xr:uid="{00000000-0005-0000-0000-0000D9190000}"/>
    <cellStyle name="20% - Accent4 2 2 9 3 3" xfId="12428" xr:uid="{00000000-0005-0000-0000-0000DA190000}"/>
    <cellStyle name="20% - Accent4 2 2 9 3 3 2" xfId="23702" xr:uid="{00000000-0005-0000-0000-0000DB190000}"/>
    <cellStyle name="20% - Accent4 2 2 9 3 3 3" xfId="32579" xr:uid="{00000000-0005-0000-0000-0000DC190000}"/>
    <cellStyle name="20% - Accent4 2 2 9 3 4" xfId="14878" xr:uid="{00000000-0005-0000-0000-0000DD190000}"/>
    <cellStyle name="20% - Accent4 2 2 9 3 4 2" xfId="25921" xr:uid="{00000000-0005-0000-0000-0000DE190000}"/>
    <cellStyle name="20% - Accent4 2 2 9 3 4 3" xfId="34798" xr:uid="{00000000-0005-0000-0000-0000DF190000}"/>
    <cellStyle name="20% - Accent4 2 2 9 3 5" xfId="19264" xr:uid="{00000000-0005-0000-0000-0000E0190000}"/>
    <cellStyle name="20% - Accent4 2 2 9 3 6" xfId="28141" xr:uid="{00000000-0005-0000-0000-0000E1190000}"/>
    <cellStyle name="20% - Accent4 2 2 9 4" xfId="9237" xr:uid="{00000000-0005-0000-0000-0000E2190000}"/>
    <cellStyle name="20% - Accent4 2 2 9 4 2" xfId="20740" xr:uid="{00000000-0005-0000-0000-0000E3190000}"/>
    <cellStyle name="20% - Accent4 2 2 9 4 3" xfId="29617" xr:uid="{00000000-0005-0000-0000-0000E4190000}"/>
    <cellStyle name="20% - Accent4 2 2 9 5" xfId="11685" xr:uid="{00000000-0005-0000-0000-0000E5190000}"/>
    <cellStyle name="20% - Accent4 2 2 9 5 2" xfId="22959" xr:uid="{00000000-0005-0000-0000-0000E6190000}"/>
    <cellStyle name="20% - Accent4 2 2 9 5 3" xfId="31836" xr:uid="{00000000-0005-0000-0000-0000E7190000}"/>
    <cellStyle name="20% - Accent4 2 2 9 6" xfId="13906" xr:uid="{00000000-0005-0000-0000-0000E8190000}"/>
    <cellStyle name="20% - Accent4 2 2 9 6 2" xfId="25178" xr:uid="{00000000-0005-0000-0000-0000E9190000}"/>
    <cellStyle name="20% - Accent4 2 2 9 6 3" xfId="34055" xr:uid="{00000000-0005-0000-0000-0000EA190000}"/>
    <cellStyle name="20% - Accent4 2 2 9 7" xfId="18515" xr:uid="{00000000-0005-0000-0000-0000EB190000}"/>
    <cellStyle name="20% - Accent4 2 2 9 8" xfId="27396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7" xr:uid="{00000000-0005-0000-0000-0000F0190000}"/>
    <cellStyle name="20% - Accent4 2 3 10 2 3" xfId="31094" xr:uid="{00000000-0005-0000-0000-0000F1190000}"/>
    <cellStyle name="20% - Accent4 2 3 10 3" xfId="13162" xr:uid="{00000000-0005-0000-0000-0000F2190000}"/>
    <cellStyle name="20% - Accent4 2 3 10 3 2" xfId="24436" xr:uid="{00000000-0005-0000-0000-0000F3190000}"/>
    <cellStyle name="20% - Accent4 2 3 10 3 3" xfId="33313" xr:uid="{00000000-0005-0000-0000-0000F4190000}"/>
    <cellStyle name="20% - Accent4 2 3 10 4" xfId="15612" xr:uid="{00000000-0005-0000-0000-0000F5190000}"/>
    <cellStyle name="20% - Accent4 2 3 10 4 2" xfId="26655" xr:uid="{00000000-0005-0000-0000-0000F6190000}"/>
    <cellStyle name="20% - Accent4 2 3 10 4 3" xfId="35532" xr:uid="{00000000-0005-0000-0000-0000F7190000}"/>
    <cellStyle name="20% - Accent4 2 3 10 5" xfId="19998" xr:uid="{00000000-0005-0000-0000-0000F8190000}"/>
    <cellStyle name="20% - Accent4 2 3 10 6" xfId="28875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4" xr:uid="{00000000-0005-0000-0000-0000FC190000}"/>
    <cellStyle name="20% - Accent4 2 3 11 2 3" xfId="30361" xr:uid="{00000000-0005-0000-0000-0000FD190000}"/>
    <cellStyle name="20% - Accent4 2 3 11 3" xfId="12429" xr:uid="{00000000-0005-0000-0000-0000FE190000}"/>
    <cellStyle name="20% - Accent4 2 3 11 3 2" xfId="23703" xr:uid="{00000000-0005-0000-0000-0000FF190000}"/>
    <cellStyle name="20% - Accent4 2 3 11 3 3" xfId="32580" xr:uid="{00000000-0005-0000-0000-0000001A0000}"/>
    <cellStyle name="20% - Accent4 2 3 11 4" xfId="14879" xr:uid="{00000000-0005-0000-0000-0000011A0000}"/>
    <cellStyle name="20% - Accent4 2 3 11 4 2" xfId="25922" xr:uid="{00000000-0005-0000-0000-0000021A0000}"/>
    <cellStyle name="20% - Accent4 2 3 11 4 3" xfId="34799" xr:uid="{00000000-0005-0000-0000-0000031A0000}"/>
    <cellStyle name="20% - Accent4 2 3 11 5" xfId="19265" xr:uid="{00000000-0005-0000-0000-0000041A0000}"/>
    <cellStyle name="20% - Accent4 2 3 11 6" xfId="28142" xr:uid="{00000000-0005-0000-0000-0000051A0000}"/>
    <cellStyle name="20% - Accent4 2 3 12" xfId="9238" xr:uid="{00000000-0005-0000-0000-0000061A0000}"/>
    <cellStyle name="20% - Accent4 2 3 12 2" xfId="20741" xr:uid="{00000000-0005-0000-0000-0000071A0000}"/>
    <cellStyle name="20% - Accent4 2 3 12 3" xfId="29618" xr:uid="{00000000-0005-0000-0000-0000081A0000}"/>
    <cellStyle name="20% - Accent4 2 3 13" xfId="11686" xr:uid="{00000000-0005-0000-0000-0000091A0000}"/>
    <cellStyle name="20% - Accent4 2 3 13 2" xfId="22960" xr:uid="{00000000-0005-0000-0000-00000A1A0000}"/>
    <cellStyle name="20% - Accent4 2 3 13 3" xfId="31837" xr:uid="{00000000-0005-0000-0000-00000B1A0000}"/>
    <cellStyle name="20% - Accent4 2 3 14" xfId="13907" xr:uid="{00000000-0005-0000-0000-00000C1A0000}"/>
    <cellStyle name="20% - Accent4 2 3 14 2" xfId="25179" xr:uid="{00000000-0005-0000-0000-00000D1A0000}"/>
    <cellStyle name="20% - Accent4 2 3 14 3" xfId="34056" xr:uid="{00000000-0005-0000-0000-00000E1A0000}"/>
    <cellStyle name="20% - Accent4 2 3 15" xfId="18516" xr:uid="{00000000-0005-0000-0000-00000F1A0000}"/>
    <cellStyle name="20% - Accent4 2 3 16" xfId="27397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8" xr:uid="{00000000-0005-0000-0000-0000141A0000}"/>
    <cellStyle name="20% - Accent4 2 3 2 2 2 3" xfId="31095" xr:uid="{00000000-0005-0000-0000-0000151A0000}"/>
    <cellStyle name="20% - Accent4 2 3 2 2 3" xfId="13163" xr:uid="{00000000-0005-0000-0000-0000161A0000}"/>
    <cellStyle name="20% - Accent4 2 3 2 2 3 2" xfId="24437" xr:uid="{00000000-0005-0000-0000-0000171A0000}"/>
    <cellStyle name="20% - Accent4 2 3 2 2 3 3" xfId="33314" xr:uid="{00000000-0005-0000-0000-0000181A0000}"/>
    <cellStyle name="20% - Accent4 2 3 2 2 4" xfId="15613" xr:uid="{00000000-0005-0000-0000-0000191A0000}"/>
    <cellStyle name="20% - Accent4 2 3 2 2 4 2" xfId="26656" xr:uid="{00000000-0005-0000-0000-00001A1A0000}"/>
    <cellStyle name="20% - Accent4 2 3 2 2 4 3" xfId="35533" xr:uid="{00000000-0005-0000-0000-00001B1A0000}"/>
    <cellStyle name="20% - Accent4 2 3 2 2 5" xfId="19999" xr:uid="{00000000-0005-0000-0000-00001C1A0000}"/>
    <cellStyle name="20% - Accent4 2 3 2 2 6" xfId="28876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5" xr:uid="{00000000-0005-0000-0000-0000201A0000}"/>
    <cellStyle name="20% - Accent4 2 3 2 3 2 3" xfId="30362" xr:uid="{00000000-0005-0000-0000-0000211A0000}"/>
    <cellStyle name="20% - Accent4 2 3 2 3 3" xfId="12430" xr:uid="{00000000-0005-0000-0000-0000221A0000}"/>
    <cellStyle name="20% - Accent4 2 3 2 3 3 2" xfId="23704" xr:uid="{00000000-0005-0000-0000-0000231A0000}"/>
    <cellStyle name="20% - Accent4 2 3 2 3 3 3" xfId="32581" xr:uid="{00000000-0005-0000-0000-0000241A0000}"/>
    <cellStyle name="20% - Accent4 2 3 2 3 4" xfId="14880" xr:uid="{00000000-0005-0000-0000-0000251A0000}"/>
    <cellStyle name="20% - Accent4 2 3 2 3 4 2" xfId="25923" xr:uid="{00000000-0005-0000-0000-0000261A0000}"/>
    <cellStyle name="20% - Accent4 2 3 2 3 4 3" xfId="34800" xr:uid="{00000000-0005-0000-0000-0000271A0000}"/>
    <cellStyle name="20% - Accent4 2 3 2 3 5" xfId="19266" xr:uid="{00000000-0005-0000-0000-0000281A0000}"/>
    <cellStyle name="20% - Accent4 2 3 2 3 6" xfId="28143" xr:uid="{00000000-0005-0000-0000-0000291A0000}"/>
    <cellStyle name="20% - Accent4 2 3 2 4" xfId="9239" xr:uid="{00000000-0005-0000-0000-00002A1A0000}"/>
    <cellStyle name="20% - Accent4 2 3 2 4 2" xfId="20742" xr:uid="{00000000-0005-0000-0000-00002B1A0000}"/>
    <cellStyle name="20% - Accent4 2 3 2 4 3" xfId="29619" xr:uid="{00000000-0005-0000-0000-00002C1A0000}"/>
    <cellStyle name="20% - Accent4 2 3 2 5" xfId="11687" xr:uid="{00000000-0005-0000-0000-00002D1A0000}"/>
    <cellStyle name="20% - Accent4 2 3 2 5 2" xfId="22961" xr:uid="{00000000-0005-0000-0000-00002E1A0000}"/>
    <cellStyle name="20% - Accent4 2 3 2 5 3" xfId="31838" xr:uid="{00000000-0005-0000-0000-00002F1A0000}"/>
    <cellStyle name="20% - Accent4 2 3 2 6" xfId="13908" xr:uid="{00000000-0005-0000-0000-0000301A0000}"/>
    <cellStyle name="20% - Accent4 2 3 2 6 2" xfId="25180" xr:uid="{00000000-0005-0000-0000-0000311A0000}"/>
    <cellStyle name="20% - Accent4 2 3 2 6 3" xfId="34057" xr:uid="{00000000-0005-0000-0000-0000321A0000}"/>
    <cellStyle name="20% - Accent4 2 3 2 7" xfId="18517" xr:uid="{00000000-0005-0000-0000-0000331A0000}"/>
    <cellStyle name="20% - Accent4 2 3 2 8" xfId="27398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19" xr:uid="{00000000-0005-0000-0000-0000381A0000}"/>
    <cellStyle name="20% - Accent4 2 3 3 2 2 3" xfId="31096" xr:uid="{00000000-0005-0000-0000-0000391A0000}"/>
    <cellStyle name="20% - Accent4 2 3 3 2 3" xfId="13164" xr:uid="{00000000-0005-0000-0000-00003A1A0000}"/>
    <cellStyle name="20% - Accent4 2 3 3 2 3 2" xfId="24438" xr:uid="{00000000-0005-0000-0000-00003B1A0000}"/>
    <cellStyle name="20% - Accent4 2 3 3 2 3 3" xfId="33315" xr:uid="{00000000-0005-0000-0000-00003C1A0000}"/>
    <cellStyle name="20% - Accent4 2 3 3 2 4" xfId="15614" xr:uid="{00000000-0005-0000-0000-00003D1A0000}"/>
    <cellStyle name="20% - Accent4 2 3 3 2 4 2" xfId="26657" xr:uid="{00000000-0005-0000-0000-00003E1A0000}"/>
    <cellStyle name="20% - Accent4 2 3 3 2 4 3" xfId="35534" xr:uid="{00000000-0005-0000-0000-00003F1A0000}"/>
    <cellStyle name="20% - Accent4 2 3 3 2 5" xfId="20000" xr:uid="{00000000-0005-0000-0000-0000401A0000}"/>
    <cellStyle name="20% - Accent4 2 3 3 2 6" xfId="28877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6" xr:uid="{00000000-0005-0000-0000-0000441A0000}"/>
    <cellStyle name="20% - Accent4 2 3 3 3 2 3" xfId="30363" xr:uid="{00000000-0005-0000-0000-0000451A0000}"/>
    <cellStyle name="20% - Accent4 2 3 3 3 3" xfId="12431" xr:uid="{00000000-0005-0000-0000-0000461A0000}"/>
    <cellStyle name="20% - Accent4 2 3 3 3 3 2" xfId="23705" xr:uid="{00000000-0005-0000-0000-0000471A0000}"/>
    <cellStyle name="20% - Accent4 2 3 3 3 3 3" xfId="32582" xr:uid="{00000000-0005-0000-0000-0000481A0000}"/>
    <cellStyle name="20% - Accent4 2 3 3 3 4" xfId="14881" xr:uid="{00000000-0005-0000-0000-0000491A0000}"/>
    <cellStyle name="20% - Accent4 2 3 3 3 4 2" xfId="25924" xr:uid="{00000000-0005-0000-0000-00004A1A0000}"/>
    <cellStyle name="20% - Accent4 2 3 3 3 4 3" xfId="34801" xr:uid="{00000000-0005-0000-0000-00004B1A0000}"/>
    <cellStyle name="20% - Accent4 2 3 3 3 5" xfId="19267" xr:uid="{00000000-0005-0000-0000-00004C1A0000}"/>
    <cellStyle name="20% - Accent4 2 3 3 3 6" xfId="28144" xr:uid="{00000000-0005-0000-0000-00004D1A0000}"/>
    <cellStyle name="20% - Accent4 2 3 3 4" xfId="9240" xr:uid="{00000000-0005-0000-0000-00004E1A0000}"/>
    <cellStyle name="20% - Accent4 2 3 3 4 2" xfId="20743" xr:uid="{00000000-0005-0000-0000-00004F1A0000}"/>
    <cellStyle name="20% - Accent4 2 3 3 4 3" xfId="29620" xr:uid="{00000000-0005-0000-0000-0000501A0000}"/>
    <cellStyle name="20% - Accent4 2 3 3 5" xfId="11688" xr:uid="{00000000-0005-0000-0000-0000511A0000}"/>
    <cellStyle name="20% - Accent4 2 3 3 5 2" xfId="22962" xr:uid="{00000000-0005-0000-0000-0000521A0000}"/>
    <cellStyle name="20% - Accent4 2 3 3 5 3" xfId="31839" xr:uid="{00000000-0005-0000-0000-0000531A0000}"/>
    <cellStyle name="20% - Accent4 2 3 3 6" xfId="13909" xr:uid="{00000000-0005-0000-0000-0000541A0000}"/>
    <cellStyle name="20% - Accent4 2 3 3 6 2" xfId="25181" xr:uid="{00000000-0005-0000-0000-0000551A0000}"/>
    <cellStyle name="20% - Accent4 2 3 3 6 3" xfId="34058" xr:uid="{00000000-0005-0000-0000-0000561A0000}"/>
    <cellStyle name="20% - Accent4 2 3 3 7" xfId="18518" xr:uid="{00000000-0005-0000-0000-0000571A0000}"/>
    <cellStyle name="20% - Accent4 2 3 3 8" xfId="27399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0" xr:uid="{00000000-0005-0000-0000-00005C1A0000}"/>
    <cellStyle name="20% - Accent4 2 3 4 2 2 3" xfId="31097" xr:uid="{00000000-0005-0000-0000-00005D1A0000}"/>
    <cellStyle name="20% - Accent4 2 3 4 2 3" xfId="13165" xr:uid="{00000000-0005-0000-0000-00005E1A0000}"/>
    <cellStyle name="20% - Accent4 2 3 4 2 3 2" xfId="24439" xr:uid="{00000000-0005-0000-0000-00005F1A0000}"/>
    <cellStyle name="20% - Accent4 2 3 4 2 3 3" xfId="33316" xr:uid="{00000000-0005-0000-0000-0000601A0000}"/>
    <cellStyle name="20% - Accent4 2 3 4 2 4" xfId="15615" xr:uid="{00000000-0005-0000-0000-0000611A0000}"/>
    <cellStyle name="20% - Accent4 2 3 4 2 4 2" xfId="26658" xr:uid="{00000000-0005-0000-0000-0000621A0000}"/>
    <cellStyle name="20% - Accent4 2 3 4 2 4 3" xfId="35535" xr:uid="{00000000-0005-0000-0000-0000631A0000}"/>
    <cellStyle name="20% - Accent4 2 3 4 2 5" xfId="20001" xr:uid="{00000000-0005-0000-0000-0000641A0000}"/>
    <cellStyle name="20% - Accent4 2 3 4 2 6" xfId="28878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7" xr:uid="{00000000-0005-0000-0000-0000681A0000}"/>
    <cellStyle name="20% - Accent4 2 3 4 3 2 3" xfId="30364" xr:uid="{00000000-0005-0000-0000-0000691A0000}"/>
    <cellStyle name="20% - Accent4 2 3 4 3 3" xfId="12432" xr:uid="{00000000-0005-0000-0000-00006A1A0000}"/>
    <cellStyle name="20% - Accent4 2 3 4 3 3 2" xfId="23706" xr:uid="{00000000-0005-0000-0000-00006B1A0000}"/>
    <cellStyle name="20% - Accent4 2 3 4 3 3 3" xfId="32583" xr:uid="{00000000-0005-0000-0000-00006C1A0000}"/>
    <cellStyle name="20% - Accent4 2 3 4 3 4" xfId="14882" xr:uid="{00000000-0005-0000-0000-00006D1A0000}"/>
    <cellStyle name="20% - Accent4 2 3 4 3 4 2" xfId="25925" xr:uid="{00000000-0005-0000-0000-00006E1A0000}"/>
    <cellStyle name="20% - Accent4 2 3 4 3 4 3" xfId="34802" xr:uid="{00000000-0005-0000-0000-00006F1A0000}"/>
    <cellStyle name="20% - Accent4 2 3 4 3 5" xfId="19268" xr:uid="{00000000-0005-0000-0000-0000701A0000}"/>
    <cellStyle name="20% - Accent4 2 3 4 3 6" xfId="28145" xr:uid="{00000000-0005-0000-0000-0000711A0000}"/>
    <cellStyle name="20% - Accent4 2 3 4 4" xfId="9241" xr:uid="{00000000-0005-0000-0000-0000721A0000}"/>
    <cellStyle name="20% - Accent4 2 3 4 4 2" xfId="20744" xr:uid="{00000000-0005-0000-0000-0000731A0000}"/>
    <cellStyle name="20% - Accent4 2 3 4 4 3" xfId="29621" xr:uid="{00000000-0005-0000-0000-0000741A0000}"/>
    <cellStyle name="20% - Accent4 2 3 4 5" xfId="11689" xr:uid="{00000000-0005-0000-0000-0000751A0000}"/>
    <cellStyle name="20% - Accent4 2 3 4 5 2" xfId="22963" xr:uid="{00000000-0005-0000-0000-0000761A0000}"/>
    <cellStyle name="20% - Accent4 2 3 4 5 3" xfId="31840" xr:uid="{00000000-0005-0000-0000-0000771A0000}"/>
    <cellStyle name="20% - Accent4 2 3 4 6" xfId="13910" xr:uid="{00000000-0005-0000-0000-0000781A0000}"/>
    <cellStyle name="20% - Accent4 2 3 4 6 2" xfId="25182" xr:uid="{00000000-0005-0000-0000-0000791A0000}"/>
    <cellStyle name="20% - Accent4 2 3 4 6 3" xfId="34059" xr:uid="{00000000-0005-0000-0000-00007A1A0000}"/>
    <cellStyle name="20% - Accent4 2 3 4 7" xfId="18519" xr:uid="{00000000-0005-0000-0000-00007B1A0000}"/>
    <cellStyle name="20% - Accent4 2 3 4 8" xfId="27400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1" xr:uid="{00000000-0005-0000-0000-0000801A0000}"/>
    <cellStyle name="20% - Accent4 2 3 5 2 2 3" xfId="31098" xr:uid="{00000000-0005-0000-0000-0000811A0000}"/>
    <cellStyle name="20% - Accent4 2 3 5 2 3" xfId="13166" xr:uid="{00000000-0005-0000-0000-0000821A0000}"/>
    <cellStyle name="20% - Accent4 2 3 5 2 3 2" xfId="24440" xr:uid="{00000000-0005-0000-0000-0000831A0000}"/>
    <cellStyle name="20% - Accent4 2 3 5 2 3 3" xfId="33317" xr:uid="{00000000-0005-0000-0000-0000841A0000}"/>
    <cellStyle name="20% - Accent4 2 3 5 2 4" xfId="15616" xr:uid="{00000000-0005-0000-0000-0000851A0000}"/>
    <cellStyle name="20% - Accent4 2 3 5 2 4 2" xfId="26659" xr:uid="{00000000-0005-0000-0000-0000861A0000}"/>
    <cellStyle name="20% - Accent4 2 3 5 2 4 3" xfId="35536" xr:uid="{00000000-0005-0000-0000-0000871A0000}"/>
    <cellStyle name="20% - Accent4 2 3 5 2 5" xfId="20002" xr:uid="{00000000-0005-0000-0000-0000881A0000}"/>
    <cellStyle name="20% - Accent4 2 3 5 2 6" xfId="28879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8" xr:uid="{00000000-0005-0000-0000-00008C1A0000}"/>
    <cellStyle name="20% - Accent4 2 3 5 3 2 3" xfId="30365" xr:uid="{00000000-0005-0000-0000-00008D1A0000}"/>
    <cellStyle name="20% - Accent4 2 3 5 3 3" xfId="12433" xr:uid="{00000000-0005-0000-0000-00008E1A0000}"/>
    <cellStyle name="20% - Accent4 2 3 5 3 3 2" xfId="23707" xr:uid="{00000000-0005-0000-0000-00008F1A0000}"/>
    <cellStyle name="20% - Accent4 2 3 5 3 3 3" xfId="32584" xr:uid="{00000000-0005-0000-0000-0000901A0000}"/>
    <cellStyle name="20% - Accent4 2 3 5 3 4" xfId="14883" xr:uid="{00000000-0005-0000-0000-0000911A0000}"/>
    <cellStyle name="20% - Accent4 2 3 5 3 4 2" xfId="25926" xr:uid="{00000000-0005-0000-0000-0000921A0000}"/>
    <cellStyle name="20% - Accent4 2 3 5 3 4 3" xfId="34803" xr:uid="{00000000-0005-0000-0000-0000931A0000}"/>
    <cellStyle name="20% - Accent4 2 3 5 3 5" xfId="19269" xr:uid="{00000000-0005-0000-0000-0000941A0000}"/>
    <cellStyle name="20% - Accent4 2 3 5 3 6" xfId="28146" xr:uid="{00000000-0005-0000-0000-0000951A0000}"/>
    <cellStyle name="20% - Accent4 2 3 5 4" xfId="9242" xr:uid="{00000000-0005-0000-0000-0000961A0000}"/>
    <cellStyle name="20% - Accent4 2 3 5 4 2" xfId="20745" xr:uid="{00000000-0005-0000-0000-0000971A0000}"/>
    <cellStyle name="20% - Accent4 2 3 5 4 3" xfId="29622" xr:uid="{00000000-0005-0000-0000-0000981A0000}"/>
    <cellStyle name="20% - Accent4 2 3 5 5" xfId="11690" xr:uid="{00000000-0005-0000-0000-0000991A0000}"/>
    <cellStyle name="20% - Accent4 2 3 5 5 2" xfId="22964" xr:uid="{00000000-0005-0000-0000-00009A1A0000}"/>
    <cellStyle name="20% - Accent4 2 3 5 5 3" xfId="31841" xr:uid="{00000000-0005-0000-0000-00009B1A0000}"/>
    <cellStyle name="20% - Accent4 2 3 5 6" xfId="13911" xr:uid="{00000000-0005-0000-0000-00009C1A0000}"/>
    <cellStyle name="20% - Accent4 2 3 5 6 2" xfId="25183" xr:uid="{00000000-0005-0000-0000-00009D1A0000}"/>
    <cellStyle name="20% - Accent4 2 3 5 6 3" xfId="34060" xr:uid="{00000000-0005-0000-0000-00009E1A0000}"/>
    <cellStyle name="20% - Accent4 2 3 5 7" xfId="18520" xr:uid="{00000000-0005-0000-0000-00009F1A0000}"/>
    <cellStyle name="20% - Accent4 2 3 5 8" xfId="27401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2" xr:uid="{00000000-0005-0000-0000-0000A41A0000}"/>
    <cellStyle name="20% - Accent4 2 3 6 2 2 3" xfId="31099" xr:uid="{00000000-0005-0000-0000-0000A51A0000}"/>
    <cellStyle name="20% - Accent4 2 3 6 2 3" xfId="13167" xr:uid="{00000000-0005-0000-0000-0000A61A0000}"/>
    <cellStyle name="20% - Accent4 2 3 6 2 3 2" xfId="24441" xr:uid="{00000000-0005-0000-0000-0000A71A0000}"/>
    <cellStyle name="20% - Accent4 2 3 6 2 3 3" xfId="33318" xr:uid="{00000000-0005-0000-0000-0000A81A0000}"/>
    <cellStyle name="20% - Accent4 2 3 6 2 4" xfId="15617" xr:uid="{00000000-0005-0000-0000-0000A91A0000}"/>
    <cellStyle name="20% - Accent4 2 3 6 2 4 2" xfId="26660" xr:uid="{00000000-0005-0000-0000-0000AA1A0000}"/>
    <cellStyle name="20% - Accent4 2 3 6 2 4 3" xfId="35537" xr:uid="{00000000-0005-0000-0000-0000AB1A0000}"/>
    <cellStyle name="20% - Accent4 2 3 6 2 5" xfId="20003" xr:uid="{00000000-0005-0000-0000-0000AC1A0000}"/>
    <cellStyle name="20% - Accent4 2 3 6 2 6" xfId="28880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89" xr:uid="{00000000-0005-0000-0000-0000B01A0000}"/>
    <cellStyle name="20% - Accent4 2 3 6 3 2 3" xfId="30366" xr:uid="{00000000-0005-0000-0000-0000B11A0000}"/>
    <cellStyle name="20% - Accent4 2 3 6 3 3" xfId="12434" xr:uid="{00000000-0005-0000-0000-0000B21A0000}"/>
    <cellStyle name="20% - Accent4 2 3 6 3 3 2" xfId="23708" xr:uid="{00000000-0005-0000-0000-0000B31A0000}"/>
    <cellStyle name="20% - Accent4 2 3 6 3 3 3" xfId="32585" xr:uid="{00000000-0005-0000-0000-0000B41A0000}"/>
    <cellStyle name="20% - Accent4 2 3 6 3 4" xfId="14884" xr:uid="{00000000-0005-0000-0000-0000B51A0000}"/>
    <cellStyle name="20% - Accent4 2 3 6 3 4 2" xfId="25927" xr:uid="{00000000-0005-0000-0000-0000B61A0000}"/>
    <cellStyle name="20% - Accent4 2 3 6 3 4 3" xfId="34804" xr:uid="{00000000-0005-0000-0000-0000B71A0000}"/>
    <cellStyle name="20% - Accent4 2 3 6 3 5" xfId="19270" xr:uid="{00000000-0005-0000-0000-0000B81A0000}"/>
    <cellStyle name="20% - Accent4 2 3 6 3 6" xfId="28147" xr:uid="{00000000-0005-0000-0000-0000B91A0000}"/>
    <cellStyle name="20% - Accent4 2 3 6 4" xfId="9243" xr:uid="{00000000-0005-0000-0000-0000BA1A0000}"/>
    <cellStyle name="20% - Accent4 2 3 6 4 2" xfId="20746" xr:uid="{00000000-0005-0000-0000-0000BB1A0000}"/>
    <cellStyle name="20% - Accent4 2 3 6 4 3" xfId="29623" xr:uid="{00000000-0005-0000-0000-0000BC1A0000}"/>
    <cellStyle name="20% - Accent4 2 3 6 5" xfId="11691" xr:uid="{00000000-0005-0000-0000-0000BD1A0000}"/>
    <cellStyle name="20% - Accent4 2 3 6 5 2" xfId="22965" xr:uid="{00000000-0005-0000-0000-0000BE1A0000}"/>
    <cellStyle name="20% - Accent4 2 3 6 5 3" xfId="31842" xr:uid="{00000000-0005-0000-0000-0000BF1A0000}"/>
    <cellStyle name="20% - Accent4 2 3 6 6" xfId="13912" xr:uid="{00000000-0005-0000-0000-0000C01A0000}"/>
    <cellStyle name="20% - Accent4 2 3 6 6 2" xfId="25184" xr:uid="{00000000-0005-0000-0000-0000C11A0000}"/>
    <cellStyle name="20% - Accent4 2 3 6 6 3" xfId="34061" xr:uid="{00000000-0005-0000-0000-0000C21A0000}"/>
    <cellStyle name="20% - Accent4 2 3 6 7" xfId="18521" xr:uid="{00000000-0005-0000-0000-0000C31A0000}"/>
    <cellStyle name="20% - Accent4 2 3 6 8" xfId="27402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3" xr:uid="{00000000-0005-0000-0000-0000C81A0000}"/>
    <cellStyle name="20% - Accent4 2 3 7 2 2 3" xfId="31100" xr:uid="{00000000-0005-0000-0000-0000C91A0000}"/>
    <cellStyle name="20% - Accent4 2 3 7 2 3" xfId="13168" xr:uid="{00000000-0005-0000-0000-0000CA1A0000}"/>
    <cellStyle name="20% - Accent4 2 3 7 2 3 2" xfId="24442" xr:uid="{00000000-0005-0000-0000-0000CB1A0000}"/>
    <cellStyle name="20% - Accent4 2 3 7 2 3 3" xfId="33319" xr:uid="{00000000-0005-0000-0000-0000CC1A0000}"/>
    <cellStyle name="20% - Accent4 2 3 7 2 4" xfId="15618" xr:uid="{00000000-0005-0000-0000-0000CD1A0000}"/>
    <cellStyle name="20% - Accent4 2 3 7 2 4 2" xfId="26661" xr:uid="{00000000-0005-0000-0000-0000CE1A0000}"/>
    <cellStyle name="20% - Accent4 2 3 7 2 4 3" xfId="35538" xr:uid="{00000000-0005-0000-0000-0000CF1A0000}"/>
    <cellStyle name="20% - Accent4 2 3 7 2 5" xfId="20004" xr:uid="{00000000-0005-0000-0000-0000D01A0000}"/>
    <cellStyle name="20% - Accent4 2 3 7 2 6" xfId="28881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0" xr:uid="{00000000-0005-0000-0000-0000D41A0000}"/>
    <cellStyle name="20% - Accent4 2 3 7 3 2 3" xfId="30367" xr:uid="{00000000-0005-0000-0000-0000D51A0000}"/>
    <cellStyle name="20% - Accent4 2 3 7 3 3" xfId="12435" xr:uid="{00000000-0005-0000-0000-0000D61A0000}"/>
    <cellStyle name="20% - Accent4 2 3 7 3 3 2" xfId="23709" xr:uid="{00000000-0005-0000-0000-0000D71A0000}"/>
    <cellStyle name="20% - Accent4 2 3 7 3 3 3" xfId="32586" xr:uid="{00000000-0005-0000-0000-0000D81A0000}"/>
    <cellStyle name="20% - Accent4 2 3 7 3 4" xfId="14885" xr:uid="{00000000-0005-0000-0000-0000D91A0000}"/>
    <cellStyle name="20% - Accent4 2 3 7 3 4 2" xfId="25928" xr:uid="{00000000-0005-0000-0000-0000DA1A0000}"/>
    <cellStyle name="20% - Accent4 2 3 7 3 4 3" xfId="34805" xr:uid="{00000000-0005-0000-0000-0000DB1A0000}"/>
    <cellStyle name="20% - Accent4 2 3 7 3 5" xfId="19271" xr:uid="{00000000-0005-0000-0000-0000DC1A0000}"/>
    <cellStyle name="20% - Accent4 2 3 7 3 6" xfId="28148" xr:uid="{00000000-0005-0000-0000-0000DD1A0000}"/>
    <cellStyle name="20% - Accent4 2 3 7 4" xfId="9244" xr:uid="{00000000-0005-0000-0000-0000DE1A0000}"/>
    <cellStyle name="20% - Accent4 2 3 7 4 2" xfId="20747" xr:uid="{00000000-0005-0000-0000-0000DF1A0000}"/>
    <cellStyle name="20% - Accent4 2 3 7 4 3" xfId="29624" xr:uid="{00000000-0005-0000-0000-0000E01A0000}"/>
    <cellStyle name="20% - Accent4 2 3 7 5" xfId="11692" xr:uid="{00000000-0005-0000-0000-0000E11A0000}"/>
    <cellStyle name="20% - Accent4 2 3 7 5 2" xfId="22966" xr:uid="{00000000-0005-0000-0000-0000E21A0000}"/>
    <cellStyle name="20% - Accent4 2 3 7 5 3" xfId="31843" xr:uid="{00000000-0005-0000-0000-0000E31A0000}"/>
    <cellStyle name="20% - Accent4 2 3 7 6" xfId="13913" xr:uid="{00000000-0005-0000-0000-0000E41A0000}"/>
    <cellStyle name="20% - Accent4 2 3 7 6 2" xfId="25185" xr:uid="{00000000-0005-0000-0000-0000E51A0000}"/>
    <cellStyle name="20% - Accent4 2 3 7 6 3" xfId="34062" xr:uid="{00000000-0005-0000-0000-0000E61A0000}"/>
    <cellStyle name="20% - Accent4 2 3 7 7" xfId="18522" xr:uid="{00000000-0005-0000-0000-0000E71A0000}"/>
    <cellStyle name="20% - Accent4 2 3 7 8" xfId="27403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4" xr:uid="{00000000-0005-0000-0000-0000EC1A0000}"/>
    <cellStyle name="20% - Accent4 2 3 8 2 2 3" xfId="31101" xr:uid="{00000000-0005-0000-0000-0000ED1A0000}"/>
    <cellStyle name="20% - Accent4 2 3 8 2 3" xfId="13169" xr:uid="{00000000-0005-0000-0000-0000EE1A0000}"/>
    <cellStyle name="20% - Accent4 2 3 8 2 3 2" xfId="24443" xr:uid="{00000000-0005-0000-0000-0000EF1A0000}"/>
    <cellStyle name="20% - Accent4 2 3 8 2 3 3" xfId="33320" xr:uid="{00000000-0005-0000-0000-0000F01A0000}"/>
    <cellStyle name="20% - Accent4 2 3 8 2 4" xfId="15619" xr:uid="{00000000-0005-0000-0000-0000F11A0000}"/>
    <cellStyle name="20% - Accent4 2 3 8 2 4 2" xfId="26662" xr:uid="{00000000-0005-0000-0000-0000F21A0000}"/>
    <cellStyle name="20% - Accent4 2 3 8 2 4 3" xfId="35539" xr:uid="{00000000-0005-0000-0000-0000F31A0000}"/>
    <cellStyle name="20% - Accent4 2 3 8 2 5" xfId="20005" xr:uid="{00000000-0005-0000-0000-0000F41A0000}"/>
    <cellStyle name="20% - Accent4 2 3 8 2 6" xfId="28882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1" xr:uid="{00000000-0005-0000-0000-0000F81A0000}"/>
    <cellStyle name="20% - Accent4 2 3 8 3 2 3" xfId="30368" xr:uid="{00000000-0005-0000-0000-0000F91A0000}"/>
    <cellStyle name="20% - Accent4 2 3 8 3 3" xfId="12436" xr:uid="{00000000-0005-0000-0000-0000FA1A0000}"/>
    <cellStyle name="20% - Accent4 2 3 8 3 3 2" xfId="23710" xr:uid="{00000000-0005-0000-0000-0000FB1A0000}"/>
    <cellStyle name="20% - Accent4 2 3 8 3 3 3" xfId="32587" xr:uid="{00000000-0005-0000-0000-0000FC1A0000}"/>
    <cellStyle name="20% - Accent4 2 3 8 3 4" xfId="14886" xr:uid="{00000000-0005-0000-0000-0000FD1A0000}"/>
    <cellStyle name="20% - Accent4 2 3 8 3 4 2" xfId="25929" xr:uid="{00000000-0005-0000-0000-0000FE1A0000}"/>
    <cellStyle name="20% - Accent4 2 3 8 3 4 3" xfId="34806" xr:uid="{00000000-0005-0000-0000-0000FF1A0000}"/>
    <cellStyle name="20% - Accent4 2 3 8 3 5" xfId="19272" xr:uid="{00000000-0005-0000-0000-0000001B0000}"/>
    <cellStyle name="20% - Accent4 2 3 8 3 6" xfId="28149" xr:uid="{00000000-0005-0000-0000-0000011B0000}"/>
    <cellStyle name="20% - Accent4 2 3 8 4" xfId="9245" xr:uid="{00000000-0005-0000-0000-0000021B0000}"/>
    <cellStyle name="20% - Accent4 2 3 8 4 2" xfId="20748" xr:uid="{00000000-0005-0000-0000-0000031B0000}"/>
    <cellStyle name="20% - Accent4 2 3 8 4 3" xfId="29625" xr:uid="{00000000-0005-0000-0000-0000041B0000}"/>
    <cellStyle name="20% - Accent4 2 3 8 5" xfId="11693" xr:uid="{00000000-0005-0000-0000-0000051B0000}"/>
    <cellStyle name="20% - Accent4 2 3 8 5 2" xfId="22967" xr:uid="{00000000-0005-0000-0000-0000061B0000}"/>
    <cellStyle name="20% - Accent4 2 3 8 5 3" xfId="31844" xr:uid="{00000000-0005-0000-0000-0000071B0000}"/>
    <cellStyle name="20% - Accent4 2 3 8 6" xfId="13914" xr:uid="{00000000-0005-0000-0000-0000081B0000}"/>
    <cellStyle name="20% - Accent4 2 3 8 6 2" xfId="25186" xr:uid="{00000000-0005-0000-0000-0000091B0000}"/>
    <cellStyle name="20% - Accent4 2 3 8 6 3" xfId="34063" xr:uid="{00000000-0005-0000-0000-00000A1B0000}"/>
    <cellStyle name="20% - Accent4 2 3 8 7" xfId="18523" xr:uid="{00000000-0005-0000-0000-00000B1B0000}"/>
    <cellStyle name="20% - Accent4 2 3 8 8" xfId="27404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5" xr:uid="{00000000-0005-0000-0000-0000101B0000}"/>
    <cellStyle name="20% - Accent4 2 3 9 2 2 3" xfId="31102" xr:uid="{00000000-0005-0000-0000-0000111B0000}"/>
    <cellStyle name="20% - Accent4 2 3 9 2 3" xfId="13170" xr:uid="{00000000-0005-0000-0000-0000121B0000}"/>
    <cellStyle name="20% - Accent4 2 3 9 2 3 2" xfId="24444" xr:uid="{00000000-0005-0000-0000-0000131B0000}"/>
    <cellStyle name="20% - Accent4 2 3 9 2 3 3" xfId="33321" xr:uid="{00000000-0005-0000-0000-0000141B0000}"/>
    <cellStyle name="20% - Accent4 2 3 9 2 4" xfId="15620" xr:uid="{00000000-0005-0000-0000-0000151B0000}"/>
    <cellStyle name="20% - Accent4 2 3 9 2 4 2" xfId="26663" xr:uid="{00000000-0005-0000-0000-0000161B0000}"/>
    <cellStyle name="20% - Accent4 2 3 9 2 4 3" xfId="35540" xr:uid="{00000000-0005-0000-0000-0000171B0000}"/>
    <cellStyle name="20% - Accent4 2 3 9 2 5" xfId="20006" xr:uid="{00000000-0005-0000-0000-0000181B0000}"/>
    <cellStyle name="20% - Accent4 2 3 9 2 6" xfId="28883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2" xr:uid="{00000000-0005-0000-0000-00001C1B0000}"/>
    <cellStyle name="20% - Accent4 2 3 9 3 2 3" xfId="30369" xr:uid="{00000000-0005-0000-0000-00001D1B0000}"/>
    <cellStyle name="20% - Accent4 2 3 9 3 3" xfId="12437" xr:uid="{00000000-0005-0000-0000-00001E1B0000}"/>
    <cellStyle name="20% - Accent4 2 3 9 3 3 2" xfId="23711" xr:uid="{00000000-0005-0000-0000-00001F1B0000}"/>
    <cellStyle name="20% - Accent4 2 3 9 3 3 3" xfId="32588" xr:uid="{00000000-0005-0000-0000-0000201B0000}"/>
    <cellStyle name="20% - Accent4 2 3 9 3 4" xfId="14887" xr:uid="{00000000-0005-0000-0000-0000211B0000}"/>
    <cellStyle name="20% - Accent4 2 3 9 3 4 2" xfId="25930" xr:uid="{00000000-0005-0000-0000-0000221B0000}"/>
    <cellStyle name="20% - Accent4 2 3 9 3 4 3" xfId="34807" xr:uid="{00000000-0005-0000-0000-0000231B0000}"/>
    <cellStyle name="20% - Accent4 2 3 9 3 5" xfId="19273" xr:uid="{00000000-0005-0000-0000-0000241B0000}"/>
    <cellStyle name="20% - Accent4 2 3 9 3 6" xfId="28150" xr:uid="{00000000-0005-0000-0000-0000251B0000}"/>
    <cellStyle name="20% - Accent4 2 3 9 4" xfId="9246" xr:uid="{00000000-0005-0000-0000-0000261B0000}"/>
    <cellStyle name="20% - Accent4 2 3 9 4 2" xfId="20749" xr:uid="{00000000-0005-0000-0000-0000271B0000}"/>
    <cellStyle name="20% - Accent4 2 3 9 4 3" xfId="29626" xr:uid="{00000000-0005-0000-0000-0000281B0000}"/>
    <cellStyle name="20% - Accent4 2 3 9 5" xfId="11694" xr:uid="{00000000-0005-0000-0000-0000291B0000}"/>
    <cellStyle name="20% - Accent4 2 3 9 5 2" xfId="22968" xr:uid="{00000000-0005-0000-0000-00002A1B0000}"/>
    <cellStyle name="20% - Accent4 2 3 9 5 3" xfId="31845" xr:uid="{00000000-0005-0000-0000-00002B1B0000}"/>
    <cellStyle name="20% - Accent4 2 3 9 6" xfId="13915" xr:uid="{00000000-0005-0000-0000-00002C1B0000}"/>
    <cellStyle name="20% - Accent4 2 3 9 6 2" xfId="25187" xr:uid="{00000000-0005-0000-0000-00002D1B0000}"/>
    <cellStyle name="20% - Accent4 2 3 9 6 3" xfId="34064" xr:uid="{00000000-0005-0000-0000-00002E1B0000}"/>
    <cellStyle name="20% - Accent4 2 3 9 7" xfId="18524" xr:uid="{00000000-0005-0000-0000-00002F1B0000}"/>
    <cellStyle name="20% - Accent4 2 3 9 8" xfId="27405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6" xr:uid="{00000000-0005-0000-0000-0000341B0000}"/>
    <cellStyle name="20% - Accent4 2 4 10 2 3" xfId="31103" xr:uid="{00000000-0005-0000-0000-0000351B0000}"/>
    <cellStyle name="20% - Accent4 2 4 10 3" xfId="13171" xr:uid="{00000000-0005-0000-0000-0000361B0000}"/>
    <cellStyle name="20% - Accent4 2 4 10 3 2" xfId="24445" xr:uid="{00000000-0005-0000-0000-0000371B0000}"/>
    <cellStyle name="20% - Accent4 2 4 10 3 3" xfId="33322" xr:uid="{00000000-0005-0000-0000-0000381B0000}"/>
    <cellStyle name="20% - Accent4 2 4 10 4" xfId="15621" xr:uid="{00000000-0005-0000-0000-0000391B0000}"/>
    <cellStyle name="20% - Accent4 2 4 10 4 2" xfId="26664" xr:uid="{00000000-0005-0000-0000-00003A1B0000}"/>
    <cellStyle name="20% - Accent4 2 4 10 4 3" xfId="35541" xr:uid="{00000000-0005-0000-0000-00003B1B0000}"/>
    <cellStyle name="20% - Accent4 2 4 10 5" xfId="20007" xr:uid="{00000000-0005-0000-0000-00003C1B0000}"/>
    <cellStyle name="20% - Accent4 2 4 10 6" xfId="28884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3" xr:uid="{00000000-0005-0000-0000-0000401B0000}"/>
    <cellStyle name="20% - Accent4 2 4 11 2 3" xfId="30370" xr:uid="{00000000-0005-0000-0000-0000411B0000}"/>
    <cellStyle name="20% - Accent4 2 4 11 3" xfId="12438" xr:uid="{00000000-0005-0000-0000-0000421B0000}"/>
    <cellStyle name="20% - Accent4 2 4 11 3 2" xfId="23712" xr:uid="{00000000-0005-0000-0000-0000431B0000}"/>
    <cellStyle name="20% - Accent4 2 4 11 3 3" xfId="32589" xr:uid="{00000000-0005-0000-0000-0000441B0000}"/>
    <cellStyle name="20% - Accent4 2 4 11 4" xfId="14888" xr:uid="{00000000-0005-0000-0000-0000451B0000}"/>
    <cellStyle name="20% - Accent4 2 4 11 4 2" xfId="25931" xr:uid="{00000000-0005-0000-0000-0000461B0000}"/>
    <cellStyle name="20% - Accent4 2 4 11 4 3" xfId="34808" xr:uid="{00000000-0005-0000-0000-0000471B0000}"/>
    <cellStyle name="20% - Accent4 2 4 11 5" xfId="19274" xr:uid="{00000000-0005-0000-0000-0000481B0000}"/>
    <cellStyle name="20% - Accent4 2 4 11 6" xfId="28151" xr:uid="{00000000-0005-0000-0000-0000491B0000}"/>
    <cellStyle name="20% - Accent4 2 4 12" xfId="9247" xr:uid="{00000000-0005-0000-0000-00004A1B0000}"/>
    <cellStyle name="20% - Accent4 2 4 12 2" xfId="20750" xr:uid="{00000000-0005-0000-0000-00004B1B0000}"/>
    <cellStyle name="20% - Accent4 2 4 12 3" xfId="29627" xr:uid="{00000000-0005-0000-0000-00004C1B0000}"/>
    <cellStyle name="20% - Accent4 2 4 13" xfId="11695" xr:uid="{00000000-0005-0000-0000-00004D1B0000}"/>
    <cellStyle name="20% - Accent4 2 4 13 2" xfId="22969" xr:uid="{00000000-0005-0000-0000-00004E1B0000}"/>
    <cellStyle name="20% - Accent4 2 4 13 3" xfId="31846" xr:uid="{00000000-0005-0000-0000-00004F1B0000}"/>
    <cellStyle name="20% - Accent4 2 4 14" xfId="13916" xr:uid="{00000000-0005-0000-0000-0000501B0000}"/>
    <cellStyle name="20% - Accent4 2 4 14 2" xfId="25188" xr:uid="{00000000-0005-0000-0000-0000511B0000}"/>
    <cellStyle name="20% - Accent4 2 4 14 3" xfId="34065" xr:uid="{00000000-0005-0000-0000-0000521B0000}"/>
    <cellStyle name="20% - Accent4 2 4 15" xfId="18525" xr:uid="{00000000-0005-0000-0000-0000531B0000}"/>
    <cellStyle name="20% - Accent4 2 4 16" xfId="27406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7" xr:uid="{00000000-0005-0000-0000-0000581B0000}"/>
    <cellStyle name="20% - Accent4 2 4 2 2 2 3" xfId="31104" xr:uid="{00000000-0005-0000-0000-0000591B0000}"/>
    <cellStyle name="20% - Accent4 2 4 2 2 3" xfId="13172" xr:uid="{00000000-0005-0000-0000-00005A1B0000}"/>
    <cellStyle name="20% - Accent4 2 4 2 2 3 2" xfId="24446" xr:uid="{00000000-0005-0000-0000-00005B1B0000}"/>
    <cellStyle name="20% - Accent4 2 4 2 2 3 3" xfId="33323" xr:uid="{00000000-0005-0000-0000-00005C1B0000}"/>
    <cellStyle name="20% - Accent4 2 4 2 2 4" xfId="15622" xr:uid="{00000000-0005-0000-0000-00005D1B0000}"/>
    <cellStyle name="20% - Accent4 2 4 2 2 4 2" xfId="26665" xr:uid="{00000000-0005-0000-0000-00005E1B0000}"/>
    <cellStyle name="20% - Accent4 2 4 2 2 4 3" xfId="35542" xr:uid="{00000000-0005-0000-0000-00005F1B0000}"/>
    <cellStyle name="20% - Accent4 2 4 2 2 5" xfId="20008" xr:uid="{00000000-0005-0000-0000-0000601B0000}"/>
    <cellStyle name="20% - Accent4 2 4 2 2 6" xfId="28885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4" xr:uid="{00000000-0005-0000-0000-0000641B0000}"/>
    <cellStyle name="20% - Accent4 2 4 2 3 2 3" xfId="30371" xr:uid="{00000000-0005-0000-0000-0000651B0000}"/>
    <cellStyle name="20% - Accent4 2 4 2 3 3" xfId="12439" xr:uid="{00000000-0005-0000-0000-0000661B0000}"/>
    <cellStyle name="20% - Accent4 2 4 2 3 3 2" xfId="23713" xr:uid="{00000000-0005-0000-0000-0000671B0000}"/>
    <cellStyle name="20% - Accent4 2 4 2 3 3 3" xfId="32590" xr:uid="{00000000-0005-0000-0000-0000681B0000}"/>
    <cellStyle name="20% - Accent4 2 4 2 3 4" xfId="14889" xr:uid="{00000000-0005-0000-0000-0000691B0000}"/>
    <cellStyle name="20% - Accent4 2 4 2 3 4 2" xfId="25932" xr:uid="{00000000-0005-0000-0000-00006A1B0000}"/>
    <cellStyle name="20% - Accent4 2 4 2 3 4 3" xfId="34809" xr:uid="{00000000-0005-0000-0000-00006B1B0000}"/>
    <cellStyle name="20% - Accent4 2 4 2 3 5" xfId="19275" xr:uid="{00000000-0005-0000-0000-00006C1B0000}"/>
    <cellStyle name="20% - Accent4 2 4 2 3 6" xfId="28152" xr:uid="{00000000-0005-0000-0000-00006D1B0000}"/>
    <cellStyle name="20% - Accent4 2 4 2 4" xfId="9248" xr:uid="{00000000-0005-0000-0000-00006E1B0000}"/>
    <cellStyle name="20% - Accent4 2 4 2 4 2" xfId="20751" xr:uid="{00000000-0005-0000-0000-00006F1B0000}"/>
    <cellStyle name="20% - Accent4 2 4 2 4 3" xfId="29628" xr:uid="{00000000-0005-0000-0000-0000701B0000}"/>
    <cellStyle name="20% - Accent4 2 4 2 5" xfId="11696" xr:uid="{00000000-0005-0000-0000-0000711B0000}"/>
    <cellStyle name="20% - Accent4 2 4 2 5 2" xfId="22970" xr:uid="{00000000-0005-0000-0000-0000721B0000}"/>
    <cellStyle name="20% - Accent4 2 4 2 5 3" xfId="31847" xr:uid="{00000000-0005-0000-0000-0000731B0000}"/>
    <cellStyle name="20% - Accent4 2 4 2 6" xfId="13917" xr:uid="{00000000-0005-0000-0000-0000741B0000}"/>
    <cellStyle name="20% - Accent4 2 4 2 6 2" xfId="25189" xr:uid="{00000000-0005-0000-0000-0000751B0000}"/>
    <cellStyle name="20% - Accent4 2 4 2 6 3" xfId="34066" xr:uid="{00000000-0005-0000-0000-0000761B0000}"/>
    <cellStyle name="20% - Accent4 2 4 2 7" xfId="18526" xr:uid="{00000000-0005-0000-0000-0000771B0000}"/>
    <cellStyle name="20% - Accent4 2 4 2 8" xfId="27407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8" xr:uid="{00000000-0005-0000-0000-00007C1B0000}"/>
    <cellStyle name="20% - Accent4 2 4 3 2 2 3" xfId="31105" xr:uid="{00000000-0005-0000-0000-00007D1B0000}"/>
    <cellStyle name="20% - Accent4 2 4 3 2 3" xfId="13173" xr:uid="{00000000-0005-0000-0000-00007E1B0000}"/>
    <cellStyle name="20% - Accent4 2 4 3 2 3 2" xfId="24447" xr:uid="{00000000-0005-0000-0000-00007F1B0000}"/>
    <cellStyle name="20% - Accent4 2 4 3 2 3 3" xfId="33324" xr:uid="{00000000-0005-0000-0000-0000801B0000}"/>
    <cellStyle name="20% - Accent4 2 4 3 2 4" xfId="15623" xr:uid="{00000000-0005-0000-0000-0000811B0000}"/>
    <cellStyle name="20% - Accent4 2 4 3 2 4 2" xfId="26666" xr:uid="{00000000-0005-0000-0000-0000821B0000}"/>
    <cellStyle name="20% - Accent4 2 4 3 2 4 3" xfId="35543" xr:uid="{00000000-0005-0000-0000-0000831B0000}"/>
    <cellStyle name="20% - Accent4 2 4 3 2 5" xfId="20009" xr:uid="{00000000-0005-0000-0000-0000841B0000}"/>
    <cellStyle name="20% - Accent4 2 4 3 2 6" xfId="28886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5" xr:uid="{00000000-0005-0000-0000-0000881B0000}"/>
    <cellStyle name="20% - Accent4 2 4 3 3 2 3" xfId="30372" xr:uid="{00000000-0005-0000-0000-0000891B0000}"/>
    <cellStyle name="20% - Accent4 2 4 3 3 3" xfId="12440" xr:uid="{00000000-0005-0000-0000-00008A1B0000}"/>
    <cellStyle name="20% - Accent4 2 4 3 3 3 2" xfId="23714" xr:uid="{00000000-0005-0000-0000-00008B1B0000}"/>
    <cellStyle name="20% - Accent4 2 4 3 3 3 3" xfId="32591" xr:uid="{00000000-0005-0000-0000-00008C1B0000}"/>
    <cellStyle name="20% - Accent4 2 4 3 3 4" xfId="14890" xr:uid="{00000000-0005-0000-0000-00008D1B0000}"/>
    <cellStyle name="20% - Accent4 2 4 3 3 4 2" xfId="25933" xr:uid="{00000000-0005-0000-0000-00008E1B0000}"/>
    <cellStyle name="20% - Accent4 2 4 3 3 4 3" xfId="34810" xr:uid="{00000000-0005-0000-0000-00008F1B0000}"/>
    <cellStyle name="20% - Accent4 2 4 3 3 5" xfId="19276" xr:uid="{00000000-0005-0000-0000-0000901B0000}"/>
    <cellStyle name="20% - Accent4 2 4 3 3 6" xfId="28153" xr:uid="{00000000-0005-0000-0000-0000911B0000}"/>
    <cellStyle name="20% - Accent4 2 4 3 4" xfId="9249" xr:uid="{00000000-0005-0000-0000-0000921B0000}"/>
    <cellStyle name="20% - Accent4 2 4 3 4 2" xfId="20752" xr:uid="{00000000-0005-0000-0000-0000931B0000}"/>
    <cellStyle name="20% - Accent4 2 4 3 4 3" xfId="29629" xr:uid="{00000000-0005-0000-0000-0000941B0000}"/>
    <cellStyle name="20% - Accent4 2 4 3 5" xfId="11697" xr:uid="{00000000-0005-0000-0000-0000951B0000}"/>
    <cellStyle name="20% - Accent4 2 4 3 5 2" xfId="22971" xr:uid="{00000000-0005-0000-0000-0000961B0000}"/>
    <cellStyle name="20% - Accent4 2 4 3 5 3" xfId="31848" xr:uid="{00000000-0005-0000-0000-0000971B0000}"/>
    <cellStyle name="20% - Accent4 2 4 3 6" xfId="13918" xr:uid="{00000000-0005-0000-0000-0000981B0000}"/>
    <cellStyle name="20% - Accent4 2 4 3 6 2" xfId="25190" xr:uid="{00000000-0005-0000-0000-0000991B0000}"/>
    <cellStyle name="20% - Accent4 2 4 3 6 3" xfId="34067" xr:uid="{00000000-0005-0000-0000-00009A1B0000}"/>
    <cellStyle name="20% - Accent4 2 4 3 7" xfId="18527" xr:uid="{00000000-0005-0000-0000-00009B1B0000}"/>
    <cellStyle name="20% - Accent4 2 4 3 8" xfId="27408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29" xr:uid="{00000000-0005-0000-0000-0000A01B0000}"/>
    <cellStyle name="20% - Accent4 2 4 4 2 2 3" xfId="31106" xr:uid="{00000000-0005-0000-0000-0000A11B0000}"/>
    <cellStyle name="20% - Accent4 2 4 4 2 3" xfId="13174" xr:uid="{00000000-0005-0000-0000-0000A21B0000}"/>
    <cellStyle name="20% - Accent4 2 4 4 2 3 2" xfId="24448" xr:uid="{00000000-0005-0000-0000-0000A31B0000}"/>
    <cellStyle name="20% - Accent4 2 4 4 2 3 3" xfId="33325" xr:uid="{00000000-0005-0000-0000-0000A41B0000}"/>
    <cellStyle name="20% - Accent4 2 4 4 2 4" xfId="15624" xr:uid="{00000000-0005-0000-0000-0000A51B0000}"/>
    <cellStyle name="20% - Accent4 2 4 4 2 4 2" xfId="26667" xr:uid="{00000000-0005-0000-0000-0000A61B0000}"/>
    <cellStyle name="20% - Accent4 2 4 4 2 4 3" xfId="35544" xr:uid="{00000000-0005-0000-0000-0000A71B0000}"/>
    <cellStyle name="20% - Accent4 2 4 4 2 5" xfId="20010" xr:uid="{00000000-0005-0000-0000-0000A81B0000}"/>
    <cellStyle name="20% - Accent4 2 4 4 2 6" xfId="28887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6" xr:uid="{00000000-0005-0000-0000-0000AC1B0000}"/>
    <cellStyle name="20% - Accent4 2 4 4 3 2 3" xfId="30373" xr:uid="{00000000-0005-0000-0000-0000AD1B0000}"/>
    <cellStyle name="20% - Accent4 2 4 4 3 3" xfId="12441" xr:uid="{00000000-0005-0000-0000-0000AE1B0000}"/>
    <cellStyle name="20% - Accent4 2 4 4 3 3 2" xfId="23715" xr:uid="{00000000-0005-0000-0000-0000AF1B0000}"/>
    <cellStyle name="20% - Accent4 2 4 4 3 3 3" xfId="32592" xr:uid="{00000000-0005-0000-0000-0000B01B0000}"/>
    <cellStyle name="20% - Accent4 2 4 4 3 4" xfId="14891" xr:uid="{00000000-0005-0000-0000-0000B11B0000}"/>
    <cellStyle name="20% - Accent4 2 4 4 3 4 2" xfId="25934" xr:uid="{00000000-0005-0000-0000-0000B21B0000}"/>
    <cellStyle name="20% - Accent4 2 4 4 3 4 3" xfId="34811" xr:uid="{00000000-0005-0000-0000-0000B31B0000}"/>
    <cellStyle name="20% - Accent4 2 4 4 3 5" xfId="19277" xr:uid="{00000000-0005-0000-0000-0000B41B0000}"/>
    <cellStyle name="20% - Accent4 2 4 4 3 6" xfId="28154" xr:uid="{00000000-0005-0000-0000-0000B51B0000}"/>
    <cellStyle name="20% - Accent4 2 4 4 4" xfId="9250" xr:uid="{00000000-0005-0000-0000-0000B61B0000}"/>
    <cellStyle name="20% - Accent4 2 4 4 4 2" xfId="20753" xr:uid="{00000000-0005-0000-0000-0000B71B0000}"/>
    <cellStyle name="20% - Accent4 2 4 4 4 3" xfId="29630" xr:uid="{00000000-0005-0000-0000-0000B81B0000}"/>
    <cellStyle name="20% - Accent4 2 4 4 5" xfId="11698" xr:uid="{00000000-0005-0000-0000-0000B91B0000}"/>
    <cellStyle name="20% - Accent4 2 4 4 5 2" xfId="22972" xr:uid="{00000000-0005-0000-0000-0000BA1B0000}"/>
    <cellStyle name="20% - Accent4 2 4 4 5 3" xfId="31849" xr:uid="{00000000-0005-0000-0000-0000BB1B0000}"/>
    <cellStyle name="20% - Accent4 2 4 4 6" xfId="13919" xr:uid="{00000000-0005-0000-0000-0000BC1B0000}"/>
    <cellStyle name="20% - Accent4 2 4 4 6 2" xfId="25191" xr:uid="{00000000-0005-0000-0000-0000BD1B0000}"/>
    <cellStyle name="20% - Accent4 2 4 4 6 3" xfId="34068" xr:uid="{00000000-0005-0000-0000-0000BE1B0000}"/>
    <cellStyle name="20% - Accent4 2 4 4 7" xfId="18528" xr:uid="{00000000-0005-0000-0000-0000BF1B0000}"/>
    <cellStyle name="20% - Accent4 2 4 4 8" xfId="27409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0" xr:uid="{00000000-0005-0000-0000-0000C41B0000}"/>
    <cellStyle name="20% - Accent4 2 4 5 2 2 3" xfId="31107" xr:uid="{00000000-0005-0000-0000-0000C51B0000}"/>
    <cellStyle name="20% - Accent4 2 4 5 2 3" xfId="13175" xr:uid="{00000000-0005-0000-0000-0000C61B0000}"/>
    <cellStyle name="20% - Accent4 2 4 5 2 3 2" xfId="24449" xr:uid="{00000000-0005-0000-0000-0000C71B0000}"/>
    <cellStyle name="20% - Accent4 2 4 5 2 3 3" xfId="33326" xr:uid="{00000000-0005-0000-0000-0000C81B0000}"/>
    <cellStyle name="20% - Accent4 2 4 5 2 4" xfId="15625" xr:uid="{00000000-0005-0000-0000-0000C91B0000}"/>
    <cellStyle name="20% - Accent4 2 4 5 2 4 2" xfId="26668" xr:uid="{00000000-0005-0000-0000-0000CA1B0000}"/>
    <cellStyle name="20% - Accent4 2 4 5 2 4 3" xfId="35545" xr:uid="{00000000-0005-0000-0000-0000CB1B0000}"/>
    <cellStyle name="20% - Accent4 2 4 5 2 5" xfId="20011" xr:uid="{00000000-0005-0000-0000-0000CC1B0000}"/>
    <cellStyle name="20% - Accent4 2 4 5 2 6" xfId="28888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7" xr:uid="{00000000-0005-0000-0000-0000D01B0000}"/>
    <cellStyle name="20% - Accent4 2 4 5 3 2 3" xfId="30374" xr:uid="{00000000-0005-0000-0000-0000D11B0000}"/>
    <cellStyle name="20% - Accent4 2 4 5 3 3" xfId="12442" xr:uid="{00000000-0005-0000-0000-0000D21B0000}"/>
    <cellStyle name="20% - Accent4 2 4 5 3 3 2" xfId="23716" xr:uid="{00000000-0005-0000-0000-0000D31B0000}"/>
    <cellStyle name="20% - Accent4 2 4 5 3 3 3" xfId="32593" xr:uid="{00000000-0005-0000-0000-0000D41B0000}"/>
    <cellStyle name="20% - Accent4 2 4 5 3 4" xfId="14892" xr:uid="{00000000-0005-0000-0000-0000D51B0000}"/>
    <cellStyle name="20% - Accent4 2 4 5 3 4 2" xfId="25935" xr:uid="{00000000-0005-0000-0000-0000D61B0000}"/>
    <cellStyle name="20% - Accent4 2 4 5 3 4 3" xfId="34812" xr:uid="{00000000-0005-0000-0000-0000D71B0000}"/>
    <cellStyle name="20% - Accent4 2 4 5 3 5" xfId="19278" xr:uid="{00000000-0005-0000-0000-0000D81B0000}"/>
    <cellStyle name="20% - Accent4 2 4 5 3 6" xfId="28155" xr:uid="{00000000-0005-0000-0000-0000D91B0000}"/>
    <cellStyle name="20% - Accent4 2 4 5 4" xfId="9251" xr:uid="{00000000-0005-0000-0000-0000DA1B0000}"/>
    <cellStyle name="20% - Accent4 2 4 5 4 2" xfId="20754" xr:uid="{00000000-0005-0000-0000-0000DB1B0000}"/>
    <cellStyle name="20% - Accent4 2 4 5 4 3" xfId="29631" xr:uid="{00000000-0005-0000-0000-0000DC1B0000}"/>
    <cellStyle name="20% - Accent4 2 4 5 5" xfId="11699" xr:uid="{00000000-0005-0000-0000-0000DD1B0000}"/>
    <cellStyle name="20% - Accent4 2 4 5 5 2" xfId="22973" xr:uid="{00000000-0005-0000-0000-0000DE1B0000}"/>
    <cellStyle name="20% - Accent4 2 4 5 5 3" xfId="31850" xr:uid="{00000000-0005-0000-0000-0000DF1B0000}"/>
    <cellStyle name="20% - Accent4 2 4 5 6" xfId="13920" xr:uid="{00000000-0005-0000-0000-0000E01B0000}"/>
    <cellStyle name="20% - Accent4 2 4 5 6 2" xfId="25192" xr:uid="{00000000-0005-0000-0000-0000E11B0000}"/>
    <cellStyle name="20% - Accent4 2 4 5 6 3" xfId="34069" xr:uid="{00000000-0005-0000-0000-0000E21B0000}"/>
    <cellStyle name="20% - Accent4 2 4 5 7" xfId="18529" xr:uid="{00000000-0005-0000-0000-0000E31B0000}"/>
    <cellStyle name="20% - Accent4 2 4 5 8" xfId="27410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1" xr:uid="{00000000-0005-0000-0000-0000E81B0000}"/>
    <cellStyle name="20% - Accent4 2 4 6 2 2 3" xfId="31108" xr:uid="{00000000-0005-0000-0000-0000E91B0000}"/>
    <cellStyle name="20% - Accent4 2 4 6 2 3" xfId="13176" xr:uid="{00000000-0005-0000-0000-0000EA1B0000}"/>
    <cellStyle name="20% - Accent4 2 4 6 2 3 2" xfId="24450" xr:uid="{00000000-0005-0000-0000-0000EB1B0000}"/>
    <cellStyle name="20% - Accent4 2 4 6 2 3 3" xfId="33327" xr:uid="{00000000-0005-0000-0000-0000EC1B0000}"/>
    <cellStyle name="20% - Accent4 2 4 6 2 4" xfId="15626" xr:uid="{00000000-0005-0000-0000-0000ED1B0000}"/>
    <cellStyle name="20% - Accent4 2 4 6 2 4 2" xfId="26669" xr:uid="{00000000-0005-0000-0000-0000EE1B0000}"/>
    <cellStyle name="20% - Accent4 2 4 6 2 4 3" xfId="35546" xr:uid="{00000000-0005-0000-0000-0000EF1B0000}"/>
    <cellStyle name="20% - Accent4 2 4 6 2 5" xfId="20012" xr:uid="{00000000-0005-0000-0000-0000F01B0000}"/>
    <cellStyle name="20% - Accent4 2 4 6 2 6" xfId="28889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8" xr:uid="{00000000-0005-0000-0000-0000F41B0000}"/>
    <cellStyle name="20% - Accent4 2 4 6 3 2 3" xfId="30375" xr:uid="{00000000-0005-0000-0000-0000F51B0000}"/>
    <cellStyle name="20% - Accent4 2 4 6 3 3" xfId="12443" xr:uid="{00000000-0005-0000-0000-0000F61B0000}"/>
    <cellStyle name="20% - Accent4 2 4 6 3 3 2" xfId="23717" xr:uid="{00000000-0005-0000-0000-0000F71B0000}"/>
    <cellStyle name="20% - Accent4 2 4 6 3 3 3" xfId="32594" xr:uid="{00000000-0005-0000-0000-0000F81B0000}"/>
    <cellStyle name="20% - Accent4 2 4 6 3 4" xfId="14893" xr:uid="{00000000-0005-0000-0000-0000F91B0000}"/>
    <cellStyle name="20% - Accent4 2 4 6 3 4 2" xfId="25936" xr:uid="{00000000-0005-0000-0000-0000FA1B0000}"/>
    <cellStyle name="20% - Accent4 2 4 6 3 4 3" xfId="34813" xr:uid="{00000000-0005-0000-0000-0000FB1B0000}"/>
    <cellStyle name="20% - Accent4 2 4 6 3 5" xfId="19279" xr:uid="{00000000-0005-0000-0000-0000FC1B0000}"/>
    <cellStyle name="20% - Accent4 2 4 6 3 6" xfId="28156" xr:uid="{00000000-0005-0000-0000-0000FD1B0000}"/>
    <cellStyle name="20% - Accent4 2 4 6 4" xfId="9252" xr:uid="{00000000-0005-0000-0000-0000FE1B0000}"/>
    <cellStyle name="20% - Accent4 2 4 6 4 2" xfId="20755" xr:uid="{00000000-0005-0000-0000-0000FF1B0000}"/>
    <cellStyle name="20% - Accent4 2 4 6 4 3" xfId="29632" xr:uid="{00000000-0005-0000-0000-0000001C0000}"/>
    <cellStyle name="20% - Accent4 2 4 6 5" xfId="11700" xr:uid="{00000000-0005-0000-0000-0000011C0000}"/>
    <cellStyle name="20% - Accent4 2 4 6 5 2" xfId="22974" xr:uid="{00000000-0005-0000-0000-0000021C0000}"/>
    <cellStyle name="20% - Accent4 2 4 6 5 3" xfId="31851" xr:uid="{00000000-0005-0000-0000-0000031C0000}"/>
    <cellStyle name="20% - Accent4 2 4 6 6" xfId="13921" xr:uid="{00000000-0005-0000-0000-0000041C0000}"/>
    <cellStyle name="20% - Accent4 2 4 6 6 2" xfId="25193" xr:uid="{00000000-0005-0000-0000-0000051C0000}"/>
    <cellStyle name="20% - Accent4 2 4 6 6 3" xfId="34070" xr:uid="{00000000-0005-0000-0000-0000061C0000}"/>
    <cellStyle name="20% - Accent4 2 4 6 7" xfId="18530" xr:uid="{00000000-0005-0000-0000-0000071C0000}"/>
    <cellStyle name="20% - Accent4 2 4 6 8" xfId="27411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2" xr:uid="{00000000-0005-0000-0000-00000C1C0000}"/>
    <cellStyle name="20% - Accent4 2 4 7 2 2 3" xfId="31109" xr:uid="{00000000-0005-0000-0000-00000D1C0000}"/>
    <cellStyle name="20% - Accent4 2 4 7 2 3" xfId="13177" xr:uid="{00000000-0005-0000-0000-00000E1C0000}"/>
    <cellStyle name="20% - Accent4 2 4 7 2 3 2" xfId="24451" xr:uid="{00000000-0005-0000-0000-00000F1C0000}"/>
    <cellStyle name="20% - Accent4 2 4 7 2 3 3" xfId="33328" xr:uid="{00000000-0005-0000-0000-0000101C0000}"/>
    <cellStyle name="20% - Accent4 2 4 7 2 4" xfId="15627" xr:uid="{00000000-0005-0000-0000-0000111C0000}"/>
    <cellStyle name="20% - Accent4 2 4 7 2 4 2" xfId="26670" xr:uid="{00000000-0005-0000-0000-0000121C0000}"/>
    <cellStyle name="20% - Accent4 2 4 7 2 4 3" xfId="35547" xr:uid="{00000000-0005-0000-0000-0000131C0000}"/>
    <cellStyle name="20% - Accent4 2 4 7 2 5" xfId="20013" xr:uid="{00000000-0005-0000-0000-0000141C0000}"/>
    <cellStyle name="20% - Accent4 2 4 7 2 6" xfId="28890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499" xr:uid="{00000000-0005-0000-0000-0000181C0000}"/>
    <cellStyle name="20% - Accent4 2 4 7 3 2 3" xfId="30376" xr:uid="{00000000-0005-0000-0000-0000191C0000}"/>
    <cellStyle name="20% - Accent4 2 4 7 3 3" xfId="12444" xr:uid="{00000000-0005-0000-0000-00001A1C0000}"/>
    <cellStyle name="20% - Accent4 2 4 7 3 3 2" xfId="23718" xr:uid="{00000000-0005-0000-0000-00001B1C0000}"/>
    <cellStyle name="20% - Accent4 2 4 7 3 3 3" xfId="32595" xr:uid="{00000000-0005-0000-0000-00001C1C0000}"/>
    <cellStyle name="20% - Accent4 2 4 7 3 4" xfId="14894" xr:uid="{00000000-0005-0000-0000-00001D1C0000}"/>
    <cellStyle name="20% - Accent4 2 4 7 3 4 2" xfId="25937" xr:uid="{00000000-0005-0000-0000-00001E1C0000}"/>
    <cellStyle name="20% - Accent4 2 4 7 3 4 3" xfId="34814" xr:uid="{00000000-0005-0000-0000-00001F1C0000}"/>
    <cellStyle name="20% - Accent4 2 4 7 3 5" xfId="19280" xr:uid="{00000000-0005-0000-0000-0000201C0000}"/>
    <cellStyle name="20% - Accent4 2 4 7 3 6" xfId="28157" xr:uid="{00000000-0005-0000-0000-0000211C0000}"/>
    <cellStyle name="20% - Accent4 2 4 7 4" xfId="9253" xr:uid="{00000000-0005-0000-0000-0000221C0000}"/>
    <cellStyle name="20% - Accent4 2 4 7 4 2" xfId="20756" xr:uid="{00000000-0005-0000-0000-0000231C0000}"/>
    <cellStyle name="20% - Accent4 2 4 7 4 3" xfId="29633" xr:uid="{00000000-0005-0000-0000-0000241C0000}"/>
    <cellStyle name="20% - Accent4 2 4 7 5" xfId="11701" xr:uid="{00000000-0005-0000-0000-0000251C0000}"/>
    <cellStyle name="20% - Accent4 2 4 7 5 2" xfId="22975" xr:uid="{00000000-0005-0000-0000-0000261C0000}"/>
    <cellStyle name="20% - Accent4 2 4 7 5 3" xfId="31852" xr:uid="{00000000-0005-0000-0000-0000271C0000}"/>
    <cellStyle name="20% - Accent4 2 4 7 6" xfId="13922" xr:uid="{00000000-0005-0000-0000-0000281C0000}"/>
    <cellStyle name="20% - Accent4 2 4 7 6 2" xfId="25194" xr:uid="{00000000-0005-0000-0000-0000291C0000}"/>
    <cellStyle name="20% - Accent4 2 4 7 6 3" xfId="34071" xr:uid="{00000000-0005-0000-0000-00002A1C0000}"/>
    <cellStyle name="20% - Accent4 2 4 7 7" xfId="18531" xr:uid="{00000000-0005-0000-0000-00002B1C0000}"/>
    <cellStyle name="20% - Accent4 2 4 7 8" xfId="27412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3" xr:uid="{00000000-0005-0000-0000-0000301C0000}"/>
    <cellStyle name="20% - Accent4 2 4 8 2 2 3" xfId="31110" xr:uid="{00000000-0005-0000-0000-0000311C0000}"/>
    <cellStyle name="20% - Accent4 2 4 8 2 3" xfId="13178" xr:uid="{00000000-0005-0000-0000-0000321C0000}"/>
    <cellStyle name="20% - Accent4 2 4 8 2 3 2" xfId="24452" xr:uid="{00000000-0005-0000-0000-0000331C0000}"/>
    <cellStyle name="20% - Accent4 2 4 8 2 3 3" xfId="33329" xr:uid="{00000000-0005-0000-0000-0000341C0000}"/>
    <cellStyle name="20% - Accent4 2 4 8 2 4" xfId="15628" xr:uid="{00000000-0005-0000-0000-0000351C0000}"/>
    <cellStyle name="20% - Accent4 2 4 8 2 4 2" xfId="26671" xr:uid="{00000000-0005-0000-0000-0000361C0000}"/>
    <cellStyle name="20% - Accent4 2 4 8 2 4 3" xfId="35548" xr:uid="{00000000-0005-0000-0000-0000371C0000}"/>
    <cellStyle name="20% - Accent4 2 4 8 2 5" xfId="20014" xr:uid="{00000000-0005-0000-0000-0000381C0000}"/>
    <cellStyle name="20% - Accent4 2 4 8 2 6" xfId="28891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0" xr:uid="{00000000-0005-0000-0000-00003C1C0000}"/>
    <cellStyle name="20% - Accent4 2 4 8 3 2 3" xfId="30377" xr:uid="{00000000-0005-0000-0000-00003D1C0000}"/>
    <cellStyle name="20% - Accent4 2 4 8 3 3" xfId="12445" xr:uid="{00000000-0005-0000-0000-00003E1C0000}"/>
    <cellStyle name="20% - Accent4 2 4 8 3 3 2" xfId="23719" xr:uid="{00000000-0005-0000-0000-00003F1C0000}"/>
    <cellStyle name="20% - Accent4 2 4 8 3 3 3" xfId="32596" xr:uid="{00000000-0005-0000-0000-0000401C0000}"/>
    <cellStyle name="20% - Accent4 2 4 8 3 4" xfId="14895" xr:uid="{00000000-0005-0000-0000-0000411C0000}"/>
    <cellStyle name="20% - Accent4 2 4 8 3 4 2" xfId="25938" xr:uid="{00000000-0005-0000-0000-0000421C0000}"/>
    <cellStyle name="20% - Accent4 2 4 8 3 4 3" xfId="34815" xr:uid="{00000000-0005-0000-0000-0000431C0000}"/>
    <cellStyle name="20% - Accent4 2 4 8 3 5" xfId="19281" xr:uid="{00000000-0005-0000-0000-0000441C0000}"/>
    <cellStyle name="20% - Accent4 2 4 8 3 6" xfId="28158" xr:uid="{00000000-0005-0000-0000-0000451C0000}"/>
    <cellStyle name="20% - Accent4 2 4 8 4" xfId="9254" xr:uid="{00000000-0005-0000-0000-0000461C0000}"/>
    <cellStyle name="20% - Accent4 2 4 8 4 2" xfId="20757" xr:uid="{00000000-0005-0000-0000-0000471C0000}"/>
    <cellStyle name="20% - Accent4 2 4 8 4 3" xfId="29634" xr:uid="{00000000-0005-0000-0000-0000481C0000}"/>
    <cellStyle name="20% - Accent4 2 4 8 5" xfId="11702" xr:uid="{00000000-0005-0000-0000-0000491C0000}"/>
    <cellStyle name="20% - Accent4 2 4 8 5 2" xfId="22976" xr:uid="{00000000-0005-0000-0000-00004A1C0000}"/>
    <cellStyle name="20% - Accent4 2 4 8 5 3" xfId="31853" xr:uid="{00000000-0005-0000-0000-00004B1C0000}"/>
    <cellStyle name="20% - Accent4 2 4 8 6" xfId="13923" xr:uid="{00000000-0005-0000-0000-00004C1C0000}"/>
    <cellStyle name="20% - Accent4 2 4 8 6 2" xfId="25195" xr:uid="{00000000-0005-0000-0000-00004D1C0000}"/>
    <cellStyle name="20% - Accent4 2 4 8 6 3" xfId="34072" xr:uid="{00000000-0005-0000-0000-00004E1C0000}"/>
    <cellStyle name="20% - Accent4 2 4 8 7" xfId="18532" xr:uid="{00000000-0005-0000-0000-00004F1C0000}"/>
    <cellStyle name="20% - Accent4 2 4 8 8" xfId="27413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4" xr:uid="{00000000-0005-0000-0000-0000541C0000}"/>
    <cellStyle name="20% - Accent4 2 4 9 2 2 3" xfId="31111" xr:uid="{00000000-0005-0000-0000-0000551C0000}"/>
    <cellStyle name="20% - Accent4 2 4 9 2 3" xfId="13179" xr:uid="{00000000-0005-0000-0000-0000561C0000}"/>
    <cellStyle name="20% - Accent4 2 4 9 2 3 2" xfId="24453" xr:uid="{00000000-0005-0000-0000-0000571C0000}"/>
    <cellStyle name="20% - Accent4 2 4 9 2 3 3" xfId="33330" xr:uid="{00000000-0005-0000-0000-0000581C0000}"/>
    <cellStyle name="20% - Accent4 2 4 9 2 4" xfId="15629" xr:uid="{00000000-0005-0000-0000-0000591C0000}"/>
    <cellStyle name="20% - Accent4 2 4 9 2 4 2" xfId="26672" xr:uid="{00000000-0005-0000-0000-00005A1C0000}"/>
    <cellStyle name="20% - Accent4 2 4 9 2 4 3" xfId="35549" xr:uid="{00000000-0005-0000-0000-00005B1C0000}"/>
    <cellStyle name="20% - Accent4 2 4 9 2 5" xfId="20015" xr:uid="{00000000-0005-0000-0000-00005C1C0000}"/>
    <cellStyle name="20% - Accent4 2 4 9 2 6" xfId="28892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1" xr:uid="{00000000-0005-0000-0000-0000601C0000}"/>
    <cellStyle name="20% - Accent4 2 4 9 3 2 3" xfId="30378" xr:uid="{00000000-0005-0000-0000-0000611C0000}"/>
    <cellStyle name="20% - Accent4 2 4 9 3 3" xfId="12446" xr:uid="{00000000-0005-0000-0000-0000621C0000}"/>
    <cellStyle name="20% - Accent4 2 4 9 3 3 2" xfId="23720" xr:uid="{00000000-0005-0000-0000-0000631C0000}"/>
    <cellStyle name="20% - Accent4 2 4 9 3 3 3" xfId="32597" xr:uid="{00000000-0005-0000-0000-0000641C0000}"/>
    <cellStyle name="20% - Accent4 2 4 9 3 4" xfId="14896" xr:uid="{00000000-0005-0000-0000-0000651C0000}"/>
    <cellStyle name="20% - Accent4 2 4 9 3 4 2" xfId="25939" xr:uid="{00000000-0005-0000-0000-0000661C0000}"/>
    <cellStyle name="20% - Accent4 2 4 9 3 4 3" xfId="34816" xr:uid="{00000000-0005-0000-0000-0000671C0000}"/>
    <cellStyle name="20% - Accent4 2 4 9 3 5" xfId="19282" xr:uid="{00000000-0005-0000-0000-0000681C0000}"/>
    <cellStyle name="20% - Accent4 2 4 9 3 6" xfId="28159" xr:uid="{00000000-0005-0000-0000-0000691C0000}"/>
    <cellStyle name="20% - Accent4 2 4 9 4" xfId="9255" xr:uid="{00000000-0005-0000-0000-00006A1C0000}"/>
    <cellStyle name="20% - Accent4 2 4 9 4 2" xfId="20758" xr:uid="{00000000-0005-0000-0000-00006B1C0000}"/>
    <cellStyle name="20% - Accent4 2 4 9 4 3" xfId="29635" xr:uid="{00000000-0005-0000-0000-00006C1C0000}"/>
    <cellStyle name="20% - Accent4 2 4 9 5" xfId="11703" xr:uid="{00000000-0005-0000-0000-00006D1C0000}"/>
    <cellStyle name="20% - Accent4 2 4 9 5 2" xfId="22977" xr:uid="{00000000-0005-0000-0000-00006E1C0000}"/>
    <cellStyle name="20% - Accent4 2 4 9 5 3" xfId="31854" xr:uid="{00000000-0005-0000-0000-00006F1C0000}"/>
    <cellStyle name="20% - Accent4 2 4 9 6" xfId="13924" xr:uid="{00000000-0005-0000-0000-0000701C0000}"/>
    <cellStyle name="20% - Accent4 2 4 9 6 2" xfId="25196" xr:uid="{00000000-0005-0000-0000-0000711C0000}"/>
    <cellStyle name="20% - Accent4 2 4 9 6 3" xfId="34073" xr:uid="{00000000-0005-0000-0000-0000721C0000}"/>
    <cellStyle name="20% - Accent4 2 4 9 7" xfId="18533" xr:uid="{00000000-0005-0000-0000-0000731C0000}"/>
    <cellStyle name="20% - Accent4 2 4 9 8" xfId="27414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5" xr:uid="{00000000-0005-0000-0000-0000781C0000}"/>
    <cellStyle name="20% - Accent4 2 5 10 2 3" xfId="31112" xr:uid="{00000000-0005-0000-0000-0000791C0000}"/>
    <cellStyle name="20% - Accent4 2 5 10 3" xfId="13180" xr:uid="{00000000-0005-0000-0000-00007A1C0000}"/>
    <cellStyle name="20% - Accent4 2 5 10 3 2" xfId="24454" xr:uid="{00000000-0005-0000-0000-00007B1C0000}"/>
    <cellStyle name="20% - Accent4 2 5 10 3 3" xfId="33331" xr:uid="{00000000-0005-0000-0000-00007C1C0000}"/>
    <cellStyle name="20% - Accent4 2 5 10 4" xfId="15630" xr:uid="{00000000-0005-0000-0000-00007D1C0000}"/>
    <cellStyle name="20% - Accent4 2 5 10 4 2" xfId="26673" xr:uid="{00000000-0005-0000-0000-00007E1C0000}"/>
    <cellStyle name="20% - Accent4 2 5 10 4 3" xfId="35550" xr:uid="{00000000-0005-0000-0000-00007F1C0000}"/>
    <cellStyle name="20% - Accent4 2 5 10 5" xfId="20016" xr:uid="{00000000-0005-0000-0000-0000801C0000}"/>
    <cellStyle name="20% - Accent4 2 5 10 6" xfId="28893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2" xr:uid="{00000000-0005-0000-0000-0000841C0000}"/>
    <cellStyle name="20% - Accent4 2 5 11 2 3" xfId="30379" xr:uid="{00000000-0005-0000-0000-0000851C0000}"/>
    <cellStyle name="20% - Accent4 2 5 11 3" xfId="12447" xr:uid="{00000000-0005-0000-0000-0000861C0000}"/>
    <cellStyle name="20% - Accent4 2 5 11 3 2" xfId="23721" xr:uid="{00000000-0005-0000-0000-0000871C0000}"/>
    <cellStyle name="20% - Accent4 2 5 11 3 3" xfId="32598" xr:uid="{00000000-0005-0000-0000-0000881C0000}"/>
    <cellStyle name="20% - Accent4 2 5 11 4" xfId="14897" xr:uid="{00000000-0005-0000-0000-0000891C0000}"/>
    <cellStyle name="20% - Accent4 2 5 11 4 2" xfId="25940" xr:uid="{00000000-0005-0000-0000-00008A1C0000}"/>
    <cellStyle name="20% - Accent4 2 5 11 4 3" xfId="34817" xr:uid="{00000000-0005-0000-0000-00008B1C0000}"/>
    <cellStyle name="20% - Accent4 2 5 11 5" xfId="19283" xr:uid="{00000000-0005-0000-0000-00008C1C0000}"/>
    <cellStyle name="20% - Accent4 2 5 11 6" xfId="28160" xr:uid="{00000000-0005-0000-0000-00008D1C0000}"/>
    <cellStyle name="20% - Accent4 2 5 12" xfId="9256" xr:uid="{00000000-0005-0000-0000-00008E1C0000}"/>
    <cellStyle name="20% - Accent4 2 5 12 2" xfId="20759" xr:uid="{00000000-0005-0000-0000-00008F1C0000}"/>
    <cellStyle name="20% - Accent4 2 5 12 3" xfId="29636" xr:uid="{00000000-0005-0000-0000-0000901C0000}"/>
    <cellStyle name="20% - Accent4 2 5 13" xfId="11704" xr:uid="{00000000-0005-0000-0000-0000911C0000}"/>
    <cellStyle name="20% - Accent4 2 5 13 2" xfId="22978" xr:uid="{00000000-0005-0000-0000-0000921C0000}"/>
    <cellStyle name="20% - Accent4 2 5 13 3" xfId="31855" xr:uid="{00000000-0005-0000-0000-0000931C0000}"/>
    <cellStyle name="20% - Accent4 2 5 14" xfId="13925" xr:uid="{00000000-0005-0000-0000-0000941C0000}"/>
    <cellStyle name="20% - Accent4 2 5 14 2" xfId="25197" xr:uid="{00000000-0005-0000-0000-0000951C0000}"/>
    <cellStyle name="20% - Accent4 2 5 14 3" xfId="34074" xr:uid="{00000000-0005-0000-0000-0000961C0000}"/>
    <cellStyle name="20% - Accent4 2 5 15" xfId="18534" xr:uid="{00000000-0005-0000-0000-0000971C0000}"/>
    <cellStyle name="20% - Accent4 2 5 16" xfId="27415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6" xr:uid="{00000000-0005-0000-0000-00009C1C0000}"/>
    <cellStyle name="20% - Accent4 2 5 2 2 2 3" xfId="31113" xr:uid="{00000000-0005-0000-0000-00009D1C0000}"/>
    <cellStyle name="20% - Accent4 2 5 2 2 3" xfId="13181" xr:uid="{00000000-0005-0000-0000-00009E1C0000}"/>
    <cellStyle name="20% - Accent4 2 5 2 2 3 2" xfId="24455" xr:uid="{00000000-0005-0000-0000-00009F1C0000}"/>
    <cellStyle name="20% - Accent4 2 5 2 2 3 3" xfId="33332" xr:uid="{00000000-0005-0000-0000-0000A01C0000}"/>
    <cellStyle name="20% - Accent4 2 5 2 2 4" xfId="15631" xr:uid="{00000000-0005-0000-0000-0000A11C0000}"/>
    <cellStyle name="20% - Accent4 2 5 2 2 4 2" xfId="26674" xr:uid="{00000000-0005-0000-0000-0000A21C0000}"/>
    <cellStyle name="20% - Accent4 2 5 2 2 4 3" xfId="35551" xr:uid="{00000000-0005-0000-0000-0000A31C0000}"/>
    <cellStyle name="20% - Accent4 2 5 2 2 5" xfId="20017" xr:uid="{00000000-0005-0000-0000-0000A41C0000}"/>
    <cellStyle name="20% - Accent4 2 5 2 2 6" xfId="28894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3" xr:uid="{00000000-0005-0000-0000-0000A81C0000}"/>
    <cellStyle name="20% - Accent4 2 5 2 3 2 3" xfId="30380" xr:uid="{00000000-0005-0000-0000-0000A91C0000}"/>
    <cellStyle name="20% - Accent4 2 5 2 3 3" xfId="12448" xr:uid="{00000000-0005-0000-0000-0000AA1C0000}"/>
    <cellStyle name="20% - Accent4 2 5 2 3 3 2" xfId="23722" xr:uid="{00000000-0005-0000-0000-0000AB1C0000}"/>
    <cellStyle name="20% - Accent4 2 5 2 3 3 3" xfId="32599" xr:uid="{00000000-0005-0000-0000-0000AC1C0000}"/>
    <cellStyle name="20% - Accent4 2 5 2 3 4" xfId="14898" xr:uid="{00000000-0005-0000-0000-0000AD1C0000}"/>
    <cellStyle name="20% - Accent4 2 5 2 3 4 2" xfId="25941" xr:uid="{00000000-0005-0000-0000-0000AE1C0000}"/>
    <cellStyle name="20% - Accent4 2 5 2 3 4 3" xfId="34818" xr:uid="{00000000-0005-0000-0000-0000AF1C0000}"/>
    <cellStyle name="20% - Accent4 2 5 2 3 5" xfId="19284" xr:uid="{00000000-0005-0000-0000-0000B01C0000}"/>
    <cellStyle name="20% - Accent4 2 5 2 3 6" xfId="28161" xr:uid="{00000000-0005-0000-0000-0000B11C0000}"/>
    <cellStyle name="20% - Accent4 2 5 2 4" xfId="9257" xr:uid="{00000000-0005-0000-0000-0000B21C0000}"/>
    <cellStyle name="20% - Accent4 2 5 2 4 2" xfId="20760" xr:uid="{00000000-0005-0000-0000-0000B31C0000}"/>
    <cellStyle name="20% - Accent4 2 5 2 4 3" xfId="29637" xr:uid="{00000000-0005-0000-0000-0000B41C0000}"/>
    <cellStyle name="20% - Accent4 2 5 2 5" xfId="11705" xr:uid="{00000000-0005-0000-0000-0000B51C0000}"/>
    <cellStyle name="20% - Accent4 2 5 2 5 2" xfId="22979" xr:uid="{00000000-0005-0000-0000-0000B61C0000}"/>
    <cellStyle name="20% - Accent4 2 5 2 5 3" xfId="31856" xr:uid="{00000000-0005-0000-0000-0000B71C0000}"/>
    <cellStyle name="20% - Accent4 2 5 2 6" xfId="13926" xr:uid="{00000000-0005-0000-0000-0000B81C0000}"/>
    <cellStyle name="20% - Accent4 2 5 2 6 2" xfId="25198" xr:uid="{00000000-0005-0000-0000-0000B91C0000}"/>
    <cellStyle name="20% - Accent4 2 5 2 6 3" xfId="34075" xr:uid="{00000000-0005-0000-0000-0000BA1C0000}"/>
    <cellStyle name="20% - Accent4 2 5 2 7" xfId="18535" xr:uid="{00000000-0005-0000-0000-0000BB1C0000}"/>
    <cellStyle name="20% - Accent4 2 5 2 8" xfId="27416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7" xr:uid="{00000000-0005-0000-0000-0000C01C0000}"/>
    <cellStyle name="20% - Accent4 2 5 3 2 2 3" xfId="31114" xr:uid="{00000000-0005-0000-0000-0000C11C0000}"/>
    <cellStyle name="20% - Accent4 2 5 3 2 3" xfId="13182" xr:uid="{00000000-0005-0000-0000-0000C21C0000}"/>
    <cellStyle name="20% - Accent4 2 5 3 2 3 2" xfId="24456" xr:uid="{00000000-0005-0000-0000-0000C31C0000}"/>
    <cellStyle name="20% - Accent4 2 5 3 2 3 3" xfId="33333" xr:uid="{00000000-0005-0000-0000-0000C41C0000}"/>
    <cellStyle name="20% - Accent4 2 5 3 2 4" xfId="15632" xr:uid="{00000000-0005-0000-0000-0000C51C0000}"/>
    <cellStyle name="20% - Accent4 2 5 3 2 4 2" xfId="26675" xr:uid="{00000000-0005-0000-0000-0000C61C0000}"/>
    <cellStyle name="20% - Accent4 2 5 3 2 4 3" xfId="35552" xr:uid="{00000000-0005-0000-0000-0000C71C0000}"/>
    <cellStyle name="20% - Accent4 2 5 3 2 5" xfId="20018" xr:uid="{00000000-0005-0000-0000-0000C81C0000}"/>
    <cellStyle name="20% - Accent4 2 5 3 2 6" xfId="28895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4" xr:uid="{00000000-0005-0000-0000-0000CC1C0000}"/>
    <cellStyle name="20% - Accent4 2 5 3 3 2 3" xfId="30381" xr:uid="{00000000-0005-0000-0000-0000CD1C0000}"/>
    <cellStyle name="20% - Accent4 2 5 3 3 3" xfId="12449" xr:uid="{00000000-0005-0000-0000-0000CE1C0000}"/>
    <cellStyle name="20% - Accent4 2 5 3 3 3 2" xfId="23723" xr:uid="{00000000-0005-0000-0000-0000CF1C0000}"/>
    <cellStyle name="20% - Accent4 2 5 3 3 3 3" xfId="32600" xr:uid="{00000000-0005-0000-0000-0000D01C0000}"/>
    <cellStyle name="20% - Accent4 2 5 3 3 4" xfId="14899" xr:uid="{00000000-0005-0000-0000-0000D11C0000}"/>
    <cellStyle name="20% - Accent4 2 5 3 3 4 2" xfId="25942" xr:uid="{00000000-0005-0000-0000-0000D21C0000}"/>
    <cellStyle name="20% - Accent4 2 5 3 3 4 3" xfId="34819" xr:uid="{00000000-0005-0000-0000-0000D31C0000}"/>
    <cellStyle name="20% - Accent4 2 5 3 3 5" xfId="19285" xr:uid="{00000000-0005-0000-0000-0000D41C0000}"/>
    <cellStyle name="20% - Accent4 2 5 3 3 6" xfId="28162" xr:uid="{00000000-0005-0000-0000-0000D51C0000}"/>
    <cellStyle name="20% - Accent4 2 5 3 4" xfId="9258" xr:uid="{00000000-0005-0000-0000-0000D61C0000}"/>
    <cellStyle name="20% - Accent4 2 5 3 4 2" xfId="20761" xr:uid="{00000000-0005-0000-0000-0000D71C0000}"/>
    <cellStyle name="20% - Accent4 2 5 3 4 3" xfId="29638" xr:uid="{00000000-0005-0000-0000-0000D81C0000}"/>
    <cellStyle name="20% - Accent4 2 5 3 5" xfId="11706" xr:uid="{00000000-0005-0000-0000-0000D91C0000}"/>
    <cellStyle name="20% - Accent4 2 5 3 5 2" xfId="22980" xr:uid="{00000000-0005-0000-0000-0000DA1C0000}"/>
    <cellStyle name="20% - Accent4 2 5 3 5 3" xfId="31857" xr:uid="{00000000-0005-0000-0000-0000DB1C0000}"/>
    <cellStyle name="20% - Accent4 2 5 3 6" xfId="13927" xr:uid="{00000000-0005-0000-0000-0000DC1C0000}"/>
    <cellStyle name="20% - Accent4 2 5 3 6 2" xfId="25199" xr:uid="{00000000-0005-0000-0000-0000DD1C0000}"/>
    <cellStyle name="20% - Accent4 2 5 3 6 3" xfId="34076" xr:uid="{00000000-0005-0000-0000-0000DE1C0000}"/>
    <cellStyle name="20% - Accent4 2 5 3 7" xfId="18536" xr:uid="{00000000-0005-0000-0000-0000DF1C0000}"/>
    <cellStyle name="20% - Accent4 2 5 3 8" xfId="27417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8" xr:uid="{00000000-0005-0000-0000-0000E41C0000}"/>
    <cellStyle name="20% - Accent4 2 5 4 2 2 3" xfId="31115" xr:uid="{00000000-0005-0000-0000-0000E51C0000}"/>
    <cellStyle name="20% - Accent4 2 5 4 2 3" xfId="13183" xr:uid="{00000000-0005-0000-0000-0000E61C0000}"/>
    <cellStyle name="20% - Accent4 2 5 4 2 3 2" xfId="24457" xr:uid="{00000000-0005-0000-0000-0000E71C0000}"/>
    <cellStyle name="20% - Accent4 2 5 4 2 3 3" xfId="33334" xr:uid="{00000000-0005-0000-0000-0000E81C0000}"/>
    <cellStyle name="20% - Accent4 2 5 4 2 4" xfId="15633" xr:uid="{00000000-0005-0000-0000-0000E91C0000}"/>
    <cellStyle name="20% - Accent4 2 5 4 2 4 2" xfId="26676" xr:uid="{00000000-0005-0000-0000-0000EA1C0000}"/>
    <cellStyle name="20% - Accent4 2 5 4 2 4 3" xfId="35553" xr:uid="{00000000-0005-0000-0000-0000EB1C0000}"/>
    <cellStyle name="20% - Accent4 2 5 4 2 5" xfId="20019" xr:uid="{00000000-0005-0000-0000-0000EC1C0000}"/>
    <cellStyle name="20% - Accent4 2 5 4 2 6" xfId="28896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5" xr:uid="{00000000-0005-0000-0000-0000F01C0000}"/>
    <cellStyle name="20% - Accent4 2 5 4 3 2 3" xfId="30382" xr:uid="{00000000-0005-0000-0000-0000F11C0000}"/>
    <cellStyle name="20% - Accent4 2 5 4 3 3" xfId="12450" xr:uid="{00000000-0005-0000-0000-0000F21C0000}"/>
    <cellStyle name="20% - Accent4 2 5 4 3 3 2" xfId="23724" xr:uid="{00000000-0005-0000-0000-0000F31C0000}"/>
    <cellStyle name="20% - Accent4 2 5 4 3 3 3" xfId="32601" xr:uid="{00000000-0005-0000-0000-0000F41C0000}"/>
    <cellStyle name="20% - Accent4 2 5 4 3 4" xfId="14900" xr:uid="{00000000-0005-0000-0000-0000F51C0000}"/>
    <cellStyle name="20% - Accent4 2 5 4 3 4 2" xfId="25943" xr:uid="{00000000-0005-0000-0000-0000F61C0000}"/>
    <cellStyle name="20% - Accent4 2 5 4 3 4 3" xfId="34820" xr:uid="{00000000-0005-0000-0000-0000F71C0000}"/>
    <cellStyle name="20% - Accent4 2 5 4 3 5" xfId="19286" xr:uid="{00000000-0005-0000-0000-0000F81C0000}"/>
    <cellStyle name="20% - Accent4 2 5 4 3 6" xfId="28163" xr:uid="{00000000-0005-0000-0000-0000F91C0000}"/>
    <cellStyle name="20% - Accent4 2 5 4 4" xfId="9259" xr:uid="{00000000-0005-0000-0000-0000FA1C0000}"/>
    <cellStyle name="20% - Accent4 2 5 4 4 2" xfId="20762" xr:uid="{00000000-0005-0000-0000-0000FB1C0000}"/>
    <cellStyle name="20% - Accent4 2 5 4 4 3" xfId="29639" xr:uid="{00000000-0005-0000-0000-0000FC1C0000}"/>
    <cellStyle name="20% - Accent4 2 5 4 5" xfId="11707" xr:uid="{00000000-0005-0000-0000-0000FD1C0000}"/>
    <cellStyle name="20% - Accent4 2 5 4 5 2" xfId="22981" xr:uid="{00000000-0005-0000-0000-0000FE1C0000}"/>
    <cellStyle name="20% - Accent4 2 5 4 5 3" xfId="31858" xr:uid="{00000000-0005-0000-0000-0000FF1C0000}"/>
    <cellStyle name="20% - Accent4 2 5 4 6" xfId="13928" xr:uid="{00000000-0005-0000-0000-0000001D0000}"/>
    <cellStyle name="20% - Accent4 2 5 4 6 2" xfId="25200" xr:uid="{00000000-0005-0000-0000-0000011D0000}"/>
    <cellStyle name="20% - Accent4 2 5 4 6 3" xfId="34077" xr:uid="{00000000-0005-0000-0000-0000021D0000}"/>
    <cellStyle name="20% - Accent4 2 5 4 7" xfId="18537" xr:uid="{00000000-0005-0000-0000-0000031D0000}"/>
    <cellStyle name="20% - Accent4 2 5 4 8" xfId="27418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39" xr:uid="{00000000-0005-0000-0000-0000081D0000}"/>
    <cellStyle name="20% - Accent4 2 5 5 2 2 3" xfId="31116" xr:uid="{00000000-0005-0000-0000-0000091D0000}"/>
    <cellStyle name="20% - Accent4 2 5 5 2 3" xfId="13184" xr:uid="{00000000-0005-0000-0000-00000A1D0000}"/>
    <cellStyle name="20% - Accent4 2 5 5 2 3 2" xfId="24458" xr:uid="{00000000-0005-0000-0000-00000B1D0000}"/>
    <cellStyle name="20% - Accent4 2 5 5 2 3 3" xfId="33335" xr:uid="{00000000-0005-0000-0000-00000C1D0000}"/>
    <cellStyle name="20% - Accent4 2 5 5 2 4" xfId="15634" xr:uid="{00000000-0005-0000-0000-00000D1D0000}"/>
    <cellStyle name="20% - Accent4 2 5 5 2 4 2" xfId="26677" xr:uid="{00000000-0005-0000-0000-00000E1D0000}"/>
    <cellStyle name="20% - Accent4 2 5 5 2 4 3" xfId="35554" xr:uid="{00000000-0005-0000-0000-00000F1D0000}"/>
    <cellStyle name="20% - Accent4 2 5 5 2 5" xfId="20020" xr:uid="{00000000-0005-0000-0000-0000101D0000}"/>
    <cellStyle name="20% - Accent4 2 5 5 2 6" xfId="28897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6" xr:uid="{00000000-0005-0000-0000-0000141D0000}"/>
    <cellStyle name="20% - Accent4 2 5 5 3 2 3" xfId="30383" xr:uid="{00000000-0005-0000-0000-0000151D0000}"/>
    <cellStyle name="20% - Accent4 2 5 5 3 3" xfId="12451" xr:uid="{00000000-0005-0000-0000-0000161D0000}"/>
    <cellStyle name="20% - Accent4 2 5 5 3 3 2" xfId="23725" xr:uid="{00000000-0005-0000-0000-0000171D0000}"/>
    <cellStyle name="20% - Accent4 2 5 5 3 3 3" xfId="32602" xr:uid="{00000000-0005-0000-0000-0000181D0000}"/>
    <cellStyle name="20% - Accent4 2 5 5 3 4" xfId="14901" xr:uid="{00000000-0005-0000-0000-0000191D0000}"/>
    <cellStyle name="20% - Accent4 2 5 5 3 4 2" xfId="25944" xr:uid="{00000000-0005-0000-0000-00001A1D0000}"/>
    <cellStyle name="20% - Accent4 2 5 5 3 4 3" xfId="34821" xr:uid="{00000000-0005-0000-0000-00001B1D0000}"/>
    <cellStyle name="20% - Accent4 2 5 5 3 5" xfId="19287" xr:uid="{00000000-0005-0000-0000-00001C1D0000}"/>
    <cellStyle name="20% - Accent4 2 5 5 3 6" xfId="28164" xr:uid="{00000000-0005-0000-0000-00001D1D0000}"/>
    <cellStyle name="20% - Accent4 2 5 5 4" xfId="9260" xr:uid="{00000000-0005-0000-0000-00001E1D0000}"/>
    <cellStyle name="20% - Accent4 2 5 5 4 2" xfId="20763" xr:uid="{00000000-0005-0000-0000-00001F1D0000}"/>
    <cellStyle name="20% - Accent4 2 5 5 4 3" xfId="29640" xr:uid="{00000000-0005-0000-0000-0000201D0000}"/>
    <cellStyle name="20% - Accent4 2 5 5 5" xfId="11708" xr:uid="{00000000-0005-0000-0000-0000211D0000}"/>
    <cellStyle name="20% - Accent4 2 5 5 5 2" xfId="22982" xr:uid="{00000000-0005-0000-0000-0000221D0000}"/>
    <cellStyle name="20% - Accent4 2 5 5 5 3" xfId="31859" xr:uid="{00000000-0005-0000-0000-0000231D0000}"/>
    <cellStyle name="20% - Accent4 2 5 5 6" xfId="13929" xr:uid="{00000000-0005-0000-0000-0000241D0000}"/>
    <cellStyle name="20% - Accent4 2 5 5 6 2" xfId="25201" xr:uid="{00000000-0005-0000-0000-0000251D0000}"/>
    <cellStyle name="20% - Accent4 2 5 5 6 3" xfId="34078" xr:uid="{00000000-0005-0000-0000-0000261D0000}"/>
    <cellStyle name="20% - Accent4 2 5 5 7" xfId="18538" xr:uid="{00000000-0005-0000-0000-0000271D0000}"/>
    <cellStyle name="20% - Accent4 2 5 5 8" xfId="27419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0" xr:uid="{00000000-0005-0000-0000-00002C1D0000}"/>
    <cellStyle name="20% - Accent4 2 5 6 2 2 3" xfId="31117" xr:uid="{00000000-0005-0000-0000-00002D1D0000}"/>
    <cellStyle name="20% - Accent4 2 5 6 2 3" xfId="13185" xr:uid="{00000000-0005-0000-0000-00002E1D0000}"/>
    <cellStyle name="20% - Accent4 2 5 6 2 3 2" xfId="24459" xr:uid="{00000000-0005-0000-0000-00002F1D0000}"/>
    <cellStyle name="20% - Accent4 2 5 6 2 3 3" xfId="33336" xr:uid="{00000000-0005-0000-0000-0000301D0000}"/>
    <cellStyle name="20% - Accent4 2 5 6 2 4" xfId="15635" xr:uid="{00000000-0005-0000-0000-0000311D0000}"/>
    <cellStyle name="20% - Accent4 2 5 6 2 4 2" xfId="26678" xr:uid="{00000000-0005-0000-0000-0000321D0000}"/>
    <cellStyle name="20% - Accent4 2 5 6 2 4 3" xfId="35555" xr:uid="{00000000-0005-0000-0000-0000331D0000}"/>
    <cellStyle name="20% - Accent4 2 5 6 2 5" xfId="20021" xr:uid="{00000000-0005-0000-0000-0000341D0000}"/>
    <cellStyle name="20% - Accent4 2 5 6 2 6" xfId="28898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7" xr:uid="{00000000-0005-0000-0000-0000381D0000}"/>
    <cellStyle name="20% - Accent4 2 5 6 3 2 3" xfId="30384" xr:uid="{00000000-0005-0000-0000-0000391D0000}"/>
    <cellStyle name="20% - Accent4 2 5 6 3 3" xfId="12452" xr:uid="{00000000-0005-0000-0000-00003A1D0000}"/>
    <cellStyle name="20% - Accent4 2 5 6 3 3 2" xfId="23726" xr:uid="{00000000-0005-0000-0000-00003B1D0000}"/>
    <cellStyle name="20% - Accent4 2 5 6 3 3 3" xfId="32603" xr:uid="{00000000-0005-0000-0000-00003C1D0000}"/>
    <cellStyle name="20% - Accent4 2 5 6 3 4" xfId="14902" xr:uid="{00000000-0005-0000-0000-00003D1D0000}"/>
    <cellStyle name="20% - Accent4 2 5 6 3 4 2" xfId="25945" xr:uid="{00000000-0005-0000-0000-00003E1D0000}"/>
    <cellStyle name="20% - Accent4 2 5 6 3 4 3" xfId="34822" xr:uid="{00000000-0005-0000-0000-00003F1D0000}"/>
    <cellStyle name="20% - Accent4 2 5 6 3 5" xfId="19288" xr:uid="{00000000-0005-0000-0000-0000401D0000}"/>
    <cellStyle name="20% - Accent4 2 5 6 3 6" xfId="28165" xr:uid="{00000000-0005-0000-0000-0000411D0000}"/>
    <cellStyle name="20% - Accent4 2 5 6 4" xfId="9261" xr:uid="{00000000-0005-0000-0000-0000421D0000}"/>
    <cellStyle name="20% - Accent4 2 5 6 4 2" xfId="20764" xr:uid="{00000000-0005-0000-0000-0000431D0000}"/>
    <cellStyle name="20% - Accent4 2 5 6 4 3" xfId="29641" xr:uid="{00000000-0005-0000-0000-0000441D0000}"/>
    <cellStyle name="20% - Accent4 2 5 6 5" xfId="11709" xr:uid="{00000000-0005-0000-0000-0000451D0000}"/>
    <cellStyle name="20% - Accent4 2 5 6 5 2" xfId="22983" xr:uid="{00000000-0005-0000-0000-0000461D0000}"/>
    <cellStyle name="20% - Accent4 2 5 6 5 3" xfId="31860" xr:uid="{00000000-0005-0000-0000-0000471D0000}"/>
    <cellStyle name="20% - Accent4 2 5 6 6" xfId="13930" xr:uid="{00000000-0005-0000-0000-0000481D0000}"/>
    <cellStyle name="20% - Accent4 2 5 6 6 2" xfId="25202" xr:uid="{00000000-0005-0000-0000-0000491D0000}"/>
    <cellStyle name="20% - Accent4 2 5 6 6 3" xfId="34079" xr:uid="{00000000-0005-0000-0000-00004A1D0000}"/>
    <cellStyle name="20% - Accent4 2 5 6 7" xfId="18539" xr:uid="{00000000-0005-0000-0000-00004B1D0000}"/>
    <cellStyle name="20% - Accent4 2 5 6 8" xfId="27420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1" xr:uid="{00000000-0005-0000-0000-0000501D0000}"/>
    <cellStyle name="20% - Accent4 2 5 7 2 2 3" xfId="31118" xr:uid="{00000000-0005-0000-0000-0000511D0000}"/>
    <cellStyle name="20% - Accent4 2 5 7 2 3" xfId="13186" xr:uid="{00000000-0005-0000-0000-0000521D0000}"/>
    <cellStyle name="20% - Accent4 2 5 7 2 3 2" xfId="24460" xr:uid="{00000000-0005-0000-0000-0000531D0000}"/>
    <cellStyle name="20% - Accent4 2 5 7 2 3 3" xfId="33337" xr:uid="{00000000-0005-0000-0000-0000541D0000}"/>
    <cellStyle name="20% - Accent4 2 5 7 2 4" xfId="15636" xr:uid="{00000000-0005-0000-0000-0000551D0000}"/>
    <cellStyle name="20% - Accent4 2 5 7 2 4 2" xfId="26679" xr:uid="{00000000-0005-0000-0000-0000561D0000}"/>
    <cellStyle name="20% - Accent4 2 5 7 2 4 3" xfId="35556" xr:uid="{00000000-0005-0000-0000-0000571D0000}"/>
    <cellStyle name="20% - Accent4 2 5 7 2 5" xfId="20022" xr:uid="{00000000-0005-0000-0000-0000581D0000}"/>
    <cellStyle name="20% - Accent4 2 5 7 2 6" xfId="28899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8" xr:uid="{00000000-0005-0000-0000-00005C1D0000}"/>
    <cellStyle name="20% - Accent4 2 5 7 3 2 3" xfId="30385" xr:uid="{00000000-0005-0000-0000-00005D1D0000}"/>
    <cellStyle name="20% - Accent4 2 5 7 3 3" xfId="12453" xr:uid="{00000000-0005-0000-0000-00005E1D0000}"/>
    <cellStyle name="20% - Accent4 2 5 7 3 3 2" xfId="23727" xr:uid="{00000000-0005-0000-0000-00005F1D0000}"/>
    <cellStyle name="20% - Accent4 2 5 7 3 3 3" xfId="32604" xr:uid="{00000000-0005-0000-0000-0000601D0000}"/>
    <cellStyle name="20% - Accent4 2 5 7 3 4" xfId="14903" xr:uid="{00000000-0005-0000-0000-0000611D0000}"/>
    <cellStyle name="20% - Accent4 2 5 7 3 4 2" xfId="25946" xr:uid="{00000000-0005-0000-0000-0000621D0000}"/>
    <cellStyle name="20% - Accent4 2 5 7 3 4 3" xfId="34823" xr:uid="{00000000-0005-0000-0000-0000631D0000}"/>
    <cellStyle name="20% - Accent4 2 5 7 3 5" xfId="19289" xr:uid="{00000000-0005-0000-0000-0000641D0000}"/>
    <cellStyle name="20% - Accent4 2 5 7 3 6" xfId="28166" xr:uid="{00000000-0005-0000-0000-0000651D0000}"/>
    <cellStyle name="20% - Accent4 2 5 7 4" xfId="9262" xr:uid="{00000000-0005-0000-0000-0000661D0000}"/>
    <cellStyle name="20% - Accent4 2 5 7 4 2" xfId="20765" xr:uid="{00000000-0005-0000-0000-0000671D0000}"/>
    <cellStyle name="20% - Accent4 2 5 7 4 3" xfId="29642" xr:uid="{00000000-0005-0000-0000-0000681D0000}"/>
    <cellStyle name="20% - Accent4 2 5 7 5" xfId="11710" xr:uid="{00000000-0005-0000-0000-0000691D0000}"/>
    <cellStyle name="20% - Accent4 2 5 7 5 2" xfId="22984" xr:uid="{00000000-0005-0000-0000-00006A1D0000}"/>
    <cellStyle name="20% - Accent4 2 5 7 5 3" xfId="31861" xr:uid="{00000000-0005-0000-0000-00006B1D0000}"/>
    <cellStyle name="20% - Accent4 2 5 7 6" xfId="13931" xr:uid="{00000000-0005-0000-0000-00006C1D0000}"/>
    <cellStyle name="20% - Accent4 2 5 7 6 2" xfId="25203" xr:uid="{00000000-0005-0000-0000-00006D1D0000}"/>
    <cellStyle name="20% - Accent4 2 5 7 6 3" xfId="34080" xr:uid="{00000000-0005-0000-0000-00006E1D0000}"/>
    <cellStyle name="20% - Accent4 2 5 7 7" xfId="18540" xr:uid="{00000000-0005-0000-0000-00006F1D0000}"/>
    <cellStyle name="20% - Accent4 2 5 7 8" xfId="27421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2" xr:uid="{00000000-0005-0000-0000-0000741D0000}"/>
    <cellStyle name="20% - Accent4 2 5 8 2 2 3" xfId="31119" xr:uid="{00000000-0005-0000-0000-0000751D0000}"/>
    <cellStyle name="20% - Accent4 2 5 8 2 3" xfId="13187" xr:uid="{00000000-0005-0000-0000-0000761D0000}"/>
    <cellStyle name="20% - Accent4 2 5 8 2 3 2" xfId="24461" xr:uid="{00000000-0005-0000-0000-0000771D0000}"/>
    <cellStyle name="20% - Accent4 2 5 8 2 3 3" xfId="33338" xr:uid="{00000000-0005-0000-0000-0000781D0000}"/>
    <cellStyle name="20% - Accent4 2 5 8 2 4" xfId="15637" xr:uid="{00000000-0005-0000-0000-0000791D0000}"/>
    <cellStyle name="20% - Accent4 2 5 8 2 4 2" xfId="26680" xr:uid="{00000000-0005-0000-0000-00007A1D0000}"/>
    <cellStyle name="20% - Accent4 2 5 8 2 4 3" xfId="35557" xr:uid="{00000000-0005-0000-0000-00007B1D0000}"/>
    <cellStyle name="20% - Accent4 2 5 8 2 5" xfId="20023" xr:uid="{00000000-0005-0000-0000-00007C1D0000}"/>
    <cellStyle name="20% - Accent4 2 5 8 2 6" xfId="28900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09" xr:uid="{00000000-0005-0000-0000-0000801D0000}"/>
    <cellStyle name="20% - Accent4 2 5 8 3 2 3" xfId="30386" xr:uid="{00000000-0005-0000-0000-0000811D0000}"/>
    <cellStyle name="20% - Accent4 2 5 8 3 3" xfId="12454" xr:uid="{00000000-0005-0000-0000-0000821D0000}"/>
    <cellStyle name="20% - Accent4 2 5 8 3 3 2" xfId="23728" xr:uid="{00000000-0005-0000-0000-0000831D0000}"/>
    <cellStyle name="20% - Accent4 2 5 8 3 3 3" xfId="32605" xr:uid="{00000000-0005-0000-0000-0000841D0000}"/>
    <cellStyle name="20% - Accent4 2 5 8 3 4" xfId="14904" xr:uid="{00000000-0005-0000-0000-0000851D0000}"/>
    <cellStyle name="20% - Accent4 2 5 8 3 4 2" xfId="25947" xr:uid="{00000000-0005-0000-0000-0000861D0000}"/>
    <cellStyle name="20% - Accent4 2 5 8 3 4 3" xfId="34824" xr:uid="{00000000-0005-0000-0000-0000871D0000}"/>
    <cellStyle name="20% - Accent4 2 5 8 3 5" xfId="19290" xr:uid="{00000000-0005-0000-0000-0000881D0000}"/>
    <cellStyle name="20% - Accent4 2 5 8 3 6" xfId="28167" xr:uid="{00000000-0005-0000-0000-0000891D0000}"/>
    <cellStyle name="20% - Accent4 2 5 8 4" xfId="9263" xr:uid="{00000000-0005-0000-0000-00008A1D0000}"/>
    <cellStyle name="20% - Accent4 2 5 8 4 2" xfId="20766" xr:uid="{00000000-0005-0000-0000-00008B1D0000}"/>
    <cellStyle name="20% - Accent4 2 5 8 4 3" xfId="29643" xr:uid="{00000000-0005-0000-0000-00008C1D0000}"/>
    <cellStyle name="20% - Accent4 2 5 8 5" xfId="11711" xr:uid="{00000000-0005-0000-0000-00008D1D0000}"/>
    <cellStyle name="20% - Accent4 2 5 8 5 2" xfId="22985" xr:uid="{00000000-0005-0000-0000-00008E1D0000}"/>
    <cellStyle name="20% - Accent4 2 5 8 5 3" xfId="31862" xr:uid="{00000000-0005-0000-0000-00008F1D0000}"/>
    <cellStyle name="20% - Accent4 2 5 8 6" xfId="13932" xr:uid="{00000000-0005-0000-0000-0000901D0000}"/>
    <cellStyle name="20% - Accent4 2 5 8 6 2" xfId="25204" xr:uid="{00000000-0005-0000-0000-0000911D0000}"/>
    <cellStyle name="20% - Accent4 2 5 8 6 3" xfId="34081" xr:uid="{00000000-0005-0000-0000-0000921D0000}"/>
    <cellStyle name="20% - Accent4 2 5 8 7" xfId="18541" xr:uid="{00000000-0005-0000-0000-0000931D0000}"/>
    <cellStyle name="20% - Accent4 2 5 8 8" xfId="27422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3" xr:uid="{00000000-0005-0000-0000-0000981D0000}"/>
    <cellStyle name="20% - Accent4 2 5 9 2 2 3" xfId="31120" xr:uid="{00000000-0005-0000-0000-0000991D0000}"/>
    <cellStyle name="20% - Accent4 2 5 9 2 3" xfId="13188" xr:uid="{00000000-0005-0000-0000-00009A1D0000}"/>
    <cellStyle name="20% - Accent4 2 5 9 2 3 2" xfId="24462" xr:uid="{00000000-0005-0000-0000-00009B1D0000}"/>
    <cellStyle name="20% - Accent4 2 5 9 2 3 3" xfId="33339" xr:uid="{00000000-0005-0000-0000-00009C1D0000}"/>
    <cellStyle name="20% - Accent4 2 5 9 2 4" xfId="15638" xr:uid="{00000000-0005-0000-0000-00009D1D0000}"/>
    <cellStyle name="20% - Accent4 2 5 9 2 4 2" xfId="26681" xr:uid="{00000000-0005-0000-0000-00009E1D0000}"/>
    <cellStyle name="20% - Accent4 2 5 9 2 4 3" xfId="35558" xr:uid="{00000000-0005-0000-0000-00009F1D0000}"/>
    <cellStyle name="20% - Accent4 2 5 9 2 5" xfId="20024" xr:uid="{00000000-0005-0000-0000-0000A01D0000}"/>
    <cellStyle name="20% - Accent4 2 5 9 2 6" xfId="28901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0" xr:uid="{00000000-0005-0000-0000-0000A41D0000}"/>
    <cellStyle name="20% - Accent4 2 5 9 3 2 3" xfId="30387" xr:uid="{00000000-0005-0000-0000-0000A51D0000}"/>
    <cellStyle name="20% - Accent4 2 5 9 3 3" xfId="12455" xr:uid="{00000000-0005-0000-0000-0000A61D0000}"/>
    <cellStyle name="20% - Accent4 2 5 9 3 3 2" xfId="23729" xr:uid="{00000000-0005-0000-0000-0000A71D0000}"/>
    <cellStyle name="20% - Accent4 2 5 9 3 3 3" xfId="32606" xr:uid="{00000000-0005-0000-0000-0000A81D0000}"/>
    <cellStyle name="20% - Accent4 2 5 9 3 4" xfId="14905" xr:uid="{00000000-0005-0000-0000-0000A91D0000}"/>
    <cellStyle name="20% - Accent4 2 5 9 3 4 2" xfId="25948" xr:uid="{00000000-0005-0000-0000-0000AA1D0000}"/>
    <cellStyle name="20% - Accent4 2 5 9 3 4 3" xfId="34825" xr:uid="{00000000-0005-0000-0000-0000AB1D0000}"/>
    <cellStyle name="20% - Accent4 2 5 9 3 5" xfId="19291" xr:uid="{00000000-0005-0000-0000-0000AC1D0000}"/>
    <cellStyle name="20% - Accent4 2 5 9 3 6" xfId="28168" xr:uid="{00000000-0005-0000-0000-0000AD1D0000}"/>
    <cellStyle name="20% - Accent4 2 5 9 4" xfId="9264" xr:uid="{00000000-0005-0000-0000-0000AE1D0000}"/>
    <cellStyle name="20% - Accent4 2 5 9 4 2" xfId="20767" xr:uid="{00000000-0005-0000-0000-0000AF1D0000}"/>
    <cellStyle name="20% - Accent4 2 5 9 4 3" xfId="29644" xr:uid="{00000000-0005-0000-0000-0000B01D0000}"/>
    <cellStyle name="20% - Accent4 2 5 9 5" xfId="11712" xr:uid="{00000000-0005-0000-0000-0000B11D0000}"/>
    <cellStyle name="20% - Accent4 2 5 9 5 2" xfId="22986" xr:uid="{00000000-0005-0000-0000-0000B21D0000}"/>
    <cellStyle name="20% - Accent4 2 5 9 5 3" xfId="31863" xr:uid="{00000000-0005-0000-0000-0000B31D0000}"/>
    <cellStyle name="20% - Accent4 2 5 9 6" xfId="13933" xr:uid="{00000000-0005-0000-0000-0000B41D0000}"/>
    <cellStyle name="20% - Accent4 2 5 9 6 2" xfId="25205" xr:uid="{00000000-0005-0000-0000-0000B51D0000}"/>
    <cellStyle name="20% - Accent4 2 5 9 6 3" xfId="34082" xr:uid="{00000000-0005-0000-0000-0000B61D0000}"/>
    <cellStyle name="20% - Accent4 2 5 9 7" xfId="18542" xr:uid="{00000000-0005-0000-0000-0000B71D0000}"/>
    <cellStyle name="20% - Accent4 2 5 9 8" xfId="27423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6" xr:uid="{00000000-0005-0000-0000-0000BB1D0000}"/>
    <cellStyle name="20% - Accent4 2 6 10 3" xfId="34083" xr:uid="{00000000-0005-0000-0000-0000BC1D0000}"/>
    <cellStyle name="20% - Accent4 2 6 11" xfId="18543" xr:uid="{00000000-0005-0000-0000-0000BD1D0000}"/>
    <cellStyle name="20% - Accent4 2 6 12" xfId="27424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5" xr:uid="{00000000-0005-0000-0000-0000C21D0000}"/>
    <cellStyle name="20% - Accent4 2 6 2 2 2 3" xfId="31122" xr:uid="{00000000-0005-0000-0000-0000C31D0000}"/>
    <cellStyle name="20% - Accent4 2 6 2 2 3" xfId="13190" xr:uid="{00000000-0005-0000-0000-0000C41D0000}"/>
    <cellStyle name="20% - Accent4 2 6 2 2 3 2" xfId="24464" xr:uid="{00000000-0005-0000-0000-0000C51D0000}"/>
    <cellStyle name="20% - Accent4 2 6 2 2 3 3" xfId="33341" xr:uid="{00000000-0005-0000-0000-0000C61D0000}"/>
    <cellStyle name="20% - Accent4 2 6 2 2 4" xfId="15640" xr:uid="{00000000-0005-0000-0000-0000C71D0000}"/>
    <cellStyle name="20% - Accent4 2 6 2 2 4 2" xfId="26683" xr:uid="{00000000-0005-0000-0000-0000C81D0000}"/>
    <cellStyle name="20% - Accent4 2 6 2 2 4 3" xfId="35560" xr:uid="{00000000-0005-0000-0000-0000C91D0000}"/>
    <cellStyle name="20% - Accent4 2 6 2 2 5" xfId="20026" xr:uid="{00000000-0005-0000-0000-0000CA1D0000}"/>
    <cellStyle name="20% - Accent4 2 6 2 2 6" xfId="28903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2" xr:uid="{00000000-0005-0000-0000-0000CE1D0000}"/>
    <cellStyle name="20% - Accent4 2 6 2 3 2 3" xfId="30389" xr:uid="{00000000-0005-0000-0000-0000CF1D0000}"/>
    <cellStyle name="20% - Accent4 2 6 2 3 3" xfId="12457" xr:uid="{00000000-0005-0000-0000-0000D01D0000}"/>
    <cellStyle name="20% - Accent4 2 6 2 3 3 2" xfId="23731" xr:uid="{00000000-0005-0000-0000-0000D11D0000}"/>
    <cellStyle name="20% - Accent4 2 6 2 3 3 3" xfId="32608" xr:uid="{00000000-0005-0000-0000-0000D21D0000}"/>
    <cellStyle name="20% - Accent4 2 6 2 3 4" xfId="14907" xr:uid="{00000000-0005-0000-0000-0000D31D0000}"/>
    <cellStyle name="20% - Accent4 2 6 2 3 4 2" xfId="25950" xr:uid="{00000000-0005-0000-0000-0000D41D0000}"/>
    <cellStyle name="20% - Accent4 2 6 2 3 4 3" xfId="34827" xr:uid="{00000000-0005-0000-0000-0000D51D0000}"/>
    <cellStyle name="20% - Accent4 2 6 2 3 5" xfId="19293" xr:uid="{00000000-0005-0000-0000-0000D61D0000}"/>
    <cellStyle name="20% - Accent4 2 6 2 3 6" xfId="28170" xr:uid="{00000000-0005-0000-0000-0000D71D0000}"/>
    <cellStyle name="20% - Accent4 2 6 2 4" xfId="9266" xr:uid="{00000000-0005-0000-0000-0000D81D0000}"/>
    <cellStyle name="20% - Accent4 2 6 2 4 2" xfId="20769" xr:uid="{00000000-0005-0000-0000-0000D91D0000}"/>
    <cellStyle name="20% - Accent4 2 6 2 4 3" xfId="29646" xr:uid="{00000000-0005-0000-0000-0000DA1D0000}"/>
    <cellStyle name="20% - Accent4 2 6 2 5" xfId="11714" xr:uid="{00000000-0005-0000-0000-0000DB1D0000}"/>
    <cellStyle name="20% - Accent4 2 6 2 5 2" xfId="22988" xr:uid="{00000000-0005-0000-0000-0000DC1D0000}"/>
    <cellStyle name="20% - Accent4 2 6 2 5 3" xfId="31865" xr:uid="{00000000-0005-0000-0000-0000DD1D0000}"/>
    <cellStyle name="20% - Accent4 2 6 2 6" xfId="13935" xr:uid="{00000000-0005-0000-0000-0000DE1D0000}"/>
    <cellStyle name="20% - Accent4 2 6 2 6 2" xfId="25207" xr:uid="{00000000-0005-0000-0000-0000DF1D0000}"/>
    <cellStyle name="20% - Accent4 2 6 2 6 3" xfId="34084" xr:uid="{00000000-0005-0000-0000-0000E01D0000}"/>
    <cellStyle name="20% - Accent4 2 6 2 7" xfId="18544" xr:uid="{00000000-0005-0000-0000-0000E11D0000}"/>
    <cellStyle name="20% - Accent4 2 6 2 8" xfId="27425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6" xr:uid="{00000000-0005-0000-0000-0000E61D0000}"/>
    <cellStyle name="20% - Accent4 2 6 3 2 2 3" xfId="31123" xr:uid="{00000000-0005-0000-0000-0000E71D0000}"/>
    <cellStyle name="20% - Accent4 2 6 3 2 3" xfId="13191" xr:uid="{00000000-0005-0000-0000-0000E81D0000}"/>
    <cellStyle name="20% - Accent4 2 6 3 2 3 2" xfId="24465" xr:uid="{00000000-0005-0000-0000-0000E91D0000}"/>
    <cellStyle name="20% - Accent4 2 6 3 2 3 3" xfId="33342" xr:uid="{00000000-0005-0000-0000-0000EA1D0000}"/>
    <cellStyle name="20% - Accent4 2 6 3 2 4" xfId="15641" xr:uid="{00000000-0005-0000-0000-0000EB1D0000}"/>
    <cellStyle name="20% - Accent4 2 6 3 2 4 2" xfId="26684" xr:uid="{00000000-0005-0000-0000-0000EC1D0000}"/>
    <cellStyle name="20% - Accent4 2 6 3 2 4 3" xfId="35561" xr:uid="{00000000-0005-0000-0000-0000ED1D0000}"/>
    <cellStyle name="20% - Accent4 2 6 3 2 5" xfId="20027" xr:uid="{00000000-0005-0000-0000-0000EE1D0000}"/>
    <cellStyle name="20% - Accent4 2 6 3 2 6" xfId="28904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3" xr:uid="{00000000-0005-0000-0000-0000F21D0000}"/>
    <cellStyle name="20% - Accent4 2 6 3 3 2 3" xfId="30390" xr:uid="{00000000-0005-0000-0000-0000F31D0000}"/>
    <cellStyle name="20% - Accent4 2 6 3 3 3" xfId="12458" xr:uid="{00000000-0005-0000-0000-0000F41D0000}"/>
    <cellStyle name="20% - Accent4 2 6 3 3 3 2" xfId="23732" xr:uid="{00000000-0005-0000-0000-0000F51D0000}"/>
    <cellStyle name="20% - Accent4 2 6 3 3 3 3" xfId="32609" xr:uid="{00000000-0005-0000-0000-0000F61D0000}"/>
    <cellStyle name="20% - Accent4 2 6 3 3 4" xfId="14908" xr:uid="{00000000-0005-0000-0000-0000F71D0000}"/>
    <cellStyle name="20% - Accent4 2 6 3 3 4 2" xfId="25951" xr:uid="{00000000-0005-0000-0000-0000F81D0000}"/>
    <cellStyle name="20% - Accent4 2 6 3 3 4 3" xfId="34828" xr:uid="{00000000-0005-0000-0000-0000F91D0000}"/>
    <cellStyle name="20% - Accent4 2 6 3 3 5" xfId="19294" xr:uid="{00000000-0005-0000-0000-0000FA1D0000}"/>
    <cellStyle name="20% - Accent4 2 6 3 3 6" xfId="28171" xr:uid="{00000000-0005-0000-0000-0000FB1D0000}"/>
    <cellStyle name="20% - Accent4 2 6 3 4" xfId="9267" xr:uid="{00000000-0005-0000-0000-0000FC1D0000}"/>
    <cellStyle name="20% - Accent4 2 6 3 4 2" xfId="20770" xr:uid="{00000000-0005-0000-0000-0000FD1D0000}"/>
    <cellStyle name="20% - Accent4 2 6 3 4 3" xfId="29647" xr:uid="{00000000-0005-0000-0000-0000FE1D0000}"/>
    <cellStyle name="20% - Accent4 2 6 3 5" xfId="11715" xr:uid="{00000000-0005-0000-0000-0000FF1D0000}"/>
    <cellStyle name="20% - Accent4 2 6 3 5 2" xfId="22989" xr:uid="{00000000-0005-0000-0000-0000001E0000}"/>
    <cellStyle name="20% - Accent4 2 6 3 5 3" xfId="31866" xr:uid="{00000000-0005-0000-0000-0000011E0000}"/>
    <cellStyle name="20% - Accent4 2 6 3 6" xfId="13936" xr:uid="{00000000-0005-0000-0000-0000021E0000}"/>
    <cellStyle name="20% - Accent4 2 6 3 6 2" xfId="25208" xr:uid="{00000000-0005-0000-0000-0000031E0000}"/>
    <cellStyle name="20% - Accent4 2 6 3 6 3" xfId="34085" xr:uid="{00000000-0005-0000-0000-0000041E0000}"/>
    <cellStyle name="20% - Accent4 2 6 3 7" xfId="18545" xr:uid="{00000000-0005-0000-0000-0000051E0000}"/>
    <cellStyle name="20% - Accent4 2 6 3 8" xfId="27426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7" xr:uid="{00000000-0005-0000-0000-00000A1E0000}"/>
    <cellStyle name="20% - Accent4 2 6 4 2 2 3" xfId="31124" xr:uid="{00000000-0005-0000-0000-00000B1E0000}"/>
    <cellStyle name="20% - Accent4 2 6 4 2 3" xfId="13192" xr:uid="{00000000-0005-0000-0000-00000C1E0000}"/>
    <cellStyle name="20% - Accent4 2 6 4 2 3 2" xfId="24466" xr:uid="{00000000-0005-0000-0000-00000D1E0000}"/>
    <cellStyle name="20% - Accent4 2 6 4 2 3 3" xfId="33343" xr:uid="{00000000-0005-0000-0000-00000E1E0000}"/>
    <cellStyle name="20% - Accent4 2 6 4 2 4" xfId="15642" xr:uid="{00000000-0005-0000-0000-00000F1E0000}"/>
    <cellStyle name="20% - Accent4 2 6 4 2 4 2" xfId="26685" xr:uid="{00000000-0005-0000-0000-0000101E0000}"/>
    <cellStyle name="20% - Accent4 2 6 4 2 4 3" xfId="35562" xr:uid="{00000000-0005-0000-0000-0000111E0000}"/>
    <cellStyle name="20% - Accent4 2 6 4 2 5" xfId="20028" xr:uid="{00000000-0005-0000-0000-0000121E0000}"/>
    <cellStyle name="20% - Accent4 2 6 4 2 6" xfId="28905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4" xr:uid="{00000000-0005-0000-0000-0000161E0000}"/>
    <cellStyle name="20% - Accent4 2 6 4 3 2 3" xfId="30391" xr:uid="{00000000-0005-0000-0000-0000171E0000}"/>
    <cellStyle name="20% - Accent4 2 6 4 3 3" xfId="12459" xr:uid="{00000000-0005-0000-0000-0000181E0000}"/>
    <cellStyle name="20% - Accent4 2 6 4 3 3 2" xfId="23733" xr:uid="{00000000-0005-0000-0000-0000191E0000}"/>
    <cellStyle name="20% - Accent4 2 6 4 3 3 3" xfId="32610" xr:uid="{00000000-0005-0000-0000-00001A1E0000}"/>
    <cellStyle name="20% - Accent4 2 6 4 3 4" xfId="14909" xr:uid="{00000000-0005-0000-0000-00001B1E0000}"/>
    <cellStyle name="20% - Accent4 2 6 4 3 4 2" xfId="25952" xr:uid="{00000000-0005-0000-0000-00001C1E0000}"/>
    <cellStyle name="20% - Accent4 2 6 4 3 4 3" xfId="34829" xr:uid="{00000000-0005-0000-0000-00001D1E0000}"/>
    <cellStyle name="20% - Accent4 2 6 4 3 5" xfId="19295" xr:uid="{00000000-0005-0000-0000-00001E1E0000}"/>
    <cellStyle name="20% - Accent4 2 6 4 3 6" xfId="28172" xr:uid="{00000000-0005-0000-0000-00001F1E0000}"/>
    <cellStyle name="20% - Accent4 2 6 4 4" xfId="9268" xr:uid="{00000000-0005-0000-0000-0000201E0000}"/>
    <cellStyle name="20% - Accent4 2 6 4 4 2" xfId="20771" xr:uid="{00000000-0005-0000-0000-0000211E0000}"/>
    <cellStyle name="20% - Accent4 2 6 4 4 3" xfId="29648" xr:uid="{00000000-0005-0000-0000-0000221E0000}"/>
    <cellStyle name="20% - Accent4 2 6 4 5" xfId="11716" xr:uid="{00000000-0005-0000-0000-0000231E0000}"/>
    <cellStyle name="20% - Accent4 2 6 4 5 2" xfId="22990" xr:uid="{00000000-0005-0000-0000-0000241E0000}"/>
    <cellStyle name="20% - Accent4 2 6 4 5 3" xfId="31867" xr:uid="{00000000-0005-0000-0000-0000251E0000}"/>
    <cellStyle name="20% - Accent4 2 6 4 6" xfId="13937" xr:uid="{00000000-0005-0000-0000-0000261E0000}"/>
    <cellStyle name="20% - Accent4 2 6 4 6 2" xfId="25209" xr:uid="{00000000-0005-0000-0000-0000271E0000}"/>
    <cellStyle name="20% - Accent4 2 6 4 6 3" xfId="34086" xr:uid="{00000000-0005-0000-0000-0000281E0000}"/>
    <cellStyle name="20% - Accent4 2 6 4 7" xfId="18546" xr:uid="{00000000-0005-0000-0000-0000291E0000}"/>
    <cellStyle name="20% - Accent4 2 6 4 8" xfId="27427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8" xr:uid="{00000000-0005-0000-0000-00002E1E0000}"/>
    <cellStyle name="20% - Accent4 2 6 5 2 2 3" xfId="31125" xr:uid="{00000000-0005-0000-0000-00002F1E0000}"/>
    <cellStyle name="20% - Accent4 2 6 5 2 3" xfId="13193" xr:uid="{00000000-0005-0000-0000-0000301E0000}"/>
    <cellStyle name="20% - Accent4 2 6 5 2 3 2" xfId="24467" xr:uid="{00000000-0005-0000-0000-0000311E0000}"/>
    <cellStyle name="20% - Accent4 2 6 5 2 3 3" xfId="33344" xr:uid="{00000000-0005-0000-0000-0000321E0000}"/>
    <cellStyle name="20% - Accent4 2 6 5 2 4" xfId="15643" xr:uid="{00000000-0005-0000-0000-0000331E0000}"/>
    <cellStyle name="20% - Accent4 2 6 5 2 4 2" xfId="26686" xr:uid="{00000000-0005-0000-0000-0000341E0000}"/>
    <cellStyle name="20% - Accent4 2 6 5 2 4 3" xfId="35563" xr:uid="{00000000-0005-0000-0000-0000351E0000}"/>
    <cellStyle name="20% - Accent4 2 6 5 2 5" xfId="20029" xr:uid="{00000000-0005-0000-0000-0000361E0000}"/>
    <cellStyle name="20% - Accent4 2 6 5 2 6" xfId="28906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5" xr:uid="{00000000-0005-0000-0000-00003A1E0000}"/>
    <cellStyle name="20% - Accent4 2 6 5 3 2 3" xfId="30392" xr:uid="{00000000-0005-0000-0000-00003B1E0000}"/>
    <cellStyle name="20% - Accent4 2 6 5 3 3" xfId="12460" xr:uid="{00000000-0005-0000-0000-00003C1E0000}"/>
    <cellStyle name="20% - Accent4 2 6 5 3 3 2" xfId="23734" xr:uid="{00000000-0005-0000-0000-00003D1E0000}"/>
    <cellStyle name="20% - Accent4 2 6 5 3 3 3" xfId="32611" xr:uid="{00000000-0005-0000-0000-00003E1E0000}"/>
    <cellStyle name="20% - Accent4 2 6 5 3 4" xfId="14910" xr:uid="{00000000-0005-0000-0000-00003F1E0000}"/>
    <cellStyle name="20% - Accent4 2 6 5 3 4 2" xfId="25953" xr:uid="{00000000-0005-0000-0000-0000401E0000}"/>
    <cellStyle name="20% - Accent4 2 6 5 3 4 3" xfId="34830" xr:uid="{00000000-0005-0000-0000-0000411E0000}"/>
    <cellStyle name="20% - Accent4 2 6 5 3 5" xfId="19296" xr:uid="{00000000-0005-0000-0000-0000421E0000}"/>
    <cellStyle name="20% - Accent4 2 6 5 3 6" xfId="28173" xr:uid="{00000000-0005-0000-0000-0000431E0000}"/>
    <cellStyle name="20% - Accent4 2 6 5 4" xfId="9269" xr:uid="{00000000-0005-0000-0000-0000441E0000}"/>
    <cellStyle name="20% - Accent4 2 6 5 4 2" xfId="20772" xr:uid="{00000000-0005-0000-0000-0000451E0000}"/>
    <cellStyle name="20% - Accent4 2 6 5 4 3" xfId="29649" xr:uid="{00000000-0005-0000-0000-0000461E0000}"/>
    <cellStyle name="20% - Accent4 2 6 5 5" xfId="11717" xr:uid="{00000000-0005-0000-0000-0000471E0000}"/>
    <cellStyle name="20% - Accent4 2 6 5 5 2" xfId="22991" xr:uid="{00000000-0005-0000-0000-0000481E0000}"/>
    <cellStyle name="20% - Accent4 2 6 5 5 3" xfId="31868" xr:uid="{00000000-0005-0000-0000-0000491E0000}"/>
    <cellStyle name="20% - Accent4 2 6 5 6" xfId="13938" xr:uid="{00000000-0005-0000-0000-00004A1E0000}"/>
    <cellStyle name="20% - Accent4 2 6 5 6 2" xfId="25210" xr:uid="{00000000-0005-0000-0000-00004B1E0000}"/>
    <cellStyle name="20% - Accent4 2 6 5 6 3" xfId="34087" xr:uid="{00000000-0005-0000-0000-00004C1E0000}"/>
    <cellStyle name="20% - Accent4 2 6 5 7" xfId="18547" xr:uid="{00000000-0005-0000-0000-00004D1E0000}"/>
    <cellStyle name="20% - Accent4 2 6 5 8" xfId="27428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4" xr:uid="{00000000-0005-0000-0000-0000511E0000}"/>
    <cellStyle name="20% - Accent4 2 6 6 2 3" xfId="31121" xr:uid="{00000000-0005-0000-0000-0000521E0000}"/>
    <cellStyle name="20% - Accent4 2 6 6 3" xfId="13189" xr:uid="{00000000-0005-0000-0000-0000531E0000}"/>
    <cellStyle name="20% - Accent4 2 6 6 3 2" xfId="24463" xr:uid="{00000000-0005-0000-0000-0000541E0000}"/>
    <cellStyle name="20% - Accent4 2 6 6 3 3" xfId="33340" xr:uid="{00000000-0005-0000-0000-0000551E0000}"/>
    <cellStyle name="20% - Accent4 2 6 6 4" xfId="15639" xr:uid="{00000000-0005-0000-0000-0000561E0000}"/>
    <cellStyle name="20% - Accent4 2 6 6 4 2" xfId="26682" xr:uid="{00000000-0005-0000-0000-0000571E0000}"/>
    <cellStyle name="20% - Accent4 2 6 6 4 3" xfId="35559" xr:uid="{00000000-0005-0000-0000-0000581E0000}"/>
    <cellStyle name="20% - Accent4 2 6 6 5" xfId="20025" xr:uid="{00000000-0005-0000-0000-0000591E0000}"/>
    <cellStyle name="20% - Accent4 2 6 6 6" xfId="28902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1" xr:uid="{00000000-0005-0000-0000-00005D1E0000}"/>
    <cellStyle name="20% - Accent4 2 6 7 2 3" xfId="30388" xr:uid="{00000000-0005-0000-0000-00005E1E0000}"/>
    <cellStyle name="20% - Accent4 2 6 7 3" xfId="12456" xr:uid="{00000000-0005-0000-0000-00005F1E0000}"/>
    <cellStyle name="20% - Accent4 2 6 7 3 2" xfId="23730" xr:uid="{00000000-0005-0000-0000-0000601E0000}"/>
    <cellStyle name="20% - Accent4 2 6 7 3 3" xfId="32607" xr:uid="{00000000-0005-0000-0000-0000611E0000}"/>
    <cellStyle name="20% - Accent4 2 6 7 4" xfId="14906" xr:uid="{00000000-0005-0000-0000-0000621E0000}"/>
    <cellStyle name="20% - Accent4 2 6 7 4 2" xfId="25949" xr:uid="{00000000-0005-0000-0000-0000631E0000}"/>
    <cellStyle name="20% - Accent4 2 6 7 4 3" xfId="34826" xr:uid="{00000000-0005-0000-0000-0000641E0000}"/>
    <cellStyle name="20% - Accent4 2 6 7 5" xfId="19292" xr:uid="{00000000-0005-0000-0000-0000651E0000}"/>
    <cellStyle name="20% - Accent4 2 6 7 6" xfId="28169" xr:uid="{00000000-0005-0000-0000-0000661E0000}"/>
    <cellStyle name="20% - Accent4 2 6 8" xfId="9265" xr:uid="{00000000-0005-0000-0000-0000671E0000}"/>
    <cellStyle name="20% - Accent4 2 6 8 2" xfId="20768" xr:uid="{00000000-0005-0000-0000-0000681E0000}"/>
    <cellStyle name="20% - Accent4 2 6 8 3" xfId="29645" xr:uid="{00000000-0005-0000-0000-0000691E0000}"/>
    <cellStyle name="20% - Accent4 2 6 9" xfId="11713" xr:uid="{00000000-0005-0000-0000-00006A1E0000}"/>
    <cellStyle name="20% - Accent4 2 6 9 2" xfId="22987" xr:uid="{00000000-0005-0000-0000-00006B1E0000}"/>
    <cellStyle name="20% - Accent4 2 6 9 3" xfId="31864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49" xr:uid="{00000000-0005-0000-0000-0000701E0000}"/>
    <cellStyle name="20% - Accent4 2 7 2 2 3" xfId="31126" xr:uid="{00000000-0005-0000-0000-0000711E0000}"/>
    <cellStyle name="20% - Accent4 2 7 2 3" xfId="13194" xr:uid="{00000000-0005-0000-0000-0000721E0000}"/>
    <cellStyle name="20% - Accent4 2 7 2 3 2" xfId="24468" xr:uid="{00000000-0005-0000-0000-0000731E0000}"/>
    <cellStyle name="20% - Accent4 2 7 2 3 3" xfId="33345" xr:uid="{00000000-0005-0000-0000-0000741E0000}"/>
    <cellStyle name="20% - Accent4 2 7 2 4" xfId="15644" xr:uid="{00000000-0005-0000-0000-0000751E0000}"/>
    <cellStyle name="20% - Accent4 2 7 2 4 2" xfId="26687" xr:uid="{00000000-0005-0000-0000-0000761E0000}"/>
    <cellStyle name="20% - Accent4 2 7 2 4 3" xfId="35564" xr:uid="{00000000-0005-0000-0000-0000771E0000}"/>
    <cellStyle name="20% - Accent4 2 7 2 5" xfId="20030" xr:uid="{00000000-0005-0000-0000-0000781E0000}"/>
    <cellStyle name="20% - Accent4 2 7 2 6" xfId="28907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6" xr:uid="{00000000-0005-0000-0000-00007C1E0000}"/>
    <cellStyle name="20% - Accent4 2 7 3 2 3" xfId="30393" xr:uid="{00000000-0005-0000-0000-00007D1E0000}"/>
    <cellStyle name="20% - Accent4 2 7 3 3" xfId="12461" xr:uid="{00000000-0005-0000-0000-00007E1E0000}"/>
    <cellStyle name="20% - Accent4 2 7 3 3 2" xfId="23735" xr:uid="{00000000-0005-0000-0000-00007F1E0000}"/>
    <cellStyle name="20% - Accent4 2 7 3 3 3" xfId="32612" xr:uid="{00000000-0005-0000-0000-0000801E0000}"/>
    <cellStyle name="20% - Accent4 2 7 3 4" xfId="14911" xr:uid="{00000000-0005-0000-0000-0000811E0000}"/>
    <cellStyle name="20% - Accent4 2 7 3 4 2" xfId="25954" xr:uid="{00000000-0005-0000-0000-0000821E0000}"/>
    <cellStyle name="20% - Accent4 2 7 3 4 3" xfId="34831" xr:uid="{00000000-0005-0000-0000-0000831E0000}"/>
    <cellStyle name="20% - Accent4 2 7 3 5" xfId="19297" xr:uid="{00000000-0005-0000-0000-0000841E0000}"/>
    <cellStyle name="20% - Accent4 2 7 3 6" xfId="28174" xr:uid="{00000000-0005-0000-0000-0000851E0000}"/>
    <cellStyle name="20% - Accent4 2 7 4" xfId="9270" xr:uid="{00000000-0005-0000-0000-0000861E0000}"/>
    <cellStyle name="20% - Accent4 2 7 4 2" xfId="20773" xr:uid="{00000000-0005-0000-0000-0000871E0000}"/>
    <cellStyle name="20% - Accent4 2 7 4 3" xfId="29650" xr:uid="{00000000-0005-0000-0000-0000881E0000}"/>
    <cellStyle name="20% - Accent4 2 7 5" xfId="11718" xr:uid="{00000000-0005-0000-0000-0000891E0000}"/>
    <cellStyle name="20% - Accent4 2 7 5 2" xfId="22992" xr:uid="{00000000-0005-0000-0000-00008A1E0000}"/>
    <cellStyle name="20% - Accent4 2 7 5 3" xfId="31869" xr:uid="{00000000-0005-0000-0000-00008B1E0000}"/>
    <cellStyle name="20% - Accent4 2 7 6" xfId="13939" xr:uid="{00000000-0005-0000-0000-00008C1E0000}"/>
    <cellStyle name="20% - Accent4 2 7 6 2" xfId="25211" xr:uid="{00000000-0005-0000-0000-00008D1E0000}"/>
    <cellStyle name="20% - Accent4 2 7 6 3" xfId="34088" xr:uid="{00000000-0005-0000-0000-00008E1E0000}"/>
    <cellStyle name="20% - Accent4 2 7 7" xfId="18548" xr:uid="{00000000-0005-0000-0000-00008F1E0000}"/>
    <cellStyle name="20% - Accent4 2 7 8" xfId="27429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0" xr:uid="{00000000-0005-0000-0000-0000941E0000}"/>
    <cellStyle name="20% - Accent4 2 8 2 2 3" xfId="31127" xr:uid="{00000000-0005-0000-0000-0000951E0000}"/>
    <cellStyle name="20% - Accent4 2 8 2 3" xfId="13195" xr:uid="{00000000-0005-0000-0000-0000961E0000}"/>
    <cellStyle name="20% - Accent4 2 8 2 3 2" xfId="24469" xr:uid="{00000000-0005-0000-0000-0000971E0000}"/>
    <cellStyle name="20% - Accent4 2 8 2 3 3" xfId="33346" xr:uid="{00000000-0005-0000-0000-0000981E0000}"/>
    <cellStyle name="20% - Accent4 2 8 2 4" xfId="15645" xr:uid="{00000000-0005-0000-0000-0000991E0000}"/>
    <cellStyle name="20% - Accent4 2 8 2 4 2" xfId="26688" xr:uid="{00000000-0005-0000-0000-00009A1E0000}"/>
    <cellStyle name="20% - Accent4 2 8 2 4 3" xfId="35565" xr:uid="{00000000-0005-0000-0000-00009B1E0000}"/>
    <cellStyle name="20% - Accent4 2 8 2 5" xfId="20031" xr:uid="{00000000-0005-0000-0000-00009C1E0000}"/>
    <cellStyle name="20% - Accent4 2 8 2 6" xfId="28908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7" xr:uid="{00000000-0005-0000-0000-0000A01E0000}"/>
    <cellStyle name="20% - Accent4 2 8 3 2 3" xfId="30394" xr:uid="{00000000-0005-0000-0000-0000A11E0000}"/>
    <cellStyle name="20% - Accent4 2 8 3 3" xfId="12462" xr:uid="{00000000-0005-0000-0000-0000A21E0000}"/>
    <cellStyle name="20% - Accent4 2 8 3 3 2" xfId="23736" xr:uid="{00000000-0005-0000-0000-0000A31E0000}"/>
    <cellStyle name="20% - Accent4 2 8 3 3 3" xfId="32613" xr:uid="{00000000-0005-0000-0000-0000A41E0000}"/>
    <cellStyle name="20% - Accent4 2 8 3 4" xfId="14912" xr:uid="{00000000-0005-0000-0000-0000A51E0000}"/>
    <cellStyle name="20% - Accent4 2 8 3 4 2" xfId="25955" xr:uid="{00000000-0005-0000-0000-0000A61E0000}"/>
    <cellStyle name="20% - Accent4 2 8 3 4 3" xfId="34832" xr:uid="{00000000-0005-0000-0000-0000A71E0000}"/>
    <cellStyle name="20% - Accent4 2 8 3 5" xfId="19298" xr:uid="{00000000-0005-0000-0000-0000A81E0000}"/>
    <cellStyle name="20% - Accent4 2 8 3 6" xfId="28175" xr:uid="{00000000-0005-0000-0000-0000A91E0000}"/>
    <cellStyle name="20% - Accent4 2 8 4" xfId="9271" xr:uid="{00000000-0005-0000-0000-0000AA1E0000}"/>
    <cellStyle name="20% - Accent4 2 8 4 2" xfId="20774" xr:uid="{00000000-0005-0000-0000-0000AB1E0000}"/>
    <cellStyle name="20% - Accent4 2 8 4 3" xfId="29651" xr:uid="{00000000-0005-0000-0000-0000AC1E0000}"/>
    <cellStyle name="20% - Accent4 2 8 5" xfId="11719" xr:uid="{00000000-0005-0000-0000-0000AD1E0000}"/>
    <cellStyle name="20% - Accent4 2 8 5 2" xfId="22993" xr:uid="{00000000-0005-0000-0000-0000AE1E0000}"/>
    <cellStyle name="20% - Accent4 2 8 5 3" xfId="31870" xr:uid="{00000000-0005-0000-0000-0000AF1E0000}"/>
    <cellStyle name="20% - Accent4 2 8 6" xfId="13940" xr:uid="{00000000-0005-0000-0000-0000B01E0000}"/>
    <cellStyle name="20% - Accent4 2 8 6 2" xfId="25212" xr:uid="{00000000-0005-0000-0000-0000B11E0000}"/>
    <cellStyle name="20% - Accent4 2 8 6 3" xfId="34089" xr:uid="{00000000-0005-0000-0000-0000B21E0000}"/>
    <cellStyle name="20% - Accent4 2 8 7" xfId="18549" xr:uid="{00000000-0005-0000-0000-0000B31E0000}"/>
    <cellStyle name="20% - Accent4 2 8 8" xfId="27430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1" xr:uid="{00000000-0005-0000-0000-0000B81E0000}"/>
    <cellStyle name="20% - Accent4 2 9 2 2 3" xfId="31128" xr:uid="{00000000-0005-0000-0000-0000B91E0000}"/>
    <cellStyle name="20% - Accent4 2 9 2 3" xfId="13196" xr:uid="{00000000-0005-0000-0000-0000BA1E0000}"/>
    <cellStyle name="20% - Accent4 2 9 2 3 2" xfId="24470" xr:uid="{00000000-0005-0000-0000-0000BB1E0000}"/>
    <cellStyle name="20% - Accent4 2 9 2 3 3" xfId="33347" xr:uid="{00000000-0005-0000-0000-0000BC1E0000}"/>
    <cellStyle name="20% - Accent4 2 9 2 4" xfId="15646" xr:uid="{00000000-0005-0000-0000-0000BD1E0000}"/>
    <cellStyle name="20% - Accent4 2 9 2 4 2" xfId="26689" xr:uid="{00000000-0005-0000-0000-0000BE1E0000}"/>
    <cellStyle name="20% - Accent4 2 9 2 4 3" xfId="35566" xr:uid="{00000000-0005-0000-0000-0000BF1E0000}"/>
    <cellStyle name="20% - Accent4 2 9 2 5" xfId="20032" xr:uid="{00000000-0005-0000-0000-0000C01E0000}"/>
    <cellStyle name="20% - Accent4 2 9 2 6" xfId="28909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8" xr:uid="{00000000-0005-0000-0000-0000C41E0000}"/>
    <cellStyle name="20% - Accent4 2 9 3 2 3" xfId="30395" xr:uid="{00000000-0005-0000-0000-0000C51E0000}"/>
    <cellStyle name="20% - Accent4 2 9 3 3" xfId="12463" xr:uid="{00000000-0005-0000-0000-0000C61E0000}"/>
    <cellStyle name="20% - Accent4 2 9 3 3 2" xfId="23737" xr:uid="{00000000-0005-0000-0000-0000C71E0000}"/>
    <cellStyle name="20% - Accent4 2 9 3 3 3" xfId="32614" xr:uid="{00000000-0005-0000-0000-0000C81E0000}"/>
    <cellStyle name="20% - Accent4 2 9 3 4" xfId="14913" xr:uid="{00000000-0005-0000-0000-0000C91E0000}"/>
    <cellStyle name="20% - Accent4 2 9 3 4 2" xfId="25956" xr:uid="{00000000-0005-0000-0000-0000CA1E0000}"/>
    <cellStyle name="20% - Accent4 2 9 3 4 3" xfId="34833" xr:uid="{00000000-0005-0000-0000-0000CB1E0000}"/>
    <cellStyle name="20% - Accent4 2 9 3 5" xfId="19299" xr:uid="{00000000-0005-0000-0000-0000CC1E0000}"/>
    <cellStyle name="20% - Accent4 2 9 3 6" xfId="28176" xr:uid="{00000000-0005-0000-0000-0000CD1E0000}"/>
    <cellStyle name="20% - Accent4 2 9 4" xfId="9272" xr:uid="{00000000-0005-0000-0000-0000CE1E0000}"/>
    <cellStyle name="20% - Accent4 2 9 4 2" xfId="20775" xr:uid="{00000000-0005-0000-0000-0000CF1E0000}"/>
    <cellStyle name="20% - Accent4 2 9 4 3" xfId="29652" xr:uid="{00000000-0005-0000-0000-0000D01E0000}"/>
    <cellStyle name="20% - Accent4 2 9 5" xfId="11720" xr:uid="{00000000-0005-0000-0000-0000D11E0000}"/>
    <cellStyle name="20% - Accent4 2 9 5 2" xfId="22994" xr:uid="{00000000-0005-0000-0000-0000D21E0000}"/>
    <cellStyle name="20% - Accent4 2 9 5 3" xfId="31871" xr:uid="{00000000-0005-0000-0000-0000D31E0000}"/>
    <cellStyle name="20% - Accent4 2 9 6" xfId="13941" xr:uid="{00000000-0005-0000-0000-0000D41E0000}"/>
    <cellStyle name="20% - Accent4 2 9 6 2" xfId="25213" xr:uid="{00000000-0005-0000-0000-0000D51E0000}"/>
    <cellStyle name="20% - Accent4 2 9 6 3" xfId="34090" xr:uid="{00000000-0005-0000-0000-0000D61E0000}"/>
    <cellStyle name="20% - Accent4 2 9 7" xfId="18550" xr:uid="{00000000-0005-0000-0000-0000D71E0000}"/>
    <cellStyle name="20% - Accent4 2 9 8" xfId="27431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2" xr:uid="{00000000-0005-0000-0000-0000E51E0000}"/>
    <cellStyle name="20% - Accent4 3 2 2 2 3" xfId="31129" xr:uid="{00000000-0005-0000-0000-0000E61E0000}"/>
    <cellStyle name="20% - Accent4 3 2 2 3" xfId="13197" xr:uid="{00000000-0005-0000-0000-0000E71E0000}"/>
    <cellStyle name="20% - Accent4 3 2 2 3 2" xfId="24471" xr:uid="{00000000-0005-0000-0000-0000E81E0000}"/>
    <cellStyle name="20% - Accent4 3 2 2 3 3" xfId="33348" xr:uid="{00000000-0005-0000-0000-0000E91E0000}"/>
    <cellStyle name="20% - Accent4 3 2 2 4" xfId="15647" xr:uid="{00000000-0005-0000-0000-0000EA1E0000}"/>
    <cellStyle name="20% - Accent4 3 2 2 4 2" xfId="26690" xr:uid="{00000000-0005-0000-0000-0000EB1E0000}"/>
    <cellStyle name="20% - Accent4 3 2 2 4 3" xfId="35567" xr:uid="{00000000-0005-0000-0000-0000EC1E0000}"/>
    <cellStyle name="20% - Accent4 3 2 2 5" xfId="20033" xr:uid="{00000000-0005-0000-0000-0000ED1E0000}"/>
    <cellStyle name="20% - Accent4 3 2 2 6" xfId="28910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19" xr:uid="{00000000-0005-0000-0000-0000F11E0000}"/>
    <cellStyle name="20% - Accent4 3 2 3 2 3" xfId="30396" xr:uid="{00000000-0005-0000-0000-0000F21E0000}"/>
    <cellStyle name="20% - Accent4 3 2 3 3" xfId="12464" xr:uid="{00000000-0005-0000-0000-0000F31E0000}"/>
    <cellStyle name="20% - Accent4 3 2 3 3 2" xfId="23738" xr:uid="{00000000-0005-0000-0000-0000F41E0000}"/>
    <cellStyle name="20% - Accent4 3 2 3 3 3" xfId="32615" xr:uid="{00000000-0005-0000-0000-0000F51E0000}"/>
    <cellStyle name="20% - Accent4 3 2 3 4" xfId="14914" xr:uid="{00000000-0005-0000-0000-0000F61E0000}"/>
    <cellStyle name="20% - Accent4 3 2 3 4 2" xfId="25957" xr:uid="{00000000-0005-0000-0000-0000F71E0000}"/>
    <cellStyle name="20% - Accent4 3 2 3 4 3" xfId="34834" xr:uid="{00000000-0005-0000-0000-0000F81E0000}"/>
    <cellStyle name="20% - Accent4 3 2 3 5" xfId="19300" xr:uid="{00000000-0005-0000-0000-0000F91E0000}"/>
    <cellStyle name="20% - Accent4 3 2 3 6" xfId="28177" xr:uid="{00000000-0005-0000-0000-0000FA1E0000}"/>
    <cellStyle name="20% - Accent4 3 2 4" xfId="9273" xr:uid="{00000000-0005-0000-0000-0000FB1E0000}"/>
    <cellStyle name="20% - Accent4 3 2 4 2" xfId="20776" xr:uid="{00000000-0005-0000-0000-0000FC1E0000}"/>
    <cellStyle name="20% - Accent4 3 2 4 3" xfId="29653" xr:uid="{00000000-0005-0000-0000-0000FD1E0000}"/>
    <cellStyle name="20% - Accent4 3 2 5" xfId="11721" xr:uid="{00000000-0005-0000-0000-0000FE1E0000}"/>
    <cellStyle name="20% - Accent4 3 2 5 2" xfId="22995" xr:uid="{00000000-0005-0000-0000-0000FF1E0000}"/>
    <cellStyle name="20% - Accent4 3 2 5 3" xfId="31872" xr:uid="{00000000-0005-0000-0000-0000001F0000}"/>
    <cellStyle name="20% - Accent4 3 2 6" xfId="13942" xr:uid="{00000000-0005-0000-0000-0000011F0000}"/>
    <cellStyle name="20% - Accent4 3 2 6 2" xfId="25214" xr:uid="{00000000-0005-0000-0000-0000021F0000}"/>
    <cellStyle name="20% - Accent4 3 2 6 3" xfId="34091" xr:uid="{00000000-0005-0000-0000-0000031F0000}"/>
    <cellStyle name="20% - Accent4 3 2 7" xfId="18551" xr:uid="{00000000-0005-0000-0000-0000041F0000}"/>
    <cellStyle name="20% - Accent4 3 2 8" xfId="27432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3" xr:uid="{00000000-0005-0000-0000-0000091F0000}"/>
    <cellStyle name="20% - Accent4 3 3 2 2 3" xfId="31130" xr:uid="{00000000-0005-0000-0000-00000A1F0000}"/>
    <cellStyle name="20% - Accent4 3 3 2 3" xfId="13198" xr:uid="{00000000-0005-0000-0000-00000B1F0000}"/>
    <cellStyle name="20% - Accent4 3 3 2 3 2" xfId="24472" xr:uid="{00000000-0005-0000-0000-00000C1F0000}"/>
    <cellStyle name="20% - Accent4 3 3 2 3 3" xfId="33349" xr:uid="{00000000-0005-0000-0000-00000D1F0000}"/>
    <cellStyle name="20% - Accent4 3 3 2 4" xfId="15648" xr:uid="{00000000-0005-0000-0000-00000E1F0000}"/>
    <cellStyle name="20% - Accent4 3 3 2 4 2" xfId="26691" xr:uid="{00000000-0005-0000-0000-00000F1F0000}"/>
    <cellStyle name="20% - Accent4 3 3 2 4 3" xfId="35568" xr:uid="{00000000-0005-0000-0000-0000101F0000}"/>
    <cellStyle name="20% - Accent4 3 3 2 5" xfId="20034" xr:uid="{00000000-0005-0000-0000-0000111F0000}"/>
    <cellStyle name="20% - Accent4 3 3 2 6" xfId="28911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0" xr:uid="{00000000-0005-0000-0000-0000151F0000}"/>
    <cellStyle name="20% - Accent4 3 3 3 2 3" xfId="30397" xr:uid="{00000000-0005-0000-0000-0000161F0000}"/>
    <cellStyle name="20% - Accent4 3 3 3 3" xfId="12465" xr:uid="{00000000-0005-0000-0000-0000171F0000}"/>
    <cellStyle name="20% - Accent4 3 3 3 3 2" xfId="23739" xr:uid="{00000000-0005-0000-0000-0000181F0000}"/>
    <cellStyle name="20% - Accent4 3 3 3 3 3" xfId="32616" xr:uid="{00000000-0005-0000-0000-0000191F0000}"/>
    <cellStyle name="20% - Accent4 3 3 3 4" xfId="14915" xr:uid="{00000000-0005-0000-0000-00001A1F0000}"/>
    <cellStyle name="20% - Accent4 3 3 3 4 2" xfId="25958" xr:uid="{00000000-0005-0000-0000-00001B1F0000}"/>
    <cellStyle name="20% - Accent4 3 3 3 4 3" xfId="34835" xr:uid="{00000000-0005-0000-0000-00001C1F0000}"/>
    <cellStyle name="20% - Accent4 3 3 3 5" xfId="19301" xr:uid="{00000000-0005-0000-0000-00001D1F0000}"/>
    <cellStyle name="20% - Accent4 3 3 3 6" xfId="28178" xr:uid="{00000000-0005-0000-0000-00001E1F0000}"/>
    <cellStyle name="20% - Accent4 3 3 4" xfId="9274" xr:uid="{00000000-0005-0000-0000-00001F1F0000}"/>
    <cellStyle name="20% - Accent4 3 3 4 2" xfId="20777" xr:uid="{00000000-0005-0000-0000-0000201F0000}"/>
    <cellStyle name="20% - Accent4 3 3 4 3" xfId="29654" xr:uid="{00000000-0005-0000-0000-0000211F0000}"/>
    <cellStyle name="20% - Accent4 3 3 5" xfId="11722" xr:uid="{00000000-0005-0000-0000-0000221F0000}"/>
    <cellStyle name="20% - Accent4 3 3 5 2" xfId="22996" xr:uid="{00000000-0005-0000-0000-0000231F0000}"/>
    <cellStyle name="20% - Accent4 3 3 5 3" xfId="31873" xr:uid="{00000000-0005-0000-0000-0000241F0000}"/>
    <cellStyle name="20% - Accent4 3 3 6" xfId="13943" xr:uid="{00000000-0005-0000-0000-0000251F0000}"/>
    <cellStyle name="20% - Accent4 3 3 6 2" xfId="25215" xr:uid="{00000000-0005-0000-0000-0000261F0000}"/>
    <cellStyle name="20% - Accent4 3 3 6 3" xfId="34092" xr:uid="{00000000-0005-0000-0000-0000271F0000}"/>
    <cellStyle name="20% - Accent4 3 3 7" xfId="18552" xr:uid="{00000000-0005-0000-0000-0000281F0000}"/>
    <cellStyle name="20% - Accent4 3 3 8" xfId="27433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4" xr:uid="{00000000-0005-0000-0000-00002D1F0000}"/>
    <cellStyle name="20% - Accent4 3 4 2 2 3" xfId="31131" xr:uid="{00000000-0005-0000-0000-00002E1F0000}"/>
    <cellStyle name="20% - Accent4 3 4 2 3" xfId="13199" xr:uid="{00000000-0005-0000-0000-00002F1F0000}"/>
    <cellStyle name="20% - Accent4 3 4 2 3 2" xfId="24473" xr:uid="{00000000-0005-0000-0000-0000301F0000}"/>
    <cellStyle name="20% - Accent4 3 4 2 3 3" xfId="33350" xr:uid="{00000000-0005-0000-0000-0000311F0000}"/>
    <cellStyle name="20% - Accent4 3 4 2 4" xfId="15649" xr:uid="{00000000-0005-0000-0000-0000321F0000}"/>
    <cellStyle name="20% - Accent4 3 4 2 4 2" xfId="26692" xr:uid="{00000000-0005-0000-0000-0000331F0000}"/>
    <cellStyle name="20% - Accent4 3 4 2 4 3" xfId="35569" xr:uid="{00000000-0005-0000-0000-0000341F0000}"/>
    <cellStyle name="20% - Accent4 3 4 2 5" xfId="20035" xr:uid="{00000000-0005-0000-0000-0000351F0000}"/>
    <cellStyle name="20% - Accent4 3 4 2 6" xfId="28912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1" xr:uid="{00000000-0005-0000-0000-0000391F0000}"/>
    <cellStyle name="20% - Accent4 3 4 3 2 3" xfId="30398" xr:uid="{00000000-0005-0000-0000-00003A1F0000}"/>
    <cellStyle name="20% - Accent4 3 4 3 3" xfId="12466" xr:uid="{00000000-0005-0000-0000-00003B1F0000}"/>
    <cellStyle name="20% - Accent4 3 4 3 3 2" xfId="23740" xr:uid="{00000000-0005-0000-0000-00003C1F0000}"/>
    <cellStyle name="20% - Accent4 3 4 3 3 3" xfId="32617" xr:uid="{00000000-0005-0000-0000-00003D1F0000}"/>
    <cellStyle name="20% - Accent4 3 4 3 4" xfId="14916" xr:uid="{00000000-0005-0000-0000-00003E1F0000}"/>
    <cellStyle name="20% - Accent4 3 4 3 4 2" xfId="25959" xr:uid="{00000000-0005-0000-0000-00003F1F0000}"/>
    <cellStyle name="20% - Accent4 3 4 3 4 3" xfId="34836" xr:uid="{00000000-0005-0000-0000-0000401F0000}"/>
    <cellStyle name="20% - Accent4 3 4 3 5" xfId="19302" xr:uid="{00000000-0005-0000-0000-0000411F0000}"/>
    <cellStyle name="20% - Accent4 3 4 3 6" xfId="28179" xr:uid="{00000000-0005-0000-0000-0000421F0000}"/>
    <cellStyle name="20% - Accent4 3 4 4" xfId="9275" xr:uid="{00000000-0005-0000-0000-0000431F0000}"/>
    <cellStyle name="20% - Accent4 3 4 4 2" xfId="20778" xr:uid="{00000000-0005-0000-0000-0000441F0000}"/>
    <cellStyle name="20% - Accent4 3 4 4 3" xfId="29655" xr:uid="{00000000-0005-0000-0000-0000451F0000}"/>
    <cellStyle name="20% - Accent4 3 4 5" xfId="11723" xr:uid="{00000000-0005-0000-0000-0000461F0000}"/>
    <cellStyle name="20% - Accent4 3 4 5 2" xfId="22997" xr:uid="{00000000-0005-0000-0000-0000471F0000}"/>
    <cellStyle name="20% - Accent4 3 4 5 3" xfId="31874" xr:uid="{00000000-0005-0000-0000-0000481F0000}"/>
    <cellStyle name="20% - Accent4 3 4 6" xfId="13944" xr:uid="{00000000-0005-0000-0000-0000491F0000}"/>
    <cellStyle name="20% - Accent4 3 4 6 2" xfId="25216" xr:uid="{00000000-0005-0000-0000-00004A1F0000}"/>
    <cellStyle name="20% - Accent4 3 4 6 3" xfId="34093" xr:uid="{00000000-0005-0000-0000-00004B1F0000}"/>
    <cellStyle name="20% - Accent4 3 4 7" xfId="18553" xr:uid="{00000000-0005-0000-0000-00004C1F0000}"/>
    <cellStyle name="20% - Accent4 3 4 8" xfId="27434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5" xr:uid="{00000000-0005-0000-0000-0000511F0000}"/>
    <cellStyle name="20% - Accent4 3 5 2 2 3" xfId="31132" xr:uid="{00000000-0005-0000-0000-0000521F0000}"/>
    <cellStyle name="20% - Accent4 3 5 2 3" xfId="13200" xr:uid="{00000000-0005-0000-0000-0000531F0000}"/>
    <cellStyle name="20% - Accent4 3 5 2 3 2" xfId="24474" xr:uid="{00000000-0005-0000-0000-0000541F0000}"/>
    <cellStyle name="20% - Accent4 3 5 2 3 3" xfId="33351" xr:uid="{00000000-0005-0000-0000-0000551F0000}"/>
    <cellStyle name="20% - Accent4 3 5 2 4" xfId="15650" xr:uid="{00000000-0005-0000-0000-0000561F0000}"/>
    <cellStyle name="20% - Accent4 3 5 2 4 2" xfId="26693" xr:uid="{00000000-0005-0000-0000-0000571F0000}"/>
    <cellStyle name="20% - Accent4 3 5 2 4 3" xfId="35570" xr:uid="{00000000-0005-0000-0000-0000581F0000}"/>
    <cellStyle name="20% - Accent4 3 5 2 5" xfId="20036" xr:uid="{00000000-0005-0000-0000-0000591F0000}"/>
    <cellStyle name="20% - Accent4 3 5 2 6" xfId="28913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2" xr:uid="{00000000-0005-0000-0000-00005D1F0000}"/>
    <cellStyle name="20% - Accent4 3 5 3 2 3" xfId="30399" xr:uid="{00000000-0005-0000-0000-00005E1F0000}"/>
    <cellStyle name="20% - Accent4 3 5 3 3" xfId="12467" xr:uid="{00000000-0005-0000-0000-00005F1F0000}"/>
    <cellStyle name="20% - Accent4 3 5 3 3 2" xfId="23741" xr:uid="{00000000-0005-0000-0000-0000601F0000}"/>
    <cellStyle name="20% - Accent4 3 5 3 3 3" xfId="32618" xr:uid="{00000000-0005-0000-0000-0000611F0000}"/>
    <cellStyle name="20% - Accent4 3 5 3 4" xfId="14917" xr:uid="{00000000-0005-0000-0000-0000621F0000}"/>
    <cellStyle name="20% - Accent4 3 5 3 4 2" xfId="25960" xr:uid="{00000000-0005-0000-0000-0000631F0000}"/>
    <cellStyle name="20% - Accent4 3 5 3 4 3" xfId="34837" xr:uid="{00000000-0005-0000-0000-0000641F0000}"/>
    <cellStyle name="20% - Accent4 3 5 3 5" xfId="19303" xr:uid="{00000000-0005-0000-0000-0000651F0000}"/>
    <cellStyle name="20% - Accent4 3 5 3 6" xfId="28180" xr:uid="{00000000-0005-0000-0000-0000661F0000}"/>
    <cellStyle name="20% - Accent4 3 5 4" xfId="9276" xr:uid="{00000000-0005-0000-0000-0000671F0000}"/>
    <cellStyle name="20% - Accent4 3 5 4 2" xfId="20779" xr:uid="{00000000-0005-0000-0000-0000681F0000}"/>
    <cellStyle name="20% - Accent4 3 5 4 3" xfId="29656" xr:uid="{00000000-0005-0000-0000-0000691F0000}"/>
    <cellStyle name="20% - Accent4 3 5 5" xfId="11724" xr:uid="{00000000-0005-0000-0000-00006A1F0000}"/>
    <cellStyle name="20% - Accent4 3 5 5 2" xfId="22998" xr:uid="{00000000-0005-0000-0000-00006B1F0000}"/>
    <cellStyle name="20% - Accent4 3 5 5 3" xfId="31875" xr:uid="{00000000-0005-0000-0000-00006C1F0000}"/>
    <cellStyle name="20% - Accent4 3 5 6" xfId="13945" xr:uid="{00000000-0005-0000-0000-00006D1F0000}"/>
    <cellStyle name="20% - Accent4 3 5 6 2" xfId="25217" xr:uid="{00000000-0005-0000-0000-00006E1F0000}"/>
    <cellStyle name="20% - Accent4 3 5 6 3" xfId="34094" xr:uid="{00000000-0005-0000-0000-00006F1F0000}"/>
    <cellStyle name="20% - Accent4 3 5 7" xfId="18554" xr:uid="{00000000-0005-0000-0000-0000701F0000}"/>
    <cellStyle name="20% - Accent4 3 5 8" xfId="27435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2999" xr:uid="{00000000-0005-0000-0000-00008A1F0000}"/>
    <cellStyle name="20% - Accent4 7 10 3" xfId="31876" xr:uid="{00000000-0005-0000-0000-00008B1F0000}"/>
    <cellStyle name="20% - Accent4 7 11" xfId="13946" xr:uid="{00000000-0005-0000-0000-00008C1F0000}"/>
    <cellStyle name="20% - Accent4 7 11 2" xfId="25218" xr:uid="{00000000-0005-0000-0000-00008D1F0000}"/>
    <cellStyle name="20% - Accent4 7 11 3" xfId="34095" xr:uid="{00000000-0005-0000-0000-00008E1F0000}"/>
    <cellStyle name="20% - Accent4 7 12" xfId="18555" xr:uid="{00000000-0005-0000-0000-00008F1F0000}"/>
    <cellStyle name="20% - Accent4 7 13" xfId="27436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6" xr:uid="{00000000-0005-0000-0000-0000981F0000}"/>
    <cellStyle name="20% - Accent4 7 7 2 3" xfId="31133" xr:uid="{00000000-0005-0000-0000-0000991F0000}"/>
    <cellStyle name="20% - Accent4 7 7 3" xfId="13201" xr:uid="{00000000-0005-0000-0000-00009A1F0000}"/>
    <cellStyle name="20% - Accent4 7 7 3 2" xfId="24475" xr:uid="{00000000-0005-0000-0000-00009B1F0000}"/>
    <cellStyle name="20% - Accent4 7 7 3 3" xfId="33352" xr:uid="{00000000-0005-0000-0000-00009C1F0000}"/>
    <cellStyle name="20% - Accent4 7 7 4" xfId="15651" xr:uid="{00000000-0005-0000-0000-00009D1F0000}"/>
    <cellStyle name="20% - Accent4 7 7 4 2" xfId="26694" xr:uid="{00000000-0005-0000-0000-00009E1F0000}"/>
    <cellStyle name="20% - Accent4 7 7 4 3" xfId="35571" xr:uid="{00000000-0005-0000-0000-00009F1F0000}"/>
    <cellStyle name="20% - Accent4 7 7 5" xfId="20037" xr:uid="{00000000-0005-0000-0000-0000A01F0000}"/>
    <cellStyle name="20% - Accent4 7 7 6" xfId="28914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3" xr:uid="{00000000-0005-0000-0000-0000A41F0000}"/>
    <cellStyle name="20% - Accent4 7 8 2 3" xfId="30400" xr:uid="{00000000-0005-0000-0000-0000A51F0000}"/>
    <cellStyle name="20% - Accent4 7 8 3" xfId="12468" xr:uid="{00000000-0005-0000-0000-0000A61F0000}"/>
    <cellStyle name="20% - Accent4 7 8 3 2" xfId="23742" xr:uid="{00000000-0005-0000-0000-0000A71F0000}"/>
    <cellStyle name="20% - Accent4 7 8 3 3" xfId="32619" xr:uid="{00000000-0005-0000-0000-0000A81F0000}"/>
    <cellStyle name="20% - Accent4 7 8 4" xfId="14918" xr:uid="{00000000-0005-0000-0000-0000A91F0000}"/>
    <cellStyle name="20% - Accent4 7 8 4 2" xfId="25961" xr:uid="{00000000-0005-0000-0000-0000AA1F0000}"/>
    <cellStyle name="20% - Accent4 7 8 4 3" xfId="34838" xr:uid="{00000000-0005-0000-0000-0000AB1F0000}"/>
    <cellStyle name="20% - Accent4 7 8 5" xfId="19304" xr:uid="{00000000-0005-0000-0000-0000AC1F0000}"/>
    <cellStyle name="20% - Accent4 7 8 6" xfId="28181" xr:uid="{00000000-0005-0000-0000-0000AD1F0000}"/>
    <cellStyle name="20% - Accent4 7 9" xfId="9277" xr:uid="{00000000-0005-0000-0000-0000AE1F0000}"/>
    <cellStyle name="20% - Accent4 7 9 2" xfId="20780" xr:uid="{00000000-0005-0000-0000-0000AF1F0000}"/>
    <cellStyle name="20% - Accent4 7 9 3" xfId="29657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5" xr:uid="{00000000-0005-0000-0000-0000C61F0000}"/>
    <cellStyle name="20% - Accent5 17 2 3" xfId="30912" xr:uid="{00000000-0005-0000-0000-0000C71F0000}"/>
    <cellStyle name="20% - Accent5 17 3" xfId="12980" xr:uid="{00000000-0005-0000-0000-0000C81F0000}"/>
    <cellStyle name="20% - Accent5 17 3 2" xfId="24254" xr:uid="{00000000-0005-0000-0000-0000C91F0000}"/>
    <cellStyle name="20% - Accent5 17 3 3" xfId="33131" xr:uid="{00000000-0005-0000-0000-0000CA1F0000}"/>
    <cellStyle name="20% - Accent5 17 4" xfId="15430" xr:uid="{00000000-0005-0000-0000-0000CB1F0000}"/>
    <cellStyle name="20% - Accent5 17 4 2" xfId="26473" xr:uid="{00000000-0005-0000-0000-0000CC1F0000}"/>
    <cellStyle name="20% - Accent5 17 4 3" xfId="35350" xr:uid="{00000000-0005-0000-0000-0000CD1F0000}"/>
    <cellStyle name="20% - Accent5 17 5" xfId="19816" xr:uid="{00000000-0005-0000-0000-0000CE1F0000}"/>
    <cellStyle name="20% - Accent5 17 6" xfId="28693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2" xr:uid="{00000000-0005-0000-0000-0000D21F0000}"/>
    <cellStyle name="20% - Accent5 18 2 3" xfId="30179" xr:uid="{00000000-0005-0000-0000-0000D31F0000}"/>
    <cellStyle name="20% - Accent5 18 3" xfId="12247" xr:uid="{00000000-0005-0000-0000-0000D41F0000}"/>
    <cellStyle name="20% - Accent5 18 3 2" xfId="23521" xr:uid="{00000000-0005-0000-0000-0000D51F0000}"/>
    <cellStyle name="20% - Accent5 18 3 3" xfId="32398" xr:uid="{00000000-0005-0000-0000-0000D61F0000}"/>
    <cellStyle name="20% - Accent5 18 4" xfId="14697" xr:uid="{00000000-0005-0000-0000-0000D71F0000}"/>
    <cellStyle name="20% - Accent5 18 4 2" xfId="25740" xr:uid="{00000000-0005-0000-0000-0000D81F0000}"/>
    <cellStyle name="20% - Accent5 18 4 3" xfId="34617" xr:uid="{00000000-0005-0000-0000-0000D91F0000}"/>
    <cellStyle name="20% - Accent5 18 5" xfId="19083" xr:uid="{00000000-0005-0000-0000-0000DA1F0000}"/>
    <cellStyle name="20% - Accent5 18 6" xfId="27960" xr:uid="{00000000-0005-0000-0000-0000DB1F0000}"/>
    <cellStyle name="20% - Accent5 19" xfId="9054" xr:uid="{00000000-0005-0000-0000-0000DC1F0000}"/>
    <cellStyle name="20% - Accent5 19 2" xfId="20559" xr:uid="{00000000-0005-0000-0000-0000DD1F0000}"/>
    <cellStyle name="20% - Accent5 19 3" xfId="29436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7" xr:uid="{00000000-0005-0000-0000-0000E31F0000}"/>
    <cellStyle name="20% - Accent5 2 10 2 2 3" xfId="31134" xr:uid="{00000000-0005-0000-0000-0000E41F0000}"/>
    <cellStyle name="20% - Accent5 2 10 2 3" xfId="13202" xr:uid="{00000000-0005-0000-0000-0000E51F0000}"/>
    <cellStyle name="20% - Accent5 2 10 2 3 2" xfId="24476" xr:uid="{00000000-0005-0000-0000-0000E61F0000}"/>
    <cellStyle name="20% - Accent5 2 10 2 3 3" xfId="33353" xr:uid="{00000000-0005-0000-0000-0000E71F0000}"/>
    <cellStyle name="20% - Accent5 2 10 2 4" xfId="15652" xr:uid="{00000000-0005-0000-0000-0000E81F0000}"/>
    <cellStyle name="20% - Accent5 2 10 2 4 2" xfId="26695" xr:uid="{00000000-0005-0000-0000-0000E91F0000}"/>
    <cellStyle name="20% - Accent5 2 10 2 4 3" xfId="35572" xr:uid="{00000000-0005-0000-0000-0000EA1F0000}"/>
    <cellStyle name="20% - Accent5 2 10 2 5" xfId="20038" xr:uid="{00000000-0005-0000-0000-0000EB1F0000}"/>
    <cellStyle name="20% - Accent5 2 10 2 6" xfId="28915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4" xr:uid="{00000000-0005-0000-0000-0000EF1F0000}"/>
    <cellStyle name="20% - Accent5 2 10 3 2 3" xfId="30401" xr:uid="{00000000-0005-0000-0000-0000F01F0000}"/>
    <cellStyle name="20% - Accent5 2 10 3 3" xfId="12469" xr:uid="{00000000-0005-0000-0000-0000F11F0000}"/>
    <cellStyle name="20% - Accent5 2 10 3 3 2" xfId="23743" xr:uid="{00000000-0005-0000-0000-0000F21F0000}"/>
    <cellStyle name="20% - Accent5 2 10 3 3 3" xfId="32620" xr:uid="{00000000-0005-0000-0000-0000F31F0000}"/>
    <cellStyle name="20% - Accent5 2 10 3 4" xfId="14919" xr:uid="{00000000-0005-0000-0000-0000F41F0000}"/>
    <cellStyle name="20% - Accent5 2 10 3 4 2" xfId="25962" xr:uid="{00000000-0005-0000-0000-0000F51F0000}"/>
    <cellStyle name="20% - Accent5 2 10 3 4 3" xfId="34839" xr:uid="{00000000-0005-0000-0000-0000F61F0000}"/>
    <cellStyle name="20% - Accent5 2 10 3 5" xfId="19305" xr:uid="{00000000-0005-0000-0000-0000F71F0000}"/>
    <cellStyle name="20% - Accent5 2 10 3 6" xfId="28182" xr:uid="{00000000-0005-0000-0000-0000F81F0000}"/>
    <cellStyle name="20% - Accent5 2 10 4" xfId="9278" xr:uid="{00000000-0005-0000-0000-0000F91F0000}"/>
    <cellStyle name="20% - Accent5 2 10 4 2" xfId="20781" xr:uid="{00000000-0005-0000-0000-0000FA1F0000}"/>
    <cellStyle name="20% - Accent5 2 10 4 3" xfId="29658" xr:uid="{00000000-0005-0000-0000-0000FB1F0000}"/>
    <cellStyle name="20% - Accent5 2 10 5" xfId="11726" xr:uid="{00000000-0005-0000-0000-0000FC1F0000}"/>
    <cellStyle name="20% - Accent5 2 10 5 2" xfId="23000" xr:uid="{00000000-0005-0000-0000-0000FD1F0000}"/>
    <cellStyle name="20% - Accent5 2 10 5 3" xfId="31877" xr:uid="{00000000-0005-0000-0000-0000FE1F0000}"/>
    <cellStyle name="20% - Accent5 2 10 6" xfId="13947" xr:uid="{00000000-0005-0000-0000-0000FF1F0000}"/>
    <cellStyle name="20% - Accent5 2 10 6 2" xfId="25219" xr:uid="{00000000-0005-0000-0000-000000200000}"/>
    <cellStyle name="20% - Accent5 2 10 6 3" xfId="34096" xr:uid="{00000000-0005-0000-0000-000001200000}"/>
    <cellStyle name="20% - Accent5 2 10 7" xfId="18556" xr:uid="{00000000-0005-0000-0000-000002200000}"/>
    <cellStyle name="20% - Accent5 2 10 8" xfId="27437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8" xr:uid="{00000000-0005-0000-0000-000008200000}"/>
    <cellStyle name="20% - Accent5 2 11 2 2 2 3" xfId="31135" xr:uid="{00000000-0005-0000-0000-000009200000}"/>
    <cellStyle name="20% - Accent5 2 11 2 2 3" xfId="13203" xr:uid="{00000000-0005-0000-0000-00000A200000}"/>
    <cellStyle name="20% - Accent5 2 11 2 2 3 2" xfId="24477" xr:uid="{00000000-0005-0000-0000-00000B200000}"/>
    <cellStyle name="20% - Accent5 2 11 2 2 3 3" xfId="33354" xr:uid="{00000000-0005-0000-0000-00000C200000}"/>
    <cellStyle name="20% - Accent5 2 11 2 2 4" xfId="15653" xr:uid="{00000000-0005-0000-0000-00000D200000}"/>
    <cellStyle name="20% - Accent5 2 11 2 2 4 2" xfId="26696" xr:uid="{00000000-0005-0000-0000-00000E200000}"/>
    <cellStyle name="20% - Accent5 2 11 2 2 4 3" xfId="35573" xr:uid="{00000000-0005-0000-0000-00000F200000}"/>
    <cellStyle name="20% - Accent5 2 11 2 2 5" xfId="20039" xr:uid="{00000000-0005-0000-0000-000010200000}"/>
    <cellStyle name="20% - Accent5 2 11 2 2 6" xfId="28916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5" xr:uid="{00000000-0005-0000-0000-000014200000}"/>
    <cellStyle name="20% - Accent5 2 11 2 3 2 3" xfId="30402" xr:uid="{00000000-0005-0000-0000-000015200000}"/>
    <cellStyle name="20% - Accent5 2 11 2 3 3" xfId="12470" xr:uid="{00000000-0005-0000-0000-000016200000}"/>
    <cellStyle name="20% - Accent5 2 11 2 3 3 2" xfId="23744" xr:uid="{00000000-0005-0000-0000-000017200000}"/>
    <cellStyle name="20% - Accent5 2 11 2 3 3 3" xfId="32621" xr:uid="{00000000-0005-0000-0000-000018200000}"/>
    <cellStyle name="20% - Accent5 2 11 2 3 4" xfId="14920" xr:uid="{00000000-0005-0000-0000-000019200000}"/>
    <cellStyle name="20% - Accent5 2 11 2 3 4 2" xfId="25963" xr:uid="{00000000-0005-0000-0000-00001A200000}"/>
    <cellStyle name="20% - Accent5 2 11 2 3 4 3" xfId="34840" xr:uid="{00000000-0005-0000-0000-00001B200000}"/>
    <cellStyle name="20% - Accent5 2 11 2 3 5" xfId="19306" xr:uid="{00000000-0005-0000-0000-00001C200000}"/>
    <cellStyle name="20% - Accent5 2 11 2 3 6" xfId="28183" xr:uid="{00000000-0005-0000-0000-00001D200000}"/>
    <cellStyle name="20% - Accent5 2 11 2 4" xfId="9279" xr:uid="{00000000-0005-0000-0000-00001E200000}"/>
    <cellStyle name="20% - Accent5 2 11 2 4 2" xfId="20782" xr:uid="{00000000-0005-0000-0000-00001F200000}"/>
    <cellStyle name="20% - Accent5 2 11 2 4 3" xfId="29659" xr:uid="{00000000-0005-0000-0000-000020200000}"/>
    <cellStyle name="20% - Accent5 2 11 2 5" xfId="11727" xr:uid="{00000000-0005-0000-0000-000021200000}"/>
    <cellStyle name="20% - Accent5 2 11 2 5 2" xfId="23001" xr:uid="{00000000-0005-0000-0000-000022200000}"/>
    <cellStyle name="20% - Accent5 2 11 2 5 3" xfId="31878" xr:uid="{00000000-0005-0000-0000-000023200000}"/>
    <cellStyle name="20% - Accent5 2 11 2 6" xfId="13948" xr:uid="{00000000-0005-0000-0000-000024200000}"/>
    <cellStyle name="20% - Accent5 2 11 2 6 2" xfId="25220" xr:uid="{00000000-0005-0000-0000-000025200000}"/>
    <cellStyle name="20% - Accent5 2 11 2 6 3" xfId="34097" xr:uid="{00000000-0005-0000-0000-000026200000}"/>
    <cellStyle name="20% - Accent5 2 11 2 7" xfId="18557" xr:uid="{00000000-0005-0000-0000-000027200000}"/>
    <cellStyle name="20% - Accent5 2 11 2 8" xfId="27438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59" xr:uid="{00000000-0005-0000-0000-00002C200000}"/>
    <cellStyle name="20% - Accent5 2 11 3 2 2 3" xfId="31136" xr:uid="{00000000-0005-0000-0000-00002D200000}"/>
    <cellStyle name="20% - Accent5 2 11 3 2 3" xfId="13204" xr:uid="{00000000-0005-0000-0000-00002E200000}"/>
    <cellStyle name="20% - Accent5 2 11 3 2 3 2" xfId="24478" xr:uid="{00000000-0005-0000-0000-00002F200000}"/>
    <cellStyle name="20% - Accent5 2 11 3 2 3 3" xfId="33355" xr:uid="{00000000-0005-0000-0000-000030200000}"/>
    <cellStyle name="20% - Accent5 2 11 3 2 4" xfId="15654" xr:uid="{00000000-0005-0000-0000-000031200000}"/>
    <cellStyle name="20% - Accent5 2 11 3 2 4 2" xfId="26697" xr:uid="{00000000-0005-0000-0000-000032200000}"/>
    <cellStyle name="20% - Accent5 2 11 3 2 4 3" xfId="35574" xr:uid="{00000000-0005-0000-0000-000033200000}"/>
    <cellStyle name="20% - Accent5 2 11 3 2 5" xfId="20040" xr:uid="{00000000-0005-0000-0000-000034200000}"/>
    <cellStyle name="20% - Accent5 2 11 3 2 6" xfId="28917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6" xr:uid="{00000000-0005-0000-0000-000038200000}"/>
    <cellStyle name="20% - Accent5 2 11 3 3 2 3" xfId="30403" xr:uid="{00000000-0005-0000-0000-000039200000}"/>
    <cellStyle name="20% - Accent5 2 11 3 3 3" xfId="12471" xr:uid="{00000000-0005-0000-0000-00003A200000}"/>
    <cellStyle name="20% - Accent5 2 11 3 3 3 2" xfId="23745" xr:uid="{00000000-0005-0000-0000-00003B200000}"/>
    <cellStyle name="20% - Accent5 2 11 3 3 3 3" xfId="32622" xr:uid="{00000000-0005-0000-0000-00003C200000}"/>
    <cellStyle name="20% - Accent5 2 11 3 3 4" xfId="14921" xr:uid="{00000000-0005-0000-0000-00003D200000}"/>
    <cellStyle name="20% - Accent5 2 11 3 3 4 2" xfId="25964" xr:uid="{00000000-0005-0000-0000-00003E200000}"/>
    <cellStyle name="20% - Accent5 2 11 3 3 4 3" xfId="34841" xr:uid="{00000000-0005-0000-0000-00003F200000}"/>
    <cellStyle name="20% - Accent5 2 11 3 3 5" xfId="19307" xr:uid="{00000000-0005-0000-0000-000040200000}"/>
    <cellStyle name="20% - Accent5 2 11 3 3 6" xfId="28184" xr:uid="{00000000-0005-0000-0000-000041200000}"/>
    <cellStyle name="20% - Accent5 2 11 3 4" xfId="9280" xr:uid="{00000000-0005-0000-0000-000042200000}"/>
    <cellStyle name="20% - Accent5 2 11 3 4 2" xfId="20783" xr:uid="{00000000-0005-0000-0000-000043200000}"/>
    <cellStyle name="20% - Accent5 2 11 3 4 3" xfId="29660" xr:uid="{00000000-0005-0000-0000-000044200000}"/>
    <cellStyle name="20% - Accent5 2 11 3 5" xfId="11728" xr:uid="{00000000-0005-0000-0000-000045200000}"/>
    <cellStyle name="20% - Accent5 2 11 3 5 2" xfId="23002" xr:uid="{00000000-0005-0000-0000-000046200000}"/>
    <cellStyle name="20% - Accent5 2 11 3 5 3" xfId="31879" xr:uid="{00000000-0005-0000-0000-000047200000}"/>
    <cellStyle name="20% - Accent5 2 11 3 6" xfId="13949" xr:uid="{00000000-0005-0000-0000-000048200000}"/>
    <cellStyle name="20% - Accent5 2 11 3 6 2" xfId="25221" xr:uid="{00000000-0005-0000-0000-000049200000}"/>
    <cellStyle name="20% - Accent5 2 11 3 6 3" xfId="34098" xr:uid="{00000000-0005-0000-0000-00004A200000}"/>
    <cellStyle name="20% - Accent5 2 11 3 7" xfId="18558" xr:uid="{00000000-0005-0000-0000-00004B200000}"/>
    <cellStyle name="20% - Accent5 2 11 3 8" xfId="27439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0" xr:uid="{00000000-0005-0000-0000-000050200000}"/>
    <cellStyle name="20% - Accent5 2 11 4 2 2 3" xfId="31137" xr:uid="{00000000-0005-0000-0000-000051200000}"/>
    <cellStyle name="20% - Accent5 2 11 4 2 3" xfId="13205" xr:uid="{00000000-0005-0000-0000-000052200000}"/>
    <cellStyle name="20% - Accent5 2 11 4 2 3 2" xfId="24479" xr:uid="{00000000-0005-0000-0000-000053200000}"/>
    <cellStyle name="20% - Accent5 2 11 4 2 3 3" xfId="33356" xr:uid="{00000000-0005-0000-0000-000054200000}"/>
    <cellStyle name="20% - Accent5 2 11 4 2 4" xfId="15655" xr:uid="{00000000-0005-0000-0000-000055200000}"/>
    <cellStyle name="20% - Accent5 2 11 4 2 4 2" xfId="26698" xr:uid="{00000000-0005-0000-0000-000056200000}"/>
    <cellStyle name="20% - Accent5 2 11 4 2 4 3" xfId="35575" xr:uid="{00000000-0005-0000-0000-000057200000}"/>
    <cellStyle name="20% - Accent5 2 11 4 2 5" xfId="20041" xr:uid="{00000000-0005-0000-0000-000058200000}"/>
    <cellStyle name="20% - Accent5 2 11 4 2 6" xfId="28918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7" xr:uid="{00000000-0005-0000-0000-00005C200000}"/>
    <cellStyle name="20% - Accent5 2 11 4 3 2 3" xfId="30404" xr:uid="{00000000-0005-0000-0000-00005D200000}"/>
    <cellStyle name="20% - Accent5 2 11 4 3 3" xfId="12472" xr:uid="{00000000-0005-0000-0000-00005E200000}"/>
    <cellStyle name="20% - Accent5 2 11 4 3 3 2" xfId="23746" xr:uid="{00000000-0005-0000-0000-00005F200000}"/>
    <cellStyle name="20% - Accent5 2 11 4 3 3 3" xfId="32623" xr:uid="{00000000-0005-0000-0000-000060200000}"/>
    <cellStyle name="20% - Accent5 2 11 4 3 4" xfId="14922" xr:uid="{00000000-0005-0000-0000-000061200000}"/>
    <cellStyle name="20% - Accent5 2 11 4 3 4 2" xfId="25965" xr:uid="{00000000-0005-0000-0000-000062200000}"/>
    <cellStyle name="20% - Accent5 2 11 4 3 4 3" xfId="34842" xr:uid="{00000000-0005-0000-0000-000063200000}"/>
    <cellStyle name="20% - Accent5 2 11 4 3 5" xfId="19308" xr:uid="{00000000-0005-0000-0000-000064200000}"/>
    <cellStyle name="20% - Accent5 2 11 4 3 6" xfId="28185" xr:uid="{00000000-0005-0000-0000-000065200000}"/>
    <cellStyle name="20% - Accent5 2 11 4 4" xfId="9281" xr:uid="{00000000-0005-0000-0000-000066200000}"/>
    <cellStyle name="20% - Accent5 2 11 4 4 2" xfId="20784" xr:uid="{00000000-0005-0000-0000-000067200000}"/>
    <cellStyle name="20% - Accent5 2 11 4 4 3" xfId="29661" xr:uid="{00000000-0005-0000-0000-000068200000}"/>
    <cellStyle name="20% - Accent5 2 11 4 5" xfId="11729" xr:uid="{00000000-0005-0000-0000-000069200000}"/>
    <cellStyle name="20% - Accent5 2 11 4 5 2" xfId="23003" xr:uid="{00000000-0005-0000-0000-00006A200000}"/>
    <cellStyle name="20% - Accent5 2 11 4 5 3" xfId="31880" xr:uid="{00000000-0005-0000-0000-00006B200000}"/>
    <cellStyle name="20% - Accent5 2 11 4 6" xfId="13950" xr:uid="{00000000-0005-0000-0000-00006C200000}"/>
    <cellStyle name="20% - Accent5 2 11 4 6 2" xfId="25222" xr:uid="{00000000-0005-0000-0000-00006D200000}"/>
    <cellStyle name="20% - Accent5 2 11 4 6 3" xfId="34099" xr:uid="{00000000-0005-0000-0000-00006E200000}"/>
    <cellStyle name="20% - Accent5 2 11 4 7" xfId="18559" xr:uid="{00000000-0005-0000-0000-00006F200000}"/>
    <cellStyle name="20% - Accent5 2 11 4 8" xfId="27440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1" xr:uid="{00000000-0005-0000-0000-000074200000}"/>
    <cellStyle name="20% - Accent5 2 11 5 2 2 3" xfId="31138" xr:uid="{00000000-0005-0000-0000-000075200000}"/>
    <cellStyle name="20% - Accent5 2 11 5 2 3" xfId="13206" xr:uid="{00000000-0005-0000-0000-000076200000}"/>
    <cellStyle name="20% - Accent5 2 11 5 2 3 2" xfId="24480" xr:uid="{00000000-0005-0000-0000-000077200000}"/>
    <cellStyle name="20% - Accent5 2 11 5 2 3 3" xfId="33357" xr:uid="{00000000-0005-0000-0000-000078200000}"/>
    <cellStyle name="20% - Accent5 2 11 5 2 4" xfId="15656" xr:uid="{00000000-0005-0000-0000-000079200000}"/>
    <cellStyle name="20% - Accent5 2 11 5 2 4 2" xfId="26699" xr:uid="{00000000-0005-0000-0000-00007A200000}"/>
    <cellStyle name="20% - Accent5 2 11 5 2 4 3" xfId="35576" xr:uid="{00000000-0005-0000-0000-00007B200000}"/>
    <cellStyle name="20% - Accent5 2 11 5 2 5" xfId="20042" xr:uid="{00000000-0005-0000-0000-00007C200000}"/>
    <cellStyle name="20% - Accent5 2 11 5 2 6" xfId="28919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8" xr:uid="{00000000-0005-0000-0000-000080200000}"/>
    <cellStyle name="20% - Accent5 2 11 5 3 2 3" xfId="30405" xr:uid="{00000000-0005-0000-0000-000081200000}"/>
    <cellStyle name="20% - Accent5 2 11 5 3 3" xfId="12473" xr:uid="{00000000-0005-0000-0000-000082200000}"/>
    <cellStyle name="20% - Accent5 2 11 5 3 3 2" xfId="23747" xr:uid="{00000000-0005-0000-0000-000083200000}"/>
    <cellStyle name="20% - Accent5 2 11 5 3 3 3" xfId="32624" xr:uid="{00000000-0005-0000-0000-000084200000}"/>
    <cellStyle name="20% - Accent5 2 11 5 3 4" xfId="14923" xr:uid="{00000000-0005-0000-0000-000085200000}"/>
    <cellStyle name="20% - Accent5 2 11 5 3 4 2" xfId="25966" xr:uid="{00000000-0005-0000-0000-000086200000}"/>
    <cellStyle name="20% - Accent5 2 11 5 3 4 3" xfId="34843" xr:uid="{00000000-0005-0000-0000-000087200000}"/>
    <cellStyle name="20% - Accent5 2 11 5 3 5" xfId="19309" xr:uid="{00000000-0005-0000-0000-000088200000}"/>
    <cellStyle name="20% - Accent5 2 11 5 3 6" xfId="28186" xr:uid="{00000000-0005-0000-0000-000089200000}"/>
    <cellStyle name="20% - Accent5 2 11 5 4" xfId="9282" xr:uid="{00000000-0005-0000-0000-00008A200000}"/>
    <cellStyle name="20% - Accent5 2 11 5 4 2" xfId="20785" xr:uid="{00000000-0005-0000-0000-00008B200000}"/>
    <cellStyle name="20% - Accent5 2 11 5 4 3" xfId="29662" xr:uid="{00000000-0005-0000-0000-00008C200000}"/>
    <cellStyle name="20% - Accent5 2 11 5 5" xfId="11730" xr:uid="{00000000-0005-0000-0000-00008D200000}"/>
    <cellStyle name="20% - Accent5 2 11 5 5 2" xfId="23004" xr:uid="{00000000-0005-0000-0000-00008E200000}"/>
    <cellStyle name="20% - Accent5 2 11 5 5 3" xfId="31881" xr:uid="{00000000-0005-0000-0000-00008F200000}"/>
    <cellStyle name="20% - Accent5 2 11 5 6" xfId="13951" xr:uid="{00000000-0005-0000-0000-000090200000}"/>
    <cellStyle name="20% - Accent5 2 11 5 6 2" xfId="25223" xr:uid="{00000000-0005-0000-0000-000091200000}"/>
    <cellStyle name="20% - Accent5 2 11 5 6 3" xfId="34100" xr:uid="{00000000-0005-0000-0000-000092200000}"/>
    <cellStyle name="20% - Accent5 2 11 5 7" xfId="18560" xr:uid="{00000000-0005-0000-0000-000093200000}"/>
    <cellStyle name="20% - Accent5 2 11 5 8" xfId="27441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2" xr:uid="{00000000-0005-0000-0000-00009B200000}"/>
    <cellStyle name="20% - Accent5 2 15 2 2 3" xfId="31139" xr:uid="{00000000-0005-0000-0000-00009C200000}"/>
    <cellStyle name="20% - Accent5 2 15 2 3" xfId="13207" xr:uid="{00000000-0005-0000-0000-00009D200000}"/>
    <cellStyle name="20% - Accent5 2 15 2 3 2" xfId="24481" xr:uid="{00000000-0005-0000-0000-00009E200000}"/>
    <cellStyle name="20% - Accent5 2 15 2 3 3" xfId="33358" xr:uid="{00000000-0005-0000-0000-00009F200000}"/>
    <cellStyle name="20% - Accent5 2 15 2 4" xfId="15657" xr:uid="{00000000-0005-0000-0000-0000A0200000}"/>
    <cellStyle name="20% - Accent5 2 15 2 4 2" xfId="26700" xr:uid="{00000000-0005-0000-0000-0000A1200000}"/>
    <cellStyle name="20% - Accent5 2 15 2 4 3" xfId="35577" xr:uid="{00000000-0005-0000-0000-0000A2200000}"/>
    <cellStyle name="20% - Accent5 2 15 2 5" xfId="20043" xr:uid="{00000000-0005-0000-0000-0000A3200000}"/>
    <cellStyle name="20% - Accent5 2 15 2 6" xfId="28920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29" xr:uid="{00000000-0005-0000-0000-0000A7200000}"/>
    <cellStyle name="20% - Accent5 2 15 3 2 3" xfId="30406" xr:uid="{00000000-0005-0000-0000-0000A8200000}"/>
    <cellStyle name="20% - Accent5 2 15 3 3" xfId="12474" xr:uid="{00000000-0005-0000-0000-0000A9200000}"/>
    <cellStyle name="20% - Accent5 2 15 3 3 2" xfId="23748" xr:uid="{00000000-0005-0000-0000-0000AA200000}"/>
    <cellStyle name="20% - Accent5 2 15 3 3 3" xfId="32625" xr:uid="{00000000-0005-0000-0000-0000AB200000}"/>
    <cellStyle name="20% - Accent5 2 15 3 4" xfId="14924" xr:uid="{00000000-0005-0000-0000-0000AC200000}"/>
    <cellStyle name="20% - Accent5 2 15 3 4 2" xfId="25967" xr:uid="{00000000-0005-0000-0000-0000AD200000}"/>
    <cellStyle name="20% - Accent5 2 15 3 4 3" xfId="34844" xr:uid="{00000000-0005-0000-0000-0000AE200000}"/>
    <cellStyle name="20% - Accent5 2 15 3 5" xfId="19310" xr:uid="{00000000-0005-0000-0000-0000AF200000}"/>
    <cellStyle name="20% - Accent5 2 15 3 6" xfId="28187" xr:uid="{00000000-0005-0000-0000-0000B0200000}"/>
    <cellStyle name="20% - Accent5 2 15 4" xfId="9283" xr:uid="{00000000-0005-0000-0000-0000B1200000}"/>
    <cellStyle name="20% - Accent5 2 15 4 2" xfId="20786" xr:uid="{00000000-0005-0000-0000-0000B2200000}"/>
    <cellStyle name="20% - Accent5 2 15 4 3" xfId="29663" xr:uid="{00000000-0005-0000-0000-0000B3200000}"/>
    <cellStyle name="20% - Accent5 2 15 5" xfId="11731" xr:uid="{00000000-0005-0000-0000-0000B4200000}"/>
    <cellStyle name="20% - Accent5 2 15 5 2" xfId="23005" xr:uid="{00000000-0005-0000-0000-0000B5200000}"/>
    <cellStyle name="20% - Accent5 2 15 5 3" xfId="31882" xr:uid="{00000000-0005-0000-0000-0000B6200000}"/>
    <cellStyle name="20% - Accent5 2 15 6" xfId="13952" xr:uid="{00000000-0005-0000-0000-0000B7200000}"/>
    <cellStyle name="20% - Accent5 2 15 6 2" xfId="25224" xr:uid="{00000000-0005-0000-0000-0000B8200000}"/>
    <cellStyle name="20% - Accent5 2 15 6 3" xfId="34101" xr:uid="{00000000-0005-0000-0000-0000B9200000}"/>
    <cellStyle name="20% - Accent5 2 15 7" xfId="18561" xr:uid="{00000000-0005-0000-0000-0000BA200000}"/>
    <cellStyle name="20% - Accent5 2 15 8" xfId="27442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3" xr:uid="{00000000-0005-0000-0000-0000C0200000}"/>
    <cellStyle name="20% - Accent5 2 2 10 2 3" xfId="31140" xr:uid="{00000000-0005-0000-0000-0000C1200000}"/>
    <cellStyle name="20% - Accent5 2 2 10 3" xfId="13208" xr:uid="{00000000-0005-0000-0000-0000C2200000}"/>
    <cellStyle name="20% - Accent5 2 2 10 3 2" xfId="24482" xr:uid="{00000000-0005-0000-0000-0000C3200000}"/>
    <cellStyle name="20% - Accent5 2 2 10 3 3" xfId="33359" xr:uid="{00000000-0005-0000-0000-0000C4200000}"/>
    <cellStyle name="20% - Accent5 2 2 10 4" xfId="15658" xr:uid="{00000000-0005-0000-0000-0000C5200000}"/>
    <cellStyle name="20% - Accent5 2 2 10 4 2" xfId="26701" xr:uid="{00000000-0005-0000-0000-0000C6200000}"/>
    <cellStyle name="20% - Accent5 2 2 10 4 3" xfId="35578" xr:uid="{00000000-0005-0000-0000-0000C7200000}"/>
    <cellStyle name="20% - Accent5 2 2 10 5" xfId="20044" xr:uid="{00000000-0005-0000-0000-0000C8200000}"/>
    <cellStyle name="20% - Accent5 2 2 10 6" xfId="28921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0" xr:uid="{00000000-0005-0000-0000-0000CC200000}"/>
    <cellStyle name="20% - Accent5 2 2 11 2 3" xfId="30407" xr:uid="{00000000-0005-0000-0000-0000CD200000}"/>
    <cellStyle name="20% - Accent5 2 2 11 3" xfId="12475" xr:uid="{00000000-0005-0000-0000-0000CE200000}"/>
    <cellStyle name="20% - Accent5 2 2 11 3 2" xfId="23749" xr:uid="{00000000-0005-0000-0000-0000CF200000}"/>
    <cellStyle name="20% - Accent5 2 2 11 3 3" xfId="32626" xr:uid="{00000000-0005-0000-0000-0000D0200000}"/>
    <cellStyle name="20% - Accent5 2 2 11 4" xfId="14925" xr:uid="{00000000-0005-0000-0000-0000D1200000}"/>
    <cellStyle name="20% - Accent5 2 2 11 4 2" xfId="25968" xr:uid="{00000000-0005-0000-0000-0000D2200000}"/>
    <cellStyle name="20% - Accent5 2 2 11 4 3" xfId="34845" xr:uid="{00000000-0005-0000-0000-0000D3200000}"/>
    <cellStyle name="20% - Accent5 2 2 11 5" xfId="19311" xr:uid="{00000000-0005-0000-0000-0000D4200000}"/>
    <cellStyle name="20% - Accent5 2 2 11 6" xfId="28188" xr:uid="{00000000-0005-0000-0000-0000D5200000}"/>
    <cellStyle name="20% - Accent5 2 2 12" xfId="9284" xr:uid="{00000000-0005-0000-0000-0000D6200000}"/>
    <cellStyle name="20% - Accent5 2 2 12 2" xfId="20787" xr:uid="{00000000-0005-0000-0000-0000D7200000}"/>
    <cellStyle name="20% - Accent5 2 2 12 3" xfId="29664" xr:uid="{00000000-0005-0000-0000-0000D8200000}"/>
    <cellStyle name="20% - Accent5 2 2 13" xfId="11732" xr:uid="{00000000-0005-0000-0000-0000D9200000}"/>
    <cellStyle name="20% - Accent5 2 2 13 2" xfId="23006" xr:uid="{00000000-0005-0000-0000-0000DA200000}"/>
    <cellStyle name="20% - Accent5 2 2 13 3" xfId="31883" xr:uid="{00000000-0005-0000-0000-0000DB200000}"/>
    <cellStyle name="20% - Accent5 2 2 14" xfId="13953" xr:uid="{00000000-0005-0000-0000-0000DC200000}"/>
    <cellStyle name="20% - Accent5 2 2 14 2" xfId="25225" xr:uid="{00000000-0005-0000-0000-0000DD200000}"/>
    <cellStyle name="20% - Accent5 2 2 14 3" xfId="34102" xr:uid="{00000000-0005-0000-0000-0000DE200000}"/>
    <cellStyle name="20% - Accent5 2 2 15" xfId="18562" xr:uid="{00000000-0005-0000-0000-0000DF200000}"/>
    <cellStyle name="20% - Accent5 2 2 16" xfId="27443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4" xr:uid="{00000000-0005-0000-0000-0000E4200000}"/>
    <cellStyle name="20% - Accent5 2 2 2 2 2 3" xfId="31141" xr:uid="{00000000-0005-0000-0000-0000E5200000}"/>
    <cellStyle name="20% - Accent5 2 2 2 2 3" xfId="13209" xr:uid="{00000000-0005-0000-0000-0000E6200000}"/>
    <cellStyle name="20% - Accent5 2 2 2 2 3 2" xfId="24483" xr:uid="{00000000-0005-0000-0000-0000E7200000}"/>
    <cellStyle name="20% - Accent5 2 2 2 2 3 3" xfId="33360" xr:uid="{00000000-0005-0000-0000-0000E8200000}"/>
    <cellStyle name="20% - Accent5 2 2 2 2 4" xfId="15659" xr:uid="{00000000-0005-0000-0000-0000E9200000}"/>
    <cellStyle name="20% - Accent5 2 2 2 2 4 2" xfId="26702" xr:uid="{00000000-0005-0000-0000-0000EA200000}"/>
    <cellStyle name="20% - Accent5 2 2 2 2 4 3" xfId="35579" xr:uid="{00000000-0005-0000-0000-0000EB200000}"/>
    <cellStyle name="20% - Accent5 2 2 2 2 5" xfId="20045" xr:uid="{00000000-0005-0000-0000-0000EC200000}"/>
    <cellStyle name="20% - Accent5 2 2 2 2 6" xfId="28922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1" xr:uid="{00000000-0005-0000-0000-0000F0200000}"/>
    <cellStyle name="20% - Accent5 2 2 2 3 2 3" xfId="30408" xr:uid="{00000000-0005-0000-0000-0000F1200000}"/>
    <cellStyle name="20% - Accent5 2 2 2 3 3" xfId="12476" xr:uid="{00000000-0005-0000-0000-0000F2200000}"/>
    <cellStyle name="20% - Accent5 2 2 2 3 3 2" xfId="23750" xr:uid="{00000000-0005-0000-0000-0000F3200000}"/>
    <cellStyle name="20% - Accent5 2 2 2 3 3 3" xfId="32627" xr:uid="{00000000-0005-0000-0000-0000F4200000}"/>
    <cellStyle name="20% - Accent5 2 2 2 3 4" xfId="14926" xr:uid="{00000000-0005-0000-0000-0000F5200000}"/>
    <cellStyle name="20% - Accent5 2 2 2 3 4 2" xfId="25969" xr:uid="{00000000-0005-0000-0000-0000F6200000}"/>
    <cellStyle name="20% - Accent5 2 2 2 3 4 3" xfId="34846" xr:uid="{00000000-0005-0000-0000-0000F7200000}"/>
    <cellStyle name="20% - Accent5 2 2 2 3 5" xfId="19312" xr:uid="{00000000-0005-0000-0000-0000F8200000}"/>
    <cellStyle name="20% - Accent5 2 2 2 3 6" xfId="28189" xr:uid="{00000000-0005-0000-0000-0000F9200000}"/>
    <cellStyle name="20% - Accent5 2 2 2 4" xfId="9285" xr:uid="{00000000-0005-0000-0000-0000FA200000}"/>
    <cellStyle name="20% - Accent5 2 2 2 4 2" xfId="20788" xr:uid="{00000000-0005-0000-0000-0000FB200000}"/>
    <cellStyle name="20% - Accent5 2 2 2 4 3" xfId="29665" xr:uid="{00000000-0005-0000-0000-0000FC200000}"/>
    <cellStyle name="20% - Accent5 2 2 2 5" xfId="11733" xr:uid="{00000000-0005-0000-0000-0000FD200000}"/>
    <cellStyle name="20% - Accent5 2 2 2 5 2" xfId="23007" xr:uid="{00000000-0005-0000-0000-0000FE200000}"/>
    <cellStyle name="20% - Accent5 2 2 2 5 3" xfId="31884" xr:uid="{00000000-0005-0000-0000-0000FF200000}"/>
    <cellStyle name="20% - Accent5 2 2 2 6" xfId="13954" xr:uid="{00000000-0005-0000-0000-000000210000}"/>
    <cellStyle name="20% - Accent5 2 2 2 6 2" xfId="25226" xr:uid="{00000000-0005-0000-0000-000001210000}"/>
    <cellStyle name="20% - Accent5 2 2 2 6 3" xfId="34103" xr:uid="{00000000-0005-0000-0000-000002210000}"/>
    <cellStyle name="20% - Accent5 2 2 2 7" xfId="18563" xr:uid="{00000000-0005-0000-0000-000003210000}"/>
    <cellStyle name="20% - Accent5 2 2 2 8" xfId="27444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5" xr:uid="{00000000-0005-0000-0000-000008210000}"/>
    <cellStyle name="20% - Accent5 2 2 3 2 2 3" xfId="31142" xr:uid="{00000000-0005-0000-0000-000009210000}"/>
    <cellStyle name="20% - Accent5 2 2 3 2 3" xfId="13210" xr:uid="{00000000-0005-0000-0000-00000A210000}"/>
    <cellStyle name="20% - Accent5 2 2 3 2 3 2" xfId="24484" xr:uid="{00000000-0005-0000-0000-00000B210000}"/>
    <cellStyle name="20% - Accent5 2 2 3 2 3 3" xfId="33361" xr:uid="{00000000-0005-0000-0000-00000C210000}"/>
    <cellStyle name="20% - Accent5 2 2 3 2 4" xfId="15660" xr:uid="{00000000-0005-0000-0000-00000D210000}"/>
    <cellStyle name="20% - Accent5 2 2 3 2 4 2" xfId="26703" xr:uid="{00000000-0005-0000-0000-00000E210000}"/>
    <cellStyle name="20% - Accent5 2 2 3 2 4 3" xfId="35580" xr:uid="{00000000-0005-0000-0000-00000F210000}"/>
    <cellStyle name="20% - Accent5 2 2 3 2 5" xfId="20046" xr:uid="{00000000-0005-0000-0000-000010210000}"/>
    <cellStyle name="20% - Accent5 2 2 3 2 6" xfId="28923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2" xr:uid="{00000000-0005-0000-0000-000014210000}"/>
    <cellStyle name="20% - Accent5 2 2 3 3 2 3" xfId="30409" xr:uid="{00000000-0005-0000-0000-000015210000}"/>
    <cellStyle name="20% - Accent5 2 2 3 3 3" xfId="12477" xr:uid="{00000000-0005-0000-0000-000016210000}"/>
    <cellStyle name="20% - Accent5 2 2 3 3 3 2" xfId="23751" xr:uid="{00000000-0005-0000-0000-000017210000}"/>
    <cellStyle name="20% - Accent5 2 2 3 3 3 3" xfId="32628" xr:uid="{00000000-0005-0000-0000-000018210000}"/>
    <cellStyle name="20% - Accent5 2 2 3 3 4" xfId="14927" xr:uid="{00000000-0005-0000-0000-000019210000}"/>
    <cellStyle name="20% - Accent5 2 2 3 3 4 2" xfId="25970" xr:uid="{00000000-0005-0000-0000-00001A210000}"/>
    <cellStyle name="20% - Accent5 2 2 3 3 4 3" xfId="34847" xr:uid="{00000000-0005-0000-0000-00001B210000}"/>
    <cellStyle name="20% - Accent5 2 2 3 3 5" xfId="19313" xr:uid="{00000000-0005-0000-0000-00001C210000}"/>
    <cellStyle name="20% - Accent5 2 2 3 3 6" xfId="28190" xr:uid="{00000000-0005-0000-0000-00001D210000}"/>
    <cellStyle name="20% - Accent5 2 2 3 4" xfId="9286" xr:uid="{00000000-0005-0000-0000-00001E210000}"/>
    <cellStyle name="20% - Accent5 2 2 3 4 2" xfId="20789" xr:uid="{00000000-0005-0000-0000-00001F210000}"/>
    <cellStyle name="20% - Accent5 2 2 3 4 3" xfId="29666" xr:uid="{00000000-0005-0000-0000-000020210000}"/>
    <cellStyle name="20% - Accent5 2 2 3 5" xfId="11734" xr:uid="{00000000-0005-0000-0000-000021210000}"/>
    <cellStyle name="20% - Accent5 2 2 3 5 2" xfId="23008" xr:uid="{00000000-0005-0000-0000-000022210000}"/>
    <cellStyle name="20% - Accent5 2 2 3 5 3" xfId="31885" xr:uid="{00000000-0005-0000-0000-000023210000}"/>
    <cellStyle name="20% - Accent5 2 2 3 6" xfId="13955" xr:uid="{00000000-0005-0000-0000-000024210000}"/>
    <cellStyle name="20% - Accent5 2 2 3 6 2" xfId="25227" xr:uid="{00000000-0005-0000-0000-000025210000}"/>
    <cellStyle name="20% - Accent5 2 2 3 6 3" xfId="34104" xr:uid="{00000000-0005-0000-0000-000026210000}"/>
    <cellStyle name="20% - Accent5 2 2 3 7" xfId="18564" xr:uid="{00000000-0005-0000-0000-000027210000}"/>
    <cellStyle name="20% - Accent5 2 2 3 8" xfId="27445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6" xr:uid="{00000000-0005-0000-0000-00002C210000}"/>
    <cellStyle name="20% - Accent5 2 2 4 2 2 3" xfId="31143" xr:uid="{00000000-0005-0000-0000-00002D210000}"/>
    <cellStyle name="20% - Accent5 2 2 4 2 3" xfId="13211" xr:uid="{00000000-0005-0000-0000-00002E210000}"/>
    <cellStyle name="20% - Accent5 2 2 4 2 3 2" xfId="24485" xr:uid="{00000000-0005-0000-0000-00002F210000}"/>
    <cellStyle name="20% - Accent5 2 2 4 2 3 3" xfId="33362" xr:uid="{00000000-0005-0000-0000-000030210000}"/>
    <cellStyle name="20% - Accent5 2 2 4 2 4" xfId="15661" xr:uid="{00000000-0005-0000-0000-000031210000}"/>
    <cellStyle name="20% - Accent5 2 2 4 2 4 2" xfId="26704" xr:uid="{00000000-0005-0000-0000-000032210000}"/>
    <cellStyle name="20% - Accent5 2 2 4 2 4 3" xfId="35581" xr:uid="{00000000-0005-0000-0000-000033210000}"/>
    <cellStyle name="20% - Accent5 2 2 4 2 5" xfId="20047" xr:uid="{00000000-0005-0000-0000-000034210000}"/>
    <cellStyle name="20% - Accent5 2 2 4 2 6" xfId="28924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3" xr:uid="{00000000-0005-0000-0000-000038210000}"/>
    <cellStyle name="20% - Accent5 2 2 4 3 2 3" xfId="30410" xr:uid="{00000000-0005-0000-0000-000039210000}"/>
    <cellStyle name="20% - Accent5 2 2 4 3 3" xfId="12478" xr:uid="{00000000-0005-0000-0000-00003A210000}"/>
    <cellStyle name="20% - Accent5 2 2 4 3 3 2" xfId="23752" xr:uid="{00000000-0005-0000-0000-00003B210000}"/>
    <cellStyle name="20% - Accent5 2 2 4 3 3 3" xfId="32629" xr:uid="{00000000-0005-0000-0000-00003C210000}"/>
    <cellStyle name="20% - Accent5 2 2 4 3 4" xfId="14928" xr:uid="{00000000-0005-0000-0000-00003D210000}"/>
    <cellStyle name="20% - Accent5 2 2 4 3 4 2" xfId="25971" xr:uid="{00000000-0005-0000-0000-00003E210000}"/>
    <cellStyle name="20% - Accent5 2 2 4 3 4 3" xfId="34848" xr:uid="{00000000-0005-0000-0000-00003F210000}"/>
    <cellStyle name="20% - Accent5 2 2 4 3 5" xfId="19314" xr:uid="{00000000-0005-0000-0000-000040210000}"/>
    <cellStyle name="20% - Accent5 2 2 4 3 6" xfId="28191" xr:uid="{00000000-0005-0000-0000-000041210000}"/>
    <cellStyle name="20% - Accent5 2 2 4 4" xfId="9287" xr:uid="{00000000-0005-0000-0000-000042210000}"/>
    <cellStyle name="20% - Accent5 2 2 4 4 2" xfId="20790" xr:uid="{00000000-0005-0000-0000-000043210000}"/>
    <cellStyle name="20% - Accent5 2 2 4 4 3" xfId="29667" xr:uid="{00000000-0005-0000-0000-000044210000}"/>
    <cellStyle name="20% - Accent5 2 2 4 5" xfId="11735" xr:uid="{00000000-0005-0000-0000-000045210000}"/>
    <cellStyle name="20% - Accent5 2 2 4 5 2" xfId="23009" xr:uid="{00000000-0005-0000-0000-000046210000}"/>
    <cellStyle name="20% - Accent5 2 2 4 5 3" xfId="31886" xr:uid="{00000000-0005-0000-0000-000047210000}"/>
    <cellStyle name="20% - Accent5 2 2 4 6" xfId="13956" xr:uid="{00000000-0005-0000-0000-000048210000}"/>
    <cellStyle name="20% - Accent5 2 2 4 6 2" xfId="25228" xr:uid="{00000000-0005-0000-0000-000049210000}"/>
    <cellStyle name="20% - Accent5 2 2 4 6 3" xfId="34105" xr:uid="{00000000-0005-0000-0000-00004A210000}"/>
    <cellStyle name="20% - Accent5 2 2 4 7" xfId="18565" xr:uid="{00000000-0005-0000-0000-00004B210000}"/>
    <cellStyle name="20% - Accent5 2 2 4 8" xfId="27446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7" xr:uid="{00000000-0005-0000-0000-000050210000}"/>
    <cellStyle name="20% - Accent5 2 2 5 2 2 3" xfId="31144" xr:uid="{00000000-0005-0000-0000-000051210000}"/>
    <cellStyle name="20% - Accent5 2 2 5 2 3" xfId="13212" xr:uid="{00000000-0005-0000-0000-000052210000}"/>
    <cellStyle name="20% - Accent5 2 2 5 2 3 2" xfId="24486" xr:uid="{00000000-0005-0000-0000-000053210000}"/>
    <cellStyle name="20% - Accent5 2 2 5 2 3 3" xfId="33363" xr:uid="{00000000-0005-0000-0000-000054210000}"/>
    <cellStyle name="20% - Accent5 2 2 5 2 4" xfId="15662" xr:uid="{00000000-0005-0000-0000-000055210000}"/>
    <cellStyle name="20% - Accent5 2 2 5 2 4 2" xfId="26705" xr:uid="{00000000-0005-0000-0000-000056210000}"/>
    <cellStyle name="20% - Accent5 2 2 5 2 4 3" xfId="35582" xr:uid="{00000000-0005-0000-0000-000057210000}"/>
    <cellStyle name="20% - Accent5 2 2 5 2 5" xfId="20048" xr:uid="{00000000-0005-0000-0000-000058210000}"/>
    <cellStyle name="20% - Accent5 2 2 5 2 6" xfId="28925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4" xr:uid="{00000000-0005-0000-0000-00005C210000}"/>
    <cellStyle name="20% - Accent5 2 2 5 3 2 3" xfId="30411" xr:uid="{00000000-0005-0000-0000-00005D210000}"/>
    <cellStyle name="20% - Accent5 2 2 5 3 3" xfId="12479" xr:uid="{00000000-0005-0000-0000-00005E210000}"/>
    <cellStyle name="20% - Accent5 2 2 5 3 3 2" xfId="23753" xr:uid="{00000000-0005-0000-0000-00005F210000}"/>
    <cellStyle name="20% - Accent5 2 2 5 3 3 3" xfId="32630" xr:uid="{00000000-0005-0000-0000-000060210000}"/>
    <cellStyle name="20% - Accent5 2 2 5 3 4" xfId="14929" xr:uid="{00000000-0005-0000-0000-000061210000}"/>
    <cellStyle name="20% - Accent5 2 2 5 3 4 2" xfId="25972" xr:uid="{00000000-0005-0000-0000-000062210000}"/>
    <cellStyle name="20% - Accent5 2 2 5 3 4 3" xfId="34849" xr:uid="{00000000-0005-0000-0000-000063210000}"/>
    <cellStyle name="20% - Accent5 2 2 5 3 5" xfId="19315" xr:uid="{00000000-0005-0000-0000-000064210000}"/>
    <cellStyle name="20% - Accent5 2 2 5 3 6" xfId="28192" xr:uid="{00000000-0005-0000-0000-000065210000}"/>
    <cellStyle name="20% - Accent5 2 2 5 4" xfId="9288" xr:uid="{00000000-0005-0000-0000-000066210000}"/>
    <cellStyle name="20% - Accent5 2 2 5 4 2" xfId="20791" xr:uid="{00000000-0005-0000-0000-000067210000}"/>
    <cellStyle name="20% - Accent5 2 2 5 4 3" xfId="29668" xr:uid="{00000000-0005-0000-0000-000068210000}"/>
    <cellStyle name="20% - Accent5 2 2 5 5" xfId="11736" xr:uid="{00000000-0005-0000-0000-000069210000}"/>
    <cellStyle name="20% - Accent5 2 2 5 5 2" xfId="23010" xr:uid="{00000000-0005-0000-0000-00006A210000}"/>
    <cellStyle name="20% - Accent5 2 2 5 5 3" xfId="31887" xr:uid="{00000000-0005-0000-0000-00006B210000}"/>
    <cellStyle name="20% - Accent5 2 2 5 6" xfId="13957" xr:uid="{00000000-0005-0000-0000-00006C210000}"/>
    <cellStyle name="20% - Accent5 2 2 5 6 2" xfId="25229" xr:uid="{00000000-0005-0000-0000-00006D210000}"/>
    <cellStyle name="20% - Accent5 2 2 5 6 3" xfId="34106" xr:uid="{00000000-0005-0000-0000-00006E210000}"/>
    <cellStyle name="20% - Accent5 2 2 5 7" xfId="18566" xr:uid="{00000000-0005-0000-0000-00006F210000}"/>
    <cellStyle name="20% - Accent5 2 2 5 8" xfId="27447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8" xr:uid="{00000000-0005-0000-0000-000074210000}"/>
    <cellStyle name="20% - Accent5 2 2 6 2 2 3" xfId="31145" xr:uid="{00000000-0005-0000-0000-000075210000}"/>
    <cellStyle name="20% - Accent5 2 2 6 2 3" xfId="13213" xr:uid="{00000000-0005-0000-0000-000076210000}"/>
    <cellStyle name="20% - Accent5 2 2 6 2 3 2" xfId="24487" xr:uid="{00000000-0005-0000-0000-000077210000}"/>
    <cellStyle name="20% - Accent5 2 2 6 2 3 3" xfId="33364" xr:uid="{00000000-0005-0000-0000-000078210000}"/>
    <cellStyle name="20% - Accent5 2 2 6 2 4" xfId="15663" xr:uid="{00000000-0005-0000-0000-000079210000}"/>
    <cellStyle name="20% - Accent5 2 2 6 2 4 2" xfId="26706" xr:uid="{00000000-0005-0000-0000-00007A210000}"/>
    <cellStyle name="20% - Accent5 2 2 6 2 4 3" xfId="35583" xr:uid="{00000000-0005-0000-0000-00007B210000}"/>
    <cellStyle name="20% - Accent5 2 2 6 2 5" xfId="20049" xr:uid="{00000000-0005-0000-0000-00007C210000}"/>
    <cellStyle name="20% - Accent5 2 2 6 2 6" xfId="28926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5" xr:uid="{00000000-0005-0000-0000-000080210000}"/>
    <cellStyle name="20% - Accent5 2 2 6 3 2 3" xfId="30412" xr:uid="{00000000-0005-0000-0000-000081210000}"/>
    <cellStyle name="20% - Accent5 2 2 6 3 3" xfId="12480" xr:uid="{00000000-0005-0000-0000-000082210000}"/>
    <cellStyle name="20% - Accent5 2 2 6 3 3 2" xfId="23754" xr:uid="{00000000-0005-0000-0000-000083210000}"/>
    <cellStyle name="20% - Accent5 2 2 6 3 3 3" xfId="32631" xr:uid="{00000000-0005-0000-0000-000084210000}"/>
    <cellStyle name="20% - Accent5 2 2 6 3 4" xfId="14930" xr:uid="{00000000-0005-0000-0000-000085210000}"/>
    <cellStyle name="20% - Accent5 2 2 6 3 4 2" xfId="25973" xr:uid="{00000000-0005-0000-0000-000086210000}"/>
    <cellStyle name="20% - Accent5 2 2 6 3 4 3" xfId="34850" xr:uid="{00000000-0005-0000-0000-000087210000}"/>
    <cellStyle name="20% - Accent5 2 2 6 3 5" xfId="19316" xr:uid="{00000000-0005-0000-0000-000088210000}"/>
    <cellStyle name="20% - Accent5 2 2 6 3 6" xfId="28193" xr:uid="{00000000-0005-0000-0000-000089210000}"/>
    <cellStyle name="20% - Accent5 2 2 6 4" xfId="9289" xr:uid="{00000000-0005-0000-0000-00008A210000}"/>
    <cellStyle name="20% - Accent5 2 2 6 4 2" xfId="20792" xr:uid="{00000000-0005-0000-0000-00008B210000}"/>
    <cellStyle name="20% - Accent5 2 2 6 4 3" xfId="29669" xr:uid="{00000000-0005-0000-0000-00008C210000}"/>
    <cellStyle name="20% - Accent5 2 2 6 5" xfId="11737" xr:uid="{00000000-0005-0000-0000-00008D210000}"/>
    <cellStyle name="20% - Accent5 2 2 6 5 2" xfId="23011" xr:uid="{00000000-0005-0000-0000-00008E210000}"/>
    <cellStyle name="20% - Accent5 2 2 6 5 3" xfId="31888" xr:uid="{00000000-0005-0000-0000-00008F210000}"/>
    <cellStyle name="20% - Accent5 2 2 6 6" xfId="13958" xr:uid="{00000000-0005-0000-0000-000090210000}"/>
    <cellStyle name="20% - Accent5 2 2 6 6 2" xfId="25230" xr:uid="{00000000-0005-0000-0000-000091210000}"/>
    <cellStyle name="20% - Accent5 2 2 6 6 3" xfId="34107" xr:uid="{00000000-0005-0000-0000-000092210000}"/>
    <cellStyle name="20% - Accent5 2 2 6 7" xfId="18567" xr:uid="{00000000-0005-0000-0000-000093210000}"/>
    <cellStyle name="20% - Accent5 2 2 6 8" xfId="27448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69" xr:uid="{00000000-0005-0000-0000-000098210000}"/>
    <cellStyle name="20% - Accent5 2 2 7 2 2 3" xfId="31146" xr:uid="{00000000-0005-0000-0000-000099210000}"/>
    <cellStyle name="20% - Accent5 2 2 7 2 3" xfId="13214" xr:uid="{00000000-0005-0000-0000-00009A210000}"/>
    <cellStyle name="20% - Accent5 2 2 7 2 3 2" xfId="24488" xr:uid="{00000000-0005-0000-0000-00009B210000}"/>
    <cellStyle name="20% - Accent5 2 2 7 2 3 3" xfId="33365" xr:uid="{00000000-0005-0000-0000-00009C210000}"/>
    <cellStyle name="20% - Accent5 2 2 7 2 4" xfId="15664" xr:uid="{00000000-0005-0000-0000-00009D210000}"/>
    <cellStyle name="20% - Accent5 2 2 7 2 4 2" xfId="26707" xr:uid="{00000000-0005-0000-0000-00009E210000}"/>
    <cellStyle name="20% - Accent5 2 2 7 2 4 3" xfId="35584" xr:uid="{00000000-0005-0000-0000-00009F210000}"/>
    <cellStyle name="20% - Accent5 2 2 7 2 5" xfId="20050" xr:uid="{00000000-0005-0000-0000-0000A0210000}"/>
    <cellStyle name="20% - Accent5 2 2 7 2 6" xfId="28927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6" xr:uid="{00000000-0005-0000-0000-0000A4210000}"/>
    <cellStyle name="20% - Accent5 2 2 7 3 2 3" xfId="30413" xr:uid="{00000000-0005-0000-0000-0000A5210000}"/>
    <cellStyle name="20% - Accent5 2 2 7 3 3" xfId="12481" xr:uid="{00000000-0005-0000-0000-0000A6210000}"/>
    <cellStyle name="20% - Accent5 2 2 7 3 3 2" xfId="23755" xr:uid="{00000000-0005-0000-0000-0000A7210000}"/>
    <cellStyle name="20% - Accent5 2 2 7 3 3 3" xfId="32632" xr:uid="{00000000-0005-0000-0000-0000A8210000}"/>
    <cellStyle name="20% - Accent5 2 2 7 3 4" xfId="14931" xr:uid="{00000000-0005-0000-0000-0000A9210000}"/>
    <cellStyle name="20% - Accent5 2 2 7 3 4 2" xfId="25974" xr:uid="{00000000-0005-0000-0000-0000AA210000}"/>
    <cellStyle name="20% - Accent5 2 2 7 3 4 3" xfId="34851" xr:uid="{00000000-0005-0000-0000-0000AB210000}"/>
    <cellStyle name="20% - Accent5 2 2 7 3 5" xfId="19317" xr:uid="{00000000-0005-0000-0000-0000AC210000}"/>
    <cellStyle name="20% - Accent5 2 2 7 3 6" xfId="28194" xr:uid="{00000000-0005-0000-0000-0000AD210000}"/>
    <cellStyle name="20% - Accent5 2 2 7 4" xfId="9290" xr:uid="{00000000-0005-0000-0000-0000AE210000}"/>
    <cellStyle name="20% - Accent5 2 2 7 4 2" xfId="20793" xr:uid="{00000000-0005-0000-0000-0000AF210000}"/>
    <cellStyle name="20% - Accent5 2 2 7 4 3" xfId="29670" xr:uid="{00000000-0005-0000-0000-0000B0210000}"/>
    <cellStyle name="20% - Accent5 2 2 7 5" xfId="11738" xr:uid="{00000000-0005-0000-0000-0000B1210000}"/>
    <cellStyle name="20% - Accent5 2 2 7 5 2" xfId="23012" xr:uid="{00000000-0005-0000-0000-0000B2210000}"/>
    <cellStyle name="20% - Accent5 2 2 7 5 3" xfId="31889" xr:uid="{00000000-0005-0000-0000-0000B3210000}"/>
    <cellStyle name="20% - Accent5 2 2 7 6" xfId="13959" xr:uid="{00000000-0005-0000-0000-0000B4210000}"/>
    <cellStyle name="20% - Accent5 2 2 7 6 2" xfId="25231" xr:uid="{00000000-0005-0000-0000-0000B5210000}"/>
    <cellStyle name="20% - Accent5 2 2 7 6 3" xfId="34108" xr:uid="{00000000-0005-0000-0000-0000B6210000}"/>
    <cellStyle name="20% - Accent5 2 2 7 7" xfId="18568" xr:uid="{00000000-0005-0000-0000-0000B7210000}"/>
    <cellStyle name="20% - Accent5 2 2 7 8" xfId="27449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0" xr:uid="{00000000-0005-0000-0000-0000BC210000}"/>
    <cellStyle name="20% - Accent5 2 2 8 2 2 3" xfId="31147" xr:uid="{00000000-0005-0000-0000-0000BD210000}"/>
    <cellStyle name="20% - Accent5 2 2 8 2 3" xfId="13215" xr:uid="{00000000-0005-0000-0000-0000BE210000}"/>
    <cellStyle name="20% - Accent5 2 2 8 2 3 2" xfId="24489" xr:uid="{00000000-0005-0000-0000-0000BF210000}"/>
    <cellStyle name="20% - Accent5 2 2 8 2 3 3" xfId="33366" xr:uid="{00000000-0005-0000-0000-0000C0210000}"/>
    <cellStyle name="20% - Accent5 2 2 8 2 4" xfId="15665" xr:uid="{00000000-0005-0000-0000-0000C1210000}"/>
    <cellStyle name="20% - Accent5 2 2 8 2 4 2" xfId="26708" xr:uid="{00000000-0005-0000-0000-0000C2210000}"/>
    <cellStyle name="20% - Accent5 2 2 8 2 4 3" xfId="35585" xr:uid="{00000000-0005-0000-0000-0000C3210000}"/>
    <cellStyle name="20% - Accent5 2 2 8 2 5" xfId="20051" xr:uid="{00000000-0005-0000-0000-0000C4210000}"/>
    <cellStyle name="20% - Accent5 2 2 8 2 6" xfId="28928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7" xr:uid="{00000000-0005-0000-0000-0000C8210000}"/>
    <cellStyle name="20% - Accent5 2 2 8 3 2 3" xfId="30414" xr:uid="{00000000-0005-0000-0000-0000C9210000}"/>
    <cellStyle name="20% - Accent5 2 2 8 3 3" xfId="12482" xr:uid="{00000000-0005-0000-0000-0000CA210000}"/>
    <cellStyle name="20% - Accent5 2 2 8 3 3 2" xfId="23756" xr:uid="{00000000-0005-0000-0000-0000CB210000}"/>
    <cellStyle name="20% - Accent5 2 2 8 3 3 3" xfId="32633" xr:uid="{00000000-0005-0000-0000-0000CC210000}"/>
    <cellStyle name="20% - Accent5 2 2 8 3 4" xfId="14932" xr:uid="{00000000-0005-0000-0000-0000CD210000}"/>
    <cellStyle name="20% - Accent5 2 2 8 3 4 2" xfId="25975" xr:uid="{00000000-0005-0000-0000-0000CE210000}"/>
    <cellStyle name="20% - Accent5 2 2 8 3 4 3" xfId="34852" xr:uid="{00000000-0005-0000-0000-0000CF210000}"/>
    <cellStyle name="20% - Accent5 2 2 8 3 5" xfId="19318" xr:uid="{00000000-0005-0000-0000-0000D0210000}"/>
    <cellStyle name="20% - Accent5 2 2 8 3 6" xfId="28195" xr:uid="{00000000-0005-0000-0000-0000D1210000}"/>
    <cellStyle name="20% - Accent5 2 2 8 4" xfId="9291" xr:uid="{00000000-0005-0000-0000-0000D2210000}"/>
    <cellStyle name="20% - Accent5 2 2 8 4 2" xfId="20794" xr:uid="{00000000-0005-0000-0000-0000D3210000}"/>
    <cellStyle name="20% - Accent5 2 2 8 4 3" xfId="29671" xr:uid="{00000000-0005-0000-0000-0000D4210000}"/>
    <cellStyle name="20% - Accent5 2 2 8 5" xfId="11739" xr:uid="{00000000-0005-0000-0000-0000D5210000}"/>
    <cellStyle name="20% - Accent5 2 2 8 5 2" xfId="23013" xr:uid="{00000000-0005-0000-0000-0000D6210000}"/>
    <cellStyle name="20% - Accent5 2 2 8 5 3" xfId="31890" xr:uid="{00000000-0005-0000-0000-0000D7210000}"/>
    <cellStyle name="20% - Accent5 2 2 8 6" xfId="13960" xr:uid="{00000000-0005-0000-0000-0000D8210000}"/>
    <cellStyle name="20% - Accent5 2 2 8 6 2" xfId="25232" xr:uid="{00000000-0005-0000-0000-0000D9210000}"/>
    <cellStyle name="20% - Accent5 2 2 8 6 3" xfId="34109" xr:uid="{00000000-0005-0000-0000-0000DA210000}"/>
    <cellStyle name="20% - Accent5 2 2 8 7" xfId="18569" xr:uid="{00000000-0005-0000-0000-0000DB210000}"/>
    <cellStyle name="20% - Accent5 2 2 8 8" xfId="27450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1" xr:uid="{00000000-0005-0000-0000-0000E0210000}"/>
    <cellStyle name="20% - Accent5 2 2 9 2 2 3" xfId="31148" xr:uid="{00000000-0005-0000-0000-0000E1210000}"/>
    <cellStyle name="20% - Accent5 2 2 9 2 3" xfId="13216" xr:uid="{00000000-0005-0000-0000-0000E2210000}"/>
    <cellStyle name="20% - Accent5 2 2 9 2 3 2" xfId="24490" xr:uid="{00000000-0005-0000-0000-0000E3210000}"/>
    <cellStyle name="20% - Accent5 2 2 9 2 3 3" xfId="33367" xr:uid="{00000000-0005-0000-0000-0000E4210000}"/>
    <cellStyle name="20% - Accent5 2 2 9 2 4" xfId="15666" xr:uid="{00000000-0005-0000-0000-0000E5210000}"/>
    <cellStyle name="20% - Accent5 2 2 9 2 4 2" xfId="26709" xr:uid="{00000000-0005-0000-0000-0000E6210000}"/>
    <cellStyle name="20% - Accent5 2 2 9 2 4 3" xfId="35586" xr:uid="{00000000-0005-0000-0000-0000E7210000}"/>
    <cellStyle name="20% - Accent5 2 2 9 2 5" xfId="20052" xr:uid="{00000000-0005-0000-0000-0000E8210000}"/>
    <cellStyle name="20% - Accent5 2 2 9 2 6" xfId="28929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8" xr:uid="{00000000-0005-0000-0000-0000EC210000}"/>
    <cellStyle name="20% - Accent5 2 2 9 3 2 3" xfId="30415" xr:uid="{00000000-0005-0000-0000-0000ED210000}"/>
    <cellStyle name="20% - Accent5 2 2 9 3 3" xfId="12483" xr:uid="{00000000-0005-0000-0000-0000EE210000}"/>
    <cellStyle name="20% - Accent5 2 2 9 3 3 2" xfId="23757" xr:uid="{00000000-0005-0000-0000-0000EF210000}"/>
    <cellStyle name="20% - Accent5 2 2 9 3 3 3" xfId="32634" xr:uid="{00000000-0005-0000-0000-0000F0210000}"/>
    <cellStyle name="20% - Accent5 2 2 9 3 4" xfId="14933" xr:uid="{00000000-0005-0000-0000-0000F1210000}"/>
    <cellStyle name="20% - Accent5 2 2 9 3 4 2" xfId="25976" xr:uid="{00000000-0005-0000-0000-0000F2210000}"/>
    <cellStyle name="20% - Accent5 2 2 9 3 4 3" xfId="34853" xr:uid="{00000000-0005-0000-0000-0000F3210000}"/>
    <cellStyle name="20% - Accent5 2 2 9 3 5" xfId="19319" xr:uid="{00000000-0005-0000-0000-0000F4210000}"/>
    <cellStyle name="20% - Accent5 2 2 9 3 6" xfId="28196" xr:uid="{00000000-0005-0000-0000-0000F5210000}"/>
    <cellStyle name="20% - Accent5 2 2 9 4" xfId="9292" xr:uid="{00000000-0005-0000-0000-0000F6210000}"/>
    <cellStyle name="20% - Accent5 2 2 9 4 2" xfId="20795" xr:uid="{00000000-0005-0000-0000-0000F7210000}"/>
    <cellStyle name="20% - Accent5 2 2 9 4 3" xfId="29672" xr:uid="{00000000-0005-0000-0000-0000F8210000}"/>
    <cellStyle name="20% - Accent5 2 2 9 5" xfId="11740" xr:uid="{00000000-0005-0000-0000-0000F9210000}"/>
    <cellStyle name="20% - Accent5 2 2 9 5 2" xfId="23014" xr:uid="{00000000-0005-0000-0000-0000FA210000}"/>
    <cellStyle name="20% - Accent5 2 2 9 5 3" xfId="31891" xr:uid="{00000000-0005-0000-0000-0000FB210000}"/>
    <cellStyle name="20% - Accent5 2 2 9 6" xfId="13961" xr:uid="{00000000-0005-0000-0000-0000FC210000}"/>
    <cellStyle name="20% - Accent5 2 2 9 6 2" xfId="25233" xr:uid="{00000000-0005-0000-0000-0000FD210000}"/>
    <cellStyle name="20% - Accent5 2 2 9 6 3" xfId="34110" xr:uid="{00000000-0005-0000-0000-0000FE210000}"/>
    <cellStyle name="20% - Accent5 2 2 9 7" xfId="18570" xr:uid="{00000000-0005-0000-0000-0000FF210000}"/>
    <cellStyle name="20% - Accent5 2 2 9 8" xfId="27451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2" xr:uid="{00000000-0005-0000-0000-000004220000}"/>
    <cellStyle name="20% - Accent5 2 3 10 2 3" xfId="31149" xr:uid="{00000000-0005-0000-0000-000005220000}"/>
    <cellStyle name="20% - Accent5 2 3 10 3" xfId="13217" xr:uid="{00000000-0005-0000-0000-000006220000}"/>
    <cellStyle name="20% - Accent5 2 3 10 3 2" xfId="24491" xr:uid="{00000000-0005-0000-0000-000007220000}"/>
    <cellStyle name="20% - Accent5 2 3 10 3 3" xfId="33368" xr:uid="{00000000-0005-0000-0000-000008220000}"/>
    <cellStyle name="20% - Accent5 2 3 10 4" xfId="15667" xr:uid="{00000000-0005-0000-0000-000009220000}"/>
    <cellStyle name="20% - Accent5 2 3 10 4 2" xfId="26710" xr:uid="{00000000-0005-0000-0000-00000A220000}"/>
    <cellStyle name="20% - Accent5 2 3 10 4 3" xfId="35587" xr:uid="{00000000-0005-0000-0000-00000B220000}"/>
    <cellStyle name="20% - Accent5 2 3 10 5" xfId="20053" xr:uid="{00000000-0005-0000-0000-00000C220000}"/>
    <cellStyle name="20% - Accent5 2 3 10 6" xfId="28930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39" xr:uid="{00000000-0005-0000-0000-000010220000}"/>
    <cellStyle name="20% - Accent5 2 3 11 2 3" xfId="30416" xr:uid="{00000000-0005-0000-0000-000011220000}"/>
    <cellStyle name="20% - Accent5 2 3 11 3" xfId="12484" xr:uid="{00000000-0005-0000-0000-000012220000}"/>
    <cellStyle name="20% - Accent5 2 3 11 3 2" xfId="23758" xr:uid="{00000000-0005-0000-0000-000013220000}"/>
    <cellStyle name="20% - Accent5 2 3 11 3 3" xfId="32635" xr:uid="{00000000-0005-0000-0000-000014220000}"/>
    <cellStyle name="20% - Accent5 2 3 11 4" xfId="14934" xr:uid="{00000000-0005-0000-0000-000015220000}"/>
    <cellStyle name="20% - Accent5 2 3 11 4 2" xfId="25977" xr:uid="{00000000-0005-0000-0000-000016220000}"/>
    <cellStyle name="20% - Accent5 2 3 11 4 3" xfId="34854" xr:uid="{00000000-0005-0000-0000-000017220000}"/>
    <cellStyle name="20% - Accent5 2 3 11 5" xfId="19320" xr:uid="{00000000-0005-0000-0000-000018220000}"/>
    <cellStyle name="20% - Accent5 2 3 11 6" xfId="28197" xr:uid="{00000000-0005-0000-0000-000019220000}"/>
    <cellStyle name="20% - Accent5 2 3 12" xfId="9293" xr:uid="{00000000-0005-0000-0000-00001A220000}"/>
    <cellStyle name="20% - Accent5 2 3 12 2" xfId="20796" xr:uid="{00000000-0005-0000-0000-00001B220000}"/>
    <cellStyle name="20% - Accent5 2 3 12 3" xfId="29673" xr:uid="{00000000-0005-0000-0000-00001C220000}"/>
    <cellStyle name="20% - Accent5 2 3 13" xfId="11741" xr:uid="{00000000-0005-0000-0000-00001D220000}"/>
    <cellStyle name="20% - Accent5 2 3 13 2" xfId="23015" xr:uid="{00000000-0005-0000-0000-00001E220000}"/>
    <cellStyle name="20% - Accent5 2 3 13 3" xfId="31892" xr:uid="{00000000-0005-0000-0000-00001F220000}"/>
    <cellStyle name="20% - Accent5 2 3 14" xfId="13962" xr:uid="{00000000-0005-0000-0000-000020220000}"/>
    <cellStyle name="20% - Accent5 2 3 14 2" xfId="25234" xr:uid="{00000000-0005-0000-0000-000021220000}"/>
    <cellStyle name="20% - Accent5 2 3 14 3" xfId="34111" xr:uid="{00000000-0005-0000-0000-000022220000}"/>
    <cellStyle name="20% - Accent5 2 3 15" xfId="18571" xr:uid="{00000000-0005-0000-0000-000023220000}"/>
    <cellStyle name="20% - Accent5 2 3 16" xfId="27452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3" xr:uid="{00000000-0005-0000-0000-000028220000}"/>
    <cellStyle name="20% - Accent5 2 3 2 2 2 3" xfId="31150" xr:uid="{00000000-0005-0000-0000-000029220000}"/>
    <cellStyle name="20% - Accent5 2 3 2 2 3" xfId="13218" xr:uid="{00000000-0005-0000-0000-00002A220000}"/>
    <cellStyle name="20% - Accent5 2 3 2 2 3 2" xfId="24492" xr:uid="{00000000-0005-0000-0000-00002B220000}"/>
    <cellStyle name="20% - Accent5 2 3 2 2 3 3" xfId="33369" xr:uid="{00000000-0005-0000-0000-00002C220000}"/>
    <cellStyle name="20% - Accent5 2 3 2 2 4" xfId="15668" xr:uid="{00000000-0005-0000-0000-00002D220000}"/>
    <cellStyle name="20% - Accent5 2 3 2 2 4 2" xfId="26711" xr:uid="{00000000-0005-0000-0000-00002E220000}"/>
    <cellStyle name="20% - Accent5 2 3 2 2 4 3" xfId="35588" xr:uid="{00000000-0005-0000-0000-00002F220000}"/>
    <cellStyle name="20% - Accent5 2 3 2 2 5" xfId="20054" xr:uid="{00000000-0005-0000-0000-000030220000}"/>
    <cellStyle name="20% - Accent5 2 3 2 2 6" xfId="28931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0" xr:uid="{00000000-0005-0000-0000-000034220000}"/>
    <cellStyle name="20% - Accent5 2 3 2 3 2 3" xfId="30417" xr:uid="{00000000-0005-0000-0000-000035220000}"/>
    <cellStyle name="20% - Accent5 2 3 2 3 3" xfId="12485" xr:uid="{00000000-0005-0000-0000-000036220000}"/>
    <cellStyle name="20% - Accent5 2 3 2 3 3 2" xfId="23759" xr:uid="{00000000-0005-0000-0000-000037220000}"/>
    <cellStyle name="20% - Accent5 2 3 2 3 3 3" xfId="32636" xr:uid="{00000000-0005-0000-0000-000038220000}"/>
    <cellStyle name="20% - Accent5 2 3 2 3 4" xfId="14935" xr:uid="{00000000-0005-0000-0000-000039220000}"/>
    <cellStyle name="20% - Accent5 2 3 2 3 4 2" xfId="25978" xr:uid="{00000000-0005-0000-0000-00003A220000}"/>
    <cellStyle name="20% - Accent5 2 3 2 3 4 3" xfId="34855" xr:uid="{00000000-0005-0000-0000-00003B220000}"/>
    <cellStyle name="20% - Accent5 2 3 2 3 5" xfId="19321" xr:uid="{00000000-0005-0000-0000-00003C220000}"/>
    <cellStyle name="20% - Accent5 2 3 2 3 6" xfId="28198" xr:uid="{00000000-0005-0000-0000-00003D220000}"/>
    <cellStyle name="20% - Accent5 2 3 2 4" xfId="9294" xr:uid="{00000000-0005-0000-0000-00003E220000}"/>
    <cellStyle name="20% - Accent5 2 3 2 4 2" xfId="20797" xr:uid="{00000000-0005-0000-0000-00003F220000}"/>
    <cellStyle name="20% - Accent5 2 3 2 4 3" xfId="29674" xr:uid="{00000000-0005-0000-0000-000040220000}"/>
    <cellStyle name="20% - Accent5 2 3 2 5" xfId="11742" xr:uid="{00000000-0005-0000-0000-000041220000}"/>
    <cellStyle name="20% - Accent5 2 3 2 5 2" xfId="23016" xr:uid="{00000000-0005-0000-0000-000042220000}"/>
    <cellStyle name="20% - Accent5 2 3 2 5 3" xfId="31893" xr:uid="{00000000-0005-0000-0000-000043220000}"/>
    <cellStyle name="20% - Accent5 2 3 2 6" xfId="13963" xr:uid="{00000000-0005-0000-0000-000044220000}"/>
    <cellStyle name="20% - Accent5 2 3 2 6 2" xfId="25235" xr:uid="{00000000-0005-0000-0000-000045220000}"/>
    <cellStyle name="20% - Accent5 2 3 2 6 3" xfId="34112" xr:uid="{00000000-0005-0000-0000-000046220000}"/>
    <cellStyle name="20% - Accent5 2 3 2 7" xfId="18572" xr:uid="{00000000-0005-0000-0000-000047220000}"/>
    <cellStyle name="20% - Accent5 2 3 2 8" xfId="27453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4" xr:uid="{00000000-0005-0000-0000-00004C220000}"/>
    <cellStyle name="20% - Accent5 2 3 3 2 2 3" xfId="31151" xr:uid="{00000000-0005-0000-0000-00004D220000}"/>
    <cellStyle name="20% - Accent5 2 3 3 2 3" xfId="13219" xr:uid="{00000000-0005-0000-0000-00004E220000}"/>
    <cellStyle name="20% - Accent5 2 3 3 2 3 2" xfId="24493" xr:uid="{00000000-0005-0000-0000-00004F220000}"/>
    <cellStyle name="20% - Accent5 2 3 3 2 3 3" xfId="33370" xr:uid="{00000000-0005-0000-0000-000050220000}"/>
    <cellStyle name="20% - Accent5 2 3 3 2 4" xfId="15669" xr:uid="{00000000-0005-0000-0000-000051220000}"/>
    <cellStyle name="20% - Accent5 2 3 3 2 4 2" xfId="26712" xr:uid="{00000000-0005-0000-0000-000052220000}"/>
    <cellStyle name="20% - Accent5 2 3 3 2 4 3" xfId="35589" xr:uid="{00000000-0005-0000-0000-000053220000}"/>
    <cellStyle name="20% - Accent5 2 3 3 2 5" xfId="20055" xr:uid="{00000000-0005-0000-0000-000054220000}"/>
    <cellStyle name="20% - Accent5 2 3 3 2 6" xfId="28932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1" xr:uid="{00000000-0005-0000-0000-000058220000}"/>
    <cellStyle name="20% - Accent5 2 3 3 3 2 3" xfId="30418" xr:uid="{00000000-0005-0000-0000-000059220000}"/>
    <cellStyle name="20% - Accent5 2 3 3 3 3" xfId="12486" xr:uid="{00000000-0005-0000-0000-00005A220000}"/>
    <cellStyle name="20% - Accent5 2 3 3 3 3 2" xfId="23760" xr:uid="{00000000-0005-0000-0000-00005B220000}"/>
    <cellStyle name="20% - Accent5 2 3 3 3 3 3" xfId="32637" xr:uid="{00000000-0005-0000-0000-00005C220000}"/>
    <cellStyle name="20% - Accent5 2 3 3 3 4" xfId="14936" xr:uid="{00000000-0005-0000-0000-00005D220000}"/>
    <cellStyle name="20% - Accent5 2 3 3 3 4 2" xfId="25979" xr:uid="{00000000-0005-0000-0000-00005E220000}"/>
    <cellStyle name="20% - Accent5 2 3 3 3 4 3" xfId="34856" xr:uid="{00000000-0005-0000-0000-00005F220000}"/>
    <cellStyle name="20% - Accent5 2 3 3 3 5" xfId="19322" xr:uid="{00000000-0005-0000-0000-000060220000}"/>
    <cellStyle name="20% - Accent5 2 3 3 3 6" xfId="28199" xr:uid="{00000000-0005-0000-0000-000061220000}"/>
    <cellStyle name="20% - Accent5 2 3 3 4" xfId="9295" xr:uid="{00000000-0005-0000-0000-000062220000}"/>
    <cellStyle name="20% - Accent5 2 3 3 4 2" xfId="20798" xr:uid="{00000000-0005-0000-0000-000063220000}"/>
    <cellStyle name="20% - Accent5 2 3 3 4 3" xfId="29675" xr:uid="{00000000-0005-0000-0000-000064220000}"/>
    <cellStyle name="20% - Accent5 2 3 3 5" xfId="11743" xr:uid="{00000000-0005-0000-0000-000065220000}"/>
    <cellStyle name="20% - Accent5 2 3 3 5 2" xfId="23017" xr:uid="{00000000-0005-0000-0000-000066220000}"/>
    <cellStyle name="20% - Accent5 2 3 3 5 3" xfId="31894" xr:uid="{00000000-0005-0000-0000-000067220000}"/>
    <cellStyle name="20% - Accent5 2 3 3 6" xfId="13964" xr:uid="{00000000-0005-0000-0000-000068220000}"/>
    <cellStyle name="20% - Accent5 2 3 3 6 2" xfId="25236" xr:uid="{00000000-0005-0000-0000-000069220000}"/>
    <cellStyle name="20% - Accent5 2 3 3 6 3" xfId="34113" xr:uid="{00000000-0005-0000-0000-00006A220000}"/>
    <cellStyle name="20% - Accent5 2 3 3 7" xfId="18573" xr:uid="{00000000-0005-0000-0000-00006B220000}"/>
    <cellStyle name="20% - Accent5 2 3 3 8" xfId="27454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5" xr:uid="{00000000-0005-0000-0000-000070220000}"/>
    <cellStyle name="20% - Accent5 2 3 4 2 2 3" xfId="31152" xr:uid="{00000000-0005-0000-0000-000071220000}"/>
    <cellStyle name="20% - Accent5 2 3 4 2 3" xfId="13220" xr:uid="{00000000-0005-0000-0000-000072220000}"/>
    <cellStyle name="20% - Accent5 2 3 4 2 3 2" xfId="24494" xr:uid="{00000000-0005-0000-0000-000073220000}"/>
    <cellStyle name="20% - Accent5 2 3 4 2 3 3" xfId="33371" xr:uid="{00000000-0005-0000-0000-000074220000}"/>
    <cellStyle name="20% - Accent5 2 3 4 2 4" xfId="15670" xr:uid="{00000000-0005-0000-0000-000075220000}"/>
    <cellStyle name="20% - Accent5 2 3 4 2 4 2" xfId="26713" xr:uid="{00000000-0005-0000-0000-000076220000}"/>
    <cellStyle name="20% - Accent5 2 3 4 2 4 3" xfId="35590" xr:uid="{00000000-0005-0000-0000-000077220000}"/>
    <cellStyle name="20% - Accent5 2 3 4 2 5" xfId="20056" xr:uid="{00000000-0005-0000-0000-000078220000}"/>
    <cellStyle name="20% - Accent5 2 3 4 2 6" xfId="28933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2" xr:uid="{00000000-0005-0000-0000-00007C220000}"/>
    <cellStyle name="20% - Accent5 2 3 4 3 2 3" xfId="30419" xr:uid="{00000000-0005-0000-0000-00007D220000}"/>
    <cellStyle name="20% - Accent5 2 3 4 3 3" xfId="12487" xr:uid="{00000000-0005-0000-0000-00007E220000}"/>
    <cellStyle name="20% - Accent5 2 3 4 3 3 2" xfId="23761" xr:uid="{00000000-0005-0000-0000-00007F220000}"/>
    <cellStyle name="20% - Accent5 2 3 4 3 3 3" xfId="32638" xr:uid="{00000000-0005-0000-0000-000080220000}"/>
    <cellStyle name="20% - Accent5 2 3 4 3 4" xfId="14937" xr:uid="{00000000-0005-0000-0000-000081220000}"/>
    <cellStyle name="20% - Accent5 2 3 4 3 4 2" xfId="25980" xr:uid="{00000000-0005-0000-0000-000082220000}"/>
    <cellStyle name="20% - Accent5 2 3 4 3 4 3" xfId="34857" xr:uid="{00000000-0005-0000-0000-000083220000}"/>
    <cellStyle name="20% - Accent5 2 3 4 3 5" xfId="19323" xr:uid="{00000000-0005-0000-0000-000084220000}"/>
    <cellStyle name="20% - Accent5 2 3 4 3 6" xfId="28200" xr:uid="{00000000-0005-0000-0000-000085220000}"/>
    <cellStyle name="20% - Accent5 2 3 4 4" xfId="9296" xr:uid="{00000000-0005-0000-0000-000086220000}"/>
    <cellStyle name="20% - Accent5 2 3 4 4 2" xfId="20799" xr:uid="{00000000-0005-0000-0000-000087220000}"/>
    <cellStyle name="20% - Accent5 2 3 4 4 3" xfId="29676" xr:uid="{00000000-0005-0000-0000-000088220000}"/>
    <cellStyle name="20% - Accent5 2 3 4 5" xfId="11744" xr:uid="{00000000-0005-0000-0000-000089220000}"/>
    <cellStyle name="20% - Accent5 2 3 4 5 2" xfId="23018" xr:uid="{00000000-0005-0000-0000-00008A220000}"/>
    <cellStyle name="20% - Accent5 2 3 4 5 3" xfId="31895" xr:uid="{00000000-0005-0000-0000-00008B220000}"/>
    <cellStyle name="20% - Accent5 2 3 4 6" xfId="13965" xr:uid="{00000000-0005-0000-0000-00008C220000}"/>
    <cellStyle name="20% - Accent5 2 3 4 6 2" xfId="25237" xr:uid="{00000000-0005-0000-0000-00008D220000}"/>
    <cellStyle name="20% - Accent5 2 3 4 6 3" xfId="34114" xr:uid="{00000000-0005-0000-0000-00008E220000}"/>
    <cellStyle name="20% - Accent5 2 3 4 7" xfId="18574" xr:uid="{00000000-0005-0000-0000-00008F220000}"/>
    <cellStyle name="20% - Accent5 2 3 4 8" xfId="27455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6" xr:uid="{00000000-0005-0000-0000-000094220000}"/>
    <cellStyle name="20% - Accent5 2 3 5 2 2 3" xfId="31153" xr:uid="{00000000-0005-0000-0000-000095220000}"/>
    <cellStyle name="20% - Accent5 2 3 5 2 3" xfId="13221" xr:uid="{00000000-0005-0000-0000-000096220000}"/>
    <cellStyle name="20% - Accent5 2 3 5 2 3 2" xfId="24495" xr:uid="{00000000-0005-0000-0000-000097220000}"/>
    <cellStyle name="20% - Accent5 2 3 5 2 3 3" xfId="33372" xr:uid="{00000000-0005-0000-0000-000098220000}"/>
    <cellStyle name="20% - Accent5 2 3 5 2 4" xfId="15671" xr:uid="{00000000-0005-0000-0000-000099220000}"/>
    <cellStyle name="20% - Accent5 2 3 5 2 4 2" xfId="26714" xr:uid="{00000000-0005-0000-0000-00009A220000}"/>
    <cellStyle name="20% - Accent5 2 3 5 2 4 3" xfId="35591" xr:uid="{00000000-0005-0000-0000-00009B220000}"/>
    <cellStyle name="20% - Accent5 2 3 5 2 5" xfId="20057" xr:uid="{00000000-0005-0000-0000-00009C220000}"/>
    <cellStyle name="20% - Accent5 2 3 5 2 6" xfId="28934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3" xr:uid="{00000000-0005-0000-0000-0000A0220000}"/>
    <cellStyle name="20% - Accent5 2 3 5 3 2 3" xfId="30420" xr:uid="{00000000-0005-0000-0000-0000A1220000}"/>
    <cellStyle name="20% - Accent5 2 3 5 3 3" xfId="12488" xr:uid="{00000000-0005-0000-0000-0000A2220000}"/>
    <cellStyle name="20% - Accent5 2 3 5 3 3 2" xfId="23762" xr:uid="{00000000-0005-0000-0000-0000A3220000}"/>
    <cellStyle name="20% - Accent5 2 3 5 3 3 3" xfId="32639" xr:uid="{00000000-0005-0000-0000-0000A4220000}"/>
    <cellStyle name="20% - Accent5 2 3 5 3 4" xfId="14938" xr:uid="{00000000-0005-0000-0000-0000A5220000}"/>
    <cellStyle name="20% - Accent5 2 3 5 3 4 2" xfId="25981" xr:uid="{00000000-0005-0000-0000-0000A6220000}"/>
    <cellStyle name="20% - Accent5 2 3 5 3 4 3" xfId="34858" xr:uid="{00000000-0005-0000-0000-0000A7220000}"/>
    <cellStyle name="20% - Accent5 2 3 5 3 5" xfId="19324" xr:uid="{00000000-0005-0000-0000-0000A8220000}"/>
    <cellStyle name="20% - Accent5 2 3 5 3 6" xfId="28201" xr:uid="{00000000-0005-0000-0000-0000A9220000}"/>
    <cellStyle name="20% - Accent5 2 3 5 4" xfId="9297" xr:uid="{00000000-0005-0000-0000-0000AA220000}"/>
    <cellStyle name="20% - Accent5 2 3 5 4 2" xfId="20800" xr:uid="{00000000-0005-0000-0000-0000AB220000}"/>
    <cellStyle name="20% - Accent5 2 3 5 4 3" xfId="29677" xr:uid="{00000000-0005-0000-0000-0000AC220000}"/>
    <cellStyle name="20% - Accent5 2 3 5 5" xfId="11745" xr:uid="{00000000-0005-0000-0000-0000AD220000}"/>
    <cellStyle name="20% - Accent5 2 3 5 5 2" xfId="23019" xr:uid="{00000000-0005-0000-0000-0000AE220000}"/>
    <cellStyle name="20% - Accent5 2 3 5 5 3" xfId="31896" xr:uid="{00000000-0005-0000-0000-0000AF220000}"/>
    <cellStyle name="20% - Accent5 2 3 5 6" xfId="13966" xr:uid="{00000000-0005-0000-0000-0000B0220000}"/>
    <cellStyle name="20% - Accent5 2 3 5 6 2" xfId="25238" xr:uid="{00000000-0005-0000-0000-0000B1220000}"/>
    <cellStyle name="20% - Accent5 2 3 5 6 3" xfId="34115" xr:uid="{00000000-0005-0000-0000-0000B2220000}"/>
    <cellStyle name="20% - Accent5 2 3 5 7" xfId="18575" xr:uid="{00000000-0005-0000-0000-0000B3220000}"/>
    <cellStyle name="20% - Accent5 2 3 5 8" xfId="27456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7" xr:uid="{00000000-0005-0000-0000-0000B8220000}"/>
    <cellStyle name="20% - Accent5 2 3 6 2 2 3" xfId="31154" xr:uid="{00000000-0005-0000-0000-0000B9220000}"/>
    <cellStyle name="20% - Accent5 2 3 6 2 3" xfId="13222" xr:uid="{00000000-0005-0000-0000-0000BA220000}"/>
    <cellStyle name="20% - Accent5 2 3 6 2 3 2" xfId="24496" xr:uid="{00000000-0005-0000-0000-0000BB220000}"/>
    <cellStyle name="20% - Accent5 2 3 6 2 3 3" xfId="33373" xr:uid="{00000000-0005-0000-0000-0000BC220000}"/>
    <cellStyle name="20% - Accent5 2 3 6 2 4" xfId="15672" xr:uid="{00000000-0005-0000-0000-0000BD220000}"/>
    <cellStyle name="20% - Accent5 2 3 6 2 4 2" xfId="26715" xr:uid="{00000000-0005-0000-0000-0000BE220000}"/>
    <cellStyle name="20% - Accent5 2 3 6 2 4 3" xfId="35592" xr:uid="{00000000-0005-0000-0000-0000BF220000}"/>
    <cellStyle name="20% - Accent5 2 3 6 2 5" xfId="20058" xr:uid="{00000000-0005-0000-0000-0000C0220000}"/>
    <cellStyle name="20% - Accent5 2 3 6 2 6" xfId="28935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4" xr:uid="{00000000-0005-0000-0000-0000C4220000}"/>
    <cellStyle name="20% - Accent5 2 3 6 3 2 3" xfId="30421" xr:uid="{00000000-0005-0000-0000-0000C5220000}"/>
    <cellStyle name="20% - Accent5 2 3 6 3 3" xfId="12489" xr:uid="{00000000-0005-0000-0000-0000C6220000}"/>
    <cellStyle name="20% - Accent5 2 3 6 3 3 2" xfId="23763" xr:uid="{00000000-0005-0000-0000-0000C7220000}"/>
    <cellStyle name="20% - Accent5 2 3 6 3 3 3" xfId="32640" xr:uid="{00000000-0005-0000-0000-0000C8220000}"/>
    <cellStyle name="20% - Accent5 2 3 6 3 4" xfId="14939" xr:uid="{00000000-0005-0000-0000-0000C9220000}"/>
    <cellStyle name="20% - Accent5 2 3 6 3 4 2" xfId="25982" xr:uid="{00000000-0005-0000-0000-0000CA220000}"/>
    <cellStyle name="20% - Accent5 2 3 6 3 4 3" xfId="34859" xr:uid="{00000000-0005-0000-0000-0000CB220000}"/>
    <cellStyle name="20% - Accent5 2 3 6 3 5" xfId="19325" xr:uid="{00000000-0005-0000-0000-0000CC220000}"/>
    <cellStyle name="20% - Accent5 2 3 6 3 6" xfId="28202" xr:uid="{00000000-0005-0000-0000-0000CD220000}"/>
    <cellStyle name="20% - Accent5 2 3 6 4" xfId="9298" xr:uid="{00000000-0005-0000-0000-0000CE220000}"/>
    <cellStyle name="20% - Accent5 2 3 6 4 2" xfId="20801" xr:uid="{00000000-0005-0000-0000-0000CF220000}"/>
    <cellStyle name="20% - Accent5 2 3 6 4 3" xfId="29678" xr:uid="{00000000-0005-0000-0000-0000D0220000}"/>
    <cellStyle name="20% - Accent5 2 3 6 5" xfId="11746" xr:uid="{00000000-0005-0000-0000-0000D1220000}"/>
    <cellStyle name="20% - Accent5 2 3 6 5 2" xfId="23020" xr:uid="{00000000-0005-0000-0000-0000D2220000}"/>
    <cellStyle name="20% - Accent5 2 3 6 5 3" xfId="31897" xr:uid="{00000000-0005-0000-0000-0000D3220000}"/>
    <cellStyle name="20% - Accent5 2 3 6 6" xfId="13967" xr:uid="{00000000-0005-0000-0000-0000D4220000}"/>
    <cellStyle name="20% - Accent5 2 3 6 6 2" xfId="25239" xr:uid="{00000000-0005-0000-0000-0000D5220000}"/>
    <cellStyle name="20% - Accent5 2 3 6 6 3" xfId="34116" xr:uid="{00000000-0005-0000-0000-0000D6220000}"/>
    <cellStyle name="20% - Accent5 2 3 6 7" xfId="18576" xr:uid="{00000000-0005-0000-0000-0000D7220000}"/>
    <cellStyle name="20% - Accent5 2 3 6 8" xfId="27457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8" xr:uid="{00000000-0005-0000-0000-0000DC220000}"/>
    <cellStyle name="20% - Accent5 2 3 7 2 2 3" xfId="31155" xr:uid="{00000000-0005-0000-0000-0000DD220000}"/>
    <cellStyle name="20% - Accent5 2 3 7 2 3" xfId="13223" xr:uid="{00000000-0005-0000-0000-0000DE220000}"/>
    <cellStyle name="20% - Accent5 2 3 7 2 3 2" xfId="24497" xr:uid="{00000000-0005-0000-0000-0000DF220000}"/>
    <cellStyle name="20% - Accent5 2 3 7 2 3 3" xfId="33374" xr:uid="{00000000-0005-0000-0000-0000E0220000}"/>
    <cellStyle name="20% - Accent5 2 3 7 2 4" xfId="15673" xr:uid="{00000000-0005-0000-0000-0000E1220000}"/>
    <cellStyle name="20% - Accent5 2 3 7 2 4 2" xfId="26716" xr:uid="{00000000-0005-0000-0000-0000E2220000}"/>
    <cellStyle name="20% - Accent5 2 3 7 2 4 3" xfId="35593" xr:uid="{00000000-0005-0000-0000-0000E3220000}"/>
    <cellStyle name="20% - Accent5 2 3 7 2 5" xfId="20059" xr:uid="{00000000-0005-0000-0000-0000E4220000}"/>
    <cellStyle name="20% - Accent5 2 3 7 2 6" xfId="28936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5" xr:uid="{00000000-0005-0000-0000-0000E8220000}"/>
    <cellStyle name="20% - Accent5 2 3 7 3 2 3" xfId="30422" xr:uid="{00000000-0005-0000-0000-0000E9220000}"/>
    <cellStyle name="20% - Accent5 2 3 7 3 3" xfId="12490" xr:uid="{00000000-0005-0000-0000-0000EA220000}"/>
    <cellStyle name="20% - Accent5 2 3 7 3 3 2" xfId="23764" xr:uid="{00000000-0005-0000-0000-0000EB220000}"/>
    <cellStyle name="20% - Accent5 2 3 7 3 3 3" xfId="32641" xr:uid="{00000000-0005-0000-0000-0000EC220000}"/>
    <cellStyle name="20% - Accent5 2 3 7 3 4" xfId="14940" xr:uid="{00000000-0005-0000-0000-0000ED220000}"/>
    <cellStyle name="20% - Accent5 2 3 7 3 4 2" xfId="25983" xr:uid="{00000000-0005-0000-0000-0000EE220000}"/>
    <cellStyle name="20% - Accent5 2 3 7 3 4 3" xfId="34860" xr:uid="{00000000-0005-0000-0000-0000EF220000}"/>
    <cellStyle name="20% - Accent5 2 3 7 3 5" xfId="19326" xr:uid="{00000000-0005-0000-0000-0000F0220000}"/>
    <cellStyle name="20% - Accent5 2 3 7 3 6" xfId="28203" xr:uid="{00000000-0005-0000-0000-0000F1220000}"/>
    <cellStyle name="20% - Accent5 2 3 7 4" xfId="9299" xr:uid="{00000000-0005-0000-0000-0000F2220000}"/>
    <cellStyle name="20% - Accent5 2 3 7 4 2" xfId="20802" xr:uid="{00000000-0005-0000-0000-0000F3220000}"/>
    <cellStyle name="20% - Accent5 2 3 7 4 3" xfId="29679" xr:uid="{00000000-0005-0000-0000-0000F4220000}"/>
    <cellStyle name="20% - Accent5 2 3 7 5" xfId="11747" xr:uid="{00000000-0005-0000-0000-0000F5220000}"/>
    <cellStyle name="20% - Accent5 2 3 7 5 2" xfId="23021" xr:uid="{00000000-0005-0000-0000-0000F6220000}"/>
    <cellStyle name="20% - Accent5 2 3 7 5 3" xfId="31898" xr:uid="{00000000-0005-0000-0000-0000F7220000}"/>
    <cellStyle name="20% - Accent5 2 3 7 6" xfId="13968" xr:uid="{00000000-0005-0000-0000-0000F8220000}"/>
    <cellStyle name="20% - Accent5 2 3 7 6 2" xfId="25240" xr:uid="{00000000-0005-0000-0000-0000F9220000}"/>
    <cellStyle name="20% - Accent5 2 3 7 6 3" xfId="34117" xr:uid="{00000000-0005-0000-0000-0000FA220000}"/>
    <cellStyle name="20% - Accent5 2 3 7 7" xfId="18577" xr:uid="{00000000-0005-0000-0000-0000FB220000}"/>
    <cellStyle name="20% - Accent5 2 3 7 8" xfId="27458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79" xr:uid="{00000000-0005-0000-0000-000000230000}"/>
    <cellStyle name="20% - Accent5 2 3 8 2 2 3" xfId="31156" xr:uid="{00000000-0005-0000-0000-000001230000}"/>
    <cellStyle name="20% - Accent5 2 3 8 2 3" xfId="13224" xr:uid="{00000000-0005-0000-0000-000002230000}"/>
    <cellStyle name="20% - Accent5 2 3 8 2 3 2" xfId="24498" xr:uid="{00000000-0005-0000-0000-000003230000}"/>
    <cellStyle name="20% - Accent5 2 3 8 2 3 3" xfId="33375" xr:uid="{00000000-0005-0000-0000-000004230000}"/>
    <cellStyle name="20% - Accent5 2 3 8 2 4" xfId="15674" xr:uid="{00000000-0005-0000-0000-000005230000}"/>
    <cellStyle name="20% - Accent5 2 3 8 2 4 2" xfId="26717" xr:uid="{00000000-0005-0000-0000-000006230000}"/>
    <cellStyle name="20% - Accent5 2 3 8 2 4 3" xfId="35594" xr:uid="{00000000-0005-0000-0000-000007230000}"/>
    <cellStyle name="20% - Accent5 2 3 8 2 5" xfId="20060" xr:uid="{00000000-0005-0000-0000-000008230000}"/>
    <cellStyle name="20% - Accent5 2 3 8 2 6" xfId="28937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6" xr:uid="{00000000-0005-0000-0000-00000C230000}"/>
    <cellStyle name="20% - Accent5 2 3 8 3 2 3" xfId="30423" xr:uid="{00000000-0005-0000-0000-00000D230000}"/>
    <cellStyle name="20% - Accent5 2 3 8 3 3" xfId="12491" xr:uid="{00000000-0005-0000-0000-00000E230000}"/>
    <cellStyle name="20% - Accent5 2 3 8 3 3 2" xfId="23765" xr:uid="{00000000-0005-0000-0000-00000F230000}"/>
    <cellStyle name="20% - Accent5 2 3 8 3 3 3" xfId="32642" xr:uid="{00000000-0005-0000-0000-000010230000}"/>
    <cellStyle name="20% - Accent5 2 3 8 3 4" xfId="14941" xr:uid="{00000000-0005-0000-0000-000011230000}"/>
    <cellStyle name="20% - Accent5 2 3 8 3 4 2" xfId="25984" xr:uid="{00000000-0005-0000-0000-000012230000}"/>
    <cellStyle name="20% - Accent5 2 3 8 3 4 3" xfId="34861" xr:uid="{00000000-0005-0000-0000-000013230000}"/>
    <cellStyle name="20% - Accent5 2 3 8 3 5" xfId="19327" xr:uid="{00000000-0005-0000-0000-000014230000}"/>
    <cellStyle name="20% - Accent5 2 3 8 3 6" xfId="28204" xr:uid="{00000000-0005-0000-0000-000015230000}"/>
    <cellStyle name="20% - Accent5 2 3 8 4" xfId="9300" xr:uid="{00000000-0005-0000-0000-000016230000}"/>
    <cellStyle name="20% - Accent5 2 3 8 4 2" xfId="20803" xr:uid="{00000000-0005-0000-0000-000017230000}"/>
    <cellStyle name="20% - Accent5 2 3 8 4 3" xfId="29680" xr:uid="{00000000-0005-0000-0000-000018230000}"/>
    <cellStyle name="20% - Accent5 2 3 8 5" xfId="11748" xr:uid="{00000000-0005-0000-0000-000019230000}"/>
    <cellStyle name="20% - Accent5 2 3 8 5 2" xfId="23022" xr:uid="{00000000-0005-0000-0000-00001A230000}"/>
    <cellStyle name="20% - Accent5 2 3 8 5 3" xfId="31899" xr:uid="{00000000-0005-0000-0000-00001B230000}"/>
    <cellStyle name="20% - Accent5 2 3 8 6" xfId="13969" xr:uid="{00000000-0005-0000-0000-00001C230000}"/>
    <cellStyle name="20% - Accent5 2 3 8 6 2" xfId="25241" xr:uid="{00000000-0005-0000-0000-00001D230000}"/>
    <cellStyle name="20% - Accent5 2 3 8 6 3" xfId="34118" xr:uid="{00000000-0005-0000-0000-00001E230000}"/>
    <cellStyle name="20% - Accent5 2 3 8 7" xfId="18578" xr:uid="{00000000-0005-0000-0000-00001F230000}"/>
    <cellStyle name="20% - Accent5 2 3 8 8" xfId="27459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0" xr:uid="{00000000-0005-0000-0000-000024230000}"/>
    <cellStyle name="20% - Accent5 2 3 9 2 2 3" xfId="31157" xr:uid="{00000000-0005-0000-0000-000025230000}"/>
    <cellStyle name="20% - Accent5 2 3 9 2 3" xfId="13225" xr:uid="{00000000-0005-0000-0000-000026230000}"/>
    <cellStyle name="20% - Accent5 2 3 9 2 3 2" xfId="24499" xr:uid="{00000000-0005-0000-0000-000027230000}"/>
    <cellStyle name="20% - Accent5 2 3 9 2 3 3" xfId="33376" xr:uid="{00000000-0005-0000-0000-000028230000}"/>
    <cellStyle name="20% - Accent5 2 3 9 2 4" xfId="15675" xr:uid="{00000000-0005-0000-0000-000029230000}"/>
    <cellStyle name="20% - Accent5 2 3 9 2 4 2" xfId="26718" xr:uid="{00000000-0005-0000-0000-00002A230000}"/>
    <cellStyle name="20% - Accent5 2 3 9 2 4 3" xfId="35595" xr:uid="{00000000-0005-0000-0000-00002B230000}"/>
    <cellStyle name="20% - Accent5 2 3 9 2 5" xfId="20061" xr:uid="{00000000-0005-0000-0000-00002C230000}"/>
    <cellStyle name="20% - Accent5 2 3 9 2 6" xfId="28938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7" xr:uid="{00000000-0005-0000-0000-000030230000}"/>
    <cellStyle name="20% - Accent5 2 3 9 3 2 3" xfId="30424" xr:uid="{00000000-0005-0000-0000-000031230000}"/>
    <cellStyle name="20% - Accent5 2 3 9 3 3" xfId="12492" xr:uid="{00000000-0005-0000-0000-000032230000}"/>
    <cellStyle name="20% - Accent5 2 3 9 3 3 2" xfId="23766" xr:uid="{00000000-0005-0000-0000-000033230000}"/>
    <cellStyle name="20% - Accent5 2 3 9 3 3 3" xfId="32643" xr:uid="{00000000-0005-0000-0000-000034230000}"/>
    <cellStyle name="20% - Accent5 2 3 9 3 4" xfId="14942" xr:uid="{00000000-0005-0000-0000-000035230000}"/>
    <cellStyle name="20% - Accent5 2 3 9 3 4 2" xfId="25985" xr:uid="{00000000-0005-0000-0000-000036230000}"/>
    <cellStyle name="20% - Accent5 2 3 9 3 4 3" xfId="34862" xr:uid="{00000000-0005-0000-0000-000037230000}"/>
    <cellStyle name="20% - Accent5 2 3 9 3 5" xfId="19328" xr:uid="{00000000-0005-0000-0000-000038230000}"/>
    <cellStyle name="20% - Accent5 2 3 9 3 6" xfId="28205" xr:uid="{00000000-0005-0000-0000-000039230000}"/>
    <cellStyle name="20% - Accent5 2 3 9 4" xfId="9301" xr:uid="{00000000-0005-0000-0000-00003A230000}"/>
    <cellStyle name="20% - Accent5 2 3 9 4 2" xfId="20804" xr:uid="{00000000-0005-0000-0000-00003B230000}"/>
    <cellStyle name="20% - Accent5 2 3 9 4 3" xfId="29681" xr:uid="{00000000-0005-0000-0000-00003C230000}"/>
    <cellStyle name="20% - Accent5 2 3 9 5" xfId="11749" xr:uid="{00000000-0005-0000-0000-00003D230000}"/>
    <cellStyle name="20% - Accent5 2 3 9 5 2" xfId="23023" xr:uid="{00000000-0005-0000-0000-00003E230000}"/>
    <cellStyle name="20% - Accent5 2 3 9 5 3" xfId="31900" xr:uid="{00000000-0005-0000-0000-00003F230000}"/>
    <cellStyle name="20% - Accent5 2 3 9 6" xfId="13970" xr:uid="{00000000-0005-0000-0000-000040230000}"/>
    <cellStyle name="20% - Accent5 2 3 9 6 2" xfId="25242" xr:uid="{00000000-0005-0000-0000-000041230000}"/>
    <cellStyle name="20% - Accent5 2 3 9 6 3" xfId="34119" xr:uid="{00000000-0005-0000-0000-000042230000}"/>
    <cellStyle name="20% - Accent5 2 3 9 7" xfId="18579" xr:uid="{00000000-0005-0000-0000-000043230000}"/>
    <cellStyle name="20% - Accent5 2 3 9 8" xfId="27460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1" xr:uid="{00000000-0005-0000-0000-000048230000}"/>
    <cellStyle name="20% - Accent5 2 4 10 2 3" xfId="31158" xr:uid="{00000000-0005-0000-0000-000049230000}"/>
    <cellStyle name="20% - Accent5 2 4 10 3" xfId="13226" xr:uid="{00000000-0005-0000-0000-00004A230000}"/>
    <cellStyle name="20% - Accent5 2 4 10 3 2" xfId="24500" xr:uid="{00000000-0005-0000-0000-00004B230000}"/>
    <cellStyle name="20% - Accent5 2 4 10 3 3" xfId="33377" xr:uid="{00000000-0005-0000-0000-00004C230000}"/>
    <cellStyle name="20% - Accent5 2 4 10 4" xfId="15676" xr:uid="{00000000-0005-0000-0000-00004D230000}"/>
    <cellStyle name="20% - Accent5 2 4 10 4 2" xfId="26719" xr:uid="{00000000-0005-0000-0000-00004E230000}"/>
    <cellStyle name="20% - Accent5 2 4 10 4 3" xfId="35596" xr:uid="{00000000-0005-0000-0000-00004F230000}"/>
    <cellStyle name="20% - Accent5 2 4 10 5" xfId="20062" xr:uid="{00000000-0005-0000-0000-000050230000}"/>
    <cellStyle name="20% - Accent5 2 4 10 6" xfId="28939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8" xr:uid="{00000000-0005-0000-0000-000054230000}"/>
    <cellStyle name="20% - Accent5 2 4 11 2 3" xfId="30425" xr:uid="{00000000-0005-0000-0000-000055230000}"/>
    <cellStyle name="20% - Accent5 2 4 11 3" xfId="12493" xr:uid="{00000000-0005-0000-0000-000056230000}"/>
    <cellStyle name="20% - Accent5 2 4 11 3 2" xfId="23767" xr:uid="{00000000-0005-0000-0000-000057230000}"/>
    <cellStyle name="20% - Accent5 2 4 11 3 3" xfId="32644" xr:uid="{00000000-0005-0000-0000-000058230000}"/>
    <cellStyle name="20% - Accent5 2 4 11 4" xfId="14943" xr:uid="{00000000-0005-0000-0000-000059230000}"/>
    <cellStyle name="20% - Accent5 2 4 11 4 2" xfId="25986" xr:uid="{00000000-0005-0000-0000-00005A230000}"/>
    <cellStyle name="20% - Accent5 2 4 11 4 3" xfId="34863" xr:uid="{00000000-0005-0000-0000-00005B230000}"/>
    <cellStyle name="20% - Accent5 2 4 11 5" xfId="19329" xr:uid="{00000000-0005-0000-0000-00005C230000}"/>
    <cellStyle name="20% - Accent5 2 4 11 6" xfId="28206" xr:uid="{00000000-0005-0000-0000-00005D230000}"/>
    <cellStyle name="20% - Accent5 2 4 12" xfId="9302" xr:uid="{00000000-0005-0000-0000-00005E230000}"/>
    <cellStyle name="20% - Accent5 2 4 12 2" xfId="20805" xr:uid="{00000000-0005-0000-0000-00005F230000}"/>
    <cellStyle name="20% - Accent5 2 4 12 3" xfId="29682" xr:uid="{00000000-0005-0000-0000-000060230000}"/>
    <cellStyle name="20% - Accent5 2 4 13" xfId="11750" xr:uid="{00000000-0005-0000-0000-000061230000}"/>
    <cellStyle name="20% - Accent5 2 4 13 2" xfId="23024" xr:uid="{00000000-0005-0000-0000-000062230000}"/>
    <cellStyle name="20% - Accent5 2 4 13 3" xfId="31901" xr:uid="{00000000-0005-0000-0000-000063230000}"/>
    <cellStyle name="20% - Accent5 2 4 14" xfId="13971" xr:uid="{00000000-0005-0000-0000-000064230000}"/>
    <cellStyle name="20% - Accent5 2 4 14 2" xfId="25243" xr:uid="{00000000-0005-0000-0000-000065230000}"/>
    <cellStyle name="20% - Accent5 2 4 14 3" xfId="34120" xr:uid="{00000000-0005-0000-0000-000066230000}"/>
    <cellStyle name="20% - Accent5 2 4 15" xfId="18580" xr:uid="{00000000-0005-0000-0000-000067230000}"/>
    <cellStyle name="20% - Accent5 2 4 16" xfId="27461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2" xr:uid="{00000000-0005-0000-0000-00006C230000}"/>
    <cellStyle name="20% - Accent5 2 4 2 2 2 3" xfId="31159" xr:uid="{00000000-0005-0000-0000-00006D230000}"/>
    <cellStyle name="20% - Accent5 2 4 2 2 3" xfId="13227" xr:uid="{00000000-0005-0000-0000-00006E230000}"/>
    <cellStyle name="20% - Accent5 2 4 2 2 3 2" xfId="24501" xr:uid="{00000000-0005-0000-0000-00006F230000}"/>
    <cellStyle name="20% - Accent5 2 4 2 2 3 3" xfId="33378" xr:uid="{00000000-0005-0000-0000-000070230000}"/>
    <cellStyle name="20% - Accent5 2 4 2 2 4" xfId="15677" xr:uid="{00000000-0005-0000-0000-000071230000}"/>
    <cellStyle name="20% - Accent5 2 4 2 2 4 2" xfId="26720" xr:uid="{00000000-0005-0000-0000-000072230000}"/>
    <cellStyle name="20% - Accent5 2 4 2 2 4 3" xfId="35597" xr:uid="{00000000-0005-0000-0000-000073230000}"/>
    <cellStyle name="20% - Accent5 2 4 2 2 5" xfId="20063" xr:uid="{00000000-0005-0000-0000-000074230000}"/>
    <cellStyle name="20% - Accent5 2 4 2 2 6" xfId="28940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49" xr:uid="{00000000-0005-0000-0000-000078230000}"/>
    <cellStyle name="20% - Accent5 2 4 2 3 2 3" xfId="30426" xr:uid="{00000000-0005-0000-0000-000079230000}"/>
    <cellStyle name="20% - Accent5 2 4 2 3 3" xfId="12494" xr:uid="{00000000-0005-0000-0000-00007A230000}"/>
    <cellStyle name="20% - Accent5 2 4 2 3 3 2" xfId="23768" xr:uid="{00000000-0005-0000-0000-00007B230000}"/>
    <cellStyle name="20% - Accent5 2 4 2 3 3 3" xfId="32645" xr:uid="{00000000-0005-0000-0000-00007C230000}"/>
    <cellStyle name="20% - Accent5 2 4 2 3 4" xfId="14944" xr:uid="{00000000-0005-0000-0000-00007D230000}"/>
    <cellStyle name="20% - Accent5 2 4 2 3 4 2" xfId="25987" xr:uid="{00000000-0005-0000-0000-00007E230000}"/>
    <cellStyle name="20% - Accent5 2 4 2 3 4 3" xfId="34864" xr:uid="{00000000-0005-0000-0000-00007F230000}"/>
    <cellStyle name="20% - Accent5 2 4 2 3 5" xfId="19330" xr:uid="{00000000-0005-0000-0000-000080230000}"/>
    <cellStyle name="20% - Accent5 2 4 2 3 6" xfId="28207" xr:uid="{00000000-0005-0000-0000-000081230000}"/>
    <cellStyle name="20% - Accent5 2 4 2 4" xfId="9303" xr:uid="{00000000-0005-0000-0000-000082230000}"/>
    <cellStyle name="20% - Accent5 2 4 2 4 2" xfId="20806" xr:uid="{00000000-0005-0000-0000-000083230000}"/>
    <cellStyle name="20% - Accent5 2 4 2 4 3" xfId="29683" xr:uid="{00000000-0005-0000-0000-000084230000}"/>
    <cellStyle name="20% - Accent5 2 4 2 5" xfId="11751" xr:uid="{00000000-0005-0000-0000-000085230000}"/>
    <cellStyle name="20% - Accent5 2 4 2 5 2" xfId="23025" xr:uid="{00000000-0005-0000-0000-000086230000}"/>
    <cellStyle name="20% - Accent5 2 4 2 5 3" xfId="31902" xr:uid="{00000000-0005-0000-0000-000087230000}"/>
    <cellStyle name="20% - Accent5 2 4 2 6" xfId="13972" xr:uid="{00000000-0005-0000-0000-000088230000}"/>
    <cellStyle name="20% - Accent5 2 4 2 6 2" xfId="25244" xr:uid="{00000000-0005-0000-0000-000089230000}"/>
    <cellStyle name="20% - Accent5 2 4 2 6 3" xfId="34121" xr:uid="{00000000-0005-0000-0000-00008A230000}"/>
    <cellStyle name="20% - Accent5 2 4 2 7" xfId="18581" xr:uid="{00000000-0005-0000-0000-00008B230000}"/>
    <cellStyle name="20% - Accent5 2 4 2 8" xfId="27462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3" xr:uid="{00000000-0005-0000-0000-000090230000}"/>
    <cellStyle name="20% - Accent5 2 4 3 2 2 3" xfId="31160" xr:uid="{00000000-0005-0000-0000-000091230000}"/>
    <cellStyle name="20% - Accent5 2 4 3 2 3" xfId="13228" xr:uid="{00000000-0005-0000-0000-000092230000}"/>
    <cellStyle name="20% - Accent5 2 4 3 2 3 2" xfId="24502" xr:uid="{00000000-0005-0000-0000-000093230000}"/>
    <cellStyle name="20% - Accent5 2 4 3 2 3 3" xfId="33379" xr:uid="{00000000-0005-0000-0000-000094230000}"/>
    <cellStyle name="20% - Accent5 2 4 3 2 4" xfId="15678" xr:uid="{00000000-0005-0000-0000-000095230000}"/>
    <cellStyle name="20% - Accent5 2 4 3 2 4 2" xfId="26721" xr:uid="{00000000-0005-0000-0000-000096230000}"/>
    <cellStyle name="20% - Accent5 2 4 3 2 4 3" xfId="35598" xr:uid="{00000000-0005-0000-0000-000097230000}"/>
    <cellStyle name="20% - Accent5 2 4 3 2 5" xfId="20064" xr:uid="{00000000-0005-0000-0000-000098230000}"/>
    <cellStyle name="20% - Accent5 2 4 3 2 6" xfId="28941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0" xr:uid="{00000000-0005-0000-0000-00009C230000}"/>
    <cellStyle name="20% - Accent5 2 4 3 3 2 3" xfId="30427" xr:uid="{00000000-0005-0000-0000-00009D230000}"/>
    <cellStyle name="20% - Accent5 2 4 3 3 3" xfId="12495" xr:uid="{00000000-0005-0000-0000-00009E230000}"/>
    <cellStyle name="20% - Accent5 2 4 3 3 3 2" xfId="23769" xr:uid="{00000000-0005-0000-0000-00009F230000}"/>
    <cellStyle name="20% - Accent5 2 4 3 3 3 3" xfId="32646" xr:uid="{00000000-0005-0000-0000-0000A0230000}"/>
    <cellStyle name="20% - Accent5 2 4 3 3 4" xfId="14945" xr:uid="{00000000-0005-0000-0000-0000A1230000}"/>
    <cellStyle name="20% - Accent5 2 4 3 3 4 2" xfId="25988" xr:uid="{00000000-0005-0000-0000-0000A2230000}"/>
    <cellStyle name="20% - Accent5 2 4 3 3 4 3" xfId="34865" xr:uid="{00000000-0005-0000-0000-0000A3230000}"/>
    <cellStyle name="20% - Accent5 2 4 3 3 5" xfId="19331" xr:uid="{00000000-0005-0000-0000-0000A4230000}"/>
    <cellStyle name="20% - Accent5 2 4 3 3 6" xfId="28208" xr:uid="{00000000-0005-0000-0000-0000A5230000}"/>
    <cellStyle name="20% - Accent5 2 4 3 4" xfId="9304" xr:uid="{00000000-0005-0000-0000-0000A6230000}"/>
    <cellStyle name="20% - Accent5 2 4 3 4 2" xfId="20807" xr:uid="{00000000-0005-0000-0000-0000A7230000}"/>
    <cellStyle name="20% - Accent5 2 4 3 4 3" xfId="29684" xr:uid="{00000000-0005-0000-0000-0000A8230000}"/>
    <cellStyle name="20% - Accent5 2 4 3 5" xfId="11752" xr:uid="{00000000-0005-0000-0000-0000A9230000}"/>
    <cellStyle name="20% - Accent5 2 4 3 5 2" xfId="23026" xr:uid="{00000000-0005-0000-0000-0000AA230000}"/>
    <cellStyle name="20% - Accent5 2 4 3 5 3" xfId="31903" xr:uid="{00000000-0005-0000-0000-0000AB230000}"/>
    <cellStyle name="20% - Accent5 2 4 3 6" xfId="13973" xr:uid="{00000000-0005-0000-0000-0000AC230000}"/>
    <cellStyle name="20% - Accent5 2 4 3 6 2" xfId="25245" xr:uid="{00000000-0005-0000-0000-0000AD230000}"/>
    <cellStyle name="20% - Accent5 2 4 3 6 3" xfId="34122" xr:uid="{00000000-0005-0000-0000-0000AE230000}"/>
    <cellStyle name="20% - Accent5 2 4 3 7" xfId="18582" xr:uid="{00000000-0005-0000-0000-0000AF230000}"/>
    <cellStyle name="20% - Accent5 2 4 3 8" xfId="27463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4" xr:uid="{00000000-0005-0000-0000-0000B4230000}"/>
    <cellStyle name="20% - Accent5 2 4 4 2 2 3" xfId="31161" xr:uid="{00000000-0005-0000-0000-0000B5230000}"/>
    <cellStyle name="20% - Accent5 2 4 4 2 3" xfId="13229" xr:uid="{00000000-0005-0000-0000-0000B6230000}"/>
    <cellStyle name="20% - Accent5 2 4 4 2 3 2" xfId="24503" xr:uid="{00000000-0005-0000-0000-0000B7230000}"/>
    <cellStyle name="20% - Accent5 2 4 4 2 3 3" xfId="33380" xr:uid="{00000000-0005-0000-0000-0000B8230000}"/>
    <cellStyle name="20% - Accent5 2 4 4 2 4" xfId="15679" xr:uid="{00000000-0005-0000-0000-0000B9230000}"/>
    <cellStyle name="20% - Accent5 2 4 4 2 4 2" xfId="26722" xr:uid="{00000000-0005-0000-0000-0000BA230000}"/>
    <cellStyle name="20% - Accent5 2 4 4 2 4 3" xfId="35599" xr:uid="{00000000-0005-0000-0000-0000BB230000}"/>
    <cellStyle name="20% - Accent5 2 4 4 2 5" xfId="20065" xr:uid="{00000000-0005-0000-0000-0000BC230000}"/>
    <cellStyle name="20% - Accent5 2 4 4 2 6" xfId="28942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1" xr:uid="{00000000-0005-0000-0000-0000C0230000}"/>
    <cellStyle name="20% - Accent5 2 4 4 3 2 3" xfId="30428" xr:uid="{00000000-0005-0000-0000-0000C1230000}"/>
    <cellStyle name="20% - Accent5 2 4 4 3 3" xfId="12496" xr:uid="{00000000-0005-0000-0000-0000C2230000}"/>
    <cellStyle name="20% - Accent5 2 4 4 3 3 2" xfId="23770" xr:uid="{00000000-0005-0000-0000-0000C3230000}"/>
    <cellStyle name="20% - Accent5 2 4 4 3 3 3" xfId="32647" xr:uid="{00000000-0005-0000-0000-0000C4230000}"/>
    <cellStyle name="20% - Accent5 2 4 4 3 4" xfId="14946" xr:uid="{00000000-0005-0000-0000-0000C5230000}"/>
    <cellStyle name="20% - Accent5 2 4 4 3 4 2" xfId="25989" xr:uid="{00000000-0005-0000-0000-0000C6230000}"/>
    <cellStyle name="20% - Accent5 2 4 4 3 4 3" xfId="34866" xr:uid="{00000000-0005-0000-0000-0000C7230000}"/>
    <cellStyle name="20% - Accent5 2 4 4 3 5" xfId="19332" xr:uid="{00000000-0005-0000-0000-0000C8230000}"/>
    <cellStyle name="20% - Accent5 2 4 4 3 6" xfId="28209" xr:uid="{00000000-0005-0000-0000-0000C9230000}"/>
    <cellStyle name="20% - Accent5 2 4 4 4" xfId="9305" xr:uid="{00000000-0005-0000-0000-0000CA230000}"/>
    <cellStyle name="20% - Accent5 2 4 4 4 2" xfId="20808" xr:uid="{00000000-0005-0000-0000-0000CB230000}"/>
    <cellStyle name="20% - Accent5 2 4 4 4 3" xfId="29685" xr:uid="{00000000-0005-0000-0000-0000CC230000}"/>
    <cellStyle name="20% - Accent5 2 4 4 5" xfId="11753" xr:uid="{00000000-0005-0000-0000-0000CD230000}"/>
    <cellStyle name="20% - Accent5 2 4 4 5 2" xfId="23027" xr:uid="{00000000-0005-0000-0000-0000CE230000}"/>
    <cellStyle name="20% - Accent5 2 4 4 5 3" xfId="31904" xr:uid="{00000000-0005-0000-0000-0000CF230000}"/>
    <cellStyle name="20% - Accent5 2 4 4 6" xfId="13974" xr:uid="{00000000-0005-0000-0000-0000D0230000}"/>
    <cellStyle name="20% - Accent5 2 4 4 6 2" xfId="25246" xr:uid="{00000000-0005-0000-0000-0000D1230000}"/>
    <cellStyle name="20% - Accent5 2 4 4 6 3" xfId="34123" xr:uid="{00000000-0005-0000-0000-0000D2230000}"/>
    <cellStyle name="20% - Accent5 2 4 4 7" xfId="18583" xr:uid="{00000000-0005-0000-0000-0000D3230000}"/>
    <cellStyle name="20% - Accent5 2 4 4 8" xfId="27464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5" xr:uid="{00000000-0005-0000-0000-0000D8230000}"/>
    <cellStyle name="20% - Accent5 2 4 5 2 2 3" xfId="31162" xr:uid="{00000000-0005-0000-0000-0000D9230000}"/>
    <cellStyle name="20% - Accent5 2 4 5 2 3" xfId="13230" xr:uid="{00000000-0005-0000-0000-0000DA230000}"/>
    <cellStyle name="20% - Accent5 2 4 5 2 3 2" xfId="24504" xr:uid="{00000000-0005-0000-0000-0000DB230000}"/>
    <cellStyle name="20% - Accent5 2 4 5 2 3 3" xfId="33381" xr:uid="{00000000-0005-0000-0000-0000DC230000}"/>
    <cellStyle name="20% - Accent5 2 4 5 2 4" xfId="15680" xr:uid="{00000000-0005-0000-0000-0000DD230000}"/>
    <cellStyle name="20% - Accent5 2 4 5 2 4 2" xfId="26723" xr:uid="{00000000-0005-0000-0000-0000DE230000}"/>
    <cellStyle name="20% - Accent5 2 4 5 2 4 3" xfId="35600" xr:uid="{00000000-0005-0000-0000-0000DF230000}"/>
    <cellStyle name="20% - Accent5 2 4 5 2 5" xfId="20066" xr:uid="{00000000-0005-0000-0000-0000E0230000}"/>
    <cellStyle name="20% - Accent5 2 4 5 2 6" xfId="28943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2" xr:uid="{00000000-0005-0000-0000-0000E4230000}"/>
    <cellStyle name="20% - Accent5 2 4 5 3 2 3" xfId="30429" xr:uid="{00000000-0005-0000-0000-0000E5230000}"/>
    <cellStyle name="20% - Accent5 2 4 5 3 3" xfId="12497" xr:uid="{00000000-0005-0000-0000-0000E6230000}"/>
    <cellStyle name="20% - Accent5 2 4 5 3 3 2" xfId="23771" xr:uid="{00000000-0005-0000-0000-0000E7230000}"/>
    <cellStyle name="20% - Accent5 2 4 5 3 3 3" xfId="32648" xr:uid="{00000000-0005-0000-0000-0000E8230000}"/>
    <cellStyle name="20% - Accent5 2 4 5 3 4" xfId="14947" xr:uid="{00000000-0005-0000-0000-0000E9230000}"/>
    <cellStyle name="20% - Accent5 2 4 5 3 4 2" xfId="25990" xr:uid="{00000000-0005-0000-0000-0000EA230000}"/>
    <cellStyle name="20% - Accent5 2 4 5 3 4 3" xfId="34867" xr:uid="{00000000-0005-0000-0000-0000EB230000}"/>
    <cellStyle name="20% - Accent5 2 4 5 3 5" xfId="19333" xr:uid="{00000000-0005-0000-0000-0000EC230000}"/>
    <cellStyle name="20% - Accent5 2 4 5 3 6" xfId="28210" xr:uid="{00000000-0005-0000-0000-0000ED230000}"/>
    <cellStyle name="20% - Accent5 2 4 5 4" xfId="9306" xr:uid="{00000000-0005-0000-0000-0000EE230000}"/>
    <cellStyle name="20% - Accent5 2 4 5 4 2" xfId="20809" xr:uid="{00000000-0005-0000-0000-0000EF230000}"/>
    <cellStyle name="20% - Accent5 2 4 5 4 3" xfId="29686" xr:uid="{00000000-0005-0000-0000-0000F0230000}"/>
    <cellStyle name="20% - Accent5 2 4 5 5" xfId="11754" xr:uid="{00000000-0005-0000-0000-0000F1230000}"/>
    <cellStyle name="20% - Accent5 2 4 5 5 2" xfId="23028" xr:uid="{00000000-0005-0000-0000-0000F2230000}"/>
    <cellStyle name="20% - Accent5 2 4 5 5 3" xfId="31905" xr:uid="{00000000-0005-0000-0000-0000F3230000}"/>
    <cellStyle name="20% - Accent5 2 4 5 6" xfId="13975" xr:uid="{00000000-0005-0000-0000-0000F4230000}"/>
    <cellStyle name="20% - Accent5 2 4 5 6 2" xfId="25247" xr:uid="{00000000-0005-0000-0000-0000F5230000}"/>
    <cellStyle name="20% - Accent5 2 4 5 6 3" xfId="34124" xr:uid="{00000000-0005-0000-0000-0000F6230000}"/>
    <cellStyle name="20% - Accent5 2 4 5 7" xfId="18584" xr:uid="{00000000-0005-0000-0000-0000F7230000}"/>
    <cellStyle name="20% - Accent5 2 4 5 8" xfId="27465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6" xr:uid="{00000000-0005-0000-0000-0000FC230000}"/>
    <cellStyle name="20% - Accent5 2 4 6 2 2 3" xfId="31163" xr:uid="{00000000-0005-0000-0000-0000FD230000}"/>
    <cellStyle name="20% - Accent5 2 4 6 2 3" xfId="13231" xr:uid="{00000000-0005-0000-0000-0000FE230000}"/>
    <cellStyle name="20% - Accent5 2 4 6 2 3 2" xfId="24505" xr:uid="{00000000-0005-0000-0000-0000FF230000}"/>
    <cellStyle name="20% - Accent5 2 4 6 2 3 3" xfId="33382" xr:uid="{00000000-0005-0000-0000-000000240000}"/>
    <cellStyle name="20% - Accent5 2 4 6 2 4" xfId="15681" xr:uid="{00000000-0005-0000-0000-000001240000}"/>
    <cellStyle name="20% - Accent5 2 4 6 2 4 2" xfId="26724" xr:uid="{00000000-0005-0000-0000-000002240000}"/>
    <cellStyle name="20% - Accent5 2 4 6 2 4 3" xfId="35601" xr:uid="{00000000-0005-0000-0000-000003240000}"/>
    <cellStyle name="20% - Accent5 2 4 6 2 5" xfId="20067" xr:uid="{00000000-0005-0000-0000-000004240000}"/>
    <cellStyle name="20% - Accent5 2 4 6 2 6" xfId="28944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3" xr:uid="{00000000-0005-0000-0000-000008240000}"/>
    <cellStyle name="20% - Accent5 2 4 6 3 2 3" xfId="30430" xr:uid="{00000000-0005-0000-0000-000009240000}"/>
    <cellStyle name="20% - Accent5 2 4 6 3 3" xfId="12498" xr:uid="{00000000-0005-0000-0000-00000A240000}"/>
    <cellStyle name="20% - Accent5 2 4 6 3 3 2" xfId="23772" xr:uid="{00000000-0005-0000-0000-00000B240000}"/>
    <cellStyle name="20% - Accent5 2 4 6 3 3 3" xfId="32649" xr:uid="{00000000-0005-0000-0000-00000C240000}"/>
    <cellStyle name="20% - Accent5 2 4 6 3 4" xfId="14948" xr:uid="{00000000-0005-0000-0000-00000D240000}"/>
    <cellStyle name="20% - Accent5 2 4 6 3 4 2" xfId="25991" xr:uid="{00000000-0005-0000-0000-00000E240000}"/>
    <cellStyle name="20% - Accent5 2 4 6 3 4 3" xfId="34868" xr:uid="{00000000-0005-0000-0000-00000F240000}"/>
    <cellStyle name="20% - Accent5 2 4 6 3 5" xfId="19334" xr:uid="{00000000-0005-0000-0000-000010240000}"/>
    <cellStyle name="20% - Accent5 2 4 6 3 6" xfId="28211" xr:uid="{00000000-0005-0000-0000-000011240000}"/>
    <cellStyle name="20% - Accent5 2 4 6 4" xfId="9307" xr:uid="{00000000-0005-0000-0000-000012240000}"/>
    <cellStyle name="20% - Accent5 2 4 6 4 2" xfId="20810" xr:uid="{00000000-0005-0000-0000-000013240000}"/>
    <cellStyle name="20% - Accent5 2 4 6 4 3" xfId="29687" xr:uid="{00000000-0005-0000-0000-000014240000}"/>
    <cellStyle name="20% - Accent5 2 4 6 5" xfId="11755" xr:uid="{00000000-0005-0000-0000-000015240000}"/>
    <cellStyle name="20% - Accent5 2 4 6 5 2" xfId="23029" xr:uid="{00000000-0005-0000-0000-000016240000}"/>
    <cellStyle name="20% - Accent5 2 4 6 5 3" xfId="31906" xr:uid="{00000000-0005-0000-0000-000017240000}"/>
    <cellStyle name="20% - Accent5 2 4 6 6" xfId="13976" xr:uid="{00000000-0005-0000-0000-000018240000}"/>
    <cellStyle name="20% - Accent5 2 4 6 6 2" xfId="25248" xr:uid="{00000000-0005-0000-0000-000019240000}"/>
    <cellStyle name="20% - Accent5 2 4 6 6 3" xfId="34125" xr:uid="{00000000-0005-0000-0000-00001A240000}"/>
    <cellStyle name="20% - Accent5 2 4 6 7" xfId="18585" xr:uid="{00000000-0005-0000-0000-00001B240000}"/>
    <cellStyle name="20% - Accent5 2 4 6 8" xfId="27466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7" xr:uid="{00000000-0005-0000-0000-000020240000}"/>
    <cellStyle name="20% - Accent5 2 4 7 2 2 3" xfId="31164" xr:uid="{00000000-0005-0000-0000-000021240000}"/>
    <cellStyle name="20% - Accent5 2 4 7 2 3" xfId="13232" xr:uid="{00000000-0005-0000-0000-000022240000}"/>
    <cellStyle name="20% - Accent5 2 4 7 2 3 2" xfId="24506" xr:uid="{00000000-0005-0000-0000-000023240000}"/>
    <cellStyle name="20% - Accent5 2 4 7 2 3 3" xfId="33383" xr:uid="{00000000-0005-0000-0000-000024240000}"/>
    <cellStyle name="20% - Accent5 2 4 7 2 4" xfId="15682" xr:uid="{00000000-0005-0000-0000-000025240000}"/>
    <cellStyle name="20% - Accent5 2 4 7 2 4 2" xfId="26725" xr:uid="{00000000-0005-0000-0000-000026240000}"/>
    <cellStyle name="20% - Accent5 2 4 7 2 4 3" xfId="35602" xr:uid="{00000000-0005-0000-0000-000027240000}"/>
    <cellStyle name="20% - Accent5 2 4 7 2 5" xfId="20068" xr:uid="{00000000-0005-0000-0000-000028240000}"/>
    <cellStyle name="20% - Accent5 2 4 7 2 6" xfId="28945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4" xr:uid="{00000000-0005-0000-0000-00002C240000}"/>
    <cellStyle name="20% - Accent5 2 4 7 3 2 3" xfId="30431" xr:uid="{00000000-0005-0000-0000-00002D240000}"/>
    <cellStyle name="20% - Accent5 2 4 7 3 3" xfId="12499" xr:uid="{00000000-0005-0000-0000-00002E240000}"/>
    <cellStyle name="20% - Accent5 2 4 7 3 3 2" xfId="23773" xr:uid="{00000000-0005-0000-0000-00002F240000}"/>
    <cellStyle name="20% - Accent5 2 4 7 3 3 3" xfId="32650" xr:uid="{00000000-0005-0000-0000-000030240000}"/>
    <cellStyle name="20% - Accent5 2 4 7 3 4" xfId="14949" xr:uid="{00000000-0005-0000-0000-000031240000}"/>
    <cellStyle name="20% - Accent5 2 4 7 3 4 2" xfId="25992" xr:uid="{00000000-0005-0000-0000-000032240000}"/>
    <cellStyle name="20% - Accent5 2 4 7 3 4 3" xfId="34869" xr:uid="{00000000-0005-0000-0000-000033240000}"/>
    <cellStyle name="20% - Accent5 2 4 7 3 5" xfId="19335" xr:uid="{00000000-0005-0000-0000-000034240000}"/>
    <cellStyle name="20% - Accent5 2 4 7 3 6" xfId="28212" xr:uid="{00000000-0005-0000-0000-000035240000}"/>
    <cellStyle name="20% - Accent5 2 4 7 4" xfId="9308" xr:uid="{00000000-0005-0000-0000-000036240000}"/>
    <cellStyle name="20% - Accent5 2 4 7 4 2" xfId="20811" xr:uid="{00000000-0005-0000-0000-000037240000}"/>
    <cellStyle name="20% - Accent5 2 4 7 4 3" xfId="29688" xr:uid="{00000000-0005-0000-0000-000038240000}"/>
    <cellStyle name="20% - Accent5 2 4 7 5" xfId="11756" xr:uid="{00000000-0005-0000-0000-000039240000}"/>
    <cellStyle name="20% - Accent5 2 4 7 5 2" xfId="23030" xr:uid="{00000000-0005-0000-0000-00003A240000}"/>
    <cellStyle name="20% - Accent5 2 4 7 5 3" xfId="31907" xr:uid="{00000000-0005-0000-0000-00003B240000}"/>
    <cellStyle name="20% - Accent5 2 4 7 6" xfId="13977" xr:uid="{00000000-0005-0000-0000-00003C240000}"/>
    <cellStyle name="20% - Accent5 2 4 7 6 2" xfId="25249" xr:uid="{00000000-0005-0000-0000-00003D240000}"/>
    <cellStyle name="20% - Accent5 2 4 7 6 3" xfId="34126" xr:uid="{00000000-0005-0000-0000-00003E240000}"/>
    <cellStyle name="20% - Accent5 2 4 7 7" xfId="18586" xr:uid="{00000000-0005-0000-0000-00003F240000}"/>
    <cellStyle name="20% - Accent5 2 4 7 8" xfId="27467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8" xr:uid="{00000000-0005-0000-0000-000044240000}"/>
    <cellStyle name="20% - Accent5 2 4 8 2 2 3" xfId="31165" xr:uid="{00000000-0005-0000-0000-000045240000}"/>
    <cellStyle name="20% - Accent5 2 4 8 2 3" xfId="13233" xr:uid="{00000000-0005-0000-0000-000046240000}"/>
    <cellStyle name="20% - Accent5 2 4 8 2 3 2" xfId="24507" xr:uid="{00000000-0005-0000-0000-000047240000}"/>
    <cellStyle name="20% - Accent5 2 4 8 2 3 3" xfId="33384" xr:uid="{00000000-0005-0000-0000-000048240000}"/>
    <cellStyle name="20% - Accent5 2 4 8 2 4" xfId="15683" xr:uid="{00000000-0005-0000-0000-000049240000}"/>
    <cellStyle name="20% - Accent5 2 4 8 2 4 2" xfId="26726" xr:uid="{00000000-0005-0000-0000-00004A240000}"/>
    <cellStyle name="20% - Accent5 2 4 8 2 4 3" xfId="35603" xr:uid="{00000000-0005-0000-0000-00004B240000}"/>
    <cellStyle name="20% - Accent5 2 4 8 2 5" xfId="20069" xr:uid="{00000000-0005-0000-0000-00004C240000}"/>
    <cellStyle name="20% - Accent5 2 4 8 2 6" xfId="28946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5" xr:uid="{00000000-0005-0000-0000-000050240000}"/>
    <cellStyle name="20% - Accent5 2 4 8 3 2 3" xfId="30432" xr:uid="{00000000-0005-0000-0000-000051240000}"/>
    <cellStyle name="20% - Accent5 2 4 8 3 3" xfId="12500" xr:uid="{00000000-0005-0000-0000-000052240000}"/>
    <cellStyle name="20% - Accent5 2 4 8 3 3 2" xfId="23774" xr:uid="{00000000-0005-0000-0000-000053240000}"/>
    <cellStyle name="20% - Accent5 2 4 8 3 3 3" xfId="32651" xr:uid="{00000000-0005-0000-0000-000054240000}"/>
    <cellStyle name="20% - Accent5 2 4 8 3 4" xfId="14950" xr:uid="{00000000-0005-0000-0000-000055240000}"/>
    <cellStyle name="20% - Accent5 2 4 8 3 4 2" xfId="25993" xr:uid="{00000000-0005-0000-0000-000056240000}"/>
    <cellStyle name="20% - Accent5 2 4 8 3 4 3" xfId="34870" xr:uid="{00000000-0005-0000-0000-000057240000}"/>
    <cellStyle name="20% - Accent5 2 4 8 3 5" xfId="19336" xr:uid="{00000000-0005-0000-0000-000058240000}"/>
    <cellStyle name="20% - Accent5 2 4 8 3 6" xfId="28213" xr:uid="{00000000-0005-0000-0000-000059240000}"/>
    <cellStyle name="20% - Accent5 2 4 8 4" xfId="9309" xr:uid="{00000000-0005-0000-0000-00005A240000}"/>
    <cellStyle name="20% - Accent5 2 4 8 4 2" xfId="20812" xr:uid="{00000000-0005-0000-0000-00005B240000}"/>
    <cellStyle name="20% - Accent5 2 4 8 4 3" xfId="29689" xr:uid="{00000000-0005-0000-0000-00005C240000}"/>
    <cellStyle name="20% - Accent5 2 4 8 5" xfId="11757" xr:uid="{00000000-0005-0000-0000-00005D240000}"/>
    <cellStyle name="20% - Accent5 2 4 8 5 2" xfId="23031" xr:uid="{00000000-0005-0000-0000-00005E240000}"/>
    <cellStyle name="20% - Accent5 2 4 8 5 3" xfId="31908" xr:uid="{00000000-0005-0000-0000-00005F240000}"/>
    <cellStyle name="20% - Accent5 2 4 8 6" xfId="13978" xr:uid="{00000000-0005-0000-0000-000060240000}"/>
    <cellStyle name="20% - Accent5 2 4 8 6 2" xfId="25250" xr:uid="{00000000-0005-0000-0000-000061240000}"/>
    <cellStyle name="20% - Accent5 2 4 8 6 3" xfId="34127" xr:uid="{00000000-0005-0000-0000-000062240000}"/>
    <cellStyle name="20% - Accent5 2 4 8 7" xfId="18587" xr:uid="{00000000-0005-0000-0000-000063240000}"/>
    <cellStyle name="20% - Accent5 2 4 8 8" xfId="27468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89" xr:uid="{00000000-0005-0000-0000-000068240000}"/>
    <cellStyle name="20% - Accent5 2 4 9 2 2 3" xfId="31166" xr:uid="{00000000-0005-0000-0000-000069240000}"/>
    <cellStyle name="20% - Accent5 2 4 9 2 3" xfId="13234" xr:uid="{00000000-0005-0000-0000-00006A240000}"/>
    <cellStyle name="20% - Accent5 2 4 9 2 3 2" xfId="24508" xr:uid="{00000000-0005-0000-0000-00006B240000}"/>
    <cellStyle name="20% - Accent5 2 4 9 2 3 3" xfId="33385" xr:uid="{00000000-0005-0000-0000-00006C240000}"/>
    <cellStyle name="20% - Accent5 2 4 9 2 4" xfId="15684" xr:uid="{00000000-0005-0000-0000-00006D240000}"/>
    <cellStyle name="20% - Accent5 2 4 9 2 4 2" xfId="26727" xr:uid="{00000000-0005-0000-0000-00006E240000}"/>
    <cellStyle name="20% - Accent5 2 4 9 2 4 3" xfId="35604" xr:uid="{00000000-0005-0000-0000-00006F240000}"/>
    <cellStyle name="20% - Accent5 2 4 9 2 5" xfId="20070" xr:uid="{00000000-0005-0000-0000-000070240000}"/>
    <cellStyle name="20% - Accent5 2 4 9 2 6" xfId="28947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6" xr:uid="{00000000-0005-0000-0000-000074240000}"/>
    <cellStyle name="20% - Accent5 2 4 9 3 2 3" xfId="30433" xr:uid="{00000000-0005-0000-0000-000075240000}"/>
    <cellStyle name="20% - Accent5 2 4 9 3 3" xfId="12501" xr:uid="{00000000-0005-0000-0000-000076240000}"/>
    <cellStyle name="20% - Accent5 2 4 9 3 3 2" xfId="23775" xr:uid="{00000000-0005-0000-0000-000077240000}"/>
    <cellStyle name="20% - Accent5 2 4 9 3 3 3" xfId="32652" xr:uid="{00000000-0005-0000-0000-000078240000}"/>
    <cellStyle name="20% - Accent5 2 4 9 3 4" xfId="14951" xr:uid="{00000000-0005-0000-0000-000079240000}"/>
    <cellStyle name="20% - Accent5 2 4 9 3 4 2" xfId="25994" xr:uid="{00000000-0005-0000-0000-00007A240000}"/>
    <cellStyle name="20% - Accent5 2 4 9 3 4 3" xfId="34871" xr:uid="{00000000-0005-0000-0000-00007B240000}"/>
    <cellStyle name="20% - Accent5 2 4 9 3 5" xfId="19337" xr:uid="{00000000-0005-0000-0000-00007C240000}"/>
    <cellStyle name="20% - Accent5 2 4 9 3 6" xfId="28214" xr:uid="{00000000-0005-0000-0000-00007D240000}"/>
    <cellStyle name="20% - Accent5 2 4 9 4" xfId="9310" xr:uid="{00000000-0005-0000-0000-00007E240000}"/>
    <cellStyle name="20% - Accent5 2 4 9 4 2" xfId="20813" xr:uid="{00000000-0005-0000-0000-00007F240000}"/>
    <cellStyle name="20% - Accent5 2 4 9 4 3" xfId="29690" xr:uid="{00000000-0005-0000-0000-000080240000}"/>
    <cellStyle name="20% - Accent5 2 4 9 5" xfId="11758" xr:uid="{00000000-0005-0000-0000-000081240000}"/>
    <cellStyle name="20% - Accent5 2 4 9 5 2" xfId="23032" xr:uid="{00000000-0005-0000-0000-000082240000}"/>
    <cellStyle name="20% - Accent5 2 4 9 5 3" xfId="31909" xr:uid="{00000000-0005-0000-0000-000083240000}"/>
    <cellStyle name="20% - Accent5 2 4 9 6" xfId="13979" xr:uid="{00000000-0005-0000-0000-000084240000}"/>
    <cellStyle name="20% - Accent5 2 4 9 6 2" xfId="25251" xr:uid="{00000000-0005-0000-0000-000085240000}"/>
    <cellStyle name="20% - Accent5 2 4 9 6 3" xfId="34128" xr:uid="{00000000-0005-0000-0000-000086240000}"/>
    <cellStyle name="20% - Accent5 2 4 9 7" xfId="18588" xr:uid="{00000000-0005-0000-0000-000087240000}"/>
    <cellStyle name="20% - Accent5 2 4 9 8" xfId="27469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2" xr:uid="{00000000-0005-0000-0000-00008B240000}"/>
    <cellStyle name="20% - Accent5 2 5 10 3" xfId="34129" xr:uid="{00000000-0005-0000-0000-00008C240000}"/>
    <cellStyle name="20% - Accent5 2 5 11" xfId="18589" xr:uid="{00000000-0005-0000-0000-00008D240000}"/>
    <cellStyle name="20% - Accent5 2 5 12" xfId="27470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1" xr:uid="{00000000-0005-0000-0000-000092240000}"/>
    <cellStyle name="20% - Accent5 2 5 2 2 2 3" xfId="31168" xr:uid="{00000000-0005-0000-0000-000093240000}"/>
    <cellStyle name="20% - Accent5 2 5 2 2 3" xfId="13236" xr:uid="{00000000-0005-0000-0000-000094240000}"/>
    <cellStyle name="20% - Accent5 2 5 2 2 3 2" xfId="24510" xr:uid="{00000000-0005-0000-0000-000095240000}"/>
    <cellStyle name="20% - Accent5 2 5 2 2 3 3" xfId="33387" xr:uid="{00000000-0005-0000-0000-000096240000}"/>
    <cellStyle name="20% - Accent5 2 5 2 2 4" xfId="15686" xr:uid="{00000000-0005-0000-0000-000097240000}"/>
    <cellStyle name="20% - Accent5 2 5 2 2 4 2" xfId="26729" xr:uid="{00000000-0005-0000-0000-000098240000}"/>
    <cellStyle name="20% - Accent5 2 5 2 2 4 3" xfId="35606" xr:uid="{00000000-0005-0000-0000-000099240000}"/>
    <cellStyle name="20% - Accent5 2 5 2 2 5" xfId="20072" xr:uid="{00000000-0005-0000-0000-00009A240000}"/>
    <cellStyle name="20% - Accent5 2 5 2 2 6" xfId="28949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8" xr:uid="{00000000-0005-0000-0000-00009E240000}"/>
    <cellStyle name="20% - Accent5 2 5 2 3 2 3" xfId="30435" xr:uid="{00000000-0005-0000-0000-00009F240000}"/>
    <cellStyle name="20% - Accent5 2 5 2 3 3" xfId="12503" xr:uid="{00000000-0005-0000-0000-0000A0240000}"/>
    <cellStyle name="20% - Accent5 2 5 2 3 3 2" xfId="23777" xr:uid="{00000000-0005-0000-0000-0000A1240000}"/>
    <cellStyle name="20% - Accent5 2 5 2 3 3 3" xfId="32654" xr:uid="{00000000-0005-0000-0000-0000A2240000}"/>
    <cellStyle name="20% - Accent5 2 5 2 3 4" xfId="14953" xr:uid="{00000000-0005-0000-0000-0000A3240000}"/>
    <cellStyle name="20% - Accent5 2 5 2 3 4 2" xfId="25996" xr:uid="{00000000-0005-0000-0000-0000A4240000}"/>
    <cellStyle name="20% - Accent5 2 5 2 3 4 3" xfId="34873" xr:uid="{00000000-0005-0000-0000-0000A5240000}"/>
    <cellStyle name="20% - Accent5 2 5 2 3 5" xfId="19339" xr:uid="{00000000-0005-0000-0000-0000A6240000}"/>
    <cellStyle name="20% - Accent5 2 5 2 3 6" xfId="28216" xr:uid="{00000000-0005-0000-0000-0000A7240000}"/>
    <cellStyle name="20% - Accent5 2 5 2 4" xfId="9312" xr:uid="{00000000-0005-0000-0000-0000A8240000}"/>
    <cellStyle name="20% - Accent5 2 5 2 4 2" xfId="20815" xr:uid="{00000000-0005-0000-0000-0000A9240000}"/>
    <cellStyle name="20% - Accent5 2 5 2 4 3" xfId="29692" xr:uid="{00000000-0005-0000-0000-0000AA240000}"/>
    <cellStyle name="20% - Accent5 2 5 2 5" xfId="11760" xr:uid="{00000000-0005-0000-0000-0000AB240000}"/>
    <cellStyle name="20% - Accent5 2 5 2 5 2" xfId="23034" xr:uid="{00000000-0005-0000-0000-0000AC240000}"/>
    <cellStyle name="20% - Accent5 2 5 2 5 3" xfId="31911" xr:uid="{00000000-0005-0000-0000-0000AD240000}"/>
    <cellStyle name="20% - Accent5 2 5 2 6" xfId="13981" xr:uid="{00000000-0005-0000-0000-0000AE240000}"/>
    <cellStyle name="20% - Accent5 2 5 2 6 2" xfId="25253" xr:uid="{00000000-0005-0000-0000-0000AF240000}"/>
    <cellStyle name="20% - Accent5 2 5 2 6 3" xfId="34130" xr:uid="{00000000-0005-0000-0000-0000B0240000}"/>
    <cellStyle name="20% - Accent5 2 5 2 7" xfId="18590" xr:uid="{00000000-0005-0000-0000-0000B1240000}"/>
    <cellStyle name="20% - Accent5 2 5 2 8" xfId="27471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2" xr:uid="{00000000-0005-0000-0000-0000B6240000}"/>
    <cellStyle name="20% - Accent5 2 5 3 2 2 3" xfId="31169" xr:uid="{00000000-0005-0000-0000-0000B7240000}"/>
    <cellStyle name="20% - Accent5 2 5 3 2 3" xfId="13237" xr:uid="{00000000-0005-0000-0000-0000B8240000}"/>
    <cellStyle name="20% - Accent5 2 5 3 2 3 2" xfId="24511" xr:uid="{00000000-0005-0000-0000-0000B9240000}"/>
    <cellStyle name="20% - Accent5 2 5 3 2 3 3" xfId="33388" xr:uid="{00000000-0005-0000-0000-0000BA240000}"/>
    <cellStyle name="20% - Accent5 2 5 3 2 4" xfId="15687" xr:uid="{00000000-0005-0000-0000-0000BB240000}"/>
    <cellStyle name="20% - Accent5 2 5 3 2 4 2" xfId="26730" xr:uid="{00000000-0005-0000-0000-0000BC240000}"/>
    <cellStyle name="20% - Accent5 2 5 3 2 4 3" xfId="35607" xr:uid="{00000000-0005-0000-0000-0000BD240000}"/>
    <cellStyle name="20% - Accent5 2 5 3 2 5" xfId="20073" xr:uid="{00000000-0005-0000-0000-0000BE240000}"/>
    <cellStyle name="20% - Accent5 2 5 3 2 6" xfId="28950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59" xr:uid="{00000000-0005-0000-0000-0000C2240000}"/>
    <cellStyle name="20% - Accent5 2 5 3 3 2 3" xfId="30436" xr:uid="{00000000-0005-0000-0000-0000C3240000}"/>
    <cellStyle name="20% - Accent5 2 5 3 3 3" xfId="12504" xr:uid="{00000000-0005-0000-0000-0000C4240000}"/>
    <cellStyle name="20% - Accent5 2 5 3 3 3 2" xfId="23778" xr:uid="{00000000-0005-0000-0000-0000C5240000}"/>
    <cellStyle name="20% - Accent5 2 5 3 3 3 3" xfId="32655" xr:uid="{00000000-0005-0000-0000-0000C6240000}"/>
    <cellStyle name="20% - Accent5 2 5 3 3 4" xfId="14954" xr:uid="{00000000-0005-0000-0000-0000C7240000}"/>
    <cellStyle name="20% - Accent5 2 5 3 3 4 2" xfId="25997" xr:uid="{00000000-0005-0000-0000-0000C8240000}"/>
    <cellStyle name="20% - Accent5 2 5 3 3 4 3" xfId="34874" xr:uid="{00000000-0005-0000-0000-0000C9240000}"/>
    <cellStyle name="20% - Accent5 2 5 3 3 5" xfId="19340" xr:uid="{00000000-0005-0000-0000-0000CA240000}"/>
    <cellStyle name="20% - Accent5 2 5 3 3 6" xfId="28217" xr:uid="{00000000-0005-0000-0000-0000CB240000}"/>
    <cellStyle name="20% - Accent5 2 5 3 4" xfId="9313" xr:uid="{00000000-0005-0000-0000-0000CC240000}"/>
    <cellStyle name="20% - Accent5 2 5 3 4 2" xfId="20816" xr:uid="{00000000-0005-0000-0000-0000CD240000}"/>
    <cellStyle name="20% - Accent5 2 5 3 4 3" xfId="29693" xr:uid="{00000000-0005-0000-0000-0000CE240000}"/>
    <cellStyle name="20% - Accent5 2 5 3 5" xfId="11761" xr:uid="{00000000-0005-0000-0000-0000CF240000}"/>
    <cellStyle name="20% - Accent5 2 5 3 5 2" xfId="23035" xr:uid="{00000000-0005-0000-0000-0000D0240000}"/>
    <cellStyle name="20% - Accent5 2 5 3 5 3" xfId="31912" xr:uid="{00000000-0005-0000-0000-0000D1240000}"/>
    <cellStyle name="20% - Accent5 2 5 3 6" xfId="13982" xr:uid="{00000000-0005-0000-0000-0000D2240000}"/>
    <cellStyle name="20% - Accent5 2 5 3 6 2" xfId="25254" xr:uid="{00000000-0005-0000-0000-0000D3240000}"/>
    <cellStyle name="20% - Accent5 2 5 3 6 3" xfId="34131" xr:uid="{00000000-0005-0000-0000-0000D4240000}"/>
    <cellStyle name="20% - Accent5 2 5 3 7" xfId="18591" xr:uid="{00000000-0005-0000-0000-0000D5240000}"/>
    <cellStyle name="20% - Accent5 2 5 3 8" xfId="27472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3" xr:uid="{00000000-0005-0000-0000-0000DA240000}"/>
    <cellStyle name="20% - Accent5 2 5 4 2 2 3" xfId="31170" xr:uid="{00000000-0005-0000-0000-0000DB240000}"/>
    <cellStyle name="20% - Accent5 2 5 4 2 3" xfId="13238" xr:uid="{00000000-0005-0000-0000-0000DC240000}"/>
    <cellStyle name="20% - Accent5 2 5 4 2 3 2" xfId="24512" xr:uid="{00000000-0005-0000-0000-0000DD240000}"/>
    <cellStyle name="20% - Accent5 2 5 4 2 3 3" xfId="33389" xr:uid="{00000000-0005-0000-0000-0000DE240000}"/>
    <cellStyle name="20% - Accent5 2 5 4 2 4" xfId="15688" xr:uid="{00000000-0005-0000-0000-0000DF240000}"/>
    <cellStyle name="20% - Accent5 2 5 4 2 4 2" xfId="26731" xr:uid="{00000000-0005-0000-0000-0000E0240000}"/>
    <cellStyle name="20% - Accent5 2 5 4 2 4 3" xfId="35608" xr:uid="{00000000-0005-0000-0000-0000E1240000}"/>
    <cellStyle name="20% - Accent5 2 5 4 2 5" xfId="20074" xr:uid="{00000000-0005-0000-0000-0000E2240000}"/>
    <cellStyle name="20% - Accent5 2 5 4 2 6" xfId="28951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0" xr:uid="{00000000-0005-0000-0000-0000E6240000}"/>
    <cellStyle name="20% - Accent5 2 5 4 3 2 3" xfId="30437" xr:uid="{00000000-0005-0000-0000-0000E7240000}"/>
    <cellStyle name="20% - Accent5 2 5 4 3 3" xfId="12505" xr:uid="{00000000-0005-0000-0000-0000E8240000}"/>
    <cellStyle name="20% - Accent5 2 5 4 3 3 2" xfId="23779" xr:uid="{00000000-0005-0000-0000-0000E9240000}"/>
    <cellStyle name="20% - Accent5 2 5 4 3 3 3" xfId="32656" xr:uid="{00000000-0005-0000-0000-0000EA240000}"/>
    <cellStyle name="20% - Accent5 2 5 4 3 4" xfId="14955" xr:uid="{00000000-0005-0000-0000-0000EB240000}"/>
    <cellStyle name="20% - Accent5 2 5 4 3 4 2" xfId="25998" xr:uid="{00000000-0005-0000-0000-0000EC240000}"/>
    <cellStyle name="20% - Accent5 2 5 4 3 4 3" xfId="34875" xr:uid="{00000000-0005-0000-0000-0000ED240000}"/>
    <cellStyle name="20% - Accent5 2 5 4 3 5" xfId="19341" xr:uid="{00000000-0005-0000-0000-0000EE240000}"/>
    <cellStyle name="20% - Accent5 2 5 4 3 6" xfId="28218" xr:uid="{00000000-0005-0000-0000-0000EF240000}"/>
    <cellStyle name="20% - Accent5 2 5 4 4" xfId="9314" xr:uid="{00000000-0005-0000-0000-0000F0240000}"/>
    <cellStyle name="20% - Accent5 2 5 4 4 2" xfId="20817" xr:uid="{00000000-0005-0000-0000-0000F1240000}"/>
    <cellStyle name="20% - Accent5 2 5 4 4 3" xfId="29694" xr:uid="{00000000-0005-0000-0000-0000F2240000}"/>
    <cellStyle name="20% - Accent5 2 5 4 5" xfId="11762" xr:uid="{00000000-0005-0000-0000-0000F3240000}"/>
    <cellStyle name="20% - Accent5 2 5 4 5 2" xfId="23036" xr:uid="{00000000-0005-0000-0000-0000F4240000}"/>
    <cellStyle name="20% - Accent5 2 5 4 5 3" xfId="31913" xr:uid="{00000000-0005-0000-0000-0000F5240000}"/>
    <cellStyle name="20% - Accent5 2 5 4 6" xfId="13983" xr:uid="{00000000-0005-0000-0000-0000F6240000}"/>
    <cellStyle name="20% - Accent5 2 5 4 6 2" xfId="25255" xr:uid="{00000000-0005-0000-0000-0000F7240000}"/>
    <cellStyle name="20% - Accent5 2 5 4 6 3" xfId="34132" xr:uid="{00000000-0005-0000-0000-0000F8240000}"/>
    <cellStyle name="20% - Accent5 2 5 4 7" xfId="18592" xr:uid="{00000000-0005-0000-0000-0000F9240000}"/>
    <cellStyle name="20% - Accent5 2 5 4 8" xfId="27473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4" xr:uid="{00000000-0005-0000-0000-0000FE240000}"/>
    <cellStyle name="20% - Accent5 2 5 5 2 2 3" xfId="31171" xr:uid="{00000000-0005-0000-0000-0000FF240000}"/>
    <cellStyle name="20% - Accent5 2 5 5 2 3" xfId="13239" xr:uid="{00000000-0005-0000-0000-000000250000}"/>
    <cellStyle name="20% - Accent5 2 5 5 2 3 2" xfId="24513" xr:uid="{00000000-0005-0000-0000-000001250000}"/>
    <cellStyle name="20% - Accent5 2 5 5 2 3 3" xfId="33390" xr:uid="{00000000-0005-0000-0000-000002250000}"/>
    <cellStyle name="20% - Accent5 2 5 5 2 4" xfId="15689" xr:uid="{00000000-0005-0000-0000-000003250000}"/>
    <cellStyle name="20% - Accent5 2 5 5 2 4 2" xfId="26732" xr:uid="{00000000-0005-0000-0000-000004250000}"/>
    <cellStyle name="20% - Accent5 2 5 5 2 4 3" xfId="35609" xr:uid="{00000000-0005-0000-0000-000005250000}"/>
    <cellStyle name="20% - Accent5 2 5 5 2 5" xfId="20075" xr:uid="{00000000-0005-0000-0000-000006250000}"/>
    <cellStyle name="20% - Accent5 2 5 5 2 6" xfId="28952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1" xr:uid="{00000000-0005-0000-0000-00000A250000}"/>
    <cellStyle name="20% - Accent5 2 5 5 3 2 3" xfId="30438" xr:uid="{00000000-0005-0000-0000-00000B250000}"/>
    <cellStyle name="20% - Accent5 2 5 5 3 3" xfId="12506" xr:uid="{00000000-0005-0000-0000-00000C250000}"/>
    <cellStyle name="20% - Accent5 2 5 5 3 3 2" xfId="23780" xr:uid="{00000000-0005-0000-0000-00000D250000}"/>
    <cellStyle name="20% - Accent5 2 5 5 3 3 3" xfId="32657" xr:uid="{00000000-0005-0000-0000-00000E250000}"/>
    <cellStyle name="20% - Accent5 2 5 5 3 4" xfId="14956" xr:uid="{00000000-0005-0000-0000-00000F250000}"/>
    <cellStyle name="20% - Accent5 2 5 5 3 4 2" xfId="25999" xr:uid="{00000000-0005-0000-0000-000010250000}"/>
    <cellStyle name="20% - Accent5 2 5 5 3 4 3" xfId="34876" xr:uid="{00000000-0005-0000-0000-000011250000}"/>
    <cellStyle name="20% - Accent5 2 5 5 3 5" xfId="19342" xr:uid="{00000000-0005-0000-0000-000012250000}"/>
    <cellStyle name="20% - Accent5 2 5 5 3 6" xfId="28219" xr:uid="{00000000-0005-0000-0000-000013250000}"/>
    <cellStyle name="20% - Accent5 2 5 5 4" xfId="9315" xr:uid="{00000000-0005-0000-0000-000014250000}"/>
    <cellStyle name="20% - Accent5 2 5 5 4 2" xfId="20818" xr:uid="{00000000-0005-0000-0000-000015250000}"/>
    <cellStyle name="20% - Accent5 2 5 5 4 3" xfId="29695" xr:uid="{00000000-0005-0000-0000-000016250000}"/>
    <cellStyle name="20% - Accent5 2 5 5 5" xfId="11763" xr:uid="{00000000-0005-0000-0000-000017250000}"/>
    <cellStyle name="20% - Accent5 2 5 5 5 2" xfId="23037" xr:uid="{00000000-0005-0000-0000-000018250000}"/>
    <cellStyle name="20% - Accent5 2 5 5 5 3" xfId="31914" xr:uid="{00000000-0005-0000-0000-000019250000}"/>
    <cellStyle name="20% - Accent5 2 5 5 6" xfId="13984" xr:uid="{00000000-0005-0000-0000-00001A250000}"/>
    <cellStyle name="20% - Accent5 2 5 5 6 2" xfId="25256" xr:uid="{00000000-0005-0000-0000-00001B250000}"/>
    <cellStyle name="20% - Accent5 2 5 5 6 3" xfId="34133" xr:uid="{00000000-0005-0000-0000-00001C250000}"/>
    <cellStyle name="20% - Accent5 2 5 5 7" xfId="18593" xr:uid="{00000000-0005-0000-0000-00001D250000}"/>
    <cellStyle name="20% - Accent5 2 5 5 8" xfId="27474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0" xr:uid="{00000000-0005-0000-0000-000021250000}"/>
    <cellStyle name="20% - Accent5 2 5 6 2 3" xfId="31167" xr:uid="{00000000-0005-0000-0000-000022250000}"/>
    <cellStyle name="20% - Accent5 2 5 6 3" xfId="13235" xr:uid="{00000000-0005-0000-0000-000023250000}"/>
    <cellStyle name="20% - Accent5 2 5 6 3 2" xfId="24509" xr:uid="{00000000-0005-0000-0000-000024250000}"/>
    <cellStyle name="20% - Accent5 2 5 6 3 3" xfId="33386" xr:uid="{00000000-0005-0000-0000-000025250000}"/>
    <cellStyle name="20% - Accent5 2 5 6 4" xfId="15685" xr:uid="{00000000-0005-0000-0000-000026250000}"/>
    <cellStyle name="20% - Accent5 2 5 6 4 2" xfId="26728" xr:uid="{00000000-0005-0000-0000-000027250000}"/>
    <cellStyle name="20% - Accent5 2 5 6 4 3" xfId="35605" xr:uid="{00000000-0005-0000-0000-000028250000}"/>
    <cellStyle name="20% - Accent5 2 5 6 5" xfId="20071" xr:uid="{00000000-0005-0000-0000-000029250000}"/>
    <cellStyle name="20% - Accent5 2 5 6 6" xfId="28948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7" xr:uid="{00000000-0005-0000-0000-00002D250000}"/>
    <cellStyle name="20% - Accent5 2 5 7 2 3" xfId="30434" xr:uid="{00000000-0005-0000-0000-00002E250000}"/>
    <cellStyle name="20% - Accent5 2 5 7 3" xfId="12502" xr:uid="{00000000-0005-0000-0000-00002F250000}"/>
    <cellStyle name="20% - Accent5 2 5 7 3 2" xfId="23776" xr:uid="{00000000-0005-0000-0000-000030250000}"/>
    <cellStyle name="20% - Accent5 2 5 7 3 3" xfId="32653" xr:uid="{00000000-0005-0000-0000-000031250000}"/>
    <cellStyle name="20% - Accent5 2 5 7 4" xfId="14952" xr:uid="{00000000-0005-0000-0000-000032250000}"/>
    <cellStyle name="20% - Accent5 2 5 7 4 2" xfId="25995" xr:uid="{00000000-0005-0000-0000-000033250000}"/>
    <cellStyle name="20% - Accent5 2 5 7 4 3" xfId="34872" xr:uid="{00000000-0005-0000-0000-000034250000}"/>
    <cellStyle name="20% - Accent5 2 5 7 5" xfId="19338" xr:uid="{00000000-0005-0000-0000-000035250000}"/>
    <cellStyle name="20% - Accent5 2 5 7 6" xfId="28215" xr:uid="{00000000-0005-0000-0000-000036250000}"/>
    <cellStyle name="20% - Accent5 2 5 8" xfId="9311" xr:uid="{00000000-0005-0000-0000-000037250000}"/>
    <cellStyle name="20% - Accent5 2 5 8 2" xfId="20814" xr:uid="{00000000-0005-0000-0000-000038250000}"/>
    <cellStyle name="20% - Accent5 2 5 8 3" xfId="29691" xr:uid="{00000000-0005-0000-0000-000039250000}"/>
    <cellStyle name="20% - Accent5 2 5 9" xfId="11759" xr:uid="{00000000-0005-0000-0000-00003A250000}"/>
    <cellStyle name="20% - Accent5 2 5 9 2" xfId="23033" xr:uid="{00000000-0005-0000-0000-00003B250000}"/>
    <cellStyle name="20% - Accent5 2 5 9 3" xfId="31910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7" xr:uid="{00000000-0005-0000-0000-00003F250000}"/>
    <cellStyle name="20% - Accent5 2 6 10 3" xfId="34134" xr:uid="{00000000-0005-0000-0000-000040250000}"/>
    <cellStyle name="20% - Accent5 2 6 11" xfId="18594" xr:uid="{00000000-0005-0000-0000-000041250000}"/>
    <cellStyle name="20% - Accent5 2 6 12" xfId="27475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6" xr:uid="{00000000-0005-0000-0000-000046250000}"/>
    <cellStyle name="20% - Accent5 2 6 2 2 2 3" xfId="31173" xr:uid="{00000000-0005-0000-0000-000047250000}"/>
    <cellStyle name="20% - Accent5 2 6 2 2 3" xfId="13241" xr:uid="{00000000-0005-0000-0000-000048250000}"/>
    <cellStyle name="20% - Accent5 2 6 2 2 3 2" xfId="24515" xr:uid="{00000000-0005-0000-0000-000049250000}"/>
    <cellStyle name="20% - Accent5 2 6 2 2 3 3" xfId="33392" xr:uid="{00000000-0005-0000-0000-00004A250000}"/>
    <cellStyle name="20% - Accent5 2 6 2 2 4" xfId="15691" xr:uid="{00000000-0005-0000-0000-00004B250000}"/>
    <cellStyle name="20% - Accent5 2 6 2 2 4 2" xfId="26734" xr:uid="{00000000-0005-0000-0000-00004C250000}"/>
    <cellStyle name="20% - Accent5 2 6 2 2 4 3" xfId="35611" xr:uid="{00000000-0005-0000-0000-00004D250000}"/>
    <cellStyle name="20% - Accent5 2 6 2 2 5" xfId="20077" xr:uid="{00000000-0005-0000-0000-00004E250000}"/>
    <cellStyle name="20% - Accent5 2 6 2 2 6" xfId="28954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3" xr:uid="{00000000-0005-0000-0000-000052250000}"/>
    <cellStyle name="20% - Accent5 2 6 2 3 2 3" xfId="30440" xr:uid="{00000000-0005-0000-0000-000053250000}"/>
    <cellStyle name="20% - Accent5 2 6 2 3 3" xfId="12508" xr:uid="{00000000-0005-0000-0000-000054250000}"/>
    <cellStyle name="20% - Accent5 2 6 2 3 3 2" xfId="23782" xr:uid="{00000000-0005-0000-0000-000055250000}"/>
    <cellStyle name="20% - Accent5 2 6 2 3 3 3" xfId="32659" xr:uid="{00000000-0005-0000-0000-000056250000}"/>
    <cellStyle name="20% - Accent5 2 6 2 3 4" xfId="14958" xr:uid="{00000000-0005-0000-0000-000057250000}"/>
    <cellStyle name="20% - Accent5 2 6 2 3 4 2" xfId="26001" xr:uid="{00000000-0005-0000-0000-000058250000}"/>
    <cellStyle name="20% - Accent5 2 6 2 3 4 3" xfId="34878" xr:uid="{00000000-0005-0000-0000-000059250000}"/>
    <cellStyle name="20% - Accent5 2 6 2 3 5" xfId="19344" xr:uid="{00000000-0005-0000-0000-00005A250000}"/>
    <cellStyle name="20% - Accent5 2 6 2 3 6" xfId="28221" xr:uid="{00000000-0005-0000-0000-00005B250000}"/>
    <cellStyle name="20% - Accent5 2 6 2 4" xfId="9317" xr:uid="{00000000-0005-0000-0000-00005C250000}"/>
    <cellStyle name="20% - Accent5 2 6 2 4 2" xfId="20820" xr:uid="{00000000-0005-0000-0000-00005D250000}"/>
    <cellStyle name="20% - Accent5 2 6 2 4 3" xfId="29697" xr:uid="{00000000-0005-0000-0000-00005E250000}"/>
    <cellStyle name="20% - Accent5 2 6 2 5" xfId="11765" xr:uid="{00000000-0005-0000-0000-00005F250000}"/>
    <cellStyle name="20% - Accent5 2 6 2 5 2" xfId="23039" xr:uid="{00000000-0005-0000-0000-000060250000}"/>
    <cellStyle name="20% - Accent5 2 6 2 5 3" xfId="31916" xr:uid="{00000000-0005-0000-0000-000061250000}"/>
    <cellStyle name="20% - Accent5 2 6 2 6" xfId="13986" xr:uid="{00000000-0005-0000-0000-000062250000}"/>
    <cellStyle name="20% - Accent5 2 6 2 6 2" xfId="25258" xr:uid="{00000000-0005-0000-0000-000063250000}"/>
    <cellStyle name="20% - Accent5 2 6 2 6 3" xfId="34135" xr:uid="{00000000-0005-0000-0000-000064250000}"/>
    <cellStyle name="20% - Accent5 2 6 2 7" xfId="18595" xr:uid="{00000000-0005-0000-0000-000065250000}"/>
    <cellStyle name="20% - Accent5 2 6 2 8" xfId="27476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7" xr:uid="{00000000-0005-0000-0000-00006A250000}"/>
    <cellStyle name="20% - Accent5 2 6 3 2 2 3" xfId="31174" xr:uid="{00000000-0005-0000-0000-00006B250000}"/>
    <cellStyle name="20% - Accent5 2 6 3 2 3" xfId="13242" xr:uid="{00000000-0005-0000-0000-00006C250000}"/>
    <cellStyle name="20% - Accent5 2 6 3 2 3 2" xfId="24516" xr:uid="{00000000-0005-0000-0000-00006D250000}"/>
    <cellStyle name="20% - Accent5 2 6 3 2 3 3" xfId="33393" xr:uid="{00000000-0005-0000-0000-00006E250000}"/>
    <cellStyle name="20% - Accent5 2 6 3 2 4" xfId="15692" xr:uid="{00000000-0005-0000-0000-00006F250000}"/>
    <cellStyle name="20% - Accent5 2 6 3 2 4 2" xfId="26735" xr:uid="{00000000-0005-0000-0000-000070250000}"/>
    <cellStyle name="20% - Accent5 2 6 3 2 4 3" xfId="35612" xr:uid="{00000000-0005-0000-0000-000071250000}"/>
    <cellStyle name="20% - Accent5 2 6 3 2 5" xfId="20078" xr:uid="{00000000-0005-0000-0000-000072250000}"/>
    <cellStyle name="20% - Accent5 2 6 3 2 6" xfId="28955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4" xr:uid="{00000000-0005-0000-0000-000076250000}"/>
    <cellStyle name="20% - Accent5 2 6 3 3 2 3" xfId="30441" xr:uid="{00000000-0005-0000-0000-000077250000}"/>
    <cellStyle name="20% - Accent5 2 6 3 3 3" xfId="12509" xr:uid="{00000000-0005-0000-0000-000078250000}"/>
    <cellStyle name="20% - Accent5 2 6 3 3 3 2" xfId="23783" xr:uid="{00000000-0005-0000-0000-000079250000}"/>
    <cellStyle name="20% - Accent5 2 6 3 3 3 3" xfId="32660" xr:uid="{00000000-0005-0000-0000-00007A250000}"/>
    <cellStyle name="20% - Accent5 2 6 3 3 4" xfId="14959" xr:uid="{00000000-0005-0000-0000-00007B250000}"/>
    <cellStyle name="20% - Accent5 2 6 3 3 4 2" xfId="26002" xr:uid="{00000000-0005-0000-0000-00007C250000}"/>
    <cellStyle name="20% - Accent5 2 6 3 3 4 3" xfId="34879" xr:uid="{00000000-0005-0000-0000-00007D250000}"/>
    <cellStyle name="20% - Accent5 2 6 3 3 5" xfId="19345" xr:uid="{00000000-0005-0000-0000-00007E250000}"/>
    <cellStyle name="20% - Accent5 2 6 3 3 6" xfId="28222" xr:uid="{00000000-0005-0000-0000-00007F250000}"/>
    <cellStyle name="20% - Accent5 2 6 3 4" xfId="9318" xr:uid="{00000000-0005-0000-0000-000080250000}"/>
    <cellStyle name="20% - Accent5 2 6 3 4 2" xfId="20821" xr:uid="{00000000-0005-0000-0000-000081250000}"/>
    <cellStyle name="20% - Accent5 2 6 3 4 3" xfId="29698" xr:uid="{00000000-0005-0000-0000-000082250000}"/>
    <cellStyle name="20% - Accent5 2 6 3 5" xfId="11766" xr:uid="{00000000-0005-0000-0000-000083250000}"/>
    <cellStyle name="20% - Accent5 2 6 3 5 2" xfId="23040" xr:uid="{00000000-0005-0000-0000-000084250000}"/>
    <cellStyle name="20% - Accent5 2 6 3 5 3" xfId="31917" xr:uid="{00000000-0005-0000-0000-000085250000}"/>
    <cellStyle name="20% - Accent5 2 6 3 6" xfId="13987" xr:uid="{00000000-0005-0000-0000-000086250000}"/>
    <cellStyle name="20% - Accent5 2 6 3 6 2" xfId="25259" xr:uid="{00000000-0005-0000-0000-000087250000}"/>
    <cellStyle name="20% - Accent5 2 6 3 6 3" xfId="34136" xr:uid="{00000000-0005-0000-0000-000088250000}"/>
    <cellStyle name="20% - Accent5 2 6 3 7" xfId="18596" xr:uid="{00000000-0005-0000-0000-000089250000}"/>
    <cellStyle name="20% - Accent5 2 6 3 8" xfId="27477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8" xr:uid="{00000000-0005-0000-0000-00008E250000}"/>
    <cellStyle name="20% - Accent5 2 6 4 2 2 3" xfId="31175" xr:uid="{00000000-0005-0000-0000-00008F250000}"/>
    <cellStyle name="20% - Accent5 2 6 4 2 3" xfId="13243" xr:uid="{00000000-0005-0000-0000-000090250000}"/>
    <cellStyle name="20% - Accent5 2 6 4 2 3 2" xfId="24517" xr:uid="{00000000-0005-0000-0000-000091250000}"/>
    <cellStyle name="20% - Accent5 2 6 4 2 3 3" xfId="33394" xr:uid="{00000000-0005-0000-0000-000092250000}"/>
    <cellStyle name="20% - Accent5 2 6 4 2 4" xfId="15693" xr:uid="{00000000-0005-0000-0000-000093250000}"/>
    <cellStyle name="20% - Accent5 2 6 4 2 4 2" xfId="26736" xr:uid="{00000000-0005-0000-0000-000094250000}"/>
    <cellStyle name="20% - Accent5 2 6 4 2 4 3" xfId="35613" xr:uid="{00000000-0005-0000-0000-000095250000}"/>
    <cellStyle name="20% - Accent5 2 6 4 2 5" xfId="20079" xr:uid="{00000000-0005-0000-0000-000096250000}"/>
    <cellStyle name="20% - Accent5 2 6 4 2 6" xfId="28956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5" xr:uid="{00000000-0005-0000-0000-00009A250000}"/>
    <cellStyle name="20% - Accent5 2 6 4 3 2 3" xfId="30442" xr:uid="{00000000-0005-0000-0000-00009B250000}"/>
    <cellStyle name="20% - Accent5 2 6 4 3 3" xfId="12510" xr:uid="{00000000-0005-0000-0000-00009C250000}"/>
    <cellStyle name="20% - Accent5 2 6 4 3 3 2" xfId="23784" xr:uid="{00000000-0005-0000-0000-00009D250000}"/>
    <cellStyle name="20% - Accent5 2 6 4 3 3 3" xfId="32661" xr:uid="{00000000-0005-0000-0000-00009E250000}"/>
    <cellStyle name="20% - Accent5 2 6 4 3 4" xfId="14960" xr:uid="{00000000-0005-0000-0000-00009F250000}"/>
    <cellStyle name="20% - Accent5 2 6 4 3 4 2" xfId="26003" xr:uid="{00000000-0005-0000-0000-0000A0250000}"/>
    <cellStyle name="20% - Accent5 2 6 4 3 4 3" xfId="34880" xr:uid="{00000000-0005-0000-0000-0000A1250000}"/>
    <cellStyle name="20% - Accent5 2 6 4 3 5" xfId="19346" xr:uid="{00000000-0005-0000-0000-0000A2250000}"/>
    <cellStyle name="20% - Accent5 2 6 4 3 6" xfId="28223" xr:uid="{00000000-0005-0000-0000-0000A3250000}"/>
    <cellStyle name="20% - Accent5 2 6 4 4" xfId="9319" xr:uid="{00000000-0005-0000-0000-0000A4250000}"/>
    <cellStyle name="20% - Accent5 2 6 4 4 2" xfId="20822" xr:uid="{00000000-0005-0000-0000-0000A5250000}"/>
    <cellStyle name="20% - Accent5 2 6 4 4 3" xfId="29699" xr:uid="{00000000-0005-0000-0000-0000A6250000}"/>
    <cellStyle name="20% - Accent5 2 6 4 5" xfId="11767" xr:uid="{00000000-0005-0000-0000-0000A7250000}"/>
    <cellStyle name="20% - Accent5 2 6 4 5 2" xfId="23041" xr:uid="{00000000-0005-0000-0000-0000A8250000}"/>
    <cellStyle name="20% - Accent5 2 6 4 5 3" xfId="31918" xr:uid="{00000000-0005-0000-0000-0000A9250000}"/>
    <cellStyle name="20% - Accent5 2 6 4 6" xfId="13988" xr:uid="{00000000-0005-0000-0000-0000AA250000}"/>
    <cellStyle name="20% - Accent5 2 6 4 6 2" xfId="25260" xr:uid="{00000000-0005-0000-0000-0000AB250000}"/>
    <cellStyle name="20% - Accent5 2 6 4 6 3" xfId="34137" xr:uid="{00000000-0005-0000-0000-0000AC250000}"/>
    <cellStyle name="20% - Accent5 2 6 4 7" xfId="18597" xr:uid="{00000000-0005-0000-0000-0000AD250000}"/>
    <cellStyle name="20% - Accent5 2 6 4 8" xfId="27478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299" xr:uid="{00000000-0005-0000-0000-0000B2250000}"/>
    <cellStyle name="20% - Accent5 2 6 5 2 2 3" xfId="31176" xr:uid="{00000000-0005-0000-0000-0000B3250000}"/>
    <cellStyle name="20% - Accent5 2 6 5 2 3" xfId="13244" xr:uid="{00000000-0005-0000-0000-0000B4250000}"/>
    <cellStyle name="20% - Accent5 2 6 5 2 3 2" xfId="24518" xr:uid="{00000000-0005-0000-0000-0000B5250000}"/>
    <cellStyle name="20% - Accent5 2 6 5 2 3 3" xfId="33395" xr:uid="{00000000-0005-0000-0000-0000B6250000}"/>
    <cellStyle name="20% - Accent5 2 6 5 2 4" xfId="15694" xr:uid="{00000000-0005-0000-0000-0000B7250000}"/>
    <cellStyle name="20% - Accent5 2 6 5 2 4 2" xfId="26737" xr:uid="{00000000-0005-0000-0000-0000B8250000}"/>
    <cellStyle name="20% - Accent5 2 6 5 2 4 3" xfId="35614" xr:uid="{00000000-0005-0000-0000-0000B9250000}"/>
    <cellStyle name="20% - Accent5 2 6 5 2 5" xfId="20080" xr:uid="{00000000-0005-0000-0000-0000BA250000}"/>
    <cellStyle name="20% - Accent5 2 6 5 2 6" xfId="28957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6" xr:uid="{00000000-0005-0000-0000-0000BE250000}"/>
    <cellStyle name="20% - Accent5 2 6 5 3 2 3" xfId="30443" xr:uid="{00000000-0005-0000-0000-0000BF250000}"/>
    <cellStyle name="20% - Accent5 2 6 5 3 3" xfId="12511" xr:uid="{00000000-0005-0000-0000-0000C0250000}"/>
    <cellStyle name="20% - Accent5 2 6 5 3 3 2" xfId="23785" xr:uid="{00000000-0005-0000-0000-0000C1250000}"/>
    <cellStyle name="20% - Accent5 2 6 5 3 3 3" xfId="32662" xr:uid="{00000000-0005-0000-0000-0000C2250000}"/>
    <cellStyle name="20% - Accent5 2 6 5 3 4" xfId="14961" xr:uid="{00000000-0005-0000-0000-0000C3250000}"/>
    <cellStyle name="20% - Accent5 2 6 5 3 4 2" xfId="26004" xr:uid="{00000000-0005-0000-0000-0000C4250000}"/>
    <cellStyle name="20% - Accent5 2 6 5 3 4 3" xfId="34881" xr:uid="{00000000-0005-0000-0000-0000C5250000}"/>
    <cellStyle name="20% - Accent5 2 6 5 3 5" xfId="19347" xr:uid="{00000000-0005-0000-0000-0000C6250000}"/>
    <cellStyle name="20% - Accent5 2 6 5 3 6" xfId="28224" xr:uid="{00000000-0005-0000-0000-0000C7250000}"/>
    <cellStyle name="20% - Accent5 2 6 5 4" xfId="9320" xr:uid="{00000000-0005-0000-0000-0000C8250000}"/>
    <cellStyle name="20% - Accent5 2 6 5 4 2" xfId="20823" xr:uid="{00000000-0005-0000-0000-0000C9250000}"/>
    <cellStyle name="20% - Accent5 2 6 5 4 3" xfId="29700" xr:uid="{00000000-0005-0000-0000-0000CA250000}"/>
    <cellStyle name="20% - Accent5 2 6 5 5" xfId="11768" xr:uid="{00000000-0005-0000-0000-0000CB250000}"/>
    <cellStyle name="20% - Accent5 2 6 5 5 2" xfId="23042" xr:uid="{00000000-0005-0000-0000-0000CC250000}"/>
    <cellStyle name="20% - Accent5 2 6 5 5 3" xfId="31919" xr:uid="{00000000-0005-0000-0000-0000CD250000}"/>
    <cellStyle name="20% - Accent5 2 6 5 6" xfId="13989" xr:uid="{00000000-0005-0000-0000-0000CE250000}"/>
    <cellStyle name="20% - Accent5 2 6 5 6 2" xfId="25261" xr:uid="{00000000-0005-0000-0000-0000CF250000}"/>
    <cellStyle name="20% - Accent5 2 6 5 6 3" xfId="34138" xr:uid="{00000000-0005-0000-0000-0000D0250000}"/>
    <cellStyle name="20% - Accent5 2 6 5 7" xfId="18598" xr:uid="{00000000-0005-0000-0000-0000D1250000}"/>
    <cellStyle name="20% - Accent5 2 6 5 8" xfId="27479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5" xr:uid="{00000000-0005-0000-0000-0000D5250000}"/>
    <cellStyle name="20% - Accent5 2 6 6 2 3" xfId="31172" xr:uid="{00000000-0005-0000-0000-0000D6250000}"/>
    <cellStyle name="20% - Accent5 2 6 6 3" xfId="13240" xr:uid="{00000000-0005-0000-0000-0000D7250000}"/>
    <cellStyle name="20% - Accent5 2 6 6 3 2" xfId="24514" xr:uid="{00000000-0005-0000-0000-0000D8250000}"/>
    <cellStyle name="20% - Accent5 2 6 6 3 3" xfId="33391" xr:uid="{00000000-0005-0000-0000-0000D9250000}"/>
    <cellStyle name="20% - Accent5 2 6 6 4" xfId="15690" xr:uid="{00000000-0005-0000-0000-0000DA250000}"/>
    <cellStyle name="20% - Accent5 2 6 6 4 2" xfId="26733" xr:uid="{00000000-0005-0000-0000-0000DB250000}"/>
    <cellStyle name="20% - Accent5 2 6 6 4 3" xfId="35610" xr:uid="{00000000-0005-0000-0000-0000DC250000}"/>
    <cellStyle name="20% - Accent5 2 6 6 5" xfId="20076" xr:uid="{00000000-0005-0000-0000-0000DD250000}"/>
    <cellStyle name="20% - Accent5 2 6 6 6" xfId="28953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2" xr:uid="{00000000-0005-0000-0000-0000E1250000}"/>
    <cellStyle name="20% - Accent5 2 6 7 2 3" xfId="30439" xr:uid="{00000000-0005-0000-0000-0000E2250000}"/>
    <cellStyle name="20% - Accent5 2 6 7 3" xfId="12507" xr:uid="{00000000-0005-0000-0000-0000E3250000}"/>
    <cellStyle name="20% - Accent5 2 6 7 3 2" xfId="23781" xr:uid="{00000000-0005-0000-0000-0000E4250000}"/>
    <cellStyle name="20% - Accent5 2 6 7 3 3" xfId="32658" xr:uid="{00000000-0005-0000-0000-0000E5250000}"/>
    <cellStyle name="20% - Accent5 2 6 7 4" xfId="14957" xr:uid="{00000000-0005-0000-0000-0000E6250000}"/>
    <cellStyle name="20% - Accent5 2 6 7 4 2" xfId="26000" xr:uid="{00000000-0005-0000-0000-0000E7250000}"/>
    <cellStyle name="20% - Accent5 2 6 7 4 3" xfId="34877" xr:uid="{00000000-0005-0000-0000-0000E8250000}"/>
    <cellStyle name="20% - Accent5 2 6 7 5" xfId="19343" xr:uid="{00000000-0005-0000-0000-0000E9250000}"/>
    <cellStyle name="20% - Accent5 2 6 7 6" xfId="28220" xr:uid="{00000000-0005-0000-0000-0000EA250000}"/>
    <cellStyle name="20% - Accent5 2 6 8" xfId="9316" xr:uid="{00000000-0005-0000-0000-0000EB250000}"/>
    <cellStyle name="20% - Accent5 2 6 8 2" xfId="20819" xr:uid="{00000000-0005-0000-0000-0000EC250000}"/>
    <cellStyle name="20% - Accent5 2 6 8 3" xfId="29696" xr:uid="{00000000-0005-0000-0000-0000ED250000}"/>
    <cellStyle name="20% - Accent5 2 6 9" xfId="11764" xr:uid="{00000000-0005-0000-0000-0000EE250000}"/>
    <cellStyle name="20% - Accent5 2 6 9 2" xfId="23038" xr:uid="{00000000-0005-0000-0000-0000EF250000}"/>
    <cellStyle name="20% - Accent5 2 6 9 3" xfId="31915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0" xr:uid="{00000000-0005-0000-0000-0000F4250000}"/>
    <cellStyle name="20% - Accent5 2 7 2 2 3" xfId="31177" xr:uid="{00000000-0005-0000-0000-0000F5250000}"/>
    <cellStyle name="20% - Accent5 2 7 2 3" xfId="13245" xr:uid="{00000000-0005-0000-0000-0000F6250000}"/>
    <cellStyle name="20% - Accent5 2 7 2 3 2" xfId="24519" xr:uid="{00000000-0005-0000-0000-0000F7250000}"/>
    <cellStyle name="20% - Accent5 2 7 2 3 3" xfId="33396" xr:uid="{00000000-0005-0000-0000-0000F8250000}"/>
    <cellStyle name="20% - Accent5 2 7 2 4" xfId="15695" xr:uid="{00000000-0005-0000-0000-0000F9250000}"/>
    <cellStyle name="20% - Accent5 2 7 2 4 2" xfId="26738" xr:uid="{00000000-0005-0000-0000-0000FA250000}"/>
    <cellStyle name="20% - Accent5 2 7 2 4 3" xfId="35615" xr:uid="{00000000-0005-0000-0000-0000FB250000}"/>
    <cellStyle name="20% - Accent5 2 7 2 5" xfId="20081" xr:uid="{00000000-0005-0000-0000-0000FC250000}"/>
    <cellStyle name="20% - Accent5 2 7 2 6" xfId="28958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7" xr:uid="{00000000-0005-0000-0000-000000260000}"/>
    <cellStyle name="20% - Accent5 2 7 3 2 3" xfId="30444" xr:uid="{00000000-0005-0000-0000-000001260000}"/>
    <cellStyle name="20% - Accent5 2 7 3 3" xfId="12512" xr:uid="{00000000-0005-0000-0000-000002260000}"/>
    <cellStyle name="20% - Accent5 2 7 3 3 2" xfId="23786" xr:uid="{00000000-0005-0000-0000-000003260000}"/>
    <cellStyle name="20% - Accent5 2 7 3 3 3" xfId="32663" xr:uid="{00000000-0005-0000-0000-000004260000}"/>
    <cellStyle name="20% - Accent5 2 7 3 4" xfId="14962" xr:uid="{00000000-0005-0000-0000-000005260000}"/>
    <cellStyle name="20% - Accent5 2 7 3 4 2" xfId="26005" xr:uid="{00000000-0005-0000-0000-000006260000}"/>
    <cellStyle name="20% - Accent5 2 7 3 4 3" xfId="34882" xr:uid="{00000000-0005-0000-0000-000007260000}"/>
    <cellStyle name="20% - Accent5 2 7 3 5" xfId="19348" xr:uid="{00000000-0005-0000-0000-000008260000}"/>
    <cellStyle name="20% - Accent5 2 7 3 6" xfId="28225" xr:uid="{00000000-0005-0000-0000-000009260000}"/>
    <cellStyle name="20% - Accent5 2 7 4" xfId="9321" xr:uid="{00000000-0005-0000-0000-00000A260000}"/>
    <cellStyle name="20% - Accent5 2 7 4 2" xfId="20824" xr:uid="{00000000-0005-0000-0000-00000B260000}"/>
    <cellStyle name="20% - Accent5 2 7 4 3" xfId="29701" xr:uid="{00000000-0005-0000-0000-00000C260000}"/>
    <cellStyle name="20% - Accent5 2 7 5" xfId="11769" xr:uid="{00000000-0005-0000-0000-00000D260000}"/>
    <cellStyle name="20% - Accent5 2 7 5 2" xfId="23043" xr:uid="{00000000-0005-0000-0000-00000E260000}"/>
    <cellStyle name="20% - Accent5 2 7 5 3" xfId="31920" xr:uid="{00000000-0005-0000-0000-00000F260000}"/>
    <cellStyle name="20% - Accent5 2 7 6" xfId="13990" xr:uid="{00000000-0005-0000-0000-000010260000}"/>
    <cellStyle name="20% - Accent5 2 7 6 2" xfId="25262" xr:uid="{00000000-0005-0000-0000-000011260000}"/>
    <cellStyle name="20% - Accent5 2 7 6 3" xfId="34139" xr:uid="{00000000-0005-0000-0000-000012260000}"/>
    <cellStyle name="20% - Accent5 2 7 7" xfId="18599" xr:uid="{00000000-0005-0000-0000-000013260000}"/>
    <cellStyle name="20% - Accent5 2 7 8" xfId="27480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1" xr:uid="{00000000-0005-0000-0000-000018260000}"/>
    <cellStyle name="20% - Accent5 2 8 2 2 3" xfId="31178" xr:uid="{00000000-0005-0000-0000-000019260000}"/>
    <cellStyle name="20% - Accent5 2 8 2 3" xfId="13246" xr:uid="{00000000-0005-0000-0000-00001A260000}"/>
    <cellStyle name="20% - Accent5 2 8 2 3 2" xfId="24520" xr:uid="{00000000-0005-0000-0000-00001B260000}"/>
    <cellStyle name="20% - Accent5 2 8 2 3 3" xfId="33397" xr:uid="{00000000-0005-0000-0000-00001C260000}"/>
    <cellStyle name="20% - Accent5 2 8 2 4" xfId="15696" xr:uid="{00000000-0005-0000-0000-00001D260000}"/>
    <cellStyle name="20% - Accent5 2 8 2 4 2" xfId="26739" xr:uid="{00000000-0005-0000-0000-00001E260000}"/>
    <cellStyle name="20% - Accent5 2 8 2 4 3" xfId="35616" xr:uid="{00000000-0005-0000-0000-00001F260000}"/>
    <cellStyle name="20% - Accent5 2 8 2 5" xfId="20082" xr:uid="{00000000-0005-0000-0000-000020260000}"/>
    <cellStyle name="20% - Accent5 2 8 2 6" xfId="28959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8" xr:uid="{00000000-0005-0000-0000-000024260000}"/>
    <cellStyle name="20% - Accent5 2 8 3 2 3" xfId="30445" xr:uid="{00000000-0005-0000-0000-000025260000}"/>
    <cellStyle name="20% - Accent5 2 8 3 3" xfId="12513" xr:uid="{00000000-0005-0000-0000-000026260000}"/>
    <cellStyle name="20% - Accent5 2 8 3 3 2" xfId="23787" xr:uid="{00000000-0005-0000-0000-000027260000}"/>
    <cellStyle name="20% - Accent5 2 8 3 3 3" xfId="32664" xr:uid="{00000000-0005-0000-0000-000028260000}"/>
    <cellStyle name="20% - Accent5 2 8 3 4" xfId="14963" xr:uid="{00000000-0005-0000-0000-000029260000}"/>
    <cellStyle name="20% - Accent5 2 8 3 4 2" xfId="26006" xr:uid="{00000000-0005-0000-0000-00002A260000}"/>
    <cellStyle name="20% - Accent5 2 8 3 4 3" xfId="34883" xr:uid="{00000000-0005-0000-0000-00002B260000}"/>
    <cellStyle name="20% - Accent5 2 8 3 5" xfId="19349" xr:uid="{00000000-0005-0000-0000-00002C260000}"/>
    <cellStyle name="20% - Accent5 2 8 3 6" xfId="28226" xr:uid="{00000000-0005-0000-0000-00002D260000}"/>
    <cellStyle name="20% - Accent5 2 8 4" xfId="9322" xr:uid="{00000000-0005-0000-0000-00002E260000}"/>
    <cellStyle name="20% - Accent5 2 8 4 2" xfId="20825" xr:uid="{00000000-0005-0000-0000-00002F260000}"/>
    <cellStyle name="20% - Accent5 2 8 4 3" xfId="29702" xr:uid="{00000000-0005-0000-0000-000030260000}"/>
    <cellStyle name="20% - Accent5 2 8 5" xfId="11770" xr:uid="{00000000-0005-0000-0000-000031260000}"/>
    <cellStyle name="20% - Accent5 2 8 5 2" xfId="23044" xr:uid="{00000000-0005-0000-0000-000032260000}"/>
    <cellStyle name="20% - Accent5 2 8 5 3" xfId="31921" xr:uid="{00000000-0005-0000-0000-000033260000}"/>
    <cellStyle name="20% - Accent5 2 8 6" xfId="13991" xr:uid="{00000000-0005-0000-0000-000034260000}"/>
    <cellStyle name="20% - Accent5 2 8 6 2" xfId="25263" xr:uid="{00000000-0005-0000-0000-000035260000}"/>
    <cellStyle name="20% - Accent5 2 8 6 3" xfId="34140" xr:uid="{00000000-0005-0000-0000-000036260000}"/>
    <cellStyle name="20% - Accent5 2 8 7" xfId="18600" xr:uid="{00000000-0005-0000-0000-000037260000}"/>
    <cellStyle name="20% - Accent5 2 8 8" xfId="27481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2" xr:uid="{00000000-0005-0000-0000-00003C260000}"/>
    <cellStyle name="20% - Accent5 2 9 2 2 3" xfId="31179" xr:uid="{00000000-0005-0000-0000-00003D260000}"/>
    <cellStyle name="20% - Accent5 2 9 2 3" xfId="13247" xr:uid="{00000000-0005-0000-0000-00003E260000}"/>
    <cellStyle name="20% - Accent5 2 9 2 3 2" xfId="24521" xr:uid="{00000000-0005-0000-0000-00003F260000}"/>
    <cellStyle name="20% - Accent5 2 9 2 3 3" xfId="33398" xr:uid="{00000000-0005-0000-0000-000040260000}"/>
    <cellStyle name="20% - Accent5 2 9 2 4" xfId="15697" xr:uid="{00000000-0005-0000-0000-000041260000}"/>
    <cellStyle name="20% - Accent5 2 9 2 4 2" xfId="26740" xr:uid="{00000000-0005-0000-0000-000042260000}"/>
    <cellStyle name="20% - Accent5 2 9 2 4 3" xfId="35617" xr:uid="{00000000-0005-0000-0000-000043260000}"/>
    <cellStyle name="20% - Accent5 2 9 2 5" xfId="20083" xr:uid="{00000000-0005-0000-0000-000044260000}"/>
    <cellStyle name="20% - Accent5 2 9 2 6" xfId="28960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69" xr:uid="{00000000-0005-0000-0000-000048260000}"/>
    <cellStyle name="20% - Accent5 2 9 3 2 3" xfId="30446" xr:uid="{00000000-0005-0000-0000-000049260000}"/>
    <cellStyle name="20% - Accent5 2 9 3 3" xfId="12514" xr:uid="{00000000-0005-0000-0000-00004A260000}"/>
    <cellStyle name="20% - Accent5 2 9 3 3 2" xfId="23788" xr:uid="{00000000-0005-0000-0000-00004B260000}"/>
    <cellStyle name="20% - Accent5 2 9 3 3 3" xfId="32665" xr:uid="{00000000-0005-0000-0000-00004C260000}"/>
    <cellStyle name="20% - Accent5 2 9 3 4" xfId="14964" xr:uid="{00000000-0005-0000-0000-00004D260000}"/>
    <cellStyle name="20% - Accent5 2 9 3 4 2" xfId="26007" xr:uid="{00000000-0005-0000-0000-00004E260000}"/>
    <cellStyle name="20% - Accent5 2 9 3 4 3" xfId="34884" xr:uid="{00000000-0005-0000-0000-00004F260000}"/>
    <cellStyle name="20% - Accent5 2 9 3 5" xfId="19350" xr:uid="{00000000-0005-0000-0000-000050260000}"/>
    <cellStyle name="20% - Accent5 2 9 3 6" xfId="28227" xr:uid="{00000000-0005-0000-0000-000051260000}"/>
    <cellStyle name="20% - Accent5 2 9 4" xfId="9323" xr:uid="{00000000-0005-0000-0000-000052260000}"/>
    <cellStyle name="20% - Accent5 2 9 4 2" xfId="20826" xr:uid="{00000000-0005-0000-0000-000053260000}"/>
    <cellStyle name="20% - Accent5 2 9 4 3" xfId="29703" xr:uid="{00000000-0005-0000-0000-000054260000}"/>
    <cellStyle name="20% - Accent5 2 9 5" xfId="11771" xr:uid="{00000000-0005-0000-0000-000055260000}"/>
    <cellStyle name="20% - Accent5 2 9 5 2" xfId="23045" xr:uid="{00000000-0005-0000-0000-000056260000}"/>
    <cellStyle name="20% - Accent5 2 9 5 3" xfId="31922" xr:uid="{00000000-0005-0000-0000-000057260000}"/>
    <cellStyle name="20% - Accent5 2 9 6" xfId="13992" xr:uid="{00000000-0005-0000-0000-000058260000}"/>
    <cellStyle name="20% - Accent5 2 9 6 2" xfId="25264" xr:uid="{00000000-0005-0000-0000-000059260000}"/>
    <cellStyle name="20% - Accent5 2 9 6 3" xfId="34141" xr:uid="{00000000-0005-0000-0000-00005A260000}"/>
    <cellStyle name="20% - Accent5 2 9 7" xfId="18601" xr:uid="{00000000-0005-0000-0000-00005B260000}"/>
    <cellStyle name="20% - Accent5 2 9 8" xfId="27482" xr:uid="{00000000-0005-0000-0000-00005C260000}"/>
    <cellStyle name="20% - Accent5 20" xfId="11504" xr:uid="{00000000-0005-0000-0000-00005D260000}"/>
    <cellStyle name="20% - Accent5 20 2" xfId="22778" xr:uid="{00000000-0005-0000-0000-00005E260000}"/>
    <cellStyle name="20% - Accent5 20 3" xfId="31655" xr:uid="{00000000-0005-0000-0000-00005F260000}"/>
    <cellStyle name="20% - Accent5 21" xfId="13723" xr:uid="{00000000-0005-0000-0000-000060260000}"/>
    <cellStyle name="20% - Accent5 21 2" xfId="24997" xr:uid="{00000000-0005-0000-0000-000061260000}"/>
    <cellStyle name="20% - Accent5 21 3" xfId="33874" xr:uid="{00000000-0005-0000-0000-000062260000}"/>
    <cellStyle name="20% - Accent5 22" xfId="18335" xr:uid="{00000000-0005-0000-0000-000063260000}"/>
    <cellStyle name="20% - Accent5 23" xfId="27216" xr:uid="{00000000-0005-0000-0000-000064260000}"/>
    <cellStyle name="20% - Accent5 25" xfId="36172" xr:uid="{00000000-0005-0000-0000-000066260000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3" xr:uid="{00000000-0005-0000-0000-00006C260000}"/>
    <cellStyle name="20% - Accent5 3 2 2 2 3" xfId="31180" xr:uid="{00000000-0005-0000-0000-00006D260000}"/>
    <cellStyle name="20% - Accent5 3 2 2 3" xfId="13248" xr:uid="{00000000-0005-0000-0000-00006E260000}"/>
    <cellStyle name="20% - Accent5 3 2 2 3 2" xfId="24522" xr:uid="{00000000-0005-0000-0000-00006F260000}"/>
    <cellStyle name="20% - Accent5 3 2 2 3 3" xfId="33399" xr:uid="{00000000-0005-0000-0000-000070260000}"/>
    <cellStyle name="20% - Accent5 3 2 2 4" xfId="15698" xr:uid="{00000000-0005-0000-0000-000071260000}"/>
    <cellStyle name="20% - Accent5 3 2 2 4 2" xfId="26741" xr:uid="{00000000-0005-0000-0000-000072260000}"/>
    <cellStyle name="20% - Accent5 3 2 2 4 3" xfId="35618" xr:uid="{00000000-0005-0000-0000-000073260000}"/>
    <cellStyle name="20% - Accent5 3 2 2 5" xfId="20084" xr:uid="{00000000-0005-0000-0000-000074260000}"/>
    <cellStyle name="20% - Accent5 3 2 2 6" xfId="28961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0" xr:uid="{00000000-0005-0000-0000-000078260000}"/>
    <cellStyle name="20% - Accent5 3 2 3 2 3" xfId="30447" xr:uid="{00000000-0005-0000-0000-000079260000}"/>
    <cellStyle name="20% - Accent5 3 2 3 3" xfId="12515" xr:uid="{00000000-0005-0000-0000-00007A260000}"/>
    <cellStyle name="20% - Accent5 3 2 3 3 2" xfId="23789" xr:uid="{00000000-0005-0000-0000-00007B260000}"/>
    <cellStyle name="20% - Accent5 3 2 3 3 3" xfId="32666" xr:uid="{00000000-0005-0000-0000-00007C260000}"/>
    <cellStyle name="20% - Accent5 3 2 3 4" xfId="14965" xr:uid="{00000000-0005-0000-0000-00007D260000}"/>
    <cellStyle name="20% - Accent5 3 2 3 4 2" xfId="26008" xr:uid="{00000000-0005-0000-0000-00007E260000}"/>
    <cellStyle name="20% - Accent5 3 2 3 4 3" xfId="34885" xr:uid="{00000000-0005-0000-0000-00007F260000}"/>
    <cellStyle name="20% - Accent5 3 2 3 5" xfId="19351" xr:uid="{00000000-0005-0000-0000-000080260000}"/>
    <cellStyle name="20% - Accent5 3 2 3 6" xfId="28228" xr:uid="{00000000-0005-0000-0000-000081260000}"/>
    <cellStyle name="20% - Accent5 3 2 4" xfId="9324" xr:uid="{00000000-0005-0000-0000-000082260000}"/>
    <cellStyle name="20% - Accent5 3 2 4 2" xfId="20827" xr:uid="{00000000-0005-0000-0000-000083260000}"/>
    <cellStyle name="20% - Accent5 3 2 4 3" xfId="29704" xr:uid="{00000000-0005-0000-0000-000084260000}"/>
    <cellStyle name="20% - Accent5 3 2 5" xfId="11772" xr:uid="{00000000-0005-0000-0000-000085260000}"/>
    <cellStyle name="20% - Accent5 3 2 5 2" xfId="23046" xr:uid="{00000000-0005-0000-0000-000086260000}"/>
    <cellStyle name="20% - Accent5 3 2 5 3" xfId="31923" xr:uid="{00000000-0005-0000-0000-000087260000}"/>
    <cellStyle name="20% - Accent5 3 2 6" xfId="13993" xr:uid="{00000000-0005-0000-0000-000088260000}"/>
    <cellStyle name="20% - Accent5 3 2 6 2" xfId="25265" xr:uid="{00000000-0005-0000-0000-000089260000}"/>
    <cellStyle name="20% - Accent5 3 2 6 3" xfId="34142" xr:uid="{00000000-0005-0000-0000-00008A260000}"/>
    <cellStyle name="20% - Accent5 3 2 7" xfId="18602" xr:uid="{00000000-0005-0000-0000-00008B260000}"/>
    <cellStyle name="20% - Accent5 3 2 8" xfId="27483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4" xr:uid="{00000000-0005-0000-0000-000090260000}"/>
    <cellStyle name="20% - Accent5 3 3 2 2 3" xfId="31181" xr:uid="{00000000-0005-0000-0000-000091260000}"/>
    <cellStyle name="20% - Accent5 3 3 2 3" xfId="13249" xr:uid="{00000000-0005-0000-0000-000092260000}"/>
    <cellStyle name="20% - Accent5 3 3 2 3 2" xfId="24523" xr:uid="{00000000-0005-0000-0000-000093260000}"/>
    <cellStyle name="20% - Accent5 3 3 2 3 3" xfId="33400" xr:uid="{00000000-0005-0000-0000-000094260000}"/>
    <cellStyle name="20% - Accent5 3 3 2 4" xfId="15699" xr:uid="{00000000-0005-0000-0000-000095260000}"/>
    <cellStyle name="20% - Accent5 3 3 2 4 2" xfId="26742" xr:uid="{00000000-0005-0000-0000-000096260000}"/>
    <cellStyle name="20% - Accent5 3 3 2 4 3" xfId="35619" xr:uid="{00000000-0005-0000-0000-000097260000}"/>
    <cellStyle name="20% - Accent5 3 3 2 5" xfId="20085" xr:uid="{00000000-0005-0000-0000-000098260000}"/>
    <cellStyle name="20% - Accent5 3 3 2 6" xfId="28962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1" xr:uid="{00000000-0005-0000-0000-00009C260000}"/>
    <cellStyle name="20% - Accent5 3 3 3 2 3" xfId="30448" xr:uid="{00000000-0005-0000-0000-00009D260000}"/>
    <cellStyle name="20% - Accent5 3 3 3 3" xfId="12516" xr:uid="{00000000-0005-0000-0000-00009E260000}"/>
    <cellStyle name="20% - Accent5 3 3 3 3 2" xfId="23790" xr:uid="{00000000-0005-0000-0000-00009F260000}"/>
    <cellStyle name="20% - Accent5 3 3 3 3 3" xfId="32667" xr:uid="{00000000-0005-0000-0000-0000A0260000}"/>
    <cellStyle name="20% - Accent5 3 3 3 4" xfId="14966" xr:uid="{00000000-0005-0000-0000-0000A1260000}"/>
    <cellStyle name="20% - Accent5 3 3 3 4 2" xfId="26009" xr:uid="{00000000-0005-0000-0000-0000A2260000}"/>
    <cellStyle name="20% - Accent5 3 3 3 4 3" xfId="34886" xr:uid="{00000000-0005-0000-0000-0000A3260000}"/>
    <cellStyle name="20% - Accent5 3 3 3 5" xfId="19352" xr:uid="{00000000-0005-0000-0000-0000A4260000}"/>
    <cellStyle name="20% - Accent5 3 3 3 6" xfId="28229" xr:uid="{00000000-0005-0000-0000-0000A5260000}"/>
    <cellStyle name="20% - Accent5 3 3 4" xfId="9325" xr:uid="{00000000-0005-0000-0000-0000A6260000}"/>
    <cellStyle name="20% - Accent5 3 3 4 2" xfId="20828" xr:uid="{00000000-0005-0000-0000-0000A7260000}"/>
    <cellStyle name="20% - Accent5 3 3 4 3" xfId="29705" xr:uid="{00000000-0005-0000-0000-0000A8260000}"/>
    <cellStyle name="20% - Accent5 3 3 5" xfId="11773" xr:uid="{00000000-0005-0000-0000-0000A9260000}"/>
    <cellStyle name="20% - Accent5 3 3 5 2" xfId="23047" xr:uid="{00000000-0005-0000-0000-0000AA260000}"/>
    <cellStyle name="20% - Accent5 3 3 5 3" xfId="31924" xr:uid="{00000000-0005-0000-0000-0000AB260000}"/>
    <cellStyle name="20% - Accent5 3 3 6" xfId="13994" xr:uid="{00000000-0005-0000-0000-0000AC260000}"/>
    <cellStyle name="20% - Accent5 3 3 6 2" xfId="25266" xr:uid="{00000000-0005-0000-0000-0000AD260000}"/>
    <cellStyle name="20% - Accent5 3 3 6 3" xfId="34143" xr:uid="{00000000-0005-0000-0000-0000AE260000}"/>
    <cellStyle name="20% - Accent5 3 3 7" xfId="18603" xr:uid="{00000000-0005-0000-0000-0000AF260000}"/>
    <cellStyle name="20% - Accent5 3 3 8" xfId="27484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5" xr:uid="{00000000-0005-0000-0000-0000B4260000}"/>
    <cellStyle name="20% - Accent5 3 4 2 2 3" xfId="31182" xr:uid="{00000000-0005-0000-0000-0000B5260000}"/>
    <cellStyle name="20% - Accent5 3 4 2 3" xfId="13250" xr:uid="{00000000-0005-0000-0000-0000B6260000}"/>
    <cellStyle name="20% - Accent5 3 4 2 3 2" xfId="24524" xr:uid="{00000000-0005-0000-0000-0000B7260000}"/>
    <cellStyle name="20% - Accent5 3 4 2 3 3" xfId="33401" xr:uid="{00000000-0005-0000-0000-0000B8260000}"/>
    <cellStyle name="20% - Accent5 3 4 2 4" xfId="15700" xr:uid="{00000000-0005-0000-0000-0000B9260000}"/>
    <cellStyle name="20% - Accent5 3 4 2 4 2" xfId="26743" xr:uid="{00000000-0005-0000-0000-0000BA260000}"/>
    <cellStyle name="20% - Accent5 3 4 2 4 3" xfId="35620" xr:uid="{00000000-0005-0000-0000-0000BB260000}"/>
    <cellStyle name="20% - Accent5 3 4 2 5" xfId="20086" xr:uid="{00000000-0005-0000-0000-0000BC260000}"/>
    <cellStyle name="20% - Accent5 3 4 2 6" xfId="28963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2" xr:uid="{00000000-0005-0000-0000-0000C0260000}"/>
    <cellStyle name="20% - Accent5 3 4 3 2 3" xfId="30449" xr:uid="{00000000-0005-0000-0000-0000C1260000}"/>
    <cellStyle name="20% - Accent5 3 4 3 3" xfId="12517" xr:uid="{00000000-0005-0000-0000-0000C2260000}"/>
    <cellStyle name="20% - Accent5 3 4 3 3 2" xfId="23791" xr:uid="{00000000-0005-0000-0000-0000C3260000}"/>
    <cellStyle name="20% - Accent5 3 4 3 3 3" xfId="32668" xr:uid="{00000000-0005-0000-0000-0000C4260000}"/>
    <cellStyle name="20% - Accent5 3 4 3 4" xfId="14967" xr:uid="{00000000-0005-0000-0000-0000C5260000}"/>
    <cellStyle name="20% - Accent5 3 4 3 4 2" xfId="26010" xr:uid="{00000000-0005-0000-0000-0000C6260000}"/>
    <cellStyle name="20% - Accent5 3 4 3 4 3" xfId="34887" xr:uid="{00000000-0005-0000-0000-0000C7260000}"/>
    <cellStyle name="20% - Accent5 3 4 3 5" xfId="19353" xr:uid="{00000000-0005-0000-0000-0000C8260000}"/>
    <cellStyle name="20% - Accent5 3 4 3 6" xfId="28230" xr:uid="{00000000-0005-0000-0000-0000C9260000}"/>
    <cellStyle name="20% - Accent5 3 4 4" xfId="9326" xr:uid="{00000000-0005-0000-0000-0000CA260000}"/>
    <cellStyle name="20% - Accent5 3 4 4 2" xfId="20829" xr:uid="{00000000-0005-0000-0000-0000CB260000}"/>
    <cellStyle name="20% - Accent5 3 4 4 3" xfId="29706" xr:uid="{00000000-0005-0000-0000-0000CC260000}"/>
    <cellStyle name="20% - Accent5 3 4 5" xfId="11774" xr:uid="{00000000-0005-0000-0000-0000CD260000}"/>
    <cellStyle name="20% - Accent5 3 4 5 2" xfId="23048" xr:uid="{00000000-0005-0000-0000-0000CE260000}"/>
    <cellStyle name="20% - Accent5 3 4 5 3" xfId="31925" xr:uid="{00000000-0005-0000-0000-0000CF260000}"/>
    <cellStyle name="20% - Accent5 3 4 6" xfId="13995" xr:uid="{00000000-0005-0000-0000-0000D0260000}"/>
    <cellStyle name="20% - Accent5 3 4 6 2" xfId="25267" xr:uid="{00000000-0005-0000-0000-0000D1260000}"/>
    <cellStyle name="20% - Accent5 3 4 6 3" xfId="34144" xr:uid="{00000000-0005-0000-0000-0000D2260000}"/>
    <cellStyle name="20% - Accent5 3 4 7" xfId="18604" xr:uid="{00000000-0005-0000-0000-0000D3260000}"/>
    <cellStyle name="20% - Accent5 3 4 8" xfId="27485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6" xr:uid="{00000000-0005-0000-0000-0000D8260000}"/>
    <cellStyle name="20% - Accent5 3 5 2 2 3" xfId="31183" xr:uid="{00000000-0005-0000-0000-0000D9260000}"/>
    <cellStyle name="20% - Accent5 3 5 2 3" xfId="13251" xr:uid="{00000000-0005-0000-0000-0000DA260000}"/>
    <cellStyle name="20% - Accent5 3 5 2 3 2" xfId="24525" xr:uid="{00000000-0005-0000-0000-0000DB260000}"/>
    <cellStyle name="20% - Accent5 3 5 2 3 3" xfId="33402" xr:uid="{00000000-0005-0000-0000-0000DC260000}"/>
    <cellStyle name="20% - Accent5 3 5 2 4" xfId="15701" xr:uid="{00000000-0005-0000-0000-0000DD260000}"/>
    <cellStyle name="20% - Accent5 3 5 2 4 2" xfId="26744" xr:uid="{00000000-0005-0000-0000-0000DE260000}"/>
    <cellStyle name="20% - Accent5 3 5 2 4 3" xfId="35621" xr:uid="{00000000-0005-0000-0000-0000DF260000}"/>
    <cellStyle name="20% - Accent5 3 5 2 5" xfId="20087" xr:uid="{00000000-0005-0000-0000-0000E0260000}"/>
    <cellStyle name="20% - Accent5 3 5 2 6" xfId="28964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3" xr:uid="{00000000-0005-0000-0000-0000E4260000}"/>
    <cellStyle name="20% - Accent5 3 5 3 2 3" xfId="30450" xr:uid="{00000000-0005-0000-0000-0000E5260000}"/>
    <cellStyle name="20% - Accent5 3 5 3 3" xfId="12518" xr:uid="{00000000-0005-0000-0000-0000E6260000}"/>
    <cellStyle name="20% - Accent5 3 5 3 3 2" xfId="23792" xr:uid="{00000000-0005-0000-0000-0000E7260000}"/>
    <cellStyle name="20% - Accent5 3 5 3 3 3" xfId="32669" xr:uid="{00000000-0005-0000-0000-0000E8260000}"/>
    <cellStyle name="20% - Accent5 3 5 3 4" xfId="14968" xr:uid="{00000000-0005-0000-0000-0000E9260000}"/>
    <cellStyle name="20% - Accent5 3 5 3 4 2" xfId="26011" xr:uid="{00000000-0005-0000-0000-0000EA260000}"/>
    <cellStyle name="20% - Accent5 3 5 3 4 3" xfId="34888" xr:uid="{00000000-0005-0000-0000-0000EB260000}"/>
    <cellStyle name="20% - Accent5 3 5 3 5" xfId="19354" xr:uid="{00000000-0005-0000-0000-0000EC260000}"/>
    <cellStyle name="20% - Accent5 3 5 3 6" xfId="28231" xr:uid="{00000000-0005-0000-0000-0000ED260000}"/>
    <cellStyle name="20% - Accent5 3 5 4" xfId="9327" xr:uid="{00000000-0005-0000-0000-0000EE260000}"/>
    <cellStyle name="20% - Accent5 3 5 4 2" xfId="20830" xr:uid="{00000000-0005-0000-0000-0000EF260000}"/>
    <cellStyle name="20% - Accent5 3 5 4 3" xfId="29707" xr:uid="{00000000-0005-0000-0000-0000F0260000}"/>
    <cellStyle name="20% - Accent5 3 5 5" xfId="11775" xr:uid="{00000000-0005-0000-0000-0000F1260000}"/>
    <cellStyle name="20% - Accent5 3 5 5 2" xfId="23049" xr:uid="{00000000-0005-0000-0000-0000F2260000}"/>
    <cellStyle name="20% - Accent5 3 5 5 3" xfId="31926" xr:uid="{00000000-0005-0000-0000-0000F3260000}"/>
    <cellStyle name="20% - Accent5 3 5 6" xfId="13996" xr:uid="{00000000-0005-0000-0000-0000F4260000}"/>
    <cellStyle name="20% - Accent5 3 5 6 2" xfId="25268" xr:uid="{00000000-0005-0000-0000-0000F5260000}"/>
    <cellStyle name="20% - Accent5 3 5 6 3" xfId="34145" xr:uid="{00000000-0005-0000-0000-0000F6260000}"/>
    <cellStyle name="20% - Accent5 3 5 7" xfId="18605" xr:uid="{00000000-0005-0000-0000-0000F7260000}"/>
    <cellStyle name="20% - Accent5 3 5 8" xfId="27486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7" xr:uid="{00000000-0005-0000-0000-0000FD260000}"/>
    <cellStyle name="20% - Accent5 3 6 2 2 2 3" xfId="31184" xr:uid="{00000000-0005-0000-0000-0000FE260000}"/>
    <cellStyle name="20% - Accent5 3 6 2 2 3" xfId="13252" xr:uid="{00000000-0005-0000-0000-0000FF260000}"/>
    <cellStyle name="20% - Accent5 3 6 2 2 3 2" xfId="24526" xr:uid="{00000000-0005-0000-0000-000000270000}"/>
    <cellStyle name="20% - Accent5 3 6 2 2 3 3" xfId="33403" xr:uid="{00000000-0005-0000-0000-000001270000}"/>
    <cellStyle name="20% - Accent5 3 6 2 2 4" xfId="15702" xr:uid="{00000000-0005-0000-0000-000002270000}"/>
    <cellStyle name="20% - Accent5 3 6 2 2 4 2" xfId="26745" xr:uid="{00000000-0005-0000-0000-000003270000}"/>
    <cellStyle name="20% - Accent5 3 6 2 2 4 3" xfId="35622" xr:uid="{00000000-0005-0000-0000-000004270000}"/>
    <cellStyle name="20% - Accent5 3 6 2 2 5" xfId="20088" xr:uid="{00000000-0005-0000-0000-000005270000}"/>
    <cellStyle name="20% - Accent5 3 6 2 2 6" xfId="28965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4" xr:uid="{00000000-0005-0000-0000-000009270000}"/>
    <cellStyle name="20% - Accent5 3 6 2 3 2 3" xfId="30451" xr:uid="{00000000-0005-0000-0000-00000A270000}"/>
    <cellStyle name="20% - Accent5 3 6 2 3 3" xfId="12519" xr:uid="{00000000-0005-0000-0000-00000B270000}"/>
    <cellStyle name="20% - Accent5 3 6 2 3 3 2" xfId="23793" xr:uid="{00000000-0005-0000-0000-00000C270000}"/>
    <cellStyle name="20% - Accent5 3 6 2 3 3 3" xfId="32670" xr:uid="{00000000-0005-0000-0000-00000D270000}"/>
    <cellStyle name="20% - Accent5 3 6 2 3 4" xfId="14969" xr:uid="{00000000-0005-0000-0000-00000E270000}"/>
    <cellStyle name="20% - Accent5 3 6 2 3 4 2" xfId="26012" xr:uid="{00000000-0005-0000-0000-00000F270000}"/>
    <cellStyle name="20% - Accent5 3 6 2 3 4 3" xfId="34889" xr:uid="{00000000-0005-0000-0000-000010270000}"/>
    <cellStyle name="20% - Accent5 3 6 2 3 5" xfId="19355" xr:uid="{00000000-0005-0000-0000-000011270000}"/>
    <cellStyle name="20% - Accent5 3 6 2 3 6" xfId="28232" xr:uid="{00000000-0005-0000-0000-000012270000}"/>
    <cellStyle name="20% - Accent5 3 6 2 4" xfId="9328" xr:uid="{00000000-0005-0000-0000-000013270000}"/>
    <cellStyle name="20% - Accent5 3 6 2 4 2" xfId="20831" xr:uid="{00000000-0005-0000-0000-000014270000}"/>
    <cellStyle name="20% - Accent5 3 6 2 4 3" xfId="29708" xr:uid="{00000000-0005-0000-0000-000015270000}"/>
    <cellStyle name="20% - Accent5 3 6 2 5" xfId="11776" xr:uid="{00000000-0005-0000-0000-000016270000}"/>
    <cellStyle name="20% - Accent5 3 6 2 5 2" xfId="23050" xr:uid="{00000000-0005-0000-0000-000017270000}"/>
    <cellStyle name="20% - Accent5 3 6 2 5 3" xfId="31927" xr:uid="{00000000-0005-0000-0000-000018270000}"/>
    <cellStyle name="20% - Accent5 3 6 2 6" xfId="13997" xr:uid="{00000000-0005-0000-0000-000019270000}"/>
    <cellStyle name="20% - Accent5 3 6 2 6 2" xfId="25269" xr:uid="{00000000-0005-0000-0000-00001A270000}"/>
    <cellStyle name="20% - Accent5 3 6 2 6 3" xfId="34146" xr:uid="{00000000-0005-0000-0000-00001B270000}"/>
    <cellStyle name="20% - Accent5 3 6 2 7" xfId="18606" xr:uid="{00000000-0005-0000-0000-00001C270000}"/>
    <cellStyle name="20% - Accent5 3 6 2 8" xfId="27487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8" xr:uid="{00000000-0005-0000-0000-000021270000}"/>
    <cellStyle name="20% - Accent5 3 6 3 2 2 3" xfId="31185" xr:uid="{00000000-0005-0000-0000-000022270000}"/>
    <cellStyle name="20% - Accent5 3 6 3 2 3" xfId="13253" xr:uid="{00000000-0005-0000-0000-000023270000}"/>
    <cellStyle name="20% - Accent5 3 6 3 2 3 2" xfId="24527" xr:uid="{00000000-0005-0000-0000-000024270000}"/>
    <cellStyle name="20% - Accent5 3 6 3 2 3 3" xfId="33404" xr:uid="{00000000-0005-0000-0000-000025270000}"/>
    <cellStyle name="20% - Accent5 3 6 3 2 4" xfId="15703" xr:uid="{00000000-0005-0000-0000-000026270000}"/>
    <cellStyle name="20% - Accent5 3 6 3 2 4 2" xfId="26746" xr:uid="{00000000-0005-0000-0000-000027270000}"/>
    <cellStyle name="20% - Accent5 3 6 3 2 4 3" xfId="35623" xr:uid="{00000000-0005-0000-0000-000028270000}"/>
    <cellStyle name="20% - Accent5 3 6 3 2 5" xfId="20089" xr:uid="{00000000-0005-0000-0000-000029270000}"/>
    <cellStyle name="20% - Accent5 3 6 3 2 6" xfId="28966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5" xr:uid="{00000000-0005-0000-0000-00002D270000}"/>
    <cellStyle name="20% - Accent5 3 6 3 3 2 3" xfId="30452" xr:uid="{00000000-0005-0000-0000-00002E270000}"/>
    <cellStyle name="20% - Accent5 3 6 3 3 3" xfId="12520" xr:uid="{00000000-0005-0000-0000-00002F270000}"/>
    <cellStyle name="20% - Accent5 3 6 3 3 3 2" xfId="23794" xr:uid="{00000000-0005-0000-0000-000030270000}"/>
    <cellStyle name="20% - Accent5 3 6 3 3 3 3" xfId="32671" xr:uid="{00000000-0005-0000-0000-000031270000}"/>
    <cellStyle name="20% - Accent5 3 6 3 3 4" xfId="14970" xr:uid="{00000000-0005-0000-0000-000032270000}"/>
    <cellStyle name="20% - Accent5 3 6 3 3 4 2" xfId="26013" xr:uid="{00000000-0005-0000-0000-000033270000}"/>
    <cellStyle name="20% - Accent5 3 6 3 3 4 3" xfId="34890" xr:uid="{00000000-0005-0000-0000-000034270000}"/>
    <cellStyle name="20% - Accent5 3 6 3 3 5" xfId="19356" xr:uid="{00000000-0005-0000-0000-000035270000}"/>
    <cellStyle name="20% - Accent5 3 6 3 3 6" xfId="28233" xr:uid="{00000000-0005-0000-0000-000036270000}"/>
    <cellStyle name="20% - Accent5 3 6 3 4" xfId="9329" xr:uid="{00000000-0005-0000-0000-000037270000}"/>
    <cellStyle name="20% - Accent5 3 6 3 4 2" xfId="20832" xr:uid="{00000000-0005-0000-0000-000038270000}"/>
    <cellStyle name="20% - Accent5 3 6 3 4 3" xfId="29709" xr:uid="{00000000-0005-0000-0000-000039270000}"/>
    <cellStyle name="20% - Accent5 3 6 3 5" xfId="11777" xr:uid="{00000000-0005-0000-0000-00003A270000}"/>
    <cellStyle name="20% - Accent5 3 6 3 5 2" xfId="23051" xr:uid="{00000000-0005-0000-0000-00003B270000}"/>
    <cellStyle name="20% - Accent5 3 6 3 5 3" xfId="31928" xr:uid="{00000000-0005-0000-0000-00003C270000}"/>
    <cellStyle name="20% - Accent5 3 6 3 6" xfId="13998" xr:uid="{00000000-0005-0000-0000-00003D270000}"/>
    <cellStyle name="20% - Accent5 3 6 3 6 2" xfId="25270" xr:uid="{00000000-0005-0000-0000-00003E270000}"/>
    <cellStyle name="20% - Accent5 3 6 3 6 3" xfId="34147" xr:uid="{00000000-0005-0000-0000-00003F270000}"/>
    <cellStyle name="20% - Accent5 3 6 3 7" xfId="18607" xr:uid="{00000000-0005-0000-0000-000040270000}"/>
    <cellStyle name="20% - Accent5 3 6 3 8" xfId="27488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09" xr:uid="{00000000-0005-0000-0000-000045270000}"/>
    <cellStyle name="20% - Accent5 3 6 4 2 2 3" xfId="31186" xr:uid="{00000000-0005-0000-0000-000046270000}"/>
    <cellStyle name="20% - Accent5 3 6 4 2 3" xfId="13254" xr:uid="{00000000-0005-0000-0000-000047270000}"/>
    <cellStyle name="20% - Accent5 3 6 4 2 3 2" xfId="24528" xr:uid="{00000000-0005-0000-0000-000048270000}"/>
    <cellStyle name="20% - Accent5 3 6 4 2 3 3" xfId="33405" xr:uid="{00000000-0005-0000-0000-000049270000}"/>
    <cellStyle name="20% - Accent5 3 6 4 2 4" xfId="15704" xr:uid="{00000000-0005-0000-0000-00004A270000}"/>
    <cellStyle name="20% - Accent5 3 6 4 2 4 2" xfId="26747" xr:uid="{00000000-0005-0000-0000-00004B270000}"/>
    <cellStyle name="20% - Accent5 3 6 4 2 4 3" xfId="35624" xr:uid="{00000000-0005-0000-0000-00004C270000}"/>
    <cellStyle name="20% - Accent5 3 6 4 2 5" xfId="20090" xr:uid="{00000000-0005-0000-0000-00004D270000}"/>
    <cellStyle name="20% - Accent5 3 6 4 2 6" xfId="28967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6" xr:uid="{00000000-0005-0000-0000-000051270000}"/>
    <cellStyle name="20% - Accent5 3 6 4 3 2 3" xfId="30453" xr:uid="{00000000-0005-0000-0000-000052270000}"/>
    <cellStyle name="20% - Accent5 3 6 4 3 3" xfId="12521" xr:uid="{00000000-0005-0000-0000-000053270000}"/>
    <cellStyle name="20% - Accent5 3 6 4 3 3 2" xfId="23795" xr:uid="{00000000-0005-0000-0000-000054270000}"/>
    <cellStyle name="20% - Accent5 3 6 4 3 3 3" xfId="32672" xr:uid="{00000000-0005-0000-0000-000055270000}"/>
    <cellStyle name="20% - Accent5 3 6 4 3 4" xfId="14971" xr:uid="{00000000-0005-0000-0000-000056270000}"/>
    <cellStyle name="20% - Accent5 3 6 4 3 4 2" xfId="26014" xr:uid="{00000000-0005-0000-0000-000057270000}"/>
    <cellStyle name="20% - Accent5 3 6 4 3 4 3" xfId="34891" xr:uid="{00000000-0005-0000-0000-000058270000}"/>
    <cellStyle name="20% - Accent5 3 6 4 3 5" xfId="19357" xr:uid="{00000000-0005-0000-0000-000059270000}"/>
    <cellStyle name="20% - Accent5 3 6 4 3 6" xfId="28234" xr:uid="{00000000-0005-0000-0000-00005A270000}"/>
    <cellStyle name="20% - Accent5 3 6 4 4" xfId="9330" xr:uid="{00000000-0005-0000-0000-00005B270000}"/>
    <cellStyle name="20% - Accent5 3 6 4 4 2" xfId="20833" xr:uid="{00000000-0005-0000-0000-00005C270000}"/>
    <cellStyle name="20% - Accent5 3 6 4 4 3" xfId="29710" xr:uid="{00000000-0005-0000-0000-00005D270000}"/>
    <cellStyle name="20% - Accent5 3 6 4 5" xfId="11778" xr:uid="{00000000-0005-0000-0000-00005E270000}"/>
    <cellStyle name="20% - Accent5 3 6 4 5 2" xfId="23052" xr:uid="{00000000-0005-0000-0000-00005F270000}"/>
    <cellStyle name="20% - Accent5 3 6 4 5 3" xfId="31929" xr:uid="{00000000-0005-0000-0000-000060270000}"/>
    <cellStyle name="20% - Accent5 3 6 4 6" xfId="13999" xr:uid="{00000000-0005-0000-0000-000061270000}"/>
    <cellStyle name="20% - Accent5 3 6 4 6 2" xfId="25271" xr:uid="{00000000-0005-0000-0000-000062270000}"/>
    <cellStyle name="20% - Accent5 3 6 4 6 3" xfId="34148" xr:uid="{00000000-0005-0000-0000-000063270000}"/>
    <cellStyle name="20% - Accent5 3 6 4 7" xfId="18608" xr:uid="{00000000-0005-0000-0000-000064270000}"/>
    <cellStyle name="20% - Accent5 3 6 4 8" xfId="27489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0" xr:uid="{00000000-0005-0000-0000-000069270000}"/>
    <cellStyle name="20% - Accent5 3 6 5 2 2 3" xfId="31187" xr:uid="{00000000-0005-0000-0000-00006A270000}"/>
    <cellStyle name="20% - Accent5 3 6 5 2 3" xfId="13255" xr:uid="{00000000-0005-0000-0000-00006B270000}"/>
    <cellStyle name="20% - Accent5 3 6 5 2 3 2" xfId="24529" xr:uid="{00000000-0005-0000-0000-00006C270000}"/>
    <cellStyle name="20% - Accent5 3 6 5 2 3 3" xfId="33406" xr:uid="{00000000-0005-0000-0000-00006D270000}"/>
    <cellStyle name="20% - Accent5 3 6 5 2 4" xfId="15705" xr:uid="{00000000-0005-0000-0000-00006E270000}"/>
    <cellStyle name="20% - Accent5 3 6 5 2 4 2" xfId="26748" xr:uid="{00000000-0005-0000-0000-00006F270000}"/>
    <cellStyle name="20% - Accent5 3 6 5 2 4 3" xfId="35625" xr:uid="{00000000-0005-0000-0000-000070270000}"/>
    <cellStyle name="20% - Accent5 3 6 5 2 5" xfId="20091" xr:uid="{00000000-0005-0000-0000-000071270000}"/>
    <cellStyle name="20% - Accent5 3 6 5 2 6" xfId="28968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7" xr:uid="{00000000-0005-0000-0000-000075270000}"/>
    <cellStyle name="20% - Accent5 3 6 5 3 2 3" xfId="30454" xr:uid="{00000000-0005-0000-0000-000076270000}"/>
    <cellStyle name="20% - Accent5 3 6 5 3 3" xfId="12522" xr:uid="{00000000-0005-0000-0000-000077270000}"/>
    <cellStyle name="20% - Accent5 3 6 5 3 3 2" xfId="23796" xr:uid="{00000000-0005-0000-0000-000078270000}"/>
    <cellStyle name="20% - Accent5 3 6 5 3 3 3" xfId="32673" xr:uid="{00000000-0005-0000-0000-000079270000}"/>
    <cellStyle name="20% - Accent5 3 6 5 3 4" xfId="14972" xr:uid="{00000000-0005-0000-0000-00007A270000}"/>
    <cellStyle name="20% - Accent5 3 6 5 3 4 2" xfId="26015" xr:uid="{00000000-0005-0000-0000-00007B270000}"/>
    <cellStyle name="20% - Accent5 3 6 5 3 4 3" xfId="34892" xr:uid="{00000000-0005-0000-0000-00007C270000}"/>
    <cellStyle name="20% - Accent5 3 6 5 3 5" xfId="19358" xr:uid="{00000000-0005-0000-0000-00007D270000}"/>
    <cellStyle name="20% - Accent5 3 6 5 3 6" xfId="28235" xr:uid="{00000000-0005-0000-0000-00007E270000}"/>
    <cellStyle name="20% - Accent5 3 6 5 4" xfId="9331" xr:uid="{00000000-0005-0000-0000-00007F270000}"/>
    <cellStyle name="20% - Accent5 3 6 5 4 2" xfId="20834" xr:uid="{00000000-0005-0000-0000-000080270000}"/>
    <cellStyle name="20% - Accent5 3 6 5 4 3" xfId="29711" xr:uid="{00000000-0005-0000-0000-000081270000}"/>
    <cellStyle name="20% - Accent5 3 6 5 5" xfId="11779" xr:uid="{00000000-0005-0000-0000-000082270000}"/>
    <cellStyle name="20% - Accent5 3 6 5 5 2" xfId="23053" xr:uid="{00000000-0005-0000-0000-000083270000}"/>
    <cellStyle name="20% - Accent5 3 6 5 5 3" xfId="31930" xr:uid="{00000000-0005-0000-0000-000084270000}"/>
    <cellStyle name="20% - Accent5 3 6 5 6" xfId="14000" xr:uid="{00000000-0005-0000-0000-000085270000}"/>
    <cellStyle name="20% - Accent5 3 6 5 6 2" xfId="25272" xr:uid="{00000000-0005-0000-0000-000086270000}"/>
    <cellStyle name="20% - Accent5 3 6 5 6 3" xfId="34149" xr:uid="{00000000-0005-0000-0000-000087270000}"/>
    <cellStyle name="20% - Accent5 3 6 5 7" xfId="18609" xr:uid="{00000000-0005-0000-0000-000088270000}"/>
    <cellStyle name="20% - Accent5 3 6 5 8" xfId="27490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1" xr:uid="{00000000-0005-0000-0000-000093270000}"/>
    <cellStyle name="20% - Accent5 4 2 2 2 2 3" xfId="31188" xr:uid="{00000000-0005-0000-0000-000094270000}"/>
    <cellStyle name="20% - Accent5 4 2 2 2 3" xfId="13256" xr:uid="{00000000-0005-0000-0000-000095270000}"/>
    <cellStyle name="20% - Accent5 4 2 2 2 3 2" xfId="24530" xr:uid="{00000000-0005-0000-0000-000096270000}"/>
    <cellStyle name="20% - Accent5 4 2 2 2 3 3" xfId="33407" xr:uid="{00000000-0005-0000-0000-000097270000}"/>
    <cellStyle name="20% - Accent5 4 2 2 2 4" xfId="15706" xr:uid="{00000000-0005-0000-0000-000098270000}"/>
    <cellStyle name="20% - Accent5 4 2 2 2 4 2" xfId="26749" xr:uid="{00000000-0005-0000-0000-000099270000}"/>
    <cellStyle name="20% - Accent5 4 2 2 2 4 3" xfId="35626" xr:uid="{00000000-0005-0000-0000-00009A270000}"/>
    <cellStyle name="20% - Accent5 4 2 2 2 5" xfId="20092" xr:uid="{00000000-0005-0000-0000-00009B270000}"/>
    <cellStyle name="20% - Accent5 4 2 2 2 6" xfId="28969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8" xr:uid="{00000000-0005-0000-0000-00009F270000}"/>
    <cellStyle name="20% - Accent5 4 2 2 3 2 3" xfId="30455" xr:uid="{00000000-0005-0000-0000-0000A0270000}"/>
    <cellStyle name="20% - Accent5 4 2 2 3 3" xfId="12523" xr:uid="{00000000-0005-0000-0000-0000A1270000}"/>
    <cellStyle name="20% - Accent5 4 2 2 3 3 2" xfId="23797" xr:uid="{00000000-0005-0000-0000-0000A2270000}"/>
    <cellStyle name="20% - Accent5 4 2 2 3 3 3" xfId="32674" xr:uid="{00000000-0005-0000-0000-0000A3270000}"/>
    <cellStyle name="20% - Accent5 4 2 2 3 4" xfId="14973" xr:uid="{00000000-0005-0000-0000-0000A4270000}"/>
    <cellStyle name="20% - Accent5 4 2 2 3 4 2" xfId="26016" xr:uid="{00000000-0005-0000-0000-0000A5270000}"/>
    <cellStyle name="20% - Accent5 4 2 2 3 4 3" xfId="34893" xr:uid="{00000000-0005-0000-0000-0000A6270000}"/>
    <cellStyle name="20% - Accent5 4 2 2 3 5" xfId="19359" xr:uid="{00000000-0005-0000-0000-0000A7270000}"/>
    <cellStyle name="20% - Accent5 4 2 2 3 6" xfId="28236" xr:uid="{00000000-0005-0000-0000-0000A8270000}"/>
    <cellStyle name="20% - Accent5 4 2 2 4" xfId="9332" xr:uid="{00000000-0005-0000-0000-0000A9270000}"/>
    <cellStyle name="20% - Accent5 4 2 2 4 2" xfId="20835" xr:uid="{00000000-0005-0000-0000-0000AA270000}"/>
    <cellStyle name="20% - Accent5 4 2 2 4 3" xfId="29712" xr:uid="{00000000-0005-0000-0000-0000AB270000}"/>
    <cellStyle name="20% - Accent5 4 2 2 5" xfId="11780" xr:uid="{00000000-0005-0000-0000-0000AC270000}"/>
    <cellStyle name="20% - Accent5 4 2 2 5 2" xfId="23054" xr:uid="{00000000-0005-0000-0000-0000AD270000}"/>
    <cellStyle name="20% - Accent5 4 2 2 5 3" xfId="31931" xr:uid="{00000000-0005-0000-0000-0000AE270000}"/>
    <cellStyle name="20% - Accent5 4 2 2 6" xfId="14001" xr:uid="{00000000-0005-0000-0000-0000AF270000}"/>
    <cellStyle name="20% - Accent5 4 2 2 6 2" xfId="25273" xr:uid="{00000000-0005-0000-0000-0000B0270000}"/>
    <cellStyle name="20% - Accent5 4 2 2 6 3" xfId="34150" xr:uid="{00000000-0005-0000-0000-0000B1270000}"/>
    <cellStyle name="20% - Accent5 4 2 2 7" xfId="18610" xr:uid="{00000000-0005-0000-0000-0000B2270000}"/>
    <cellStyle name="20% - Accent5 4 2 2 8" xfId="27491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2" xr:uid="{00000000-0005-0000-0000-0000B7270000}"/>
    <cellStyle name="20% - Accent5 4 2 3 2 2 3" xfId="31189" xr:uid="{00000000-0005-0000-0000-0000B8270000}"/>
    <cellStyle name="20% - Accent5 4 2 3 2 3" xfId="13257" xr:uid="{00000000-0005-0000-0000-0000B9270000}"/>
    <cellStyle name="20% - Accent5 4 2 3 2 3 2" xfId="24531" xr:uid="{00000000-0005-0000-0000-0000BA270000}"/>
    <cellStyle name="20% - Accent5 4 2 3 2 3 3" xfId="33408" xr:uid="{00000000-0005-0000-0000-0000BB270000}"/>
    <cellStyle name="20% - Accent5 4 2 3 2 4" xfId="15707" xr:uid="{00000000-0005-0000-0000-0000BC270000}"/>
    <cellStyle name="20% - Accent5 4 2 3 2 4 2" xfId="26750" xr:uid="{00000000-0005-0000-0000-0000BD270000}"/>
    <cellStyle name="20% - Accent5 4 2 3 2 4 3" xfId="35627" xr:uid="{00000000-0005-0000-0000-0000BE270000}"/>
    <cellStyle name="20% - Accent5 4 2 3 2 5" xfId="20093" xr:uid="{00000000-0005-0000-0000-0000BF270000}"/>
    <cellStyle name="20% - Accent5 4 2 3 2 6" xfId="28970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79" xr:uid="{00000000-0005-0000-0000-0000C3270000}"/>
    <cellStyle name="20% - Accent5 4 2 3 3 2 3" xfId="30456" xr:uid="{00000000-0005-0000-0000-0000C4270000}"/>
    <cellStyle name="20% - Accent5 4 2 3 3 3" xfId="12524" xr:uid="{00000000-0005-0000-0000-0000C5270000}"/>
    <cellStyle name="20% - Accent5 4 2 3 3 3 2" xfId="23798" xr:uid="{00000000-0005-0000-0000-0000C6270000}"/>
    <cellStyle name="20% - Accent5 4 2 3 3 3 3" xfId="32675" xr:uid="{00000000-0005-0000-0000-0000C7270000}"/>
    <cellStyle name="20% - Accent5 4 2 3 3 4" xfId="14974" xr:uid="{00000000-0005-0000-0000-0000C8270000}"/>
    <cellStyle name="20% - Accent5 4 2 3 3 4 2" xfId="26017" xr:uid="{00000000-0005-0000-0000-0000C9270000}"/>
    <cellStyle name="20% - Accent5 4 2 3 3 4 3" xfId="34894" xr:uid="{00000000-0005-0000-0000-0000CA270000}"/>
    <cellStyle name="20% - Accent5 4 2 3 3 5" xfId="19360" xr:uid="{00000000-0005-0000-0000-0000CB270000}"/>
    <cellStyle name="20% - Accent5 4 2 3 3 6" xfId="28237" xr:uid="{00000000-0005-0000-0000-0000CC270000}"/>
    <cellStyle name="20% - Accent5 4 2 3 4" xfId="9333" xr:uid="{00000000-0005-0000-0000-0000CD270000}"/>
    <cellStyle name="20% - Accent5 4 2 3 4 2" xfId="20836" xr:uid="{00000000-0005-0000-0000-0000CE270000}"/>
    <cellStyle name="20% - Accent5 4 2 3 4 3" xfId="29713" xr:uid="{00000000-0005-0000-0000-0000CF270000}"/>
    <cellStyle name="20% - Accent5 4 2 3 5" xfId="11781" xr:uid="{00000000-0005-0000-0000-0000D0270000}"/>
    <cellStyle name="20% - Accent5 4 2 3 5 2" xfId="23055" xr:uid="{00000000-0005-0000-0000-0000D1270000}"/>
    <cellStyle name="20% - Accent5 4 2 3 5 3" xfId="31932" xr:uid="{00000000-0005-0000-0000-0000D2270000}"/>
    <cellStyle name="20% - Accent5 4 2 3 6" xfId="14002" xr:uid="{00000000-0005-0000-0000-0000D3270000}"/>
    <cellStyle name="20% - Accent5 4 2 3 6 2" xfId="25274" xr:uid="{00000000-0005-0000-0000-0000D4270000}"/>
    <cellStyle name="20% - Accent5 4 2 3 6 3" xfId="34151" xr:uid="{00000000-0005-0000-0000-0000D5270000}"/>
    <cellStyle name="20% - Accent5 4 2 3 7" xfId="18611" xr:uid="{00000000-0005-0000-0000-0000D6270000}"/>
    <cellStyle name="20% - Accent5 4 2 3 8" xfId="27492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3" xr:uid="{00000000-0005-0000-0000-0000DB270000}"/>
    <cellStyle name="20% - Accent5 4 2 4 2 2 3" xfId="31190" xr:uid="{00000000-0005-0000-0000-0000DC270000}"/>
    <cellStyle name="20% - Accent5 4 2 4 2 3" xfId="13258" xr:uid="{00000000-0005-0000-0000-0000DD270000}"/>
    <cellStyle name="20% - Accent5 4 2 4 2 3 2" xfId="24532" xr:uid="{00000000-0005-0000-0000-0000DE270000}"/>
    <cellStyle name="20% - Accent5 4 2 4 2 3 3" xfId="33409" xr:uid="{00000000-0005-0000-0000-0000DF270000}"/>
    <cellStyle name="20% - Accent5 4 2 4 2 4" xfId="15708" xr:uid="{00000000-0005-0000-0000-0000E0270000}"/>
    <cellStyle name="20% - Accent5 4 2 4 2 4 2" xfId="26751" xr:uid="{00000000-0005-0000-0000-0000E1270000}"/>
    <cellStyle name="20% - Accent5 4 2 4 2 4 3" xfId="35628" xr:uid="{00000000-0005-0000-0000-0000E2270000}"/>
    <cellStyle name="20% - Accent5 4 2 4 2 5" xfId="20094" xr:uid="{00000000-0005-0000-0000-0000E3270000}"/>
    <cellStyle name="20% - Accent5 4 2 4 2 6" xfId="28971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0" xr:uid="{00000000-0005-0000-0000-0000E7270000}"/>
    <cellStyle name="20% - Accent5 4 2 4 3 2 3" xfId="30457" xr:uid="{00000000-0005-0000-0000-0000E8270000}"/>
    <cellStyle name="20% - Accent5 4 2 4 3 3" xfId="12525" xr:uid="{00000000-0005-0000-0000-0000E9270000}"/>
    <cellStyle name="20% - Accent5 4 2 4 3 3 2" xfId="23799" xr:uid="{00000000-0005-0000-0000-0000EA270000}"/>
    <cellStyle name="20% - Accent5 4 2 4 3 3 3" xfId="32676" xr:uid="{00000000-0005-0000-0000-0000EB270000}"/>
    <cellStyle name="20% - Accent5 4 2 4 3 4" xfId="14975" xr:uid="{00000000-0005-0000-0000-0000EC270000}"/>
    <cellStyle name="20% - Accent5 4 2 4 3 4 2" xfId="26018" xr:uid="{00000000-0005-0000-0000-0000ED270000}"/>
    <cellStyle name="20% - Accent5 4 2 4 3 4 3" xfId="34895" xr:uid="{00000000-0005-0000-0000-0000EE270000}"/>
    <cellStyle name="20% - Accent5 4 2 4 3 5" xfId="19361" xr:uid="{00000000-0005-0000-0000-0000EF270000}"/>
    <cellStyle name="20% - Accent5 4 2 4 3 6" xfId="28238" xr:uid="{00000000-0005-0000-0000-0000F0270000}"/>
    <cellStyle name="20% - Accent5 4 2 4 4" xfId="9334" xr:uid="{00000000-0005-0000-0000-0000F1270000}"/>
    <cellStyle name="20% - Accent5 4 2 4 4 2" xfId="20837" xr:uid="{00000000-0005-0000-0000-0000F2270000}"/>
    <cellStyle name="20% - Accent5 4 2 4 4 3" xfId="29714" xr:uid="{00000000-0005-0000-0000-0000F3270000}"/>
    <cellStyle name="20% - Accent5 4 2 4 5" xfId="11782" xr:uid="{00000000-0005-0000-0000-0000F4270000}"/>
    <cellStyle name="20% - Accent5 4 2 4 5 2" xfId="23056" xr:uid="{00000000-0005-0000-0000-0000F5270000}"/>
    <cellStyle name="20% - Accent5 4 2 4 5 3" xfId="31933" xr:uid="{00000000-0005-0000-0000-0000F6270000}"/>
    <cellStyle name="20% - Accent5 4 2 4 6" xfId="14003" xr:uid="{00000000-0005-0000-0000-0000F7270000}"/>
    <cellStyle name="20% - Accent5 4 2 4 6 2" xfId="25275" xr:uid="{00000000-0005-0000-0000-0000F8270000}"/>
    <cellStyle name="20% - Accent5 4 2 4 6 3" xfId="34152" xr:uid="{00000000-0005-0000-0000-0000F9270000}"/>
    <cellStyle name="20% - Accent5 4 2 4 7" xfId="18612" xr:uid="{00000000-0005-0000-0000-0000FA270000}"/>
    <cellStyle name="20% - Accent5 4 2 4 8" xfId="27493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4" xr:uid="{00000000-0005-0000-0000-0000FF270000}"/>
    <cellStyle name="20% - Accent5 4 2 5 2 2 3" xfId="31191" xr:uid="{00000000-0005-0000-0000-000000280000}"/>
    <cellStyle name="20% - Accent5 4 2 5 2 3" xfId="13259" xr:uid="{00000000-0005-0000-0000-000001280000}"/>
    <cellStyle name="20% - Accent5 4 2 5 2 3 2" xfId="24533" xr:uid="{00000000-0005-0000-0000-000002280000}"/>
    <cellStyle name="20% - Accent5 4 2 5 2 3 3" xfId="33410" xr:uid="{00000000-0005-0000-0000-000003280000}"/>
    <cellStyle name="20% - Accent5 4 2 5 2 4" xfId="15709" xr:uid="{00000000-0005-0000-0000-000004280000}"/>
    <cellStyle name="20% - Accent5 4 2 5 2 4 2" xfId="26752" xr:uid="{00000000-0005-0000-0000-000005280000}"/>
    <cellStyle name="20% - Accent5 4 2 5 2 4 3" xfId="35629" xr:uid="{00000000-0005-0000-0000-000006280000}"/>
    <cellStyle name="20% - Accent5 4 2 5 2 5" xfId="20095" xr:uid="{00000000-0005-0000-0000-000007280000}"/>
    <cellStyle name="20% - Accent5 4 2 5 2 6" xfId="28972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1" xr:uid="{00000000-0005-0000-0000-00000B280000}"/>
    <cellStyle name="20% - Accent5 4 2 5 3 2 3" xfId="30458" xr:uid="{00000000-0005-0000-0000-00000C280000}"/>
    <cellStyle name="20% - Accent5 4 2 5 3 3" xfId="12526" xr:uid="{00000000-0005-0000-0000-00000D280000}"/>
    <cellStyle name="20% - Accent5 4 2 5 3 3 2" xfId="23800" xr:uid="{00000000-0005-0000-0000-00000E280000}"/>
    <cellStyle name="20% - Accent5 4 2 5 3 3 3" xfId="32677" xr:uid="{00000000-0005-0000-0000-00000F280000}"/>
    <cellStyle name="20% - Accent5 4 2 5 3 4" xfId="14976" xr:uid="{00000000-0005-0000-0000-000010280000}"/>
    <cellStyle name="20% - Accent5 4 2 5 3 4 2" xfId="26019" xr:uid="{00000000-0005-0000-0000-000011280000}"/>
    <cellStyle name="20% - Accent5 4 2 5 3 4 3" xfId="34896" xr:uid="{00000000-0005-0000-0000-000012280000}"/>
    <cellStyle name="20% - Accent5 4 2 5 3 5" xfId="19362" xr:uid="{00000000-0005-0000-0000-000013280000}"/>
    <cellStyle name="20% - Accent5 4 2 5 3 6" xfId="28239" xr:uid="{00000000-0005-0000-0000-000014280000}"/>
    <cellStyle name="20% - Accent5 4 2 5 4" xfId="9335" xr:uid="{00000000-0005-0000-0000-000015280000}"/>
    <cellStyle name="20% - Accent5 4 2 5 4 2" xfId="20838" xr:uid="{00000000-0005-0000-0000-000016280000}"/>
    <cellStyle name="20% - Accent5 4 2 5 4 3" xfId="29715" xr:uid="{00000000-0005-0000-0000-000017280000}"/>
    <cellStyle name="20% - Accent5 4 2 5 5" xfId="11783" xr:uid="{00000000-0005-0000-0000-000018280000}"/>
    <cellStyle name="20% - Accent5 4 2 5 5 2" xfId="23057" xr:uid="{00000000-0005-0000-0000-000019280000}"/>
    <cellStyle name="20% - Accent5 4 2 5 5 3" xfId="31934" xr:uid="{00000000-0005-0000-0000-00001A280000}"/>
    <cellStyle name="20% - Accent5 4 2 5 6" xfId="14004" xr:uid="{00000000-0005-0000-0000-00001B280000}"/>
    <cellStyle name="20% - Accent5 4 2 5 6 2" xfId="25276" xr:uid="{00000000-0005-0000-0000-00001C280000}"/>
    <cellStyle name="20% - Accent5 4 2 5 6 3" xfId="34153" xr:uid="{00000000-0005-0000-0000-00001D280000}"/>
    <cellStyle name="20% - Accent5 4 2 5 7" xfId="18613" xr:uid="{00000000-0005-0000-0000-00001E280000}"/>
    <cellStyle name="20% - Accent5 4 2 5 8" xfId="27494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5" xr:uid="{00000000-0005-0000-0000-000023280000}"/>
    <cellStyle name="20% - Accent5 4 3 2 2 3" xfId="31192" xr:uid="{00000000-0005-0000-0000-000024280000}"/>
    <cellStyle name="20% - Accent5 4 3 2 3" xfId="13260" xr:uid="{00000000-0005-0000-0000-000025280000}"/>
    <cellStyle name="20% - Accent5 4 3 2 3 2" xfId="24534" xr:uid="{00000000-0005-0000-0000-000026280000}"/>
    <cellStyle name="20% - Accent5 4 3 2 3 3" xfId="33411" xr:uid="{00000000-0005-0000-0000-000027280000}"/>
    <cellStyle name="20% - Accent5 4 3 2 4" xfId="15710" xr:uid="{00000000-0005-0000-0000-000028280000}"/>
    <cellStyle name="20% - Accent5 4 3 2 4 2" xfId="26753" xr:uid="{00000000-0005-0000-0000-000029280000}"/>
    <cellStyle name="20% - Accent5 4 3 2 4 3" xfId="35630" xr:uid="{00000000-0005-0000-0000-00002A280000}"/>
    <cellStyle name="20% - Accent5 4 3 2 5" xfId="20096" xr:uid="{00000000-0005-0000-0000-00002B280000}"/>
    <cellStyle name="20% - Accent5 4 3 2 6" xfId="28973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2" xr:uid="{00000000-0005-0000-0000-00002F280000}"/>
    <cellStyle name="20% - Accent5 4 3 3 2 3" xfId="30459" xr:uid="{00000000-0005-0000-0000-000030280000}"/>
    <cellStyle name="20% - Accent5 4 3 3 3" xfId="12527" xr:uid="{00000000-0005-0000-0000-000031280000}"/>
    <cellStyle name="20% - Accent5 4 3 3 3 2" xfId="23801" xr:uid="{00000000-0005-0000-0000-000032280000}"/>
    <cellStyle name="20% - Accent5 4 3 3 3 3" xfId="32678" xr:uid="{00000000-0005-0000-0000-000033280000}"/>
    <cellStyle name="20% - Accent5 4 3 3 4" xfId="14977" xr:uid="{00000000-0005-0000-0000-000034280000}"/>
    <cellStyle name="20% - Accent5 4 3 3 4 2" xfId="26020" xr:uid="{00000000-0005-0000-0000-000035280000}"/>
    <cellStyle name="20% - Accent5 4 3 3 4 3" xfId="34897" xr:uid="{00000000-0005-0000-0000-000036280000}"/>
    <cellStyle name="20% - Accent5 4 3 3 5" xfId="19363" xr:uid="{00000000-0005-0000-0000-000037280000}"/>
    <cellStyle name="20% - Accent5 4 3 3 6" xfId="28240" xr:uid="{00000000-0005-0000-0000-000038280000}"/>
    <cellStyle name="20% - Accent5 4 3 4" xfId="9336" xr:uid="{00000000-0005-0000-0000-000039280000}"/>
    <cellStyle name="20% - Accent5 4 3 4 2" xfId="20839" xr:uid="{00000000-0005-0000-0000-00003A280000}"/>
    <cellStyle name="20% - Accent5 4 3 4 3" xfId="29716" xr:uid="{00000000-0005-0000-0000-00003B280000}"/>
    <cellStyle name="20% - Accent5 4 3 5" xfId="11784" xr:uid="{00000000-0005-0000-0000-00003C280000}"/>
    <cellStyle name="20% - Accent5 4 3 5 2" xfId="23058" xr:uid="{00000000-0005-0000-0000-00003D280000}"/>
    <cellStyle name="20% - Accent5 4 3 5 3" xfId="31935" xr:uid="{00000000-0005-0000-0000-00003E280000}"/>
    <cellStyle name="20% - Accent5 4 3 6" xfId="14005" xr:uid="{00000000-0005-0000-0000-00003F280000}"/>
    <cellStyle name="20% - Accent5 4 3 6 2" xfId="25277" xr:uid="{00000000-0005-0000-0000-000040280000}"/>
    <cellStyle name="20% - Accent5 4 3 6 3" xfId="34154" xr:uid="{00000000-0005-0000-0000-000041280000}"/>
    <cellStyle name="20% - Accent5 4 3 7" xfId="18614" xr:uid="{00000000-0005-0000-0000-000042280000}"/>
    <cellStyle name="20% - Accent5 4 3 8" xfId="27495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6" xr:uid="{00000000-0005-0000-0000-000047280000}"/>
    <cellStyle name="20% - Accent5 4 4 2 2 3" xfId="31193" xr:uid="{00000000-0005-0000-0000-000048280000}"/>
    <cellStyle name="20% - Accent5 4 4 2 3" xfId="13261" xr:uid="{00000000-0005-0000-0000-000049280000}"/>
    <cellStyle name="20% - Accent5 4 4 2 3 2" xfId="24535" xr:uid="{00000000-0005-0000-0000-00004A280000}"/>
    <cellStyle name="20% - Accent5 4 4 2 3 3" xfId="33412" xr:uid="{00000000-0005-0000-0000-00004B280000}"/>
    <cellStyle name="20% - Accent5 4 4 2 4" xfId="15711" xr:uid="{00000000-0005-0000-0000-00004C280000}"/>
    <cellStyle name="20% - Accent5 4 4 2 4 2" xfId="26754" xr:uid="{00000000-0005-0000-0000-00004D280000}"/>
    <cellStyle name="20% - Accent5 4 4 2 4 3" xfId="35631" xr:uid="{00000000-0005-0000-0000-00004E280000}"/>
    <cellStyle name="20% - Accent5 4 4 2 5" xfId="20097" xr:uid="{00000000-0005-0000-0000-00004F280000}"/>
    <cellStyle name="20% - Accent5 4 4 2 6" xfId="28974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3" xr:uid="{00000000-0005-0000-0000-000053280000}"/>
    <cellStyle name="20% - Accent5 4 4 3 2 3" xfId="30460" xr:uid="{00000000-0005-0000-0000-000054280000}"/>
    <cellStyle name="20% - Accent5 4 4 3 3" xfId="12528" xr:uid="{00000000-0005-0000-0000-000055280000}"/>
    <cellStyle name="20% - Accent5 4 4 3 3 2" xfId="23802" xr:uid="{00000000-0005-0000-0000-000056280000}"/>
    <cellStyle name="20% - Accent5 4 4 3 3 3" xfId="32679" xr:uid="{00000000-0005-0000-0000-000057280000}"/>
    <cellStyle name="20% - Accent5 4 4 3 4" xfId="14978" xr:uid="{00000000-0005-0000-0000-000058280000}"/>
    <cellStyle name="20% - Accent5 4 4 3 4 2" xfId="26021" xr:uid="{00000000-0005-0000-0000-000059280000}"/>
    <cellStyle name="20% - Accent5 4 4 3 4 3" xfId="34898" xr:uid="{00000000-0005-0000-0000-00005A280000}"/>
    <cellStyle name="20% - Accent5 4 4 3 5" xfId="19364" xr:uid="{00000000-0005-0000-0000-00005B280000}"/>
    <cellStyle name="20% - Accent5 4 4 3 6" xfId="28241" xr:uid="{00000000-0005-0000-0000-00005C280000}"/>
    <cellStyle name="20% - Accent5 4 4 4" xfId="9337" xr:uid="{00000000-0005-0000-0000-00005D280000}"/>
    <cellStyle name="20% - Accent5 4 4 4 2" xfId="20840" xr:uid="{00000000-0005-0000-0000-00005E280000}"/>
    <cellStyle name="20% - Accent5 4 4 4 3" xfId="29717" xr:uid="{00000000-0005-0000-0000-00005F280000}"/>
    <cellStyle name="20% - Accent5 4 4 5" xfId="11785" xr:uid="{00000000-0005-0000-0000-000060280000}"/>
    <cellStyle name="20% - Accent5 4 4 5 2" xfId="23059" xr:uid="{00000000-0005-0000-0000-000061280000}"/>
    <cellStyle name="20% - Accent5 4 4 5 3" xfId="31936" xr:uid="{00000000-0005-0000-0000-000062280000}"/>
    <cellStyle name="20% - Accent5 4 4 6" xfId="14006" xr:uid="{00000000-0005-0000-0000-000063280000}"/>
    <cellStyle name="20% - Accent5 4 4 6 2" xfId="25278" xr:uid="{00000000-0005-0000-0000-000064280000}"/>
    <cellStyle name="20% - Accent5 4 4 6 3" xfId="34155" xr:uid="{00000000-0005-0000-0000-000065280000}"/>
    <cellStyle name="20% - Accent5 4 4 7" xfId="18615" xr:uid="{00000000-0005-0000-0000-000066280000}"/>
    <cellStyle name="20% - Accent5 4 4 8" xfId="27496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7" xr:uid="{00000000-0005-0000-0000-00006B280000}"/>
    <cellStyle name="20% - Accent5 4 5 2 2 3" xfId="31194" xr:uid="{00000000-0005-0000-0000-00006C280000}"/>
    <cellStyle name="20% - Accent5 4 5 2 3" xfId="13262" xr:uid="{00000000-0005-0000-0000-00006D280000}"/>
    <cellStyle name="20% - Accent5 4 5 2 3 2" xfId="24536" xr:uid="{00000000-0005-0000-0000-00006E280000}"/>
    <cellStyle name="20% - Accent5 4 5 2 3 3" xfId="33413" xr:uid="{00000000-0005-0000-0000-00006F280000}"/>
    <cellStyle name="20% - Accent5 4 5 2 4" xfId="15712" xr:uid="{00000000-0005-0000-0000-000070280000}"/>
    <cellStyle name="20% - Accent5 4 5 2 4 2" xfId="26755" xr:uid="{00000000-0005-0000-0000-000071280000}"/>
    <cellStyle name="20% - Accent5 4 5 2 4 3" xfId="35632" xr:uid="{00000000-0005-0000-0000-000072280000}"/>
    <cellStyle name="20% - Accent5 4 5 2 5" xfId="20098" xr:uid="{00000000-0005-0000-0000-000073280000}"/>
    <cellStyle name="20% - Accent5 4 5 2 6" xfId="28975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4" xr:uid="{00000000-0005-0000-0000-000077280000}"/>
    <cellStyle name="20% - Accent5 4 5 3 2 3" xfId="30461" xr:uid="{00000000-0005-0000-0000-000078280000}"/>
    <cellStyle name="20% - Accent5 4 5 3 3" xfId="12529" xr:uid="{00000000-0005-0000-0000-000079280000}"/>
    <cellStyle name="20% - Accent5 4 5 3 3 2" xfId="23803" xr:uid="{00000000-0005-0000-0000-00007A280000}"/>
    <cellStyle name="20% - Accent5 4 5 3 3 3" xfId="32680" xr:uid="{00000000-0005-0000-0000-00007B280000}"/>
    <cellStyle name="20% - Accent5 4 5 3 4" xfId="14979" xr:uid="{00000000-0005-0000-0000-00007C280000}"/>
    <cellStyle name="20% - Accent5 4 5 3 4 2" xfId="26022" xr:uid="{00000000-0005-0000-0000-00007D280000}"/>
    <cellStyle name="20% - Accent5 4 5 3 4 3" xfId="34899" xr:uid="{00000000-0005-0000-0000-00007E280000}"/>
    <cellStyle name="20% - Accent5 4 5 3 5" xfId="19365" xr:uid="{00000000-0005-0000-0000-00007F280000}"/>
    <cellStyle name="20% - Accent5 4 5 3 6" xfId="28242" xr:uid="{00000000-0005-0000-0000-000080280000}"/>
    <cellStyle name="20% - Accent5 4 5 4" xfId="9338" xr:uid="{00000000-0005-0000-0000-000081280000}"/>
    <cellStyle name="20% - Accent5 4 5 4 2" xfId="20841" xr:uid="{00000000-0005-0000-0000-000082280000}"/>
    <cellStyle name="20% - Accent5 4 5 4 3" xfId="29718" xr:uid="{00000000-0005-0000-0000-000083280000}"/>
    <cellStyle name="20% - Accent5 4 5 5" xfId="11786" xr:uid="{00000000-0005-0000-0000-000084280000}"/>
    <cellStyle name="20% - Accent5 4 5 5 2" xfId="23060" xr:uid="{00000000-0005-0000-0000-000085280000}"/>
    <cellStyle name="20% - Accent5 4 5 5 3" xfId="31937" xr:uid="{00000000-0005-0000-0000-000086280000}"/>
    <cellStyle name="20% - Accent5 4 5 6" xfId="14007" xr:uid="{00000000-0005-0000-0000-000087280000}"/>
    <cellStyle name="20% - Accent5 4 5 6 2" xfId="25279" xr:uid="{00000000-0005-0000-0000-000088280000}"/>
    <cellStyle name="20% - Accent5 4 5 6 3" xfId="34156" xr:uid="{00000000-0005-0000-0000-000089280000}"/>
    <cellStyle name="20% - Accent5 4 5 7" xfId="18616" xr:uid="{00000000-0005-0000-0000-00008A280000}"/>
    <cellStyle name="20% - Accent5 4 5 8" xfId="27497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8" xr:uid="{00000000-0005-0000-0000-00008F280000}"/>
    <cellStyle name="20% - Accent5 4 6 2 2 3" xfId="31195" xr:uid="{00000000-0005-0000-0000-000090280000}"/>
    <cellStyle name="20% - Accent5 4 6 2 3" xfId="13263" xr:uid="{00000000-0005-0000-0000-000091280000}"/>
    <cellStyle name="20% - Accent5 4 6 2 3 2" xfId="24537" xr:uid="{00000000-0005-0000-0000-000092280000}"/>
    <cellStyle name="20% - Accent5 4 6 2 3 3" xfId="33414" xr:uid="{00000000-0005-0000-0000-000093280000}"/>
    <cellStyle name="20% - Accent5 4 6 2 4" xfId="15713" xr:uid="{00000000-0005-0000-0000-000094280000}"/>
    <cellStyle name="20% - Accent5 4 6 2 4 2" xfId="26756" xr:uid="{00000000-0005-0000-0000-000095280000}"/>
    <cellStyle name="20% - Accent5 4 6 2 4 3" xfId="35633" xr:uid="{00000000-0005-0000-0000-000096280000}"/>
    <cellStyle name="20% - Accent5 4 6 2 5" xfId="20099" xr:uid="{00000000-0005-0000-0000-000097280000}"/>
    <cellStyle name="20% - Accent5 4 6 2 6" xfId="28976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5" xr:uid="{00000000-0005-0000-0000-00009B280000}"/>
    <cellStyle name="20% - Accent5 4 6 3 2 3" xfId="30462" xr:uid="{00000000-0005-0000-0000-00009C280000}"/>
    <cellStyle name="20% - Accent5 4 6 3 3" xfId="12530" xr:uid="{00000000-0005-0000-0000-00009D280000}"/>
    <cellStyle name="20% - Accent5 4 6 3 3 2" xfId="23804" xr:uid="{00000000-0005-0000-0000-00009E280000}"/>
    <cellStyle name="20% - Accent5 4 6 3 3 3" xfId="32681" xr:uid="{00000000-0005-0000-0000-00009F280000}"/>
    <cellStyle name="20% - Accent5 4 6 3 4" xfId="14980" xr:uid="{00000000-0005-0000-0000-0000A0280000}"/>
    <cellStyle name="20% - Accent5 4 6 3 4 2" xfId="26023" xr:uid="{00000000-0005-0000-0000-0000A1280000}"/>
    <cellStyle name="20% - Accent5 4 6 3 4 3" xfId="34900" xr:uid="{00000000-0005-0000-0000-0000A2280000}"/>
    <cellStyle name="20% - Accent5 4 6 3 5" xfId="19366" xr:uid="{00000000-0005-0000-0000-0000A3280000}"/>
    <cellStyle name="20% - Accent5 4 6 3 6" xfId="28243" xr:uid="{00000000-0005-0000-0000-0000A4280000}"/>
    <cellStyle name="20% - Accent5 4 6 4" xfId="9339" xr:uid="{00000000-0005-0000-0000-0000A5280000}"/>
    <cellStyle name="20% - Accent5 4 6 4 2" xfId="20842" xr:uid="{00000000-0005-0000-0000-0000A6280000}"/>
    <cellStyle name="20% - Accent5 4 6 4 3" xfId="29719" xr:uid="{00000000-0005-0000-0000-0000A7280000}"/>
    <cellStyle name="20% - Accent5 4 6 5" xfId="11787" xr:uid="{00000000-0005-0000-0000-0000A8280000}"/>
    <cellStyle name="20% - Accent5 4 6 5 2" xfId="23061" xr:uid="{00000000-0005-0000-0000-0000A9280000}"/>
    <cellStyle name="20% - Accent5 4 6 5 3" xfId="31938" xr:uid="{00000000-0005-0000-0000-0000AA280000}"/>
    <cellStyle name="20% - Accent5 4 6 6" xfId="14008" xr:uid="{00000000-0005-0000-0000-0000AB280000}"/>
    <cellStyle name="20% - Accent5 4 6 6 2" xfId="25280" xr:uid="{00000000-0005-0000-0000-0000AC280000}"/>
    <cellStyle name="20% - Accent5 4 6 6 3" xfId="34157" xr:uid="{00000000-0005-0000-0000-0000AD280000}"/>
    <cellStyle name="20% - Accent5 4 6 7" xfId="18617" xr:uid="{00000000-0005-0000-0000-0000AE280000}"/>
    <cellStyle name="20% - Accent5 4 6 8" xfId="27498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2" xr:uid="{00000000-0005-0000-0000-0000C1280000}"/>
    <cellStyle name="20% - Accent5 7 10 3" xfId="31939" xr:uid="{00000000-0005-0000-0000-0000C2280000}"/>
    <cellStyle name="20% - Accent5 7 11" xfId="14009" xr:uid="{00000000-0005-0000-0000-0000C3280000}"/>
    <cellStyle name="20% - Accent5 7 11 2" xfId="25281" xr:uid="{00000000-0005-0000-0000-0000C4280000}"/>
    <cellStyle name="20% - Accent5 7 11 3" xfId="34158" xr:uid="{00000000-0005-0000-0000-0000C5280000}"/>
    <cellStyle name="20% - Accent5 7 12" xfId="18618" xr:uid="{00000000-0005-0000-0000-0000C6280000}"/>
    <cellStyle name="20% - Accent5 7 13" xfId="27499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19" xr:uid="{00000000-0005-0000-0000-0000CF280000}"/>
    <cellStyle name="20% - Accent5 7 7 2 3" xfId="31196" xr:uid="{00000000-0005-0000-0000-0000D0280000}"/>
    <cellStyle name="20% - Accent5 7 7 3" xfId="13264" xr:uid="{00000000-0005-0000-0000-0000D1280000}"/>
    <cellStyle name="20% - Accent5 7 7 3 2" xfId="24538" xr:uid="{00000000-0005-0000-0000-0000D2280000}"/>
    <cellStyle name="20% - Accent5 7 7 3 3" xfId="33415" xr:uid="{00000000-0005-0000-0000-0000D3280000}"/>
    <cellStyle name="20% - Accent5 7 7 4" xfId="15714" xr:uid="{00000000-0005-0000-0000-0000D4280000}"/>
    <cellStyle name="20% - Accent5 7 7 4 2" xfId="26757" xr:uid="{00000000-0005-0000-0000-0000D5280000}"/>
    <cellStyle name="20% - Accent5 7 7 4 3" xfId="35634" xr:uid="{00000000-0005-0000-0000-0000D6280000}"/>
    <cellStyle name="20% - Accent5 7 7 5" xfId="20100" xr:uid="{00000000-0005-0000-0000-0000D7280000}"/>
    <cellStyle name="20% - Accent5 7 7 6" xfId="28977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6" xr:uid="{00000000-0005-0000-0000-0000DB280000}"/>
    <cellStyle name="20% - Accent5 7 8 2 3" xfId="30463" xr:uid="{00000000-0005-0000-0000-0000DC280000}"/>
    <cellStyle name="20% - Accent5 7 8 3" xfId="12531" xr:uid="{00000000-0005-0000-0000-0000DD280000}"/>
    <cellStyle name="20% - Accent5 7 8 3 2" xfId="23805" xr:uid="{00000000-0005-0000-0000-0000DE280000}"/>
    <cellStyle name="20% - Accent5 7 8 3 3" xfId="32682" xr:uid="{00000000-0005-0000-0000-0000DF280000}"/>
    <cellStyle name="20% - Accent5 7 8 4" xfId="14981" xr:uid="{00000000-0005-0000-0000-0000E0280000}"/>
    <cellStyle name="20% - Accent5 7 8 4 2" xfId="26024" xr:uid="{00000000-0005-0000-0000-0000E1280000}"/>
    <cellStyle name="20% - Accent5 7 8 4 3" xfId="34901" xr:uid="{00000000-0005-0000-0000-0000E2280000}"/>
    <cellStyle name="20% - Accent5 7 8 5" xfId="19367" xr:uid="{00000000-0005-0000-0000-0000E3280000}"/>
    <cellStyle name="20% - Accent5 7 8 6" xfId="28244" xr:uid="{00000000-0005-0000-0000-0000E4280000}"/>
    <cellStyle name="20% - Accent5 7 9" xfId="9340" xr:uid="{00000000-0005-0000-0000-0000E5280000}"/>
    <cellStyle name="20% - Accent5 7 9 2" xfId="20843" xr:uid="{00000000-0005-0000-0000-0000E6280000}"/>
    <cellStyle name="20% - Accent5 7 9 3" xfId="29720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1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0" xr:uid="{00000000-0005-0000-0000-0000FF280000}"/>
    <cellStyle name="20% - Accent6 14 2 2 3" xfId="31197" xr:uid="{00000000-0005-0000-0000-000000290000}"/>
    <cellStyle name="20% - Accent6 14 2 3" xfId="13265" xr:uid="{00000000-0005-0000-0000-000001290000}"/>
    <cellStyle name="20% - Accent6 14 2 3 2" xfId="24539" xr:uid="{00000000-0005-0000-0000-000002290000}"/>
    <cellStyle name="20% - Accent6 14 2 3 3" xfId="33416" xr:uid="{00000000-0005-0000-0000-000003290000}"/>
    <cellStyle name="20% - Accent6 14 2 4" xfId="15715" xr:uid="{00000000-0005-0000-0000-000004290000}"/>
    <cellStyle name="20% - Accent6 14 2 4 2" xfId="26758" xr:uid="{00000000-0005-0000-0000-000005290000}"/>
    <cellStyle name="20% - Accent6 14 2 4 3" xfId="35635" xr:uid="{00000000-0005-0000-0000-000006290000}"/>
    <cellStyle name="20% - Accent6 14 2 5" xfId="20101" xr:uid="{00000000-0005-0000-0000-000007290000}"/>
    <cellStyle name="20% - Accent6 14 2 6" xfId="28978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7" xr:uid="{00000000-0005-0000-0000-00000B290000}"/>
    <cellStyle name="20% - Accent6 14 3 2 3" xfId="30464" xr:uid="{00000000-0005-0000-0000-00000C290000}"/>
    <cellStyle name="20% - Accent6 14 3 3" xfId="12532" xr:uid="{00000000-0005-0000-0000-00000D290000}"/>
    <cellStyle name="20% - Accent6 14 3 3 2" xfId="23806" xr:uid="{00000000-0005-0000-0000-00000E290000}"/>
    <cellStyle name="20% - Accent6 14 3 3 3" xfId="32683" xr:uid="{00000000-0005-0000-0000-00000F290000}"/>
    <cellStyle name="20% - Accent6 14 3 4" xfId="14982" xr:uid="{00000000-0005-0000-0000-000010290000}"/>
    <cellStyle name="20% - Accent6 14 3 4 2" xfId="26025" xr:uid="{00000000-0005-0000-0000-000011290000}"/>
    <cellStyle name="20% - Accent6 14 3 4 3" xfId="34902" xr:uid="{00000000-0005-0000-0000-000012290000}"/>
    <cellStyle name="20% - Accent6 14 3 5" xfId="19368" xr:uid="{00000000-0005-0000-0000-000013290000}"/>
    <cellStyle name="20% - Accent6 14 3 6" xfId="28245" xr:uid="{00000000-0005-0000-0000-000014290000}"/>
    <cellStyle name="20% - Accent6 14 4" xfId="9341" xr:uid="{00000000-0005-0000-0000-000015290000}"/>
    <cellStyle name="20% - Accent6 14 4 2" xfId="20844" xr:uid="{00000000-0005-0000-0000-000016290000}"/>
    <cellStyle name="20% - Accent6 14 4 3" xfId="29721" xr:uid="{00000000-0005-0000-0000-000017290000}"/>
    <cellStyle name="20% - Accent6 14 5" xfId="11789" xr:uid="{00000000-0005-0000-0000-000018290000}"/>
    <cellStyle name="20% - Accent6 14 5 2" xfId="23063" xr:uid="{00000000-0005-0000-0000-000019290000}"/>
    <cellStyle name="20% - Accent6 14 5 3" xfId="31940" xr:uid="{00000000-0005-0000-0000-00001A290000}"/>
    <cellStyle name="20% - Accent6 14 6" xfId="14010" xr:uid="{00000000-0005-0000-0000-00001B290000}"/>
    <cellStyle name="20% - Accent6 14 6 2" xfId="25282" xr:uid="{00000000-0005-0000-0000-00001C290000}"/>
    <cellStyle name="20% - Accent6 14 6 3" xfId="34159" xr:uid="{00000000-0005-0000-0000-00001D290000}"/>
    <cellStyle name="20% - Accent6 14 7" xfId="18619" xr:uid="{00000000-0005-0000-0000-00001E290000}"/>
    <cellStyle name="20% - Accent6 14 8" xfId="27500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1" xr:uid="{00000000-0005-0000-0000-00002A290000}"/>
    <cellStyle name="20% - Accent6 2 10 2 2 2 3" xfId="31198" xr:uid="{00000000-0005-0000-0000-00002B290000}"/>
    <cellStyle name="20% - Accent6 2 10 2 2 3" xfId="13266" xr:uid="{00000000-0005-0000-0000-00002C290000}"/>
    <cellStyle name="20% - Accent6 2 10 2 2 3 2" xfId="24540" xr:uid="{00000000-0005-0000-0000-00002D290000}"/>
    <cellStyle name="20% - Accent6 2 10 2 2 3 3" xfId="33417" xr:uid="{00000000-0005-0000-0000-00002E290000}"/>
    <cellStyle name="20% - Accent6 2 10 2 2 4" xfId="15716" xr:uid="{00000000-0005-0000-0000-00002F290000}"/>
    <cellStyle name="20% - Accent6 2 10 2 2 4 2" xfId="26759" xr:uid="{00000000-0005-0000-0000-000030290000}"/>
    <cellStyle name="20% - Accent6 2 10 2 2 4 3" xfId="35636" xr:uid="{00000000-0005-0000-0000-000031290000}"/>
    <cellStyle name="20% - Accent6 2 10 2 2 5" xfId="20102" xr:uid="{00000000-0005-0000-0000-000032290000}"/>
    <cellStyle name="20% - Accent6 2 10 2 2 6" xfId="28979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8" xr:uid="{00000000-0005-0000-0000-000036290000}"/>
    <cellStyle name="20% - Accent6 2 10 2 3 2 3" xfId="30465" xr:uid="{00000000-0005-0000-0000-000037290000}"/>
    <cellStyle name="20% - Accent6 2 10 2 3 3" xfId="12533" xr:uid="{00000000-0005-0000-0000-000038290000}"/>
    <cellStyle name="20% - Accent6 2 10 2 3 3 2" xfId="23807" xr:uid="{00000000-0005-0000-0000-000039290000}"/>
    <cellStyle name="20% - Accent6 2 10 2 3 3 3" xfId="32684" xr:uid="{00000000-0005-0000-0000-00003A290000}"/>
    <cellStyle name="20% - Accent6 2 10 2 3 4" xfId="14983" xr:uid="{00000000-0005-0000-0000-00003B290000}"/>
    <cellStyle name="20% - Accent6 2 10 2 3 4 2" xfId="26026" xr:uid="{00000000-0005-0000-0000-00003C290000}"/>
    <cellStyle name="20% - Accent6 2 10 2 3 4 3" xfId="34903" xr:uid="{00000000-0005-0000-0000-00003D290000}"/>
    <cellStyle name="20% - Accent6 2 10 2 3 5" xfId="19369" xr:uid="{00000000-0005-0000-0000-00003E290000}"/>
    <cellStyle name="20% - Accent6 2 10 2 3 6" xfId="28246" xr:uid="{00000000-0005-0000-0000-00003F290000}"/>
    <cellStyle name="20% - Accent6 2 10 2 4" xfId="9342" xr:uid="{00000000-0005-0000-0000-000040290000}"/>
    <cellStyle name="20% - Accent6 2 10 2 4 2" xfId="20845" xr:uid="{00000000-0005-0000-0000-000041290000}"/>
    <cellStyle name="20% - Accent6 2 10 2 4 3" xfId="29722" xr:uid="{00000000-0005-0000-0000-000042290000}"/>
    <cellStyle name="20% - Accent6 2 10 2 5" xfId="11790" xr:uid="{00000000-0005-0000-0000-000043290000}"/>
    <cellStyle name="20% - Accent6 2 10 2 5 2" xfId="23064" xr:uid="{00000000-0005-0000-0000-000044290000}"/>
    <cellStyle name="20% - Accent6 2 10 2 5 3" xfId="31941" xr:uid="{00000000-0005-0000-0000-000045290000}"/>
    <cellStyle name="20% - Accent6 2 10 2 6" xfId="14011" xr:uid="{00000000-0005-0000-0000-000046290000}"/>
    <cellStyle name="20% - Accent6 2 10 2 6 2" xfId="25283" xr:uid="{00000000-0005-0000-0000-000047290000}"/>
    <cellStyle name="20% - Accent6 2 10 2 6 3" xfId="34160" xr:uid="{00000000-0005-0000-0000-000048290000}"/>
    <cellStyle name="20% - Accent6 2 10 2 7" xfId="18620" xr:uid="{00000000-0005-0000-0000-000049290000}"/>
    <cellStyle name="20% - Accent6 2 10 2 8" xfId="27501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2" xr:uid="{00000000-0005-0000-0000-00004E290000}"/>
    <cellStyle name="20% - Accent6 2 10 3 2 2 3" xfId="31199" xr:uid="{00000000-0005-0000-0000-00004F290000}"/>
    <cellStyle name="20% - Accent6 2 10 3 2 3" xfId="13267" xr:uid="{00000000-0005-0000-0000-000050290000}"/>
    <cellStyle name="20% - Accent6 2 10 3 2 3 2" xfId="24541" xr:uid="{00000000-0005-0000-0000-000051290000}"/>
    <cellStyle name="20% - Accent6 2 10 3 2 3 3" xfId="33418" xr:uid="{00000000-0005-0000-0000-000052290000}"/>
    <cellStyle name="20% - Accent6 2 10 3 2 4" xfId="15717" xr:uid="{00000000-0005-0000-0000-000053290000}"/>
    <cellStyle name="20% - Accent6 2 10 3 2 4 2" xfId="26760" xr:uid="{00000000-0005-0000-0000-000054290000}"/>
    <cellStyle name="20% - Accent6 2 10 3 2 4 3" xfId="35637" xr:uid="{00000000-0005-0000-0000-000055290000}"/>
    <cellStyle name="20% - Accent6 2 10 3 2 5" xfId="20103" xr:uid="{00000000-0005-0000-0000-000056290000}"/>
    <cellStyle name="20% - Accent6 2 10 3 2 6" xfId="28980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89" xr:uid="{00000000-0005-0000-0000-00005A290000}"/>
    <cellStyle name="20% - Accent6 2 10 3 3 2 3" xfId="30466" xr:uid="{00000000-0005-0000-0000-00005B290000}"/>
    <cellStyle name="20% - Accent6 2 10 3 3 3" xfId="12534" xr:uid="{00000000-0005-0000-0000-00005C290000}"/>
    <cellStyle name="20% - Accent6 2 10 3 3 3 2" xfId="23808" xr:uid="{00000000-0005-0000-0000-00005D290000}"/>
    <cellStyle name="20% - Accent6 2 10 3 3 3 3" xfId="32685" xr:uid="{00000000-0005-0000-0000-00005E290000}"/>
    <cellStyle name="20% - Accent6 2 10 3 3 4" xfId="14984" xr:uid="{00000000-0005-0000-0000-00005F290000}"/>
    <cellStyle name="20% - Accent6 2 10 3 3 4 2" xfId="26027" xr:uid="{00000000-0005-0000-0000-000060290000}"/>
    <cellStyle name="20% - Accent6 2 10 3 3 4 3" xfId="34904" xr:uid="{00000000-0005-0000-0000-000061290000}"/>
    <cellStyle name="20% - Accent6 2 10 3 3 5" xfId="19370" xr:uid="{00000000-0005-0000-0000-000062290000}"/>
    <cellStyle name="20% - Accent6 2 10 3 3 6" xfId="28247" xr:uid="{00000000-0005-0000-0000-000063290000}"/>
    <cellStyle name="20% - Accent6 2 10 3 4" xfId="9343" xr:uid="{00000000-0005-0000-0000-000064290000}"/>
    <cellStyle name="20% - Accent6 2 10 3 4 2" xfId="20846" xr:uid="{00000000-0005-0000-0000-000065290000}"/>
    <cellStyle name="20% - Accent6 2 10 3 4 3" xfId="29723" xr:uid="{00000000-0005-0000-0000-000066290000}"/>
    <cellStyle name="20% - Accent6 2 10 3 5" xfId="11791" xr:uid="{00000000-0005-0000-0000-000067290000}"/>
    <cellStyle name="20% - Accent6 2 10 3 5 2" xfId="23065" xr:uid="{00000000-0005-0000-0000-000068290000}"/>
    <cellStyle name="20% - Accent6 2 10 3 5 3" xfId="31942" xr:uid="{00000000-0005-0000-0000-000069290000}"/>
    <cellStyle name="20% - Accent6 2 10 3 6" xfId="14012" xr:uid="{00000000-0005-0000-0000-00006A290000}"/>
    <cellStyle name="20% - Accent6 2 10 3 6 2" xfId="25284" xr:uid="{00000000-0005-0000-0000-00006B290000}"/>
    <cellStyle name="20% - Accent6 2 10 3 6 3" xfId="34161" xr:uid="{00000000-0005-0000-0000-00006C290000}"/>
    <cellStyle name="20% - Accent6 2 10 3 7" xfId="18621" xr:uid="{00000000-0005-0000-0000-00006D290000}"/>
    <cellStyle name="20% - Accent6 2 10 3 8" xfId="27502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3" xr:uid="{00000000-0005-0000-0000-000072290000}"/>
    <cellStyle name="20% - Accent6 2 10 4 2 2 3" xfId="31200" xr:uid="{00000000-0005-0000-0000-000073290000}"/>
    <cellStyle name="20% - Accent6 2 10 4 2 3" xfId="13268" xr:uid="{00000000-0005-0000-0000-000074290000}"/>
    <cellStyle name="20% - Accent6 2 10 4 2 3 2" xfId="24542" xr:uid="{00000000-0005-0000-0000-000075290000}"/>
    <cellStyle name="20% - Accent6 2 10 4 2 3 3" xfId="33419" xr:uid="{00000000-0005-0000-0000-000076290000}"/>
    <cellStyle name="20% - Accent6 2 10 4 2 4" xfId="15718" xr:uid="{00000000-0005-0000-0000-000077290000}"/>
    <cellStyle name="20% - Accent6 2 10 4 2 4 2" xfId="26761" xr:uid="{00000000-0005-0000-0000-000078290000}"/>
    <cellStyle name="20% - Accent6 2 10 4 2 4 3" xfId="35638" xr:uid="{00000000-0005-0000-0000-000079290000}"/>
    <cellStyle name="20% - Accent6 2 10 4 2 5" xfId="20104" xr:uid="{00000000-0005-0000-0000-00007A290000}"/>
    <cellStyle name="20% - Accent6 2 10 4 2 6" xfId="28981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0" xr:uid="{00000000-0005-0000-0000-00007E290000}"/>
    <cellStyle name="20% - Accent6 2 10 4 3 2 3" xfId="30467" xr:uid="{00000000-0005-0000-0000-00007F290000}"/>
    <cellStyle name="20% - Accent6 2 10 4 3 3" xfId="12535" xr:uid="{00000000-0005-0000-0000-000080290000}"/>
    <cellStyle name="20% - Accent6 2 10 4 3 3 2" xfId="23809" xr:uid="{00000000-0005-0000-0000-000081290000}"/>
    <cellStyle name="20% - Accent6 2 10 4 3 3 3" xfId="32686" xr:uid="{00000000-0005-0000-0000-000082290000}"/>
    <cellStyle name="20% - Accent6 2 10 4 3 4" xfId="14985" xr:uid="{00000000-0005-0000-0000-000083290000}"/>
    <cellStyle name="20% - Accent6 2 10 4 3 4 2" xfId="26028" xr:uid="{00000000-0005-0000-0000-000084290000}"/>
    <cellStyle name="20% - Accent6 2 10 4 3 4 3" xfId="34905" xr:uid="{00000000-0005-0000-0000-000085290000}"/>
    <cellStyle name="20% - Accent6 2 10 4 3 5" xfId="19371" xr:uid="{00000000-0005-0000-0000-000086290000}"/>
    <cellStyle name="20% - Accent6 2 10 4 3 6" xfId="28248" xr:uid="{00000000-0005-0000-0000-000087290000}"/>
    <cellStyle name="20% - Accent6 2 10 4 4" xfId="9344" xr:uid="{00000000-0005-0000-0000-000088290000}"/>
    <cellStyle name="20% - Accent6 2 10 4 4 2" xfId="20847" xr:uid="{00000000-0005-0000-0000-000089290000}"/>
    <cellStyle name="20% - Accent6 2 10 4 4 3" xfId="29724" xr:uid="{00000000-0005-0000-0000-00008A290000}"/>
    <cellStyle name="20% - Accent6 2 10 4 5" xfId="11792" xr:uid="{00000000-0005-0000-0000-00008B290000}"/>
    <cellStyle name="20% - Accent6 2 10 4 5 2" xfId="23066" xr:uid="{00000000-0005-0000-0000-00008C290000}"/>
    <cellStyle name="20% - Accent6 2 10 4 5 3" xfId="31943" xr:uid="{00000000-0005-0000-0000-00008D290000}"/>
    <cellStyle name="20% - Accent6 2 10 4 6" xfId="14013" xr:uid="{00000000-0005-0000-0000-00008E290000}"/>
    <cellStyle name="20% - Accent6 2 10 4 6 2" xfId="25285" xr:uid="{00000000-0005-0000-0000-00008F290000}"/>
    <cellStyle name="20% - Accent6 2 10 4 6 3" xfId="34162" xr:uid="{00000000-0005-0000-0000-000090290000}"/>
    <cellStyle name="20% - Accent6 2 10 4 7" xfId="18622" xr:uid="{00000000-0005-0000-0000-000091290000}"/>
    <cellStyle name="20% - Accent6 2 10 4 8" xfId="27503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4" xr:uid="{00000000-0005-0000-0000-000096290000}"/>
    <cellStyle name="20% - Accent6 2 10 5 2 2 3" xfId="31201" xr:uid="{00000000-0005-0000-0000-000097290000}"/>
    <cellStyle name="20% - Accent6 2 10 5 2 3" xfId="13269" xr:uid="{00000000-0005-0000-0000-000098290000}"/>
    <cellStyle name="20% - Accent6 2 10 5 2 3 2" xfId="24543" xr:uid="{00000000-0005-0000-0000-000099290000}"/>
    <cellStyle name="20% - Accent6 2 10 5 2 3 3" xfId="33420" xr:uid="{00000000-0005-0000-0000-00009A290000}"/>
    <cellStyle name="20% - Accent6 2 10 5 2 4" xfId="15719" xr:uid="{00000000-0005-0000-0000-00009B290000}"/>
    <cellStyle name="20% - Accent6 2 10 5 2 4 2" xfId="26762" xr:uid="{00000000-0005-0000-0000-00009C290000}"/>
    <cellStyle name="20% - Accent6 2 10 5 2 4 3" xfId="35639" xr:uid="{00000000-0005-0000-0000-00009D290000}"/>
    <cellStyle name="20% - Accent6 2 10 5 2 5" xfId="20105" xr:uid="{00000000-0005-0000-0000-00009E290000}"/>
    <cellStyle name="20% - Accent6 2 10 5 2 6" xfId="28982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1" xr:uid="{00000000-0005-0000-0000-0000A2290000}"/>
    <cellStyle name="20% - Accent6 2 10 5 3 2 3" xfId="30468" xr:uid="{00000000-0005-0000-0000-0000A3290000}"/>
    <cellStyle name="20% - Accent6 2 10 5 3 3" xfId="12536" xr:uid="{00000000-0005-0000-0000-0000A4290000}"/>
    <cellStyle name="20% - Accent6 2 10 5 3 3 2" xfId="23810" xr:uid="{00000000-0005-0000-0000-0000A5290000}"/>
    <cellStyle name="20% - Accent6 2 10 5 3 3 3" xfId="32687" xr:uid="{00000000-0005-0000-0000-0000A6290000}"/>
    <cellStyle name="20% - Accent6 2 10 5 3 4" xfId="14986" xr:uid="{00000000-0005-0000-0000-0000A7290000}"/>
    <cellStyle name="20% - Accent6 2 10 5 3 4 2" xfId="26029" xr:uid="{00000000-0005-0000-0000-0000A8290000}"/>
    <cellStyle name="20% - Accent6 2 10 5 3 4 3" xfId="34906" xr:uid="{00000000-0005-0000-0000-0000A9290000}"/>
    <cellStyle name="20% - Accent6 2 10 5 3 5" xfId="19372" xr:uid="{00000000-0005-0000-0000-0000AA290000}"/>
    <cellStyle name="20% - Accent6 2 10 5 3 6" xfId="28249" xr:uid="{00000000-0005-0000-0000-0000AB290000}"/>
    <cellStyle name="20% - Accent6 2 10 5 4" xfId="9345" xr:uid="{00000000-0005-0000-0000-0000AC290000}"/>
    <cellStyle name="20% - Accent6 2 10 5 4 2" xfId="20848" xr:uid="{00000000-0005-0000-0000-0000AD290000}"/>
    <cellStyle name="20% - Accent6 2 10 5 4 3" xfId="29725" xr:uid="{00000000-0005-0000-0000-0000AE290000}"/>
    <cellStyle name="20% - Accent6 2 10 5 5" xfId="11793" xr:uid="{00000000-0005-0000-0000-0000AF290000}"/>
    <cellStyle name="20% - Accent6 2 10 5 5 2" xfId="23067" xr:uid="{00000000-0005-0000-0000-0000B0290000}"/>
    <cellStyle name="20% - Accent6 2 10 5 5 3" xfId="31944" xr:uid="{00000000-0005-0000-0000-0000B1290000}"/>
    <cellStyle name="20% - Accent6 2 10 5 6" xfId="14014" xr:uid="{00000000-0005-0000-0000-0000B2290000}"/>
    <cellStyle name="20% - Accent6 2 10 5 6 2" xfId="25286" xr:uid="{00000000-0005-0000-0000-0000B3290000}"/>
    <cellStyle name="20% - Accent6 2 10 5 6 3" xfId="34163" xr:uid="{00000000-0005-0000-0000-0000B4290000}"/>
    <cellStyle name="20% - Accent6 2 10 5 7" xfId="18623" xr:uid="{00000000-0005-0000-0000-0000B5290000}"/>
    <cellStyle name="20% - Accent6 2 10 5 8" xfId="27504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5" xr:uid="{00000000-0005-0000-0000-0000BA290000}"/>
    <cellStyle name="20% - Accent6 2 11 2 2 3" xfId="31202" xr:uid="{00000000-0005-0000-0000-0000BB290000}"/>
    <cellStyle name="20% - Accent6 2 11 2 3" xfId="13270" xr:uid="{00000000-0005-0000-0000-0000BC290000}"/>
    <cellStyle name="20% - Accent6 2 11 2 3 2" xfId="24544" xr:uid="{00000000-0005-0000-0000-0000BD290000}"/>
    <cellStyle name="20% - Accent6 2 11 2 3 3" xfId="33421" xr:uid="{00000000-0005-0000-0000-0000BE290000}"/>
    <cellStyle name="20% - Accent6 2 11 2 4" xfId="15720" xr:uid="{00000000-0005-0000-0000-0000BF290000}"/>
    <cellStyle name="20% - Accent6 2 11 2 4 2" xfId="26763" xr:uid="{00000000-0005-0000-0000-0000C0290000}"/>
    <cellStyle name="20% - Accent6 2 11 2 4 3" xfId="35640" xr:uid="{00000000-0005-0000-0000-0000C1290000}"/>
    <cellStyle name="20% - Accent6 2 11 2 5" xfId="20106" xr:uid="{00000000-0005-0000-0000-0000C2290000}"/>
    <cellStyle name="20% - Accent6 2 11 2 6" xfId="28983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2" xr:uid="{00000000-0005-0000-0000-0000C6290000}"/>
    <cellStyle name="20% - Accent6 2 11 3 2 3" xfId="30469" xr:uid="{00000000-0005-0000-0000-0000C7290000}"/>
    <cellStyle name="20% - Accent6 2 11 3 3" xfId="12537" xr:uid="{00000000-0005-0000-0000-0000C8290000}"/>
    <cellStyle name="20% - Accent6 2 11 3 3 2" xfId="23811" xr:uid="{00000000-0005-0000-0000-0000C9290000}"/>
    <cellStyle name="20% - Accent6 2 11 3 3 3" xfId="32688" xr:uid="{00000000-0005-0000-0000-0000CA290000}"/>
    <cellStyle name="20% - Accent6 2 11 3 4" xfId="14987" xr:uid="{00000000-0005-0000-0000-0000CB290000}"/>
    <cellStyle name="20% - Accent6 2 11 3 4 2" xfId="26030" xr:uid="{00000000-0005-0000-0000-0000CC290000}"/>
    <cellStyle name="20% - Accent6 2 11 3 4 3" xfId="34907" xr:uid="{00000000-0005-0000-0000-0000CD290000}"/>
    <cellStyle name="20% - Accent6 2 11 3 5" xfId="19373" xr:uid="{00000000-0005-0000-0000-0000CE290000}"/>
    <cellStyle name="20% - Accent6 2 11 3 6" xfId="28250" xr:uid="{00000000-0005-0000-0000-0000CF290000}"/>
    <cellStyle name="20% - Accent6 2 11 4" xfId="9346" xr:uid="{00000000-0005-0000-0000-0000D0290000}"/>
    <cellStyle name="20% - Accent6 2 11 4 2" xfId="20849" xr:uid="{00000000-0005-0000-0000-0000D1290000}"/>
    <cellStyle name="20% - Accent6 2 11 4 3" xfId="29726" xr:uid="{00000000-0005-0000-0000-0000D2290000}"/>
    <cellStyle name="20% - Accent6 2 11 5" xfId="11794" xr:uid="{00000000-0005-0000-0000-0000D3290000}"/>
    <cellStyle name="20% - Accent6 2 11 5 2" xfId="23068" xr:uid="{00000000-0005-0000-0000-0000D4290000}"/>
    <cellStyle name="20% - Accent6 2 11 5 3" xfId="31945" xr:uid="{00000000-0005-0000-0000-0000D5290000}"/>
    <cellStyle name="20% - Accent6 2 11 6" xfId="14015" xr:uid="{00000000-0005-0000-0000-0000D6290000}"/>
    <cellStyle name="20% - Accent6 2 11 6 2" xfId="25287" xr:uid="{00000000-0005-0000-0000-0000D7290000}"/>
    <cellStyle name="20% - Accent6 2 11 6 3" xfId="34164" xr:uid="{00000000-0005-0000-0000-0000D8290000}"/>
    <cellStyle name="20% - Accent6 2 11 7" xfId="18624" xr:uid="{00000000-0005-0000-0000-0000D9290000}"/>
    <cellStyle name="20% - Accent6 2 11 8" xfId="27505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6" xr:uid="{00000000-0005-0000-0000-0000E1290000}"/>
    <cellStyle name="20% - Accent6 2 15 2 2 3" xfId="31203" xr:uid="{00000000-0005-0000-0000-0000E2290000}"/>
    <cellStyle name="20% - Accent6 2 15 2 3" xfId="13271" xr:uid="{00000000-0005-0000-0000-0000E3290000}"/>
    <cellStyle name="20% - Accent6 2 15 2 3 2" xfId="24545" xr:uid="{00000000-0005-0000-0000-0000E4290000}"/>
    <cellStyle name="20% - Accent6 2 15 2 3 3" xfId="33422" xr:uid="{00000000-0005-0000-0000-0000E5290000}"/>
    <cellStyle name="20% - Accent6 2 15 2 4" xfId="15721" xr:uid="{00000000-0005-0000-0000-0000E6290000}"/>
    <cellStyle name="20% - Accent6 2 15 2 4 2" xfId="26764" xr:uid="{00000000-0005-0000-0000-0000E7290000}"/>
    <cellStyle name="20% - Accent6 2 15 2 4 3" xfId="35641" xr:uid="{00000000-0005-0000-0000-0000E8290000}"/>
    <cellStyle name="20% - Accent6 2 15 2 5" xfId="20107" xr:uid="{00000000-0005-0000-0000-0000E9290000}"/>
    <cellStyle name="20% - Accent6 2 15 2 6" xfId="28984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3" xr:uid="{00000000-0005-0000-0000-0000ED290000}"/>
    <cellStyle name="20% - Accent6 2 15 3 2 3" xfId="30470" xr:uid="{00000000-0005-0000-0000-0000EE290000}"/>
    <cellStyle name="20% - Accent6 2 15 3 3" xfId="12538" xr:uid="{00000000-0005-0000-0000-0000EF290000}"/>
    <cellStyle name="20% - Accent6 2 15 3 3 2" xfId="23812" xr:uid="{00000000-0005-0000-0000-0000F0290000}"/>
    <cellStyle name="20% - Accent6 2 15 3 3 3" xfId="32689" xr:uid="{00000000-0005-0000-0000-0000F1290000}"/>
    <cellStyle name="20% - Accent6 2 15 3 4" xfId="14988" xr:uid="{00000000-0005-0000-0000-0000F2290000}"/>
    <cellStyle name="20% - Accent6 2 15 3 4 2" xfId="26031" xr:uid="{00000000-0005-0000-0000-0000F3290000}"/>
    <cellStyle name="20% - Accent6 2 15 3 4 3" xfId="34908" xr:uid="{00000000-0005-0000-0000-0000F4290000}"/>
    <cellStyle name="20% - Accent6 2 15 3 5" xfId="19374" xr:uid="{00000000-0005-0000-0000-0000F5290000}"/>
    <cellStyle name="20% - Accent6 2 15 3 6" xfId="28251" xr:uid="{00000000-0005-0000-0000-0000F6290000}"/>
    <cellStyle name="20% - Accent6 2 15 4" xfId="9347" xr:uid="{00000000-0005-0000-0000-0000F7290000}"/>
    <cellStyle name="20% - Accent6 2 15 4 2" xfId="20850" xr:uid="{00000000-0005-0000-0000-0000F8290000}"/>
    <cellStyle name="20% - Accent6 2 15 4 3" xfId="29727" xr:uid="{00000000-0005-0000-0000-0000F9290000}"/>
    <cellStyle name="20% - Accent6 2 15 5" xfId="11795" xr:uid="{00000000-0005-0000-0000-0000FA290000}"/>
    <cellStyle name="20% - Accent6 2 15 5 2" xfId="23069" xr:uid="{00000000-0005-0000-0000-0000FB290000}"/>
    <cellStyle name="20% - Accent6 2 15 5 3" xfId="31946" xr:uid="{00000000-0005-0000-0000-0000FC290000}"/>
    <cellStyle name="20% - Accent6 2 15 6" xfId="14016" xr:uid="{00000000-0005-0000-0000-0000FD290000}"/>
    <cellStyle name="20% - Accent6 2 15 6 2" xfId="25288" xr:uid="{00000000-0005-0000-0000-0000FE290000}"/>
    <cellStyle name="20% - Accent6 2 15 6 3" xfId="34165" xr:uid="{00000000-0005-0000-0000-0000FF290000}"/>
    <cellStyle name="20% - Accent6 2 15 7" xfId="18625" xr:uid="{00000000-0005-0000-0000-0000002A0000}"/>
    <cellStyle name="20% - Accent6 2 15 8" xfId="27506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7" xr:uid="{00000000-0005-0000-0000-0000062A0000}"/>
    <cellStyle name="20% - Accent6 2 2 10 2 3" xfId="31204" xr:uid="{00000000-0005-0000-0000-0000072A0000}"/>
    <cellStyle name="20% - Accent6 2 2 10 3" xfId="13272" xr:uid="{00000000-0005-0000-0000-0000082A0000}"/>
    <cellStyle name="20% - Accent6 2 2 10 3 2" xfId="24546" xr:uid="{00000000-0005-0000-0000-0000092A0000}"/>
    <cellStyle name="20% - Accent6 2 2 10 3 3" xfId="33423" xr:uid="{00000000-0005-0000-0000-00000A2A0000}"/>
    <cellStyle name="20% - Accent6 2 2 10 4" xfId="15722" xr:uid="{00000000-0005-0000-0000-00000B2A0000}"/>
    <cellStyle name="20% - Accent6 2 2 10 4 2" xfId="26765" xr:uid="{00000000-0005-0000-0000-00000C2A0000}"/>
    <cellStyle name="20% - Accent6 2 2 10 4 3" xfId="35642" xr:uid="{00000000-0005-0000-0000-00000D2A0000}"/>
    <cellStyle name="20% - Accent6 2 2 10 5" xfId="20108" xr:uid="{00000000-0005-0000-0000-00000E2A0000}"/>
    <cellStyle name="20% - Accent6 2 2 10 6" xfId="28985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4" xr:uid="{00000000-0005-0000-0000-0000122A0000}"/>
    <cellStyle name="20% - Accent6 2 2 11 2 3" xfId="30471" xr:uid="{00000000-0005-0000-0000-0000132A0000}"/>
    <cellStyle name="20% - Accent6 2 2 11 3" xfId="12539" xr:uid="{00000000-0005-0000-0000-0000142A0000}"/>
    <cellStyle name="20% - Accent6 2 2 11 3 2" xfId="23813" xr:uid="{00000000-0005-0000-0000-0000152A0000}"/>
    <cellStyle name="20% - Accent6 2 2 11 3 3" xfId="32690" xr:uid="{00000000-0005-0000-0000-0000162A0000}"/>
    <cellStyle name="20% - Accent6 2 2 11 4" xfId="14989" xr:uid="{00000000-0005-0000-0000-0000172A0000}"/>
    <cellStyle name="20% - Accent6 2 2 11 4 2" xfId="26032" xr:uid="{00000000-0005-0000-0000-0000182A0000}"/>
    <cellStyle name="20% - Accent6 2 2 11 4 3" xfId="34909" xr:uid="{00000000-0005-0000-0000-0000192A0000}"/>
    <cellStyle name="20% - Accent6 2 2 11 5" xfId="19375" xr:uid="{00000000-0005-0000-0000-00001A2A0000}"/>
    <cellStyle name="20% - Accent6 2 2 11 6" xfId="28252" xr:uid="{00000000-0005-0000-0000-00001B2A0000}"/>
    <cellStyle name="20% - Accent6 2 2 12" xfId="9348" xr:uid="{00000000-0005-0000-0000-00001C2A0000}"/>
    <cellStyle name="20% - Accent6 2 2 12 2" xfId="20851" xr:uid="{00000000-0005-0000-0000-00001D2A0000}"/>
    <cellStyle name="20% - Accent6 2 2 12 3" xfId="29728" xr:uid="{00000000-0005-0000-0000-00001E2A0000}"/>
    <cellStyle name="20% - Accent6 2 2 13" xfId="11796" xr:uid="{00000000-0005-0000-0000-00001F2A0000}"/>
    <cellStyle name="20% - Accent6 2 2 13 2" xfId="23070" xr:uid="{00000000-0005-0000-0000-0000202A0000}"/>
    <cellStyle name="20% - Accent6 2 2 13 3" xfId="31947" xr:uid="{00000000-0005-0000-0000-0000212A0000}"/>
    <cellStyle name="20% - Accent6 2 2 14" xfId="14017" xr:uid="{00000000-0005-0000-0000-0000222A0000}"/>
    <cellStyle name="20% - Accent6 2 2 14 2" xfId="25289" xr:uid="{00000000-0005-0000-0000-0000232A0000}"/>
    <cellStyle name="20% - Accent6 2 2 14 3" xfId="34166" xr:uid="{00000000-0005-0000-0000-0000242A0000}"/>
    <cellStyle name="20% - Accent6 2 2 15" xfId="18626" xr:uid="{00000000-0005-0000-0000-0000252A0000}"/>
    <cellStyle name="20% - Accent6 2 2 16" xfId="27507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8" xr:uid="{00000000-0005-0000-0000-00002A2A0000}"/>
    <cellStyle name="20% - Accent6 2 2 2 2 2 3" xfId="31205" xr:uid="{00000000-0005-0000-0000-00002B2A0000}"/>
    <cellStyle name="20% - Accent6 2 2 2 2 3" xfId="13273" xr:uid="{00000000-0005-0000-0000-00002C2A0000}"/>
    <cellStyle name="20% - Accent6 2 2 2 2 3 2" xfId="24547" xr:uid="{00000000-0005-0000-0000-00002D2A0000}"/>
    <cellStyle name="20% - Accent6 2 2 2 2 3 3" xfId="33424" xr:uid="{00000000-0005-0000-0000-00002E2A0000}"/>
    <cellStyle name="20% - Accent6 2 2 2 2 4" xfId="15723" xr:uid="{00000000-0005-0000-0000-00002F2A0000}"/>
    <cellStyle name="20% - Accent6 2 2 2 2 4 2" xfId="26766" xr:uid="{00000000-0005-0000-0000-0000302A0000}"/>
    <cellStyle name="20% - Accent6 2 2 2 2 4 3" xfId="35643" xr:uid="{00000000-0005-0000-0000-0000312A0000}"/>
    <cellStyle name="20% - Accent6 2 2 2 2 5" xfId="20109" xr:uid="{00000000-0005-0000-0000-0000322A0000}"/>
    <cellStyle name="20% - Accent6 2 2 2 2 6" xfId="28986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5" xr:uid="{00000000-0005-0000-0000-0000362A0000}"/>
    <cellStyle name="20% - Accent6 2 2 2 3 2 3" xfId="30472" xr:uid="{00000000-0005-0000-0000-0000372A0000}"/>
    <cellStyle name="20% - Accent6 2 2 2 3 3" xfId="12540" xr:uid="{00000000-0005-0000-0000-0000382A0000}"/>
    <cellStyle name="20% - Accent6 2 2 2 3 3 2" xfId="23814" xr:uid="{00000000-0005-0000-0000-0000392A0000}"/>
    <cellStyle name="20% - Accent6 2 2 2 3 3 3" xfId="32691" xr:uid="{00000000-0005-0000-0000-00003A2A0000}"/>
    <cellStyle name="20% - Accent6 2 2 2 3 4" xfId="14990" xr:uid="{00000000-0005-0000-0000-00003B2A0000}"/>
    <cellStyle name="20% - Accent6 2 2 2 3 4 2" xfId="26033" xr:uid="{00000000-0005-0000-0000-00003C2A0000}"/>
    <cellStyle name="20% - Accent6 2 2 2 3 4 3" xfId="34910" xr:uid="{00000000-0005-0000-0000-00003D2A0000}"/>
    <cellStyle name="20% - Accent6 2 2 2 3 5" xfId="19376" xr:uid="{00000000-0005-0000-0000-00003E2A0000}"/>
    <cellStyle name="20% - Accent6 2 2 2 3 6" xfId="28253" xr:uid="{00000000-0005-0000-0000-00003F2A0000}"/>
    <cellStyle name="20% - Accent6 2 2 2 4" xfId="9349" xr:uid="{00000000-0005-0000-0000-0000402A0000}"/>
    <cellStyle name="20% - Accent6 2 2 2 4 2" xfId="20852" xr:uid="{00000000-0005-0000-0000-0000412A0000}"/>
    <cellStyle name="20% - Accent6 2 2 2 4 3" xfId="29729" xr:uid="{00000000-0005-0000-0000-0000422A0000}"/>
    <cellStyle name="20% - Accent6 2 2 2 5" xfId="11797" xr:uid="{00000000-0005-0000-0000-0000432A0000}"/>
    <cellStyle name="20% - Accent6 2 2 2 5 2" xfId="23071" xr:uid="{00000000-0005-0000-0000-0000442A0000}"/>
    <cellStyle name="20% - Accent6 2 2 2 5 3" xfId="31948" xr:uid="{00000000-0005-0000-0000-0000452A0000}"/>
    <cellStyle name="20% - Accent6 2 2 2 6" xfId="14018" xr:uid="{00000000-0005-0000-0000-0000462A0000}"/>
    <cellStyle name="20% - Accent6 2 2 2 6 2" xfId="25290" xr:uid="{00000000-0005-0000-0000-0000472A0000}"/>
    <cellStyle name="20% - Accent6 2 2 2 6 3" xfId="34167" xr:uid="{00000000-0005-0000-0000-0000482A0000}"/>
    <cellStyle name="20% - Accent6 2 2 2 7" xfId="18627" xr:uid="{00000000-0005-0000-0000-0000492A0000}"/>
    <cellStyle name="20% - Accent6 2 2 2 8" xfId="27508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29" xr:uid="{00000000-0005-0000-0000-00004E2A0000}"/>
    <cellStyle name="20% - Accent6 2 2 3 2 2 3" xfId="31206" xr:uid="{00000000-0005-0000-0000-00004F2A0000}"/>
    <cellStyle name="20% - Accent6 2 2 3 2 3" xfId="13274" xr:uid="{00000000-0005-0000-0000-0000502A0000}"/>
    <cellStyle name="20% - Accent6 2 2 3 2 3 2" xfId="24548" xr:uid="{00000000-0005-0000-0000-0000512A0000}"/>
    <cellStyle name="20% - Accent6 2 2 3 2 3 3" xfId="33425" xr:uid="{00000000-0005-0000-0000-0000522A0000}"/>
    <cellStyle name="20% - Accent6 2 2 3 2 4" xfId="15724" xr:uid="{00000000-0005-0000-0000-0000532A0000}"/>
    <cellStyle name="20% - Accent6 2 2 3 2 4 2" xfId="26767" xr:uid="{00000000-0005-0000-0000-0000542A0000}"/>
    <cellStyle name="20% - Accent6 2 2 3 2 4 3" xfId="35644" xr:uid="{00000000-0005-0000-0000-0000552A0000}"/>
    <cellStyle name="20% - Accent6 2 2 3 2 5" xfId="20110" xr:uid="{00000000-0005-0000-0000-0000562A0000}"/>
    <cellStyle name="20% - Accent6 2 2 3 2 6" xfId="28987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6" xr:uid="{00000000-0005-0000-0000-00005A2A0000}"/>
    <cellStyle name="20% - Accent6 2 2 3 3 2 3" xfId="30473" xr:uid="{00000000-0005-0000-0000-00005B2A0000}"/>
    <cellStyle name="20% - Accent6 2 2 3 3 3" xfId="12541" xr:uid="{00000000-0005-0000-0000-00005C2A0000}"/>
    <cellStyle name="20% - Accent6 2 2 3 3 3 2" xfId="23815" xr:uid="{00000000-0005-0000-0000-00005D2A0000}"/>
    <cellStyle name="20% - Accent6 2 2 3 3 3 3" xfId="32692" xr:uid="{00000000-0005-0000-0000-00005E2A0000}"/>
    <cellStyle name="20% - Accent6 2 2 3 3 4" xfId="14991" xr:uid="{00000000-0005-0000-0000-00005F2A0000}"/>
    <cellStyle name="20% - Accent6 2 2 3 3 4 2" xfId="26034" xr:uid="{00000000-0005-0000-0000-0000602A0000}"/>
    <cellStyle name="20% - Accent6 2 2 3 3 4 3" xfId="34911" xr:uid="{00000000-0005-0000-0000-0000612A0000}"/>
    <cellStyle name="20% - Accent6 2 2 3 3 5" xfId="19377" xr:uid="{00000000-0005-0000-0000-0000622A0000}"/>
    <cellStyle name="20% - Accent6 2 2 3 3 6" xfId="28254" xr:uid="{00000000-0005-0000-0000-0000632A0000}"/>
    <cellStyle name="20% - Accent6 2 2 3 4" xfId="9350" xr:uid="{00000000-0005-0000-0000-0000642A0000}"/>
    <cellStyle name="20% - Accent6 2 2 3 4 2" xfId="20853" xr:uid="{00000000-0005-0000-0000-0000652A0000}"/>
    <cellStyle name="20% - Accent6 2 2 3 4 3" xfId="29730" xr:uid="{00000000-0005-0000-0000-0000662A0000}"/>
    <cellStyle name="20% - Accent6 2 2 3 5" xfId="11798" xr:uid="{00000000-0005-0000-0000-0000672A0000}"/>
    <cellStyle name="20% - Accent6 2 2 3 5 2" xfId="23072" xr:uid="{00000000-0005-0000-0000-0000682A0000}"/>
    <cellStyle name="20% - Accent6 2 2 3 5 3" xfId="31949" xr:uid="{00000000-0005-0000-0000-0000692A0000}"/>
    <cellStyle name="20% - Accent6 2 2 3 6" xfId="14019" xr:uid="{00000000-0005-0000-0000-00006A2A0000}"/>
    <cellStyle name="20% - Accent6 2 2 3 6 2" xfId="25291" xr:uid="{00000000-0005-0000-0000-00006B2A0000}"/>
    <cellStyle name="20% - Accent6 2 2 3 6 3" xfId="34168" xr:uid="{00000000-0005-0000-0000-00006C2A0000}"/>
    <cellStyle name="20% - Accent6 2 2 3 7" xfId="18628" xr:uid="{00000000-0005-0000-0000-00006D2A0000}"/>
    <cellStyle name="20% - Accent6 2 2 3 8" xfId="27509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0" xr:uid="{00000000-0005-0000-0000-0000722A0000}"/>
    <cellStyle name="20% - Accent6 2 2 4 2 2 3" xfId="31207" xr:uid="{00000000-0005-0000-0000-0000732A0000}"/>
    <cellStyle name="20% - Accent6 2 2 4 2 3" xfId="13275" xr:uid="{00000000-0005-0000-0000-0000742A0000}"/>
    <cellStyle name="20% - Accent6 2 2 4 2 3 2" xfId="24549" xr:uid="{00000000-0005-0000-0000-0000752A0000}"/>
    <cellStyle name="20% - Accent6 2 2 4 2 3 3" xfId="33426" xr:uid="{00000000-0005-0000-0000-0000762A0000}"/>
    <cellStyle name="20% - Accent6 2 2 4 2 4" xfId="15725" xr:uid="{00000000-0005-0000-0000-0000772A0000}"/>
    <cellStyle name="20% - Accent6 2 2 4 2 4 2" xfId="26768" xr:uid="{00000000-0005-0000-0000-0000782A0000}"/>
    <cellStyle name="20% - Accent6 2 2 4 2 4 3" xfId="35645" xr:uid="{00000000-0005-0000-0000-0000792A0000}"/>
    <cellStyle name="20% - Accent6 2 2 4 2 5" xfId="20111" xr:uid="{00000000-0005-0000-0000-00007A2A0000}"/>
    <cellStyle name="20% - Accent6 2 2 4 2 6" xfId="28988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7" xr:uid="{00000000-0005-0000-0000-00007E2A0000}"/>
    <cellStyle name="20% - Accent6 2 2 4 3 2 3" xfId="30474" xr:uid="{00000000-0005-0000-0000-00007F2A0000}"/>
    <cellStyle name="20% - Accent6 2 2 4 3 3" xfId="12542" xr:uid="{00000000-0005-0000-0000-0000802A0000}"/>
    <cellStyle name="20% - Accent6 2 2 4 3 3 2" xfId="23816" xr:uid="{00000000-0005-0000-0000-0000812A0000}"/>
    <cellStyle name="20% - Accent6 2 2 4 3 3 3" xfId="32693" xr:uid="{00000000-0005-0000-0000-0000822A0000}"/>
    <cellStyle name="20% - Accent6 2 2 4 3 4" xfId="14992" xr:uid="{00000000-0005-0000-0000-0000832A0000}"/>
    <cellStyle name="20% - Accent6 2 2 4 3 4 2" xfId="26035" xr:uid="{00000000-0005-0000-0000-0000842A0000}"/>
    <cellStyle name="20% - Accent6 2 2 4 3 4 3" xfId="34912" xr:uid="{00000000-0005-0000-0000-0000852A0000}"/>
    <cellStyle name="20% - Accent6 2 2 4 3 5" xfId="19378" xr:uid="{00000000-0005-0000-0000-0000862A0000}"/>
    <cellStyle name="20% - Accent6 2 2 4 3 6" xfId="28255" xr:uid="{00000000-0005-0000-0000-0000872A0000}"/>
    <cellStyle name="20% - Accent6 2 2 4 4" xfId="9351" xr:uid="{00000000-0005-0000-0000-0000882A0000}"/>
    <cellStyle name="20% - Accent6 2 2 4 4 2" xfId="20854" xr:uid="{00000000-0005-0000-0000-0000892A0000}"/>
    <cellStyle name="20% - Accent6 2 2 4 4 3" xfId="29731" xr:uid="{00000000-0005-0000-0000-00008A2A0000}"/>
    <cellStyle name="20% - Accent6 2 2 4 5" xfId="11799" xr:uid="{00000000-0005-0000-0000-00008B2A0000}"/>
    <cellStyle name="20% - Accent6 2 2 4 5 2" xfId="23073" xr:uid="{00000000-0005-0000-0000-00008C2A0000}"/>
    <cellStyle name="20% - Accent6 2 2 4 5 3" xfId="31950" xr:uid="{00000000-0005-0000-0000-00008D2A0000}"/>
    <cellStyle name="20% - Accent6 2 2 4 6" xfId="14020" xr:uid="{00000000-0005-0000-0000-00008E2A0000}"/>
    <cellStyle name="20% - Accent6 2 2 4 6 2" xfId="25292" xr:uid="{00000000-0005-0000-0000-00008F2A0000}"/>
    <cellStyle name="20% - Accent6 2 2 4 6 3" xfId="34169" xr:uid="{00000000-0005-0000-0000-0000902A0000}"/>
    <cellStyle name="20% - Accent6 2 2 4 7" xfId="18629" xr:uid="{00000000-0005-0000-0000-0000912A0000}"/>
    <cellStyle name="20% - Accent6 2 2 4 8" xfId="27510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1" xr:uid="{00000000-0005-0000-0000-0000962A0000}"/>
    <cellStyle name="20% - Accent6 2 2 5 2 2 3" xfId="31208" xr:uid="{00000000-0005-0000-0000-0000972A0000}"/>
    <cellStyle name="20% - Accent6 2 2 5 2 3" xfId="13276" xr:uid="{00000000-0005-0000-0000-0000982A0000}"/>
    <cellStyle name="20% - Accent6 2 2 5 2 3 2" xfId="24550" xr:uid="{00000000-0005-0000-0000-0000992A0000}"/>
    <cellStyle name="20% - Accent6 2 2 5 2 3 3" xfId="33427" xr:uid="{00000000-0005-0000-0000-00009A2A0000}"/>
    <cellStyle name="20% - Accent6 2 2 5 2 4" xfId="15726" xr:uid="{00000000-0005-0000-0000-00009B2A0000}"/>
    <cellStyle name="20% - Accent6 2 2 5 2 4 2" xfId="26769" xr:uid="{00000000-0005-0000-0000-00009C2A0000}"/>
    <cellStyle name="20% - Accent6 2 2 5 2 4 3" xfId="35646" xr:uid="{00000000-0005-0000-0000-00009D2A0000}"/>
    <cellStyle name="20% - Accent6 2 2 5 2 5" xfId="20112" xr:uid="{00000000-0005-0000-0000-00009E2A0000}"/>
    <cellStyle name="20% - Accent6 2 2 5 2 6" xfId="28989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8" xr:uid="{00000000-0005-0000-0000-0000A22A0000}"/>
    <cellStyle name="20% - Accent6 2 2 5 3 2 3" xfId="30475" xr:uid="{00000000-0005-0000-0000-0000A32A0000}"/>
    <cellStyle name="20% - Accent6 2 2 5 3 3" xfId="12543" xr:uid="{00000000-0005-0000-0000-0000A42A0000}"/>
    <cellStyle name="20% - Accent6 2 2 5 3 3 2" xfId="23817" xr:uid="{00000000-0005-0000-0000-0000A52A0000}"/>
    <cellStyle name="20% - Accent6 2 2 5 3 3 3" xfId="32694" xr:uid="{00000000-0005-0000-0000-0000A62A0000}"/>
    <cellStyle name="20% - Accent6 2 2 5 3 4" xfId="14993" xr:uid="{00000000-0005-0000-0000-0000A72A0000}"/>
    <cellStyle name="20% - Accent6 2 2 5 3 4 2" xfId="26036" xr:uid="{00000000-0005-0000-0000-0000A82A0000}"/>
    <cellStyle name="20% - Accent6 2 2 5 3 4 3" xfId="34913" xr:uid="{00000000-0005-0000-0000-0000A92A0000}"/>
    <cellStyle name="20% - Accent6 2 2 5 3 5" xfId="19379" xr:uid="{00000000-0005-0000-0000-0000AA2A0000}"/>
    <cellStyle name="20% - Accent6 2 2 5 3 6" xfId="28256" xr:uid="{00000000-0005-0000-0000-0000AB2A0000}"/>
    <cellStyle name="20% - Accent6 2 2 5 4" xfId="9352" xr:uid="{00000000-0005-0000-0000-0000AC2A0000}"/>
    <cellStyle name="20% - Accent6 2 2 5 4 2" xfId="20855" xr:uid="{00000000-0005-0000-0000-0000AD2A0000}"/>
    <cellStyle name="20% - Accent6 2 2 5 4 3" xfId="29732" xr:uid="{00000000-0005-0000-0000-0000AE2A0000}"/>
    <cellStyle name="20% - Accent6 2 2 5 5" xfId="11800" xr:uid="{00000000-0005-0000-0000-0000AF2A0000}"/>
    <cellStyle name="20% - Accent6 2 2 5 5 2" xfId="23074" xr:uid="{00000000-0005-0000-0000-0000B02A0000}"/>
    <cellStyle name="20% - Accent6 2 2 5 5 3" xfId="31951" xr:uid="{00000000-0005-0000-0000-0000B12A0000}"/>
    <cellStyle name="20% - Accent6 2 2 5 6" xfId="14021" xr:uid="{00000000-0005-0000-0000-0000B22A0000}"/>
    <cellStyle name="20% - Accent6 2 2 5 6 2" xfId="25293" xr:uid="{00000000-0005-0000-0000-0000B32A0000}"/>
    <cellStyle name="20% - Accent6 2 2 5 6 3" xfId="34170" xr:uid="{00000000-0005-0000-0000-0000B42A0000}"/>
    <cellStyle name="20% - Accent6 2 2 5 7" xfId="18630" xr:uid="{00000000-0005-0000-0000-0000B52A0000}"/>
    <cellStyle name="20% - Accent6 2 2 5 8" xfId="27511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2" xr:uid="{00000000-0005-0000-0000-0000BA2A0000}"/>
    <cellStyle name="20% - Accent6 2 2 6 2 2 3" xfId="31209" xr:uid="{00000000-0005-0000-0000-0000BB2A0000}"/>
    <cellStyle name="20% - Accent6 2 2 6 2 3" xfId="13277" xr:uid="{00000000-0005-0000-0000-0000BC2A0000}"/>
    <cellStyle name="20% - Accent6 2 2 6 2 3 2" xfId="24551" xr:uid="{00000000-0005-0000-0000-0000BD2A0000}"/>
    <cellStyle name="20% - Accent6 2 2 6 2 3 3" xfId="33428" xr:uid="{00000000-0005-0000-0000-0000BE2A0000}"/>
    <cellStyle name="20% - Accent6 2 2 6 2 4" xfId="15727" xr:uid="{00000000-0005-0000-0000-0000BF2A0000}"/>
    <cellStyle name="20% - Accent6 2 2 6 2 4 2" xfId="26770" xr:uid="{00000000-0005-0000-0000-0000C02A0000}"/>
    <cellStyle name="20% - Accent6 2 2 6 2 4 3" xfId="35647" xr:uid="{00000000-0005-0000-0000-0000C12A0000}"/>
    <cellStyle name="20% - Accent6 2 2 6 2 5" xfId="20113" xr:uid="{00000000-0005-0000-0000-0000C22A0000}"/>
    <cellStyle name="20% - Accent6 2 2 6 2 6" xfId="28990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599" xr:uid="{00000000-0005-0000-0000-0000C62A0000}"/>
    <cellStyle name="20% - Accent6 2 2 6 3 2 3" xfId="30476" xr:uid="{00000000-0005-0000-0000-0000C72A0000}"/>
    <cellStyle name="20% - Accent6 2 2 6 3 3" xfId="12544" xr:uid="{00000000-0005-0000-0000-0000C82A0000}"/>
    <cellStyle name="20% - Accent6 2 2 6 3 3 2" xfId="23818" xr:uid="{00000000-0005-0000-0000-0000C92A0000}"/>
    <cellStyle name="20% - Accent6 2 2 6 3 3 3" xfId="32695" xr:uid="{00000000-0005-0000-0000-0000CA2A0000}"/>
    <cellStyle name="20% - Accent6 2 2 6 3 4" xfId="14994" xr:uid="{00000000-0005-0000-0000-0000CB2A0000}"/>
    <cellStyle name="20% - Accent6 2 2 6 3 4 2" xfId="26037" xr:uid="{00000000-0005-0000-0000-0000CC2A0000}"/>
    <cellStyle name="20% - Accent6 2 2 6 3 4 3" xfId="34914" xr:uid="{00000000-0005-0000-0000-0000CD2A0000}"/>
    <cellStyle name="20% - Accent6 2 2 6 3 5" xfId="19380" xr:uid="{00000000-0005-0000-0000-0000CE2A0000}"/>
    <cellStyle name="20% - Accent6 2 2 6 3 6" xfId="28257" xr:uid="{00000000-0005-0000-0000-0000CF2A0000}"/>
    <cellStyle name="20% - Accent6 2 2 6 4" xfId="9353" xr:uid="{00000000-0005-0000-0000-0000D02A0000}"/>
    <cellStyle name="20% - Accent6 2 2 6 4 2" xfId="20856" xr:uid="{00000000-0005-0000-0000-0000D12A0000}"/>
    <cellStyle name="20% - Accent6 2 2 6 4 3" xfId="29733" xr:uid="{00000000-0005-0000-0000-0000D22A0000}"/>
    <cellStyle name="20% - Accent6 2 2 6 5" xfId="11801" xr:uid="{00000000-0005-0000-0000-0000D32A0000}"/>
    <cellStyle name="20% - Accent6 2 2 6 5 2" xfId="23075" xr:uid="{00000000-0005-0000-0000-0000D42A0000}"/>
    <cellStyle name="20% - Accent6 2 2 6 5 3" xfId="31952" xr:uid="{00000000-0005-0000-0000-0000D52A0000}"/>
    <cellStyle name="20% - Accent6 2 2 6 6" xfId="14022" xr:uid="{00000000-0005-0000-0000-0000D62A0000}"/>
    <cellStyle name="20% - Accent6 2 2 6 6 2" xfId="25294" xr:uid="{00000000-0005-0000-0000-0000D72A0000}"/>
    <cellStyle name="20% - Accent6 2 2 6 6 3" xfId="34171" xr:uid="{00000000-0005-0000-0000-0000D82A0000}"/>
    <cellStyle name="20% - Accent6 2 2 6 7" xfId="18631" xr:uid="{00000000-0005-0000-0000-0000D92A0000}"/>
    <cellStyle name="20% - Accent6 2 2 6 8" xfId="27512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3" xr:uid="{00000000-0005-0000-0000-0000DE2A0000}"/>
    <cellStyle name="20% - Accent6 2 2 7 2 2 3" xfId="31210" xr:uid="{00000000-0005-0000-0000-0000DF2A0000}"/>
    <cellStyle name="20% - Accent6 2 2 7 2 3" xfId="13278" xr:uid="{00000000-0005-0000-0000-0000E02A0000}"/>
    <cellStyle name="20% - Accent6 2 2 7 2 3 2" xfId="24552" xr:uid="{00000000-0005-0000-0000-0000E12A0000}"/>
    <cellStyle name="20% - Accent6 2 2 7 2 3 3" xfId="33429" xr:uid="{00000000-0005-0000-0000-0000E22A0000}"/>
    <cellStyle name="20% - Accent6 2 2 7 2 4" xfId="15728" xr:uid="{00000000-0005-0000-0000-0000E32A0000}"/>
    <cellStyle name="20% - Accent6 2 2 7 2 4 2" xfId="26771" xr:uid="{00000000-0005-0000-0000-0000E42A0000}"/>
    <cellStyle name="20% - Accent6 2 2 7 2 4 3" xfId="35648" xr:uid="{00000000-0005-0000-0000-0000E52A0000}"/>
    <cellStyle name="20% - Accent6 2 2 7 2 5" xfId="20114" xr:uid="{00000000-0005-0000-0000-0000E62A0000}"/>
    <cellStyle name="20% - Accent6 2 2 7 2 6" xfId="28991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0" xr:uid="{00000000-0005-0000-0000-0000EA2A0000}"/>
    <cellStyle name="20% - Accent6 2 2 7 3 2 3" xfId="30477" xr:uid="{00000000-0005-0000-0000-0000EB2A0000}"/>
    <cellStyle name="20% - Accent6 2 2 7 3 3" xfId="12545" xr:uid="{00000000-0005-0000-0000-0000EC2A0000}"/>
    <cellStyle name="20% - Accent6 2 2 7 3 3 2" xfId="23819" xr:uid="{00000000-0005-0000-0000-0000ED2A0000}"/>
    <cellStyle name="20% - Accent6 2 2 7 3 3 3" xfId="32696" xr:uid="{00000000-0005-0000-0000-0000EE2A0000}"/>
    <cellStyle name="20% - Accent6 2 2 7 3 4" xfId="14995" xr:uid="{00000000-0005-0000-0000-0000EF2A0000}"/>
    <cellStyle name="20% - Accent6 2 2 7 3 4 2" xfId="26038" xr:uid="{00000000-0005-0000-0000-0000F02A0000}"/>
    <cellStyle name="20% - Accent6 2 2 7 3 4 3" xfId="34915" xr:uid="{00000000-0005-0000-0000-0000F12A0000}"/>
    <cellStyle name="20% - Accent6 2 2 7 3 5" xfId="19381" xr:uid="{00000000-0005-0000-0000-0000F22A0000}"/>
    <cellStyle name="20% - Accent6 2 2 7 3 6" xfId="28258" xr:uid="{00000000-0005-0000-0000-0000F32A0000}"/>
    <cellStyle name="20% - Accent6 2 2 7 4" xfId="9354" xr:uid="{00000000-0005-0000-0000-0000F42A0000}"/>
    <cellStyle name="20% - Accent6 2 2 7 4 2" xfId="20857" xr:uid="{00000000-0005-0000-0000-0000F52A0000}"/>
    <cellStyle name="20% - Accent6 2 2 7 4 3" xfId="29734" xr:uid="{00000000-0005-0000-0000-0000F62A0000}"/>
    <cellStyle name="20% - Accent6 2 2 7 5" xfId="11802" xr:uid="{00000000-0005-0000-0000-0000F72A0000}"/>
    <cellStyle name="20% - Accent6 2 2 7 5 2" xfId="23076" xr:uid="{00000000-0005-0000-0000-0000F82A0000}"/>
    <cellStyle name="20% - Accent6 2 2 7 5 3" xfId="31953" xr:uid="{00000000-0005-0000-0000-0000F92A0000}"/>
    <cellStyle name="20% - Accent6 2 2 7 6" xfId="14023" xr:uid="{00000000-0005-0000-0000-0000FA2A0000}"/>
    <cellStyle name="20% - Accent6 2 2 7 6 2" xfId="25295" xr:uid="{00000000-0005-0000-0000-0000FB2A0000}"/>
    <cellStyle name="20% - Accent6 2 2 7 6 3" xfId="34172" xr:uid="{00000000-0005-0000-0000-0000FC2A0000}"/>
    <cellStyle name="20% - Accent6 2 2 7 7" xfId="18632" xr:uid="{00000000-0005-0000-0000-0000FD2A0000}"/>
    <cellStyle name="20% - Accent6 2 2 7 8" xfId="27513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4" xr:uid="{00000000-0005-0000-0000-0000022B0000}"/>
    <cellStyle name="20% - Accent6 2 2 8 2 2 3" xfId="31211" xr:uid="{00000000-0005-0000-0000-0000032B0000}"/>
    <cellStyle name="20% - Accent6 2 2 8 2 3" xfId="13279" xr:uid="{00000000-0005-0000-0000-0000042B0000}"/>
    <cellStyle name="20% - Accent6 2 2 8 2 3 2" xfId="24553" xr:uid="{00000000-0005-0000-0000-0000052B0000}"/>
    <cellStyle name="20% - Accent6 2 2 8 2 3 3" xfId="33430" xr:uid="{00000000-0005-0000-0000-0000062B0000}"/>
    <cellStyle name="20% - Accent6 2 2 8 2 4" xfId="15729" xr:uid="{00000000-0005-0000-0000-0000072B0000}"/>
    <cellStyle name="20% - Accent6 2 2 8 2 4 2" xfId="26772" xr:uid="{00000000-0005-0000-0000-0000082B0000}"/>
    <cellStyle name="20% - Accent6 2 2 8 2 4 3" xfId="35649" xr:uid="{00000000-0005-0000-0000-0000092B0000}"/>
    <cellStyle name="20% - Accent6 2 2 8 2 5" xfId="20115" xr:uid="{00000000-0005-0000-0000-00000A2B0000}"/>
    <cellStyle name="20% - Accent6 2 2 8 2 6" xfId="28992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1" xr:uid="{00000000-0005-0000-0000-00000E2B0000}"/>
    <cellStyle name="20% - Accent6 2 2 8 3 2 3" xfId="30478" xr:uid="{00000000-0005-0000-0000-00000F2B0000}"/>
    <cellStyle name="20% - Accent6 2 2 8 3 3" xfId="12546" xr:uid="{00000000-0005-0000-0000-0000102B0000}"/>
    <cellStyle name="20% - Accent6 2 2 8 3 3 2" xfId="23820" xr:uid="{00000000-0005-0000-0000-0000112B0000}"/>
    <cellStyle name="20% - Accent6 2 2 8 3 3 3" xfId="32697" xr:uid="{00000000-0005-0000-0000-0000122B0000}"/>
    <cellStyle name="20% - Accent6 2 2 8 3 4" xfId="14996" xr:uid="{00000000-0005-0000-0000-0000132B0000}"/>
    <cellStyle name="20% - Accent6 2 2 8 3 4 2" xfId="26039" xr:uid="{00000000-0005-0000-0000-0000142B0000}"/>
    <cellStyle name="20% - Accent6 2 2 8 3 4 3" xfId="34916" xr:uid="{00000000-0005-0000-0000-0000152B0000}"/>
    <cellStyle name="20% - Accent6 2 2 8 3 5" xfId="19382" xr:uid="{00000000-0005-0000-0000-0000162B0000}"/>
    <cellStyle name="20% - Accent6 2 2 8 3 6" xfId="28259" xr:uid="{00000000-0005-0000-0000-0000172B0000}"/>
    <cellStyle name="20% - Accent6 2 2 8 4" xfId="9355" xr:uid="{00000000-0005-0000-0000-0000182B0000}"/>
    <cellStyle name="20% - Accent6 2 2 8 4 2" xfId="20858" xr:uid="{00000000-0005-0000-0000-0000192B0000}"/>
    <cellStyle name="20% - Accent6 2 2 8 4 3" xfId="29735" xr:uid="{00000000-0005-0000-0000-00001A2B0000}"/>
    <cellStyle name="20% - Accent6 2 2 8 5" xfId="11803" xr:uid="{00000000-0005-0000-0000-00001B2B0000}"/>
    <cellStyle name="20% - Accent6 2 2 8 5 2" xfId="23077" xr:uid="{00000000-0005-0000-0000-00001C2B0000}"/>
    <cellStyle name="20% - Accent6 2 2 8 5 3" xfId="31954" xr:uid="{00000000-0005-0000-0000-00001D2B0000}"/>
    <cellStyle name="20% - Accent6 2 2 8 6" xfId="14024" xr:uid="{00000000-0005-0000-0000-00001E2B0000}"/>
    <cellStyle name="20% - Accent6 2 2 8 6 2" xfId="25296" xr:uid="{00000000-0005-0000-0000-00001F2B0000}"/>
    <cellStyle name="20% - Accent6 2 2 8 6 3" xfId="34173" xr:uid="{00000000-0005-0000-0000-0000202B0000}"/>
    <cellStyle name="20% - Accent6 2 2 8 7" xfId="18633" xr:uid="{00000000-0005-0000-0000-0000212B0000}"/>
    <cellStyle name="20% - Accent6 2 2 8 8" xfId="27514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5" xr:uid="{00000000-0005-0000-0000-0000262B0000}"/>
    <cellStyle name="20% - Accent6 2 2 9 2 2 3" xfId="31212" xr:uid="{00000000-0005-0000-0000-0000272B0000}"/>
    <cellStyle name="20% - Accent6 2 2 9 2 3" xfId="13280" xr:uid="{00000000-0005-0000-0000-0000282B0000}"/>
    <cellStyle name="20% - Accent6 2 2 9 2 3 2" xfId="24554" xr:uid="{00000000-0005-0000-0000-0000292B0000}"/>
    <cellStyle name="20% - Accent6 2 2 9 2 3 3" xfId="33431" xr:uid="{00000000-0005-0000-0000-00002A2B0000}"/>
    <cellStyle name="20% - Accent6 2 2 9 2 4" xfId="15730" xr:uid="{00000000-0005-0000-0000-00002B2B0000}"/>
    <cellStyle name="20% - Accent6 2 2 9 2 4 2" xfId="26773" xr:uid="{00000000-0005-0000-0000-00002C2B0000}"/>
    <cellStyle name="20% - Accent6 2 2 9 2 4 3" xfId="35650" xr:uid="{00000000-0005-0000-0000-00002D2B0000}"/>
    <cellStyle name="20% - Accent6 2 2 9 2 5" xfId="20116" xr:uid="{00000000-0005-0000-0000-00002E2B0000}"/>
    <cellStyle name="20% - Accent6 2 2 9 2 6" xfId="28993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2" xr:uid="{00000000-0005-0000-0000-0000322B0000}"/>
    <cellStyle name="20% - Accent6 2 2 9 3 2 3" xfId="30479" xr:uid="{00000000-0005-0000-0000-0000332B0000}"/>
    <cellStyle name="20% - Accent6 2 2 9 3 3" xfId="12547" xr:uid="{00000000-0005-0000-0000-0000342B0000}"/>
    <cellStyle name="20% - Accent6 2 2 9 3 3 2" xfId="23821" xr:uid="{00000000-0005-0000-0000-0000352B0000}"/>
    <cellStyle name="20% - Accent6 2 2 9 3 3 3" xfId="32698" xr:uid="{00000000-0005-0000-0000-0000362B0000}"/>
    <cellStyle name="20% - Accent6 2 2 9 3 4" xfId="14997" xr:uid="{00000000-0005-0000-0000-0000372B0000}"/>
    <cellStyle name="20% - Accent6 2 2 9 3 4 2" xfId="26040" xr:uid="{00000000-0005-0000-0000-0000382B0000}"/>
    <cellStyle name="20% - Accent6 2 2 9 3 4 3" xfId="34917" xr:uid="{00000000-0005-0000-0000-0000392B0000}"/>
    <cellStyle name="20% - Accent6 2 2 9 3 5" xfId="19383" xr:uid="{00000000-0005-0000-0000-00003A2B0000}"/>
    <cellStyle name="20% - Accent6 2 2 9 3 6" xfId="28260" xr:uid="{00000000-0005-0000-0000-00003B2B0000}"/>
    <cellStyle name="20% - Accent6 2 2 9 4" xfId="9356" xr:uid="{00000000-0005-0000-0000-00003C2B0000}"/>
    <cellStyle name="20% - Accent6 2 2 9 4 2" xfId="20859" xr:uid="{00000000-0005-0000-0000-00003D2B0000}"/>
    <cellStyle name="20% - Accent6 2 2 9 4 3" xfId="29736" xr:uid="{00000000-0005-0000-0000-00003E2B0000}"/>
    <cellStyle name="20% - Accent6 2 2 9 5" xfId="11804" xr:uid="{00000000-0005-0000-0000-00003F2B0000}"/>
    <cellStyle name="20% - Accent6 2 2 9 5 2" xfId="23078" xr:uid="{00000000-0005-0000-0000-0000402B0000}"/>
    <cellStyle name="20% - Accent6 2 2 9 5 3" xfId="31955" xr:uid="{00000000-0005-0000-0000-0000412B0000}"/>
    <cellStyle name="20% - Accent6 2 2 9 6" xfId="14025" xr:uid="{00000000-0005-0000-0000-0000422B0000}"/>
    <cellStyle name="20% - Accent6 2 2 9 6 2" xfId="25297" xr:uid="{00000000-0005-0000-0000-0000432B0000}"/>
    <cellStyle name="20% - Accent6 2 2 9 6 3" xfId="34174" xr:uid="{00000000-0005-0000-0000-0000442B0000}"/>
    <cellStyle name="20% - Accent6 2 2 9 7" xfId="18634" xr:uid="{00000000-0005-0000-0000-0000452B0000}"/>
    <cellStyle name="20% - Accent6 2 2 9 8" xfId="27515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6" xr:uid="{00000000-0005-0000-0000-00004A2B0000}"/>
    <cellStyle name="20% - Accent6 2 3 10 2 3" xfId="31213" xr:uid="{00000000-0005-0000-0000-00004B2B0000}"/>
    <cellStyle name="20% - Accent6 2 3 10 3" xfId="13281" xr:uid="{00000000-0005-0000-0000-00004C2B0000}"/>
    <cellStyle name="20% - Accent6 2 3 10 3 2" xfId="24555" xr:uid="{00000000-0005-0000-0000-00004D2B0000}"/>
    <cellStyle name="20% - Accent6 2 3 10 3 3" xfId="33432" xr:uid="{00000000-0005-0000-0000-00004E2B0000}"/>
    <cellStyle name="20% - Accent6 2 3 10 4" xfId="15731" xr:uid="{00000000-0005-0000-0000-00004F2B0000}"/>
    <cellStyle name="20% - Accent6 2 3 10 4 2" xfId="26774" xr:uid="{00000000-0005-0000-0000-0000502B0000}"/>
    <cellStyle name="20% - Accent6 2 3 10 4 3" xfId="35651" xr:uid="{00000000-0005-0000-0000-0000512B0000}"/>
    <cellStyle name="20% - Accent6 2 3 10 5" xfId="20117" xr:uid="{00000000-0005-0000-0000-0000522B0000}"/>
    <cellStyle name="20% - Accent6 2 3 10 6" xfId="28994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3" xr:uid="{00000000-0005-0000-0000-0000562B0000}"/>
    <cellStyle name="20% - Accent6 2 3 11 2 3" xfId="30480" xr:uid="{00000000-0005-0000-0000-0000572B0000}"/>
    <cellStyle name="20% - Accent6 2 3 11 3" xfId="12548" xr:uid="{00000000-0005-0000-0000-0000582B0000}"/>
    <cellStyle name="20% - Accent6 2 3 11 3 2" xfId="23822" xr:uid="{00000000-0005-0000-0000-0000592B0000}"/>
    <cellStyle name="20% - Accent6 2 3 11 3 3" xfId="32699" xr:uid="{00000000-0005-0000-0000-00005A2B0000}"/>
    <cellStyle name="20% - Accent6 2 3 11 4" xfId="14998" xr:uid="{00000000-0005-0000-0000-00005B2B0000}"/>
    <cellStyle name="20% - Accent6 2 3 11 4 2" xfId="26041" xr:uid="{00000000-0005-0000-0000-00005C2B0000}"/>
    <cellStyle name="20% - Accent6 2 3 11 4 3" xfId="34918" xr:uid="{00000000-0005-0000-0000-00005D2B0000}"/>
    <cellStyle name="20% - Accent6 2 3 11 5" xfId="19384" xr:uid="{00000000-0005-0000-0000-00005E2B0000}"/>
    <cellStyle name="20% - Accent6 2 3 11 6" xfId="28261" xr:uid="{00000000-0005-0000-0000-00005F2B0000}"/>
    <cellStyle name="20% - Accent6 2 3 12" xfId="9357" xr:uid="{00000000-0005-0000-0000-0000602B0000}"/>
    <cellStyle name="20% - Accent6 2 3 12 2" xfId="20860" xr:uid="{00000000-0005-0000-0000-0000612B0000}"/>
    <cellStyle name="20% - Accent6 2 3 12 3" xfId="29737" xr:uid="{00000000-0005-0000-0000-0000622B0000}"/>
    <cellStyle name="20% - Accent6 2 3 13" xfId="11805" xr:uid="{00000000-0005-0000-0000-0000632B0000}"/>
    <cellStyle name="20% - Accent6 2 3 13 2" xfId="23079" xr:uid="{00000000-0005-0000-0000-0000642B0000}"/>
    <cellStyle name="20% - Accent6 2 3 13 3" xfId="31956" xr:uid="{00000000-0005-0000-0000-0000652B0000}"/>
    <cellStyle name="20% - Accent6 2 3 14" xfId="14026" xr:uid="{00000000-0005-0000-0000-0000662B0000}"/>
    <cellStyle name="20% - Accent6 2 3 14 2" xfId="25298" xr:uid="{00000000-0005-0000-0000-0000672B0000}"/>
    <cellStyle name="20% - Accent6 2 3 14 3" xfId="34175" xr:uid="{00000000-0005-0000-0000-0000682B0000}"/>
    <cellStyle name="20% - Accent6 2 3 15" xfId="18635" xr:uid="{00000000-0005-0000-0000-0000692B0000}"/>
    <cellStyle name="20% - Accent6 2 3 16" xfId="27516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7" xr:uid="{00000000-0005-0000-0000-00006E2B0000}"/>
    <cellStyle name="20% - Accent6 2 3 2 2 2 3" xfId="31214" xr:uid="{00000000-0005-0000-0000-00006F2B0000}"/>
    <cellStyle name="20% - Accent6 2 3 2 2 3" xfId="13282" xr:uid="{00000000-0005-0000-0000-0000702B0000}"/>
    <cellStyle name="20% - Accent6 2 3 2 2 3 2" xfId="24556" xr:uid="{00000000-0005-0000-0000-0000712B0000}"/>
    <cellStyle name="20% - Accent6 2 3 2 2 3 3" xfId="33433" xr:uid="{00000000-0005-0000-0000-0000722B0000}"/>
    <cellStyle name="20% - Accent6 2 3 2 2 4" xfId="15732" xr:uid="{00000000-0005-0000-0000-0000732B0000}"/>
    <cellStyle name="20% - Accent6 2 3 2 2 4 2" xfId="26775" xr:uid="{00000000-0005-0000-0000-0000742B0000}"/>
    <cellStyle name="20% - Accent6 2 3 2 2 4 3" xfId="35652" xr:uid="{00000000-0005-0000-0000-0000752B0000}"/>
    <cellStyle name="20% - Accent6 2 3 2 2 5" xfId="20118" xr:uid="{00000000-0005-0000-0000-0000762B0000}"/>
    <cellStyle name="20% - Accent6 2 3 2 2 6" xfId="28995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4" xr:uid="{00000000-0005-0000-0000-00007A2B0000}"/>
    <cellStyle name="20% - Accent6 2 3 2 3 2 3" xfId="30481" xr:uid="{00000000-0005-0000-0000-00007B2B0000}"/>
    <cellStyle name="20% - Accent6 2 3 2 3 3" xfId="12549" xr:uid="{00000000-0005-0000-0000-00007C2B0000}"/>
    <cellStyle name="20% - Accent6 2 3 2 3 3 2" xfId="23823" xr:uid="{00000000-0005-0000-0000-00007D2B0000}"/>
    <cellStyle name="20% - Accent6 2 3 2 3 3 3" xfId="32700" xr:uid="{00000000-0005-0000-0000-00007E2B0000}"/>
    <cellStyle name="20% - Accent6 2 3 2 3 4" xfId="14999" xr:uid="{00000000-0005-0000-0000-00007F2B0000}"/>
    <cellStyle name="20% - Accent6 2 3 2 3 4 2" xfId="26042" xr:uid="{00000000-0005-0000-0000-0000802B0000}"/>
    <cellStyle name="20% - Accent6 2 3 2 3 4 3" xfId="34919" xr:uid="{00000000-0005-0000-0000-0000812B0000}"/>
    <cellStyle name="20% - Accent6 2 3 2 3 5" xfId="19385" xr:uid="{00000000-0005-0000-0000-0000822B0000}"/>
    <cellStyle name="20% - Accent6 2 3 2 3 6" xfId="28262" xr:uid="{00000000-0005-0000-0000-0000832B0000}"/>
    <cellStyle name="20% - Accent6 2 3 2 4" xfId="9358" xr:uid="{00000000-0005-0000-0000-0000842B0000}"/>
    <cellStyle name="20% - Accent6 2 3 2 4 2" xfId="20861" xr:uid="{00000000-0005-0000-0000-0000852B0000}"/>
    <cellStyle name="20% - Accent6 2 3 2 4 3" xfId="29738" xr:uid="{00000000-0005-0000-0000-0000862B0000}"/>
    <cellStyle name="20% - Accent6 2 3 2 5" xfId="11806" xr:uid="{00000000-0005-0000-0000-0000872B0000}"/>
    <cellStyle name="20% - Accent6 2 3 2 5 2" xfId="23080" xr:uid="{00000000-0005-0000-0000-0000882B0000}"/>
    <cellStyle name="20% - Accent6 2 3 2 5 3" xfId="31957" xr:uid="{00000000-0005-0000-0000-0000892B0000}"/>
    <cellStyle name="20% - Accent6 2 3 2 6" xfId="14027" xr:uid="{00000000-0005-0000-0000-00008A2B0000}"/>
    <cellStyle name="20% - Accent6 2 3 2 6 2" xfId="25299" xr:uid="{00000000-0005-0000-0000-00008B2B0000}"/>
    <cellStyle name="20% - Accent6 2 3 2 6 3" xfId="34176" xr:uid="{00000000-0005-0000-0000-00008C2B0000}"/>
    <cellStyle name="20% - Accent6 2 3 2 7" xfId="18636" xr:uid="{00000000-0005-0000-0000-00008D2B0000}"/>
    <cellStyle name="20% - Accent6 2 3 2 8" xfId="27517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8" xr:uid="{00000000-0005-0000-0000-0000922B0000}"/>
    <cellStyle name="20% - Accent6 2 3 3 2 2 3" xfId="31215" xr:uid="{00000000-0005-0000-0000-0000932B0000}"/>
    <cellStyle name="20% - Accent6 2 3 3 2 3" xfId="13283" xr:uid="{00000000-0005-0000-0000-0000942B0000}"/>
    <cellStyle name="20% - Accent6 2 3 3 2 3 2" xfId="24557" xr:uid="{00000000-0005-0000-0000-0000952B0000}"/>
    <cellStyle name="20% - Accent6 2 3 3 2 3 3" xfId="33434" xr:uid="{00000000-0005-0000-0000-0000962B0000}"/>
    <cellStyle name="20% - Accent6 2 3 3 2 4" xfId="15733" xr:uid="{00000000-0005-0000-0000-0000972B0000}"/>
    <cellStyle name="20% - Accent6 2 3 3 2 4 2" xfId="26776" xr:uid="{00000000-0005-0000-0000-0000982B0000}"/>
    <cellStyle name="20% - Accent6 2 3 3 2 4 3" xfId="35653" xr:uid="{00000000-0005-0000-0000-0000992B0000}"/>
    <cellStyle name="20% - Accent6 2 3 3 2 5" xfId="20119" xr:uid="{00000000-0005-0000-0000-00009A2B0000}"/>
    <cellStyle name="20% - Accent6 2 3 3 2 6" xfId="28996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5" xr:uid="{00000000-0005-0000-0000-00009E2B0000}"/>
    <cellStyle name="20% - Accent6 2 3 3 3 2 3" xfId="30482" xr:uid="{00000000-0005-0000-0000-00009F2B0000}"/>
    <cellStyle name="20% - Accent6 2 3 3 3 3" xfId="12550" xr:uid="{00000000-0005-0000-0000-0000A02B0000}"/>
    <cellStyle name="20% - Accent6 2 3 3 3 3 2" xfId="23824" xr:uid="{00000000-0005-0000-0000-0000A12B0000}"/>
    <cellStyle name="20% - Accent6 2 3 3 3 3 3" xfId="32701" xr:uid="{00000000-0005-0000-0000-0000A22B0000}"/>
    <cellStyle name="20% - Accent6 2 3 3 3 4" xfId="15000" xr:uid="{00000000-0005-0000-0000-0000A32B0000}"/>
    <cellStyle name="20% - Accent6 2 3 3 3 4 2" xfId="26043" xr:uid="{00000000-0005-0000-0000-0000A42B0000}"/>
    <cellStyle name="20% - Accent6 2 3 3 3 4 3" xfId="34920" xr:uid="{00000000-0005-0000-0000-0000A52B0000}"/>
    <cellStyle name="20% - Accent6 2 3 3 3 5" xfId="19386" xr:uid="{00000000-0005-0000-0000-0000A62B0000}"/>
    <cellStyle name="20% - Accent6 2 3 3 3 6" xfId="28263" xr:uid="{00000000-0005-0000-0000-0000A72B0000}"/>
    <cellStyle name="20% - Accent6 2 3 3 4" xfId="9359" xr:uid="{00000000-0005-0000-0000-0000A82B0000}"/>
    <cellStyle name="20% - Accent6 2 3 3 4 2" xfId="20862" xr:uid="{00000000-0005-0000-0000-0000A92B0000}"/>
    <cellStyle name="20% - Accent6 2 3 3 4 3" xfId="29739" xr:uid="{00000000-0005-0000-0000-0000AA2B0000}"/>
    <cellStyle name="20% - Accent6 2 3 3 5" xfId="11807" xr:uid="{00000000-0005-0000-0000-0000AB2B0000}"/>
    <cellStyle name="20% - Accent6 2 3 3 5 2" xfId="23081" xr:uid="{00000000-0005-0000-0000-0000AC2B0000}"/>
    <cellStyle name="20% - Accent6 2 3 3 5 3" xfId="31958" xr:uid="{00000000-0005-0000-0000-0000AD2B0000}"/>
    <cellStyle name="20% - Accent6 2 3 3 6" xfId="14028" xr:uid="{00000000-0005-0000-0000-0000AE2B0000}"/>
    <cellStyle name="20% - Accent6 2 3 3 6 2" xfId="25300" xr:uid="{00000000-0005-0000-0000-0000AF2B0000}"/>
    <cellStyle name="20% - Accent6 2 3 3 6 3" xfId="34177" xr:uid="{00000000-0005-0000-0000-0000B02B0000}"/>
    <cellStyle name="20% - Accent6 2 3 3 7" xfId="18637" xr:uid="{00000000-0005-0000-0000-0000B12B0000}"/>
    <cellStyle name="20% - Accent6 2 3 3 8" xfId="27518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39" xr:uid="{00000000-0005-0000-0000-0000B62B0000}"/>
    <cellStyle name="20% - Accent6 2 3 4 2 2 3" xfId="31216" xr:uid="{00000000-0005-0000-0000-0000B72B0000}"/>
    <cellStyle name="20% - Accent6 2 3 4 2 3" xfId="13284" xr:uid="{00000000-0005-0000-0000-0000B82B0000}"/>
    <cellStyle name="20% - Accent6 2 3 4 2 3 2" xfId="24558" xr:uid="{00000000-0005-0000-0000-0000B92B0000}"/>
    <cellStyle name="20% - Accent6 2 3 4 2 3 3" xfId="33435" xr:uid="{00000000-0005-0000-0000-0000BA2B0000}"/>
    <cellStyle name="20% - Accent6 2 3 4 2 4" xfId="15734" xr:uid="{00000000-0005-0000-0000-0000BB2B0000}"/>
    <cellStyle name="20% - Accent6 2 3 4 2 4 2" xfId="26777" xr:uid="{00000000-0005-0000-0000-0000BC2B0000}"/>
    <cellStyle name="20% - Accent6 2 3 4 2 4 3" xfId="35654" xr:uid="{00000000-0005-0000-0000-0000BD2B0000}"/>
    <cellStyle name="20% - Accent6 2 3 4 2 5" xfId="20120" xr:uid="{00000000-0005-0000-0000-0000BE2B0000}"/>
    <cellStyle name="20% - Accent6 2 3 4 2 6" xfId="28997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6" xr:uid="{00000000-0005-0000-0000-0000C22B0000}"/>
    <cellStyle name="20% - Accent6 2 3 4 3 2 3" xfId="30483" xr:uid="{00000000-0005-0000-0000-0000C32B0000}"/>
    <cellStyle name="20% - Accent6 2 3 4 3 3" xfId="12551" xr:uid="{00000000-0005-0000-0000-0000C42B0000}"/>
    <cellStyle name="20% - Accent6 2 3 4 3 3 2" xfId="23825" xr:uid="{00000000-0005-0000-0000-0000C52B0000}"/>
    <cellStyle name="20% - Accent6 2 3 4 3 3 3" xfId="32702" xr:uid="{00000000-0005-0000-0000-0000C62B0000}"/>
    <cellStyle name="20% - Accent6 2 3 4 3 4" xfId="15001" xr:uid="{00000000-0005-0000-0000-0000C72B0000}"/>
    <cellStyle name="20% - Accent6 2 3 4 3 4 2" xfId="26044" xr:uid="{00000000-0005-0000-0000-0000C82B0000}"/>
    <cellStyle name="20% - Accent6 2 3 4 3 4 3" xfId="34921" xr:uid="{00000000-0005-0000-0000-0000C92B0000}"/>
    <cellStyle name="20% - Accent6 2 3 4 3 5" xfId="19387" xr:uid="{00000000-0005-0000-0000-0000CA2B0000}"/>
    <cellStyle name="20% - Accent6 2 3 4 3 6" xfId="28264" xr:uid="{00000000-0005-0000-0000-0000CB2B0000}"/>
    <cellStyle name="20% - Accent6 2 3 4 4" xfId="9360" xr:uid="{00000000-0005-0000-0000-0000CC2B0000}"/>
    <cellStyle name="20% - Accent6 2 3 4 4 2" xfId="20863" xr:uid="{00000000-0005-0000-0000-0000CD2B0000}"/>
    <cellStyle name="20% - Accent6 2 3 4 4 3" xfId="29740" xr:uid="{00000000-0005-0000-0000-0000CE2B0000}"/>
    <cellStyle name="20% - Accent6 2 3 4 5" xfId="11808" xr:uid="{00000000-0005-0000-0000-0000CF2B0000}"/>
    <cellStyle name="20% - Accent6 2 3 4 5 2" xfId="23082" xr:uid="{00000000-0005-0000-0000-0000D02B0000}"/>
    <cellStyle name="20% - Accent6 2 3 4 5 3" xfId="31959" xr:uid="{00000000-0005-0000-0000-0000D12B0000}"/>
    <cellStyle name="20% - Accent6 2 3 4 6" xfId="14029" xr:uid="{00000000-0005-0000-0000-0000D22B0000}"/>
    <cellStyle name="20% - Accent6 2 3 4 6 2" xfId="25301" xr:uid="{00000000-0005-0000-0000-0000D32B0000}"/>
    <cellStyle name="20% - Accent6 2 3 4 6 3" xfId="34178" xr:uid="{00000000-0005-0000-0000-0000D42B0000}"/>
    <cellStyle name="20% - Accent6 2 3 4 7" xfId="18638" xr:uid="{00000000-0005-0000-0000-0000D52B0000}"/>
    <cellStyle name="20% - Accent6 2 3 4 8" xfId="27519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0" xr:uid="{00000000-0005-0000-0000-0000DA2B0000}"/>
    <cellStyle name="20% - Accent6 2 3 5 2 2 3" xfId="31217" xr:uid="{00000000-0005-0000-0000-0000DB2B0000}"/>
    <cellStyle name="20% - Accent6 2 3 5 2 3" xfId="13285" xr:uid="{00000000-0005-0000-0000-0000DC2B0000}"/>
    <cellStyle name="20% - Accent6 2 3 5 2 3 2" xfId="24559" xr:uid="{00000000-0005-0000-0000-0000DD2B0000}"/>
    <cellStyle name="20% - Accent6 2 3 5 2 3 3" xfId="33436" xr:uid="{00000000-0005-0000-0000-0000DE2B0000}"/>
    <cellStyle name="20% - Accent6 2 3 5 2 4" xfId="15735" xr:uid="{00000000-0005-0000-0000-0000DF2B0000}"/>
    <cellStyle name="20% - Accent6 2 3 5 2 4 2" xfId="26778" xr:uid="{00000000-0005-0000-0000-0000E02B0000}"/>
    <cellStyle name="20% - Accent6 2 3 5 2 4 3" xfId="35655" xr:uid="{00000000-0005-0000-0000-0000E12B0000}"/>
    <cellStyle name="20% - Accent6 2 3 5 2 5" xfId="20121" xr:uid="{00000000-0005-0000-0000-0000E22B0000}"/>
    <cellStyle name="20% - Accent6 2 3 5 2 6" xfId="28998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7" xr:uid="{00000000-0005-0000-0000-0000E62B0000}"/>
    <cellStyle name="20% - Accent6 2 3 5 3 2 3" xfId="30484" xr:uid="{00000000-0005-0000-0000-0000E72B0000}"/>
    <cellStyle name="20% - Accent6 2 3 5 3 3" xfId="12552" xr:uid="{00000000-0005-0000-0000-0000E82B0000}"/>
    <cellStyle name="20% - Accent6 2 3 5 3 3 2" xfId="23826" xr:uid="{00000000-0005-0000-0000-0000E92B0000}"/>
    <cellStyle name="20% - Accent6 2 3 5 3 3 3" xfId="32703" xr:uid="{00000000-0005-0000-0000-0000EA2B0000}"/>
    <cellStyle name="20% - Accent6 2 3 5 3 4" xfId="15002" xr:uid="{00000000-0005-0000-0000-0000EB2B0000}"/>
    <cellStyle name="20% - Accent6 2 3 5 3 4 2" xfId="26045" xr:uid="{00000000-0005-0000-0000-0000EC2B0000}"/>
    <cellStyle name="20% - Accent6 2 3 5 3 4 3" xfId="34922" xr:uid="{00000000-0005-0000-0000-0000ED2B0000}"/>
    <cellStyle name="20% - Accent6 2 3 5 3 5" xfId="19388" xr:uid="{00000000-0005-0000-0000-0000EE2B0000}"/>
    <cellStyle name="20% - Accent6 2 3 5 3 6" xfId="28265" xr:uid="{00000000-0005-0000-0000-0000EF2B0000}"/>
    <cellStyle name="20% - Accent6 2 3 5 4" xfId="9361" xr:uid="{00000000-0005-0000-0000-0000F02B0000}"/>
    <cellStyle name="20% - Accent6 2 3 5 4 2" xfId="20864" xr:uid="{00000000-0005-0000-0000-0000F12B0000}"/>
    <cellStyle name="20% - Accent6 2 3 5 4 3" xfId="29741" xr:uid="{00000000-0005-0000-0000-0000F22B0000}"/>
    <cellStyle name="20% - Accent6 2 3 5 5" xfId="11809" xr:uid="{00000000-0005-0000-0000-0000F32B0000}"/>
    <cellStyle name="20% - Accent6 2 3 5 5 2" xfId="23083" xr:uid="{00000000-0005-0000-0000-0000F42B0000}"/>
    <cellStyle name="20% - Accent6 2 3 5 5 3" xfId="31960" xr:uid="{00000000-0005-0000-0000-0000F52B0000}"/>
    <cellStyle name="20% - Accent6 2 3 5 6" xfId="14030" xr:uid="{00000000-0005-0000-0000-0000F62B0000}"/>
    <cellStyle name="20% - Accent6 2 3 5 6 2" xfId="25302" xr:uid="{00000000-0005-0000-0000-0000F72B0000}"/>
    <cellStyle name="20% - Accent6 2 3 5 6 3" xfId="34179" xr:uid="{00000000-0005-0000-0000-0000F82B0000}"/>
    <cellStyle name="20% - Accent6 2 3 5 7" xfId="18639" xr:uid="{00000000-0005-0000-0000-0000F92B0000}"/>
    <cellStyle name="20% - Accent6 2 3 5 8" xfId="27520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1" xr:uid="{00000000-0005-0000-0000-0000FE2B0000}"/>
    <cellStyle name="20% - Accent6 2 3 6 2 2 3" xfId="31218" xr:uid="{00000000-0005-0000-0000-0000FF2B0000}"/>
    <cellStyle name="20% - Accent6 2 3 6 2 3" xfId="13286" xr:uid="{00000000-0005-0000-0000-0000002C0000}"/>
    <cellStyle name="20% - Accent6 2 3 6 2 3 2" xfId="24560" xr:uid="{00000000-0005-0000-0000-0000012C0000}"/>
    <cellStyle name="20% - Accent6 2 3 6 2 3 3" xfId="33437" xr:uid="{00000000-0005-0000-0000-0000022C0000}"/>
    <cellStyle name="20% - Accent6 2 3 6 2 4" xfId="15736" xr:uid="{00000000-0005-0000-0000-0000032C0000}"/>
    <cellStyle name="20% - Accent6 2 3 6 2 4 2" xfId="26779" xr:uid="{00000000-0005-0000-0000-0000042C0000}"/>
    <cellStyle name="20% - Accent6 2 3 6 2 4 3" xfId="35656" xr:uid="{00000000-0005-0000-0000-0000052C0000}"/>
    <cellStyle name="20% - Accent6 2 3 6 2 5" xfId="20122" xr:uid="{00000000-0005-0000-0000-0000062C0000}"/>
    <cellStyle name="20% - Accent6 2 3 6 2 6" xfId="28999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8" xr:uid="{00000000-0005-0000-0000-00000A2C0000}"/>
    <cellStyle name="20% - Accent6 2 3 6 3 2 3" xfId="30485" xr:uid="{00000000-0005-0000-0000-00000B2C0000}"/>
    <cellStyle name="20% - Accent6 2 3 6 3 3" xfId="12553" xr:uid="{00000000-0005-0000-0000-00000C2C0000}"/>
    <cellStyle name="20% - Accent6 2 3 6 3 3 2" xfId="23827" xr:uid="{00000000-0005-0000-0000-00000D2C0000}"/>
    <cellStyle name="20% - Accent6 2 3 6 3 3 3" xfId="32704" xr:uid="{00000000-0005-0000-0000-00000E2C0000}"/>
    <cellStyle name="20% - Accent6 2 3 6 3 4" xfId="15003" xr:uid="{00000000-0005-0000-0000-00000F2C0000}"/>
    <cellStyle name="20% - Accent6 2 3 6 3 4 2" xfId="26046" xr:uid="{00000000-0005-0000-0000-0000102C0000}"/>
    <cellStyle name="20% - Accent6 2 3 6 3 4 3" xfId="34923" xr:uid="{00000000-0005-0000-0000-0000112C0000}"/>
    <cellStyle name="20% - Accent6 2 3 6 3 5" xfId="19389" xr:uid="{00000000-0005-0000-0000-0000122C0000}"/>
    <cellStyle name="20% - Accent6 2 3 6 3 6" xfId="28266" xr:uid="{00000000-0005-0000-0000-0000132C0000}"/>
    <cellStyle name="20% - Accent6 2 3 6 4" xfId="9362" xr:uid="{00000000-0005-0000-0000-0000142C0000}"/>
    <cellStyle name="20% - Accent6 2 3 6 4 2" xfId="20865" xr:uid="{00000000-0005-0000-0000-0000152C0000}"/>
    <cellStyle name="20% - Accent6 2 3 6 4 3" xfId="29742" xr:uid="{00000000-0005-0000-0000-0000162C0000}"/>
    <cellStyle name="20% - Accent6 2 3 6 5" xfId="11810" xr:uid="{00000000-0005-0000-0000-0000172C0000}"/>
    <cellStyle name="20% - Accent6 2 3 6 5 2" xfId="23084" xr:uid="{00000000-0005-0000-0000-0000182C0000}"/>
    <cellStyle name="20% - Accent6 2 3 6 5 3" xfId="31961" xr:uid="{00000000-0005-0000-0000-0000192C0000}"/>
    <cellStyle name="20% - Accent6 2 3 6 6" xfId="14031" xr:uid="{00000000-0005-0000-0000-00001A2C0000}"/>
    <cellStyle name="20% - Accent6 2 3 6 6 2" xfId="25303" xr:uid="{00000000-0005-0000-0000-00001B2C0000}"/>
    <cellStyle name="20% - Accent6 2 3 6 6 3" xfId="34180" xr:uid="{00000000-0005-0000-0000-00001C2C0000}"/>
    <cellStyle name="20% - Accent6 2 3 6 7" xfId="18640" xr:uid="{00000000-0005-0000-0000-00001D2C0000}"/>
    <cellStyle name="20% - Accent6 2 3 6 8" xfId="27521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2" xr:uid="{00000000-0005-0000-0000-0000222C0000}"/>
    <cellStyle name="20% - Accent6 2 3 7 2 2 3" xfId="31219" xr:uid="{00000000-0005-0000-0000-0000232C0000}"/>
    <cellStyle name="20% - Accent6 2 3 7 2 3" xfId="13287" xr:uid="{00000000-0005-0000-0000-0000242C0000}"/>
    <cellStyle name="20% - Accent6 2 3 7 2 3 2" xfId="24561" xr:uid="{00000000-0005-0000-0000-0000252C0000}"/>
    <cellStyle name="20% - Accent6 2 3 7 2 3 3" xfId="33438" xr:uid="{00000000-0005-0000-0000-0000262C0000}"/>
    <cellStyle name="20% - Accent6 2 3 7 2 4" xfId="15737" xr:uid="{00000000-0005-0000-0000-0000272C0000}"/>
    <cellStyle name="20% - Accent6 2 3 7 2 4 2" xfId="26780" xr:uid="{00000000-0005-0000-0000-0000282C0000}"/>
    <cellStyle name="20% - Accent6 2 3 7 2 4 3" xfId="35657" xr:uid="{00000000-0005-0000-0000-0000292C0000}"/>
    <cellStyle name="20% - Accent6 2 3 7 2 5" xfId="20123" xr:uid="{00000000-0005-0000-0000-00002A2C0000}"/>
    <cellStyle name="20% - Accent6 2 3 7 2 6" xfId="29000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09" xr:uid="{00000000-0005-0000-0000-00002E2C0000}"/>
    <cellStyle name="20% - Accent6 2 3 7 3 2 3" xfId="30486" xr:uid="{00000000-0005-0000-0000-00002F2C0000}"/>
    <cellStyle name="20% - Accent6 2 3 7 3 3" xfId="12554" xr:uid="{00000000-0005-0000-0000-0000302C0000}"/>
    <cellStyle name="20% - Accent6 2 3 7 3 3 2" xfId="23828" xr:uid="{00000000-0005-0000-0000-0000312C0000}"/>
    <cellStyle name="20% - Accent6 2 3 7 3 3 3" xfId="32705" xr:uid="{00000000-0005-0000-0000-0000322C0000}"/>
    <cellStyle name="20% - Accent6 2 3 7 3 4" xfId="15004" xr:uid="{00000000-0005-0000-0000-0000332C0000}"/>
    <cellStyle name="20% - Accent6 2 3 7 3 4 2" xfId="26047" xr:uid="{00000000-0005-0000-0000-0000342C0000}"/>
    <cellStyle name="20% - Accent6 2 3 7 3 4 3" xfId="34924" xr:uid="{00000000-0005-0000-0000-0000352C0000}"/>
    <cellStyle name="20% - Accent6 2 3 7 3 5" xfId="19390" xr:uid="{00000000-0005-0000-0000-0000362C0000}"/>
    <cellStyle name="20% - Accent6 2 3 7 3 6" xfId="28267" xr:uid="{00000000-0005-0000-0000-0000372C0000}"/>
    <cellStyle name="20% - Accent6 2 3 7 4" xfId="9363" xr:uid="{00000000-0005-0000-0000-0000382C0000}"/>
    <cellStyle name="20% - Accent6 2 3 7 4 2" xfId="20866" xr:uid="{00000000-0005-0000-0000-0000392C0000}"/>
    <cellStyle name="20% - Accent6 2 3 7 4 3" xfId="29743" xr:uid="{00000000-0005-0000-0000-00003A2C0000}"/>
    <cellStyle name="20% - Accent6 2 3 7 5" xfId="11811" xr:uid="{00000000-0005-0000-0000-00003B2C0000}"/>
    <cellStyle name="20% - Accent6 2 3 7 5 2" xfId="23085" xr:uid="{00000000-0005-0000-0000-00003C2C0000}"/>
    <cellStyle name="20% - Accent6 2 3 7 5 3" xfId="31962" xr:uid="{00000000-0005-0000-0000-00003D2C0000}"/>
    <cellStyle name="20% - Accent6 2 3 7 6" xfId="14032" xr:uid="{00000000-0005-0000-0000-00003E2C0000}"/>
    <cellStyle name="20% - Accent6 2 3 7 6 2" xfId="25304" xr:uid="{00000000-0005-0000-0000-00003F2C0000}"/>
    <cellStyle name="20% - Accent6 2 3 7 6 3" xfId="34181" xr:uid="{00000000-0005-0000-0000-0000402C0000}"/>
    <cellStyle name="20% - Accent6 2 3 7 7" xfId="18641" xr:uid="{00000000-0005-0000-0000-0000412C0000}"/>
    <cellStyle name="20% - Accent6 2 3 7 8" xfId="27522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3" xr:uid="{00000000-0005-0000-0000-0000462C0000}"/>
    <cellStyle name="20% - Accent6 2 3 8 2 2 3" xfId="31220" xr:uid="{00000000-0005-0000-0000-0000472C0000}"/>
    <cellStyle name="20% - Accent6 2 3 8 2 3" xfId="13288" xr:uid="{00000000-0005-0000-0000-0000482C0000}"/>
    <cellStyle name="20% - Accent6 2 3 8 2 3 2" xfId="24562" xr:uid="{00000000-0005-0000-0000-0000492C0000}"/>
    <cellStyle name="20% - Accent6 2 3 8 2 3 3" xfId="33439" xr:uid="{00000000-0005-0000-0000-00004A2C0000}"/>
    <cellStyle name="20% - Accent6 2 3 8 2 4" xfId="15738" xr:uid="{00000000-0005-0000-0000-00004B2C0000}"/>
    <cellStyle name="20% - Accent6 2 3 8 2 4 2" xfId="26781" xr:uid="{00000000-0005-0000-0000-00004C2C0000}"/>
    <cellStyle name="20% - Accent6 2 3 8 2 4 3" xfId="35658" xr:uid="{00000000-0005-0000-0000-00004D2C0000}"/>
    <cellStyle name="20% - Accent6 2 3 8 2 5" xfId="20124" xr:uid="{00000000-0005-0000-0000-00004E2C0000}"/>
    <cellStyle name="20% - Accent6 2 3 8 2 6" xfId="29001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0" xr:uid="{00000000-0005-0000-0000-0000522C0000}"/>
    <cellStyle name="20% - Accent6 2 3 8 3 2 3" xfId="30487" xr:uid="{00000000-0005-0000-0000-0000532C0000}"/>
    <cellStyle name="20% - Accent6 2 3 8 3 3" xfId="12555" xr:uid="{00000000-0005-0000-0000-0000542C0000}"/>
    <cellStyle name="20% - Accent6 2 3 8 3 3 2" xfId="23829" xr:uid="{00000000-0005-0000-0000-0000552C0000}"/>
    <cellStyle name="20% - Accent6 2 3 8 3 3 3" xfId="32706" xr:uid="{00000000-0005-0000-0000-0000562C0000}"/>
    <cellStyle name="20% - Accent6 2 3 8 3 4" xfId="15005" xr:uid="{00000000-0005-0000-0000-0000572C0000}"/>
    <cellStyle name="20% - Accent6 2 3 8 3 4 2" xfId="26048" xr:uid="{00000000-0005-0000-0000-0000582C0000}"/>
    <cellStyle name="20% - Accent6 2 3 8 3 4 3" xfId="34925" xr:uid="{00000000-0005-0000-0000-0000592C0000}"/>
    <cellStyle name="20% - Accent6 2 3 8 3 5" xfId="19391" xr:uid="{00000000-0005-0000-0000-00005A2C0000}"/>
    <cellStyle name="20% - Accent6 2 3 8 3 6" xfId="28268" xr:uid="{00000000-0005-0000-0000-00005B2C0000}"/>
    <cellStyle name="20% - Accent6 2 3 8 4" xfId="9364" xr:uid="{00000000-0005-0000-0000-00005C2C0000}"/>
    <cellStyle name="20% - Accent6 2 3 8 4 2" xfId="20867" xr:uid="{00000000-0005-0000-0000-00005D2C0000}"/>
    <cellStyle name="20% - Accent6 2 3 8 4 3" xfId="29744" xr:uid="{00000000-0005-0000-0000-00005E2C0000}"/>
    <cellStyle name="20% - Accent6 2 3 8 5" xfId="11812" xr:uid="{00000000-0005-0000-0000-00005F2C0000}"/>
    <cellStyle name="20% - Accent6 2 3 8 5 2" xfId="23086" xr:uid="{00000000-0005-0000-0000-0000602C0000}"/>
    <cellStyle name="20% - Accent6 2 3 8 5 3" xfId="31963" xr:uid="{00000000-0005-0000-0000-0000612C0000}"/>
    <cellStyle name="20% - Accent6 2 3 8 6" xfId="14033" xr:uid="{00000000-0005-0000-0000-0000622C0000}"/>
    <cellStyle name="20% - Accent6 2 3 8 6 2" xfId="25305" xr:uid="{00000000-0005-0000-0000-0000632C0000}"/>
    <cellStyle name="20% - Accent6 2 3 8 6 3" xfId="34182" xr:uid="{00000000-0005-0000-0000-0000642C0000}"/>
    <cellStyle name="20% - Accent6 2 3 8 7" xfId="18642" xr:uid="{00000000-0005-0000-0000-0000652C0000}"/>
    <cellStyle name="20% - Accent6 2 3 8 8" xfId="27523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4" xr:uid="{00000000-0005-0000-0000-00006A2C0000}"/>
    <cellStyle name="20% - Accent6 2 3 9 2 2 3" xfId="31221" xr:uid="{00000000-0005-0000-0000-00006B2C0000}"/>
    <cellStyle name="20% - Accent6 2 3 9 2 3" xfId="13289" xr:uid="{00000000-0005-0000-0000-00006C2C0000}"/>
    <cellStyle name="20% - Accent6 2 3 9 2 3 2" xfId="24563" xr:uid="{00000000-0005-0000-0000-00006D2C0000}"/>
    <cellStyle name="20% - Accent6 2 3 9 2 3 3" xfId="33440" xr:uid="{00000000-0005-0000-0000-00006E2C0000}"/>
    <cellStyle name="20% - Accent6 2 3 9 2 4" xfId="15739" xr:uid="{00000000-0005-0000-0000-00006F2C0000}"/>
    <cellStyle name="20% - Accent6 2 3 9 2 4 2" xfId="26782" xr:uid="{00000000-0005-0000-0000-0000702C0000}"/>
    <cellStyle name="20% - Accent6 2 3 9 2 4 3" xfId="35659" xr:uid="{00000000-0005-0000-0000-0000712C0000}"/>
    <cellStyle name="20% - Accent6 2 3 9 2 5" xfId="20125" xr:uid="{00000000-0005-0000-0000-0000722C0000}"/>
    <cellStyle name="20% - Accent6 2 3 9 2 6" xfId="29002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1" xr:uid="{00000000-0005-0000-0000-0000762C0000}"/>
    <cellStyle name="20% - Accent6 2 3 9 3 2 3" xfId="30488" xr:uid="{00000000-0005-0000-0000-0000772C0000}"/>
    <cellStyle name="20% - Accent6 2 3 9 3 3" xfId="12556" xr:uid="{00000000-0005-0000-0000-0000782C0000}"/>
    <cellStyle name="20% - Accent6 2 3 9 3 3 2" xfId="23830" xr:uid="{00000000-0005-0000-0000-0000792C0000}"/>
    <cellStyle name="20% - Accent6 2 3 9 3 3 3" xfId="32707" xr:uid="{00000000-0005-0000-0000-00007A2C0000}"/>
    <cellStyle name="20% - Accent6 2 3 9 3 4" xfId="15006" xr:uid="{00000000-0005-0000-0000-00007B2C0000}"/>
    <cellStyle name="20% - Accent6 2 3 9 3 4 2" xfId="26049" xr:uid="{00000000-0005-0000-0000-00007C2C0000}"/>
    <cellStyle name="20% - Accent6 2 3 9 3 4 3" xfId="34926" xr:uid="{00000000-0005-0000-0000-00007D2C0000}"/>
    <cellStyle name="20% - Accent6 2 3 9 3 5" xfId="19392" xr:uid="{00000000-0005-0000-0000-00007E2C0000}"/>
    <cellStyle name="20% - Accent6 2 3 9 3 6" xfId="28269" xr:uid="{00000000-0005-0000-0000-00007F2C0000}"/>
    <cellStyle name="20% - Accent6 2 3 9 4" xfId="9365" xr:uid="{00000000-0005-0000-0000-0000802C0000}"/>
    <cellStyle name="20% - Accent6 2 3 9 4 2" xfId="20868" xr:uid="{00000000-0005-0000-0000-0000812C0000}"/>
    <cellStyle name="20% - Accent6 2 3 9 4 3" xfId="29745" xr:uid="{00000000-0005-0000-0000-0000822C0000}"/>
    <cellStyle name="20% - Accent6 2 3 9 5" xfId="11813" xr:uid="{00000000-0005-0000-0000-0000832C0000}"/>
    <cellStyle name="20% - Accent6 2 3 9 5 2" xfId="23087" xr:uid="{00000000-0005-0000-0000-0000842C0000}"/>
    <cellStyle name="20% - Accent6 2 3 9 5 3" xfId="31964" xr:uid="{00000000-0005-0000-0000-0000852C0000}"/>
    <cellStyle name="20% - Accent6 2 3 9 6" xfId="14034" xr:uid="{00000000-0005-0000-0000-0000862C0000}"/>
    <cellStyle name="20% - Accent6 2 3 9 6 2" xfId="25306" xr:uid="{00000000-0005-0000-0000-0000872C0000}"/>
    <cellStyle name="20% - Accent6 2 3 9 6 3" xfId="34183" xr:uid="{00000000-0005-0000-0000-0000882C0000}"/>
    <cellStyle name="20% - Accent6 2 3 9 7" xfId="18643" xr:uid="{00000000-0005-0000-0000-0000892C0000}"/>
    <cellStyle name="20% - Accent6 2 3 9 8" xfId="27524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5" xr:uid="{00000000-0005-0000-0000-00008E2C0000}"/>
    <cellStyle name="20% - Accent6 2 4 10 2 3" xfId="31222" xr:uid="{00000000-0005-0000-0000-00008F2C0000}"/>
    <cellStyle name="20% - Accent6 2 4 10 3" xfId="13290" xr:uid="{00000000-0005-0000-0000-0000902C0000}"/>
    <cellStyle name="20% - Accent6 2 4 10 3 2" xfId="24564" xr:uid="{00000000-0005-0000-0000-0000912C0000}"/>
    <cellStyle name="20% - Accent6 2 4 10 3 3" xfId="33441" xr:uid="{00000000-0005-0000-0000-0000922C0000}"/>
    <cellStyle name="20% - Accent6 2 4 10 4" xfId="15740" xr:uid="{00000000-0005-0000-0000-0000932C0000}"/>
    <cellStyle name="20% - Accent6 2 4 10 4 2" xfId="26783" xr:uid="{00000000-0005-0000-0000-0000942C0000}"/>
    <cellStyle name="20% - Accent6 2 4 10 4 3" xfId="35660" xr:uid="{00000000-0005-0000-0000-0000952C0000}"/>
    <cellStyle name="20% - Accent6 2 4 10 5" xfId="20126" xr:uid="{00000000-0005-0000-0000-0000962C0000}"/>
    <cellStyle name="20% - Accent6 2 4 10 6" xfId="29003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2" xr:uid="{00000000-0005-0000-0000-00009A2C0000}"/>
    <cellStyle name="20% - Accent6 2 4 11 2 3" xfId="30489" xr:uid="{00000000-0005-0000-0000-00009B2C0000}"/>
    <cellStyle name="20% - Accent6 2 4 11 3" xfId="12557" xr:uid="{00000000-0005-0000-0000-00009C2C0000}"/>
    <cellStyle name="20% - Accent6 2 4 11 3 2" xfId="23831" xr:uid="{00000000-0005-0000-0000-00009D2C0000}"/>
    <cellStyle name="20% - Accent6 2 4 11 3 3" xfId="32708" xr:uid="{00000000-0005-0000-0000-00009E2C0000}"/>
    <cellStyle name="20% - Accent6 2 4 11 4" xfId="15007" xr:uid="{00000000-0005-0000-0000-00009F2C0000}"/>
    <cellStyle name="20% - Accent6 2 4 11 4 2" xfId="26050" xr:uid="{00000000-0005-0000-0000-0000A02C0000}"/>
    <cellStyle name="20% - Accent6 2 4 11 4 3" xfId="34927" xr:uid="{00000000-0005-0000-0000-0000A12C0000}"/>
    <cellStyle name="20% - Accent6 2 4 11 5" xfId="19393" xr:uid="{00000000-0005-0000-0000-0000A22C0000}"/>
    <cellStyle name="20% - Accent6 2 4 11 6" xfId="28270" xr:uid="{00000000-0005-0000-0000-0000A32C0000}"/>
    <cellStyle name="20% - Accent6 2 4 12" xfId="9366" xr:uid="{00000000-0005-0000-0000-0000A42C0000}"/>
    <cellStyle name="20% - Accent6 2 4 12 2" xfId="20869" xr:uid="{00000000-0005-0000-0000-0000A52C0000}"/>
    <cellStyle name="20% - Accent6 2 4 12 3" xfId="29746" xr:uid="{00000000-0005-0000-0000-0000A62C0000}"/>
    <cellStyle name="20% - Accent6 2 4 13" xfId="11814" xr:uid="{00000000-0005-0000-0000-0000A72C0000}"/>
    <cellStyle name="20% - Accent6 2 4 13 2" xfId="23088" xr:uid="{00000000-0005-0000-0000-0000A82C0000}"/>
    <cellStyle name="20% - Accent6 2 4 13 3" xfId="31965" xr:uid="{00000000-0005-0000-0000-0000A92C0000}"/>
    <cellStyle name="20% - Accent6 2 4 14" xfId="14035" xr:uid="{00000000-0005-0000-0000-0000AA2C0000}"/>
    <cellStyle name="20% - Accent6 2 4 14 2" xfId="25307" xr:uid="{00000000-0005-0000-0000-0000AB2C0000}"/>
    <cellStyle name="20% - Accent6 2 4 14 3" xfId="34184" xr:uid="{00000000-0005-0000-0000-0000AC2C0000}"/>
    <cellStyle name="20% - Accent6 2 4 15" xfId="18644" xr:uid="{00000000-0005-0000-0000-0000AD2C0000}"/>
    <cellStyle name="20% - Accent6 2 4 16" xfId="27525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6" xr:uid="{00000000-0005-0000-0000-0000B22C0000}"/>
    <cellStyle name="20% - Accent6 2 4 2 2 2 3" xfId="31223" xr:uid="{00000000-0005-0000-0000-0000B32C0000}"/>
    <cellStyle name="20% - Accent6 2 4 2 2 3" xfId="13291" xr:uid="{00000000-0005-0000-0000-0000B42C0000}"/>
    <cellStyle name="20% - Accent6 2 4 2 2 3 2" xfId="24565" xr:uid="{00000000-0005-0000-0000-0000B52C0000}"/>
    <cellStyle name="20% - Accent6 2 4 2 2 3 3" xfId="33442" xr:uid="{00000000-0005-0000-0000-0000B62C0000}"/>
    <cellStyle name="20% - Accent6 2 4 2 2 4" xfId="15741" xr:uid="{00000000-0005-0000-0000-0000B72C0000}"/>
    <cellStyle name="20% - Accent6 2 4 2 2 4 2" xfId="26784" xr:uid="{00000000-0005-0000-0000-0000B82C0000}"/>
    <cellStyle name="20% - Accent6 2 4 2 2 4 3" xfId="35661" xr:uid="{00000000-0005-0000-0000-0000B92C0000}"/>
    <cellStyle name="20% - Accent6 2 4 2 2 5" xfId="20127" xr:uid="{00000000-0005-0000-0000-0000BA2C0000}"/>
    <cellStyle name="20% - Accent6 2 4 2 2 6" xfId="29004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3" xr:uid="{00000000-0005-0000-0000-0000BE2C0000}"/>
    <cellStyle name="20% - Accent6 2 4 2 3 2 3" xfId="30490" xr:uid="{00000000-0005-0000-0000-0000BF2C0000}"/>
    <cellStyle name="20% - Accent6 2 4 2 3 3" xfId="12558" xr:uid="{00000000-0005-0000-0000-0000C02C0000}"/>
    <cellStyle name="20% - Accent6 2 4 2 3 3 2" xfId="23832" xr:uid="{00000000-0005-0000-0000-0000C12C0000}"/>
    <cellStyle name="20% - Accent6 2 4 2 3 3 3" xfId="32709" xr:uid="{00000000-0005-0000-0000-0000C22C0000}"/>
    <cellStyle name="20% - Accent6 2 4 2 3 4" xfId="15008" xr:uid="{00000000-0005-0000-0000-0000C32C0000}"/>
    <cellStyle name="20% - Accent6 2 4 2 3 4 2" xfId="26051" xr:uid="{00000000-0005-0000-0000-0000C42C0000}"/>
    <cellStyle name="20% - Accent6 2 4 2 3 4 3" xfId="34928" xr:uid="{00000000-0005-0000-0000-0000C52C0000}"/>
    <cellStyle name="20% - Accent6 2 4 2 3 5" xfId="19394" xr:uid="{00000000-0005-0000-0000-0000C62C0000}"/>
    <cellStyle name="20% - Accent6 2 4 2 3 6" xfId="28271" xr:uid="{00000000-0005-0000-0000-0000C72C0000}"/>
    <cellStyle name="20% - Accent6 2 4 2 4" xfId="9367" xr:uid="{00000000-0005-0000-0000-0000C82C0000}"/>
    <cellStyle name="20% - Accent6 2 4 2 4 2" xfId="20870" xr:uid="{00000000-0005-0000-0000-0000C92C0000}"/>
    <cellStyle name="20% - Accent6 2 4 2 4 3" xfId="29747" xr:uid="{00000000-0005-0000-0000-0000CA2C0000}"/>
    <cellStyle name="20% - Accent6 2 4 2 5" xfId="11815" xr:uid="{00000000-0005-0000-0000-0000CB2C0000}"/>
    <cellStyle name="20% - Accent6 2 4 2 5 2" xfId="23089" xr:uid="{00000000-0005-0000-0000-0000CC2C0000}"/>
    <cellStyle name="20% - Accent6 2 4 2 5 3" xfId="31966" xr:uid="{00000000-0005-0000-0000-0000CD2C0000}"/>
    <cellStyle name="20% - Accent6 2 4 2 6" xfId="14036" xr:uid="{00000000-0005-0000-0000-0000CE2C0000}"/>
    <cellStyle name="20% - Accent6 2 4 2 6 2" xfId="25308" xr:uid="{00000000-0005-0000-0000-0000CF2C0000}"/>
    <cellStyle name="20% - Accent6 2 4 2 6 3" xfId="34185" xr:uid="{00000000-0005-0000-0000-0000D02C0000}"/>
    <cellStyle name="20% - Accent6 2 4 2 7" xfId="18645" xr:uid="{00000000-0005-0000-0000-0000D12C0000}"/>
    <cellStyle name="20% - Accent6 2 4 2 8" xfId="27526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7" xr:uid="{00000000-0005-0000-0000-0000D62C0000}"/>
    <cellStyle name="20% - Accent6 2 4 3 2 2 3" xfId="31224" xr:uid="{00000000-0005-0000-0000-0000D72C0000}"/>
    <cellStyle name="20% - Accent6 2 4 3 2 3" xfId="13292" xr:uid="{00000000-0005-0000-0000-0000D82C0000}"/>
    <cellStyle name="20% - Accent6 2 4 3 2 3 2" xfId="24566" xr:uid="{00000000-0005-0000-0000-0000D92C0000}"/>
    <cellStyle name="20% - Accent6 2 4 3 2 3 3" xfId="33443" xr:uid="{00000000-0005-0000-0000-0000DA2C0000}"/>
    <cellStyle name="20% - Accent6 2 4 3 2 4" xfId="15742" xr:uid="{00000000-0005-0000-0000-0000DB2C0000}"/>
    <cellStyle name="20% - Accent6 2 4 3 2 4 2" xfId="26785" xr:uid="{00000000-0005-0000-0000-0000DC2C0000}"/>
    <cellStyle name="20% - Accent6 2 4 3 2 4 3" xfId="35662" xr:uid="{00000000-0005-0000-0000-0000DD2C0000}"/>
    <cellStyle name="20% - Accent6 2 4 3 2 5" xfId="20128" xr:uid="{00000000-0005-0000-0000-0000DE2C0000}"/>
    <cellStyle name="20% - Accent6 2 4 3 2 6" xfId="29005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4" xr:uid="{00000000-0005-0000-0000-0000E22C0000}"/>
    <cellStyle name="20% - Accent6 2 4 3 3 2 3" xfId="30491" xr:uid="{00000000-0005-0000-0000-0000E32C0000}"/>
    <cellStyle name="20% - Accent6 2 4 3 3 3" xfId="12559" xr:uid="{00000000-0005-0000-0000-0000E42C0000}"/>
    <cellStyle name="20% - Accent6 2 4 3 3 3 2" xfId="23833" xr:uid="{00000000-0005-0000-0000-0000E52C0000}"/>
    <cellStyle name="20% - Accent6 2 4 3 3 3 3" xfId="32710" xr:uid="{00000000-0005-0000-0000-0000E62C0000}"/>
    <cellStyle name="20% - Accent6 2 4 3 3 4" xfId="15009" xr:uid="{00000000-0005-0000-0000-0000E72C0000}"/>
    <cellStyle name="20% - Accent6 2 4 3 3 4 2" xfId="26052" xr:uid="{00000000-0005-0000-0000-0000E82C0000}"/>
    <cellStyle name="20% - Accent6 2 4 3 3 4 3" xfId="34929" xr:uid="{00000000-0005-0000-0000-0000E92C0000}"/>
    <cellStyle name="20% - Accent6 2 4 3 3 5" xfId="19395" xr:uid="{00000000-0005-0000-0000-0000EA2C0000}"/>
    <cellStyle name="20% - Accent6 2 4 3 3 6" xfId="28272" xr:uid="{00000000-0005-0000-0000-0000EB2C0000}"/>
    <cellStyle name="20% - Accent6 2 4 3 4" xfId="9368" xr:uid="{00000000-0005-0000-0000-0000EC2C0000}"/>
    <cellStyle name="20% - Accent6 2 4 3 4 2" xfId="20871" xr:uid="{00000000-0005-0000-0000-0000ED2C0000}"/>
    <cellStyle name="20% - Accent6 2 4 3 4 3" xfId="29748" xr:uid="{00000000-0005-0000-0000-0000EE2C0000}"/>
    <cellStyle name="20% - Accent6 2 4 3 5" xfId="11816" xr:uid="{00000000-0005-0000-0000-0000EF2C0000}"/>
    <cellStyle name="20% - Accent6 2 4 3 5 2" xfId="23090" xr:uid="{00000000-0005-0000-0000-0000F02C0000}"/>
    <cellStyle name="20% - Accent6 2 4 3 5 3" xfId="31967" xr:uid="{00000000-0005-0000-0000-0000F12C0000}"/>
    <cellStyle name="20% - Accent6 2 4 3 6" xfId="14037" xr:uid="{00000000-0005-0000-0000-0000F22C0000}"/>
    <cellStyle name="20% - Accent6 2 4 3 6 2" xfId="25309" xr:uid="{00000000-0005-0000-0000-0000F32C0000}"/>
    <cellStyle name="20% - Accent6 2 4 3 6 3" xfId="34186" xr:uid="{00000000-0005-0000-0000-0000F42C0000}"/>
    <cellStyle name="20% - Accent6 2 4 3 7" xfId="18646" xr:uid="{00000000-0005-0000-0000-0000F52C0000}"/>
    <cellStyle name="20% - Accent6 2 4 3 8" xfId="27527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8" xr:uid="{00000000-0005-0000-0000-0000FA2C0000}"/>
    <cellStyle name="20% - Accent6 2 4 4 2 2 3" xfId="31225" xr:uid="{00000000-0005-0000-0000-0000FB2C0000}"/>
    <cellStyle name="20% - Accent6 2 4 4 2 3" xfId="13293" xr:uid="{00000000-0005-0000-0000-0000FC2C0000}"/>
    <cellStyle name="20% - Accent6 2 4 4 2 3 2" xfId="24567" xr:uid="{00000000-0005-0000-0000-0000FD2C0000}"/>
    <cellStyle name="20% - Accent6 2 4 4 2 3 3" xfId="33444" xr:uid="{00000000-0005-0000-0000-0000FE2C0000}"/>
    <cellStyle name="20% - Accent6 2 4 4 2 4" xfId="15743" xr:uid="{00000000-0005-0000-0000-0000FF2C0000}"/>
    <cellStyle name="20% - Accent6 2 4 4 2 4 2" xfId="26786" xr:uid="{00000000-0005-0000-0000-0000002D0000}"/>
    <cellStyle name="20% - Accent6 2 4 4 2 4 3" xfId="35663" xr:uid="{00000000-0005-0000-0000-0000012D0000}"/>
    <cellStyle name="20% - Accent6 2 4 4 2 5" xfId="20129" xr:uid="{00000000-0005-0000-0000-0000022D0000}"/>
    <cellStyle name="20% - Accent6 2 4 4 2 6" xfId="29006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5" xr:uid="{00000000-0005-0000-0000-0000062D0000}"/>
    <cellStyle name="20% - Accent6 2 4 4 3 2 3" xfId="30492" xr:uid="{00000000-0005-0000-0000-0000072D0000}"/>
    <cellStyle name="20% - Accent6 2 4 4 3 3" xfId="12560" xr:uid="{00000000-0005-0000-0000-0000082D0000}"/>
    <cellStyle name="20% - Accent6 2 4 4 3 3 2" xfId="23834" xr:uid="{00000000-0005-0000-0000-0000092D0000}"/>
    <cellStyle name="20% - Accent6 2 4 4 3 3 3" xfId="32711" xr:uid="{00000000-0005-0000-0000-00000A2D0000}"/>
    <cellStyle name="20% - Accent6 2 4 4 3 4" xfId="15010" xr:uid="{00000000-0005-0000-0000-00000B2D0000}"/>
    <cellStyle name="20% - Accent6 2 4 4 3 4 2" xfId="26053" xr:uid="{00000000-0005-0000-0000-00000C2D0000}"/>
    <cellStyle name="20% - Accent6 2 4 4 3 4 3" xfId="34930" xr:uid="{00000000-0005-0000-0000-00000D2D0000}"/>
    <cellStyle name="20% - Accent6 2 4 4 3 5" xfId="19396" xr:uid="{00000000-0005-0000-0000-00000E2D0000}"/>
    <cellStyle name="20% - Accent6 2 4 4 3 6" xfId="28273" xr:uid="{00000000-0005-0000-0000-00000F2D0000}"/>
    <cellStyle name="20% - Accent6 2 4 4 4" xfId="9369" xr:uid="{00000000-0005-0000-0000-0000102D0000}"/>
    <cellStyle name="20% - Accent6 2 4 4 4 2" xfId="20872" xr:uid="{00000000-0005-0000-0000-0000112D0000}"/>
    <cellStyle name="20% - Accent6 2 4 4 4 3" xfId="29749" xr:uid="{00000000-0005-0000-0000-0000122D0000}"/>
    <cellStyle name="20% - Accent6 2 4 4 5" xfId="11817" xr:uid="{00000000-0005-0000-0000-0000132D0000}"/>
    <cellStyle name="20% - Accent6 2 4 4 5 2" xfId="23091" xr:uid="{00000000-0005-0000-0000-0000142D0000}"/>
    <cellStyle name="20% - Accent6 2 4 4 5 3" xfId="31968" xr:uid="{00000000-0005-0000-0000-0000152D0000}"/>
    <cellStyle name="20% - Accent6 2 4 4 6" xfId="14038" xr:uid="{00000000-0005-0000-0000-0000162D0000}"/>
    <cellStyle name="20% - Accent6 2 4 4 6 2" xfId="25310" xr:uid="{00000000-0005-0000-0000-0000172D0000}"/>
    <cellStyle name="20% - Accent6 2 4 4 6 3" xfId="34187" xr:uid="{00000000-0005-0000-0000-0000182D0000}"/>
    <cellStyle name="20% - Accent6 2 4 4 7" xfId="18647" xr:uid="{00000000-0005-0000-0000-0000192D0000}"/>
    <cellStyle name="20% - Accent6 2 4 4 8" xfId="27528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49" xr:uid="{00000000-0005-0000-0000-00001E2D0000}"/>
    <cellStyle name="20% - Accent6 2 4 5 2 2 3" xfId="31226" xr:uid="{00000000-0005-0000-0000-00001F2D0000}"/>
    <cellStyle name="20% - Accent6 2 4 5 2 3" xfId="13294" xr:uid="{00000000-0005-0000-0000-0000202D0000}"/>
    <cellStyle name="20% - Accent6 2 4 5 2 3 2" xfId="24568" xr:uid="{00000000-0005-0000-0000-0000212D0000}"/>
    <cellStyle name="20% - Accent6 2 4 5 2 3 3" xfId="33445" xr:uid="{00000000-0005-0000-0000-0000222D0000}"/>
    <cellStyle name="20% - Accent6 2 4 5 2 4" xfId="15744" xr:uid="{00000000-0005-0000-0000-0000232D0000}"/>
    <cellStyle name="20% - Accent6 2 4 5 2 4 2" xfId="26787" xr:uid="{00000000-0005-0000-0000-0000242D0000}"/>
    <cellStyle name="20% - Accent6 2 4 5 2 4 3" xfId="35664" xr:uid="{00000000-0005-0000-0000-0000252D0000}"/>
    <cellStyle name="20% - Accent6 2 4 5 2 5" xfId="20130" xr:uid="{00000000-0005-0000-0000-0000262D0000}"/>
    <cellStyle name="20% - Accent6 2 4 5 2 6" xfId="29007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6" xr:uid="{00000000-0005-0000-0000-00002A2D0000}"/>
    <cellStyle name="20% - Accent6 2 4 5 3 2 3" xfId="30493" xr:uid="{00000000-0005-0000-0000-00002B2D0000}"/>
    <cellStyle name="20% - Accent6 2 4 5 3 3" xfId="12561" xr:uid="{00000000-0005-0000-0000-00002C2D0000}"/>
    <cellStyle name="20% - Accent6 2 4 5 3 3 2" xfId="23835" xr:uid="{00000000-0005-0000-0000-00002D2D0000}"/>
    <cellStyle name="20% - Accent6 2 4 5 3 3 3" xfId="32712" xr:uid="{00000000-0005-0000-0000-00002E2D0000}"/>
    <cellStyle name="20% - Accent6 2 4 5 3 4" xfId="15011" xr:uid="{00000000-0005-0000-0000-00002F2D0000}"/>
    <cellStyle name="20% - Accent6 2 4 5 3 4 2" xfId="26054" xr:uid="{00000000-0005-0000-0000-0000302D0000}"/>
    <cellStyle name="20% - Accent6 2 4 5 3 4 3" xfId="34931" xr:uid="{00000000-0005-0000-0000-0000312D0000}"/>
    <cellStyle name="20% - Accent6 2 4 5 3 5" xfId="19397" xr:uid="{00000000-0005-0000-0000-0000322D0000}"/>
    <cellStyle name="20% - Accent6 2 4 5 3 6" xfId="28274" xr:uid="{00000000-0005-0000-0000-0000332D0000}"/>
    <cellStyle name="20% - Accent6 2 4 5 4" xfId="9370" xr:uid="{00000000-0005-0000-0000-0000342D0000}"/>
    <cellStyle name="20% - Accent6 2 4 5 4 2" xfId="20873" xr:uid="{00000000-0005-0000-0000-0000352D0000}"/>
    <cellStyle name="20% - Accent6 2 4 5 4 3" xfId="29750" xr:uid="{00000000-0005-0000-0000-0000362D0000}"/>
    <cellStyle name="20% - Accent6 2 4 5 5" xfId="11818" xr:uid="{00000000-0005-0000-0000-0000372D0000}"/>
    <cellStyle name="20% - Accent6 2 4 5 5 2" xfId="23092" xr:uid="{00000000-0005-0000-0000-0000382D0000}"/>
    <cellStyle name="20% - Accent6 2 4 5 5 3" xfId="31969" xr:uid="{00000000-0005-0000-0000-0000392D0000}"/>
    <cellStyle name="20% - Accent6 2 4 5 6" xfId="14039" xr:uid="{00000000-0005-0000-0000-00003A2D0000}"/>
    <cellStyle name="20% - Accent6 2 4 5 6 2" xfId="25311" xr:uid="{00000000-0005-0000-0000-00003B2D0000}"/>
    <cellStyle name="20% - Accent6 2 4 5 6 3" xfId="34188" xr:uid="{00000000-0005-0000-0000-00003C2D0000}"/>
    <cellStyle name="20% - Accent6 2 4 5 7" xfId="18648" xr:uid="{00000000-0005-0000-0000-00003D2D0000}"/>
    <cellStyle name="20% - Accent6 2 4 5 8" xfId="27529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0" xr:uid="{00000000-0005-0000-0000-0000422D0000}"/>
    <cellStyle name="20% - Accent6 2 4 6 2 2 3" xfId="31227" xr:uid="{00000000-0005-0000-0000-0000432D0000}"/>
    <cellStyle name="20% - Accent6 2 4 6 2 3" xfId="13295" xr:uid="{00000000-0005-0000-0000-0000442D0000}"/>
    <cellStyle name="20% - Accent6 2 4 6 2 3 2" xfId="24569" xr:uid="{00000000-0005-0000-0000-0000452D0000}"/>
    <cellStyle name="20% - Accent6 2 4 6 2 3 3" xfId="33446" xr:uid="{00000000-0005-0000-0000-0000462D0000}"/>
    <cellStyle name="20% - Accent6 2 4 6 2 4" xfId="15745" xr:uid="{00000000-0005-0000-0000-0000472D0000}"/>
    <cellStyle name="20% - Accent6 2 4 6 2 4 2" xfId="26788" xr:uid="{00000000-0005-0000-0000-0000482D0000}"/>
    <cellStyle name="20% - Accent6 2 4 6 2 4 3" xfId="35665" xr:uid="{00000000-0005-0000-0000-0000492D0000}"/>
    <cellStyle name="20% - Accent6 2 4 6 2 5" xfId="20131" xr:uid="{00000000-0005-0000-0000-00004A2D0000}"/>
    <cellStyle name="20% - Accent6 2 4 6 2 6" xfId="29008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7" xr:uid="{00000000-0005-0000-0000-00004E2D0000}"/>
    <cellStyle name="20% - Accent6 2 4 6 3 2 3" xfId="30494" xr:uid="{00000000-0005-0000-0000-00004F2D0000}"/>
    <cellStyle name="20% - Accent6 2 4 6 3 3" xfId="12562" xr:uid="{00000000-0005-0000-0000-0000502D0000}"/>
    <cellStyle name="20% - Accent6 2 4 6 3 3 2" xfId="23836" xr:uid="{00000000-0005-0000-0000-0000512D0000}"/>
    <cellStyle name="20% - Accent6 2 4 6 3 3 3" xfId="32713" xr:uid="{00000000-0005-0000-0000-0000522D0000}"/>
    <cellStyle name="20% - Accent6 2 4 6 3 4" xfId="15012" xr:uid="{00000000-0005-0000-0000-0000532D0000}"/>
    <cellStyle name="20% - Accent6 2 4 6 3 4 2" xfId="26055" xr:uid="{00000000-0005-0000-0000-0000542D0000}"/>
    <cellStyle name="20% - Accent6 2 4 6 3 4 3" xfId="34932" xr:uid="{00000000-0005-0000-0000-0000552D0000}"/>
    <cellStyle name="20% - Accent6 2 4 6 3 5" xfId="19398" xr:uid="{00000000-0005-0000-0000-0000562D0000}"/>
    <cellStyle name="20% - Accent6 2 4 6 3 6" xfId="28275" xr:uid="{00000000-0005-0000-0000-0000572D0000}"/>
    <cellStyle name="20% - Accent6 2 4 6 4" xfId="9371" xr:uid="{00000000-0005-0000-0000-0000582D0000}"/>
    <cellStyle name="20% - Accent6 2 4 6 4 2" xfId="20874" xr:uid="{00000000-0005-0000-0000-0000592D0000}"/>
    <cellStyle name="20% - Accent6 2 4 6 4 3" xfId="29751" xr:uid="{00000000-0005-0000-0000-00005A2D0000}"/>
    <cellStyle name="20% - Accent6 2 4 6 5" xfId="11819" xr:uid="{00000000-0005-0000-0000-00005B2D0000}"/>
    <cellStyle name="20% - Accent6 2 4 6 5 2" xfId="23093" xr:uid="{00000000-0005-0000-0000-00005C2D0000}"/>
    <cellStyle name="20% - Accent6 2 4 6 5 3" xfId="31970" xr:uid="{00000000-0005-0000-0000-00005D2D0000}"/>
    <cellStyle name="20% - Accent6 2 4 6 6" xfId="14040" xr:uid="{00000000-0005-0000-0000-00005E2D0000}"/>
    <cellStyle name="20% - Accent6 2 4 6 6 2" xfId="25312" xr:uid="{00000000-0005-0000-0000-00005F2D0000}"/>
    <cellStyle name="20% - Accent6 2 4 6 6 3" xfId="34189" xr:uid="{00000000-0005-0000-0000-0000602D0000}"/>
    <cellStyle name="20% - Accent6 2 4 6 7" xfId="18649" xr:uid="{00000000-0005-0000-0000-0000612D0000}"/>
    <cellStyle name="20% - Accent6 2 4 6 8" xfId="27530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1" xr:uid="{00000000-0005-0000-0000-0000662D0000}"/>
    <cellStyle name="20% - Accent6 2 4 7 2 2 3" xfId="31228" xr:uid="{00000000-0005-0000-0000-0000672D0000}"/>
    <cellStyle name="20% - Accent6 2 4 7 2 3" xfId="13296" xr:uid="{00000000-0005-0000-0000-0000682D0000}"/>
    <cellStyle name="20% - Accent6 2 4 7 2 3 2" xfId="24570" xr:uid="{00000000-0005-0000-0000-0000692D0000}"/>
    <cellStyle name="20% - Accent6 2 4 7 2 3 3" xfId="33447" xr:uid="{00000000-0005-0000-0000-00006A2D0000}"/>
    <cellStyle name="20% - Accent6 2 4 7 2 4" xfId="15746" xr:uid="{00000000-0005-0000-0000-00006B2D0000}"/>
    <cellStyle name="20% - Accent6 2 4 7 2 4 2" xfId="26789" xr:uid="{00000000-0005-0000-0000-00006C2D0000}"/>
    <cellStyle name="20% - Accent6 2 4 7 2 4 3" xfId="35666" xr:uid="{00000000-0005-0000-0000-00006D2D0000}"/>
    <cellStyle name="20% - Accent6 2 4 7 2 5" xfId="20132" xr:uid="{00000000-0005-0000-0000-00006E2D0000}"/>
    <cellStyle name="20% - Accent6 2 4 7 2 6" xfId="29009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8" xr:uid="{00000000-0005-0000-0000-0000722D0000}"/>
    <cellStyle name="20% - Accent6 2 4 7 3 2 3" xfId="30495" xr:uid="{00000000-0005-0000-0000-0000732D0000}"/>
    <cellStyle name="20% - Accent6 2 4 7 3 3" xfId="12563" xr:uid="{00000000-0005-0000-0000-0000742D0000}"/>
    <cellStyle name="20% - Accent6 2 4 7 3 3 2" xfId="23837" xr:uid="{00000000-0005-0000-0000-0000752D0000}"/>
    <cellStyle name="20% - Accent6 2 4 7 3 3 3" xfId="32714" xr:uid="{00000000-0005-0000-0000-0000762D0000}"/>
    <cellStyle name="20% - Accent6 2 4 7 3 4" xfId="15013" xr:uid="{00000000-0005-0000-0000-0000772D0000}"/>
    <cellStyle name="20% - Accent6 2 4 7 3 4 2" xfId="26056" xr:uid="{00000000-0005-0000-0000-0000782D0000}"/>
    <cellStyle name="20% - Accent6 2 4 7 3 4 3" xfId="34933" xr:uid="{00000000-0005-0000-0000-0000792D0000}"/>
    <cellStyle name="20% - Accent6 2 4 7 3 5" xfId="19399" xr:uid="{00000000-0005-0000-0000-00007A2D0000}"/>
    <cellStyle name="20% - Accent6 2 4 7 3 6" xfId="28276" xr:uid="{00000000-0005-0000-0000-00007B2D0000}"/>
    <cellStyle name="20% - Accent6 2 4 7 4" xfId="9372" xr:uid="{00000000-0005-0000-0000-00007C2D0000}"/>
    <cellStyle name="20% - Accent6 2 4 7 4 2" xfId="20875" xr:uid="{00000000-0005-0000-0000-00007D2D0000}"/>
    <cellStyle name="20% - Accent6 2 4 7 4 3" xfId="29752" xr:uid="{00000000-0005-0000-0000-00007E2D0000}"/>
    <cellStyle name="20% - Accent6 2 4 7 5" xfId="11820" xr:uid="{00000000-0005-0000-0000-00007F2D0000}"/>
    <cellStyle name="20% - Accent6 2 4 7 5 2" xfId="23094" xr:uid="{00000000-0005-0000-0000-0000802D0000}"/>
    <cellStyle name="20% - Accent6 2 4 7 5 3" xfId="31971" xr:uid="{00000000-0005-0000-0000-0000812D0000}"/>
    <cellStyle name="20% - Accent6 2 4 7 6" xfId="14041" xr:uid="{00000000-0005-0000-0000-0000822D0000}"/>
    <cellStyle name="20% - Accent6 2 4 7 6 2" xfId="25313" xr:uid="{00000000-0005-0000-0000-0000832D0000}"/>
    <cellStyle name="20% - Accent6 2 4 7 6 3" xfId="34190" xr:uid="{00000000-0005-0000-0000-0000842D0000}"/>
    <cellStyle name="20% - Accent6 2 4 7 7" xfId="18650" xr:uid="{00000000-0005-0000-0000-0000852D0000}"/>
    <cellStyle name="20% - Accent6 2 4 7 8" xfId="27531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2" xr:uid="{00000000-0005-0000-0000-00008A2D0000}"/>
    <cellStyle name="20% - Accent6 2 4 8 2 2 3" xfId="31229" xr:uid="{00000000-0005-0000-0000-00008B2D0000}"/>
    <cellStyle name="20% - Accent6 2 4 8 2 3" xfId="13297" xr:uid="{00000000-0005-0000-0000-00008C2D0000}"/>
    <cellStyle name="20% - Accent6 2 4 8 2 3 2" xfId="24571" xr:uid="{00000000-0005-0000-0000-00008D2D0000}"/>
    <cellStyle name="20% - Accent6 2 4 8 2 3 3" xfId="33448" xr:uid="{00000000-0005-0000-0000-00008E2D0000}"/>
    <cellStyle name="20% - Accent6 2 4 8 2 4" xfId="15747" xr:uid="{00000000-0005-0000-0000-00008F2D0000}"/>
    <cellStyle name="20% - Accent6 2 4 8 2 4 2" xfId="26790" xr:uid="{00000000-0005-0000-0000-0000902D0000}"/>
    <cellStyle name="20% - Accent6 2 4 8 2 4 3" xfId="35667" xr:uid="{00000000-0005-0000-0000-0000912D0000}"/>
    <cellStyle name="20% - Accent6 2 4 8 2 5" xfId="20133" xr:uid="{00000000-0005-0000-0000-0000922D0000}"/>
    <cellStyle name="20% - Accent6 2 4 8 2 6" xfId="29010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19" xr:uid="{00000000-0005-0000-0000-0000962D0000}"/>
    <cellStyle name="20% - Accent6 2 4 8 3 2 3" xfId="30496" xr:uid="{00000000-0005-0000-0000-0000972D0000}"/>
    <cellStyle name="20% - Accent6 2 4 8 3 3" xfId="12564" xr:uid="{00000000-0005-0000-0000-0000982D0000}"/>
    <cellStyle name="20% - Accent6 2 4 8 3 3 2" xfId="23838" xr:uid="{00000000-0005-0000-0000-0000992D0000}"/>
    <cellStyle name="20% - Accent6 2 4 8 3 3 3" xfId="32715" xr:uid="{00000000-0005-0000-0000-00009A2D0000}"/>
    <cellStyle name="20% - Accent6 2 4 8 3 4" xfId="15014" xr:uid="{00000000-0005-0000-0000-00009B2D0000}"/>
    <cellStyle name="20% - Accent6 2 4 8 3 4 2" xfId="26057" xr:uid="{00000000-0005-0000-0000-00009C2D0000}"/>
    <cellStyle name="20% - Accent6 2 4 8 3 4 3" xfId="34934" xr:uid="{00000000-0005-0000-0000-00009D2D0000}"/>
    <cellStyle name="20% - Accent6 2 4 8 3 5" xfId="19400" xr:uid="{00000000-0005-0000-0000-00009E2D0000}"/>
    <cellStyle name="20% - Accent6 2 4 8 3 6" xfId="28277" xr:uid="{00000000-0005-0000-0000-00009F2D0000}"/>
    <cellStyle name="20% - Accent6 2 4 8 4" xfId="9373" xr:uid="{00000000-0005-0000-0000-0000A02D0000}"/>
    <cellStyle name="20% - Accent6 2 4 8 4 2" xfId="20876" xr:uid="{00000000-0005-0000-0000-0000A12D0000}"/>
    <cellStyle name="20% - Accent6 2 4 8 4 3" xfId="29753" xr:uid="{00000000-0005-0000-0000-0000A22D0000}"/>
    <cellStyle name="20% - Accent6 2 4 8 5" xfId="11821" xr:uid="{00000000-0005-0000-0000-0000A32D0000}"/>
    <cellStyle name="20% - Accent6 2 4 8 5 2" xfId="23095" xr:uid="{00000000-0005-0000-0000-0000A42D0000}"/>
    <cellStyle name="20% - Accent6 2 4 8 5 3" xfId="31972" xr:uid="{00000000-0005-0000-0000-0000A52D0000}"/>
    <cellStyle name="20% - Accent6 2 4 8 6" xfId="14042" xr:uid="{00000000-0005-0000-0000-0000A62D0000}"/>
    <cellStyle name="20% - Accent6 2 4 8 6 2" xfId="25314" xr:uid="{00000000-0005-0000-0000-0000A72D0000}"/>
    <cellStyle name="20% - Accent6 2 4 8 6 3" xfId="34191" xr:uid="{00000000-0005-0000-0000-0000A82D0000}"/>
    <cellStyle name="20% - Accent6 2 4 8 7" xfId="18651" xr:uid="{00000000-0005-0000-0000-0000A92D0000}"/>
    <cellStyle name="20% - Accent6 2 4 8 8" xfId="27532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3" xr:uid="{00000000-0005-0000-0000-0000AE2D0000}"/>
    <cellStyle name="20% - Accent6 2 4 9 2 2 3" xfId="31230" xr:uid="{00000000-0005-0000-0000-0000AF2D0000}"/>
    <cellStyle name="20% - Accent6 2 4 9 2 3" xfId="13298" xr:uid="{00000000-0005-0000-0000-0000B02D0000}"/>
    <cellStyle name="20% - Accent6 2 4 9 2 3 2" xfId="24572" xr:uid="{00000000-0005-0000-0000-0000B12D0000}"/>
    <cellStyle name="20% - Accent6 2 4 9 2 3 3" xfId="33449" xr:uid="{00000000-0005-0000-0000-0000B22D0000}"/>
    <cellStyle name="20% - Accent6 2 4 9 2 4" xfId="15748" xr:uid="{00000000-0005-0000-0000-0000B32D0000}"/>
    <cellStyle name="20% - Accent6 2 4 9 2 4 2" xfId="26791" xr:uid="{00000000-0005-0000-0000-0000B42D0000}"/>
    <cellStyle name="20% - Accent6 2 4 9 2 4 3" xfId="35668" xr:uid="{00000000-0005-0000-0000-0000B52D0000}"/>
    <cellStyle name="20% - Accent6 2 4 9 2 5" xfId="20134" xr:uid="{00000000-0005-0000-0000-0000B62D0000}"/>
    <cellStyle name="20% - Accent6 2 4 9 2 6" xfId="29011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0" xr:uid="{00000000-0005-0000-0000-0000BA2D0000}"/>
    <cellStyle name="20% - Accent6 2 4 9 3 2 3" xfId="30497" xr:uid="{00000000-0005-0000-0000-0000BB2D0000}"/>
    <cellStyle name="20% - Accent6 2 4 9 3 3" xfId="12565" xr:uid="{00000000-0005-0000-0000-0000BC2D0000}"/>
    <cellStyle name="20% - Accent6 2 4 9 3 3 2" xfId="23839" xr:uid="{00000000-0005-0000-0000-0000BD2D0000}"/>
    <cellStyle name="20% - Accent6 2 4 9 3 3 3" xfId="32716" xr:uid="{00000000-0005-0000-0000-0000BE2D0000}"/>
    <cellStyle name="20% - Accent6 2 4 9 3 4" xfId="15015" xr:uid="{00000000-0005-0000-0000-0000BF2D0000}"/>
    <cellStyle name="20% - Accent6 2 4 9 3 4 2" xfId="26058" xr:uid="{00000000-0005-0000-0000-0000C02D0000}"/>
    <cellStyle name="20% - Accent6 2 4 9 3 4 3" xfId="34935" xr:uid="{00000000-0005-0000-0000-0000C12D0000}"/>
    <cellStyle name="20% - Accent6 2 4 9 3 5" xfId="19401" xr:uid="{00000000-0005-0000-0000-0000C22D0000}"/>
    <cellStyle name="20% - Accent6 2 4 9 3 6" xfId="28278" xr:uid="{00000000-0005-0000-0000-0000C32D0000}"/>
    <cellStyle name="20% - Accent6 2 4 9 4" xfId="9374" xr:uid="{00000000-0005-0000-0000-0000C42D0000}"/>
    <cellStyle name="20% - Accent6 2 4 9 4 2" xfId="20877" xr:uid="{00000000-0005-0000-0000-0000C52D0000}"/>
    <cellStyle name="20% - Accent6 2 4 9 4 3" xfId="29754" xr:uid="{00000000-0005-0000-0000-0000C62D0000}"/>
    <cellStyle name="20% - Accent6 2 4 9 5" xfId="11822" xr:uid="{00000000-0005-0000-0000-0000C72D0000}"/>
    <cellStyle name="20% - Accent6 2 4 9 5 2" xfId="23096" xr:uid="{00000000-0005-0000-0000-0000C82D0000}"/>
    <cellStyle name="20% - Accent6 2 4 9 5 3" xfId="31973" xr:uid="{00000000-0005-0000-0000-0000C92D0000}"/>
    <cellStyle name="20% - Accent6 2 4 9 6" xfId="14043" xr:uid="{00000000-0005-0000-0000-0000CA2D0000}"/>
    <cellStyle name="20% - Accent6 2 4 9 6 2" xfId="25315" xr:uid="{00000000-0005-0000-0000-0000CB2D0000}"/>
    <cellStyle name="20% - Accent6 2 4 9 6 3" xfId="34192" xr:uid="{00000000-0005-0000-0000-0000CC2D0000}"/>
    <cellStyle name="20% - Accent6 2 4 9 7" xfId="18652" xr:uid="{00000000-0005-0000-0000-0000CD2D0000}"/>
    <cellStyle name="20% - Accent6 2 4 9 8" xfId="27533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4" xr:uid="{00000000-0005-0000-0000-0000D22D0000}"/>
    <cellStyle name="20% - Accent6 2 5 10 2 3" xfId="31231" xr:uid="{00000000-0005-0000-0000-0000D32D0000}"/>
    <cellStyle name="20% - Accent6 2 5 10 3" xfId="13299" xr:uid="{00000000-0005-0000-0000-0000D42D0000}"/>
    <cellStyle name="20% - Accent6 2 5 10 3 2" xfId="24573" xr:uid="{00000000-0005-0000-0000-0000D52D0000}"/>
    <cellStyle name="20% - Accent6 2 5 10 3 3" xfId="33450" xr:uid="{00000000-0005-0000-0000-0000D62D0000}"/>
    <cellStyle name="20% - Accent6 2 5 10 4" xfId="15749" xr:uid="{00000000-0005-0000-0000-0000D72D0000}"/>
    <cellStyle name="20% - Accent6 2 5 10 4 2" xfId="26792" xr:uid="{00000000-0005-0000-0000-0000D82D0000}"/>
    <cellStyle name="20% - Accent6 2 5 10 4 3" xfId="35669" xr:uid="{00000000-0005-0000-0000-0000D92D0000}"/>
    <cellStyle name="20% - Accent6 2 5 10 5" xfId="20135" xr:uid="{00000000-0005-0000-0000-0000DA2D0000}"/>
    <cellStyle name="20% - Accent6 2 5 10 6" xfId="29012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1" xr:uid="{00000000-0005-0000-0000-0000DE2D0000}"/>
    <cellStyle name="20% - Accent6 2 5 11 2 3" xfId="30498" xr:uid="{00000000-0005-0000-0000-0000DF2D0000}"/>
    <cellStyle name="20% - Accent6 2 5 11 3" xfId="12566" xr:uid="{00000000-0005-0000-0000-0000E02D0000}"/>
    <cellStyle name="20% - Accent6 2 5 11 3 2" xfId="23840" xr:uid="{00000000-0005-0000-0000-0000E12D0000}"/>
    <cellStyle name="20% - Accent6 2 5 11 3 3" xfId="32717" xr:uid="{00000000-0005-0000-0000-0000E22D0000}"/>
    <cellStyle name="20% - Accent6 2 5 11 4" xfId="15016" xr:uid="{00000000-0005-0000-0000-0000E32D0000}"/>
    <cellStyle name="20% - Accent6 2 5 11 4 2" xfId="26059" xr:uid="{00000000-0005-0000-0000-0000E42D0000}"/>
    <cellStyle name="20% - Accent6 2 5 11 4 3" xfId="34936" xr:uid="{00000000-0005-0000-0000-0000E52D0000}"/>
    <cellStyle name="20% - Accent6 2 5 11 5" xfId="19402" xr:uid="{00000000-0005-0000-0000-0000E62D0000}"/>
    <cellStyle name="20% - Accent6 2 5 11 6" xfId="28279" xr:uid="{00000000-0005-0000-0000-0000E72D0000}"/>
    <cellStyle name="20% - Accent6 2 5 12" xfId="9375" xr:uid="{00000000-0005-0000-0000-0000E82D0000}"/>
    <cellStyle name="20% - Accent6 2 5 12 2" xfId="20878" xr:uid="{00000000-0005-0000-0000-0000E92D0000}"/>
    <cellStyle name="20% - Accent6 2 5 12 3" xfId="29755" xr:uid="{00000000-0005-0000-0000-0000EA2D0000}"/>
    <cellStyle name="20% - Accent6 2 5 13" xfId="11823" xr:uid="{00000000-0005-0000-0000-0000EB2D0000}"/>
    <cellStyle name="20% - Accent6 2 5 13 2" xfId="23097" xr:uid="{00000000-0005-0000-0000-0000EC2D0000}"/>
    <cellStyle name="20% - Accent6 2 5 13 3" xfId="31974" xr:uid="{00000000-0005-0000-0000-0000ED2D0000}"/>
    <cellStyle name="20% - Accent6 2 5 14" xfId="14044" xr:uid="{00000000-0005-0000-0000-0000EE2D0000}"/>
    <cellStyle name="20% - Accent6 2 5 14 2" xfId="25316" xr:uid="{00000000-0005-0000-0000-0000EF2D0000}"/>
    <cellStyle name="20% - Accent6 2 5 14 3" xfId="34193" xr:uid="{00000000-0005-0000-0000-0000F02D0000}"/>
    <cellStyle name="20% - Accent6 2 5 15" xfId="18653" xr:uid="{00000000-0005-0000-0000-0000F12D0000}"/>
    <cellStyle name="20% - Accent6 2 5 16" xfId="27534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5" xr:uid="{00000000-0005-0000-0000-0000F62D0000}"/>
    <cellStyle name="20% - Accent6 2 5 2 2 2 3" xfId="31232" xr:uid="{00000000-0005-0000-0000-0000F72D0000}"/>
    <cellStyle name="20% - Accent6 2 5 2 2 3" xfId="13300" xr:uid="{00000000-0005-0000-0000-0000F82D0000}"/>
    <cellStyle name="20% - Accent6 2 5 2 2 3 2" xfId="24574" xr:uid="{00000000-0005-0000-0000-0000F92D0000}"/>
    <cellStyle name="20% - Accent6 2 5 2 2 3 3" xfId="33451" xr:uid="{00000000-0005-0000-0000-0000FA2D0000}"/>
    <cellStyle name="20% - Accent6 2 5 2 2 4" xfId="15750" xr:uid="{00000000-0005-0000-0000-0000FB2D0000}"/>
    <cellStyle name="20% - Accent6 2 5 2 2 4 2" xfId="26793" xr:uid="{00000000-0005-0000-0000-0000FC2D0000}"/>
    <cellStyle name="20% - Accent6 2 5 2 2 4 3" xfId="35670" xr:uid="{00000000-0005-0000-0000-0000FD2D0000}"/>
    <cellStyle name="20% - Accent6 2 5 2 2 5" xfId="20136" xr:uid="{00000000-0005-0000-0000-0000FE2D0000}"/>
    <cellStyle name="20% - Accent6 2 5 2 2 6" xfId="29013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2" xr:uid="{00000000-0005-0000-0000-0000022E0000}"/>
    <cellStyle name="20% - Accent6 2 5 2 3 2 3" xfId="30499" xr:uid="{00000000-0005-0000-0000-0000032E0000}"/>
    <cellStyle name="20% - Accent6 2 5 2 3 3" xfId="12567" xr:uid="{00000000-0005-0000-0000-0000042E0000}"/>
    <cellStyle name="20% - Accent6 2 5 2 3 3 2" xfId="23841" xr:uid="{00000000-0005-0000-0000-0000052E0000}"/>
    <cellStyle name="20% - Accent6 2 5 2 3 3 3" xfId="32718" xr:uid="{00000000-0005-0000-0000-0000062E0000}"/>
    <cellStyle name="20% - Accent6 2 5 2 3 4" xfId="15017" xr:uid="{00000000-0005-0000-0000-0000072E0000}"/>
    <cellStyle name="20% - Accent6 2 5 2 3 4 2" xfId="26060" xr:uid="{00000000-0005-0000-0000-0000082E0000}"/>
    <cellStyle name="20% - Accent6 2 5 2 3 4 3" xfId="34937" xr:uid="{00000000-0005-0000-0000-0000092E0000}"/>
    <cellStyle name="20% - Accent6 2 5 2 3 5" xfId="19403" xr:uid="{00000000-0005-0000-0000-00000A2E0000}"/>
    <cellStyle name="20% - Accent6 2 5 2 3 6" xfId="28280" xr:uid="{00000000-0005-0000-0000-00000B2E0000}"/>
    <cellStyle name="20% - Accent6 2 5 2 4" xfId="9376" xr:uid="{00000000-0005-0000-0000-00000C2E0000}"/>
    <cellStyle name="20% - Accent6 2 5 2 4 2" xfId="20879" xr:uid="{00000000-0005-0000-0000-00000D2E0000}"/>
    <cellStyle name="20% - Accent6 2 5 2 4 3" xfId="29756" xr:uid="{00000000-0005-0000-0000-00000E2E0000}"/>
    <cellStyle name="20% - Accent6 2 5 2 5" xfId="11824" xr:uid="{00000000-0005-0000-0000-00000F2E0000}"/>
    <cellStyle name="20% - Accent6 2 5 2 5 2" xfId="23098" xr:uid="{00000000-0005-0000-0000-0000102E0000}"/>
    <cellStyle name="20% - Accent6 2 5 2 5 3" xfId="31975" xr:uid="{00000000-0005-0000-0000-0000112E0000}"/>
    <cellStyle name="20% - Accent6 2 5 2 6" xfId="14045" xr:uid="{00000000-0005-0000-0000-0000122E0000}"/>
    <cellStyle name="20% - Accent6 2 5 2 6 2" xfId="25317" xr:uid="{00000000-0005-0000-0000-0000132E0000}"/>
    <cellStyle name="20% - Accent6 2 5 2 6 3" xfId="34194" xr:uid="{00000000-0005-0000-0000-0000142E0000}"/>
    <cellStyle name="20% - Accent6 2 5 2 7" xfId="18654" xr:uid="{00000000-0005-0000-0000-0000152E0000}"/>
    <cellStyle name="20% - Accent6 2 5 2 8" xfId="27535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6" xr:uid="{00000000-0005-0000-0000-00001A2E0000}"/>
    <cellStyle name="20% - Accent6 2 5 3 2 2 3" xfId="31233" xr:uid="{00000000-0005-0000-0000-00001B2E0000}"/>
    <cellStyle name="20% - Accent6 2 5 3 2 3" xfId="13301" xr:uid="{00000000-0005-0000-0000-00001C2E0000}"/>
    <cellStyle name="20% - Accent6 2 5 3 2 3 2" xfId="24575" xr:uid="{00000000-0005-0000-0000-00001D2E0000}"/>
    <cellStyle name="20% - Accent6 2 5 3 2 3 3" xfId="33452" xr:uid="{00000000-0005-0000-0000-00001E2E0000}"/>
    <cellStyle name="20% - Accent6 2 5 3 2 4" xfId="15751" xr:uid="{00000000-0005-0000-0000-00001F2E0000}"/>
    <cellStyle name="20% - Accent6 2 5 3 2 4 2" xfId="26794" xr:uid="{00000000-0005-0000-0000-0000202E0000}"/>
    <cellStyle name="20% - Accent6 2 5 3 2 4 3" xfId="35671" xr:uid="{00000000-0005-0000-0000-0000212E0000}"/>
    <cellStyle name="20% - Accent6 2 5 3 2 5" xfId="20137" xr:uid="{00000000-0005-0000-0000-0000222E0000}"/>
    <cellStyle name="20% - Accent6 2 5 3 2 6" xfId="29014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3" xr:uid="{00000000-0005-0000-0000-0000262E0000}"/>
    <cellStyle name="20% - Accent6 2 5 3 3 2 3" xfId="30500" xr:uid="{00000000-0005-0000-0000-0000272E0000}"/>
    <cellStyle name="20% - Accent6 2 5 3 3 3" xfId="12568" xr:uid="{00000000-0005-0000-0000-0000282E0000}"/>
    <cellStyle name="20% - Accent6 2 5 3 3 3 2" xfId="23842" xr:uid="{00000000-0005-0000-0000-0000292E0000}"/>
    <cellStyle name="20% - Accent6 2 5 3 3 3 3" xfId="32719" xr:uid="{00000000-0005-0000-0000-00002A2E0000}"/>
    <cellStyle name="20% - Accent6 2 5 3 3 4" xfId="15018" xr:uid="{00000000-0005-0000-0000-00002B2E0000}"/>
    <cellStyle name="20% - Accent6 2 5 3 3 4 2" xfId="26061" xr:uid="{00000000-0005-0000-0000-00002C2E0000}"/>
    <cellStyle name="20% - Accent6 2 5 3 3 4 3" xfId="34938" xr:uid="{00000000-0005-0000-0000-00002D2E0000}"/>
    <cellStyle name="20% - Accent6 2 5 3 3 5" xfId="19404" xr:uid="{00000000-0005-0000-0000-00002E2E0000}"/>
    <cellStyle name="20% - Accent6 2 5 3 3 6" xfId="28281" xr:uid="{00000000-0005-0000-0000-00002F2E0000}"/>
    <cellStyle name="20% - Accent6 2 5 3 4" xfId="9377" xr:uid="{00000000-0005-0000-0000-0000302E0000}"/>
    <cellStyle name="20% - Accent6 2 5 3 4 2" xfId="20880" xr:uid="{00000000-0005-0000-0000-0000312E0000}"/>
    <cellStyle name="20% - Accent6 2 5 3 4 3" xfId="29757" xr:uid="{00000000-0005-0000-0000-0000322E0000}"/>
    <cellStyle name="20% - Accent6 2 5 3 5" xfId="11825" xr:uid="{00000000-0005-0000-0000-0000332E0000}"/>
    <cellStyle name="20% - Accent6 2 5 3 5 2" xfId="23099" xr:uid="{00000000-0005-0000-0000-0000342E0000}"/>
    <cellStyle name="20% - Accent6 2 5 3 5 3" xfId="31976" xr:uid="{00000000-0005-0000-0000-0000352E0000}"/>
    <cellStyle name="20% - Accent6 2 5 3 6" xfId="14046" xr:uid="{00000000-0005-0000-0000-0000362E0000}"/>
    <cellStyle name="20% - Accent6 2 5 3 6 2" xfId="25318" xr:uid="{00000000-0005-0000-0000-0000372E0000}"/>
    <cellStyle name="20% - Accent6 2 5 3 6 3" xfId="34195" xr:uid="{00000000-0005-0000-0000-0000382E0000}"/>
    <cellStyle name="20% - Accent6 2 5 3 7" xfId="18655" xr:uid="{00000000-0005-0000-0000-0000392E0000}"/>
    <cellStyle name="20% - Accent6 2 5 3 8" xfId="27536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7" xr:uid="{00000000-0005-0000-0000-00003E2E0000}"/>
    <cellStyle name="20% - Accent6 2 5 4 2 2 3" xfId="31234" xr:uid="{00000000-0005-0000-0000-00003F2E0000}"/>
    <cellStyle name="20% - Accent6 2 5 4 2 3" xfId="13302" xr:uid="{00000000-0005-0000-0000-0000402E0000}"/>
    <cellStyle name="20% - Accent6 2 5 4 2 3 2" xfId="24576" xr:uid="{00000000-0005-0000-0000-0000412E0000}"/>
    <cellStyle name="20% - Accent6 2 5 4 2 3 3" xfId="33453" xr:uid="{00000000-0005-0000-0000-0000422E0000}"/>
    <cellStyle name="20% - Accent6 2 5 4 2 4" xfId="15752" xr:uid="{00000000-0005-0000-0000-0000432E0000}"/>
    <cellStyle name="20% - Accent6 2 5 4 2 4 2" xfId="26795" xr:uid="{00000000-0005-0000-0000-0000442E0000}"/>
    <cellStyle name="20% - Accent6 2 5 4 2 4 3" xfId="35672" xr:uid="{00000000-0005-0000-0000-0000452E0000}"/>
    <cellStyle name="20% - Accent6 2 5 4 2 5" xfId="20138" xr:uid="{00000000-0005-0000-0000-0000462E0000}"/>
    <cellStyle name="20% - Accent6 2 5 4 2 6" xfId="29015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4" xr:uid="{00000000-0005-0000-0000-00004A2E0000}"/>
    <cellStyle name="20% - Accent6 2 5 4 3 2 3" xfId="30501" xr:uid="{00000000-0005-0000-0000-00004B2E0000}"/>
    <cellStyle name="20% - Accent6 2 5 4 3 3" xfId="12569" xr:uid="{00000000-0005-0000-0000-00004C2E0000}"/>
    <cellStyle name="20% - Accent6 2 5 4 3 3 2" xfId="23843" xr:uid="{00000000-0005-0000-0000-00004D2E0000}"/>
    <cellStyle name="20% - Accent6 2 5 4 3 3 3" xfId="32720" xr:uid="{00000000-0005-0000-0000-00004E2E0000}"/>
    <cellStyle name="20% - Accent6 2 5 4 3 4" xfId="15019" xr:uid="{00000000-0005-0000-0000-00004F2E0000}"/>
    <cellStyle name="20% - Accent6 2 5 4 3 4 2" xfId="26062" xr:uid="{00000000-0005-0000-0000-0000502E0000}"/>
    <cellStyle name="20% - Accent6 2 5 4 3 4 3" xfId="34939" xr:uid="{00000000-0005-0000-0000-0000512E0000}"/>
    <cellStyle name="20% - Accent6 2 5 4 3 5" xfId="19405" xr:uid="{00000000-0005-0000-0000-0000522E0000}"/>
    <cellStyle name="20% - Accent6 2 5 4 3 6" xfId="28282" xr:uid="{00000000-0005-0000-0000-0000532E0000}"/>
    <cellStyle name="20% - Accent6 2 5 4 4" xfId="9378" xr:uid="{00000000-0005-0000-0000-0000542E0000}"/>
    <cellStyle name="20% - Accent6 2 5 4 4 2" xfId="20881" xr:uid="{00000000-0005-0000-0000-0000552E0000}"/>
    <cellStyle name="20% - Accent6 2 5 4 4 3" xfId="29758" xr:uid="{00000000-0005-0000-0000-0000562E0000}"/>
    <cellStyle name="20% - Accent6 2 5 4 5" xfId="11826" xr:uid="{00000000-0005-0000-0000-0000572E0000}"/>
    <cellStyle name="20% - Accent6 2 5 4 5 2" xfId="23100" xr:uid="{00000000-0005-0000-0000-0000582E0000}"/>
    <cellStyle name="20% - Accent6 2 5 4 5 3" xfId="31977" xr:uid="{00000000-0005-0000-0000-0000592E0000}"/>
    <cellStyle name="20% - Accent6 2 5 4 6" xfId="14047" xr:uid="{00000000-0005-0000-0000-00005A2E0000}"/>
    <cellStyle name="20% - Accent6 2 5 4 6 2" xfId="25319" xr:uid="{00000000-0005-0000-0000-00005B2E0000}"/>
    <cellStyle name="20% - Accent6 2 5 4 6 3" xfId="34196" xr:uid="{00000000-0005-0000-0000-00005C2E0000}"/>
    <cellStyle name="20% - Accent6 2 5 4 7" xfId="18656" xr:uid="{00000000-0005-0000-0000-00005D2E0000}"/>
    <cellStyle name="20% - Accent6 2 5 4 8" xfId="27537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8" xr:uid="{00000000-0005-0000-0000-0000622E0000}"/>
    <cellStyle name="20% - Accent6 2 5 5 2 2 3" xfId="31235" xr:uid="{00000000-0005-0000-0000-0000632E0000}"/>
    <cellStyle name="20% - Accent6 2 5 5 2 3" xfId="13303" xr:uid="{00000000-0005-0000-0000-0000642E0000}"/>
    <cellStyle name="20% - Accent6 2 5 5 2 3 2" xfId="24577" xr:uid="{00000000-0005-0000-0000-0000652E0000}"/>
    <cellStyle name="20% - Accent6 2 5 5 2 3 3" xfId="33454" xr:uid="{00000000-0005-0000-0000-0000662E0000}"/>
    <cellStyle name="20% - Accent6 2 5 5 2 4" xfId="15753" xr:uid="{00000000-0005-0000-0000-0000672E0000}"/>
    <cellStyle name="20% - Accent6 2 5 5 2 4 2" xfId="26796" xr:uid="{00000000-0005-0000-0000-0000682E0000}"/>
    <cellStyle name="20% - Accent6 2 5 5 2 4 3" xfId="35673" xr:uid="{00000000-0005-0000-0000-0000692E0000}"/>
    <cellStyle name="20% - Accent6 2 5 5 2 5" xfId="20139" xr:uid="{00000000-0005-0000-0000-00006A2E0000}"/>
    <cellStyle name="20% - Accent6 2 5 5 2 6" xfId="29016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5" xr:uid="{00000000-0005-0000-0000-00006E2E0000}"/>
    <cellStyle name="20% - Accent6 2 5 5 3 2 3" xfId="30502" xr:uid="{00000000-0005-0000-0000-00006F2E0000}"/>
    <cellStyle name="20% - Accent6 2 5 5 3 3" xfId="12570" xr:uid="{00000000-0005-0000-0000-0000702E0000}"/>
    <cellStyle name="20% - Accent6 2 5 5 3 3 2" xfId="23844" xr:uid="{00000000-0005-0000-0000-0000712E0000}"/>
    <cellStyle name="20% - Accent6 2 5 5 3 3 3" xfId="32721" xr:uid="{00000000-0005-0000-0000-0000722E0000}"/>
    <cellStyle name="20% - Accent6 2 5 5 3 4" xfId="15020" xr:uid="{00000000-0005-0000-0000-0000732E0000}"/>
    <cellStyle name="20% - Accent6 2 5 5 3 4 2" xfId="26063" xr:uid="{00000000-0005-0000-0000-0000742E0000}"/>
    <cellStyle name="20% - Accent6 2 5 5 3 4 3" xfId="34940" xr:uid="{00000000-0005-0000-0000-0000752E0000}"/>
    <cellStyle name="20% - Accent6 2 5 5 3 5" xfId="19406" xr:uid="{00000000-0005-0000-0000-0000762E0000}"/>
    <cellStyle name="20% - Accent6 2 5 5 3 6" xfId="28283" xr:uid="{00000000-0005-0000-0000-0000772E0000}"/>
    <cellStyle name="20% - Accent6 2 5 5 4" xfId="9379" xr:uid="{00000000-0005-0000-0000-0000782E0000}"/>
    <cellStyle name="20% - Accent6 2 5 5 4 2" xfId="20882" xr:uid="{00000000-0005-0000-0000-0000792E0000}"/>
    <cellStyle name="20% - Accent6 2 5 5 4 3" xfId="29759" xr:uid="{00000000-0005-0000-0000-00007A2E0000}"/>
    <cellStyle name="20% - Accent6 2 5 5 5" xfId="11827" xr:uid="{00000000-0005-0000-0000-00007B2E0000}"/>
    <cellStyle name="20% - Accent6 2 5 5 5 2" xfId="23101" xr:uid="{00000000-0005-0000-0000-00007C2E0000}"/>
    <cellStyle name="20% - Accent6 2 5 5 5 3" xfId="31978" xr:uid="{00000000-0005-0000-0000-00007D2E0000}"/>
    <cellStyle name="20% - Accent6 2 5 5 6" xfId="14048" xr:uid="{00000000-0005-0000-0000-00007E2E0000}"/>
    <cellStyle name="20% - Accent6 2 5 5 6 2" xfId="25320" xr:uid="{00000000-0005-0000-0000-00007F2E0000}"/>
    <cellStyle name="20% - Accent6 2 5 5 6 3" xfId="34197" xr:uid="{00000000-0005-0000-0000-0000802E0000}"/>
    <cellStyle name="20% - Accent6 2 5 5 7" xfId="18657" xr:uid="{00000000-0005-0000-0000-0000812E0000}"/>
    <cellStyle name="20% - Accent6 2 5 5 8" xfId="27538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59" xr:uid="{00000000-0005-0000-0000-0000862E0000}"/>
    <cellStyle name="20% - Accent6 2 5 6 2 2 3" xfId="31236" xr:uid="{00000000-0005-0000-0000-0000872E0000}"/>
    <cellStyle name="20% - Accent6 2 5 6 2 3" xfId="13304" xr:uid="{00000000-0005-0000-0000-0000882E0000}"/>
    <cellStyle name="20% - Accent6 2 5 6 2 3 2" xfId="24578" xr:uid="{00000000-0005-0000-0000-0000892E0000}"/>
    <cellStyle name="20% - Accent6 2 5 6 2 3 3" xfId="33455" xr:uid="{00000000-0005-0000-0000-00008A2E0000}"/>
    <cellStyle name="20% - Accent6 2 5 6 2 4" xfId="15754" xr:uid="{00000000-0005-0000-0000-00008B2E0000}"/>
    <cellStyle name="20% - Accent6 2 5 6 2 4 2" xfId="26797" xr:uid="{00000000-0005-0000-0000-00008C2E0000}"/>
    <cellStyle name="20% - Accent6 2 5 6 2 4 3" xfId="35674" xr:uid="{00000000-0005-0000-0000-00008D2E0000}"/>
    <cellStyle name="20% - Accent6 2 5 6 2 5" xfId="20140" xr:uid="{00000000-0005-0000-0000-00008E2E0000}"/>
    <cellStyle name="20% - Accent6 2 5 6 2 6" xfId="29017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6" xr:uid="{00000000-0005-0000-0000-0000922E0000}"/>
    <cellStyle name="20% - Accent6 2 5 6 3 2 3" xfId="30503" xr:uid="{00000000-0005-0000-0000-0000932E0000}"/>
    <cellStyle name="20% - Accent6 2 5 6 3 3" xfId="12571" xr:uid="{00000000-0005-0000-0000-0000942E0000}"/>
    <cellStyle name="20% - Accent6 2 5 6 3 3 2" xfId="23845" xr:uid="{00000000-0005-0000-0000-0000952E0000}"/>
    <cellStyle name="20% - Accent6 2 5 6 3 3 3" xfId="32722" xr:uid="{00000000-0005-0000-0000-0000962E0000}"/>
    <cellStyle name="20% - Accent6 2 5 6 3 4" xfId="15021" xr:uid="{00000000-0005-0000-0000-0000972E0000}"/>
    <cellStyle name="20% - Accent6 2 5 6 3 4 2" xfId="26064" xr:uid="{00000000-0005-0000-0000-0000982E0000}"/>
    <cellStyle name="20% - Accent6 2 5 6 3 4 3" xfId="34941" xr:uid="{00000000-0005-0000-0000-0000992E0000}"/>
    <cellStyle name="20% - Accent6 2 5 6 3 5" xfId="19407" xr:uid="{00000000-0005-0000-0000-00009A2E0000}"/>
    <cellStyle name="20% - Accent6 2 5 6 3 6" xfId="28284" xr:uid="{00000000-0005-0000-0000-00009B2E0000}"/>
    <cellStyle name="20% - Accent6 2 5 6 4" xfId="9380" xr:uid="{00000000-0005-0000-0000-00009C2E0000}"/>
    <cellStyle name="20% - Accent6 2 5 6 4 2" xfId="20883" xr:uid="{00000000-0005-0000-0000-00009D2E0000}"/>
    <cellStyle name="20% - Accent6 2 5 6 4 3" xfId="29760" xr:uid="{00000000-0005-0000-0000-00009E2E0000}"/>
    <cellStyle name="20% - Accent6 2 5 6 5" xfId="11828" xr:uid="{00000000-0005-0000-0000-00009F2E0000}"/>
    <cellStyle name="20% - Accent6 2 5 6 5 2" xfId="23102" xr:uid="{00000000-0005-0000-0000-0000A02E0000}"/>
    <cellStyle name="20% - Accent6 2 5 6 5 3" xfId="31979" xr:uid="{00000000-0005-0000-0000-0000A12E0000}"/>
    <cellStyle name="20% - Accent6 2 5 6 6" xfId="14049" xr:uid="{00000000-0005-0000-0000-0000A22E0000}"/>
    <cellStyle name="20% - Accent6 2 5 6 6 2" xfId="25321" xr:uid="{00000000-0005-0000-0000-0000A32E0000}"/>
    <cellStyle name="20% - Accent6 2 5 6 6 3" xfId="34198" xr:uid="{00000000-0005-0000-0000-0000A42E0000}"/>
    <cellStyle name="20% - Accent6 2 5 6 7" xfId="18658" xr:uid="{00000000-0005-0000-0000-0000A52E0000}"/>
    <cellStyle name="20% - Accent6 2 5 6 8" xfId="27539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0" xr:uid="{00000000-0005-0000-0000-0000AA2E0000}"/>
    <cellStyle name="20% - Accent6 2 5 7 2 2 3" xfId="31237" xr:uid="{00000000-0005-0000-0000-0000AB2E0000}"/>
    <cellStyle name="20% - Accent6 2 5 7 2 3" xfId="13305" xr:uid="{00000000-0005-0000-0000-0000AC2E0000}"/>
    <cellStyle name="20% - Accent6 2 5 7 2 3 2" xfId="24579" xr:uid="{00000000-0005-0000-0000-0000AD2E0000}"/>
    <cellStyle name="20% - Accent6 2 5 7 2 3 3" xfId="33456" xr:uid="{00000000-0005-0000-0000-0000AE2E0000}"/>
    <cellStyle name="20% - Accent6 2 5 7 2 4" xfId="15755" xr:uid="{00000000-0005-0000-0000-0000AF2E0000}"/>
    <cellStyle name="20% - Accent6 2 5 7 2 4 2" xfId="26798" xr:uid="{00000000-0005-0000-0000-0000B02E0000}"/>
    <cellStyle name="20% - Accent6 2 5 7 2 4 3" xfId="35675" xr:uid="{00000000-0005-0000-0000-0000B12E0000}"/>
    <cellStyle name="20% - Accent6 2 5 7 2 5" xfId="20141" xr:uid="{00000000-0005-0000-0000-0000B22E0000}"/>
    <cellStyle name="20% - Accent6 2 5 7 2 6" xfId="29018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7" xr:uid="{00000000-0005-0000-0000-0000B62E0000}"/>
    <cellStyle name="20% - Accent6 2 5 7 3 2 3" xfId="30504" xr:uid="{00000000-0005-0000-0000-0000B72E0000}"/>
    <cellStyle name="20% - Accent6 2 5 7 3 3" xfId="12572" xr:uid="{00000000-0005-0000-0000-0000B82E0000}"/>
    <cellStyle name="20% - Accent6 2 5 7 3 3 2" xfId="23846" xr:uid="{00000000-0005-0000-0000-0000B92E0000}"/>
    <cellStyle name="20% - Accent6 2 5 7 3 3 3" xfId="32723" xr:uid="{00000000-0005-0000-0000-0000BA2E0000}"/>
    <cellStyle name="20% - Accent6 2 5 7 3 4" xfId="15022" xr:uid="{00000000-0005-0000-0000-0000BB2E0000}"/>
    <cellStyle name="20% - Accent6 2 5 7 3 4 2" xfId="26065" xr:uid="{00000000-0005-0000-0000-0000BC2E0000}"/>
    <cellStyle name="20% - Accent6 2 5 7 3 4 3" xfId="34942" xr:uid="{00000000-0005-0000-0000-0000BD2E0000}"/>
    <cellStyle name="20% - Accent6 2 5 7 3 5" xfId="19408" xr:uid="{00000000-0005-0000-0000-0000BE2E0000}"/>
    <cellStyle name="20% - Accent6 2 5 7 3 6" xfId="28285" xr:uid="{00000000-0005-0000-0000-0000BF2E0000}"/>
    <cellStyle name="20% - Accent6 2 5 7 4" xfId="9381" xr:uid="{00000000-0005-0000-0000-0000C02E0000}"/>
    <cellStyle name="20% - Accent6 2 5 7 4 2" xfId="20884" xr:uid="{00000000-0005-0000-0000-0000C12E0000}"/>
    <cellStyle name="20% - Accent6 2 5 7 4 3" xfId="29761" xr:uid="{00000000-0005-0000-0000-0000C22E0000}"/>
    <cellStyle name="20% - Accent6 2 5 7 5" xfId="11829" xr:uid="{00000000-0005-0000-0000-0000C32E0000}"/>
    <cellStyle name="20% - Accent6 2 5 7 5 2" xfId="23103" xr:uid="{00000000-0005-0000-0000-0000C42E0000}"/>
    <cellStyle name="20% - Accent6 2 5 7 5 3" xfId="31980" xr:uid="{00000000-0005-0000-0000-0000C52E0000}"/>
    <cellStyle name="20% - Accent6 2 5 7 6" xfId="14050" xr:uid="{00000000-0005-0000-0000-0000C62E0000}"/>
    <cellStyle name="20% - Accent6 2 5 7 6 2" xfId="25322" xr:uid="{00000000-0005-0000-0000-0000C72E0000}"/>
    <cellStyle name="20% - Accent6 2 5 7 6 3" xfId="34199" xr:uid="{00000000-0005-0000-0000-0000C82E0000}"/>
    <cellStyle name="20% - Accent6 2 5 7 7" xfId="18659" xr:uid="{00000000-0005-0000-0000-0000C92E0000}"/>
    <cellStyle name="20% - Accent6 2 5 7 8" xfId="27540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1" xr:uid="{00000000-0005-0000-0000-0000CE2E0000}"/>
    <cellStyle name="20% - Accent6 2 5 8 2 2 3" xfId="31238" xr:uid="{00000000-0005-0000-0000-0000CF2E0000}"/>
    <cellStyle name="20% - Accent6 2 5 8 2 3" xfId="13306" xr:uid="{00000000-0005-0000-0000-0000D02E0000}"/>
    <cellStyle name="20% - Accent6 2 5 8 2 3 2" xfId="24580" xr:uid="{00000000-0005-0000-0000-0000D12E0000}"/>
    <cellStyle name="20% - Accent6 2 5 8 2 3 3" xfId="33457" xr:uid="{00000000-0005-0000-0000-0000D22E0000}"/>
    <cellStyle name="20% - Accent6 2 5 8 2 4" xfId="15756" xr:uid="{00000000-0005-0000-0000-0000D32E0000}"/>
    <cellStyle name="20% - Accent6 2 5 8 2 4 2" xfId="26799" xr:uid="{00000000-0005-0000-0000-0000D42E0000}"/>
    <cellStyle name="20% - Accent6 2 5 8 2 4 3" xfId="35676" xr:uid="{00000000-0005-0000-0000-0000D52E0000}"/>
    <cellStyle name="20% - Accent6 2 5 8 2 5" xfId="20142" xr:uid="{00000000-0005-0000-0000-0000D62E0000}"/>
    <cellStyle name="20% - Accent6 2 5 8 2 6" xfId="29019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8" xr:uid="{00000000-0005-0000-0000-0000DA2E0000}"/>
    <cellStyle name="20% - Accent6 2 5 8 3 2 3" xfId="30505" xr:uid="{00000000-0005-0000-0000-0000DB2E0000}"/>
    <cellStyle name="20% - Accent6 2 5 8 3 3" xfId="12573" xr:uid="{00000000-0005-0000-0000-0000DC2E0000}"/>
    <cellStyle name="20% - Accent6 2 5 8 3 3 2" xfId="23847" xr:uid="{00000000-0005-0000-0000-0000DD2E0000}"/>
    <cellStyle name="20% - Accent6 2 5 8 3 3 3" xfId="32724" xr:uid="{00000000-0005-0000-0000-0000DE2E0000}"/>
    <cellStyle name="20% - Accent6 2 5 8 3 4" xfId="15023" xr:uid="{00000000-0005-0000-0000-0000DF2E0000}"/>
    <cellStyle name="20% - Accent6 2 5 8 3 4 2" xfId="26066" xr:uid="{00000000-0005-0000-0000-0000E02E0000}"/>
    <cellStyle name="20% - Accent6 2 5 8 3 4 3" xfId="34943" xr:uid="{00000000-0005-0000-0000-0000E12E0000}"/>
    <cellStyle name="20% - Accent6 2 5 8 3 5" xfId="19409" xr:uid="{00000000-0005-0000-0000-0000E22E0000}"/>
    <cellStyle name="20% - Accent6 2 5 8 3 6" xfId="28286" xr:uid="{00000000-0005-0000-0000-0000E32E0000}"/>
    <cellStyle name="20% - Accent6 2 5 8 4" xfId="9382" xr:uid="{00000000-0005-0000-0000-0000E42E0000}"/>
    <cellStyle name="20% - Accent6 2 5 8 4 2" xfId="20885" xr:uid="{00000000-0005-0000-0000-0000E52E0000}"/>
    <cellStyle name="20% - Accent6 2 5 8 4 3" xfId="29762" xr:uid="{00000000-0005-0000-0000-0000E62E0000}"/>
    <cellStyle name="20% - Accent6 2 5 8 5" xfId="11830" xr:uid="{00000000-0005-0000-0000-0000E72E0000}"/>
    <cellStyle name="20% - Accent6 2 5 8 5 2" xfId="23104" xr:uid="{00000000-0005-0000-0000-0000E82E0000}"/>
    <cellStyle name="20% - Accent6 2 5 8 5 3" xfId="31981" xr:uid="{00000000-0005-0000-0000-0000E92E0000}"/>
    <cellStyle name="20% - Accent6 2 5 8 6" xfId="14051" xr:uid="{00000000-0005-0000-0000-0000EA2E0000}"/>
    <cellStyle name="20% - Accent6 2 5 8 6 2" xfId="25323" xr:uid="{00000000-0005-0000-0000-0000EB2E0000}"/>
    <cellStyle name="20% - Accent6 2 5 8 6 3" xfId="34200" xr:uid="{00000000-0005-0000-0000-0000EC2E0000}"/>
    <cellStyle name="20% - Accent6 2 5 8 7" xfId="18660" xr:uid="{00000000-0005-0000-0000-0000ED2E0000}"/>
    <cellStyle name="20% - Accent6 2 5 8 8" xfId="27541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2" xr:uid="{00000000-0005-0000-0000-0000F22E0000}"/>
    <cellStyle name="20% - Accent6 2 5 9 2 2 3" xfId="31239" xr:uid="{00000000-0005-0000-0000-0000F32E0000}"/>
    <cellStyle name="20% - Accent6 2 5 9 2 3" xfId="13307" xr:uid="{00000000-0005-0000-0000-0000F42E0000}"/>
    <cellStyle name="20% - Accent6 2 5 9 2 3 2" xfId="24581" xr:uid="{00000000-0005-0000-0000-0000F52E0000}"/>
    <cellStyle name="20% - Accent6 2 5 9 2 3 3" xfId="33458" xr:uid="{00000000-0005-0000-0000-0000F62E0000}"/>
    <cellStyle name="20% - Accent6 2 5 9 2 4" xfId="15757" xr:uid="{00000000-0005-0000-0000-0000F72E0000}"/>
    <cellStyle name="20% - Accent6 2 5 9 2 4 2" xfId="26800" xr:uid="{00000000-0005-0000-0000-0000F82E0000}"/>
    <cellStyle name="20% - Accent6 2 5 9 2 4 3" xfId="35677" xr:uid="{00000000-0005-0000-0000-0000F92E0000}"/>
    <cellStyle name="20% - Accent6 2 5 9 2 5" xfId="20143" xr:uid="{00000000-0005-0000-0000-0000FA2E0000}"/>
    <cellStyle name="20% - Accent6 2 5 9 2 6" xfId="29020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29" xr:uid="{00000000-0005-0000-0000-0000FE2E0000}"/>
    <cellStyle name="20% - Accent6 2 5 9 3 2 3" xfId="30506" xr:uid="{00000000-0005-0000-0000-0000FF2E0000}"/>
    <cellStyle name="20% - Accent6 2 5 9 3 3" xfId="12574" xr:uid="{00000000-0005-0000-0000-0000002F0000}"/>
    <cellStyle name="20% - Accent6 2 5 9 3 3 2" xfId="23848" xr:uid="{00000000-0005-0000-0000-0000012F0000}"/>
    <cellStyle name="20% - Accent6 2 5 9 3 3 3" xfId="32725" xr:uid="{00000000-0005-0000-0000-0000022F0000}"/>
    <cellStyle name="20% - Accent6 2 5 9 3 4" xfId="15024" xr:uid="{00000000-0005-0000-0000-0000032F0000}"/>
    <cellStyle name="20% - Accent6 2 5 9 3 4 2" xfId="26067" xr:uid="{00000000-0005-0000-0000-0000042F0000}"/>
    <cellStyle name="20% - Accent6 2 5 9 3 4 3" xfId="34944" xr:uid="{00000000-0005-0000-0000-0000052F0000}"/>
    <cellStyle name="20% - Accent6 2 5 9 3 5" xfId="19410" xr:uid="{00000000-0005-0000-0000-0000062F0000}"/>
    <cellStyle name="20% - Accent6 2 5 9 3 6" xfId="28287" xr:uid="{00000000-0005-0000-0000-0000072F0000}"/>
    <cellStyle name="20% - Accent6 2 5 9 4" xfId="9383" xr:uid="{00000000-0005-0000-0000-0000082F0000}"/>
    <cellStyle name="20% - Accent6 2 5 9 4 2" xfId="20886" xr:uid="{00000000-0005-0000-0000-0000092F0000}"/>
    <cellStyle name="20% - Accent6 2 5 9 4 3" xfId="29763" xr:uid="{00000000-0005-0000-0000-00000A2F0000}"/>
    <cellStyle name="20% - Accent6 2 5 9 5" xfId="11831" xr:uid="{00000000-0005-0000-0000-00000B2F0000}"/>
    <cellStyle name="20% - Accent6 2 5 9 5 2" xfId="23105" xr:uid="{00000000-0005-0000-0000-00000C2F0000}"/>
    <cellStyle name="20% - Accent6 2 5 9 5 3" xfId="31982" xr:uid="{00000000-0005-0000-0000-00000D2F0000}"/>
    <cellStyle name="20% - Accent6 2 5 9 6" xfId="14052" xr:uid="{00000000-0005-0000-0000-00000E2F0000}"/>
    <cellStyle name="20% - Accent6 2 5 9 6 2" xfId="25324" xr:uid="{00000000-0005-0000-0000-00000F2F0000}"/>
    <cellStyle name="20% - Accent6 2 5 9 6 3" xfId="34201" xr:uid="{00000000-0005-0000-0000-0000102F0000}"/>
    <cellStyle name="20% - Accent6 2 5 9 7" xfId="18661" xr:uid="{00000000-0005-0000-0000-0000112F0000}"/>
    <cellStyle name="20% - Accent6 2 5 9 8" xfId="27542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3" xr:uid="{00000000-0005-0000-0000-0000162F0000}"/>
    <cellStyle name="20% - Accent6 2 6 2 2 3" xfId="31240" xr:uid="{00000000-0005-0000-0000-0000172F0000}"/>
    <cellStyle name="20% - Accent6 2 6 2 3" xfId="13308" xr:uid="{00000000-0005-0000-0000-0000182F0000}"/>
    <cellStyle name="20% - Accent6 2 6 2 3 2" xfId="24582" xr:uid="{00000000-0005-0000-0000-0000192F0000}"/>
    <cellStyle name="20% - Accent6 2 6 2 3 3" xfId="33459" xr:uid="{00000000-0005-0000-0000-00001A2F0000}"/>
    <cellStyle name="20% - Accent6 2 6 2 4" xfId="15758" xr:uid="{00000000-0005-0000-0000-00001B2F0000}"/>
    <cellStyle name="20% - Accent6 2 6 2 4 2" xfId="26801" xr:uid="{00000000-0005-0000-0000-00001C2F0000}"/>
    <cellStyle name="20% - Accent6 2 6 2 4 3" xfId="35678" xr:uid="{00000000-0005-0000-0000-00001D2F0000}"/>
    <cellStyle name="20% - Accent6 2 6 2 5" xfId="20144" xr:uid="{00000000-0005-0000-0000-00001E2F0000}"/>
    <cellStyle name="20% - Accent6 2 6 2 6" xfId="29021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0" xr:uid="{00000000-0005-0000-0000-0000222F0000}"/>
    <cellStyle name="20% - Accent6 2 6 3 2 3" xfId="30507" xr:uid="{00000000-0005-0000-0000-0000232F0000}"/>
    <cellStyle name="20% - Accent6 2 6 3 3" xfId="12575" xr:uid="{00000000-0005-0000-0000-0000242F0000}"/>
    <cellStyle name="20% - Accent6 2 6 3 3 2" xfId="23849" xr:uid="{00000000-0005-0000-0000-0000252F0000}"/>
    <cellStyle name="20% - Accent6 2 6 3 3 3" xfId="32726" xr:uid="{00000000-0005-0000-0000-0000262F0000}"/>
    <cellStyle name="20% - Accent6 2 6 3 4" xfId="15025" xr:uid="{00000000-0005-0000-0000-0000272F0000}"/>
    <cellStyle name="20% - Accent6 2 6 3 4 2" xfId="26068" xr:uid="{00000000-0005-0000-0000-0000282F0000}"/>
    <cellStyle name="20% - Accent6 2 6 3 4 3" xfId="34945" xr:uid="{00000000-0005-0000-0000-0000292F0000}"/>
    <cellStyle name="20% - Accent6 2 6 3 5" xfId="19411" xr:uid="{00000000-0005-0000-0000-00002A2F0000}"/>
    <cellStyle name="20% - Accent6 2 6 3 6" xfId="28288" xr:uid="{00000000-0005-0000-0000-00002B2F0000}"/>
    <cellStyle name="20% - Accent6 2 6 4" xfId="9384" xr:uid="{00000000-0005-0000-0000-00002C2F0000}"/>
    <cellStyle name="20% - Accent6 2 6 4 2" xfId="20887" xr:uid="{00000000-0005-0000-0000-00002D2F0000}"/>
    <cellStyle name="20% - Accent6 2 6 4 3" xfId="29764" xr:uid="{00000000-0005-0000-0000-00002E2F0000}"/>
    <cellStyle name="20% - Accent6 2 6 5" xfId="11832" xr:uid="{00000000-0005-0000-0000-00002F2F0000}"/>
    <cellStyle name="20% - Accent6 2 6 5 2" xfId="23106" xr:uid="{00000000-0005-0000-0000-0000302F0000}"/>
    <cellStyle name="20% - Accent6 2 6 5 3" xfId="31983" xr:uid="{00000000-0005-0000-0000-0000312F0000}"/>
    <cellStyle name="20% - Accent6 2 6 6" xfId="14053" xr:uid="{00000000-0005-0000-0000-0000322F0000}"/>
    <cellStyle name="20% - Accent6 2 6 6 2" xfId="25325" xr:uid="{00000000-0005-0000-0000-0000332F0000}"/>
    <cellStyle name="20% - Accent6 2 6 6 3" xfId="34202" xr:uid="{00000000-0005-0000-0000-0000342F0000}"/>
    <cellStyle name="20% - Accent6 2 6 7" xfId="18662" xr:uid="{00000000-0005-0000-0000-0000352F0000}"/>
    <cellStyle name="20% - Accent6 2 6 8" xfId="27543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4" xr:uid="{00000000-0005-0000-0000-00003A2F0000}"/>
    <cellStyle name="20% - Accent6 2 7 2 2 3" xfId="31241" xr:uid="{00000000-0005-0000-0000-00003B2F0000}"/>
    <cellStyle name="20% - Accent6 2 7 2 3" xfId="13309" xr:uid="{00000000-0005-0000-0000-00003C2F0000}"/>
    <cellStyle name="20% - Accent6 2 7 2 3 2" xfId="24583" xr:uid="{00000000-0005-0000-0000-00003D2F0000}"/>
    <cellStyle name="20% - Accent6 2 7 2 3 3" xfId="33460" xr:uid="{00000000-0005-0000-0000-00003E2F0000}"/>
    <cellStyle name="20% - Accent6 2 7 2 4" xfId="15759" xr:uid="{00000000-0005-0000-0000-00003F2F0000}"/>
    <cellStyle name="20% - Accent6 2 7 2 4 2" xfId="26802" xr:uid="{00000000-0005-0000-0000-0000402F0000}"/>
    <cellStyle name="20% - Accent6 2 7 2 4 3" xfId="35679" xr:uid="{00000000-0005-0000-0000-0000412F0000}"/>
    <cellStyle name="20% - Accent6 2 7 2 5" xfId="20145" xr:uid="{00000000-0005-0000-0000-0000422F0000}"/>
    <cellStyle name="20% - Accent6 2 7 2 6" xfId="29022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1" xr:uid="{00000000-0005-0000-0000-0000462F0000}"/>
    <cellStyle name="20% - Accent6 2 7 3 2 3" xfId="30508" xr:uid="{00000000-0005-0000-0000-0000472F0000}"/>
    <cellStyle name="20% - Accent6 2 7 3 3" xfId="12576" xr:uid="{00000000-0005-0000-0000-0000482F0000}"/>
    <cellStyle name="20% - Accent6 2 7 3 3 2" xfId="23850" xr:uid="{00000000-0005-0000-0000-0000492F0000}"/>
    <cellStyle name="20% - Accent6 2 7 3 3 3" xfId="32727" xr:uid="{00000000-0005-0000-0000-00004A2F0000}"/>
    <cellStyle name="20% - Accent6 2 7 3 4" xfId="15026" xr:uid="{00000000-0005-0000-0000-00004B2F0000}"/>
    <cellStyle name="20% - Accent6 2 7 3 4 2" xfId="26069" xr:uid="{00000000-0005-0000-0000-00004C2F0000}"/>
    <cellStyle name="20% - Accent6 2 7 3 4 3" xfId="34946" xr:uid="{00000000-0005-0000-0000-00004D2F0000}"/>
    <cellStyle name="20% - Accent6 2 7 3 5" xfId="19412" xr:uid="{00000000-0005-0000-0000-00004E2F0000}"/>
    <cellStyle name="20% - Accent6 2 7 3 6" xfId="28289" xr:uid="{00000000-0005-0000-0000-00004F2F0000}"/>
    <cellStyle name="20% - Accent6 2 7 4" xfId="9385" xr:uid="{00000000-0005-0000-0000-0000502F0000}"/>
    <cellStyle name="20% - Accent6 2 7 4 2" xfId="20888" xr:uid="{00000000-0005-0000-0000-0000512F0000}"/>
    <cellStyle name="20% - Accent6 2 7 4 3" xfId="29765" xr:uid="{00000000-0005-0000-0000-0000522F0000}"/>
    <cellStyle name="20% - Accent6 2 7 5" xfId="11833" xr:uid="{00000000-0005-0000-0000-0000532F0000}"/>
    <cellStyle name="20% - Accent6 2 7 5 2" xfId="23107" xr:uid="{00000000-0005-0000-0000-0000542F0000}"/>
    <cellStyle name="20% - Accent6 2 7 5 3" xfId="31984" xr:uid="{00000000-0005-0000-0000-0000552F0000}"/>
    <cellStyle name="20% - Accent6 2 7 6" xfId="14054" xr:uid="{00000000-0005-0000-0000-0000562F0000}"/>
    <cellStyle name="20% - Accent6 2 7 6 2" xfId="25326" xr:uid="{00000000-0005-0000-0000-0000572F0000}"/>
    <cellStyle name="20% - Accent6 2 7 6 3" xfId="34203" xr:uid="{00000000-0005-0000-0000-0000582F0000}"/>
    <cellStyle name="20% - Accent6 2 7 7" xfId="18663" xr:uid="{00000000-0005-0000-0000-0000592F0000}"/>
    <cellStyle name="20% - Accent6 2 7 8" xfId="27544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5" xr:uid="{00000000-0005-0000-0000-00005E2F0000}"/>
    <cellStyle name="20% - Accent6 2 8 2 2 3" xfId="31242" xr:uid="{00000000-0005-0000-0000-00005F2F0000}"/>
    <cellStyle name="20% - Accent6 2 8 2 3" xfId="13310" xr:uid="{00000000-0005-0000-0000-0000602F0000}"/>
    <cellStyle name="20% - Accent6 2 8 2 3 2" xfId="24584" xr:uid="{00000000-0005-0000-0000-0000612F0000}"/>
    <cellStyle name="20% - Accent6 2 8 2 3 3" xfId="33461" xr:uid="{00000000-0005-0000-0000-0000622F0000}"/>
    <cellStyle name="20% - Accent6 2 8 2 4" xfId="15760" xr:uid="{00000000-0005-0000-0000-0000632F0000}"/>
    <cellStyle name="20% - Accent6 2 8 2 4 2" xfId="26803" xr:uid="{00000000-0005-0000-0000-0000642F0000}"/>
    <cellStyle name="20% - Accent6 2 8 2 4 3" xfId="35680" xr:uid="{00000000-0005-0000-0000-0000652F0000}"/>
    <cellStyle name="20% - Accent6 2 8 2 5" xfId="20146" xr:uid="{00000000-0005-0000-0000-0000662F0000}"/>
    <cellStyle name="20% - Accent6 2 8 2 6" xfId="29023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2" xr:uid="{00000000-0005-0000-0000-00006A2F0000}"/>
    <cellStyle name="20% - Accent6 2 8 3 2 3" xfId="30509" xr:uid="{00000000-0005-0000-0000-00006B2F0000}"/>
    <cellStyle name="20% - Accent6 2 8 3 3" xfId="12577" xr:uid="{00000000-0005-0000-0000-00006C2F0000}"/>
    <cellStyle name="20% - Accent6 2 8 3 3 2" xfId="23851" xr:uid="{00000000-0005-0000-0000-00006D2F0000}"/>
    <cellStyle name="20% - Accent6 2 8 3 3 3" xfId="32728" xr:uid="{00000000-0005-0000-0000-00006E2F0000}"/>
    <cellStyle name="20% - Accent6 2 8 3 4" xfId="15027" xr:uid="{00000000-0005-0000-0000-00006F2F0000}"/>
    <cellStyle name="20% - Accent6 2 8 3 4 2" xfId="26070" xr:uid="{00000000-0005-0000-0000-0000702F0000}"/>
    <cellStyle name="20% - Accent6 2 8 3 4 3" xfId="34947" xr:uid="{00000000-0005-0000-0000-0000712F0000}"/>
    <cellStyle name="20% - Accent6 2 8 3 5" xfId="19413" xr:uid="{00000000-0005-0000-0000-0000722F0000}"/>
    <cellStyle name="20% - Accent6 2 8 3 6" xfId="28290" xr:uid="{00000000-0005-0000-0000-0000732F0000}"/>
    <cellStyle name="20% - Accent6 2 8 4" xfId="9386" xr:uid="{00000000-0005-0000-0000-0000742F0000}"/>
    <cellStyle name="20% - Accent6 2 8 4 2" xfId="20889" xr:uid="{00000000-0005-0000-0000-0000752F0000}"/>
    <cellStyle name="20% - Accent6 2 8 4 3" xfId="29766" xr:uid="{00000000-0005-0000-0000-0000762F0000}"/>
    <cellStyle name="20% - Accent6 2 8 5" xfId="11834" xr:uid="{00000000-0005-0000-0000-0000772F0000}"/>
    <cellStyle name="20% - Accent6 2 8 5 2" xfId="23108" xr:uid="{00000000-0005-0000-0000-0000782F0000}"/>
    <cellStyle name="20% - Accent6 2 8 5 3" xfId="31985" xr:uid="{00000000-0005-0000-0000-0000792F0000}"/>
    <cellStyle name="20% - Accent6 2 8 6" xfId="14055" xr:uid="{00000000-0005-0000-0000-00007A2F0000}"/>
    <cellStyle name="20% - Accent6 2 8 6 2" xfId="25327" xr:uid="{00000000-0005-0000-0000-00007B2F0000}"/>
    <cellStyle name="20% - Accent6 2 8 6 3" xfId="34204" xr:uid="{00000000-0005-0000-0000-00007C2F0000}"/>
    <cellStyle name="20% - Accent6 2 8 7" xfId="18664" xr:uid="{00000000-0005-0000-0000-00007D2F0000}"/>
    <cellStyle name="20% - Accent6 2 8 8" xfId="27545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6" xr:uid="{00000000-0005-0000-0000-0000822F0000}"/>
    <cellStyle name="20% - Accent6 2 9 2 2 3" xfId="31243" xr:uid="{00000000-0005-0000-0000-0000832F0000}"/>
    <cellStyle name="20% - Accent6 2 9 2 3" xfId="13311" xr:uid="{00000000-0005-0000-0000-0000842F0000}"/>
    <cellStyle name="20% - Accent6 2 9 2 3 2" xfId="24585" xr:uid="{00000000-0005-0000-0000-0000852F0000}"/>
    <cellStyle name="20% - Accent6 2 9 2 3 3" xfId="33462" xr:uid="{00000000-0005-0000-0000-0000862F0000}"/>
    <cellStyle name="20% - Accent6 2 9 2 4" xfId="15761" xr:uid="{00000000-0005-0000-0000-0000872F0000}"/>
    <cellStyle name="20% - Accent6 2 9 2 4 2" xfId="26804" xr:uid="{00000000-0005-0000-0000-0000882F0000}"/>
    <cellStyle name="20% - Accent6 2 9 2 4 3" xfId="35681" xr:uid="{00000000-0005-0000-0000-0000892F0000}"/>
    <cellStyle name="20% - Accent6 2 9 2 5" xfId="20147" xr:uid="{00000000-0005-0000-0000-00008A2F0000}"/>
    <cellStyle name="20% - Accent6 2 9 2 6" xfId="29024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3" xr:uid="{00000000-0005-0000-0000-00008E2F0000}"/>
    <cellStyle name="20% - Accent6 2 9 3 2 3" xfId="30510" xr:uid="{00000000-0005-0000-0000-00008F2F0000}"/>
    <cellStyle name="20% - Accent6 2 9 3 3" xfId="12578" xr:uid="{00000000-0005-0000-0000-0000902F0000}"/>
    <cellStyle name="20% - Accent6 2 9 3 3 2" xfId="23852" xr:uid="{00000000-0005-0000-0000-0000912F0000}"/>
    <cellStyle name="20% - Accent6 2 9 3 3 3" xfId="32729" xr:uid="{00000000-0005-0000-0000-0000922F0000}"/>
    <cellStyle name="20% - Accent6 2 9 3 4" xfId="15028" xr:uid="{00000000-0005-0000-0000-0000932F0000}"/>
    <cellStyle name="20% - Accent6 2 9 3 4 2" xfId="26071" xr:uid="{00000000-0005-0000-0000-0000942F0000}"/>
    <cellStyle name="20% - Accent6 2 9 3 4 3" xfId="34948" xr:uid="{00000000-0005-0000-0000-0000952F0000}"/>
    <cellStyle name="20% - Accent6 2 9 3 5" xfId="19414" xr:uid="{00000000-0005-0000-0000-0000962F0000}"/>
    <cellStyle name="20% - Accent6 2 9 3 6" xfId="28291" xr:uid="{00000000-0005-0000-0000-0000972F0000}"/>
    <cellStyle name="20% - Accent6 2 9 4" xfId="9387" xr:uid="{00000000-0005-0000-0000-0000982F0000}"/>
    <cellStyle name="20% - Accent6 2 9 4 2" xfId="20890" xr:uid="{00000000-0005-0000-0000-0000992F0000}"/>
    <cellStyle name="20% - Accent6 2 9 4 3" xfId="29767" xr:uid="{00000000-0005-0000-0000-00009A2F0000}"/>
    <cellStyle name="20% - Accent6 2 9 5" xfId="11835" xr:uid="{00000000-0005-0000-0000-00009B2F0000}"/>
    <cellStyle name="20% - Accent6 2 9 5 2" xfId="23109" xr:uid="{00000000-0005-0000-0000-00009C2F0000}"/>
    <cellStyle name="20% - Accent6 2 9 5 3" xfId="31986" xr:uid="{00000000-0005-0000-0000-00009D2F0000}"/>
    <cellStyle name="20% - Accent6 2 9 6" xfId="14056" xr:uid="{00000000-0005-0000-0000-00009E2F0000}"/>
    <cellStyle name="20% - Accent6 2 9 6 2" xfId="25328" xr:uid="{00000000-0005-0000-0000-00009F2F0000}"/>
    <cellStyle name="20% - Accent6 2 9 6 3" xfId="34205" xr:uid="{00000000-0005-0000-0000-0000A02F0000}"/>
    <cellStyle name="20% - Accent6 2 9 7" xfId="18665" xr:uid="{00000000-0005-0000-0000-0000A12F0000}"/>
    <cellStyle name="20% - Accent6 2 9 8" xfId="27546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7" xr:uid="{00000000-0005-0000-0000-0000B02F0000}"/>
    <cellStyle name="20% - Accent6 3 2 2 2 3" xfId="31244" xr:uid="{00000000-0005-0000-0000-0000B12F0000}"/>
    <cellStyle name="20% - Accent6 3 2 2 3" xfId="13312" xr:uid="{00000000-0005-0000-0000-0000B22F0000}"/>
    <cellStyle name="20% - Accent6 3 2 2 3 2" xfId="24586" xr:uid="{00000000-0005-0000-0000-0000B32F0000}"/>
    <cellStyle name="20% - Accent6 3 2 2 3 3" xfId="33463" xr:uid="{00000000-0005-0000-0000-0000B42F0000}"/>
    <cellStyle name="20% - Accent6 3 2 2 4" xfId="15762" xr:uid="{00000000-0005-0000-0000-0000B52F0000}"/>
    <cellStyle name="20% - Accent6 3 2 2 4 2" xfId="26805" xr:uid="{00000000-0005-0000-0000-0000B62F0000}"/>
    <cellStyle name="20% - Accent6 3 2 2 4 3" xfId="35682" xr:uid="{00000000-0005-0000-0000-0000B72F0000}"/>
    <cellStyle name="20% - Accent6 3 2 2 5" xfId="20148" xr:uid="{00000000-0005-0000-0000-0000B82F0000}"/>
    <cellStyle name="20% - Accent6 3 2 2 6" xfId="29025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4" xr:uid="{00000000-0005-0000-0000-0000BC2F0000}"/>
    <cellStyle name="20% - Accent6 3 2 3 2 3" xfId="30511" xr:uid="{00000000-0005-0000-0000-0000BD2F0000}"/>
    <cellStyle name="20% - Accent6 3 2 3 3" xfId="12579" xr:uid="{00000000-0005-0000-0000-0000BE2F0000}"/>
    <cellStyle name="20% - Accent6 3 2 3 3 2" xfId="23853" xr:uid="{00000000-0005-0000-0000-0000BF2F0000}"/>
    <cellStyle name="20% - Accent6 3 2 3 3 3" xfId="32730" xr:uid="{00000000-0005-0000-0000-0000C02F0000}"/>
    <cellStyle name="20% - Accent6 3 2 3 4" xfId="15029" xr:uid="{00000000-0005-0000-0000-0000C12F0000}"/>
    <cellStyle name="20% - Accent6 3 2 3 4 2" xfId="26072" xr:uid="{00000000-0005-0000-0000-0000C22F0000}"/>
    <cellStyle name="20% - Accent6 3 2 3 4 3" xfId="34949" xr:uid="{00000000-0005-0000-0000-0000C32F0000}"/>
    <cellStyle name="20% - Accent6 3 2 3 5" xfId="19415" xr:uid="{00000000-0005-0000-0000-0000C42F0000}"/>
    <cellStyle name="20% - Accent6 3 2 3 6" xfId="28292" xr:uid="{00000000-0005-0000-0000-0000C52F0000}"/>
    <cellStyle name="20% - Accent6 3 2 4" xfId="9388" xr:uid="{00000000-0005-0000-0000-0000C62F0000}"/>
    <cellStyle name="20% - Accent6 3 2 4 2" xfId="20891" xr:uid="{00000000-0005-0000-0000-0000C72F0000}"/>
    <cellStyle name="20% - Accent6 3 2 4 3" xfId="29768" xr:uid="{00000000-0005-0000-0000-0000C82F0000}"/>
    <cellStyle name="20% - Accent6 3 2 5" xfId="11836" xr:uid="{00000000-0005-0000-0000-0000C92F0000}"/>
    <cellStyle name="20% - Accent6 3 2 5 2" xfId="23110" xr:uid="{00000000-0005-0000-0000-0000CA2F0000}"/>
    <cellStyle name="20% - Accent6 3 2 5 3" xfId="31987" xr:uid="{00000000-0005-0000-0000-0000CB2F0000}"/>
    <cellStyle name="20% - Accent6 3 2 6" xfId="14057" xr:uid="{00000000-0005-0000-0000-0000CC2F0000}"/>
    <cellStyle name="20% - Accent6 3 2 6 2" xfId="25329" xr:uid="{00000000-0005-0000-0000-0000CD2F0000}"/>
    <cellStyle name="20% - Accent6 3 2 6 3" xfId="34206" xr:uid="{00000000-0005-0000-0000-0000CE2F0000}"/>
    <cellStyle name="20% - Accent6 3 2 7" xfId="18666" xr:uid="{00000000-0005-0000-0000-0000CF2F0000}"/>
    <cellStyle name="20% - Accent6 3 2 8" xfId="27547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8" xr:uid="{00000000-0005-0000-0000-0000D42F0000}"/>
    <cellStyle name="20% - Accent6 3 3 2 2 3" xfId="31245" xr:uid="{00000000-0005-0000-0000-0000D52F0000}"/>
    <cellStyle name="20% - Accent6 3 3 2 3" xfId="13313" xr:uid="{00000000-0005-0000-0000-0000D62F0000}"/>
    <cellStyle name="20% - Accent6 3 3 2 3 2" xfId="24587" xr:uid="{00000000-0005-0000-0000-0000D72F0000}"/>
    <cellStyle name="20% - Accent6 3 3 2 3 3" xfId="33464" xr:uid="{00000000-0005-0000-0000-0000D82F0000}"/>
    <cellStyle name="20% - Accent6 3 3 2 4" xfId="15763" xr:uid="{00000000-0005-0000-0000-0000D92F0000}"/>
    <cellStyle name="20% - Accent6 3 3 2 4 2" xfId="26806" xr:uid="{00000000-0005-0000-0000-0000DA2F0000}"/>
    <cellStyle name="20% - Accent6 3 3 2 4 3" xfId="35683" xr:uid="{00000000-0005-0000-0000-0000DB2F0000}"/>
    <cellStyle name="20% - Accent6 3 3 2 5" xfId="20149" xr:uid="{00000000-0005-0000-0000-0000DC2F0000}"/>
    <cellStyle name="20% - Accent6 3 3 2 6" xfId="29026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5" xr:uid="{00000000-0005-0000-0000-0000E02F0000}"/>
    <cellStyle name="20% - Accent6 3 3 3 2 3" xfId="30512" xr:uid="{00000000-0005-0000-0000-0000E12F0000}"/>
    <cellStyle name="20% - Accent6 3 3 3 3" xfId="12580" xr:uid="{00000000-0005-0000-0000-0000E22F0000}"/>
    <cellStyle name="20% - Accent6 3 3 3 3 2" xfId="23854" xr:uid="{00000000-0005-0000-0000-0000E32F0000}"/>
    <cellStyle name="20% - Accent6 3 3 3 3 3" xfId="32731" xr:uid="{00000000-0005-0000-0000-0000E42F0000}"/>
    <cellStyle name="20% - Accent6 3 3 3 4" xfId="15030" xr:uid="{00000000-0005-0000-0000-0000E52F0000}"/>
    <cellStyle name="20% - Accent6 3 3 3 4 2" xfId="26073" xr:uid="{00000000-0005-0000-0000-0000E62F0000}"/>
    <cellStyle name="20% - Accent6 3 3 3 4 3" xfId="34950" xr:uid="{00000000-0005-0000-0000-0000E72F0000}"/>
    <cellStyle name="20% - Accent6 3 3 3 5" xfId="19416" xr:uid="{00000000-0005-0000-0000-0000E82F0000}"/>
    <cellStyle name="20% - Accent6 3 3 3 6" xfId="28293" xr:uid="{00000000-0005-0000-0000-0000E92F0000}"/>
    <cellStyle name="20% - Accent6 3 3 4" xfId="9389" xr:uid="{00000000-0005-0000-0000-0000EA2F0000}"/>
    <cellStyle name="20% - Accent6 3 3 4 2" xfId="20892" xr:uid="{00000000-0005-0000-0000-0000EB2F0000}"/>
    <cellStyle name="20% - Accent6 3 3 4 3" xfId="29769" xr:uid="{00000000-0005-0000-0000-0000EC2F0000}"/>
    <cellStyle name="20% - Accent6 3 3 5" xfId="11837" xr:uid="{00000000-0005-0000-0000-0000ED2F0000}"/>
    <cellStyle name="20% - Accent6 3 3 5 2" xfId="23111" xr:uid="{00000000-0005-0000-0000-0000EE2F0000}"/>
    <cellStyle name="20% - Accent6 3 3 5 3" xfId="31988" xr:uid="{00000000-0005-0000-0000-0000EF2F0000}"/>
    <cellStyle name="20% - Accent6 3 3 6" xfId="14058" xr:uid="{00000000-0005-0000-0000-0000F02F0000}"/>
    <cellStyle name="20% - Accent6 3 3 6 2" xfId="25330" xr:uid="{00000000-0005-0000-0000-0000F12F0000}"/>
    <cellStyle name="20% - Accent6 3 3 6 3" xfId="34207" xr:uid="{00000000-0005-0000-0000-0000F22F0000}"/>
    <cellStyle name="20% - Accent6 3 3 7" xfId="18667" xr:uid="{00000000-0005-0000-0000-0000F32F0000}"/>
    <cellStyle name="20% - Accent6 3 3 8" xfId="27548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69" xr:uid="{00000000-0005-0000-0000-0000F82F0000}"/>
    <cellStyle name="20% - Accent6 3 4 2 2 3" xfId="31246" xr:uid="{00000000-0005-0000-0000-0000F92F0000}"/>
    <cellStyle name="20% - Accent6 3 4 2 3" xfId="13314" xr:uid="{00000000-0005-0000-0000-0000FA2F0000}"/>
    <cellStyle name="20% - Accent6 3 4 2 3 2" xfId="24588" xr:uid="{00000000-0005-0000-0000-0000FB2F0000}"/>
    <cellStyle name="20% - Accent6 3 4 2 3 3" xfId="33465" xr:uid="{00000000-0005-0000-0000-0000FC2F0000}"/>
    <cellStyle name="20% - Accent6 3 4 2 4" xfId="15764" xr:uid="{00000000-0005-0000-0000-0000FD2F0000}"/>
    <cellStyle name="20% - Accent6 3 4 2 4 2" xfId="26807" xr:uid="{00000000-0005-0000-0000-0000FE2F0000}"/>
    <cellStyle name="20% - Accent6 3 4 2 4 3" xfId="35684" xr:uid="{00000000-0005-0000-0000-0000FF2F0000}"/>
    <cellStyle name="20% - Accent6 3 4 2 5" xfId="20150" xr:uid="{00000000-0005-0000-0000-000000300000}"/>
    <cellStyle name="20% - Accent6 3 4 2 6" xfId="29027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6" xr:uid="{00000000-0005-0000-0000-000004300000}"/>
    <cellStyle name="20% - Accent6 3 4 3 2 3" xfId="30513" xr:uid="{00000000-0005-0000-0000-000005300000}"/>
    <cellStyle name="20% - Accent6 3 4 3 3" xfId="12581" xr:uid="{00000000-0005-0000-0000-000006300000}"/>
    <cellStyle name="20% - Accent6 3 4 3 3 2" xfId="23855" xr:uid="{00000000-0005-0000-0000-000007300000}"/>
    <cellStyle name="20% - Accent6 3 4 3 3 3" xfId="32732" xr:uid="{00000000-0005-0000-0000-000008300000}"/>
    <cellStyle name="20% - Accent6 3 4 3 4" xfId="15031" xr:uid="{00000000-0005-0000-0000-000009300000}"/>
    <cellStyle name="20% - Accent6 3 4 3 4 2" xfId="26074" xr:uid="{00000000-0005-0000-0000-00000A300000}"/>
    <cellStyle name="20% - Accent6 3 4 3 4 3" xfId="34951" xr:uid="{00000000-0005-0000-0000-00000B300000}"/>
    <cellStyle name="20% - Accent6 3 4 3 5" xfId="19417" xr:uid="{00000000-0005-0000-0000-00000C300000}"/>
    <cellStyle name="20% - Accent6 3 4 3 6" xfId="28294" xr:uid="{00000000-0005-0000-0000-00000D300000}"/>
    <cellStyle name="20% - Accent6 3 4 4" xfId="9390" xr:uid="{00000000-0005-0000-0000-00000E300000}"/>
    <cellStyle name="20% - Accent6 3 4 4 2" xfId="20893" xr:uid="{00000000-0005-0000-0000-00000F300000}"/>
    <cellStyle name="20% - Accent6 3 4 4 3" xfId="29770" xr:uid="{00000000-0005-0000-0000-000010300000}"/>
    <cellStyle name="20% - Accent6 3 4 5" xfId="11838" xr:uid="{00000000-0005-0000-0000-000011300000}"/>
    <cellStyle name="20% - Accent6 3 4 5 2" xfId="23112" xr:uid="{00000000-0005-0000-0000-000012300000}"/>
    <cellStyle name="20% - Accent6 3 4 5 3" xfId="31989" xr:uid="{00000000-0005-0000-0000-000013300000}"/>
    <cellStyle name="20% - Accent6 3 4 6" xfId="14059" xr:uid="{00000000-0005-0000-0000-000014300000}"/>
    <cellStyle name="20% - Accent6 3 4 6 2" xfId="25331" xr:uid="{00000000-0005-0000-0000-000015300000}"/>
    <cellStyle name="20% - Accent6 3 4 6 3" xfId="34208" xr:uid="{00000000-0005-0000-0000-000016300000}"/>
    <cellStyle name="20% - Accent6 3 4 7" xfId="18668" xr:uid="{00000000-0005-0000-0000-000017300000}"/>
    <cellStyle name="20% - Accent6 3 4 8" xfId="27549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0" xr:uid="{00000000-0005-0000-0000-00001C300000}"/>
    <cellStyle name="20% - Accent6 3 5 2 2 3" xfId="31247" xr:uid="{00000000-0005-0000-0000-00001D300000}"/>
    <cellStyle name="20% - Accent6 3 5 2 3" xfId="13315" xr:uid="{00000000-0005-0000-0000-00001E300000}"/>
    <cellStyle name="20% - Accent6 3 5 2 3 2" xfId="24589" xr:uid="{00000000-0005-0000-0000-00001F300000}"/>
    <cellStyle name="20% - Accent6 3 5 2 3 3" xfId="33466" xr:uid="{00000000-0005-0000-0000-000020300000}"/>
    <cellStyle name="20% - Accent6 3 5 2 4" xfId="15765" xr:uid="{00000000-0005-0000-0000-000021300000}"/>
    <cellStyle name="20% - Accent6 3 5 2 4 2" xfId="26808" xr:uid="{00000000-0005-0000-0000-000022300000}"/>
    <cellStyle name="20% - Accent6 3 5 2 4 3" xfId="35685" xr:uid="{00000000-0005-0000-0000-000023300000}"/>
    <cellStyle name="20% - Accent6 3 5 2 5" xfId="20151" xr:uid="{00000000-0005-0000-0000-000024300000}"/>
    <cellStyle name="20% - Accent6 3 5 2 6" xfId="29028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7" xr:uid="{00000000-0005-0000-0000-000028300000}"/>
    <cellStyle name="20% - Accent6 3 5 3 2 3" xfId="30514" xr:uid="{00000000-0005-0000-0000-000029300000}"/>
    <cellStyle name="20% - Accent6 3 5 3 3" xfId="12582" xr:uid="{00000000-0005-0000-0000-00002A300000}"/>
    <cellStyle name="20% - Accent6 3 5 3 3 2" xfId="23856" xr:uid="{00000000-0005-0000-0000-00002B300000}"/>
    <cellStyle name="20% - Accent6 3 5 3 3 3" xfId="32733" xr:uid="{00000000-0005-0000-0000-00002C300000}"/>
    <cellStyle name="20% - Accent6 3 5 3 4" xfId="15032" xr:uid="{00000000-0005-0000-0000-00002D300000}"/>
    <cellStyle name="20% - Accent6 3 5 3 4 2" xfId="26075" xr:uid="{00000000-0005-0000-0000-00002E300000}"/>
    <cellStyle name="20% - Accent6 3 5 3 4 3" xfId="34952" xr:uid="{00000000-0005-0000-0000-00002F300000}"/>
    <cellStyle name="20% - Accent6 3 5 3 5" xfId="19418" xr:uid="{00000000-0005-0000-0000-000030300000}"/>
    <cellStyle name="20% - Accent6 3 5 3 6" xfId="28295" xr:uid="{00000000-0005-0000-0000-000031300000}"/>
    <cellStyle name="20% - Accent6 3 5 4" xfId="9391" xr:uid="{00000000-0005-0000-0000-000032300000}"/>
    <cellStyle name="20% - Accent6 3 5 4 2" xfId="20894" xr:uid="{00000000-0005-0000-0000-000033300000}"/>
    <cellStyle name="20% - Accent6 3 5 4 3" xfId="29771" xr:uid="{00000000-0005-0000-0000-000034300000}"/>
    <cellStyle name="20% - Accent6 3 5 5" xfId="11839" xr:uid="{00000000-0005-0000-0000-000035300000}"/>
    <cellStyle name="20% - Accent6 3 5 5 2" xfId="23113" xr:uid="{00000000-0005-0000-0000-000036300000}"/>
    <cellStyle name="20% - Accent6 3 5 5 3" xfId="31990" xr:uid="{00000000-0005-0000-0000-000037300000}"/>
    <cellStyle name="20% - Accent6 3 5 6" xfId="14060" xr:uid="{00000000-0005-0000-0000-000038300000}"/>
    <cellStyle name="20% - Accent6 3 5 6 2" xfId="25332" xr:uid="{00000000-0005-0000-0000-000039300000}"/>
    <cellStyle name="20% - Accent6 3 5 6 3" xfId="34209" xr:uid="{00000000-0005-0000-0000-00003A300000}"/>
    <cellStyle name="20% - Accent6 3 5 7" xfId="18669" xr:uid="{00000000-0005-0000-0000-00003B300000}"/>
    <cellStyle name="20% - Accent6 3 5 8" xfId="27550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4" xr:uid="{00000000-0005-0000-0000-000055300000}"/>
    <cellStyle name="20% - Accent6 7 10 3" xfId="31991" xr:uid="{00000000-0005-0000-0000-000056300000}"/>
    <cellStyle name="20% - Accent6 7 11" xfId="14061" xr:uid="{00000000-0005-0000-0000-000057300000}"/>
    <cellStyle name="20% - Accent6 7 11 2" xfId="25333" xr:uid="{00000000-0005-0000-0000-000058300000}"/>
    <cellStyle name="20% - Accent6 7 11 3" xfId="34210" xr:uid="{00000000-0005-0000-0000-000059300000}"/>
    <cellStyle name="20% - Accent6 7 12" xfId="18670" xr:uid="{00000000-0005-0000-0000-00005A300000}"/>
    <cellStyle name="20% - Accent6 7 13" xfId="27551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1" xr:uid="{00000000-0005-0000-0000-000063300000}"/>
    <cellStyle name="20% - Accent6 7 7 2 3" xfId="31248" xr:uid="{00000000-0005-0000-0000-000064300000}"/>
    <cellStyle name="20% - Accent6 7 7 3" xfId="13316" xr:uid="{00000000-0005-0000-0000-000065300000}"/>
    <cellStyle name="20% - Accent6 7 7 3 2" xfId="24590" xr:uid="{00000000-0005-0000-0000-000066300000}"/>
    <cellStyle name="20% - Accent6 7 7 3 3" xfId="33467" xr:uid="{00000000-0005-0000-0000-000067300000}"/>
    <cellStyle name="20% - Accent6 7 7 4" xfId="15766" xr:uid="{00000000-0005-0000-0000-000068300000}"/>
    <cellStyle name="20% - Accent6 7 7 4 2" xfId="26809" xr:uid="{00000000-0005-0000-0000-000069300000}"/>
    <cellStyle name="20% - Accent6 7 7 4 3" xfId="35686" xr:uid="{00000000-0005-0000-0000-00006A300000}"/>
    <cellStyle name="20% - Accent6 7 7 5" xfId="20152" xr:uid="{00000000-0005-0000-0000-00006B300000}"/>
    <cellStyle name="20% - Accent6 7 7 6" xfId="29029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8" xr:uid="{00000000-0005-0000-0000-00006F300000}"/>
    <cellStyle name="20% - Accent6 7 8 2 3" xfId="30515" xr:uid="{00000000-0005-0000-0000-000070300000}"/>
    <cellStyle name="20% - Accent6 7 8 3" xfId="12583" xr:uid="{00000000-0005-0000-0000-000071300000}"/>
    <cellStyle name="20% - Accent6 7 8 3 2" xfId="23857" xr:uid="{00000000-0005-0000-0000-000072300000}"/>
    <cellStyle name="20% - Accent6 7 8 3 3" xfId="32734" xr:uid="{00000000-0005-0000-0000-000073300000}"/>
    <cellStyle name="20% - Accent6 7 8 4" xfId="15033" xr:uid="{00000000-0005-0000-0000-000074300000}"/>
    <cellStyle name="20% - Accent6 7 8 4 2" xfId="26076" xr:uid="{00000000-0005-0000-0000-000075300000}"/>
    <cellStyle name="20% - Accent6 7 8 4 3" xfId="34953" xr:uid="{00000000-0005-0000-0000-000076300000}"/>
    <cellStyle name="20% - Accent6 7 8 5" xfId="19419" xr:uid="{00000000-0005-0000-0000-000077300000}"/>
    <cellStyle name="20% - Accent6 7 8 6" xfId="28296" xr:uid="{00000000-0005-0000-0000-000078300000}"/>
    <cellStyle name="20% - Accent6 7 9" xfId="9392" xr:uid="{00000000-0005-0000-0000-000079300000}"/>
    <cellStyle name="20% - Accent6 7 9 2" xfId="20895" xr:uid="{00000000-0005-0000-0000-00007A300000}"/>
    <cellStyle name="20% - Accent6 7 9 3" xfId="29772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4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2" xr:uid="{00000000-0005-0000-0000-0000AE300000}"/>
    <cellStyle name="40% - Accent1 2 10 2 2 3" xfId="31249" xr:uid="{00000000-0005-0000-0000-0000AF300000}"/>
    <cellStyle name="40% - Accent1 2 10 2 3" xfId="13317" xr:uid="{00000000-0005-0000-0000-0000B0300000}"/>
    <cellStyle name="40% - Accent1 2 10 2 3 2" xfId="24591" xr:uid="{00000000-0005-0000-0000-0000B1300000}"/>
    <cellStyle name="40% - Accent1 2 10 2 3 3" xfId="33468" xr:uid="{00000000-0005-0000-0000-0000B2300000}"/>
    <cellStyle name="40% - Accent1 2 10 2 4" xfId="15767" xr:uid="{00000000-0005-0000-0000-0000B3300000}"/>
    <cellStyle name="40% - Accent1 2 10 2 4 2" xfId="26810" xr:uid="{00000000-0005-0000-0000-0000B4300000}"/>
    <cellStyle name="40% - Accent1 2 10 2 4 3" xfId="35687" xr:uid="{00000000-0005-0000-0000-0000B5300000}"/>
    <cellStyle name="40% - Accent1 2 10 2 5" xfId="20153" xr:uid="{00000000-0005-0000-0000-0000B6300000}"/>
    <cellStyle name="40% - Accent1 2 10 2 6" xfId="29030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39" xr:uid="{00000000-0005-0000-0000-0000BA300000}"/>
    <cellStyle name="40% - Accent1 2 10 3 2 3" xfId="30516" xr:uid="{00000000-0005-0000-0000-0000BB300000}"/>
    <cellStyle name="40% - Accent1 2 10 3 3" xfId="12584" xr:uid="{00000000-0005-0000-0000-0000BC300000}"/>
    <cellStyle name="40% - Accent1 2 10 3 3 2" xfId="23858" xr:uid="{00000000-0005-0000-0000-0000BD300000}"/>
    <cellStyle name="40% - Accent1 2 10 3 3 3" xfId="32735" xr:uid="{00000000-0005-0000-0000-0000BE300000}"/>
    <cellStyle name="40% - Accent1 2 10 3 4" xfId="15034" xr:uid="{00000000-0005-0000-0000-0000BF300000}"/>
    <cellStyle name="40% - Accent1 2 10 3 4 2" xfId="26077" xr:uid="{00000000-0005-0000-0000-0000C0300000}"/>
    <cellStyle name="40% - Accent1 2 10 3 4 3" xfId="34954" xr:uid="{00000000-0005-0000-0000-0000C1300000}"/>
    <cellStyle name="40% - Accent1 2 10 3 5" xfId="19420" xr:uid="{00000000-0005-0000-0000-0000C2300000}"/>
    <cellStyle name="40% - Accent1 2 10 3 6" xfId="28297" xr:uid="{00000000-0005-0000-0000-0000C3300000}"/>
    <cellStyle name="40% - Accent1 2 10 4" xfId="9393" xr:uid="{00000000-0005-0000-0000-0000C4300000}"/>
    <cellStyle name="40% - Accent1 2 10 4 2" xfId="20896" xr:uid="{00000000-0005-0000-0000-0000C5300000}"/>
    <cellStyle name="40% - Accent1 2 10 4 3" xfId="29773" xr:uid="{00000000-0005-0000-0000-0000C6300000}"/>
    <cellStyle name="40% - Accent1 2 10 5" xfId="11841" xr:uid="{00000000-0005-0000-0000-0000C7300000}"/>
    <cellStyle name="40% - Accent1 2 10 5 2" xfId="23115" xr:uid="{00000000-0005-0000-0000-0000C8300000}"/>
    <cellStyle name="40% - Accent1 2 10 5 3" xfId="31992" xr:uid="{00000000-0005-0000-0000-0000C9300000}"/>
    <cellStyle name="40% - Accent1 2 10 6" xfId="14062" xr:uid="{00000000-0005-0000-0000-0000CA300000}"/>
    <cellStyle name="40% - Accent1 2 10 6 2" xfId="25334" xr:uid="{00000000-0005-0000-0000-0000CB300000}"/>
    <cellStyle name="40% - Accent1 2 10 6 3" xfId="34211" xr:uid="{00000000-0005-0000-0000-0000CC300000}"/>
    <cellStyle name="40% - Accent1 2 10 7" xfId="18671" xr:uid="{00000000-0005-0000-0000-0000CD300000}"/>
    <cellStyle name="40% - Accent1 2 10 8" xfId="27552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3" xr:uid="{00000000-0005-0000-0000-0000D3300000}"/>
    <cellStyle name="40% - Accent1 2 11 2 2 2 3" xfId="31250" xr:uid="{00000000-0005-0000-0000-0000D4300000}"/>
    <cellStyle name="40% - Accent1 2 11 2 2 3" xfId="13318" xr:uid="{00000000-0005-0000-0000-0000D5300000}"/>
    <cellStyle name="40% - Accent1 2 11 2 2 3 2" xfId="24592" xr:uid="{00000000-0005-0000-0000-0000D6300000}"/>
    <cellStyle name="40% - Accent1 2 11 2 2 3 3" xfId="33469" xr:uid="{00000000-0005-0000-0000-0000D7300000}"/>
    <cellStyle name="40% - Accent1 2 11 2 2 4" xfId="15768" xr:uid="{00000000-0005-0000-0000-0000D8300000}"/>
    <cellStyle name="40% - Accent1 2 11 2 2 4 2" xfId="26811" xr:uid="{00000000-0005-0000-0000-0000D9300000}"/>
    <cellStyle name="40% - Accent1 2 11 2 2 4 3" xfId="35688" xr:uid="{00000000-0005-0000-0000-0000DA300000}"/>
    <cellStyle name="40% - Accent1 2 11 2 2 5" xfId="20154" xr:uid="{00000000-0005-0000-0000-0000DB300000}"/>
    <cellStyle name="40% - Accent1 2 11 2 2 6" xfId="29031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0" xr:uid="{00000000-0005-0000-0000-0000DF300000}"/>
    <cellStyle name="40% - Accent1 2 11 2 3 2 3" xfId="30517" xr:uid="{00000000-0005-0000-0000-0000E0300000}"/>
    <cellStyle name="40% - Accent1 2 11 2 3 3" xfId="12585" xr:uid="{00000000-0005-0000-0000-0000E1300000}"/>
    <cellStyle name="40% - Accent1 2 11 2 3 3 2" xfId="23859" xr:uid="{00000000-0005-0000-0000-0000E2300000}"/>
    <cellStyle name="40% - Accent1 2 11 2 3 3 3" xfId="32736" xr:uid="{00000000-0005-0000-0000-0000E3300000}"/>
    <cellStyle name="40% - Accent1 2 11 2 3 4" xfId="15035" xr:uid="{00000000-0005-0000-0000-0000E4300000}"/>
    <cellStyle name="40% - Accent1 2 11 2 3 4 2" xfId="26078" xr:uid="{00000000-0005-0000-0000-0000E5300000}"/>
    <cellStyle name="40% - Accent1 2 11 2 3 4 3" xfId="34955" xr:uid="{00000000-0005-0000-0000-0000E6300000}"/>
    <cellStyle name="40% - Accent1 2 11 2 3 5" xfId="19421" xr:uid="{00000000-0005-0000-0000-0000E7300000}"/>
    <cellStyle name="40% - Accent1 2 11 2 3 6" xfId="28298" xr:uid="{00000000-0005-0000-0000-0000E8300000}"/>
    <cellStyle name="40% - Accent1 2 11 2 4" xfId="9394" xr:uid="{00000000-0005-0000-0000-0000E9300000}"/>
    <cellStyle name="40% - Accent1 2 11 2 4 2" xfId="20897" xr:uid="{00000000-0005-0000-0000-0000EA300000}"/>
    <cellStyle name="40% - Accent1 2 11 2 4 3" xfId="29774" xr:uid="{00000000-0005-0000-0000-0000EB300000}"/>
    <cellStyle name="40% - Accent1 2 11 2 5" xfId="11842" xr:uid="{00000000-0005-0000-0000-0000EC300000}"/>
    <cellStyle name="40% - Accent1 2 11 2 5 2" xfId="23116" xr:uid="{00000000-0005-0000-0000-0000ED300000}"/>
    <cellStyle name="40% - Accent1 2 11 2 5 3" xfId="31993" xr:uid="{00000000-0005-0000-0000-0000EE300000}"/>
    <cellStyle name="40% - Accent1 2 11 2 6" xfId="14063" xr:uid="{00000000-0005-0000-0000-0000EF300000}"/>
    <cellStyle name="40% - Accent1 2 11 2 6 2" xfId="25335" xr:uid="{00000000-0005-0000-0000-0000F0300000}"/>
    <cellStyle name="40% - Accent1 2 11 2 6 3" xfId="34212" xr:uid="{00000000-0005-0000-0000-0000F1300000}"/>
    <cellStyle name="40% - Accent1 2 11 2 7" xfId="18672" xr:uid="{00000000-0005-0000-0000-0000F2300000}"/>
    <cellStyle name="40% - Accent1 2 11 2 8" xfId="27553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4" xr:uid="{00000000-0005-0000-0000-0000F7300000}"/>
    <cellStyle name="40% - Accent1 2 11 3 2 2 3" xfId="31251" xr:uid="{00000000-0005-0000-0000-0000F8300000}"/>
    <cellStyle name="40% - Accent1 2 11 3 2 3" xfId="13319" xr:uid="{00000000-0005-0000-0000-0000F9300000}"/>
    <cellStyle name="40% - Accent1 2 11 3 2 3 2" xfId="24593" xr:uid="{00000000-0005-0000-0000-0000FA300000}"/>
    <cellStyle name="40% - Accent1 2 11 3 2 3 3" xfId="33470" xr:uid="{00000000-0005-0000-0000-0000FB300000}"/>
    <cellStyle name="40% - Accent1 2 11 3 2 4" xfId="15769" xr:uid="{00000000-0005-0000-0000-0000FC300000}"/>
    <cellStyle name="40% - Accent1 2 11 3 2 4 2" xfId="26812" xr:uid="{00000000-0005-0000-0000-0000FD300000}"/>
    <cellStyle name="40% - Accent1 2 11 3 2 4 3" xfId="35689" xr:uid="{00000000-0005-0000-0000-0000FE300000}"/>
    <cellStyle name="40% - Accent1 2 11 3 2 5" xfId="20155" xr:uid="{00000000-0005-0000-0000-0000FF300000}"/>
    <cellStyle name="40% - Accent1 2 11 3 2 6" xfId="29032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1" xr:uid="{00000000-0005-0000-0000-000003310000}"/>
    <cellStyle name="40% - Accent1 2 11 3 3 2 3" xfId="30518" xr:uid="{00000000-0005-0000-0000-000004310000}"/>
    <cellStyle name="40% - Accent1 2 11 3 3 3" xfId="12586" xr:uid="{00000000-0005-0000-0000-000005310000}"/>
    <cellStyle name="40% - Accent1 2 11 3 3 3 2" xfId="23860" xr:uid="{00000000-0005-0000-0000-000006310000}"/>
    <cellStyle name="40% - Accent1 2 11 3 3 3 3" xfId="32737" xr:uid="{00000000-0005-0000-0000-000007310000}"/>
    <cellStyle name="40% - Accent1 2 11 3 3 4" xfId="15036" xr:uid="{00000000-0005-0000-0000-000008310000}"/>
    <cellStyle name="40% - Accent1 2 11 3 3 4 2" xfId="26079" xr:uid="{00000000-0005-0000-0000-000009310000}"/>
    <cellStyle name="40% - Accent1 2 11 3 3 4 3" xfId="34956" xr:uid="{00000000-0005-0000-0000-00000A310000}"/>
    <cellStyle name="40% - Accent1 2 11 3 3 5" xfId="19422" xr:uid="{00000000-0005-0000-0000-00000B310000}"/>
    <cellStyle name="40% - Accent1 2 11 3 3 6" xfId="28299" xr:uid="{00000000-0005-0000-0000-00000C310000}"/>
    <cellStyle name="40% - Accent1 2 11 3 4" xfId="9395" xr:uid="{00000000-0005-0000-0000-00000D310000}"/>
    <cellStyle name="40% - Accent1 2 11 3 4 2" xfId="20898" xr:uid="{00000000-0005-0000-0000-00000E310000}"/>
    <cellStyle name="40% - Accent1 2 11 3 4 3" xfId="29775" xr:uid="{00000000-0005-0000-0000-00000F310000}"/>
    <cellStyle name="40% - Accent1 2 11 3 5" xfId="11843" xr:uid="{00000000-0005-0000-0000-000010310000}"/>
    <cellStyle name="40% - Accent1 2 11 3 5 2" xfId="23117" xr:uid="{00000000-0005-0000-0000-000011310000}"/>
    <cellStyle name="40% - Accent1 2 11 3 5 3" xfId="31994" xr:uid="{00000000-0005-0000-0000-000012310000}"/>
    <cellStyle name="40% - Accent1 2 11 3 6" xfId="14064" xr:uid="{00000000-0005-0000-0000-000013310000}"/>
    <cellStyle name="40% - Accent1 2 11 3 6 2" xfId="25336" xr:uid="{00000000-0005-0000-0000-000014310000}"/>
    <cellStyle name="40% - Accent1 2 11 3 6 3" xfId="34213" xr:uid="{00000000-0005-0000-0000-000015310000}"/>
    <cellStyle name="40% - Accent1 2 11 3 7" xfId="18673" xr:uid="{00000000-0005-0000-0000-000016310000}"/>
    <cellStyle name="40% - Accent1 2 11 3 8" xfId="27554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5" xr:uid="{00000000-0005-0000-0000-00001B310000}"/>
    <cellStyle name="40% - Accent1 2 11 4 2 2 3" xfId="31252" xr:uid="{00000000-0005-0000-0000-00001C310000}"/>
    <cellStyle name="40% - Accent1 2 11 4 2 3" xfId="13320" xr:uid="{00000000-0005-0000-0000-00001D310000}"/>
    <cellStyle name="40% - Accent1 2 11 4 2 3 2" xfId="24594" xr:uid="{00000000-0005-0000-0000-00001E310000}"/>
    <cellStyle name="40% - Accent1 2 11 4 2 3 3" xfId="33471" xr:uid="{00000000-0005-0000-0000-00001F310000}"/>
    <cellStyle name="40% - Accent1 2 11 4 2 4" xfId="15770" xr:uid="{00000000-0005-0000-0000-000020310000}"/>
    <cellStyle name="40% - Accent1 2 11 4 2 4 2" xfId="26813" xr:uid="{00000000-0005-0000-0000-000021310000}"/>
    <cellStyle name="40% - Accent1 2 11 4 2 4 3" xfId="35690" xr:uid="{00000000-0005-0000-0000-000022310000}"/>
    <cellStyle name="40% - Accent1 2 11 4 2 5" xfId="20156" xr:uid="{00000000-0005-0000-0000-000023310000}"/>
    <cellStyle name="40% - Accent1 2 11 4 2 6" xfId="29033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2" xr:uid="{00000000-0005-0000-0000-000027310000}"/>
    <cellStyle name="40% - Accent1 2 11 4 3 2 3" xfId="30519" xr:uid="{00000000-0005-0000-0000-000028310000}"/>
    <cellStyle name="40% - Accent1 2 11 4 3 3" xfId="12587" xr:uid="{00000000-0005-0000-0000-000029310000}"/>
    <cellStyle name="40% - Accent1 2 11 4 3 3 2" xfId="23861" xr:uid="{00000000-0005-0000-0000-00002A310000}"/>
    <cellStyle name="40% - Accent1 2 11 4 3 3 3" xfId="32738" xr:uid="{00000000-0005-0000-0000-00002B310000}"/>
    <cellStyle name="40% - Accent1 2 11 4 3 4" xfId="15037" xr:uid="{00000000-0005-0000-0000-00002C310000}"/>
    <cellStyle name="40% - Accent1 2 11 4 3 4 2" xfId="26080" xr:uid="{00000000-0005-0000-0000-00002D310000}"/>
    <cellStyle name="40% - Accent1 2 11 4 3 4 3" xfId="34957" xr:uid="{00000000-0005-0000-0000-00002E310000}"/>
    <cellStyle name="40% - Accent1 2 11 4 3 5" xfId="19423" xr:uid="{00000000-0005-0000-0000-00002F310000}"/>
    <cellStyle name="40% - Accent1 2 11 4 3 6" xfId="28300" xr:uid="{00000000-0005-0000-0000-000030310000}"/>
    <cellStyle name="40% - Accent1 2 11 4 4" xfId="9396" xr:uid="{00000000-0005-0000-0000-000031310000}"/>
    <cellStyle name="40% - Accent1 2 11 4 4 2" xfId="20899" xr:uid="{00000000-0005-0000-0000-000032310000}"/>
    <cellStyle name="40% - Accent1 2 11 4 4 3" xfId="29776" xr:uid="{00000000-0005-0000-0000-000033310000}"/>
    <cellStyle name="40% - Accent1 2 11 4 5" xfId="11844" xr:uid="{00000000-0005-0000-0000-000034310000}"/>
    <cellStyle name="40% - Accent1 2 11 4 5 2" xfId="23118" xr:uid="{00000000-0005-0000-0000-000035310000}"/>
    <cellStyle name="40% - Accent1 2 11 4 5 3" xfId="31995" xr:uid="{00000000-0005-0000-0000-000036310000}"/>
    <cellStyle name="40% - Accent1 2 11 4 6" xfId="14065" xr:uid="{00000000-0005-0000-0000-000037310000}"/>
    <cellStyle name="40% - Accent1 2 11 4 6 2" xfId="25337" xr:uid="{00000000-0005-0000-0000-000038310000}"/>
    <cellStyle name="40% - Accent1 2 11 4 6 3" xfId="34214" xr:uid="{00000000-0005-0000-0000-000039310000}"/>
    <cellStyle name="40% - Accent1 2 11 4 7" xfId="18674" xr:uid="{00000000-0005-0000-0000-00003A310000}"/>
    <cellStyle name="40% - Accent1 2 11 4 8" xfId="27555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6" xr:uid="{00000000-0005-0000-0000-00003F310000}"/>
    <cellStyle name="40% - Accent1 2 11 5 2 2 3" xfId="31253" xr:uid="{00000000-0005-0000-0000-000040310000}"/>
    <cellStyle name="40% - Accent1 2 11 5 2 3" xfId="13321" xr:uid="{00000000-0005-0000-0000-000041310000}"/>
    <cellStyle name="40% - Accent1 2 11 5 2 3 2" xfId="24595" xr:uid="{00000000-0005-0000-0000-000042310000}"/>
    <cellStyle name="40% - Accent1 2 11 5 2 3 3" xfId="33472" xr:uid="{00000000-0005-0000-0000-000043310000}"/>
    <cellStyle name="40% - Accent1 2 11 5 2 4" xfId="15771" xr:uid="{00000000-0005-0000-0000-000044310000}"/>
    <cellStyle name="40% - Accent1 2 11 5 2 4 2" xfId="26814" xr:uid="{00000000-0005-0000-0000-000045310000}"/>
    <cellStyle name="40% - Accent1 2 11 5 2 4 3" xfId="35691" xr:uid="{00000000-0005-0000-0000-000046310000}"/>
    <cellStyle name="40% - Accent1 2 11 5 2 5" xfId="20157" xr:uid="{00000000-0005-0000-0000-000047310000}"/>
    <cellStyle name="40% - Accent1 2 11 5 2 6" xfId="29034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3" xr:uid="{00000000-0005-0000-0000-00004B310000}"/>
    <cellStyle name="40% - Accent1 2 11 5 3 2 3" xfId="30520" xr:uid="{00000000-0005-0000-0000-00004C310000}"/>
    <cellStyle name="40% - Accent1 2 11 5 3 3" xfId="12588" xr:uid="{00000000-0005-0000-0000-00004D310000}"/>
    <cellStyle name="40% - Accent1 2 11 5 3 3 2" xfId="23862" xr:uid="{00000000-0005-0000-0000-00004E310000}"/>
    <cellStyle name="40% - Accent1 2 11 5 3 3 3" xfId="32739" xr:uid="{00000000-0005-0000-0000-00004F310000}"/>
    <cellStyle name="40% - Accent1 2 11 5 3 4" xfId="15038" xr:uid="{00000000-0005-0000-0000-000050310000}"/>
    <cellStyle name="40% - Accent1 2 11 5 3 4 2" xfId="26081" xr:uid="{00000000-0005-0000-0000-000051310000}"/>
    <cellStyle name="40% - Accent1 2 11 5 3 4 3" xfId="34958" xr:uid="{00000000-0005-0000-0000-000052310000}"/>
    <cellStyle name="40% - Accent1 2 11 5 3 5" xfId="19424" xr:uid="{00000000-0005-0000-0000-000053310000}"/>
    <cellStyle name="40% - Accent1 2 11 5 3 6" xfId="28301" xr:uid="{00000000-0005-0000-0000-000054310000}"/>
    <cellStyle name="40% - Accent1 2 11 5 4" xfId="9397" xr:uid="{00000000-0005-0000-0000-000055310000}"/>
    <cellStyle name="40% - Accent1 2 11 5 4 2" xfId="20900" xr:uid="{00000000-0005-0000-0000-000056310000}"/>
    <cellStyle name="40% - Accent1 2 11 5 4 3" xfId="29777" xr:uid="{00000000-0005-0000-0000-000057310000}"/>
    <cellStyle name="40% - Accent1 2 11 5 5" xfId="11845" xr:uid="{00000000-0005-0000-0000-000058310000}"/>
    <cellStyle name="40% - Accent1 2 11 5 5 2" xfId="23119" xr:uid="{00000000-0005-0000-0000-000059310000}"/>
    <cellStyle name="40% - Accent1 2 11 5 5 3" xfId="31996" xr:uid="{00000000-0005-0000-0000-00005A310000}"/>
    <cellStyle name="40% - Accent1 2 11 5 6" xfId="14066" xr:uid="{00000000-0005-0000-0000-00005B310000}"/>
    <cellStyle name="40% - Accent1 2 11 5 6 2" xfId="25338" xr:uid="{00000000-0005-0000-0000-00005C310000}"/>
    <cellStyle name="40% - Accent1 2 11 5 6 3" xfId="34215" xr:uid="{00000000-0005-0000-0000-00005D310000}"/>
    <cellStyle name="40% - Accent1 2 11 5 7" xfId="18675" xr:uid="{00000000-0005-0000-0000-00005E310000}"/>
    <cellStyle name="40% - Accent1 2 11 5 8" xfId="27556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7" xr:uid="{00000000-0005-0000-0000-000066310000}"/>
    <cellStyle name="40% - Accent1 2 15 2 2 3" xfId="31254" xr:uid="{00000000-0005-0000-0000-000067310000}"/>
    <cellStyle name="40% - Accent1 2 15 2 3" xfId="13322" xr:uid="{00000000-0005-0000-0000-000068310000}"/>
    <cellStyle name="40% - Accent1 2 15 2 3 2" xfId="24596" xr:uid="{00000000-0005-0000-0000-000069310000}"/>
    <cellStyle name="40% - Accent1 2 15 2 3 3" xfId="33473" xr:uid="{00000000-0005-0000-0000-00006A310000}"/>
    <cellStyle name="40% - Accent1 2 15 2 4" xfId="15772" xr:uid="{00000000-0005-0000-0000-00006B310000}"/>
    <cellStyle name="40% - Accent1 2 15 2 4 2" xfId="26815" xr:uid="{00000000-0005-0000-0000-00006C310000}"/>
    <cellStyle name="40% - Accent1 2 15 2 4 3" xfId="35692" xr:uid="{00000000-0005-0000-0000-00006D310000}"/>
    <cellStyle name="40% - Accent1 2 15 2 5" xfId="20158" xr:uid="{00000000-0005-0000-0000-00006E310000}"/>
    <cellStyle name="40% - Accent1 2 15 2 6" xfId="29035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4" xr:uid="{00000000-0005-0000-0000-000072310000}"/>
    <cellStyle name="40% - Accent1 2 15 3 2 3" xfId="30521" xr:uid="{00000000-0005-0000-0000-000073310000}"/>
    <cellStyle name="40% - Accent1 2 15 3 3" xfId="12589" xr:uid="{00000000-0005-0000-0000-000074310000}"/>
    <cellStyle name="40% - Accent1 2 15 3 3 2" xfId="23863" xr:uid="{00000000-0005-0000-0000-000075310000}"/>
    <cellStyle name="40% - Accent1 2 15 3 3 3" xfId="32740" xr:uid="{00000000-0005-0000-0000-000076310000}"/>
    <cellStyle name="40% - Accent1 2 15 3 4" xfId="15039" xr:uid="{00000000-0005-0000-0000-000077310000}"/>
    <cellStyle name="40% - Accent1 2 15 3 4 2" xfId="26082" xr:uid="{00000000-0005-0000-0000-000078310000}"/>
    <cellStyle name="40% - Accent1 2 15 3 4 3" xfId="34959" xr:uid="{00000000-0005-0000-0000-000079310000}"/>
    <cellStyle name="40% - Accent1 2 15 3 5" xfId="19425" xr:uid="{00000000-0005-0000-0000-00007A310000}"/>
    <cellStyle name="40% - Accent1 2 15 3 6" xfId="28302" xr:uid="{00000000-0005-0000-0000-00007B310000}"/>
    <cellStyle name="40% - Accent1 2 15 4" xfId="9398" xr:uid="{00000000-0005-0000-0000-00007C310000}"/>
    <cellStyle name="40% - Accent1 2 15 4 2" xfId="20901" xr:uid="{00000000-0005-0000-0000-00007D310000}"/>
    <cellStyle name="40% - Accent1 2 15 4 3" xfId="29778" xr:uid="{00000000-0005-0000-0000-00007E310000}"/>
    <cellStyle name="40% - Accent1 2 15 5" xfId="11846" xr:uid="{00000000-0005-0000-0000-00007F310000}"/>
    <cellStyle name="40% - Accent1 2 15 5 2" xfId="23120" xr:uid="{00000000-0005-0000-0000-000080310000}"/>
    <cellStyle name="40% - Accent1 2 15 5 3" xfId="31997" xr:uid="{00000000-0005-0000-0000-000081310000}"/>
    <cellStyle name="40% - Accent1 2 15 6" xfId="14067" xr:uid="{00000000-0005-0000-0000-000082310000}"/>
    <cellStyle name="40% - Accent1 2 15 6 2" xfId="25339" xr:uid="{00000000-0005-0000-0000-000083310000}"/>
    <cellStyle name="40% - Accent1 2 15 6 3" xfId="34216" xr:uid="{00000000-0005-0000-0000-000084310000}"/>
    <cellStyle name="40% - Accent1 2 15 7" xfId="18676" xr:uid="{00000000-0005-0000-0000-000085310000}"/>
    <cellStyle name="40% - Accent1 2 15 8" xfId="27557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8" xr:uid="{00000000-0005-0000-0000-00008B310000}"/>
    <cellStyle name="40% - Accent1 2 2 10 2 3" xfId="31255" xr:uid="{00000000-0005-0000-0000-00008C310000}"/>
    <cellStyle name="40% - Accent1 2 2 10 3" xfId="13323" xr:uid="{00000000-0005-0000-0000-00008D310000}"/>
    <cellStyle name="40% - Accent1 2 2 10 3 2" xfId="24597" xr:uid="{00000000-0005-0000-0000-00008E310000}"/>
    <cellStyle name="40% - Accent1 2 2 10 3 3" xfId="33474" xr:uid="{00000000-0005-0000-0000-00008F310000}"/>
    <cellStyle name="40% - Accent1 2 2 10 4" xfId="15773" xr:uid="{00000000-0005-0000-0000-000090310000}"/>
    <cellStyle name="40% - Accent1 2 2 10 4 2" xfId="26816" xr:uid="{00000000-0005-0000-0000-000091310000}"/>
    <cellStyle name="40% - Accent1 2 2 10 4 3" xfId="35693" xr:uid="{00000000-0005-0000-0000-000092310000}"/>
    <cellStyle name="40% - Accent1 2 2 10 5" xfId="20159" xr:uid="{00000000-0005-0000-0000-000093310000}"/>
    <cellStyle name="40% - Accent1 2 2 10 6" xfId="29036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5" xr:uid="{00000000-0005-0000-0000-000097310000}"/>
    <cellStyle name="40% - Accent1 2 2 11 2 3" xfId="30522" xr:uid="{00000000-0005-0000-0000-000098310000}"/>
    <cellStyle name="40% - Accent1 2 2 11 3" xfId="12590" xr:uid="{00000000-0005-0000-0000-000099310000}"/>
    <cellStyle name="40% - Accent1 2 2 11 3 2" xfId="23864" xr:uid="{00000000-0005-0000-0000-00009A310000}"/>
    <cellStyle name="40% - Accent1 2 2 11 3 3" xfId="32741" xr:uid="{00000000-0005-0000-0000-00009B310000}"/>
    <cellStyle name="40% - Accent1 2 2 11 4" xfId="15040" xr:uid="{00000000-0005-0000-0000-00009C310000}"/>
    <cellStyle name="40% - Accent1 2 2 11 4 2" xfId="26083" xr:uid="{00000000-0005-0000-0000-00009D310000}"/>
    <cellStyle name="40% - Accent1 2 2 11 4 3" xfId="34960" xr:uid="{00000000-0005-0000-0000-00009E310000}"/>
    <cellStyle name="40% - Accent1 2 2 11 5" xfId="19426" xr:uid="{00000000-0005-0000-0000-00009F310000}"/>
    <cellStyle name="40% - Accent1 2 2 11 6" xfId="28303" xr:uid="{00000000-0005-0000-0000-0000A0310000}"/>
    <cellStyle name="40% - Accent1 2 2 12" xfId="9399" xr:uid="{00000000-0005-0000-0000-0000A1310000}"/>
    <cellStyle name="40% - Accent1 2 2 12 2" xfId="20902" xr:uid="{00000000-0005-0000-0000-0000A2310000}"/>
    <cellStyle name="40% - Accent1 2 2 12 3" xfId="29779" xr:uid="{00000000-0005-0000-0000-0000A3310000}"/>
    <cellStyle name="40% - Accent1 2 2 13" xfId="11847" xr:uid="{00000000-0005-0000-0000-0000A4310000}"/>
    <cellStyle name="40% - Accent1 2 2 13 2" xfId="23121" xr:uid="{00000000-0005-0000-0000-0000A5310000}"/>
    <cellStyle name="40% - Accent1 2 2 13 3" xfId="31998" xr:uid="{00000000-0005-0000-0000-0000A6310000}"/>
    <cellStyle name="40% - Accent1 2 2 14" xfId="14068" xr:uid="{00000000-0005-0000-0000-0000A7310000}"/>
    <cellStyle name="40% - Accent1 2 2 14 2" xfId="25340" xr:uid="{00000000-0005-0000-0000-0000A8310000}"/>
    <cellStyle name="40% - Accent1 2 2 14 3" xfId="34217" xr:uid="{00000000-0005-0000-0000-0000A9310000}"/>
    <cellStyle name="40% - Accent1 2 2 15" xfId="18677" xr:uid="{00000000-0005-0000-0000-0000AA310000}"/>
    <cellStyle name="40% - Accent1 2 2 16" xfId="27558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79" xr:uid="{00000000-0005-0000-0000-0000AF310000}"/>
    <cellStyle name="40% - Accent1 2 2 2 2 2 3" xfId="31256" xr:uid="{00000000-0005-0000-0000-0000B0310000}"/>
    <cellStyle name="40% - Accent1 2 2 2 2 3" xfId="13324" xr:uid="{00000000-0005-0000-0000-0000B1310000}"/>
    <cellStyle name="40% - Accent1 2 2 2 2 3 2" xfId="24598" xr:uid="{00000000-0005-0000-0000-0000B2310000}"/>
    <cellStyle name="40% - Accent1 2 2 2 2 3 3" xfId="33475" xr:uid="{00000000-0005-0000-0000-0000B3310000}"/>
    <cellStyle name="40% - Accent1 2 2 2 2 4" xfId="15774" xr:uid="{00000000-0005-0000-0000-0000B4310000}"/>
    <cellStyle name="40% - Accent1 2 2 2 2 4 2" xfId="26817" xr:uid="{00000000-0005-0000-0000-0000B5310000}"/>
    <cellStyle name="40% - Accent1 2 2 2 2 4 3" xfId="35694" xr:uid="{00000000-0005-0000-0000-0000B6310000}"/>
    <cellStyle name="40% - Accent1 2 2 2 2 5" xfId="20160" xr:uid="{00000000-0005-0000-0000-0000B7310000}"/>
    <cellStyle name="40% - Accent1 2 2 2 2 6" xfId="29037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6" xr:uid="{00000000-0005-0000-0000-0000BB310000}"/>
    <cellStyle name="40% - Accent1 2 2 2 3 2 3" xfId="30523" xr:uid="{00000000-0005-0000-0000-0000BC310000}"/>
    <cellStyle name="40% - Accent1 2 2 2 3 3" xfId="12591" xr:uid="{00000000-0005-0000-0000-0000BD310000}"/>
    <cellStyle name="40% - Accent1 2 2 2 3 3 2" xfId="23865" xr:uid="{00000000-0005-0000-0000-0000BE310000}"/>
    <cellStyle name="40% - Accent1 2 2 2 3 3 3" xfId="32742" xr:uid="{00000000-0005-0000-0000-0000BF310000}"/>
    <cellStyle name="40% - Accent1 2 2 2 3 4" xfId="15041" xr:uid="{00000000-0005-0000-0000-0000C0310000}"/>
    <cellStyle name="40% - Accent1 2 2 2 3 4 2" xfId="26084" xr:uid="{00000000-0005-0000-0000-0000C1310000}"/>
    <cellStyle name="40% - Accent1 2 2 2 3 4 3" xfId="34961" xr:uid="{00000000-0005-0000-0000-0000C2310000}"/>
    <cellStyle name="40% - Accent1 2 2 2 3 5" xfId="19427" xr:uid="{00000000-0005-0000-0000-0000C3310000}"/>
    <cellStyle name="40% - Accent1 2 2 2 3 6" xfId="28304" xr:uid="{00000000-0005-0000-0000-0000C4310000}"/>
    <cellStyle name="40% - Accent1 2 2 2 4" xfId="9400" xr:uid="{00000000-0005-0000-0000-0000C5310000}"/>
    <cellStyle name="40% - Accent1 2 2 2 4 2" xfId="20903" xr:uid="{00000000-0005-0000-0000-0000C6310000}"/>
    <cellStyle name="40% - Accent1 2 2 2 4 3" xfId="29780" xr:uid="{00000000-0005-0000-0000-0000C7310000}"/>
    <cellStyle name="40% - Accent1 2 2 2 5" xfId="11848" xr:uid="{00000000-0005-0000-0000-0000C8310000}"/>
    <cellStyle name="40% - Accent1 2 2 2 5 2" xfId="23122" xr:uid="{00000000-0005-0000-0000-0000C9310000}"/>
    <cellStyle name="40% - Accent1 2 2 2 5 3" xfId="31999" xr:uid="{00000000-0005-0000-0000-0000CA310000}"/>
    <cellStyle name="40% - Accent1 2 2 2 6" xfId="14069" xr:uid="{00000000-0005-0000-0000-0000CB310000}"/>
    <cellStyle name="40% - Accent1 2 2 2 6 2" xfId="25341" xr:uid="{00000000-0005-0000-0000-0000CC310000}"/>
    <cellStyle name="40% - Accent1 2 2 2 6 3" xfId="34218" xr:uid="{00000000-0005-0000-0000-0000CD310000}"/>
    <cellStyle name="40% - Accent1 2 2 2 7" xfId="18678" xr:uid="{00000000-0005-0000-0000-0000CE310000}"/>
    <cellStyle name="40% - Accent1 2 2 2 8" xfId="27559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0" xr:uid="{00000000-0005-0000-0000-0000D3310000}"/>
    <cellStyle name="40% - Accent1 2 2 3 2 2 3" xfId="31257" xr:uid="{00000000-0005-0000-0000-0000D4310000}"/>
    <cellStyle name="40% - Accent1 2 2 3 2 3" xfId="13325" xr:uid="{00000000-0005-0000-0000-0000D5310000}"/>
    <cellStyle name="40% - Accent1 2 2 3 2 3 2" xfId="24599" xr:uid="{00000000-0005-0000-0000-0000D6310000}"/>
    <cellStyle name="40% - Accent1 2 2 3 2 3 3" xfId="33476" xr:uid="{00000000-0005-0000-0000-0000D7310000}"/>
    <cellStyle name="40% - Accent1 2 2 3 2 4" xfId="15775" xr:uid="{00000000-0005-0000-0000-0000D8310000}"/>
    <cellStyle name="40% - Accent1 2 2 3 2 4 2" xfId="26818" xr:uid="{00000000-0005-0000-0000-0000D9310000}"/>
    <cellStyle name="40% - Accent1 2 2 3 2 4 3" xfId="35695" xr:uid="{00000000-0005-0000-0000-0000DA310000}"/>
    <cellStyle name="40% - Accent1 2 2 3 2 5" xfId="20161" xr:uid="{00000000-0005-0000-0000-0000DB310000}"/>
    <cellStyle name="40% - Accent1 2 2 3 2 6" xfId="29038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7" xr:uid="{00000000-0005-0000-0000-0000DF310000}"/>
    <cellStyle name="40% - Accent1 2 2 3 3 2 3" xfId="30524" xr:uid="{00000000-0005-0000-0000-0000E0310000}"/>
    <cellStyle name="40% - Accent1 2 2 3 3 3" xfId="12592" xr:uid="{00000000-0005-0000-0000-0000E1310000}"/>
    <cellStyle name="40% - Accent1 2 2 3 3 3 2" xfId="23866" xr:uid="{00000000-0005-0000-0000-0000E2310000}"/>
    <cellStyle name="40% - Accent1 2 2 3 3 3 3" xfId="32743" xr:uid="{00000000-0005-0000-0000-0000E3310000}"/>
    <cellStyle name="40% - Accent1 2 2 3 3 4" xfId="15042" xr:uid="{00000000-0005-0000-0000-0000E4310000}"/>
    <cellStyle name="40% - Accent1 2 2 3 3 4 2" xfId="26085" xr:uid="{00000000-0005-0000-0000-0000E5310000}"/>
    <cellStyle name="40% - Accent1 2 2 3 3 4 3" xfId="34962" xr:uid="{00000000-0005-0000-0000-0000E6310000}"/>
    <cellStyle name="40% - Accent1 2 2 3 3 5" xfId="19428" xr:uid="{00000000-0005-0000-0000-0000E7310000}"/>
    <cellStyle name="40% - Accent1 2 2 3 3 6" xfId="28305" xr:uid="{00000000-0005-0000-0000-0000E8310000}"/>
    <cellStyle name="40% - Accent1 2 2 3 4" xfId="9401" xr:uid="{00000000-0005-0000-0000-0000E9310000}"/>
    <cellStyle name="40% - Accent1 2 2 3 4 2" xfId="20904" xr:uid="{00000000-0005-0000-0000-0000EA310000}"/>
    <cellStyle name="40% - Accent1 2 2 3 4 3" xfId="29781" xr:uid="{00000000-0005-0000-0000-0000EB310000}"/>
    <cellStyle name="40% - Accent1 2 2 3 5" xfId="11849" xr:uid="{00000000-0005-0000-0000-0000EC310000}"/>
    <cellStyle name="40% - Accent1 2 2 3 5 2" xfId="23123" xr:uid="{00000000-0005-0000-0000-0000ED310000}"/>
    <cellStyle name="40% - Accent1 2 2 3 5 3" xfId="32000" xr:uid="{00000000-0005-0000-0000-0000EE310000}"/>
    <cellStyle name="40% - Accent1 2 2 3 6" xfId="14070" xr:uid="{00000000-0005-0000-0000-0000EF310000}"/>
    <cellStyle name="40% - Accent1 2 2 3 6 2" xfId="25342" xr:uid="{00000000-0005-0000-0000-0000F0310000}"/>
    <cellStyle name="40% - Accent1 2 2 3 6 3" xfId="34219" xr:uid="{00000000-0005-0000-0000-0000F1310000}"/>
    <cellStyle name="40% - Accent1 2 2 3 7" xfId="18679" xr:uid="{00000000-0005-0000-0000-0000F2310000}"/>
    <cellStyle name="40% - Accent1 2 2 3 8" xfId="27560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1" xr:uid="{00000000-0005-0000-0000-0000F7310000}"/>
    <cellStyle name="40% - Accent1 2 2 4 2 2 3" xfId="31258" xr:uid="{00000000-0005-0000-0000-0000F8310000}"/>
    <cellStyle name="40% - Accent1 2 2 4 2 3" xfId="13326" xr:uid="{00000000-0005-0000-0000-0000F9310000}"/>
    <cellStyle name="40% - Accent1 2 2 4 2 3 2" xfId="24600" xr:uid="{00000000-0005-0000-0000-0000FA310000}"/>
    <cellStyle name="40% - Accent1 2 2 4 2 3 3" xfId="33477" xr:uid="{00000000-0005-0000-0000-0000FB310000}"/>
    <cellStyle name="40% - Accent1 2 2 4 2 4" xfId="15776" xr:uid="{00000000-0005-0000-0000-0000FC310000}"/>
    <cellStyle name="40% - Accent1 2 2 4 2 4 2" xfId="26819" xr:uid="{00000000-0005-0000-0000-0000FD310000}"/>
    <cellStyle name="40% - Accent1 2 2 4 2 4 3" xfId="35696" xr:uid="{00000000-0005-0000-0000-0000FE310000}"/>
    <cellStyle name="40% - Accent1 2 2 4 2 5" xfId="20162" xr:uid="{00000000-0005-0000-0000-0000FF310000}"/>
    <cellStyle name="40% - Accent1 2 2 4 2 6" xfId="29039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8" xr:uid="{00000000-0005-0000-0000-000003320000}"/>
    <cellStyle name="40% - Accent1 2 2 4 3 2 3" xfId="30525" xr:uid="{00000000-0005-0000-0000-000004320000}"/>
    <cellStyle name="40% - Accent1 2 2 4 3 3" xfId="12593" xr:uid="{00000000-0005-0000-0000-000005320000}"/>
    <cellStyle name="40% - Accent1 2 2 4 3 3 2" xfId="23867" xr:uid="{00000000-0005-0000-0000-000006320000}"/>
    <cellStyle name="40% - Accent1 2 2 4 3 3 3" xfId="32744" xr:uid="{00000000-0005-0000-0000-000007320000}"/>
    <cellStyle name="40% - Accent1 2 2 4 3 4" xfId="15043" xr:uid="{00000000-0005-0000-0000-000008320000}"/>
    <cellStyle name="40% - Accent1 2 2 4 3 4 2" xfId="26086" xr:uid="{00000000-0005-0000-0000-000009320000}"/>
    <cellStyle name="40% - Accent1 2 2 4 3 4 3" xfId="34963" xr:uid="{00000000-0005-0000-0000-00000A320000}"/>
    <cellStyle name="40% - Accent1 2 2 4 3 5" xfId="19429" xr:uid="{00000000-0005-0000-0000-00000B320000}"/>
    <cellStyle name="40% - Accent1 2 2 4 3 6" xfId="28306" xr:uid="{00000000-0005-0000-0000-00000C320000}"/>
    <cellStyle name="40% - Accent1 2 2 4 4" xfId="9402" xr:uid="{00000000-0005-0000-0000-00000D320000}"/>
    <cellStyle name="40% - Accent1 2 2 4 4 2" xfId="20905" xr:uid="{00000000-0005-0000-0000-00000E320000}"/>
    <cellStyle name="40% - Accent1 2 2 4 4 3" xfId="29782" xr:uid="{00000000-0005-0000-0000-00000F320000}"/>
    <cellStyle name="40% - Accent1 2 2 4 5" xfId="11850" xr:uid="{00000000-0005-0000-0000-000010320000}"/>
    <cellStyle name="40% - Accent1 2 2 4 5 2" xfId="23124" xr:uid="{00000000-0005-0000-0000-000011320000}"/>
    <cellStyle name="40% - Accent1 2 2 4 5 3" xfId="32001" xr:uid="{00000000-0005-0000-0000-000012320000}"/>
    <cellStyle name="40% - Accent1 2 2 4 6" xfId="14071" xr:uid="{00000000-0005-0000-0000-000013320000}"/>
    <cellStyle name="40% - Accent1 2 2 4 6 2" xfId="25343" xr:uid="{00000000-0005-0000-0000-000014320000}"/>
    <cellStyle name="40% - Accent1 2 2 4 6 3" xfId="34220" xr:uid="{00000000-0005-0000-0000-000015320000}"/>
    <cellStyle name="40% - Accent1 2 2 4 7" xfId="18680" xr:uid="{00000000-0005-0000-0000-000016320000}"/>
    <cellStyle name="40% - Accent1 2 2 4 8" xfId="27561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2" xr:uid="{00000000-0005-0000-0000-00001B320000}"/>
    <cellStyle name="40% - Accent1 2 2 5 2 2 3" xfId="31259" xr:uid="{00000000-0005-0000-0000-00001C320000}"/>
    <cellStyle name="40% - Accent1 2 2 5 2 3" xfId="13327" xr:uid="{00000000-0005-0000-0000-00001D320000}"/>
    <cellStyle name="40% - Accent1 2 2 5 2 3 2" xfId="24601" xr:uid="{00000000-0005-0000-0000-00001E320000}"/>
    <cellStyle name="40% - Accent1 2 2 5 2 3 3" xfId="33478" xr:uid="{00000000-0005-0000-0000-00001F320000}"/>
    <cellStyle name="40% - Accent1 2 2 5 2 4" xfId="15777" xr:uid="{00000000-0005-0000-0000-000020320000}"/>
    <cellStyle name="40% - Accent1 2 2 5 2 4 2" xfId="26820" xr:uid="{00000000-0005-0000-0000-000021320000}"/>
    <cellStyle name="40% - Accent1 2 2 5 2 4 3" xfId="35697" xr:uid="{00000000-0005-0000-0000-000022320000}"/>
    <cellStyle name="40% - Accent1 2 2 5 2 5" xfId="20163" xr:uid="{00000000-0005-0000-0000-000023320000}"/>
    <cellStyle name="40% - Accent1 2 2 5 2 6" xfId="29040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49" xr:uid="{00000000-0005-0000-0000-000027320000}"/>
    <cellStyle name="40% - Accent1 2 2 5 3 2 3" xfId="30526" xr:uid="{00000000-0005-0000-0000-000028320000}"/>
    <cellStyle name="40% - Accent1 2 2 5 3 3" xfId="12594" xr:uid="{00000000-0005-0000-0000-000029320000}"/>
    <cellStyle name="40% - Accent1 2 2 5 3 3 2" xfId="23868" xr:uid="{00000000-0005-0000-0000-00002A320000}"/>
    <cellStyle name="40% - Accent1 2 2 5 3 3 3" xfId="32745" xr:uid="{00000000-0005-0000-0000-00002B320000}"/>
    <cellStyle name="40% - Accent1 2 2 5 3 4" xfId="15044" xr:uid="{00000000-0005-0000-0000-00002C320000}"/>
    <cellStyle name="40% - Accent1 2 2 5 3 4 2" xfId="26087" xr:uid="{00000000-0005-0000-0000-00002D320000}"/>
    <cellStyle name="40% - Accent1 2 2 5 3 4 3" xfId="34964" xr:uid="{00000000-0005-0000-0000-00002E320000}"/>
    <cellStyle name="40% - Accent1 2 2 5 3 5" xfId="19430" xr:uid="{00000000-0005-0000-0000-00002F320000}"/>
    <cellStyle name="40% - Accent1 2 2 5 3 6" xfId="28307" xr:uid="{00000000-0005-0000-0000-000030320000}"/>
    <cellStyle name="40% - Accent1 2 2 5 4" xfId="9403" xr:uid="{00000000-0005-0000-0000-000031320000}"/>
    <cellStyle name="40% - Accent1 2 2 5 4 2" xfId="20906" xr:uid="{00000000-0005-0000-0000-000032320000}"/>
    <cellStyle name="40% - Accent1 2 2 5 4 3" xfId="29783" xr:uid="{00000000-0005-0000-0000-000033320000}"/>
    <cellStyle name="40% - Accent1 2 2 5 5" xfId="11851" xr:uid="{00000000-0005-0000-0000-000034320000}"/>
    <cellStyle name="40% - Accent1 2 2 5 5 2" xfId="23125" xr:uid="{00000000-0005-0000-0000-000035320000}"/>
    <cellStyle name="40% - Accent1 2 2 5 5 3" xfId="32002" xr:uid="{00000000-0005-0000-0000-000036320000}"/>
    <cellStyle name="40% - Accent1 2 2 5 6" xfId="14072" xr:uid="{00000000-0005-0000-0000-000037320000}"/>
    <cellStyle name="40% - Accent1 2 2 5 6 2" xfId="25344" xr:uid="{00000000-0005-0000-0000-000038320000}"/>
    <cellStyle name="40% - Accent1 2 2 5 6 3" xfId="34221" xr:uid="{00000000-0005-0000-0000-000039320000}"/>
    <cellStyle name="40% - Accent1 2 2 5 7" xfId="18681" xr:uid="{00000000-0005-0000-0000-00003A320000}"/>
    <cellStyle name="40% - Accent1 2 2 5 8" xfId="27562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3" xr:uid="{00000000-0005-0000-0000-00003F320000}"/>
    <cellStyle name="40% - Accent1 2 2 6 2 2 3" xfId="31260" xr:uid="{00000000-0005-0000-0000-000040320000}"/>
    <cellStyle name="40% - Accent1 2 2 6 2 3" xfId="13328" xr:uid="{00000000-0005-0000-0000-000041320000}"/>
    <cellStyle name="40% - Accent1 2 2 6 2 3 2" xfId="24602" xr:uid="{00000000-0005-0000-0000-000042320000}"/>
    <cellStyle name="40% - Accent1 2 2 6 2 3 3" xfId="33479" xr:uid="{00000000-0005-0000-0000-000043320000}"/>
    <cellStyle name="40% - Accent1 2 2 6 2 4" xfId="15778" xr:uid="{00000000-0005-0000-0000-000044320000}"/>
    <cellStyle name="40% - Accent1 2 2 6 2 4 2" xfId="26821" xr:uid="{00000000-0005-0000-0000-000045320000}"/>
    <cellStyle name="40% - Accent1 2 2 6 2 4 3" xfId="35698" xr:uid="{00000000-0005-0000-0000-000046320000}"/>
    <cellStyle name="40% - Accent1 2 2 6 2 5" xfId="20164" xr:uid="{00000000-0005-0000-0000-000047320000}"/>
    <cellStyle name="40% - Accent1 2 2 6 2 6" xfId="29041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0" xr:uid="{00000000-0005-0000-0000-00004B320000}"/>
    <cellStyle name="40% - Accent1 2 2 6 3 2 3" xfId="30527" xr:uid="{00000000-0005-0000-0000-00004C320000}"/>
    <cellStyle name="40% - Accent1 2 2 6 3 3" xfId="12595" xr:uid="{00000000-0005-0000-0000-00004D320000}"/>
    <cellStyle name="40% - Accent1 2 2 6 3 3 2" xfId="23869" xr:uid="{00000000-0005-0000-0000-00004E320000}"/>
    <cellStyle name="40% - Accent1 2 2 6 3 3 3" xfId="32746" xr:uid="{00000000-0005-0000-0000-00004F320000}"/>
    <cellStyle name="40% - Accent1 2 2 6 3 4" xfId="15045" xr:uid="{00000000-0005-0000-0000-000050320000}"/>
    <cellStyle name="40% - Accent1 2 2 6 3 4 2" xfId="26088" xr:uid="{00000000-0005-0000-0000-000051320000}"/>
    <cellStyle name="40% - Accent1 2 2 6 3 4 3" xfId="34965" xr:uid="{00000000-0005-0000-0000-000052320000}"/>
    <cellStyle name="40% - Accent1 2 2 6 3 5" xfId="19431" xr:uid="{00000000-0005-0000-0000-000053320000}"/>
    <cellStyle name="40% - Accent1 2 2 6 3 6" xfId="28308" xr:uid="{00000000-0005-0000-0000-000054320000}"/>
    <cellStyle name="40% - Accent1 2 2 6 4" xfId="9404" xr:uid="{00000000-0005-0000-0000-000055320000}"/>
    <cellStyle name="40% - Accent1 2 2 6 4 2" xfId="20907" xr:uid="{00000000-0005-0000-0000-000056320000}"/>
    <cellStyle name="40% - Accent1 2 2 6 4 3" xfId="29784" xr:uid="{00000000-0005-0000-0000-000057320000}"/>
    <cellStyle name="40% - Accent1 2 2 6 5" xfId="11852" xr:uid="{00000000-0005-0000-0000-000058320000}"/>
    <cellStyle name="40% - Accent1 2 2 6 5 2" xfId="23126" xr:uid="{00000000-0005-0000-0000-000059320000}"/>
    <cellStyle name="40% - Accent1 2 2 6 5 3" xfId="32003" xr:uid="{00000000-0005-0000-0000-00005A320000}"/>
    <cellStyle name="40% - Accent1 2 2 6 6" xfId="14073" xr:uid="{00000000-0005-0000-0000-00005B320000}"/>
    <cellStyle name="40% - Accent1 2 2 6 6 2" xfId="25345" xr:uid="{00000000-0005-0000-0000-00005C320000}"/>
    <cellStyle name="40% - Accent1 2 2 6 6 3" xfId="34222" xr:uid="{00000000-0005-0000-0000-00005D320000}"/>
    <cellStyle name="40% - Accent1 2 2 6 7" xfId="18682" xr:uid="{00000000-0005-0000-0000-00005E320000}"/>
    <cellStyle name="40% - Accent1 2 2 6 8" xfId="27563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4" xr:uid="{00000000-0005-0000-0000-000063320000}"/>
    <cellStyle name="40% - Accent1 2 2 7 2 2 3" xfId="31261" xr:uid="{00000000-0005-0000-0000-000064320000}"/>
    <cellStyle name="40% - Accent1 2 2 7 2 3" xfId="13329" xr:uid="{00000000-0005-0000-0000-000065320000}"/>
    <cellStyle name="40% - Accent1 2 2 7 2 3 2" xfId="24603" xr:uid="{00000000-0005-0000-0000-000066320000}"/>
    <cellStyle name="40% - Accent1 2 2 7 2 3 3" xfId="33480" xr:uid="{00000000-0005-0000-0000-000067320000}"/>
    <cellStyle name="40% - Accent1 2 2 7 2 4" xfId="15779" xr:uid="{00000000-0005-0000-0000-000068320000}"/>
    <cellStyle name="40% - Accent1 2 2 7 2 4 2" xfId="26822" xr:uid="{00000000-0005-0000-0000-000069320000}"/>
    <cellStyle name="40% - Accent1 2 2 7 2 4 3" xfId="35699" xr:uid="{00000000-0005-0000-0000-00006A320000}"/>
    <cellStyle name="40% - Accent1 2 2 7 2 5" xfId="20165" xr:uid="{00000000-0005-0000-0000-00006B320000}"/>
    <cellStyle name="40% - Accent1 2 2 7 2 6" xfId="29042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1" xr:uid="{00000000-0005-0000-0000-00006F320000}"/>
    <cellStyle name="40% - Accent1 2 2 7 3 2 3" xfId="30528" xr:uid="{00000000-0005-0000-0000-000070320000}"/>
    <cellStyle name="40% - Accent1 2 2 7 3 3" xfId="12596" xr:uid="{00000000-0005-0000-0000-000071320000}"/>
    <cellStyle name="40% - Accent1 2 2 7 3 3 2" xfId="23870" xr:uid="{00000000-0005-0000-0000-000072320000}"/>
    <cellStyle name="40% - Accent1 2 2 7 3 3 3" xfId="32747" xr:uid="{00000000-0005-0000-0000-000073320000}"/>
    <cellStyle name="40% - Accent1 2 2 7 3 4" xfId="15046" xr:uid="{00000000-0005-0000-0000-000074320000}"/>
    <cellStyle name="40% - Accent1 2 2 7 3 4 2" xfId="26089" xr:uid="{00000000-0005-0000-0000-000075320000}"/>
    <cellStyle name="40% - Accent1 2 2 7 3 4 3" xfId="34966" xr:uid="{00000000-0005-0000-0000-000076320000}"/>
    <cellStyle name="40% - Accent1 2 2 7 3 5" xfId="19432" xr:uid="{00000000-0005-0000-0000-000077320000}"/>
    <cellStyle name="40% - Accent1 2 2 7 3 6" xfId="28309" xr:uid="{00000000-0005-0000-0000-000078320000}"/>
    <cellStyle name="40% - Accent1 2 2 7 4" xfId="9405" xr:uid="{00000000-0005-0000-0000-000079320000}"/>
    <cellStyle name="40% - Accent1 2 2 7 4 2" xfId="20908" xr:uid="{00000000-0005-0000-0000-00007A320000}"/>
    <cellStyle name="40% - Accent1 2 2 7 4 3" xfId="29785" xr:uid="{00000000-0005-0000-0000-00007B320000}"/>
    <cellStyle name="40% - Accent1 2 2 7 5" xfId="11853" xr:uid="{00000000-0005-0000-0000-00007C320000}"/>
    <cellStyle name="40% - Accent1 2 2 7 5 2" xfId="23127" xr:uid="{00000000-0005-0000-0000-00007D320000}"/>
    <cellStyle name="40% - Accent1 2 2 7 5 3" xfId="32004" xr:uid="{00000000-0005-0000-0000-00007E320000}"/>
    <cellStyle name="40% - Accent1 2 2 7 6" xfId="14074" xr:uid="{00000000-0005-0000-0000-00007F320000}"/>
    <cellStyle name="40% - Accent1 2 2 7 6 2" xfId="25346" xr:uid="{00000000-0005-0000-0000-000080320000}"/>
    <cellStyle name="40% - Accent1 2 2 7 6 3" xfId="34223" xr:uid="{00000000-0005-0000-0000-000081320000}"/>
    <cellStyle name="40% - Accent1 2 2 7 7" xfId="18683" xr:uid="{00000000-0005-0000-0000-000082320000}"/>
    <cellStyle name="40% - Accent1 2 2 7 8" xfId="27564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5" xr:uid="{00000000-0005-0000-0000-000087320000}"/>
    <cellStyle name="40% - Accent1 2 2 8 2 2 3" xfId="31262" xr:uid="{00000000-0005-0000-0000-000088320000}"/>
    <cellStyle name="40% - Accent1 2 2 8 2 3" xfId="13330" xr:uid="{00000000-0005-0000-0000-000089320000}"/>
    <cellStyle name="40% - Accent1 2 2 8 2 3 2" xfId="24604" xr:uid="{00000000-0005-0000-0000-00008A320000}"/>
    <cellStyle name="40% - Accent1 2 2 8 2 3 3" xfId="33481" xr:uid="{00000000-0005-0000-0000-00008B320000}"/>
    <cellStyle name="40% - Accent1 2 2 8 2 4" xfId="15780" xr:uid="{00000000-0005-0000-0000-00008C320000}"/>
    <cellStyle name="40% - Accent1 2 2 8 2 4 2" xfId="26823" xr:uid="{00000000-0005-0000-0000-00008D320000}"/>
    <cellStyle name="40% - Accent1 2 2 8 2 4 3" xfId="35700" xr:uid="{00000000-0005-0000-0000-00008E320000}"/>
    <cellStyle name="40% - Accent1 2 2 8 2 5" xfId="20166" xr:uid="{00000000-0005-0000-0000-00008F320000}"/>
    <cellStyle name="40% - Accent1 2 2 8 2 6" xfId="29043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2" xr:uid="{00000000-0005-0000-0000-000093320000}"/>
    <cellStyle name="40% - Accent1 2 2 8 3 2 3" xfId="30529" xr:uid="{00000000-0005-0000-0000-000094320000}"/>
    <cellStyle name="40% - Accent1 2 2 8 3 3" xfId="12597" xr:uid="{00000000-0005-0000-0000-000095320000}"/>
    <cellStyle name="40% - Accent1 2 2 8 3 3 2" xfId="23871" xr:uid="{00000000-0005-0000-0000-000096320000}"/>
    <cellStyle name="40% - Accent1 2 2 8 3 3 3" xfId="32748" xr:uid="{00000000-0005-0000-0000-000097320000}"/>
    <cellStyle name="40% - Accent1 2 2 8 3 4" xfId="15047" xr:uid="{00000000-0005-0000-0000-000098320000}"/>
    <cellStyle name="40% - Accent1 2 2 8 3 4 2" xfId="26090" xr:uid="{00000000-0005-0000-0000-000099320000}"/>
    <cellStyle name="40% - Accent1 2 2 8 3 4 3" xfId="34967" xr:uid="{00000000-0005-0000-0000-00009A320000}"/>
    <cellStyle name="40% - Accent1 2 2 8 3 5" xfId="19433" xr:uid="{00000000-0005-0000-0000-00009B320000}"/>
    <cellStyle name="40% - Accent1 2 2 8 3 6" xfId="28310" xr:uid="{00000000-0005-0000-0000-00009C320000}"/>
    <cellStyle name="40% - Accent1 2 2 8 4" xfId="9406" xr:uid="{00000000-0005-0000-0000-00009D320000}"/>
    <cellStyle name="40% - Accent1 2 2 8 4 2" xfId="20909" xr:uid="{00000000-0005-0000-0000-00009E320000}"/>
    <cellStyle name="40% - Accent1 2 2 8 4 3" xfId="29786" xr:uid="{00000000-0005-0000-0000-00009F320000}"/>
    <cellStyle name="40% - Accent1 2 2 8 5" xfId="11854" xr:uid="{00000000-0005-0000-0000-0000A0320000}"/>
    <cellStyle name="40% - Accent1 2 2 8 5 2" xfId="23128" xr:uid="{00000000-0005-0000-0000-0000A1320000}"/>
    <cellStyle name="40% - Accent1 2 2 8 5 3" xfId="32005" xr:uid="{00000000-0005-0000-0000-0000A2320000}"/>
    <cellStyle name="40% - Accent1 2 2 8 6" xfId="14075" xr:uid="{00000000-0005-0000-0000-0000A3320000}"/>
    <cellStyle name="40% - Accent1 2 2 8 6 2" xfId="25347" xr:uid="{00000000-0005-0000-0000-0000A4320000}"/>
    <cellStyle name="40% - Accent1 2 2 8 6 3" xfId="34224" xr:uid="{00000000-0005-0000-0000-0000A5320000}"/>
    <cellStyle name="40% - Accent1 2 2 8 7" xfId="18684" xr:uid="{00000000-0005-0000-0000-0000A6320000}"/>
    <cellStyle name="40% - Accent1 2 2 8 8" xfId="27565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6" xr:uid="{00000000-0005-0000-0000-0000AB320000}"/>
    <cellStyle name="40% - Accent1 2 2 9 2 2 3" xfId="31263" xr:uid="{00000000-0005-0000-0000-0000AC320000}"/>
    <cellStyle name="40% - Accent1 2 2 9 2 3" xfId="13331" xr:uid="{00000000-0005-0000-0000-0000AD320000}"/>
    <cellStyle name="40% - Accent1 2 2 9 2 3 2" xfId="24605" xr:uid="{00000000-0005-0000-0000-0000AE320000}"/>
    <cellStyle name="40% - Accent1 2 2 9 2 3 3" xfId="33482" xr:uid="{00000000-0005-0000-0000-0000AF320000}"/>
    <cellStyle name="40% - Accent1 2 2 9 2 4" xfId="15781" xr:uid="{00000000-0005-0000-0000-0000B0320000}"/>
    <cellStyle name="40% - Accent1 2 2 9 2 4 2" xfId="26824" xr:uid="{00000000-0005-0000-0000-0000B1320000}"/>
    <cellStyle name="40% - Accent1 2 2 9 2 4 3" xfId="35701" xr:uid="{00000000-0005-0000-0000-0000B2320000}"/>
    <cellStyle name="40% - Accent1 2 2 9 2 5" xfId="20167" xr:uid="{00000000-0005-0000-0000-0000B3320000}"/>
    <cellStyle name="40% - Accent1 2 2 9 2 6" xfId="29044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3" xr:uid="{00000000-0005-0000-0000-0000B7320000}"/>
    <cellStyle name="40% - Accent1 2 2 9 3 2 3" xfId="30530" xr:uid="{00000000-0005-0000-0000-0000B8320000}"/>
    <cellStyle name="40% - Accent1 2 2 9 3 3" xfId="12598" xr:uid="{00000000-0005-0000-0000-0000B9320000}"/>
    <cellStyle name="40% - Accent1 2 2 9 3 3 2" xfId="23872" xr:uid="{00000000-0005-0000-0000-0000BA320000}"/>
    <cellStyle name="40% - Accent1 2 2 9 3 3 3" xfId="32749" xr:uid="{00000000-0005-0000-0000-0000BB320000}"/>
    <cellStyle name="40% - Accent1 2 2 9 3 4" xfId="15048" xr:uid="{00000000-0005-0000-0000-0000BC320000}"/>
    <cellStyle name="40% - Accent1 2 2 9 3 4 2" xfId="26091" xr:uid="{00000000-0005-0000-0000-0000BD320000}"/>
    <cellStyle name="40% - Accent1 2 2 9 3 4 3" xfId="34968" xr:uid="{00000000-0005-0000-0000-0000BE320000}"/>
    <cellStyle name="40% - Accent1 2 2 9 3 5" xfId="19434" xr:uid="{00000000-0005-0000-0000-0000BF320000}"/>
    <cellStyle name="40% - Accent1 2 2 9 3 6" xfId="28311" xr:uid="{00000000-0005-0000-0000-0000C0320000}"/>
    <cellStyle name="40% - Accent1 2 2 9 4" xfId="9407" xr:uid="{00000000-0005-0000-0000-0000C1320000}"/>
    <cellStyle name="40% - Accent1 2 2 9 4 2" xfId="20910" xr:uid="{00000000-0005-0000-0000-0000C2320000}"/>
    <cellStyle name="40% - Accent1 2 2 9 4 3" xfId="29787" xr:uid="{00000000-0005-0000-0000-0000C3320000}"/>
    <cellStyle name="40% - Accent1 2 2 9 5" xfId="11855" xr:uid="{00000000-0005-0000-0000-0000C4320000}"/>
    <cellStyle name="40% - Accent1 2 2 9 5 2" xfId="23129" xr:uid="{00000000-0005-0000-0000-0000C5320000}"/>
    <cellStyle name="40% - Accent1 2 2 9 5 3" xfId="32006" xr:uid="{00000000-0005-0000-0000-0000C6320000}"/>
    <cellStyle name="40% - Accent1 2 2 9 6" xfId="14076" xr:uid="{00000000-0005-0000-0000-0000C7320000}"/>
    <cellStyle name="40% - Accent1 2 2 9 6 2" xfId="25348" xr:uid="{00000000-0005-0000-0000-0000C8320000}"/>
    <cellStyle name="40% - Accent1 2 2 9 6 3" xfId="34225" xr:uid="{00000000-0005-0000-0000-0000C9320000}"/>
    <cellStyle name="40% - Accent1 2 2 9 7" xfId="18685" xr:uid="{00000000-0005-0000-0000-0000CA320000}"/>
    <cellStyle name="40% - Accent1 2 2 9 8" xfId="27566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7" xr:uid="{00000000-0005-0000-0000-0000CF320000}"/>
    <cellStyle name="40% - Accent1 2 3 10 2 3" xfId="31264" xr:uid="{00000000-0005-0000-0000-0000D0320000}"/>
    <cellStyle name="40% - Accent1 2 3 10 3" xfId="13332" xr:uid="{00000000-0005-0000-0000-0000D1320000}"/>
    <cellStyle name="40% - Accent1 2 3 10 3 2" xfId="24606" xr:uid="{00000000-0005-0000-0000-0000D2320000}"/>
    <cellStyle name="40% - Accent1 2 3 10 3 3" xfId="33483" xr:uid="{00000000-0005-0000-0000-0000D3320000}"/>
    <cellStyle name="40% - Accent1 2 3 10 4" xfId="15782" xr:uid="{00000000-0005-0000-0000-0000D4320000}"/>
    <cellStyle name="40% - Accent1 2 3 10 4 2" xfId="26825" xr:uid="{00000000-0005-0000-0000-0000D5320000}"/>
    <cellStyle name="40% - Accent1 2 3 10 4 3" xfId="35702" xr:uid="{00000000-0005-0000-0000-0000D6320000}"/>
    <cellStyle name="40% - Accent1 2 3 10 5" xfId="20168" xr:uid="{00000000-0005-0000-0000-0000D7320000}"/>
    <cellStyle name="40% - Accent1 2 3 10 6" xfId="29045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4" xr:uid="{00000000-0005-0000-0000-0000DB320000}"/>
    <cellStyle name="40% - Accent1 2 3 11 2 3" xfId="30531" xr:uid="{00000000-0005-0000-0000-0000DC320000}"/>
    <cellStyle name="40% - Accent1 2 3 11 3" xfId="12599" xr:uid="{00000000-0005-0000-0000-0000DD320000}"/>
    <cellStyle name="40% - Accent1 2 3 11 3 2" xfId="23873" xr:uid="{00000000-0005-0000-0000-0000DE320000}"/>
    <cellStyle name="40% - Accent1 2 3 11 3 3" xfId="32750" xr:uid="{00000000-0005-0000-0000-0000DF320000}"/>
    <cellStyle name="40% - Accent1 2 3 11 4" xfId="15049" xr:uid="{00000000-0005-0000-0000-0000E0320000}"/>
    <cellStyle name="40% - Accent1 2 3 11 4 2" xfId="26092" xr:uid="{00000000-0005-0000-0000-0000E1320000}"/>
    <cellStyle name="40% - Accent1 2 3 11 4 3" xfId="34969" xr:uid="{00000000-0005-0000-0000-0000E2320000}"/>
    <cellStyle name="40% - Accent1 2 3 11 5" xfId="19435" xr:uid="{00000000-0005-0000-0000-0000E3320000}"/>
    <cellStyle name="40% - Accent1 2 3 11 6" xfId="28312" xr:uid="{00000000-0005-0000-0000-0000E4320000}"/>
    <cellStyle name="40% - Accent1 2 3 12" xfId="9408" xr:uid="{00000000-0005-0000-0000-0000E5320000}"/>
    <cellStyle name="40% - Accent1 2 3 12 2" xfId="20911" xr:uid="{00000000-0005-0000-0000-0000E6320000}"/>
    <cellStyle name="40% - Accent1 2 3 12 3" xfId="29788" xr:uid="{00000000-0005-0000-0000-0000E7320000}"/>
    <cellStyle name="40% - Accent1 2 3 13" xfId="11856" xr:uid="{00000000-0005-0000-0000-0000E8320000}"/>
    <cellStyle name="40% - Accent1 2 3 13 2" xfId="23130" xr:uid="{00000000-0005-0000-0000-0000E9320000}"/>
    <cellStyle name="40% - Accent1 2 3 13 3" xfId="32007" xr:uid="{00000000-0005-0000-0000-0000EA320000}"/>
    <cellStyle name="40% - Accent1 2 3 14" xfId="14077" xr:uid="{00000000-0005-0000-0000-0000EB320000}"/>
    <cellStyle name="40% - Accent1 2 3 14 2" xfId="25349" xr:uid="{00000000-0005-0000-0000-0000EC320000}"/>
    <cellStyle name="40% - Accent1 2 3 14 3" xfId="34226" xr:uid="{00000000-0005-0000-0000-0000ED320000}"/>
    <cellStyle name="40% - Accent1 2 3 15" xfId="18686" xr:uid="{00000000-0005-0000-0000-0000EE320000}"/>
    <cellStyle name="40% - Accent1 2 3 16" xfId="27567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8" xr:uid="{00000000-0005-0000-0000-0000F3320000}"/>
    <cellStyle name="40% - Accent1 2 3 2 2 2 3" xfId="31265" xr:uid="{00000000-0005-0000-0000-0000F4320000}"/>
    <cellStyle name="40% - Accent1 2 3 2 2 3" xfId="13333" xr:uid="{00000000-0005-0000-0000-0000F5320000}"/>
    <cellStyle name="40% - Accent1 2 3 2 2 3 2" xfId="24607" xr:uid="{00000000-0005-0000-0000-0000F6320000}"/>
    <cellStyle name="40% - Accent1 2 3 2 2 3 3" xfId="33484" xr:uid="{00000000-0005-0000-0000-0000F7320000}"/>
    <cellStyle name="40% - Accent1 2 3 2 2 4" xfId="15783" xr:uid="{00000000-0005-0000-0000-0000F8320000}"/>
    <cellStyle name="40% - Accent1 2 3 2 2 4 2" xfId="26826" xr:uid="{00000000-0005-0000-0000-0000F9320000}"/>
    <cellStyle name="40% - Accent1 2 3 2 2 4 3" xfId="35703" xr:uid="{00000000-0005-0000-0000-0000FA320000}"/>
    <cellStyle name="40% - Accent1 2 3 2 2 5" xfId="20169" xr:uid="{00000000-0005-0000-0000-0000FB320000}"/>
    <cellStyle name="40% - Accent1 2 3 2 2 6" xfId="29046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5" xr:uid="{00000000-0005-0000-0000-0000FF320000}"/>
    <cellStyle name="40% - Accent1 2 3 2 3 2 3" xfId="30532" xr:uid="{00000000-0005-0000-0000-000000330000}"/>
    <cellStyle name="40% - Accent1 2 3 2 3 3" xfId="12600" xr:uid="{00000000-0005-0000-0000-000001330000}"/>
    <cellStyle name="40% - Accent1 2 3 2 3 3 2" xfId="23874" xr:uid="{00000000-0005-0000-0000-000002330000}"/>
    <cellStyle name="40% - Accent1 2 3 2 3 3 3" xfId="32751" xr:uid="{00000000-0005-0000-0000-000003330000}"/>
    <cellStyle name="40% - Accent1 2 3 2 3 4" xfId="15050" xr:uid="{00000000-0005-0000-0000-000004330000}"/>
    <cellStyle name="40% - Accent1 2 3 2 3 4 2" xfId="26093" xr:uid="{00000000-0005-0000-0000-000005330000}"/>
    <cellStyle name="40% - Accent1 2 3 2 3 4 3" xfId="34970" xr:uid="{00000000-0005-0000-0000-000006330000}"/>
    <cellStyle name="40% - Accent1 2 3 2 3 5" xfId="19436" xr:uid="{00000000-0005-0000-0000-000007330000}"/>
    <cellStyle name="40% - Accent1 2 3 2 3 6" xfId="28313" xr:uid="{00000000-0005-0000-0000-000008330000}"/>
    <cellStyle name="40% - Accent1 2 3 2 4" xfId="9409" xr:uid="{00000000-0005-0000-0000-000009330000}"/>
    <cellStyle name="40% - Accent1 2 3 2 4 2" xfId="20912" xr:uid="{00000000-0005-0000-0000-00000A330000}"/>
    <cellStyle name="40% - Accent1 2 3 2 4 3" xfId="29789" xr:uid="{00000000-0005-0000-0000-00000B330000}"/>
    <cellStyle name="40% - Accent1 2 3 2 5" xfId="11857" xr:uid="{00000000-0005-0000-0000-00000C330000}"/>
    <cellStyle name="40% - Accent1 2 3 2 5 2" xfId="23131" xr:uid="{00000000-0005-0000-0000-00000D330000}"/>
    <cellStyle name="40% - Accent1 2 3 2 5 3" xfId="32008" xr:uid="{00000000-0005-0000-0000-00000E330000}"/>
    <cellStyle name="40% - Accent1 2 3 2 6" xfId="14078" xr:uid="{00000000-0005-0000-0000-00000F330000}"/>
    <cellStyle name="40% - Accent1 2 3 2 6 2" xfId="25350" xr:uid="{00000000-0005-0000-0000-000010330000}"/>
    <cellStyle name="40% - Accent1 2 3 2 6 3" xfId="34227" xr:uid="{00000000-0005-0000-0000-000011330000}"/>
    <cellStyle name="40% - Accent1 2 3 2 7" xfId="18687" xr:uid="{00000000-0005-0000-0000-000012330000}"/>
    <cellStyle name="40% - Accent1 2 3 2 8" xfId="27568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89" xr:uid="{00000000-0005-0000-0000-000017330000}"/>
    <cellStyle name="40% - Accent1 2 3 3 2 2 3" xfId="31266" xr:uid="{00000000-0005-0000-0000-000018330000}"/>
    <cellStyle name="40% - Accent1 2 3 3 2 3" xfId="13334" xr:uid="{00000000-0005-0000-0000-000019330000}"/>
    <cellStyle name="40% - Accent1 2 3 3 2 3 2" xfId="24608" xr:uid="{00000000-0005-0000-0000-00001A330000}"/>
    <cellStyle name="40% - Accent1 2 3 3 2 3 3" xfId="33485" xr:uid="{00000000-0005-0000-0000-00001B330000}"/>
    <cellStyle name="40% - Accent1 2 3 3 2 4" xfId="15784" xr:uid="{00000000-0005-0000-0000-00001C330000}"/>
    <cellStyle name="40% - Accent1 2 3 3 2 4 2" xfId="26827" xr:uid="{00000000-0005-0000-0000-00001D330000}"/>
    <cellStyle name="40% - Accent1 2 3 3 2 4 3" xfId="35704" xr:uid="{00000000-0005-0000-0000-00001E330000}"/>
    <cellStyle name="40% - Accent1 2 3 3 2 5" xfId="20170" xr:uid="{00000000-0005-0000-0000-00001F330000}"/>
    <cellStyle name="40% - Accent1 2 3 3 2 6" xfId="29047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6" xr:uid="{00000000-0005-0000-0000-000023330000}"/>
    <cellStyle name="40% - Accent1 2 3 3 3 2 3" xfId="30533" xr:uid="{00000000-0005-0000-0000-000024330000}"/>
    <cellStyle name="40% - Accent1 2 3 3 3 3" xfId="12601" xr:uid="{00000000-0005-0000-0000-000025330000}"/>
    <cellStyle name="40% - Accent1 2 3 3 3 3 2" xfId="23875" xr:uid="{00000000-0005-0000-0000-000026330000}"/>
    <cellStyle name="40% - Accent1 2 3 3 3 3 3" xfId="32752" xr:uid="{00000000-0005-0000-0000-000027330000}"/>
    <cellStyle name="40% - Accent1 2 3 3 3 4" xfId="15051" xr:uid="{00000000-0005-0000-0000-000028330000}"/>
    <cellStyle name="40% - Accent1 2 3 3 3 4 2" xfId="26094" xr:uid="{00000000-0005-0000-0000-000029330000}"/>
    <cellStyle name="40% - Accent1 2 3 3 3 4 3" xfId="34971" xr:uid="{00000000-0005-0000-0000-00002A330000}"/>
    <cellStyle name="40% - Accent1 2 3 3 3 5" xfId="19437" xr:uid="{00000000-0005-0000-0000-00002B330000}"/>
    <cellStyle name="40% - Accent1 2 3 3 3 6" xfId="28314" xr:uid="{00000000-0005-0000-0000-00002C330000}"/>
    <cellStyle name="40% - Accent1 2 3 3 4" xfId="9410" xr:uid="{00000000-0005-0000-0000-00002D330000}"/>
    <cellStyle name="40% - Accent1 2 3 3 4 2" xfId="20913" xr:uid="{00000000-0005-0000-0000-00002E330000}"/>
    <cellStyle name="40% - Accent1 2 3 3 4 3" xfId="29790" xr:uid="{00000000-0005-0000-0000-00002F330000}"/>
    <cellStyle name="40% - Accent1 2 3 3 5" xfId="11858" xr:uid="{00000000-0005-0000-0000-000030330000}"/>
    <cellStyle name="40% - Accent1 2 3 3 5 2" xfId="23132" xr:uid="{00000000-0005-0000-0000-000031330000}"/>
    <cellStyle name="40% - Accent1 2 3 3 5 3" xfId="32009" xr:uid="{00000000-0005-0000-0000-000032330000}"/>
    <cellStyle name="40% - Accent1 2 3 3 6" xfId="14079" xr:uid="{00000000-0005-0000-0000-000033330000}"/>
    <cellStyle name="40% - Accent1 2 3 3 6 2" xfId="25351" xr:uid="{00000000-0005-0000-0000-000034330000}"/>
    <cellStyle name="40% - Accent1 2 3 3 6 3" xfId="34228" xr:uid="{00000000-0005-0000-0000-000035330000}"/>
    <cellStyle name="40% - Accent1 2 3 3 7" xfId="18688" xr:uid="{00000000-0005-0000-0000-000036330000}"/>
    <cellStyle name="40% - Accent1 2 3 3 8" xfId="27569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0" xr:uid="{00000000-0005-0000-0000-00003B330000}"/>
    <cellStyle name="40% - Accent1 2 3 4 2 2 3" xfId="31267" xr:uid="{00000000-0005-0000-0000-00003C330000}"/>
    <cellStyle name="40% - Accent1 2 3 4 2 3" xfId="13335" xr:uid="{00000000-0005-0000-0000-00003D330000}"/>
    <cellStyle name="40% - Accent1 2 3 4 2 3 2" xfId="24609" xr:uid="{00000000-0005-0000-0000-00003E330000}"/>
    <cellStyle name="40% - Accent1 2 3 4 2 3 3" xfId="33486" xr:uid="{00000000-0005-0000-0000-00003F330000}"/>
    <cellStyle name="40% - Accent1 2 3 4 2 4" xfId="15785" xr:uid="{00000000-0005-0000-0000-000040330000}"/>
    <cellStyle name="40% - Accent1 2 3 4 2 4 2" xfId="26828" xr:uid="{00000000-0005-0000-0000-000041330000}"/>
    <cellStyle name="40% - Accent1 2 3 4 2 4 3" xfId="35705" xr:uid="{00000000-0005-0000-0000-000042330000}"/>
    <cellStyle name="40% - Accent1 2 3 4 2 5" xfId="20171" xr:uid="{00000000-0005-0000-0000-000043330000}"/>
    <cellStyle name="40% - Accent1 2 3 4 2 6" xfId="29048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7" xr:uid="{00000000-0005-0000-0000-000047330000}"/>
    <cellStyle name="40% - Accent1 2 3 4 3 2 3" xfId="30534" xr:uid="{00000000-0005-0000-0000-000048330000}"/>
    <cellStyle name="40% - Accent1 2 3 4 3 3" xfId="12602" xr:uid="{00000000-0005-0000-0000-000049330000}"/>
    <cellStyle name="40% - Accent1 2 3 4 3 3 2" xfId="23876" xr:uid="{00000000-0005-0000-0000-00004A330000}"/>
    <cellStyle name="40% - Accent1 2 3 4 3 3 3" xfId="32753" xr:uid="{00000000-0005-0000-0000-00004B330000}"/>
    <cellStyle name="40% - Accent1 2 3 4 3 4" xfId="15052" xr:uid="{00000000-0005-0000-0000-00004C330000}"/>
    <cellStyle name="40% - Accent1 2 3 4 3 4 2" xfId="26095" xr:uid="{00000000-0005-0000-0000-00004D330000}"/>
    <cellStyle name="40% - Accent1 2 3 4 3 4 3" xfId="34972" xr:uid="{00000000-0005-0000-0000-00004E330000}"/>
    <cellStyle name="40% - Accent1 2 3 4 3 5" xfId="19438" xr:uid="{00000000-0005-0000-0000-00004F330000}"/>
    <cellStyle name="40% - Accent1 2 3 4 3 6" xfId="28315" xr:uid="{00000000-0005-0000-0000-000050330000}"/>
    <cellStyle name="40% - Accent1 2 3 4 4" xfId="9411" xr:uid="{00000000-0005-0000-0000-000051330000}"/>
    <cellStyle name="40% - Accent1 2 3 4 4 2" xfId="20914" xr:uid="{00000000-0005-0000-0000-000052330000}"/>
    <cellStyle name="40% - Accent1 2 3 4 4 3" xfId="29791" xr:uid="{00000000-0005-0000-0000-000053330000}"/>
    <cellStyle name="40% - Accent1 2 3 4 5" xfId="11859" xr:uid="{00000000-0005-0000-0000-000054330000}"/>
    <cellStyle name="40% - Accent1 2 3 4 5 2" xfId="23133" xr:uid="{00000000-0005-0000-0000-000055330000}"/>
    <cellStyle name="40% - Accent1 2 3 4 5 3" xfId="32010" xr:uid="{00000000-0005-0000-0000-000056330000}"/>
    <cellStyle name="40% - Accent1 2 3 4 6" xfId="14080" xr:uid="{00000000-0005-0000-0000-000057330000}"/>
    <cellStyle name="40% - Accent1 2 3 4 6 2" xfId="25352" xr:uid="{00000000-0005-0000-0000-000058330000}"/>
    <cellStyle name="40% - Accent1 2 3 4 6 3" xfId="34229" xr:uid="{00000000-0005-0000-0000-000059330000}"/>
    <cellStyle name="40% - Accent1 2 3 4 7" xfId="18689" xr:uid="{00000000-0005-0000-0000-00005A330000}"/>
    <cellStyle name="40% - Accent1 2 3 4 8" xfId="27570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1" xr:uid="{00000000-0005-0000-0000-00005F330000}"/>
    <cellStyle name="40% - Accent1 2 3 5 2 2 3" xfId="31268" xr:uid="{00000000-0005-0000-0000-000060330000}"/>
    <cellStyle name="40% - Accent1 2 3 5 2 3" xfId="13336" xr:uid="{00000000-0005-0000-0000-000061330000}"/>
    <cellStyle name="40% - Accent1 2 3 5 2 3 2" xfId="24610" xr:uid="{00000000-0005-0000-0000-000062330000}"/>
    <cellStyle name="40% - Accent1 2 3 5 2 3 3" xfId="33487" xr:uid="{00000000-0005-0000-0000-000063330000}"/>
    <cellStyle name="40% - Accent1 2 3 5 2 4" xfId="15786" xr:uid="{00000000-0005-0000-0000-000064330000}"/>
    <cellStyle name="40% - Accent1 2 3 5 2 4 2" xfId="26829" xr:uid="{00000000-0005-0000-0000-000065330000}"/>
    <cellStyle name="40% - Accent1 2 3 5 2 4 3" xfId="35706" xr:uid="{00000000-0005-0000-0000-000066330000}"/>
    <cellStyle name="40% - Accent1 2 3 5 2 5" xfId="20172" xr:uid="{00000000-0005-0000-0000-000067330000}"/>
    <cellStyle name="40% - Accent1 2 3 5 2 6" xfId="29049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8" xr:uid="{00000000-0005-0000-0000-00006B330000}"/>
    <cellStyle name="40% - Accent1 2 3 5 3 2 3" xfId="30535" xr:uid="{00000000-0005-0000-0000-00006C330000}"/>
    <cellStyle name="40% - Accent1 2 3 5 3 3" xfId="12603" xr:uid="{00000000-0005-0000-0000-00006D330000}"/>
    <cellStyle name="40% - Accent1 2 3 5 3 3 2" xfId="23877" xr:uid="{00000000-0005-0000-0000-00006E330000}"/>
    <cellStyle name="40% - Accent1 2 3 5 3 3 3" xfId="32754" xr:uid="{00000000-0005-0000-0000-00006F330000}"/>
    <cellStyle name="40% - Accent1 2 3 5 3 4" xfId="15053" xr:uid="{00000000-0005-0000-0000-000070330000}"/>
    <cellStyle name="40% - Accent1 2 3 5 3 4 2" xfId="26096" xr:uid="{00000000-0005-0000-0000-000071330000}"/>
    <cellStyle name="40% - Accent1 2 3 5 3 4 3" xfId="34973" xr:uid="{00000000-0005-0000-0000-000072330000}"/>
    <cellStyle name="40% - Accent1 2 3 5 3 5" xfId="19439" xr:uid="{00000000-0005-0000-0000-000073330000}"/>
    <cellStyle name="40% - Accent1 2 3 5 3 6" xfId="28316" xr:uid="{00000000-0005-0000-0000-000074330000}"/>
    <cellStyle name="40% - Accent1 2 3 5 4" xfId="9412" xr:uid="{00000000-0005-0000-0000-000075330000}"/>
    <cellStyle name="40% - Accent1 2 3 5 4 2" xfId="20915" xr:uid="{00000000-0005-0000-0000-000076330000}"/>
    <cellStyle name="40% - Accent1 2 3 5 4 3" xfId="29792" xr:uid="{00000000-0005-0000-0000-000077330000}"/>
    <cellStyle name="40% - Accent1 2 3 5 5" xfId="11860" xr:uid="{00000000-0005-0000-0000-000078330000}"/>
    <cellStyle name="40% - Accent1 2 3 5 5 2" xfId="23134" xr:uid="{00000000-0005-0000-0000-000079330000}"/>
    <cellStyle name="40% - Accent1 2 3 5 5 3" xfId="32011" xr:uid="{00000000-0005-0000-0000-00007A330000}"/>
    <cellStyle name="40% - Accent1 2 3 5 6" xfId="14081" xr:uid="{00000000-0005-0000-0000-00007B330000}"/>
    <cellStyle name="40% - Accent1 2 3 5 6 2" xfId="25353" xr:uid="{00000000-0005-0000-0000-00007C330000}"/>
    <cellStyle name="40% - Accent1 2 3 5 6 3" xfId="34230" xr:uid="{00000000-0005-0000-0000-00007D330000}"/>
    <cellStyle name="40% - Accent1 2 3 5 7" xfId="18690" xr:uid="{00000000-0005-0000-0000-00007E330000}"/>
    <cellStyle name="40% - Accent1 2 3 5 8" xfId="27571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2" xr:uid="{00000000-0005-0000-0000-000083330000}"/>
    <cellStyle name="40% - Accent1 2 3 6 2 2 3" xfId="31269" xr:uid="{00000000-0005-0000-0000-000084330000}"/>
    <cellStyle name="40% - Accent1 2 3 6 2 3" xfId="13337" xr:uid="{00000000-0005-0000-0000-000085330000}"/>
    <cellStyle name="40% - Accent1 2 3 6 2 3 2" xfId="24611" xr:uid="{00000000-0005-0000-0000-000086330000}"/>
    <cellStyle name="40% - Accent1 2 3 6 2 3 3" xfId="33488" xr:uid="{00000000-0005-0000-0000-000087330000}"/>
    <cellStyle name="40% - Accent1 2 3 6 2 4" xfId="15787" xr:uid="{00000000-0005-0000-0000-000088330000}"/>
    <cellStyle name="40% - Accent1 2 3 6 2 4 2" xfId="26830" xr:uid="{00000000-0005-0000-0000-000089330000}"/>
    <cellStyle name="40% - Accent1 2 3 6 2 4 3" xfId="35707" xr:uid="{00000000-0005-0000-0000-00008A330000}"/>
    <cellStyle name="40% - Accent1 2 3 6 2 5" xfId="20173" xr:uid="{00000000-0005-0000-0000-00008B330000}"/>
    <cellStyle name="40% - Accent1 2 3 6 2 6" xfId="29050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59" xr:uid="{00000000-0005-0000-0000-00008F330000}"/>
    <cellStyle name="40% - Accent1 2 3 6 3 2 3" xfId="30536" xr:uid="{00000000-0005-0000-0000-000090330000}"/>
    <cellStyle name="40% - Accent1 2 3 6 3 3" xfId="12604" xr:uid="{00000000-0005-0000-0000-000091330000}"/>
    <cellStyle name="40% - Accent1 2 3 6 3 3 2" xfId="23878" xr:uid="{00000000-0005-0000-0000-000092330000}"/>
    <cellStyle name="40% - Accent1 2 3 6 3 3 3" xfId="32755" xr:uid="{00000000-0005-0000-0000-000093330000}"/>
    <cellStyle name="40% - Accent1 2 3 6 3 4" xfId="15054" xr:uid="{00000000-0005-0000-0000-000094330000}"/>
    <cellStyle name="40% - Accent1 2 3 6 3 4 2" xfId="26097" xr:uid="{00000000-0005-0000-0000-000095330000}"/>
    <cellStyle name="40% - Accent1 2 3 6 3 4 3" xfId="34974" xr:uid="{00000000-0005-0000-0000-000096330000}"/>
    <cellStyle name="40% - Accent1 2 3 6 3 5" xfId="19440" xr:uid="{00000000-0005-0000-0000-000097330000}"/>
    <cellStyle name="40% - Accent1 2 3 6 3 6" xfId="28317" xr:uid="{00000000-0005-0000-0000-000098330000}"/>
    <cellStyle name="40% - Accent1 2 3 6 4" xfId="9413" xr:uid="{00000000-0005-0000-0000-000099330000}"/>
    <cellStyle name="40% - Accent1 2 3 6 4 2" xfId="20916" xr:uid="{00000000-0005-0000-0000-00009A330000}"/>
    <cellStyle name="40% - Accent1 2 3 6 4 3" xfId="29793" xr:uid="{00000000-0005-0000-0000-00009B330000}"/>
    <cellStyle name="40% - Accent1 2 3 6 5" xfId="11861" xr:uid="{00000000-0005-0000-0000-00009C330000}"/>
    <cellStyle name="40% - Accent1 2 3 6 5 2" xfId="23135" xr:uid="{00000000-0005-0000-0000-00009D330000}"/>
    <cellStyle name="40% - Accent1 2 3 6 5 3" xfId="32012" xr:uid="{00000000-0005-0000-0000-00009E330000}"/>
    <cellStyle name="40% - Accent1 2 3 6 6" xfId="14082" xr:uid="{00000000-0005-0000-0000-00009F330000}"/>
    <cellStyle name="40% - Accent1 2 3 6 6 2" xfId="25354" xr:uid="{00000000-0005-0000-0000-0000A0330000}"/>
    <cellStyle name="40% - Accent1 2 3 6 6 3" xfId="34231" xr:uid="{00000000-0005-0000-0000-0000A1330000}"/>
    <cellStyle name="40% - Accent1 2 3 6 7" xfId="18691" xr:uid="{00000000-0005-0000-0000-0000A2330000}"/>
    <cellStyle name="40% - Accent1 2 3 6 8" xfId="27572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3" xr:uid="{00000000-0005-0000-0000-0000A7330000}"/>
    <cellStyle name="40% - Accent1 2 3 7 2 2 3" xfId="31270" xr:uid="{00000000-0005-0000-0000-0000A8330000}"/>
    <cellStyle name="40% - Accent1 2 3 7 2 3" xfId="13338" xr:uid="{00000000-0005-0000-0000-0000A9330000}"/>
    <cellStyle name="40% - Accent1 2 3 7 2 3 2" xfId="24612" xr:uid="{00000000-0005-0000-0000-0000AA330000}"/>
    <cellStyle name="40% - Accent1 2 3 7 2 3 3" xfId="33489" xr:uid="{00000000-0005-0000-0000-0000AB330000}"/>
    <cellStyle name="40% - Accent1 2 3 7 2 4" xfId="15788" xr:uid="{00000000-0005-0000-0000-0000AC330000}"/>
    <cellStyle name="40% - Accent1 2 3 7 2 4 2" xfId="26831" xr:uid="{00000000-0005-0000-0000-0000AD330000}"/>
    <cellStyle name="40% - Accent1 2 3 7 2 4 3" xfId="35708" xr:uid="{00000000-0005-0000-0000-0000AE330000}"/>
    <cellStyle name="40% - Accent1 2 3 7 2 5" xfId="20174" xr:uid="{00000000-0005-0000-0000-0000AF330000}"/>
    <cellStyle name="40% - Accent1 2 3 7 2 6" xfId="29051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0" xr:uid="{00000000-0005-0000-0000-0000B3330000}"/>
    <cellStyle name="40% - Accent1 2 3 7 3 2 3" xfId="30537" xr:uid="{00000000-0005-0000-0000-0000B4330000}"/>
    <cellStyle name="40% - Accent1 2 3 7 3 3" xfId="12605" xr:uid="{00000000-0005-0000-0000-0000B5330000}"/>
    <cellStyle name="40% - Accent1 2 3 7 3 3 2" xfId="23879" xr:uid="{00000000-0005-0000-0000-0000B6330000}"/>
    <cellStyle name="40% - Accent1 2 3 7 3 3 3" xfId="32756" xr:uid="{00000000-0005-0000-0000-0000B7330000}"/>
    <cellStyle name="40% - Accent1 2 3 7 3 4" xfId="15055" xr:uid="{00000000-0005-0000-0000-0000B8330000}"/>
    <cellStyle name="40% - Accent1 2 3 7 3 4 2" xfId="26098" xr:uid="{00000000-0005-0000-0000-0000B9330000}"/>
    <cellStyle name="40% - Accent1 2 3 7 3 4 3" xfId="34975" xr:uid="{00000000-0005-0000-0000-0000BA330000}"/>
    <cellStyle name="40% - Accent1 2 3 7 3 5" xfId="19441" xr:uid="{00000000-0005-0000-0000-0000BB330000}"/>
    <cellStyle name="40% - Accent1 2 3 7 3 6" xfId="28318" xr:uid="{00000000-0005-0000-0000-0000BC330000}"/>
    <cellStyle name="40% - Accent1 2 3 7 4" xfId="9414" xr:uid="{00000000-0005-0000-0000-0000BD330000}"/>
    <cellStyle name="40% - Accent1 2 3 7 4 2" xfId="20917" xr:uid="{00000000-0005-0000-0000-0000BE330000}"/>
    <cellStyle name="40% - Accent1 2 3 7 4 3" xfId="29794" xr:uid="{00000000-0005-0000-0000-0000BF330000}"/>
    <cellStyle name="40% - Accent1 2 3 7 5" xfId="11862" xr:uid="{00000000-0005-0000-0000-0000C0330000}"/>
    <cellStyle name="40% - Accent1 2 3 7 5 2" xfId="23136" xr:uid="{00000000-0005-0000-0000-0000C1330000}"/>
    <cellStyle name="40% - Accent1 2 3 7 5 3" xfId="32013" xr:uid="{00000000-0005-0000-0000-0000C2330000}"/>
    <cellStyle name="40% - Accent1 2 3 7 6" xfId="14083" xr:uid="{00000000-0005-0000-0000-0000C3330000}"/>
    <cellStyle name="40% - Accent1 2 3 7 6 2" xfId="25355" xr:uid="{00000000-0005-0000-0000-0000C4330000}"/>
    <cellStyle name="40% - Accent1 2 3 7 6 3" xfId="34232" xr:uid="{00000000-0005-0000-0000-0000C5330000}"/>
    <cellStyle name="40% - Accent1 2 3 7 7" xfId="18692" xr:uid="{00000000-0005-0000-0000-0000C6330000}"/>
    <cellStyle name="40% - Accent1 2 3 7 8" xfId="27573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4" xr:uid="{00000000-0005-0000-0000-0000CB330000}"/>
    <cellStyle name="40% - Accent1 2 3 8 2 2 3" xfId="31271" xr:uid="{00000000-0005-0000-0000-0000CC330000}"/>
    <cellStyle name="40% - Accent1 2 3 8 2 3" xfId="13339" xr:uid="{00000000-0005-0000-0000-0000CD330000}"/>
    <cellStyle name="40% - Accent1 2 3 8 2 3 2" xfId="24613" xr:uid="{00000000-0005-0000-0000-0000CE330000}"/>
    <cellStyle name="40% - Accent1 2 3 8 2 3 3" xfId="33490" xr:uid="{00000000-0005-0000-0000-0000CF330000}"/>
    <cellStyle name="40% - Accent1 2 3 8 2 4" xfId="15789" xr:uid="{00000000-0005-0000-0000-0000D0330000}"/>
    <cellStyle name="40% - Accent1 2 3 8 2 4 2" xfId="26832" xr:uid="{00000000-0005-0000-0000-0000D1330000}"/>
    <cellStyle name="40% - Accent1 2 3 8 2 4 3" xfId="35709" xr:uid="{00000000-0005-0000-0000-0000D2330000}"/>
    <cellStyle name="40% - Accent1 2 3 8 2 5" xfId="20175" xr:uid="{00000000-0005-0000-0000-0000D3330000}"/>
    <cellStyle name="40% - Accent1 2 3 8 2 6" xfId="29052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1" xr:uid="{00000000-0005-0000-0000-0000D7330000}"/>
    <cellStyle name="40% - Accent1 2 3 8 3 2 3" xfId="30538" xr:uid="{00000000-0005-0000-0000-0000D8330000}"/>
    <cellStyle name="40% - Accent1 2 3 8 3 3" xfId="12606" xr:uid="{00000000-0005-0000-0000-0000D9330000}"/>
    <cellStyle name="40% - Accent1 2 3 8 3 3 2" xfId="23880" xr:uid="{00000000-0005-0000-0000-0000DA330000}"/>
    <cellStyle name="40% - Accent1 2 3 8 3 3 3" xfId="32757" xr:uid="{00000000-0005-0000-0000-0000DB330000}"/>
    <cellStyle name="40% - Accent1 2 3 8 3 4" xfId="15056" xr:uid="{00000000-0005-0000-0000-0000DC330000}"/>
    <cellStyle name="40% - Accent1 2 3 8 3 4 2" xfId="26099" xr:uid="{00000000-0005-0000-0000-0000DD330000}"/>
    <cellStyle name="40% - Accent1 2 3 8 3 4 3" xfId="34976" xr:uid="{00000000-0005-0000-0000-0000DE330000}"/>
    <cellStyle name="40% - Accent1 2 3 8 3 5" xfId="19442" xr:uid="{00000000-0005-0000-0000-0000DF330000}"/>
    <cellStyle name="40% - Accent1 2 3 8 3 6" xfId="28319" xr:uid="{00000000-0005-0000-0000-0000E0330000}"/>
    <cellStyle name="40% - Accent1 2 3 8 4" xfId="9415" xr:uid="{00000000-0005-0000-0000-0000E1330000}"/>
    <cellStyle name="40% - Accent1 2 3 8 4 2" xfId="20918" xr:uid="{00000000-0005-0000-0000-0000E2330000}"/>
    <cellStyle name="40% - Accent1 2 3 8 4 3" xfId="29795" xr:uid="{00000000-0005-0000-0000-0000E3330000}"/>
    <cellStyle name="40% - Accent1 2 3 8 5" xfId="11863" xr:uid="{00000000-0005-0000-0000-0000E4330000}"/>
    <cellStyle name="40% - Accent1 2 3 8 5 2" xfId="23137" xr:uid="{00000000-0005-0000-0000-0000E5330000}"/>
    <cellStyle name="40% - Accent1 2 3 8 5 3" xfId="32014" xr:uid="{00000000-0005-0000-0000-0000E6330000}"/>
    <cellStyle name="40% - Accent1 2 3 8 6" xfId="14084" xr:uid="{00000000-0005-0000-0000-0000E7330000}"/>
    <cellStyle name="40% - Accent1 2 3 8 6 2" xfId="25356" xr:uid="{00000000-0005-0000-0000-0000E8330000}"/>
    <cellStyle name="40% - Accent1 2 3 8 6 3" xfId="34233" xr:uid="{00000000-0005-0000-0000-0000E9330000}"/>
    <cellStyle name="40% - Accent1 2 3 8 7" xfId="18693" xr:uid="{00000000-0005-0000-0000-0000EA330000}"/>
    <cellStyle name="40% - Accent1 2 3 8 8" xfId="27574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5" xr:uid="{00000000-0005-0000-0000-0000EF330000}"/>
    <cellStyle name="40% - Accent1 2 3 9 2 2 3" xfId="31272" xr:uid="{00000000-0005-0000-0000-0000F0330000}"/>
    <cellStyle name="40% - Accent1 2 3 9 2 3" xfId="13340" xr:uid="{00000000-0005-0000-0000-0000F1330000}"/>
    <cellStyle name="40% - Accent1 2 3 9 2 3 2" xfId="24614" xr:uid="{00000000-0005-0000-0000-0000F2330000}"/>
    <cellStyle name="40% - Accent1 2 3 9 2 3 3" xfId="33491" xr:uid="{00000000-0005-0000-0000-0000F3330000}"/>
    <cellStyle name="40% - Accent1 2 3 9 2 4" xfId="15790" xr:uid="{00000000-0005-0000-0000-0000F4330000}"/>
    <cellStyle name="40% - Accent1 2 3 9 2 4 2" xfId="26833" xr:uid="{00000000-0005-0000-0000-0000F5330000}"/>
    <cellStyle name="40% - Accent1 2 3 9 2 4 3" xfId="35710" xr:uid="{00000000-0005-0000-0000-0000F6330000}"/>
    <cellStyle name="40% - Accent1 2 3 9 2 5" xfId="20176" xr:uid="{00000000-0005-0000-0000-0000F7330000}"/>
    <cellStyle name="40% - Accent1 2 3 9 2 6" xfId="29053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2" xr:uid="{00000000-0005-0000-0000-0000FB330000}"/>
    <cellStyle name="40% - Accent1 2 3 9 3 2 3" xfId="30539" xr:uid="{00000000-0005-0000-0000-0000FC330000}"/>
    <cellStyle name="40% - Accent1 2 3 9 3 3" xfId="12607" xr:uid="{00000000-0005-0000-0000-0000FD330000}"/>
    <cellStyle name="40% - Accent1 2 3 9 3 3 2" xfId="23881" xr:uid="{00000000-0005-0000-0000-0000FE330000}"/>
    <cellStyle name="40% - Accent1 2 3 9 3 3 3" xfId="32758" xr:uid="{00000000-0005-0000-0000-0000FF330000}"/>
    <cellStyle name="40% - Accent1 2 3 9 3 4" xfId="15057" xr:uid="{00000000-0005-0000-0000-000000340000}"/>
    <cellStyle name="40% - Accent1 2 3 9 3 4 2" xfId="26100" xr:uid="{00000000-0005-0000-0000-000001340000}"/>
    <cellStyle name="40% - Accent1 2 3 9 3 4 3" xfId="34977" xr:uid="{00000000-0005-0000-0000-000002340000}"/>
    <cellStyle name="40% - Accent1 2 3 9 3 5" xfId="19443" xr:uid="{00000000-0005-0000-0000-000003340000}"/>
    <cellStyle name="40% - Accent1 2 3 9 3 6" xfId="28320" xr:uid="{00000000-0005-0000-0000-000004340000}"/>
    <cellStyle name="40% - Accent1 2 3 9 4" xfId="9416" xr:uid="{00000000-0005-0000-0000-000005340000}"/>
    <cellStyle name="40% - Accent1 2 3 9 4 2" xfId="20919" xr:uid="{00000000-0005-0000-0000-000006340000}"/>
    <cellStyle name="40% - Accent1 2 3 9 4 3" xfId="29796" xr:uid="{00000000-0005-0000-0000-000007340000}"/>
    <cellStyle name="40% - Accent1 2 3 9 5" xfId="11864" xr:uid="{00000000-0005-0000-0000-000008340000}"/>
    <cellStyle name="40% - Accent1 2 3 9 5 2" xfId="23138" xr:uid="{00000000-0005-0000-0000-000009340000}"/>
    <cellStyle name="40% - Accent1 2 3 9 5 3" xfId="32015" xr:uid="{00000000-0005-0000-0000-00000A340000}"/>
    <cellStyle name="40% - Accent1 2 3 9 6" xfId="14085" xr:uid="{00000000-0005-0000-0000-00000B340000}"/>
    <cellStyle name="40% - Accent1 2 3 9 6 2" xfId="25357" xr:uid="{00000000-0005-0000-0000-00000C340000}"/>
    <cellStyle name="40% - Accent1 2 3 9 6 3" xfId="34234" xr:uid="{00000000-0005-0000-0000-00000D340000}"/>
    <cellStyle name="40% - Accent1 2 3 9 7" xfId="18694" xr:uid="{00000000-0005-0000-0000-00000E340000}"/>
    <cellStyle name="40% - Accent1 2 3 9 8" xfId="27575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6" xr:uid="{00000000-0005-0000-0000-000013340000}"/>
    <cellStyle name="40% - Accent1 2 4 10 2 3" xfId="31273" xr:uid="{00000000-0005-0000-0000-000014340000}"/>
    <cellStyle name="40% - Accent1 2 4 10 3" xfId="13341" xr:uid="{00000000-0005-0000-0000-000015340000}"/>
    <cellStyle name="40% - Accent1 2 4 10 3 2" xfId="24615" xr:uid="{00000000-0005-0000-0000-000016340000}"/>
    <cellStyle name="40% - Accent1 2 4 10 3 3" xfId="33492" xr:uid="{00000000-0005-0000-0000-000017340000}"/>
    <cellStyle name="40% - Accent1 2 4 10 4" xfId="15791" xr:uid="{00000000-0005-0000-0000-000018340000}"/>
    <cellStyle name="40% - Accent1 2 4 10 4 2" xfId="26834" xr:uid="{00000000-0005-0000-0000-000019340000}"/>
    <cellStyle name="40% - Accent1 2 4 10 4 3" xfId="35711" xr:uid="{00000000-0005-0000-0000-00001A340000}"/>
    <cellStyle name="40% - Accent1 2 4 10 5" xfId="20177" xr:uid="{00000000-0005-0000-0000-00001B340000}"/>
    <cellStyle name="40% - Accent1 2 4 10 6" xfId="29054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3" xr:uid="{00000000-0005-0000-0000-00001F340000}"/>
    <cellStyle name="40% - Accent1 2 4 11 2 3" xfId="30540" xr:uid="{00000000-0005-0000-0000-000020340000}"/>
    <cellStyle name="40% - Accent1 2 4 11 3" xfId="12608" xr:uid="{00000000-0005-0000-0000-000021340000}"/>
    <cellStyle name="40% - Accent1 2 4 11 3 2" xfId="23882" xr:uid="{00000000-0005-0000-0000-000022340000}"/>
    <cellStyle name="40% - Accent1 2 4 11 3 3" xfId="32759" xr:uid="{00000000-0005-0000-0000-000023340000}"/>
    <cellStyle name="40% - Accent1 2 4 11 4" xfId="15058" xr:uid="{00000000-0005-0000-0000-000024340000}"/>
    <cellStyle name="40% - Accent1 2 4 11 4 2" xfId="26101" xr:uid="{00000000-0005-0000-0000-000025340000}"/>
    <cellStyle name="40% - Accent1 2 4 11 4 3" xfId="34978" xr:uid="{00000000-0005-0000-0000-000026340000}"/>
    <cellStyle name="40% - Accent1 2 4 11 5" xfId="19444" xr:uid="{00000000-0005-0000-0000-000027340000}"/>
    <cellStyle name="40% - Accent1 2 4 11 6" xfId="28321" xr:uid="{00000000-0005-0000-0000-000028340000}"/>
    <cellStyle name="40% - Accent1 2 4 12" xfId="9417" xr:uid="{00000000-0005-0000-0000-000029340000}"/>
    <cellStyle name="40% - Accent1 2 4 12 2" xfId="20920" xr:uid="{00000000-0005-0000-0000-00002A340000}"/>
    <cellStyle name="40% - Accent1 2 4 12 3" xfId="29797" xr:uid="{00000000-0005-0000-0000-00002B340000}"/>
    <cellStyle name="40% - Accent1 2 4 13" xfId="11865" xr:uid="{00000000-0005-0000-0000-00002C340000}"/>
    <cellStyle name="40% - Accent1 2 4 13 2" xfId="23139" xr:uid="{00000000-0005-0000-0000-00002D340000}"/>
    <cellStyle name="40% - Accent1 2 4 13 3" xfId="32016" xr:uid="{00000000-0005-0000-0000-00002E340000}"/>
    <cellStyle name="40% - Accent1 2 4 14" xfId="14086" xr:uid="{00000000-0005-0000-0000-00002F340000}"/>
    <cellStyle name="40% - Accent1 2 4 14 2" xfId="25358" xr:uid="{00000000-0005-0000-0000-000030340000}"/>
    <cellStyle name="40% - Accent1 2 4 14 3" xfId="34235" xr:uid="{00000000-0005-0000-0000-000031340000}"/>
    <cellStyle name="40% - Accent1 2 4 15" xfId="18695" xr:uid="{00000000-0005-0000-0000-000032340000}"/>
    <cellStyle name="40% - Accent1 2 4 16" xfId="27576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7" xr:uid="{00000000-0005-0000-0000-000037340000}"/>
    <cellStyle name="40% - Accent1 2 4 2 2 2 3" xfId="31274" xr:uid="{00000000-0005-0000-0000-000038340000}"/>
    <cellStyle name="40% - Accent1 2 4 2 2 3" xfId="13342" xr:uid="{00000000-0005-0000-0000-000039340000}"/>
    <cellStyle name="40% - Accent1 2 4 2 2 3 2" xfId="24616" xr:uid="{00000000-0005-0000-0000-00003A340000}"/>
    <cellStyle name="40% - Accent1 2 4 2 2 3 3" xfId="33493" xr:uid="{00000000-0005-0000-0000-00003B340000}"/>
    <cellStyle name="40% - Accent1 2 4 2 2 4" xfId="15792" xr:uid="{00000000-0005-0000-0000-00003C340000}"/>
    <cellStyle name="40% - Accent1 2 4 2 2 4 2" xfId="26835" xr:uid="{00000000-0005-0000-0000-00003D340000}"/>
    <cellStyle name="40% - Accent1 2 4 2 2 4 3" xfId="35712" xr:uid="{00000000-0005-0000-0000-00003E340000}"/>
    <cellStyle name="40% - Accent1 2 4 2 2 5" xfId="20178" xr:uid="{00000000-0005-0000-0000-00003F340000}"/>
    <cellStyle name="40% - Accent1 2 4 2 2 6" xfId="29055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4" xr:uid="{00000000-0005-0000-0000-000043340000}"/>
    <cellStyle name="40% - Accent1 2 4 2 3 2 3" xfId="30541" xr:uid="{00000000-0005-0000-0000-000044340000}"/>
    <cellStyle name="40% - Accent1 2 4 2 3 3" xfId="12609" xr:uid="{00000000-0005-0000-0000-000045340000}"/>
    <cellStyle name="40% - Accent1 2 4 2 3 3 2" xfId="23883" xr:uid="{00000000-0005-0000-0000-000046340000}"/>
    <cellStyle name="40% - Accent1 2 4 2 3 3 3" xfId="32760" xr:uid="{00000000-0005-0000-0000-000047340000}"/>
    <cellStyle name="40% - Accent1 2 4 2 3 4" xfId="15059" xr:uid="{00000000-0005-0000-0000-000048340000}"/>
    <cellStyle name="40% - Accent1 2 4 2 3 4 2" xfId="26102" xr:uid="{00000000-0005-0000-0000-000049340000}"/>
    <cellStyle name="40% - Accent1 2 4 2 3 4 3" xfId="34979" xr:uid="{00000000-0005-0000-0000-00004A340000}"/>
    <cellStyle name="40% - Accent1 2 4 2 3 5" xfId="19445" xr:uid="{00000000-0005-0000-0000-00004B340000}"/>
    <cellStyle name="40% - Accent1 2 4 2 3 6" xfId="28322" xr:uid="{00000000-0005-0000-0000-00004C340000}"/>
    <cellStyle name="40% - Accent1 2 4 2 4" xfId="9418" xr:uid="{00000000-0005-0000-0000-00004D340000}"/>
    <cellStyle name="40% - Accent1 2 4 2 4 2" xfId="20921" xr:uid="{00000000-0005-0000-0000-00004E340000}"/>
    <cellStyle name="40% - Accent1 2 4 2 4 3" xfId="29798" xr:uid="{00000000-0005-0000-0000-00004F340000}"/>
    <cellStyle name="40% - Accent1 2 4 2 5" xfId="11866" xr:uid="{00000000-0005-0000-0000-000050340000}"/>
    <cellStyle name="40% - Accent1 2 4 2 5 2" xfId="23140" xr:uid="{00000000-0005-0000-0000-000051340000}"/>
    <cellStyle name="40% - Accent1 2 4 2 5 3" xfId="32017" xr:uid="{00000000-0005-0000-0000-000052340000}"/>
    <cellStyle name="40% - Accent1 2 4 2 6" xfId="14087" xr:uid="{00000000-0005-0000-0000-000053340000}"/>
    <cellStyle name="40% - Accent1 2 4 2 6 2" xfId="25359" xr:uid="{00000000-0005-0000-0000-000054340000}"/>
    <cellStyle name="40% - Accent1 2 4 2 6 3" xfId="34236" xr:uid="{00000000-0005-0000-0000-000055340000}"/>
    <cellStyle name="40% - Accent1 2 4 2 7" xfId="18696" xr:uid="{00000000-0005-0000-0000-000056340000}"/>
    <cellStyle name="40% - Accent1 2 4 2 8" xfId="27577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8" xr:uid="{00000000-0005-0000-0000-00005B340000}"/>
    <cellStyle name="40% - Accent1 2 4 3 2 2 3" xfId="31275" xr:uid="{00000000-0005-0000-0000-00005C340000}"/>
    <cellStyle name="40% - Accent1 2 4 3 2 3" xfId="13343" xr:uid="{00000000-0005-0000-0000-00005D340000}"/>
    <cellStyle name="40% - Accent1 2 4 3 2 3 2" xfId="24617" xr:uid="{00000000-0005-0000-0000-00005E340000}"/>
    <cellStyle name="40% - Accent1 2 4 3 2 3 3" xfId="33494" xr:uid="{00000000-0005-0000-0000-00005F340000}"/>
    <cellStyle name="40% - Accent1 2 4 3 2 4" xfId="15793" xr:uid="{00000000-0005-0000-0000-000060340000}"/>
    <cellStyle name="40% - Accent1 2 4 3 2 4 2" xfId="26836" xr:uid="{00000000-0005-0000-0000-000061340000}"/>
    <cellStyle name="40% - Accent1 2 4 3 2 4 3" xfId="35713" xr:uid="{00000000-0005-0000-0000-000062340000}"/>
    <cellStyle name="40% - Accent1 2 4 3 2 5" xfId="20179" xr:uid="{00000000-0005-0000-0000-000063340000}"/>
    <cellStyle name="40% - Accent1 2 4 3 2 6" xfId="29056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5" xr:uid="{00000000-0005-0000-0000-000067340000}"/>
    <cellStyle name="40% - Accent1 2 4 3 3 2 3" xfId="30542" xr:uid="{00000000-0005-0000-0000-000068340000}"/>
    <cellStyle name="40% - Accent1 2 4 3 3 3" xfId="12610" xr:uid="{00000000-0005-0000-0000-000069340000}"/>
    <cellStyle name="40% - Accent1 2 4 3 3 3 2" xfId="23884" xr:uid="{00000000-0005-0000-0000-00006A340000}"/>
    <cellStyle name="40% - Accent1 2 4 3 3 3 3" xfId="32761" xr:uid="{00000000-0005-0000-0000-00006B340000}"/>
    <cellStyle name="40% - Accent1 2 4 3 3 4" xfId="15060" xr:uid="{00000000-0005-0000-0000-00006C340000}"/>
    <cellStyle name="40% - Accent1 2 4 3 3 4 2" xfId="26103" xr:uid="{00000000-0005-0000-0000-00006D340000}"/>
    <cellStyle name="40% - Accent1 2 4 3 3 4 3" xfId="34980" xr:uid="{00000000-0005-0000-0000-00006E340000}"/>
    <cellStyle name="40% - Accent1 2 4 3 3 5" xfId="19446" xr:uid="{00000000-0005-0000-0000-00006F340000}"/>
    <cellStyle name="40% - Accent1 2 4 3 3 6" xfId="28323" xr:uid="{00000000-0005-0000-0000-000070340000}"/>
    <cellStyle name="40% - Accent1 2 4 3 4" xfId="9419" xr:uid="{00000000-0005-0000-0000-000071340000}"/>
    <cellStyle name="40% - Accent1 2 4 3 4 2" xfId="20922" xr:uid="{00000000-0005-0000-0000-000072340000}"/>
    <cellStyle name="40% - Accent1 2 4 3 4 3" xfId="29799" xr:uid="{00000000-0005-0000-0000-000073340000}"/>
    <cellStyle name="40% - Accent1 2 4 3 5" xfId="11867" xr:uid="{00000000-0005-0000-0000-000074340000}"/>
    <cellStyle name="40% - Accent1 2 4 3 5 2" xfId="23141" xr:uid="{00000000-0005-0000-0000-000075340000}"/>
    <cellStyle name="40% - Accent1 2 4 3 5 3" xfId="32018" xr:uid="{00000000-0005-0000-0000-000076340000}"/>
    <cellStyle name="40% - Accent1 2 4 3 6" xfId="14088" xr:uid="{00000000-0005-0000-0000-000077340000}"/>
    <cellStyle name="40% - Accent1 2 4 3 6 2" xfId="25360" xr:uid="{00000000-0005-0000-0000-000078340000}"/>
    <cellStyle name="40% - Accent1 2 4 3 6 3" xfId="34237" xr:uid="{00000000-0005-0000-0000-000079340000}"/>
    <cellStyle name="40% - Accent1 2 4 3 7" xfId="18697" xr:uid="{00000000-0005-0000-0000-00007A340000}"/>
    <cellStyle name="40% - Accent1 2 4 3 8" xfId="27578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399" xr:uid="{00000000-0005-0000-0000-00007F340000}"/>
    <cellStyle name="40% - Accent1 2 4 4 2 2 3" xfId="31276" xr:uid="{00000000-0005-0000-0000-000080340000}"/>
    <cellStyle name="40% - Accent1 2 4 4 2 3" xfId="13344" xr:uid="{00000000-0005-0000-0000-000081340000}"/>
    <cellStyle name="40% - Accent1 2 4 4 2 3 2" xfId="24618" xr:uid="{00000000-0005-0000-0000-000082340000}"/>
    <cellStyle name="40% - Accent1 2 4 4 2 3 3" xfId="33495" xr:uid="{00000000-0005-0000-0000-000083340000}"/>
    <cellStyle name="40% - Accent1 2 4 4 2 4" xfId="15794" xr:uid="{00000000-0005-0000-0000-000084340000}"/>
    <cellStyle name="40% - Accent1 2 4 4 2 4 2" xfId="26837" xr:uid="{00000000-0005-0000-0000-000085340000}"/>
    <cellStyle name="40% - Accent1 2 4 4 2 4 3" xfId="35714" xr:uid="{00000000-0005-0000-0000-000086340000}"/>
    <cellStyle name="40% - Accent1 2 4 4 2 5" xfId="20180" xr:uid="{00000000-0005-0000-0000-000087340000}"/>
    <cellStyle name="40% - Accent1 2 4 4 2 6" xfId="29057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6" xr:uid="{00000000-0005-0000-0000-00008B340000}"/>
    <cellStyle name="40% - Accent1 2 4 4 3 2 3" xfId="30543" xr:uid="{00000000-0005-0000-0000-00008C340000}"/>
    <cellStyle name="40% - Accent1 2 4 4 3 3" xfId="12611" xr:uid="{00000000-0005-0000-0000-00008D340000}"/>
    <cellStyle name="40% - Accent1 2 4 4 3 3 2" xfId="23885" xr:uid="{00000000-0005-0000-0000-00008E340000}"/>
    <cellStyle name="40% - Accent1 2 4 4 3 3 3" xfId="32762" xr:uid="{00000000-0005-0000-0000-00008F340000}"/>
    <cellStyle name="40% - Accent1 2 4 4 3 4" xfId="15061" xr:uid="{00000000-0005-0000-0000-000090340000}"/>
    <cellStyle name="40% - Accent1 2 4 4 3 4 2" xfId="26104" xr:uid="{00000000-0005-0000-0000-000091340000}"/>
    <cellStyle name="40% - Accent1 2 4 4 3 4 3" xfId="34981" xr:uid="{00000000-0005-0000-0000-000092340000}"/>
    <cellStyle name="40% - Accent1 2 4 4 3 5" xfId="19447" xr:uid="{00000000-0005-0000-0000-000093340000}"/>
    <cellStyle name="40% - Accent1 2 4 4 3 6" xfId="28324" xr:uid="{00000000-0005-0000-0000-000094340000}"/>
    <cellStyle name="40% - Accent1 2 4 4 4" xfId="9420" xr:uid="{00000000-0005-0000-0000-000095340000}"/>
    <cellStyle name="40% - Accent1 2 4 4 4 2" xfId="20923" xr:uid="{00000000-0005-0000-0000-000096340000}"/>
    <cellStyle name="40% - Accent1 2 4 4 4 3" xfId="29800" xr:uid="{00000000-0005-0000-0000-000097340000}"/>
    <cellStyle name="40% - Accent1 2 4 4 5" xfId="11868" xr:uid="{00000000-0005-0000-0000-000098340000}"/>
    <cellStyle name="40% - Accent1 2 4 4 5 2" xfId="23142" xr:uid="{00000000-0005-0000-0000-000099340000}"/>
    <cellStyle name="40% - Accent1 2 4 4 5 3" xfId="32019" xr:uid="{00000000-0005-0000-0000-00009A340000}"/>
    <cellStyle name="40% - Accent1 2 4 4 6" xfId="14089" xr:uid="{00000000-0005-0000-0000-00009B340000}"/>
    <cellStyle name="40% - Accent1 2 4 4 6 2" xfId="25361" xr:uid="{00000000-0005-0000-0000-00009C340000}"/>
    <cellStyle name="40% - Accent1 2 4 4 6 3" xfId="34238" xr:uid="{00000000-0005-0000-0000-00009D340000}"/>
    <cellStyle name="40% - Accent1 2 4 4 7" xfId="18698" xr:uid="{00000000-0005-0000-0000-00009E340000}"/>
    <cellStyle name="40% - Accent1 2 4 4 8" xfId="27579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0" xr:uid="{00000000-0005-0000-0000-0000A3340000}"/>
    <cellStyle name="40% - Accent1 2 4 5 2 2 3" xfId="31277" xr:uid="{00000000-0005-0000-0000-0000A4340000}"/>
    <cellStyle name="40% - Accent1 2 4 5 2 3" xfId="13345" xr:uid="{00000000-0005-0000-0000-0000A5340000}"/>
    <cellStyle name="40% - Accent1 2 4 5 2 3 2" xfId="24619" xr:uid="{00000000-0005-0000-0000-0000A6340000}"/>
    <cellStyle name="40% - Accent1 2 4 5 2 3 3" xfId="33496" xr:uid="{00000000-0005-0000-0000-0000A7340000}"/>
    <cellStyle name="40% - Accent1 2 4 5 2 4" xfId="15795" xr:uid="{00000000-0005-0000-0000-0000A8340000}"/>
    <cellStyle name="40% - Accent1 2 4 5 2 4 2" xfId="26838" xr:uid="{00000000-0005-0000-0000-0000A9340000}"/>
    <cellStyle name="40% - Accent1 2 4 5 2 4 3" xfId="35715" xr:uid="{00000000-0005-0000-0000-0000AA340000}"/>
    <cellStyle name="40% - Accent1 2 4 5 2 5" xfId="20181" xr:uid="{00000000-0005-0000-0000-0000AB340000}"/>
    <cellStyle name="40% - Accent1 2 4 5 2 6" xfId="29058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7" xr:uid="{00000000-0005-0000-0000-0000AF340000}"/>
    <cellStyle name="40% - Accent1 2 4 5 3 2 3" xfId="30544" xr:uid="{00000000-0005-0000-0000-0000B0340000}"/>
    <cellStyle name="40% - Accent1 2 4 5 3 3" xfId="12612" xr:uid="{00000000-0005-0000-0000-0000B1340000}"/>
    <cellStyle name="40% - Accent1 2 4 5 3 3 2" xfId="23886" xr:uid="{00000000-0005-0000-0000-0000B2340000}"/>
    <cellStyle name="40% - Accent1 2 4 5 3 3 3" xfId="32763" xr:uid="{00000000-0005-0000-0000-0000B3340000}"/>
    <cellStyle name="40% - Accent1 2 4 5 3 4" xfId="15062" xr:uid="{00000000-0005-0000-0000-0000B4340000}"/>
    <cellStyle name="40% - Accent1 2 4 5 3 4 2" xfId="26105" xr:uid="{00000000-0005-0000-0000-0000B5340000}"/>
    <cellStyle name="40% - Accent1 2 4 5 3 4 3" xfId="34982" xr:uid="{00000000-0005-0000-0000-0000B6340000}"/>
    <cellStyle name="40% - Accent1 2 4 5 3 5" xfId="19448" xr:uid="{00000000-0005-0000-0000-0000B7340000}"/>
    <cellStyle name="40% - Accent1 2 4 5 3 6" xfId="28325" xr:uid="{00000000-0005-0000-0000-0000B8340000}"/>
    <cellStyle name="40% - Accent1 2 4 5 4" xfId="9421" xr:uid="{00000000-0005-0000-0000-0000B9340000}"/>
    <cellStyle name="40% - Accent1 2 4 5 4 2" xfId="20924" xr:uid="{00000000-0005-0000-0000-0000BA340000}"/>
    <cellStyle name="40% - Accent1 2 4 5 4 3" xfId="29801" xr:uid="{00000000-0005-0000-0000-0000BB340000}"/>
    <cellStyle name="40% - Accent1 2 4 5 5" xfId="11869" xr:uid="{00000000-0005-0000-0000-0000BC340000}"/>
    <cellStyle name="40% - Accent1 2 4 5 5 2" xfId="23143" xr:uid="{00000000-0005-0000-0000-0000BD340000}"/>
    <cellStyle name="40% - Accent1 2 4 5 5 3" xfId="32020" xr:uid="{00000000-0005-0000-0000-0000BE340000}"/>
    <cellStyle name="40% - Accent1 2 4 5 6" xfId="14090" xr:uid="{00000000-0005-0000-0000-0000BF340000}"/>
    <cellStyle name="40% - Accent1 2 4 5 6 2" xfId="25362" xr:uid="{00000000-0005-0000-0000-0000C0340000}"/>
    <cellStyle name="40% - Accent1 2 4 5 6 3" xfId="34239" xr:uid="{00000000-0005-0000-0000-0000C1340000}"/>
    <cellStyle name="40% - Accent1 2 4 5 7" xfId="18699" xr:uid="{00000000-0005-0000-0000-0000C2340000}"/>
    <cellStyle name="40% - Accent1 2 4 5 8" xfId="27580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1" xr:uid="{00000000-0005-0000-0000-0000C7340000}"/>
    <cellStyle name="40% - Accent1 2 4 6 2 2 3" xfId="31278" xr:uid="{00000000-0005-0000-0000-0000C8340000}"/>
    <cellStyle name="40% - Accent1 2 4 6 2 3" xfId="13346" xr:uid="{00000000-0005-0000-0000-0000C9340000}"/>
    <cellStyle name="40% - Accent1 2 4 6 2 3 2" xfId="24620" xr:uid="{00000000-0005-0000-0000-0000CA340000}"/>
    <cellStyle name="40% - Accent1 2 4 6 2 3 3" xfId="33497" xr:uid="{00000000-0005-0000-0000-0000CB340000}"/>
    <cellStyle name="40% - Accent1 2 4 6 2 4" xfId="15796" xr:uid="{00000000-0005-0000-0000-0000CC340000}"/>
    <cellStyle name="40% - Accent1 2 4 6 2 4 2" xfId="26839" xr:uid="{00000000-0005-0000-0000-0000CD340000}"/>
    <cellStyle name="40% - Accent1 2 4 6 2 4 3" xfId="35716" xr:uid="{00000000-0005-0000-0000-0000CE340000}"/>
    <cellStyle name="40% - Accent1 2 4 6 2 5" xfId="20182" xr:uid="{00000000-0005-0000-0000-0000CF340000}"/>
    <cellStyle name="40% - Accent1 2 4 6 2 6" xfId="29059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8" xr:uid="{00000000-0005-0000-0000-0000D3340000}"/>
    <cellStyle name="40% - Accent1 2 4 6 3 2 3" xfId="30545" xr:uid="{00000000-0005-0000-0000-0000D4340000}"/>
    <cellStyle name="40% - Accent1 2 4 6 3 3" xfId="12613" xr:uid="{00000000-0005-0000-0000-0000D5340000}"/>
    <cellStyle name="40% - Accent1 2 4 6 3 3 2" xfId="23887" xr:uid="{00000000-0005-0000-0000-0000D6340000}"/>
    <cellStyle name="40% - Accent1 2 4 6 3 3 3" xfId="32764" xr:uid="{00000000-0005-0000-0000-0000D7340000}"/>
    <cellStyle name="40% - Accent1 2 4 6 3 4" xfId="15063" xr:uid="{00000000-0005-0000-0000-0000D8340000}"/>
    <cellStyle name="40% - Accent1 2 4 6 3 4 2" xfId="26106" xr:uid="{00000000-0005-0000-0000-0000D9340000}"/>
    <cellStyle name="40% - Accent1 2 4 6 3 4 3" xfId="34983" xr:uid="{00000000-0005-0000-0000-0000DA340000}"/>
    <cellStyle name="40% - Accent1 2 4 6 3 5" xfId="19449" xr:uid="{00000000-0005-0000-0000-0000DB340000}"/>
    <cellStyle name="40% - Accent1 2 4 6 3 6" xfId="28326" xr:uid="{00000000-0005-0000-0000-0000DC340000}"/>
    <cellStyle name="40% - Accent1 2 4 6 4" xfId="9422" xr:uid="{00000000-0005-0000-0000-0000DD340000}"/>
    <cellStyle name="40% - Accent1 2 4 6 4 2" xfId="20925" xr:uid="{00000000-0005-0000-0000-0000DE340000}"/>
    <cellStyle name="40% - Accent1 2 4 6 4 3" xfId="29802" xr:uid="{00000000-0005-0000-0000-0000DF340000}"/>
    <cellStyle name="40% - Accent1 2 4 6 5" xfId="11870" xr:uid="{00000000-0005-0000-0000-0000E0340000}"/>
    <cellStyle name="40% - Accent1 2 4 6 5 2" xfId="23144" xr:uid="{00000000-0005-0000-0000-0000E1340000}"/>
    <cellStyle name="40% - Accent1 2 4 6 5 3" xfId="32021" xr:uid="{00000000-0005-0000-0000-0000E2340000}"/>
    <cellStyle name="40% - Accent1 2 4 6 6" xfId="14091" xr:uid="{00000000-0005-0000-0000-0000E3340000}"/>
    <cellStyle name="40% - Accent1 2 4 6 6 2" xfId="25363" xr:uid="{00000000-0005-0000-0000-0000E4340000}"/>
    <cellStyle name="40% - Accent1 2 4 6 6 3" xfId="34240" xr:uid="{00000000-0005-0000-0000-0000E5340000}"/>
    <cellStyle name="40% - Accent1 2 4 6 7" xfId="18700" xr:uid="{00000000-0005-0000-0000-0000E6340000}"/>
    <cellStyle name="40% - Accent1 2 4 6 8" xfId="27581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2" xr:uid="{00000000-0005-0000-0000-0000EB340000}"/>
    <cellStyle name="40% - Accent1 2 4 7 2 2 3" xfId="31279" xr:uid="{00000000-0005-0000-0000-0000EC340000}"/>
    <cellStyle name="40% - Accent1 2 4 7 2 3" xfId="13347" xr:uid="{00000000-0005-0000-0000-0000ED340000}"/>
    <cellStyle name="40% - Accent1 2 4 7 2 3 2" xfId="24621" xr:uid="{00000000-0005-0000-0000-0000EE340000}"/>
    <cellStyle name="40% - Accent1 2 4 7 2 3 3" xfId="33498" xr:uid="{00000000-0005-0000-0000-0000EF340000}"/>
    <cellStyle name="40% - Accent1 2 4 7 2 4" xfId="15797" xr:uid="{00000000-0005-0000-0000-0000F0340000}"/>
    <cellStyle name="40% - Accent1 2 4 7 2 4 2" xfId="26840" xr:uid="{00000000-0005-0000-0000-0000F1340000}"/>
    <cellStyle name="40% - Accent1 2 4 7 2 4 3" xfId="35717" xr:uid="{00000000-0005-0000-0000-0000F2340000}"/>
    <cellStyle name="40% - Accent1 2 4 7 2 5" xfId="20183" xr:uid="{00000000-0005-0000-0000-0000F3340000}"/>
    <cellStyle name="40% - Accent1 2 4 7 2 6" xfId="29060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69" xr:uid="{00000000-0005-0000-0000-0000F7340000}"/>
    <cellStyle name="40% - Accent1 2 4 7 3 2 3" xfId="30546" xr:uid="{00000000-0005-0000-0000-0000F8340000}"/>
    <cellStyle name="40% - Accent1 2 4 7 3 3" xfId="12614" xr:uid="{00000000-0005-0000-0000-0000F9340000}"/>
    <cellStyle name="40% - Accent1 2 4 7 3 3 2" xfId="23888" xr:uid="{00000000-0005-0000-0000-0000FA340000}"/>
    <cellStyle name="40% - Accent1 2 4 7 3 3 3" xfId="32765" xr:uid="{00000000-0005-0000-0000-0000FB340000}"/>
    <cellStyle name="40% - Accent1 2 4 7 3 4" xfId="15064" xr:uid="{00000000-0005-0000-0000-0000FC340000}"/>
    <cellStyle name="40% - Accent1 2 4 7 3 4 2" xfId="26107" xr:uid="{00000000-0005-0000-0000-0000FD340000}"/>
    <cellStyle name="40% - Accent1 2 4 7 3 4 3" xfId="34984" xr:uid="{00000000-0005-0000-0000-0000FE340000}"/>
    <cellStyle name="40% - Accent1 2 4 7 3 5" xfId="19450" xr:uid="{00000000-0005-0000-0000-0000FF340000}"/>
    <cellStyle name="40% - Accent1 2 4 7 3 6" xfId="28327" xr:uid="{00000000-0005-0000-0000-000000350000}"/>
    <cellStyle name="40% - Accent1 2 4 7 4" xfId="9423" xr:uid="{00000000-0005-0000-0000-000001350000}"/>
    <cellStyle name="40% - Accent1 2 4 7 4 2" xfId="20926" xr:uid="{00000000-0005-0000-0000-000002350000}"/>
    <cellStyle name="40% - Accent1 2 4 7 4 3" xfId="29803" xr:uid="{00000000-0005-0000-0000-000003350000}"/>
    <cellStyle name="40% - Accent1 2 4 7 5" xfId="11871" xr:uid="{00000000-0005-0000-0000-000004350000}"/>
    <cellStyle name="40% - Accent1 2 4 7 5 2" xfId="23145" xr:uid="{00000000-0005-0000-0000-000005350000}"/>
    <cellStyle name="40% - Accent1 2 4 7 5 3" xfId="32022" xr:uid="{00000000-0005-0000-0000-000006350000}"/>
    <cellStyle name="40% - Accent1 2 4 7 6" xfId="14092" xr:uid="{00000000-0005-0000-0000-000007350000}"/>
    <cellStyle name="40% - Accent1 2 4 7 6 2" xfId="25364" xr:uid="{00000000-0005-0000-0000-000008350000}"/>
    <cellStyle name="40% - Accent1 2 4 7 6 3" xfId="34241" xr:uid="{00000000-0005-0000-0000-000009350000}"/>
    <cellStyle name="40% - Accent1 2 4 7 7" xfId="18701" xr:uid="{00000000-0005-0000-0000-00000A350000}"/>
    <cellStyle name="40% - Accent1 2 4 7 8" xfId="27582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3" xr:uid="{00000000-0005-0000-0000-00000F350000}"/>
    <cellStyle name="40% - Accent1 2 4 8 2 2 3" xfId="31280" xr:uid="{00000000-0005-0000-0000-000010350000}"/>
    <cellStyle name="40% - Accent1 2 4 8 2 3" xfId="13348" xr:uid="{00000000-0005-0000-0000-000011350000}"/>
    <cellStyle name="40% - Accent1 2 4 8 2 3 2" xfId="24622" xr:uid="{00000000-0005-0000-0000-000012350000}"/>
    <cellStyle name="40% - Accent1 2 4 8 2 3 3" xfId="33499" xr:uid="{00000000-0005-0000-0000-000013350000}"/>
    <cellStyle name="40% - Accent1 2 4 8 2 4" xfId="15798" xr:uid="{00000000-0005-0000-0000-000014350000}"/>
    <cellStyle name="40% - Accent1 2 4 8 2 4 2" xfId="26841" xr:uid="{00000000-0005-0000-0000-000015350000}"/>
    <cellStyle name="40% - Accent1 2 4 8 2 4 3" xfId="35718" xr:uid="{00000000-0005-0000-0000-000016350000}"/>
    <cellStyle name="40% - Accent1 2 4 8 2 5" xfId="20184" xr:uid="{00000000-0005-0000-0000-000017350000}"/>
    <cellStyle name="40% - Accent1 2 4 8 2 6" xfId="29061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0" xr:uid="{00000000-0005-0000-0000-00001B350000}"/>
    <cellStyle name="40% - Accent1 2 4 8 3 2 3" xfId="30547" xr:uid="{00000000-0005-0000-0000-00001C350000}"/>
    <cellStyle name="40% - Accent1 2 4 8 3 3" xfId="12615" xr:uid="{00000000-0005-0000-0000-00001D350000}"/>
    <cellStyle name="40% - Accent1 2 4 8 3 3 2" xfId="23889" xr:uid="{00000000-0005-0000-0000-00001E350000}"/>
    <cellStyle name="40% - Accent1 2 4 8 3 3 3" xfId="32766" xr:uid="{00000000-0005-0000-0000-00001F350000}"/>
    <cellStyle name="40% - Accent1 2 4 8 3 4" xfId="15065" xr:uid="{00000000-0005-0000-0000-000020350000}"/>
    <cellStyle name="40% - Accent1 2 4 8 3 4 2" xfId="26108" xr:uid="{00000000-0005-0000-0000-000021350000}"/>
    <cellStyle name="40% - Accent1 2 4 8 3 4 3" xfId="34985" xr:uid="{00000000-0005-0000-0000-000022350000}"/>
    <cellStyle name="40% - Accent1 2 4 8 3 5" xfId="19451" xr:uid="{00000000-0005-0000-0000-000023350000}"/>
    <cellStyle name="40% - Accent1 2 4 8 3 6" xfId="28328" xr:uid="{00000000-0005-0000-0000-000024350000}"/>
    <cellStyle name="40% - Accent1 2 4 8 4" xfId="9424" xr:uid="{00000000-0005-0000-0000-000025350000}"/>
    <cellStyle name="40% - Accent1 2 4 8 4 2" xfId="20927" xr:uid="{00000000-0005-0000-0000-000026350000}"/>
    <cellStyle name="40% - Accent1 2 4 8 4 3" xfId="29804" xr:uid="{00000000-0005-0000-0000-000027350000}"/>
    <cellStyle name="40% - Accent1 2 4 8 5" xfId="11872" xr:uid="{00000000-0005-0000-0000-000028350000}"/>
    <cellStyle name="40% - Accent1 2 4 8 5 2" xfId="23146" xr:uid="{00000000-0005-0000-0000-000029350000}"/>
    <cellStyle name="40% - Accent1 2 4 8 5 3" xfId="32023" xr:uid="{00000000-0005-0000-0000-00002A350000}"/>
    <cellStyle name="40% - Accent1 2 4 8 6" xfId="14093" xr:uid="{00000000-0005-0000-0000-00002B350000}"/>
    <cellStyle name="40% - Accent1 2 4 8 6 2" xfId="25365" xr:uid="{00000000-0005-0000-0000-00002C350000}"/>
    <cellStyle name="40% - Accent1 2 4 8 6 3" xfId="34242" xr:uid="{00000000-0005-0000-0000-00002D350000}"/>
    <cellStyle name="40% - Accent1 2 4 8 7" xfId="18702" xr:uid="{00000000-0005-0000-0000-00002E350000}"/>
    <cellStyle name="40% - Accent1 2 4 8 8" xfId="27583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4" xr:uid="{00000000-0005-0000-0000-000033350000}"/>
    <cellStyle name="40% - Accent1 2 4 9 2 2 3" xfId="31281" xr:uid="{00000000-0005-0000-0000-000034350000}"/>
    <cellStyle name="40% - Accent1 2 4 9 2 3" xfId="13349" xr:uid="{00000000-0005-0000-0000-000035350000}"/>
    <cellStyle name="40% - Accent1 2 4 9 2 3 2" xfId="24623" xr:uid="{00000000-0005-0000-0000-000036350000}"/>
    <cellStyle name="40% - Accent1 2 4 9 2 3 3" xfId="33500" xr:uid="{00000000-0005-0000-0000-000037350000}"/>
    <cellStyle name="40% - Accent1 2 4 9 2 4" xfId="15799" xr:uid="{00000000-0005-0000-0000-000038350000}"/>
    <cellStyle name="40% - Accent1 2 4 9 2 4 2" xfId="26842" xr:uid="{00000000-0005-0000-0000-000039350000}"/>
    <cellStyle name="40% - Accent1 2 4 9 2 4 3" xfId="35719" xr:uid="{00000000-0005-0000-0000-00003A350000}"/>
    <cellStyle name="40% - Accent1 2 4 9 2 5" xfId="20185" xr:uid="{00000000-0005-0000-0000-00003B350000}"/>
    <cellStyle name="40% - Accent1 2 4 9 2 6" xfId="29062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1" xr:uid="{00000000-0005-0000-0000-00003F350000}"/>
    <cellStyle name="40% - Accent1 2 4 9 3 2 3" xfId="30548" xr:uid="{00000000-0005-0000-0000-000040350000}"/>
    <cellStyle name="40% - Accent1 2 4 9 3 3" xfId="12616" xr:uid="{00000000-0005-0000-0000-000041350000}"/>
    <cellStyle name="40% - Accent1 2 4 9 3 3 2" xfId="23890" xr:uid="{00000000-0005-0000-0000-000042350000}"/>
    <cellStyle name="40% - Accent1 2 4 9 3 3 3" xfId="32767" xr:uid="{00000000-0005-0000-0000-000043350000}"/>
    <cellStyle name="40% - Accent1 2 4 9 3 4" xfId="15066" xr:uid="{00000000-0005-0000-0000-000044350000}"/>
    <cellStyle name="40% - Accent1 2 4 9 3 4 2" xfId="26109" xr:uid="{00000000-0005-0000-0000-000045350000}"/>
    <cellStyle name="40% - Accent1 2 4 9 3 4 3" xfId="34986" xr:uid="{00000000-0005-0000-0000-000046350000}"/>
    <cellStyle name="40% - Accent1 2 4 9 3 5" xfId="19452" xr:uid="{00000000-0005-0000-0000-000047350000}"/>
    <cellStyle name="40% - Accent1 2 4 9 3 6" xfId="28329" xr:uid="{00000000-0005-0000-0000-000048350000}"/>
    <cellStyle name="40% - Accent1 2 4 9 4" xfId="9425" xr:uid="{00000000-0005-0000-0000-000049350000}"/>
    <cellStyle name="40% - Accent1 2 4 9 4 2" xfId="20928" xr:uid="{00000000-0005-0000-0000-00004A350000}"/>
    <cellStyle name="40% - Accent1 2 4 9 4 3" xfId="29805" xr:uid="{00000000-0005-0000-0000-00004B350000}"/>
    <cellStyle name="40% - Accent1 2 4 9 5" xfId="11873" xr:uid="{00000000-0005-0000-0000-00004C350000}"/>
    <cellStyle name="40% - Accent1 2 4 9 5 2" xfId="23147" xr:uid="{00000000-0005-0000-0000-00004D350000}"/>
    <cellStyle name="40% - Accent1 2 4 9 5 3" xfId="32024" xr:uid="{00000000-0005-0000-0000-00004E350000}"/>
    <cellStyle name="40% - Accent1 2 4 9 6" xfId="14094" xr:uid="{00000000-0005-0000-0000-00004F350000}"/>
    <cellStyle name="40% - Accent1 2 4 9 6 2" xfId="25366" xr:uid="{00000000-0005-0000-0000-000050350000}"/>
    <cellStyle name="40% - Accent1 2 4 9 6 3" xfId="34243" xr:uid="{00000000-0005-0000-0000-000051350000}"/>
    <cellStyle name="40% - Accent1 2 4 9 7" xfId="18703" xr:uid="{00000000-0005-0000-0000-000052350000}"/>
    <cellStyle name="40% - Accent1 2 4 9 8" xfId="27584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5" xr:uid="{00000000-0005-0000-0000-000057350000}"/>
    <cellStyle name="40% - Accent1 2 5 10 2 3" xfId="31282" xr:uid="{00000000-0005-0000-0000-000058350000}"/>
    <cellStyle name="40% - Accent1 2 5 10 3" xfId="13350" xr:uid="{00000000-0005-0000-0000-000059350000}"/>
    <cellStyle name="40% - Accent1 2 5 10 3 2" xfId="24624" xr:uid="{00000000-0005-0000-0000-00005A350000}"/>
    <cellStyle name="40% - Accent1 2 5 10 3 3" xfId="33501" xr:uid="{00000000-0005-0000-0000-00005B350000}"/>
    <cellStyle name="40% - Accent1 2 5 10 4" xfId="15800" xr:uid="{00000000-0005-0000-0000-00005C350000}"/>
    <cellStyle name="40% - Accent1 2 5 10 4 2" xfId="26843" xr:uid="{00000000-0005-0000-0000-00005D350000}"/>
    <cellStyle name="40% - Accent1 2 5 10 4 3" xfId="35720" xr:uid="{00000000-0005-0000-0000-00005E350000}"/>
    <cellStyle name="40% - Accent1 2 5 10 5" xfId="20186" xr:uid="{00000000-0005-0000-0000-00005F350000}"/>
    <cellStyle name="40% - Accent1 2 5 10 6" xfId="29063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2" xr:uid="{00000000-0005-0000-0000-000063350000}"/>
    <cellStyle name="40% - Accent1 2 5 11 2 3" xfId="30549" xr:uid="{00000000-0005-0000-0000-000064350000}"/>
    <cellStyle name="40% - Accent1 2 5 11 3" xfId="12617" xr:uid="{00000000-0005-0000-0000-000065350000}"/>
    <cellStyle name="40% - Accent1 2 5 11 3 2" xfId="23891" xr:uid="{00000000-0005-0000-0000-000066350000}"/>
    <cellStyle name="40% - Accent1 2 5 11 3 3" xfId="32768" xr:uid="{00000000-0005-0000-0000-000067350000}"/>
    <cellStyle name="40% - Accent1 2 5 11 4" xfId="15067" xr:uid="{00000000-0005-0000-0000-000068350000}"/>
    <cellStyle name="40% - Accent1 2 5 11 4 2" xfId="26110" xr:uid="{00000000-0005-0000-0000-000069350000}"/>
    <cellStyle name="40% - Accent1 2 5 11 4 3" xfId="34987" xr:uid="{00000000-0005-0000-0000-00006A350000}"/>
    <cellStyle name="40% - Accent1 2 5 11 5" xfId="19453" xr:uid="{00000000-0005-0000-0000-00006B350000}"/>
    <cellStyle name="40% - Accent1 2 5 11 6" xfId="28330" xr:uid="{00000000-0005-0000-0000-00006C350000}"/>
    <cellStyle name="40% - Accent1 2 5 12" xfId="9426" xr:uid="{00000000-0005-0000-0000-00006D350000}"/>
    <cellStyle name="40% - Accent1 2 5 12 2" xfId="20929" xr:uid="{00000000-0005-0000-0000-00006E350000}"/>
    <cellStyle name="40% - Accent1 2 5 12 3" xfId="29806" xr:uid="{00000000-0005-0000-0000-00006F350000}"/>
    <cellStyle name="40% - Accent1 2 5 13" xfId="11874" xr:uid="{00000000-0005-0000-0000-000070350000}"/>
    <cellStyle name="40% - Accent1 2 5 13 2" xfId="23148" xr:uid="{00000000-0005-0000-0000-000071350000}"/>
    <cellStyle name="40% - Accent1 2 5 13 3" xfId="32025" xr:uid="{00000000-0005-0000-0000-000072350000}"/>
    <cellStyle name="40% - Accent1 2 5 14" xfId="14095" xr:uid="{00000000-0005-0000-0000-000073350000}"/>
    <cellStyle name="40% - Accent1 2 5 14 2" xfId="25367" xr:uid="{00000000-0005-0000-0000-000074350000}"/>
    <cellStyle name="40% - Accent1 2 5 14 3" xfId="34244" xr:uid="{00000000-0005-0000-0000-000075350000}"/>
    <cellStyle name="40% - Accent1 2 5 15" xfId="18704" xr:uid="{00000000-0005-0000-0000-000076350000}"/>
    <cellStyle name="40% - Accent1 2 5 16" xfId="27585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6" xr:uid="{00000000-0005-0000-0000-00007B350000}"/>
    <cellStyle name="40% - Accent1 2 5 2 2 2 3" xfId="31283" xr:uid="{00000000-0005-0000-0000-00007C350000}"/>
    <cellStyle name="40% - Accent1 2 5 2 2 3" xfId="13351" xr:uid="{00000000-0005-0000-0000-00007D350000}"/>
    <cellStyle name="40% - Accent1 2 5 2 2 3 2" xfId="24625" xr:uid="{00000000-0005-0000-0000-00007E350000}"/>
    <cellStyle name="40% - Accent1 2 5 2 2 3 3" xfId="33502" xr:uid="{00000000-0005-0000-0000-00007F350000}"/>
    <cellStyle name="40% - Accent1 2 5 2 2 4" xfId="15801" xr:uid="{00000000-0005-0000-0000-000080350000}"/>
    <cellStyle name="40% - Accent1 2 5 2 2 4 2" xfId="26844" xr:uid="{00000000-0005-0000-0000-000081350000}"/>
    <cellStyle name="40% - Accent1 2 5 2 2 4 3" xfId="35721" xr:uid="{00000000-0005-0000-0000-000082350000}"/>
    <cellStyle name="40% - Accent1 2 5 2 2 5" xfId="20187" xr:uid="{00000000-0005-0000-0000-000083350000}"/>
    <cellStyle name="40% - Accent1 2 5 2 2 6" xfId="29064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3" xr:uid="{00000000-0005-0000-0000-000087350000}"/>
    <cellStyle name="40% - Accent1 2 5 2 3 2 3" xfId="30550" xr:uid="{00000000-0005-0000-0000-000088350000}"/>
    <cellStyle name="40% - Accent1 2 5 2 3 3" xfId="12618" xr:uid="{00000000-0005-0000-0000-000089350000}"/>
    <cellStyle name="40% - Accent1 2 5 2 3 3 2" xfId="23892" xr:uid="{00000000-0005-0000-0000-00008A350000}"/>
    <cellStyle name="40% - Accent1 2 5 2 3 3 3" xfId="32769" xr:uid="{00000000-0005-0000-0000-00008B350000}"/>
    <cellStyle name="40% - Accent1 2 5 2 3 4" xfId="15068" xr:uid="{00000000-0005-0000-0000-00008C350000}"/>
    <cellStyle name="40% - Accent1 2 5 2 3 4 2" xfId="26111" xr:uid="{00000000-0005-0000-0000-00008D350000}"/>
    <cellStyle name="40% - Accent1 2 5 2 3 4 3" xfId="34988" xr:uid="{00000000-0005-0000-0000-00008E350000}"/>
    <cellStyle name="40% - Accent1 2 5 2 3 5" xfId="19454" xr:uid="{00000000-0005-0000-0000-00008F350000}"/>
    <cellStyle name="40% - Accent1 2 5 2 3 6" xfId="28331" xr:uid="{00000000-0005-0000-0000-000090350000}"/>
    <cellStyle name="40% - Accent1 2 5 2 4" xfId="9427" xr:uid="{00000000-0005-0000-0000-000091350000}"/>
    <cellStyle name="40% - Accent1 2 5 2 4 2" xfId="20930" xr:uid="{00000000-0005-0000-0000-000092350000}"/>
    <cellStyle name="40% - Accent1 2 5 2 4 3" xfId="29807" xr:uid="{00000000-0005-0000-0000-000093350000}"/>
    <cellStyle name="40% - Accent1 2 5 2 5" xfId="11875" xr:uid="{00000000-0005-0000-0000-000094350000}"/>
    <cellStyle name="40% - Accent1 2 5 2 5 2" xfId="23149" xr:uid="{00000000-0005-0000-0000-000095350000}"/>
    <cellStyle name="40% - Accent1 2 5 2 5 3" xfId="32026" xr:uid="{00000000-0005-0000-0000-000096350000}"/>
    <cellStyle name="40% - Accent1 2 5 2 6" xfId="14096" xr:uid="{00000000-0005-0000-0000-000097350000}"/>
    <cellStyle name="40% - Accent1 2 5 2 6 2" xfId="25368" xr:uid="{00000000-0005-0000-0000-000098350000}"/>
    <cellStyle name="40% - Accent1 2 5 2 6 3" xfId="34245" xr:uid="{00000000-0005-0000-0000-000099350000}"/>
    <cellStyle name="40% - Accent1 2 5 2 7" xfId="18705" xr:uid="{00000000-0005-0000-0000-00009A350000}"/>
    <cellStyle name="40% - Accent1 2 5 2 8" xfId="27586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7" xr:uid="{00000000-0005-0000-0000-00009F350000}"/>
    <cellStyle name="40% - Accent1 2 5 3 2 2 3" xfId="31284" xr:uid="{00000000-0005-0000-0000-0000A0350000}"/>
    <cellStyle name="40% - Accent1 2 5 3 2 3" xfId="13352" xr:uid="{00000000-0005-0000-0000-0000A1350000}"/>
    <cellStyle name="40% - Accent1 2 5 3 2 3 2" xfId="24626" xr:uid="{00000000-0005-0000-0000-0000A2350000}"/>
    <cellStyle name="40% - Accent1 2 5 3 2 3 3" xfId="33503" xr:uid="{00000000-0005-0000-0000-0000A3350000}"/>
    <cellStyle name="40% - Accent1 2 5 3 2 4" xfId="15802" xr:uid="{00000000-0005-0000-0000-0000A4350000}"/>
    <cellStyle name="40% - Accent1 2 5 3 2 4 2" xfId="26845" xr:uid="{00000000-0005-0000-0000-0000A5350000}"/>
    <cellStyle name="40% - Accent1 2 5 3 2 4 3" xfId="35722" xr:uid="{00000000-0005-0000-0000-0000A6350000}"/>
    <cellStyle name="40% - Accent1 2 5 3 2 5" xfId="20188" xr:uid="{00000000-0005-0000-0000-0000A7350000}"/>
    <cellStyle name="40% - Accent1 2 5 3 2 6" xfId="29065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4" xr:uid="{00000000-0005-0000-0000-0000AB350000}"/>
    <cellStyle name="40% - Accent1 2 5 3 3 2 3" xfId="30551" xr:uid="{00000000-0005-0000-0000-0000AC350000}"/>
    <cellStyle name="40% - Accent1 2 5 3 3 3" xfId="12619" xr:uid="{00000000-0005-0000-0000-0000AD350000}"/>
    <cellStyle name="40% - Accent1 2 5 3 3 3 2" xfId="23893" xr:uid="{00000000-0005-0000-0000-0000AE350000}"/>
    <cellStyle name="40% - Accent1 2 5 3 3 3 3" xfId="32770" xr:uid="{00000000-0005-0000-0000-0000AF350000}"/>
    <cellStyle name="40% - Accent1 2 5 3 3 4" xfId="15069" xr:uid="{00000000-0005-0000-0000-0000B0350000}"/>
    <cellStyle name="40% - Accent1 2 5 3 3 4 2" xfId="26112" xr:uid="{00000000-0005-0000-0000-0000B1350000}"/>
    <cellStyle name="40% - Accent1 2 5 3 3 4 3" xfId="34989" xr:uid="{00000000-0005-0000-0000-0000B2350000}"/>
    <cellStyle name="40% - Accent1 2 5 3 3 5" xfId="19455" xr:uid="{00000000-0005-0000-0000-0000B3350000}"/>
    <cellStyle name="40% - Accent1 2 5 3 3 6" xfId="28332" xr:uid="{00000000-0005-0000-0000-0000B4350000}"/>
    <cellStyle name="40% - Accent1 2 5 3 4" xfId="9428" xr:uid="{00000000-0005-0000-0000-0000B5350000}"/>
    <cellStyle name="40% - Accent1 2 5 3 4 2" xfId="20931" xr:uid="{00000000-0005-0000-0000-0000B6350000}"/>
    <cellStyle name="40% - Accent1 2 5 3 4 3" xfId="29808" xr:uid="{00000000-0005-0000-0000-0000B7350000}"/>
    <cellStyle name="40% - Accent1 2 5 3 5" xfId="11876" xr:uid="{00000000-0005-0000-0000-0000B8350000}"/>
    <cellStyle name="40% - Accent1 2 5 3 5 2" xfId="23150" xr:uid="{00000000-0005-0000-0000-0000B9350000}"/>
    <cellStyle name="40% - Accent1 2 5 3 5 3" xfId="32027" xr:uid="{00000000-0005-0000-0000-0000BA350000}"/>
    <cellStyle name="40% - Accent1 2 5 3 6" xfId="14097" xr:uid="{00000000-0005-0000-0000-0000BB350000}"/>
    <cellStyle name="40% - Accent1 2 5 3 6 2" xfId="25369" xr:uid="{00000000-0005-0000-0000-0000BC350000}"/>
    <cellStyle name="40% - Accent1 2 5 3 6 3" xfId="34246" xr:uid="{00000000-0005-0000-0000-0000BD350000}"/>
    <cellStyle name="40% - Accent1 2 5 3 7" xfId="18706" xr:uid="{00000000-0005-0000-0000-0000BE350000}"/>
    <cellStyle name="40% - Accent1 2 5 3 8" xfId="27587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8" xr:uid="{00000000-0005-0000-0000-0000C3350000}"/>
    <cellStyle name="40% - Accent1 2 5 4 2 2 3" xfId="31285" xr:uid="{00000000-0005-0000-0000-0000C4350000}"/>
    <cellStyle name="40% - Accent1 2 5 4 2 3" xfId="13353" xr:uid="{00000000-0005-0000-0000-0000C5350000}"/>
    <cellStyle name="40% - Accent1 2 5 4 2 3 2" xfId="24627" xr:uid="{00000000-0005-0000-0000-0000C6350000}"/>
    <cellStyle name="40% - Accent1 2 5 4 2 3 3" xfId="33504" xr:uid="{00000000-0005-0000-0000-0000C7350000}"/>
    <cellStyle name="40% - Accent1 2 5 4 2 4" xfId="15803" xr:uid="{00000000-0005-0000-0000-0000C8350000}"/>
    <cellStyle name="40% - Accent1 2 5 4 2 4 2" xfId="26846" xr:uid="{00000000-0005-0000-0000-0000C9350000}"/>
    <cellStyle name="40% - Accent1 2 5 4 2 4 3" xfId="35723" xr:uid="{00000000-0005-0000-0000-0000CA350000}"/>
    <cellStyle name="40% - Accent1 2 5 4 2 5" xfId="20189" xr:uid="{00000000-0005-0000-0000-0000CB350000}"/>
    <cellStyle name="40% - Accent1 2 5 4 2 6" xfId="29066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5" xr:uid="{00000000-0005-0000-0000-0000CF350000}"/>
    <cellStyle name="40% - Accent1 2 5 4 3 2 3" xfId="30552" xr:uid="{00000000-0005-0000-0000-0000D0350000}"/>
    <cellStyle name="40% - Accent1 2 5 4 3 3" xfId="12620" xr:uid="{00000000-0005-0000-0000-0000D1350000}"/>
    <cellStyle name="40% - Accent1 2 5 4 3 3 2" xfId="23894" xr:uid="{00000000-0005-0000-0000-0000D2350000}"/>
    <cellStyle name="40% - Accent1 2 5 4 3 3 3" xfId="32771" xr:uid="{00000000-0005-0000-0000-0000D3350000}"/>
    <cellStyle name="40% - Accent1 2 5 4 3 4" xfId="15070" xr:uid="{00000000-0005-0000-0000-0000D4350000}"/>
    <cellStyle name="40% - Accent1 2 5 4 3 4 2" xfId="26113" xr:uid="{00000000-0005-0000-0000-0000D5350000}"/>
    <cellStyle name="40% - Accent1 2 5 4 3 4 3" xfId="34990" xr:uid="{00000000-0005-0000-0000-0000D6350000}"/>
    <cellStyle name="40% - Accent1 2 5 4 3 5" xfId="19456" xr:uid="{00000000-0005-0000-0000-0000D7350000}"/>
    <cellStyle name="40% - Accent1 2 5 4 3 6" xfId="28333" xr:uid="{00000000-0005-0000-0000-0000D8350000}"/>
    <cellStyle name="40% - Accent1 2 5 4 4" xfId="9429" xr:uid="{00000000-0005-0000-0000-0000D9350000}"/>
    <cellStyle name="40% - Accent1 2 5 4 4 2" xfId="20932" xr:uid="{00000000-0005-0000-0000-0000DA350000}"/>
    <cellStyle name="40% - Accent1 2 5 4 4 3" xfId="29809" xr:uid="{00000000-0005-0000-0000-0000DB350000}"/>
    <cellStyle name="40% - Accent1 2 5 4 5" xfId="11877" xr:uid="{00000000-0005-0000-0000-0000DC350000}"/>
    <cellStyle name="40% - Accent1 2 5 4 5 2" xfId="23151" xr:uid="{00000000-0005-0000-0000-0000DD350000}"/>
    <cellStyle name="40% - Accent1 2 5 4 5 3" xfId="32028" xr:uid="{00000000-0005-0000-0000-0000DE350000}"/>
    <cellStyle name="40% - Accent1 2 5 4 6" xfId="14098" xr:uid="{00000000-0005-0000-0000-0000DF350000}"/>
    <cellStyle name="40% - Accent1 2 5 4 6 2" xfId="25370" xr:uid="{00000000-0005-0000-0000-0000E0350000}"/>
    <cellStyle name="40% - Accent1 2 5 4 6 3" xfId="34247" xr:uid="{00000000-0005-0000-0000-0000E1350000}"/>
    <cellStyle name="40% - Accent1 2 5 4 7" xfId="18707" xr:uid="{00000000-0005-0000-0000-0000E2350000}"/>
    <cellStyle name="40% - Accent1 2 5 4 8" xfId="27588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09" xr:uid="{00000000-0005-0000-0000-0000E7350000}"/>
    <cellStyle name="40% - Accent1 2 5 5 2 2 3" xfId="31286" xr:uid="{00000000-0005-0000-0000-0000E8350000}"/>
    <cellStyle name="40% - Accent1 2 5 5 2 3" xfId="13354" xr:uid="{00000000-0005-0000-0000-0000E9350000}"/>
    <cellStyle name="40% - Accent1 2 5 5 2 3 2" xfId="24628" xr:uid="{00000000-0005-0000-0000-0000EA350000}"/>
    <cellStyle name="40% - Accent1 2 5 5 2 3 3" xfId="33505" xr:uid="{00000000-0005-0000-0000-0000EB350000}"/>
    <cellStyle name="40% - Accent1 2 5 5 2 4" xfId="15804" xr:uid="{00000000-0005-0000-0000-0000EC350000}"/>
    <cellStyle name="40% - Accent1 2 5 5 2 4 2" xfId="26847" xr:uid="{00000000-0005-0000-0000-0000ED350000}"/>
    <cellStyle name="40% - Accent1 2 5 5 2 4 3" xfId="35724" xr:uid="{00000000-0005-0000-0000-0000EE350000}"/>
    <cellStyle name="40% - Accent1 2 5 5 2 5" xfId="20190" xr:uid="{00000000-0005-0000-0000-0000EF350000}"/>
    <cellStyle name="40% - Accent1 2 5 5 2 6" xfId="29067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6" xr:uid="{00000000-0005-0000-0000-0000F3350000}"/>
    <cellStyle name="40% - Accent1 2 5 5 3 2 3" xfId="30553" xr:uid="{00000000-0005-0000-0000-0000F4350000}"/>
    <cellStyle name="40% - Accent1 2 5 5 3 3" xfId="12621" xr:uid="{00000000-0005-0000-0000-0000F5350000}"/>
    <cellStyle name="40% - Accent1 2 5 5 3 3 2" xfId="23895" xr:uid="{00000000-0005-0000-0000-0000F6350000}"/>
    <cellStyle name="40% - Accent1 2 5 5 3 3 3" xfId="32772" xr:uid="{00000000-0005-0000-0000-0000F7350000}"/>
    <cellStyle name="40% - Accent1 2 5 5 3 4" xfId="15071" xr:uid="{00000000-0005-0000-0000-0000F8350000}"/>
    <cellStyle name="40% - Accent1 2 5 5 3 4 2" xfId="26114" xr:uid="{00000000-0005-0000-0000-0000F9350000}"/>
    <cellStyle name="40% - Accent1 2 5 5 3 4 3" xfId="34991" xr:uid="{00000000-0005-0000-0000-0000FA350000}"/>
    <cellStyle name="40% - Accent1 2 5 5 3 5" xfId="19457" xr:uid="{00000000-0005-0000-0000-0000FB350000}"/>
    <cellStyle name="40% - Accent1 2 5 5 3 6" xfId="28334" xr:uid="{00000000-0005-0000-0000-0000FC350000}"/>
    <cellStyle name="40% - Accent1 2 5 5 4" xfId="9430" xr:uid="{00000000-0005-0000-0000-0000FD350000}"/>
    <cellStyle name="40% - Accent1 2 5 5 4 2" xfId="20933" xr:uid="{00000000-0005-0000-0000-0000FE350000}"/>
    <cellStyle name="40% - Accent1 2 5 5 4 3" xfId="29810" xr:uid="{00000000-0005-0000-0000-0000FF350000}"/>
    <cellStyle name="40% - Accent1 2 5 5 5" xfId="11878" xr:uid="{00000000-0005-0000-0000-000000360000}"/>
    <cellStyle name="40% - Accent1 2 5 5 5 2" xfId="23152" xr:uid="{00000000-0005-0000-0000-000001360000}"/>
    <cellStyle name="40% - Accent1 2 5 5 5 3" xfId="32029" xr:uid="{00000000-0005-0000-0000-000002360000}"/>
    <cellStyle name="40% - Accent1 2 5 5 6" xfId="14099" xr:uid="{00000000-0005-0000-0000-000003360000}"/>
    <cellStyle name="40% - Accent1 2 5 5 6 2" xfId="25371" xr:uid="{00000000-0005-0000-0000-000004360000}"/>
    <cellStyle name="40% - Accent1 2 5 5 6 3" xfId="34248" xr:uid="{00000000-0005-0000-0000-000005360000}"/>
    <cellStyle name="40% - Accent1 2 5 5 7" xfId="18708" xr:uid="{00000000-0005-0000-0000-000006360000}"/>
    <cellStyle name="40% - Accent1 2 5 5 8" xfId="27589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0" xr:uid="{00000000-0005-0000-0000-00000B360000}"/>
    <cellStyle name="40% - Accent1 2 5 6 2 2 3" xfId="31287" xr:uid="{00000000-0005-0000-0000-00000C360000}"/>
    <cellStyle name="40% - Accent1 2 5 6 2 3" xfId="13355" xr:uid="{00000000-0005-0000-0000-00000D360000}"/>
    <cellStyle name="40% - Accent1 2 5 6 2 3 2" xfId="24629" xr:uid="{00000000-0005-0000-0000-00000E360000}"/>
    <cellStyle name="40% - Accent1 2 5 6 2 3 3" xfId="33506" xr:uid="{00000000-0005-0000-0000-00000F360000}"/>
    <cellStyle name="40% - Accent1 2 5 6 2 4" xfId="15805" xr:uid="{00000000-0005-0000-0000-000010360000}"/>
    <cellStyle name="40% - Accent1 2 5 6 2 4 2" xfId="26848" xr:uid="{00000000-0005-0000-0000-000011360000}"/>
    <cellStyle name="40% - Accent1 2 5 6 2 4 3" xfId="35725" xr:uid="{00000000-0005-0000-0000-000012360000}"/>
    <cellStyle name="40% - Accent1 2 5 6 2 5" xfId="20191" xr:uid="{00000000-0005-0000-0000-000013360000}"/>
    <cellStyle name="40% - Accent1 2 5 6 2 6" xfId="29068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7" xr:uid="{00000000-0005-0000-0000-000017360000}"/>
    <cellStyle name="40% - Accent1 2 5 6 3 2 3" xfId="30554" xr:uid="{00000000-0005-0000-0000-000018360000}"/>
    <cellStyle name="40% - Accent1 2 5 6 3 3" xfId="12622" xr:uid="{00000000-0005-0000-0000-000019360000}"/>
    <cellStyle name="40% - Accent1 2 5 6 3 3 2" xfId="23896" xr:uid="{00000000-0005-0000-0000-00001A360000}"/>
    <cellStyle name="40% - Accent1 2 5 6 3 3 3" xfId="32773" xr:uid="{00000000-0005-0000-0000-00001B360000}"/>
    <cellStyle name="40% - Accent1 2 5 6 3 4" xfId="15072" xr:uid="{00000000-0005-0000-0000-00001C360000}"/>
    <cellStyle name="40% - Accent1 2 5 6 3 4 2" xfId="26115" xr:uid="{00000000-0005-0000-0000-00001D360000}"/>
    <cellStyle name="40% - Accent1 2 5 6 3 4 3" xfId="34992" xr:uid="{00000000-0005-0000-0000-00001E360000}"/>
    <cellStyle name="40% - Accent1 2 5 6 3 5" xfId="19458" xr:uid="{00000000-0005-0000-0000-00001F360000}"/>
    <cellStyle name="40% - Accent1 2 5 6 3 6" xfId="28335" xr:uid="{00000000-0005-0000-0000-000020360000}"/>
    <cellStyle name="40% - Accent1 2 5 6 4" xfId="9431" xr:uid="{00000000-0005-0000-0000-000021360000}"/>
    <cellStyle name="40% - Accent1 2 5 6 4 2" xfId="20934" xr:uid="{00000000-0005-0000-0000-000022360000}"/>
    <cellStyle name="40% - Accent1 2 5 6 4 3" xfId="29811" xr:uid="{00000000-0005-0000-0000-000023360000}"/>
    <cellStyle name="40% - Accent1 2 5 6 5" xfId="11879" xr:uid="{00000000-0005-0000-0000-000024360000}"/>
    <cellStyle name="40% - Accent1 2 5 6 5 2" xfId="23153" xr:uid="{00000000-0005-0000-0000-000025360000}"/>
    <cellStyle name="40% - Accent1 2 5 6 5 3" xfId="32030" xr:uid="{00000000-0005-0000-0000-000026360000}"/>
    <cellStyle name="40% - Accent1 2 5 6 6" xfId="14100" xr:uid="{00000000-0005-0000-0000-000027360000}"/>
    <cellStyle name="40% - Accent1 2 5 6 6 2" xfId="25372" xr:uid="{00000000-0005-0000-0000-000028360000}"/>
    <cellStyle name="40% - Accent1 2 5 6 6 3" xfId="34249" xr:uid="{00000000-0005-0000-0000-000029360000}"/>
    <cellStyle name="40% - Accent1 2 5 6 7" xfId="18709" xr:uid="{00000000-0005-0000-0000-00002A360000}"/>
    <cellStyle name="40% - Accent1 2 5 6 8" xfId="27590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1" xr:uid="{00000000-0005-0000-0000-00002F360000}"/>
    <cellStyle name="40% - Accent1 2 5 7 2 2 3" xfId="31288" xr:uid="{00000000-0005-0000-0000-000030360000}"/>
    <cellStyle name="40% - Accent1 2 5 7 2 3" xfId="13356" xr:uid="{00000000-0005-0000-0000-000031360000}"/>
    <cellStyle name="40% - Accent1 2 5 7 2 3 2" xfId="24630" xr:uid="{00000000-0005-0000-0000-000032360000}"/>
    <cellStyle name="40% - Accent1 2 5 7 2 3 3" xfId="33507" xr:uid="{00000000-0005-0000-0000-000033360000}"/>
    <cellStyle name="40% - Accent1 2 5 7 2 4" xfId="15806" xr:uid="{00000000-0005-0000-0000-000034360000}"/>
    <cellStyle name="40% - Accent1 2 5 7 2 4 2" xfId="26849" xr:uid="{00000000-0005-0000-0000-000035360000}"/>
    <cellStyle name="40% - Accent1 2 5 7 2 4 3" xfId="35726" xr:uid="{00000000-0005-0000-0000-000036360000}"/>
    <cellStyle name="40% - Accent1 2 5 7 2 5" xfId="20192" xr:uid="{00000000-0005-0000-0000-000037360000}"/>
    <cellStyle name="40% - Accent1 2 5 7 2 6" xfId="29069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8" xr:uid="{00000000-0005-0000-0000-00003B360000}"/>
    <cellStyle name="40% - Accent1 2 5 7 3 2 3" xfId="30555" xr:uid="{00000000-0005-0000-0000-00003C360000}"/>
    <cellStyle name="40% - Accent1 2 5 7 3 3" xfId="12623" xr:uid="{00000000-0005-0000-0000-00003D360000}"/>
    <cellStyle name="40% - Accent1 2 5 7 3 3 2" xfId="23897" xr:uid="{00000000-0005-0000-0000-00003E360000}"/>
    <cellStyle name="40% - Accent1 2 5 7 3 3 3" xfId="32774" xr:uid="{00000000-0005-0000-0000-00003F360000}"/>
    <cellStyle name="40% - Accent1 2 5 7 3 4" xfId="15073" xr:uid="{00000000-0005-0000-0000-000040360000}"/>
    <cellStyle name="40% - Accent1 2 5 7 3 4 2" xfId="26116" xr:uid="{00000000-0005-0000-0000-000041360000}"/>
    <cellStyle name="40% - Accent1 2 5 7 3 4 3" xfId="34993" xr:uid="{00000000-0005-0000-0000-000042360000}"/>
    <cellStyle name="40% - Accent1 2 5 7 3 5" xfId="19459" xr:uid="{00000000-0005-0000-0000-000043360000}"/>
    <cellStyle name="40% - Accent1 2 5 7 3 6" xfId="28336" xr:uid="{00000000-0005-0000-0000-000044360000}"/>
    <cellStyle name="40% - Accent1 2 5 7 4" xfId="9432" xr:uid="{00000000-0005-0000-0000-000045360000}"/>
    <cellStyle name="40% - Accent1 2 5 7 4 2" xfId="20935" xr:uid="{00000000-0005-0000-0000-000046360000}"/>
    <cellStyle name="40% - Accent1 2 5 7 4 3" xfId="29812" xr:uid="{00000000-0005-0000-0000-000047360000}"/>
    <cellStyle name="40% - Accent1 2 5 7 5" xfId="11880" xr:uid="{00000000-0005-0000-0000-000048360000}"/>
    <cellStyle name="40% - Accent1 2 5 7 5 2" xfId="23154" xr:uid="{00000000-0005-0000-0000-000049360000}"/>
    <cellStyle name="40% - Accent1 2 5 7 5 3" xfId="32031" xr:uid="{00000000-0005-0000-0000-00004A360000}"/>
    <cellStyle name="40% - Accent1 2 5 7 6" xfId="14101" xr:uid="{00000000-0005-0000-0000-00004B360000}"/>
    <cellStyle name="40% - Accent1 2 5 7 6 2" xfId="25373" xr:uid="{00000000-0005-0000-0000-00004C360000}"/>
    <cellStyle name="40% - Accent1 2 5 7 6 3" xfId="34250" xr:uid="{00000000-0005-0000-0000-00004D360000}"/>
    <cellStyle name="40% - Accent1 2 5 7 7" xfId="18710" xr:uid="{00000000-0005-0000-0000-00004E360000}"/>
    <cellStyle name="40% - Accent1 2 5 7 8" xfId="27591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2" xr:uid="{00000000-0005-0000-0000-000053360000}"/>
    <cellStyle name="40% - Accent1 2 5 8 2 2 3" xfId="31289" xr:uid="{00000000-0005-0000-0000-000054360000}"/>
    <cellStyle name="40% - Accent1 2 5 8 2 3" xfId="13357" xr:uid="{00000000-0005-0000-0000-000055360000}"/>
    <cellStyle name="40% - Accent1 2 5 8 2 3 2" xfId="24631" xr:uid="{00000000-0005-0000-0000-000056360000}"/>
    <cellStyle name="40% - Accent1 2 5 8 2 3 3" xfId="33508" xr:uid="{00000000-0005-0000-0000-000057360000}"/>
    <cellStyle name="40% - Accent1 2 5 8 2 4" xfId="15807" xr:uid="{00000000-0005-0000-0000-000058360000}"/>
    <cellStyle name="40% - Accent1 2 5 8 2 4 2" xfId="26850" xr:uid="{00000000-0005-0000-0000-000059360000}"/>
    <cellStyle name="40% - Accent1 2 5 8 2 4 3" xfId="35727" xr:uid="{00000000-0005-0000-0000-00005A360000}"/>
    <cellStyle name="40% - Accent1 2 5 8 2 5" xfId="20193" xr:uid="{00000000-0005-0000-0000-00005B360000}"/>
    <cellStyle name="40% - Accent1 2 5 8 2 6" xfId="29070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79" xr:uid="{00000000-0005-0000-0000-00005F360000}"/>
    <cellStyle name="40% - Accent1 2 5 8 3 2 3" xfId="30556" xr:uid="{00000000-0005-0000-0000-000060360000}"/>
    <cellStyle name="40% - Accent1 2 5 8 3 3" xfId="12624" xr:uid="{00000000-0005-0000-0000-000061360000}"/>
    <cellStyle name="40% - Accent1 2 5 8 3 3 2" xfId="23898" xr:uid="{00000000-0005-0000-0000-000062360000}"/>
    <cellStyle name="40% - Accent1 2 5 8 3 3 3" xfId="32775" xr:uid="{00000000-0005-0000-0000-000063360000}"/>
    <cellStyle name="40% - Accent1 2 5 8 3 4" xfId="15074" xr:uid="{00000000-0005-0000-0000-000064360000}"/>
    <cellStyle name="40% - Accent1 2 5 8 3 4 2" xfId="26117" xr:uid="{00000000-0005-0000-0000-000065360000}"/>
    <cellStyle name="40% - Accent1 2 5 8 3 4 3" xfId="34994" xr:uid="{00000000-0005-0000-0000-000066360000}"/>
    <cellStyle name="40% - Accent1 2 5 8 3 5" xfId="19460" xr:uid="{00000000-0005-0000-0000-000067360000}"/>
    <cellStyle name="40% - Accent1 2 5 8 3 6" xfId="28337" xr:uid="{00000000-0005-0000-0000-000068360000}"/>
    <cellStyle name="40% - Accent1 2 5 8 4" xfId="9433" xr:uid="{00000000-0005-0000-0000-000069360000}"/>
    <cellStyle name="40% - Accent1 2 5 8 4 2" xfId="20936" xr:uid="{00000000-0005-0000-0000-00006A360000}"/>
    <cellStyle name="40% - Accent1 2 5 8 4 3" xfId="29813" xr:uid="{00000000-0005-0000-0000-00006B360000}"/>
    <cellStyle name="40% - Accent1 2 5 8 5" xfId="11881" xr:uid="{00000000-0005-0000-0000-00006C360000}"/>
    <cellStyle name="40% - Accent1 2 5 8 5 2" xfId="23155" xr:uid="{00000000-0005-0000-0000-00006D360000}"/>
    <cellStyle name="40% - Accent1 2 5 8 5 3" xfId="32032" xr:uid="{00000000-0005-0000-0000-00006E360000}"/>
    <cellStyle name="40% - Accent1 2 5 8 6" xfId="14102" xr:uid="{00000000-0005-0000-0000-00006F360000}"/>
    <cellStyle name="40% - Accent1 2 5 8 6 2" xfId="25374" xr:uid="{00000000-0005-0000-0000-000070360000}"/>
    <cellStyle name="40% - Accent1 2 5 8 6 3" xfId="34251" xr:uid="{00000000-0005-0000-0000-000071360000}"/>
    <cellStyle name="40% - Accent1 2 5 8 7" xfId="18711" xr:uid="{00000000-0005-0000-0000-000072360000}"/>
    <cellStyle name="40% - Accent1 2 5 8 8" xfId="27592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3" xr:uid="{00000000-0005-0000-0000-000077360000}"/>
    <cellStyle name="40% - Accent1 2 5 9 2 2 3" xfId="31290" xr:uid="{00000000-0005-0000-0000-000078360000}"/>
    <cellStyle name="40% - Accent1 2 5 9 2 3" xfId="13358" xr:uid="{00000000-0005-0000-0000-000079360000}"/>
    <cellStyle name="40% - Accent1 2 5 9 2 3 2" xfId="24632" xr:uid="{00000000-0005-0000-0000-00007A360000}"/>
    <cellStyle name="40% - Accent1 2 5 9 2 3 3" xfId="33509" xr:uid="{00000000-0005-0000-0000-00007B360000}"/>
    <cellStyle name="40% - Accent1 2 5 9 2 4" xfId="15808" xr:uid="{00000000-0005-0000-0000-00007C360000}"/>
    <cellStyle name="40% - Accent1 2 5 9 2 4 2" xfId="26851" xr:uid="{00000000-0005-0000-0000-00007D360000}"/>
    <cellStyle name="40% - Accent1 2 5 9 2 4 3" xfId="35728" xr:uid="{00000000-0005-0000-0000-00007E360000}"/>
    <cellStyle name="40% - Accent1 2 5 9 2 5" xfId="20194" xr:uid="{00000000-0005-0000-0000-00007F360000}"/>
    <cellStyle name="40% - Accent1 2 5 9 2 6" xfId="29071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0" xr:uid="{00000000-0005-0000-0000-000083360000}"/>
    <cellStyle name="40% - Accent1 2 5 9 3 2 3" xfId="30557" xr:uid="{00000000-0005-0000-0000-000084360000}"/>
    <cellStyle name="40% - Accent1 2 5 9 3 3" xfId="12625" xr:uid="{00000000-0005-0000-0000-000085360000}"/>
    <cellStyle name="40% - Accent1 2 5 9 3 3 2" xfId="23899" xr:uid="{00000000-0005-0000-0000-000086360000}"/>
    <cellStyle name="40% - Accent1 2 5 9 3 3 3" xfId="32776" xr:uid="{00000000-0005-0000-0000-000087360000}"/>
    <cellStyle name="40% - Accent1 2 5 9 3 4" xfId="15075" xr:uid="{00000000-0005-0000-0000-000088360000}"/>
    <cellStyle name="40% - Accent1 2 5 9 3 4 2" xfId="26118" xr:uid="{00000000-0005-0000-0000-000089360000}"/>
    <cellStyle name="40% - Accent1 2 5 9 3 4 3" xfId="34995" xr:uid="{00000000-0005-0000-0000-00008A360000}"/>
    <cellStyle name="40% - Accent1 2 5 9 3 5" xfId="19461" xr:uid="{00000000-0005-0000-0000-00008B360000}"/>
    <cellStyle name="40% - Accent1 2 5 9 3 6" xfId="28338" xr:uid="{00000000-0005-0000-0000-00008C360000}"/>
    <cellStyle name="40% - Accent1 2 5 9 4" xfId="9434" xr:uid="{00000000-0005-0000-0000-00008D360000}"/>
    <cellStyle name="40% - Accent1 2 5 9 4 2" xfId="20937" xr:uid="{00000000-0005-0000-0000-00008E360000}"/>
    <cellStyle name="40% - Accent1 2 5 9 4 3" xfId="29814" xr:uid="{00000000-0005-0000-0000-00008F360000}"/>
    <cellStyle name="40% - Accent1 2 5 9 5" xfId="11882" xr:uid="{00000000-0005-0000-0000-000090360000}"/>
    <cellStyle name="40% - Accent1 2 5 9 5 2" xfId="23156" xr:uid="{00000000-0005-0000-0000-000091360000}"/>
    <cellStyle name="40% - Accent1 2 5 9 5 3" xfId="32033" xr:uid="{00000000-0005-0000-0000-000092360000}"/>
    <cellStyle name="40% - Accent1 2 5 9 6" xfId="14103" xr:uid="{00000000-0005-0000-0000-000093360000}"/>
    <cellStyle name="40% - Accent1 2 5 9 6 2" xfId="25375" xr:uid="{00000000-0005-0000-0000-000094360000}"/>
    <cellStyle name="40% - Accent1 2 5 9 6 3" xfId="34252" xr:uid="{00000000-0005-0000-0000-000095360000}"/>
    <cellStyle name="40% - Accent1 2 5 9 7" xfId="18712" xr:uid="{00000000-0005-0000-0000-000096360000}"/>
    <cellStyle name="40% - Accent1 2 5 9 8" xfId="27593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6" xr:uid="{00000000-0005-0000-0000-00009A360000}"/>
    <cellStyle name="40% - Accent1 2 6 10 3" xfId="34253" xr:uid="{00000000-0005-0000-0000-00009B360000}"/>
    <cellStyle name="40% - Accent1 2 6 11" xfId="18713" xr:uid="{00000000-0005-0000-0000-00009C360000}"/>
    <cellStyle name="40% - Accent1 2 6 12" xfId="27594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5" xr:uid="{00000000-0005-0000-0000-0000A1360000}"/>
    <cellStyle name="40% - Accent1 2 6 2 2 2 3" xfId="31292" xr:uid="{00000000-0005-0000-0000-0000A2360000}"/>
    <cellStyle name="40% - Accent1 2 6 2 2 3" xfId="13360" xr:uid="{00000000-0005-0000-0000-0000A3360000}"/>
    <cellStyle name="40% - Accent1 2 6 2 2 3 2" xfId="24634" xr:uid="{00000000-0005-0000-0000-0000A4360000}"/>
    <cellStyle name="40% - Accent1 2 6 2 2 3 3" xfId="33511" xr:uid="{00000000-0005-0000-0000-0000A5360000}"/>
    <cellStyle name="40% - Accent1 2 6 2 2 4" xfId="15810" xr:uid="{00000000-0005-0000-0000-0000A6360000}"/>
    <cellStyle name="40% - Accent1 2 6 2 2 4 2" xfId="26853" xr:uid="{00000000-0005-0000-0000-0000A7360000}"/>
    <cellStyle name="40% - Accent1 2 6 2 2 4 3" xfId="35730" xr:uid="{00000000-0005-0000-0000-0000A8360000}"/>
    <cellStyle name="40% - Accent1 2 6 2 2 5" xfId="20196" xr:uid="{00000000-0005-0000-0000-0000A9360000}"/>
    <cellStyle name="40% - Accent1 2 6 2 2 6" xfId="29073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2" xr:uid="{00000000-0005-0000-0000-0000AD360000}"/>
    <cellStyle name="40% - Accent1 2 6 2 3 2 3" xfId="30559" xr:uid="{00000000-0005-0000-0000-0000AE360000}"/>
    <cellStyle name="40% - Accent1 2 6 2 3 3" xfId="12627" xr:uid="{00000000-0005-0000-0000-0000AF360000}"/>
    <cellStyle name="40% - Accent1 2 6 2 3 3 2" xfId="23901" xr:uid="{00000000-0005-0000-0000-0000B0360000}"/>
    <cellStyle name="40% - Accent1 2 6 2 3 3 3" xfId="32778" xr:uid="{00000000-0005-0000-0000-0000B1360000}"/>
    <cellStyle name="40% - Accent1 2 6 2 3 4" xfId="15077" xr:uid="{00000000-0005-0000-0000-0000B2360000}"/>
    <cellStyle name="40% - Accent1 2 6 2 3 4 2" xfId="26120" xr:uid="{00000000-0005-0000-0000-0000B3360000}"/>
    <cellStyle name="40% - Accent1 2 6 2 3 4 3" xfId="34997" xr:uid="{00000000-0005-0000-0000-0000B4360000}"/>
    <cellStyle name="40% - Accent1 2 6 2 3 5" xfId="19463" xr:uid="{00000000-0005-0000-0000-0000B5360000}"/>
    <cellStyle name="40% - Accent1 2 6 2 3 6" xfId="28340" xr:uid="{00000000-0005-0000-0000-0000B6360000}"/>
    <cellStyle name="40% - Accent1 2 6 2 4" xfId="9436" xr:uid="{00000000-0005-0000-0000-0000B7360000}"/>
    <cellStyle name="40% - Accent1 2 6 2 4 2" xfId="20939" xr:uid="{00000000-0005-0000-0000-0000B8360000}"/>
    <cellStyle name="40% - Accent1 2 6 2 4 3" xfId="29816" xr:uid="{00000000-0005-0000-0000-0000B9360000}"/>
    <cellStyle name="40% - Accent1 2 6 2 5" xfId="11884" xr:uid="{00000000-0005-0000-0000-0000BA360000}"/>
    <cellStyle name="40% - Accent1 2 6 2 5 2" xfId="23158" xr:uid="{00000000-0005-0000-0000-0000BB360000}"/>
    <cellStyle name="40% - Accent1 2 6 2 5 3" xfId="32035" xr:uid="{00000000-0005-0000-0000-0000BC360000}"/>
    <cellStyle name="40% - Accent1 2 6 2 6" xfId="14105" xr:uid="{00000000-0005-0000-0000-0000BD360000}"/>
    <cellStyle name="40% - Accent1 2 6 2 6 2" xfId="25377" xr:uid="{00000000-0005-0000-0000-0000BE360000}"/>
    <cellStyle name="40% - Accent1 2 6 2 6 3" xfId="34254" xr:uid="{00000000-0005-0000-0000-0000BF360000}"/>
    <cellStyle name="40% - Accent1 2 6 2 7" xfId="18714" xr:uid="{00000000-0005-0000-0000-0000C0360000}"/>
    <cellStyle name="40% - Accent1 2 6 2 8" xfId="27595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6" xr:uid="{00000000-0005-0000-0000-0000C5360000}"/>
    <cellStyle name="40% - Accent1 2 6 3 2 2 3" xfId="31293" xr:uid="{00000000-0005-0000-0000-0000C6360000}"/>
    <cellStyle name="40% - Accent1 2 6 3 2 3" xfId="13361" xr:uid="{00000000-0005-0000-0000-0000C7360000}"/>
    <cellStyle name="40% - Accent1 2 6 3 2 3 2" xfId="24635" xr:uid="{00000000-0005-0000-0000-0000C8360000}"/>
    <cellStyle name="40% - Accent1 2 6 3 2 3 3" xfId="33512" xr:uid="{00000000-0005-0000-0000-0000C9360000}"/>
    <cellStyle name="40% - Accent1 2 6 3 2 4" xfId="15811" xr:uid="{00000000-0005-0000-0000-0000CA360000}"/>
    <cellStyle name="40% - Accent1 2 6 3 2 4 2" xfId="26854" xr:uid="{00000000-0005-0000-0000-0000CB360000}"/>
    <cellStyle name="40% - Accent1 2 6 3 2 4 3" xfId="35731" xr:uid="{00000000-0005-0000-0000-0000CC360000}"/>
    <cellStyle name="40% - Accent1 2 6 3 2 5" xfId="20197" xr:uid="{00000000-0005-0000-0000-0000CD360000}"/>
    <cellStyle name="40% - Accent1 2 6 3 2 6" xfId="29074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3" xr:uid="{00000000-0005-0000-0000-0000D1360000}"/>
    <cellStyle name="40% - Accent1 2 6 3 3 2 3" xfId="30560" xr:uid="{00000000-0005-0000-0000-0000D2360000}"/>
    <cellStyle name="40% - Accent1 2 6 3 3 3" xfId="12628" xr:uid="{00000000-0005-0000-0000-0000D3360000}"/>
    <cellStyle name="40% - Accent1 2 6 3 3 3 2" xfId="23902" xr:uid="{00000000-0005-0000-0000-0000D4360000}"/>
    <cellStyle name="40% - Accent1 2 6 3 3 3 3" xfId="32779" xr:uid="{00000000-0005-0000-0000-0000D5360000}"/>
    <cellStyle name="40% - Accent1 2 6 3 3 4" xfId="15078" xr:uid="{00000000-0005-0000-0000-0000D6360000}"/>
    <cellStyle name="40% - Accent1 2 6 3 3 4 2" xfId="26121" xr:uid="{00000000-0005-0000-0000-0000D7360000}"/>
    <cellStyle name="40% - Accent1 2 6 3 3 4 3" xfId="34998" xr:uid="{00000000-0005-0000-0000-0000D8360000}"/>
    <cellStyle name="40% - Accent1 2 6 3 3 5" xfId="19464" xr:uid="{00000000-0005-0000-0000-0000D9360000}"/>
    <cellStyle name="40% - Accent1 2 6 3 3 6" xfId="28341" xr:uid="{00000000-0005-0000-0000-0000DA360000}"/>
    <cellStyle name="40% - Accent1 2 6 3 4" xfId="9437" xr:uid="{00000000-0005-0000-0000-0000DB360000}"/>
    <cellStyle name="40% - Accent1 2 6 3 4 2" xfId="20940" xr:uid="{00000000-0005-0000-0000-0000DC360000}"/>
    <cellStyle name="40% - Accent1 2 6 3 4 3" xfId="29817" xr:uid="{00000000-0005-0000-0000-0000DD360000}"/>
    <cellStyle name="40% - Accent1 2 6 3 5" xfId="11885" xr:uid="{00000000-0005-0000-0000-0000DE360000}"/>
    <cellStyle name="40% - Accent1 2 6 3 5 2" xfId="23159" xr:uid="{00000000-0005-0000-0000-0000DF360000}"/>
    <cellStyle name="40% - Accent1 2 6 3 5 3" xfId="32036" xr:uid="{00000000-0005-0000-0000-0000E0360000}"/>
    <cellStyle name="40% - Accent1 2 6 3 6" xfId="14106" xr:uid="{00000000-0005-0000-0000-0000E1360000}"/>
    <cellStyle name="40% - Accent1 2 6 3 6 2" xfId="25378" xr:uid="{00000000-0005-0000-0000-0000E2360000}"/>
    <cellStyle name="40% - Accent1 2 6 3 6 3" xfId="34255" xr:uid="{00000000-0005-0000-0000-0000E3360000}"/>
    <cellStyle name="40% - Accent1 2 6 3 7" xfId="18715" xr:uid="{00000000-0005-0000-0000-0000E4360000}"/>
    <cellStyle name="40% - Accent1 2 6 3 8" xfId="27596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7" xr:uid="{00000000-0005-0000-0000-0000E9360000}"/>
    <cellStyle name="40% - Accent1 2 6 4 2 2 3" xfId="31294" xr:uid="{00000000-0005-0000-0000-0000EA360000}"/>
    <cellStyle name="40% - Accent1 2 6 4 2 3" xfId="13362" xr:uid="{00000000-0005-0000-0000-0000EB360000}"/>
    <cellStyle name="40% - Accent1 2 6 4 2 3 2" xfId="24636" xr:uid="{00000000-0005-0000-0000-0000EC360000}"/>
    <cellStyle name="40% - Accent1 2 6 4 2 3 3" xfId="33513" xr:uid="{00000000-0005-0000-0000-0000ED360000}"/>
    <cellStyle name="40% - Accent1 2 6 4 2 4" xfId="15812" xr:uid="{00000000-0005-0000-0000-0000EE360000}"/>
    <cellStyle name="40% - Accent1 2 6 4 2 4 2" xfId="26855" xr:uid="{00000000-0005-0000-0000-0000EF360000}"/>
    <cellStyle name="40% - Accent1 2 6 4 2 4 3" xfId="35732" xr:uid="{00000000-0005-0000-0000-0000F0360000}"/>
    <cellStyle name="40% - Accent1 2 6 4 2 5" xfId="20198" xr:uid="{00000000-0005-0000-0000-0000F1360000}"/>
    <cellStyle name="40% - Accent1 2 6 4 2 6" xfId="29075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4" xr:uid="{00000000-0005-0000-0000-0000F5360000}"/>
    <cellStyle name="40% - Accent1 2 6 4 3 2 3" xfId="30561" xr:uid="{00000000-0005-0000-0000-0000F6360000}"/>
    <cellStyle name="40% - Accent1 2 6 4 3 3" xfId="12629" xr:uid="{00000000-0005-0000-0000-0000F7360000}"/>
    <cellStyle name="40% - Accent1 2 6 4 3 3 2" xfId="23903" xr:uid="{00000000-0005-0000-0000-0000F8360000}"/>
    <cellStyle name="40% - Accent1 2 6 4 3 3 3" xfId="32780" xr:uid="{00000000-0005-0000-0000-0000F9360000}"/>
    <cellStyle name="40% - Accent1 2 6 4 3 4" xfId="15079" xr:uid="{00000000-0005-0000-0000-0000FA360000}"/>
    <cellStyle name="40% - Accent1 2 6 4 3 4 2" xfId="26122" xr:uid="{00000000-0005-0000-0000-0000FB360000}"/>
    <cellStyle name="40% - Accent1 2 6 4 3 4 3" xfId="34999" xr:uid="{00000000-0005-0000-0000-0000FC360000}"/>
    <cellStyle name="40% - Accent1 2 6 4 3 5" xfId="19465" xr:uid="{00000000-0005-0000-0000-0000FD360000}"/>
    <cellStyle name="40% - Accent1 2 6 4 3 6" xfId="28342" xr:uid="{00000000-0005-0000-0000-0000FE360000}"/>
    <cellStyle name="40% - Accent1 2 6 4 4" xfId="9438" xr:uid="{00000000-0005-0000-0000-0000FF360000}"/>
    <cellStyle name="40% - Accent1 2 6 4 4 2" xfId="20941" xr:uid="{00000000-0005-0000-0000-000000370000}"/>
    <cellStyle name="40% - Accent1 2 6 4 4 3" xfId="29818" xr:uid="{00000000-0005-0000-0000-000001370000}"/>
    <cellStyle name="40% - Accent1 2 6 4 5" xfId="11886" xr:uid="{00000000-0005-0000-0000-000002370000}"/>
    <cellStyle name="40% - Accent1 2 6 4 5 2" xfId="23160" xr:uid="{00000000-0005-0000-0000-000003370000}"/>
    <cellStyle name="40% - Accent1 2 6 4 5 3" xfId="32037" xr:uid="{00000000-0005-0000-0000-000004370000}"/>
    <cellStyle name="40% - Accent1 2 6 4 6" xfId="14107" xr:uid="{00000000-0005-0000-0000-000005370000}"/>
    <cellStyle name="40% - Accent1 2 6 4 6 2" xfId="25379" xr:uid="{00000000-0005-0000-0000-000006370000}"/>
    <cellStyle name="40% - Accent1 2 6 4 6 3" xfId="34256" xr:uid="{00000000-0005-0000-0000-000007370000}"/>
    <cellStyle name="40% - Accent1 2 6 4 7" xfId="18716" xr:uid="{00000000-0005-0000-0000-000008370000}"/>
    <cellStyle name="40% - Accent1 2 6 4 8" xfId="27597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8" xr:uid="{00000000-0005-0000-0000-00000D370000}"/>
    <cellStyle name="40% - Accent1 2 6 5 2 2 3" xfId="31295" xr:uid="{00000000-0005-0000-0000-00000E370000}"/>
    <cellStyle name="40% - Accent1 2 6 5 2 3" xfId="13363" xr:uid="{00000000-0005-0000-0000-00000F370000}"/>
    <cellStyle name="40% - Accent1 2 6 5 2 3 2" xfId="24637" xr:uid="{00000000-0005-0000-0000-000010370000}"/>
    <cellStyle name="40% - Accent1 2 6 5 2 3 3" xfId="33514" xr:uid="{00000000-0005-0000-0000-000011370000}"/>
    <cellStyle name="40% - Accent1 2 6 5 2 4" xfId="15813" xr:uid="{00000000-0005-0000-0000-000012370000}"/>
    <cellStyle name="40% - Accent1 2 6 5 2 4 2" xfId="26856" xr:uid="{00000000-0005-0000-0000-000013370000}"/>
    <cellStyle name="40% - Accent1 2 6 5 2 4 3" xfId="35733" xr:uid="{00000000-0005-0000-0000-000014370000}"/>
    <cellStyle name="40% - Accent1 2 6 5 2 5" xfId="20199" xr:uid="{00000000-0005-0000-0000-000015370000}"/>
    <cellStyle name="40% - Accent1 2 6 5 2 6" xfId="29076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5" xr:uid="{00000000-0005-0000-0000-000019370000}"/>
    <cellStyle name="40% - Accent1 2 6 5 3 2 3" xfId="30562" xr:uid="{00000000-0005-0000-0000-00001A370000}"/>
    <cellStyle name="40% - Accent1 2 6 5 3 3" xfId="12630" xr:uid="{00000000-0005-0000-0000-00001B370000}"/>
    <cellStyle name="40% - Accent1 2 6 5 3 3 2" xfId="23904" xr:uid="{00000000-0005-0000-0000-00001C370000}"/>
    <cellStyle name="40% - Accent1 2 6 5 3 3 3" xfId="32781" xr:uid="{00000000-0005-0000-0000-00001D370000}"/>
    <cellStyle name="40% - Accent1 2 6 5 3 4" xfId="15080" xr:uid="{00000000-0005-0000-0000-00001E370000}"/>
    <cellStyle name="40% - Accent1 2 6 5 3 4 2" xfId="26123" xr:uid="{00000000-0005-0000-0000-00001F370000}"/>
    <cellStyle name="40% - Accent1 2 6 5 3 4 3" xfId="35000" xr:uid="{00000000-0005-0000-0000-000020370000}"/>
    <cellStyle name="40% - Accent1 2 6 5 3 5" xfId="19466" xr:uid="{00000000-0005-0000-0000-000021370000}"/>
    <cellStyle name="40% - Accent1 2 6 5 3 6" xfId="28343" xr:uid="{00000000-0005-0000-0000-000022370000}"/>
    <cellStyle name="40% - Accent1 2 6 5 4" xfId="9439" xr:uid="{00000000-0005-0000-0000-000023370000}"/>
    <cellStyle name="40% - Accent1 2 6 5 4 2" xfId="20942" xr:uid="{00000000-0005-0000-0000-000024370000}"/>
    <cellStyle name="40% - Accent1 2 6 5 4 3" xfId="29819" xr:uid="{00000000-0005-0000-0000-000025370000}"/>
    <cellStyle name="40% - Accent1 2 6 5 5" xfId="11887" xr:uid="{00000000-0005-0000-0000-000026370000}"/>
    <cellStyle name="40% - Accent1 2 6 5 5 2" xfId="23161" xr:uid="{00000000-0005-0000-0000-000027370000}"/>
    <cellStyle name="40% - Accent1 2 6 5 5 3" xfId="32038" xr:uid="{00000000-0005-0000-0000-000028370000}"/>
    <cellStyle name="40% - Accent1 2 6 5 6" xfId="14108" xr:uid="{00000000-0005-0000-0000-000029370000}"/>
    <cellStyle name="40% - Accent1 2 6 5 6 2" xfId="25380" xr:uid="{00000000-0005-0000-0000-00002A370000}"/>
    <cellStyle name="40% - Accent1 2 6 5 6 3" xfId="34257" xr:uid="{00000000-0005-0000-0000-00002B370000}"/>
    <cellStyle name="40% - Accent1 2 6 5 7" xfId="18717" xr:uid="{00000000-0005-0000-0000-00002C370000}"/>
    <cellStyle name="40% - Accent1 2 6 5 8" xfId="27598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4" xr:uid="{00000000-0005-0000-0000-000030370000}"/>
    <cellStyle name="40% - Accent1 2 6 6 2 3" xfId="31291" xr:uid="{00000000-0005-0000-0000-000031370000}"/>
    <cellStyle name="40% - Accent1 2 6 6 3" xfId="13359" xr:uid="{00000000-0005-0000-0000-000032370000}"/>
    <cellStyle name="40% - Accent1 2 6 6 3 2" xfId="24633" xr:uid="{00000000-0005-0000-0000-000033370000}"/>
    <cellStyle name="40% - Accent1 2 6 6 3 3" xfId="33510" xr:uid="{00000000-0005-0000-0000-000034370000}"/>
    <cellStyle name="40% - Accent1 2 6 6 4" xfId="15809" xr:uid="{00000000-0005-0000-0000-000035370000}"/>
    <cellStyle name="40% - Accent1 2 6 6 4 2" xfId="26852" xr:uid="{00000000-0005-0000-0000-000036370000}"/>
    <cellStyle name="40% - Accent1 2 6 6 4 3" xfId="35729" xr:uid="{00000000-0005-0000-0000-000037370000}"/>
    <cellStyle name="40% - Accent1 2 6 6 5" xfId="20195" xr:uid="{00000000-0005-0000-0000-000038370000}"/>
    <cellStyle name="40% - Accent1 2 6 6 6" xfId="29072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1" xr:uid="{00000000-0005-0000-0000-00003C370000}"/>
    <cellStyle name="40% - Accent1 2 6 7 2 3" xfId="30558" xr:uid="{00000000-0005-0000-0000-00003D370000}"/>
    <cellStyle name="40% - Accent1 2 6 7 3" xfId="12626" xr:uid="{00000000-0005-0000-0000-00003E370000}"/>
    <cellStyle name="40% - Accent1 2 6 7 3 2" xfId="23900" xr:uid="{00000000-0005-0000-0000-00003F370000}"/>
    <cellStyle name="40% - Accent1 2 6 7 3 3" xfId="32777" xr:uid="{00000000-0005-0000-0000-000040370000}"/>
    <cellStyle name="40% - Accent1 2 6 7 4" xfId="15076" xr:uid="{00000000-0005-0000-0000-000041370000}"/>
    <cellStyle name="40% - Accent1 2 6 7 4 2" xfId="26119" xr:uid="{00000000-0005-0000-0000-000042370000}"/>
    <cellStyle name="40% - Accent1 2 6 7 4 3" xfId="34996" xr:uid="{00000000-0005-0000-0000-000043370000}"/>
    <cellStyle name="40% - Accent1 2 6 7 5" xfId="19462" xr:uid="{00000000-0005-0000-0000-000044370000}"/>
    <cellStyle name="40% - Accent1 2 6 7 6" xfId="28339" xr:uid="{00000000-0005-0000-0000-000045370000}"/>
    <cellStyle name="40% - Accent1 2 6 8" xfId="9435" xr:uid="{00000000-0005-0000-0000-000046370000}"/>
    <cellStyle name="40% - Accent1 2 6 8 2" xfId="20938" xr:uid="{00000000-0005-0000-0000-000047370000}"/>
    <cellStyle name="40% - Accent1 2 6 8 3" xfId="29815" xr:uid="{00000000-0005-0000-0000-000048370000}"/>
    <cellStyle name="40% - Accent1 2 6 9" xfId="11883" xr:uid="{00000000-0005-0000-0000-000049370000}"/>
    <cellStyle name="40% - Accent1 2 6 9 2" xfId="23157" xr:uid="{00000000-0005-0000-0000-00004A370000}"/>
    <cellStyle name="40% - Accent1 2 6 9 3" xfId="32034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19" xr:uid="{00000000-0005-0000-0000-00004F370000}"/>
    <cellStyle name="40% - Accent1 2 7 2 2 3" xfId="31296" xr:uid="{00000000-0005-0000-0000-000050370000}"/>
    <cellStyle name="40% - Accent1 2 7 2 3" xfId="13364" xr:uid="{00000000-0005-0000-0000-000051370000}"/>
    <cellStyle name="40% - Accent1 2 7 2 3 2" xfId="24638" xr:uid="{00000000-0005-0000-0000-000052370000}"/>
    <cellStyle name="40% - Accent1 2 7 2 3 3" xfId="33515" xr:uid="{00000000-0005-0000-0000-000053370000}"/>
    <cellStyle name="40% - Accent1 2 7 2 4" xfId="15814" xr:uid="{00000000-0005-0000-0000-000054370000}"/>
    <cellStyle name="40% - Accent1 2 7 2 4 2" xfId="26857" xr:uid="{00000000-0005-0000-0000-000055370000}"/>
    <cellStyle name="40% - Accent1 2 7 2 4 3" xfId="35734" xr:uid="{00000000-0005-0000-0000-000056370000}"/>
    <cellStyle name="40% - Accent1 2 7 2 5" xfId="20200" xr:uid="{00000000-0005-0000-0000-000057370000}"/>
    <cellStyle name="40% - Accent1 2 7 2 6" xfId="29077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6" xr:uid="{00000000-0005-0000-0000-00005B370000}"/>
    <cellStyle name="40% - Accent1 2 7 3 2 3" xfId="30563" xr:uid="{00000000-0005-0000-0000-00005C370000}"/>
    <cellStyle name="40% - Accent1 2 7 3 3" xfId="12631" xr:uid="{00000000-0005-0000-0000-00005D370000}"/>
    <cellStyle name="40% - Accent1 2 7 3 3 2" xfId="23905" xr:uid="{00000000-0005-0000-0000-00005E370000}"/>
    <cellStyle name="40% - Accent1 2 7 3 3 3" xfId="32782" xr:uid="{00000000-0005-0000-0000-00005F370000}"/>
    <cellStyle name="40% - Accent1 2 7 3 4" xfId="15081" xr:uid="{00000000-0005-0000-0000-000060370000}"/>
    <cellStyle name="40% - Accent1 2 7 3 4 2" xfId="26124" xr:uid="{00000000-0005-0000-0000-000061370000}"/>
    <cellStyle name="40% - Accent1 2 7 3 4 3" xfId="35001" xr:uid="{00000000-0005-0000-0000-000062370000}"/>
    <cellStyle name="40% - Accent1 2 7 3 5" xfId="19467" xr:uid="{00000000-0005-0000-0000-000063370000}"/>
    <cellStyle name="40% - Accent1 2 7 3 6" xfId="28344" xr:uid="{00000000-0005-0000-0000-000064370000}"/>
    <cellStyle name="40% - Accent1 2 7 4" xfId="9440" xr:uid="{00000000-0005-0000-0000-000065370000}"/>
    <cellStyle name="40% - Accent1 2 7 4 2" xfId="20943" xr:uid="{00000000-0005-0000-0000-000066370000}"/>
    <cellStyle name="40% - Accent1 2 7 4 3" xfId="29820" xr:uid="{00000000-0005-0000-0000-000067370000}"/>
    <cellStyle name="40% - Accent1 2 7 5" xfId="11888" xr:uid="{00000000-0005-0000-0000-000068370000}"/>
    <cellStyle name="40% - Accent1 2 7 5 2" xfId="23162" xr:uid="{00000000-0005-0000-0000-000069370000}"/>
    <cellStyle name="40% - Accent1 2 7 5 3" xfId="32039" xr:uid="{00000000-0005-0000-0000-00006A370000}"/>
    <cellStyle name="40% - Accent1 2 7 6" xfId="14109" xr:uid="{00000000-0005-0000-0000-00006B370000}"/>
    <cellStyle name="40% - Accent1 2 7 6 2" xfId="25381" xr:uid="{00000000-0005-0000-0000-00006C370000}"/>
    <cellStyle name="40% - Accent1 2 7 6 3" xfId="34258" xr:uid="{00000000-0005-0000-0000-00006D370000}"/>
    <cellStyle name="40% - Accent1 2 7 7" xfId="18718" xr:uid="{00000000-0005-0000-0000-00006E370000}"/>
    <cellStyle name="40% - Accent1 2 7 8" xfId="27599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0" xr:uid="{00000000-0005-0000-0000-000073370000}"/>
    <cellStyle name="40% - Accent1 2 8 2 2 3" xfId="31297" xr:uid="{00000000-0005-0000-0000-000074370000}"/>
    <cellStyle name="40% - Accent1 2 8 2 3" xfId="13365" xr:uid="{00000000-0005-0000-0000-000075370000}"/>
    <cellStyle name="40% - Accent1 2 8 2 3 2" xfId="24639" xr:uid="{00000000-0005-0000-0000-000076370000}"/>
    <cellStyle name="40% - Accent1 2 8 2 3 3" xfId="33516" xr:uid="{00000000-0005-0000-0000-000077370000}"/>
    <cellStyle name="40% - Accent1 2 8 2 4" xfId="15815" xr:uid="{00000000-0005-0000-0000-000078370000}"/>
    <cellStyle name="40% - Accent1 2 8 2 4 2" xfId="26858" xr:uid="{00000000-0005-0000-0000-000079370000}"/>
    <cellStyle name="40% - Accent1 2 8 2 4 3" xfId="35735" xr:uid="{00000000-0005-0000-0000-00007A370000}"/>
    <cellStyle name="40% - Accent1 2 8 2 5" xfId="20201" xr:uid="{00000000-0005-0000-0000-00007B370000}"/>
    <cellStyle name="40% - Accent1 2 8 2 6" xfId="29078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7" xr:uid="{00000000-0005-0000-0000-00007F370000}"/>
    <cellStyle name="40% - Accent1 2 8 3 2 3" xfId="30564" xr:uid="{00000000-0005-0000-0000-000080370000}"/>
    <cellStyle name="40% - Accent1 2 8 3 3" xfId="12632" xr:uid="{00000000-0005-0000-0000-000081370000}"/>
    <cellStyle name="40% - Accent1 2 8 3 3 2" xfId="23906" xr:uid="{00000000-0005-0000-0000-000082370000}"/>
    <cellStyle name="40% - Accent1 2 8 3 3 3" xfId="32783" xr:uid="{00000000-0005-0000-0000-000083370000}"/>
    <cellStyle name="40% - Accent1 2 8 3 4" xfId="15082" xr:uid="{00000000-0005-0000-0000-000084370000}"/>
    <cellStyle name="40% - Accent1 2 8 3 4 2" xfId="26125" xr:uid="{00000000-0005-0000-0000-000085370000}"/>
    <cellStyle name="40% - Accent1 2 8 3 4 3" xfId="35002" xr:uid="{00000000-0005-0000-0000-000086370000}"/>
    <cellStyle name="40% - Accent1 2 8 3 5" xfId="19468" xr:uid="{00000000-0005-0000-0000-000087370000}"/>
    <cellStyle name="40% - Accent1 2 8 3 6" xfId="28345" xr:uid="{00000000-0005-0000-0000-000088370000}"/>
    <cellStyle name="40% - Accent1 2 8 4" xfId="9441" xr:uid="{00000000-0005-0000-0000-000089370000}"/>
    <cellStyle name="40% - Accent1 2 8 4 2" xfId="20944" xr:uid="{00000000-0005-0000-0000-00008A370000}"/>
    <cellStyle name="40% - Accent1 2 8 4 3" xfId="29821" xr:uid="{00000000-0005-0000-0000-00008B370000}"/>
    <cellStyle name="40% - Accent1 2 8 5" xfId="11889" xr:uid="{00000000-0005-0000-0000-00008C370000}"/>
    <cellStyle name="40% - Accent1 2 8 5 2" xfId="23163" xr:uid="{00000000-0005-0000-0000-00008D370000}"/>
    <cellStyle name="40% - Accent1 2 8 5 3" xfId="32040" xr:uid="{00000000-0005-0000-0000-00008E370000}"/>
    <cellStyle name="40% - Accent1 2 8 6" xfId="14110" xr:uid="{00000000-0005-0000-0000-00008F370000}"/>
    <cellStyle name="40% - Accent1 2 8 6 2" xfId="25382" xr:uid="{00000000-0005-0000-0000-000090370000}"/>
    <cellStyle name="40% - Accent1 2 8 6 3" xfId="34259" xr:uid="{00000000-0005-0000-0000-000091370000}"/>
    <cellStyle name="40% - Accent1 2 8 7" xfId="18719" xr:uid="{00000000-0005-0000-0000-000092370000}"/>
    <cellStyle name="40% - Accent1 2 8 8" xfId="27600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1" xr:uid="{00000000-0005-0000-0000-000097370000}"/>
    <cellStyle name="40% - Accent1 2 9 2 2 3" xfId="31298" xr:uid="{00000000-0005-0000-0000-000098370000}"/>
    <cellStyle name="40% - Accent1 2 9 2 3" xfId="13366" xr:uid="{00000000-0005-0000-0000-000099370000}"/>
    <cellStyle name="40% - Accent1 2 9 2 3 2" xfId="24640" xr:uid="{00000000-0005-0000-0000-00009A370000}"/>
    <cellStyle name="40% - Accent1 2 9 2 3 3" xfId="33517" xr:uid="{00000000-0005-0000-0000-00009B370000}"/>
    <cellStyle name="40% - Accent1 2 9 2 4" xfId="15816" xr:uid="{00000000-0005-0000-0000-00009C370000}"/>
    <cellStyle name="40% - Accent1 2 9 2 4 2" xfId="26859" xr:uid="{00000000-0005-0000-0000-00009D370000}"/>
    <cellStyle name="40% - Accent1 2 9 2 4 3" xfId="35736" xr:uid="{00000000-0005-0000-0000-00009E370000}"/>
    <cellStyle name="40% - Accent1 2 9 2 5" xfId="20202" xr:uid="{00000000-0005-0000-0000-00009F370000}"/>
    <cellStyle name="40% - Accent1 2 9 2 6" xfId="29079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8" xr:uid="{00000000-0005-0000-0000-0000A3370000}"/>
    <cellStyle name="40% - Accent1 2 9 3 2 3" xfId="30565" xr:uid="{00000000-0005-0000-0000-0000A4370000}"/>
    <cellStyle name="40% - Accent1 2 9 3 3" xfId="12633" xr:uid="{00000000-0005-0000-0000-0000A5370000}"/>
    <cellStyle name="40% - Accent1 2 9 3 3 2" xfId="23907" xr:uid="{00000000-0005-0000-0000-0000A6370000}"/>
    <cellStyle name="40% - Accent1 2 9 3 3 3" xfId="32784" xr:uid="{00000000-0005-0000-0000-0000A7370000}"/>
    <cellStyle name="40% - Accent1 2 9 3 4" xfId="15083" xr:uid="{00000000-0005-0000-0000-0000A8370000}"/>
    <cellStyle name="40% - Accent1 2 9 3 4 2" xfId="26126" xr:uid="{00000000-0005-0000-0000-0000A9370000}"/>
    <cellStyle name="40% - Accent1 2 9 3 4 3" xfId="35003" xr:uid="{00000000-0005-0000-0000-0000AA370000}"/>
    <cellStyle name="40% - Accent1 2 9 3 5" xfId="19469" xr:uid="{00000000-0005-0000-0000-0000AB370000}"/>
    <cellStyle name="40% - Accent1 2 9 3 6" xfId="28346" xr:uid="{00000000-0005-0000-0000-0000AC370000}"/>
    <cellStyle name="40% - Accent1 2 9 4" xfId="9442" xr:uid="{00000000-0005-0000-0000-0000AD370000}"/>
    <cellStyle name="40% - Accent1 2 9 4 2" xfId="20945" xr:uid="{00000000-0005-0000-0000-0000AE370000}"/>
    <cellStyle name="40% - Accent1 2 9 4 3" xfId="29822" xr:uid="{00000000-0005-0000-0000-0000AF370000}"/>
    <cellStyle name="40% - Accent1 2 9 5" xfId="11890" xr:uid="{00000000-0005-0000-0000-0000B0370000}"/>
    <cellStyle name="40% - Accent1 2 9 5 2" xfId="23164" xr:uid="{00000000-0005-0000-0000-0000B1370000}"/>
    <cellStyle name="40% - Accent1 2 9 5 3" xfId="32041" xr:uid="{00000000-0005-0000-0000-0000B2370000}"/>
    <cellStyle name="40% - Accent1 2 9 6" xfId="14111" xr:uid="{00000000-0005-0000-0000-0000B3370000}"/>
    <cellStyle name="40% - Accent1 2 9 6 2" xfId="25383" xr:uid="{00000000-0005-0000-0000-0000B4370000}"/>
    <cellStyle name="40% - Accent1 2 9 6 3" xfId="34260" xr:uid="{00000000-0005-0000-0000-0000B5370000}"/>
    <cellStyle name="40% - Accent1 2 9 7" xfId="18720" xr:uid="{00000000-0005-0000-0000-0000B6370000}"/>
    <cellStyle name="40% - Accent1 2 9 8" xfId="27601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2" xr:uid="{00000000-0005-0000-0000-0000C4370000}"/>
    <cellStyle name="40% - Accent1 3 2 2 2 3" xfId="31299" xr:uid="{00000000-0005-0000-0000-0000C5370000}"/>
    <cellStyle name="40% - Accent1 3 2 2 3" xfId="13367" xr:uid="{00000000-0005-0000-0000-0000C6370000}"/>
    <cellStyle name="40% - Accent1 3 2 2 3 2" xfId="24641" xr:uid="{00000000-0005-0000-0000-0000C7370000}"/>
    <cellStyle name="40% - Accent1 3 2 2 3 3" xfId="33518" xr:uid="{00000000-0005-0000-0000-0000C8370000}"/>
    <cellStyle name="40% - Accent1 3 2 2 4" xfId="15817" xr:uid="{00000000-0005-0000-0000-0000C9370000}"/>
    <cellStyle name="40% - Accent1 3 2 2 4 2" xfId="26860" xr:uid="{00000000-0005-0000-0000-0000CA370000}"/>
    <cellStyle name="40% - Accent1 3 2 2 4 3" xfId="35737" xr:uid="{00000000-0005-0000-0000-0000CB370000}"/>
    <cellStyle name="40% - Accent1 3 2 2 5" xfId="20203" xr:uid="{00000000-0005-0000-0000-0000CC370000}"/>
    <cellStyle name="40% - Accent1 3 2 2 6" xfId="29080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89" xr:uid="{00000000-0005-0000-0000-0000D0370000}"/>
    <cellStyle name="40% - Accent1 3 2 3 2 3" xfId="30566" xr:uid="{00000000-0005-0000-0000-0000D1370000}"/>
    <cellStyle name="40% - Accent1 3 2 3 3" xfId="12634" xr:uid="{00000000-0005-0000-0000-0000D2370000}"/>
    <cellStyle name="40% - Accent1 3 2 3 3 2" xfId="23908" xr:uid="{00000000-0005-0000-0000-0000D3370000}"/>
    <cellStyle name="40% - Accent1 3 2 3 3 3" xfId="32785" xr:uid="{00000000-0005-0000-0000-0000D4370000}"/>
    <cellStyle name="40% - Accent1 3 2 3 4" xfId="15084" xr:uid="{00000000-0005-0000-0000-0000D5370000}"/>
    <cellStyle name="40% - Accent1 3 2 3 4 2" xfId="26127" xr:uid="{00000000-0005-0000-0000-0000D6370000}"/>
    <cellStyle name="40% - Accent1 3 2 3 4 3" xfId="35004" xr:uid="{00000000-0005-0000-0000-0000D7370000}"/>
    <cellStyle name="40% - Accent1 3 2 3 5" xfId="19470" xr:uid="{00000000-0005-0000-0000-0000D8370000}"/>
    <cellStyle name="40% - Accent1 3 2 3 6" xfId="28347" xr:uid="{00000000-0005-0000-0000-0000D9370000}"/>
    <cellStyle name="40% - Accent1 3 2 4" xfId="9443" xr:uid="{00000000-0005-0000-0000-0000DA370000}"/>
    <cellStyle name="40% - Accent1 3 2 4 2" xfId="20946" xr:uid="{00000000-0005-0000-0000-0000DB370000}"/>
    <cellStyle name="40% - Accent1 3 2 4 3" xfId="29823" xr:uid="{00000000-0005-0000-0000-0000DC370000}"/>
    <cellStyle name="40% - Accent1 3 2 5" xfId="11891" xr:uid="{00000000-0005-0000-0000-0000DD370000}"/>
    <cellStyle name="40% - Accent1 3 2 5 2" xfId="23165" xr:uid="{00000000-0005-0000-0000-0000DE370000}"/>
    <cellStyle name="40% - Accent1 3 2 5 3" xfId="32042" xr:uid="{00000000-0005-0000-0000-0000DF370000}"/>
    <cellStyle name="40% - Accent1 3 2 6" xfId="14112" xr:uid="{00000000-0005-0000-0000-0000E0370000}"/>
    <cellStyle name="40% - Accent1 3 2 6 2" xfId="25384" xr:uid="{00000000-0005-0000-0000-0000E1370000}"/>
    <cellStyle name="40% - Accent1 3 2 6 3" xfId="34261" xr:uid="{00000000-0005-0000-0000-0000E2370000}"/>
    <cellStyle name="40% - Accent1 3 2 7" xfId="18721" xr:uid="{00000000-0005-0000-0000-0000E3370000}"/>
    <cellStyle name="40% - Accent1 3 2 8" xfId="27602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3" xr:uid="{00000000-0005-0000-0000-0000E8370000}"/>
    <cellStyle name="40% - Accent1 3 3 2 2 3" xfId="31300" xr:uid="{00000000-0005-0000-0000-0000E9370000}"/>
    <cellStyle name="40% - Accent1 3 3 2 3" xfId="13368" xr:uid="{00000000-0005-0000-0000-0000EA370000}"/>
    <cellStyle name="40% - Accent1 3 3 2 3 2" xfId="24642" xr:uid="{00000000-0005-0000-0000-0000EB370000}"/>
    <cellStyle name="40% - Accent1 3 3 2 3 3" xfId="33519" xr:uid="{00000000-0005-0000-0000-0000EC370000}"/>
    <cellStyle name="40% - Accent1 3 3 2 4" xfId="15818" xr:uid="{00000000-0005-0000-0000-0000ED370000}"/>
    <cellStyle name="40% - Accent1 3 3 2 4 2" xfId="26861" xr:uid="{00000000-0005-0000-0000-0000EE370000}"/>
    <cellStyle name="40% - Accent1 3 3 2 4 3" xfId="35738" xr:uid="{00000000-0005-0000-0000-0000EF370000}"/>
    <cellStyle name="40% - Accent1 3 3 2 5" xfId="20204" xr:uid="{00000000-0005-0000-0000-0000F0370000}"/>
    <cellStyle name="40% - Accent1 3 3 2 6" xfId="29081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0" xr:uid="{00000000-0005-0000-0000-0000F4370000}"/>
    <cellStyle name="40% - Accent1 3 3 3 2 3" xfId="30567" xr:uid="{00000000-0005-0000-0000-0000F5370000}"/>
    <cellStyle name="40% - Accent1 3 3 3 3" xfId="12635" xr:uid="{00000000-0005-0000-0000-0000F6370000}"/>
    <cellStyle name="40% - Accent1 3 3 3 3 2" xfId="23909" xr:uid="{00000000-0005-0000-0000-0000F7370000}"/>
    <cellStyle name="40% - Accent1 3 3 3 3 3" xfId="32786" xr:uid="{00000000-0005-0000-0000-0000F8370000}"/>
    <cellStyle name="40% - Accent1 3 3 3 4" xfId="15085" xr:uid="{00000000-0005-0000-0000-0000F9370000}"/>
    <cellStyle name="40% - Accent1 3 3 3 4 2" xfId="26128" xr:uid="{00000000-0005-0000-0000-0000FA370000}"/>
    <cellStyle name="40% - Accent1 3 3 3 4 3" xfId="35005" xr:uid="{00000000-0005-0000-0000-0000FB370000}"/>
    <cellStyle name="40% - Accent1 3 3 3 5" xfId="19471" xr:uid="{00000000-0005-0000-0000-0000FC370000}"/>
    <cellStyle name="40% - Accent1 3 3 3 6" xfId="28348" xr:uid="{00000000-0005-0000-0000-0000FD370000}"/>
    <cellStyle name="40% - Accent1 3 3 4" xfId="9444" xr:uid="{00000000-0005-0000-0000-0000FE370000}"/>
    <cellStyle name="40% - Accent1 3 3 4 2" xfId="20947" xr:uid="{00000000-0005-0000-0000-0000FF370000}"/>
    <cellStyle name="40% - Accent1 3 3 4 3" xfId="29824" xr:uid="{00000000-0005-0000-0000-000000380000}"/>
    <cellStyle name="40% - Accent1 3 3 5" xfId="11892" xr:uid="{00000000-0005-0000-0000-000001380000}"/>
    <cellStyle name="40% - Accent1 3 3 5 2" xfId="23166" xr:uid="{00000000-0005-0000-0000-000002380000}"/>
    <cellStyle name="40% - Accent1 3 3 5 3" xfId="32043" xr:uid="{00000000-0005-0000-0000-000003380000}"/>
    <cellStyle name="40% - Accent1 3 3 6" xfId="14113" xr:uid="{00000000-0005-0000-0000-000004380000}"/>
    <cellStyle name="40% - Accent1 3 3 6 2" xfId="25385" xr:uid="{00000000-0005-0000-0000-000005380000}"/>
    <cellStyle name="40% - Accent1 3 3 6 3" xfId="34262" xr:uid="{00000000-0005-0000-0000-000006380000}"/>
    <cellStyle name="40% - Accent1 3 3 7" xfId="18722" xr:uid="{00000000-0005-0000-0000-000007380000}"/>
    <cellStyle name="40% - Accent1 3 3 8" xfId="27603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4" xr:uid="{00000000-0005-0000-0000-00000C380000}"/>
    <cellStyle name="40% - Accent1 3 4 2 2 3" xfId="31301" xr:uid="{00000000-0005-0000-0000-00000D380000}"/>
    <cellStyle name="40% - Accent1 3 4 2 3" xfId="13369" xr:uid="{00000000-0005-0000-0000-00000E380000}"/>
    <cellStyle name="40% - Accent1 3 4 2 3 2" xfId="24643" xr:uid="{00000000-0005-0000-0000-00000F380000}"/>
    <cellStyle name="40% - Accent1 3 4 2 3 3" xfId="33520" xr:uid="{00000000-0005-0000-0000-000010380000}"/>
    <cellStyle name="40% - Accent1 3 4 2 4" xfId="15819" xr:uid="{00000000-0005-0000-0000-000011380000}"/>
    <cellStyle name="40% - Accent1 3 4 2 4 2" xfId="26862" xr:uid="{00000000-0005-0000-0000-000012380000}"/>
    <cellStyle name="40% - Accent1 3 4 2 4 3" xfId="35739" xr:uid="{00000000-0005-0000-0000-000013380000}"/>
    <cellStyle name="40% - Accent1 3 4 2 5" xfId="20205" xr:uid="{00000000-0005-0000-0000-000014380000}"/>
    <cellStyle name="40% - Accent1 3 4 2 6" xfId="29082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1" xr:uid="{00000000-0005-0000-0000-000018380000}"/>
    <cellStyle name="40% - Accent1 3 4 3 2 3" xfId="30568" xr:uid="{00000000-0005-0000-0000-000019380000}"/>
    <cellStyle name="40% - Accent1 3 4 3 3" xfId="12636" xr:uid="{00000000-0005-0000-0000-00001A380000}"/>
    <cellStyle name="40% - Accent1 3 4 3 3 2" xfId="23910" xr:uid="{00000000-0005-0000-0000-00001B380000}"/>
    <cellStyle name="40% - Accent1 3 4 3 3 3" xfId="32787" xr:uid="{00000000-0005-0000-0000-00001C380000}"/>
    <cellStyle name="40% - Accent1 3 4 3 4" xfId="15086" xr:uid="{00000000-0005-0000-0000-00001D380000}"/>
    <cellStyle name="40% - Accent1 3 4 3 4 2" xfId="26129" xr:uid="{00000000-0005-0000-0000-00001E380000}"/>
    <cellStyle name="40% - Accent1 3 4 3 4 3" xfId="35006" xr:uid="{00000000-0005-0000-0000-00001F380000}"/>
    <cellStyle name="40% - Accent1 3 4 3 5" xfId="19472" xr:uid="{00000000-0005-0000-0000-000020380000}"/>
    <cellStyle name="40% - Accent1 3 4 3 6" xfId="28349" xr:uid="{00000000-0005-0000-0000-000021380000}"/>
    <cellStyle name="40% - Accent1 3 4 4" xfId="9445" xr:uid="{00000000-0005-0000-0000-000022380000}"/>
    <cellStyle name="40% - Accent1 3 4 4 2" xfId="20948" xr:uid="{00000000-0005-0000-0000-000023380000}"/>
    <cellStyle name="40% - Accent1 3 4 4 3" xfId="29825" xr:uid="{00000000-0005-0000-0000-000024380000}"/>
    <cellStyle name="40% - Accent1 3 4 5" xfId="11893" xr:uid="{00000000-0005-0000-0000-000025380000}"/>
    <cellStyle name="40% - Accent1 3 4 5 2" xfId="23167" xr:uid="{00000000-0005-0000-0000-000026380000}"/>
    <cellStyle name="40% - Accent1 3 4 5 3" xfId="32044" xr:uid="{00000000-0005-0000-0000-000027380000}"/>
    <cellStyle name="40% - Accent1 3 4 6" xfId="14114" xr:uid="{00000000-0005-0000-0000-000028380000}"/>
    <cellStyle name="40% - Accent1 3 4 6 2" xfId="25386" xr:uid="{00000000-0005-0000-0000-000029380000}"/>
    <cellStyle name="40% - Accent1 3 4 6 3" xfId="34263" xr:uid="{00000000-0005-0000-0000-00002A380000}"/>
    <cellStyle name="40% - Accent1 3 4 7" xfId="18723" xr:uid="{00000000-0005-0000-0000-00002B380000}"/>
    <cellStyle name="40% - Accent1 3 4 8" xfId="27604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5" xr:uid="{00000000-0005-0000-0000-000030380000}"/>
    <cellStyle name="40% - Accent1 3 5 2 2 3" xfId="31302" xr:uid="{00000000-0005-0000-0000-000031380000}"/>
    <cellStyle name="40% - Accent1 3 5 2 3" xfId="13370" xr:uid="{00000000-0005-0000-0000-000032380000}"/>
    <cellStyle name="40% - Accent1 3 5 2 3 2" xfId="24644" xr:uid="{00000000-0005-0000-0000-000033380000}"/>
    <cellStyle name="40% - Accent1 3 5 2 3 3" xfId="33521" xr:uid="{00000000-0005-0000-0000-000034380000}"/>
    <cellStyle name="40% - Accent1 3 5 2 4" xfId="15820" xr:uid="{00000000-0005-0000-0000-000035380000}"/>
    <cellStyle name="40% - Accent1 3 5 2 4 2" xfId="26863" xr:uid="{00000000-0005-0000-0000-000036380000}"/>
    <cellStyle name="40% - Accent1 3 5 2 4 3" xfId="35740" xr:uid="{00000000-0005-0000-0000-000037380000}"/>
    <cellStyle name="40% - Accent1 3 5 2 5" xfId="20206" xr:uid="{00000000-0005-0000-0000-000038380000}"/>
    <cellStyle name="40% - Accent1 3 5 2 6" xfId="29083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2" xr:uid="{00000000-0005-0000-0000-00003C380000}"/>
    <cellStyle name="40% - Accent1 3 5 3 2 3" xfId="30569" xr:uid="{00000000-0005-0000-0000-00003D380000}"/>
    <cellStyle name="40% - Accent1 3 5 3 3" xfId="12637" xr:uid="{00000000-0005-0000-0000-00003E380000}"/>
    <cellStyle name="40% - Accent1 3 5 3 3 2" xfId="23911" xr:uid="{00000000-0005-0000-0000-00003F380000}"/>
    <cellStyle name="40% - Accent1 3 5 3 3 3" xfId="32788" xr:uid="{00000000-0005-0000-0000-000040380000}"/>
    <cellStyle name="40% - Accent1 3 5 3 4" xfId="15087" xr:uid="{00000000-0005-0000-0000-000041380000}"/>
    <cellStyle name="40% - Accent1 3 5 3 4 2" xfId="26130" xr:uid="{00000000-0005-0000-0000-000042380000}"/>
    <cellStyle name="40% - Accent1 3 5 3 4 3" xfId="35007" xr:uid="{00000000-0005-0000-0000-000043380000}"/>
    <cellStyle name="40% - Accent1 3 5 3 5" xfId="19473" xr:uid="{00000000-0005-0000-0000-000044380000}"/>
    <cellStyle name="40% - Accent1 3 5 3 6" xfId="28350" xr:uid="{00000000-0005-0000-0000-000045380000}"/>
    <cellStyle name="40% - Accent1 3 5 4" xfId="9446" xr:uid="{00000000-0005-0000-0000-000046380000}"/>
    <cellStyle name="40% - Accent1 3 5 4 2" xfId="20949" xr:uid="{00000000-0005-0000-0000-000047380000}"/>
    <cellStyle name="40% - Accent1 3 5 4 3" xfId="29826" xr:uid="{00000000-0005-0000-0000-000048380000}"/>
    <cellStyle name="40% - Accent1 3 5 5" xfId="11894" xr:uid="{00000000-0005-0000-0000-000049380000}"/>
    <cellStyle name="40% - Accent1 3 5 5 2" xfId="23168" xr:uid="{00000000-0005-0000-0000-00004A380000}"/>
    <cellStyle name="40% - Accent1 3 5 5 3" xfId="32045" xr:uid="{00000000-0005-0000-0000-00004B380000}"/>
    <cellStyle name="40% - Accent1 3 5 6" xfId="14115" xr:uid="{00000000-0005-0000-0000-00004C380000}"/>
    <cellStyle name="40% - Accent1 3 5 6 2" xfId="25387" xr:uid="{00000000-0005-0000-0000-00004D380000}"/>
    <cellStyle name="40% - Accent1 3 5 6 3" xfId="34264" xr:uid="{00000000-0005-0000-0000-00004E380000}"/>
    <cellStyle name="40% - Accent1 3 5 7" xfId="18724" xr:uid="{00000000-0005-0000-0000-00004F380000}"/>
    <cellStyle name="40% - Accent1 3 5 8" xfId="27605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69" xr:uid="{00000000-0005-0000-0000-000069380000}"/>
    <cellStyle name="40% - Accent1 7 10 3" xfId="32046" xr:uid="{00000000-0005-0000-0000-00006A380000}"/>
    <cellStyle name="40% - Accent1 7 11" xfId="14116" xr:uid="{00000000-0005-0000-0000-00006B380000}"/>
    <cellStyle name="40% - Accent1 7 11 2" xfId="25388" xr:uid="{00000000-0005-0000-0000-00006C380000}"/>
    <cellStyle name="40% - Accent1 7 11 3" xfId="34265" xr:uid="{00000000-0005-0000-0000-00006D380000}"/>
    <cellStyle name="40% - Accent1 7 12" xfId="18725" xr:uid="{00000000-0005-0000-0000-00006E380000}"/>
    <cellStyle name="40% - Accent1 7 13" xfId="27606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6" xr:uid="{00000000-0005-0000-0000-000077380000}"/>
    <cellStyle name="40% - Accent1 7 7 2 3" xfId="31303" xr:uid="{00000000-0005-0000-0000-000078380000}"/>
    <cellStyle name="40% - Accent1 7 7 3" xfId="13371" xr:uid="{00000000-0005-0000-0000-000079380000}"/>
    <cellStyle name="40% - Accent1 7 7 3 2" xfId="24645" xr:uid="{00000000-0005-0000-0000-00007A380000}"/>
    <cellStyle name="40% - Accent1 7 7 3 3" xfId="33522" xr:uid="{00000000-0005-0000-0000-00007B380000}"/>
    <cellStyle name="40% - Accent1 7 7 4" xfId="15821" xr:uid="{00000000-0005-0000-0000-00007C380000}"/>
    <cellStyle name="40% - Accent1 7 7 4 2" xfId="26864" xr:uid="{00000000-0005-0000-0000-00007D380000}"/>
    <cellStyle name="40% - Accent1 7 7 4 3" xfId="35741" xr:uid="{00000000-0005-0000-0000-00007E380000}"/>
    <cellStyle name="40% - Accent1 7 7 5" xfId="20207" xr:uid="{00000000-0005-0000-0000-00007F380000}"/>
    <cellStyle name="40% - Accent1 7 7 6" xfId="29084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3" xr:uid="{00000000-0005-0000-0000-000083380000}"/>
    <cellStyle name="40% - Accent1 7 8 2 3" xfId="30570" xr:uid="{00000000-0005-0000-0000-000084380000}"/>
    <cellStyle name="40% - Accent1 7 8 3" xfId="12638" xr:uid="{00000000-0005-0000-0000-000085380000}"/>
    <cellStyle name="40% - Accent1 7 8 3 2" xfId="23912" xr:uid="{00000000-0005-0000-0000-000086380000}"/>
    <cellStyle name="40% - Accent1 7 8 3 3" xfId="32789" xr:uid="{00000000-0005-0000-0000-000087380000}"/>
    <cellStyle name="40% - Accent1 7 8 4" xfId="15088" xr:uid="{00000000-0005-0000-0000-000088380000}"/>
    <cellStyle name="40% - Accent1 7 8 4 2" xfId="26131" xr:uid="{00000000-0005-0000-0000-000089380000}"/>
    <cellStyle name="40% - Accent1 7 8 4 3" xfId="35008" xr:uid="{00000000-0005-0000-0000-00008A380000}"/>
    <cellStyle name="40% - Accent1 7 8 5" xfId="19474" xr:uid="{00000000-0005-0000-0000-00008B380000}"/>
    <cellStyle name="40% - Accent1 7 8 6" xfId="28351" xr:uid="{00000000-0005-0000-0000-00008C380000}"/>
    <cellStyle name="40% - Accent1 7 9" xfId="9447" xr:uid="{00000000-0005-0000-0000-00008D380000}"/>
    <cellStyle name="40% - Accent1 7 9 2" xfId="20950" xr:uid="{00000000-0005-0000-0000-00008E380000}"/>
    <cellStyle name="40% - Accent1 7 9 3" xfId="29827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48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7" xr:uid="{00000000-0005-0000-0000-0000A7380000}"/>
    <cellStyle name="40% - Accent2 2 10 2 2 3" xfId="31304" xr:uid="{00000000-0005-0000-0000-0000A8380000}"/>
    <cellStyle name="40% - Accent2 2 10 2 3" xfId="13372" xr:uid="{00000000-0005-0000-0000-0000A9380000}"/>
    <cellStyle name="40% - Accent2 2 10 2 3 2" xfId="24646" xr:uid="{00000000-0005-0000-0000-0000AA380000}"/>
    <cellStyle name="40% - Accent2 2 10 2 3 3" xfId="33523" xr:uid="{00000000-0005-0000-0000-0000AB380000}"/>
    <cellStyle name="40% - Accent2 2 10 2 4" xfId="15822" xr:uid="{00000000-0005-0000-0000-0000AC380000}"/>
    <cellStyle name="40% - Accent2 2 10 2 4 2" xfId="26865" xr:uid="{00000000-0005-0000-0000-0000AD380000}"/>
    <cellStyle name="40% - Accent2 2 10 2 4 3" xfId="35742" xr:uid="{00000000-0005-0000-0000-0000AE380000}"/>
    <cellStyle name="40% - Accent2 2 10 2 5" xfId="20208" xr:uid="{00000000-0005-0000-0000-0000AF380000}"/>
    <cellStyle name="40% - Accent2 2 10 2 6" xfId="29085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4" xr:uid="{00000000-0005-0000-0000-0000B3380000}"/>
    <cellStyle name="40% - Accent2 2 10 3 2 3" xfId="30571" xr:uid="{00000000-0005-0000-0000-0000B4380000}"/>
    <cellStyle name="40% - Accent2 2 10 3 3" xfId="12639" xr:uid="{00000000-0005-0000-0000-0000B5380000}"/>
    <cellStyle name="40% - Accent2 2 10 3 3 2" xfId="23913" xr:uid="{00000000-0005-0000-0000-0000B6380000}"/>
    <cellStyle name="40% - Accent2 2 10 3 3 3" xfId="32790" xr:uid="{00000000-0005-0000-0000-0000B7380000}"/>
    <cellStyle name="40% - Accent2 2 10 3 4" xfId="15089" xr:uid="{00000000-0005-0000-0000-0000B8380000}"/>
    <cellStyle name="40% - Accent2 2 10 3 4 2" xfId="26132" xr:uid="{00000000-0005-0000-0000-0000B9380000}"/>
    <cellStyle name="40% - Accent2 2 10 3 4 3" xfId="35009" xr:uid="{00000000-0005-0000-0000-0000BA380000}"/>
    <cellStyle name="40% - Accent2 2 10 3 5" xfId="19475" xr:uid="{00000000-0005-0000-0000-0000BB380000}"/>
    <cellStyle name="40% - Accent2 2 10 3 6" xfId="28352" xr:uid="{00000000-0005-0000-0000-0000BC380000}"/>
    <cellStyle name="40% - Accent2 2 10 4" xfId="9448" xr:uid="{00000000-0005-0000-0000-0000BD380000}"/>
    <cellStyle name="40% - Accent2 2 10 4 2" xfId="20951" xr:uid="{00000000-0005-0000-0000-0000BE380000}"/>
    <cellStyle name="40% - Accent2 2 10 4 3" xfId="29828" xr:uid="{00000000-0005-0000-0000-0000BF380000}"/>
    <cellStyle name="40% - Accent2 2 10 5" xfId="11896" xr:uid="{00000000-0005-0000-0000-0000C0380000}"/>
    <cellStyle name="40% - Accent2 2 10 5 2" xfId="23170" xr:uid="{00000000-0005-0000-0000-0000C1380000}"/>
    <cellStyle name="40% - Accent2 2 10 5 3" xfId="32047" xr:uid="{00000000-0005-0000-0000-0000C2380000}"/>
    <cellStyle name="40% - Accent2 2 10 6" xfId="14117" xr:uid="{00000000-0005-0000-0000-0000C3380000}"/>
    <cellStyle name="40% - Accent2 2 10 6 2" xfId="25389" xr:uid="{00000000-0005-0000-0000-0000C4380000}"/>
    <cellStyle name="40% - Accent2 2 10 6 3" xfId="34266" xr:uid="{00000000-0005-0000-0000-0000C5380000}"/>
    <cellStyle name="40% - Accent2 2 10 7" xfId="18726" xr:uid="{00000000-0005-0000-0000-0000C6380000}"/>
    <cellStyle name="40% - Accent2 2 10 8" xfId="27607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8" xr:uid="{00000000-0005-0000-0000-0000CC380000}"/>
    <cellStyle name="40% - Accent2 2 11 2 2 2 3" xfId="31305" xr:uid="{00000000-0005-0000-0000-0000CD380000}"/>
    <cellStyle name="40% - Accent2 2 11 2 2 3" xfId="13373" xr:uid="{00000000-0005-0000-0000-0000CE380000}"/>
    <cellStyle name="40% - Accent2 2 11 2 2 3 2" xfId="24647" xr:uid="{00000000-0005-0000-0000-0000CF380000}"/>
    <cellStyle name="40% - Accent2 2 11 2 2 3 3" xfId="33524" xr:uid="{00000000-0005-0000-0000-0000D0380000}"/>
    <cellStyle name="40% - Accent2 2 11 2 2 4" xfId="15823" xr:uid="{00000000-0005-0000-0000-0000D1380000}"/>
    <cellStyle name="40% - Accent2 2 11 2 2 4 2" xfId="26866" xr:uid="{00000000-0005-0000-0000-0000D2380000}"/>
    <cellStyle name="40% - Accent2 2 11 2 2 4 3" xfId="35743" xr:uid="{00000000-0005-0000-0000-0000D3380000}"/>
    <cellStyle name="40% - Accent2 2 11 2 2 5" xfId="20209" xr:uid="{00000000-0005-0000-0000-0000D4380000}"/>
    <cellStyle name="40% - Accent2 2 11 2 2 6" xfId="29086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5" xr:uid="{00000000-0005-0000-0000-0000D8380000}"/>
    <cellStyle name="40% - Accent2 2 11 2 3 2 3" xfId="30572" xr:uid="{00000000-0005-0000-0000-0000D9380000}"/>
    <cellStyle name="40% - Accent2 2 11 2 3 3" xfId="12640" xr:uid="{00000000-0005-0000-0000-0000DA380000}"/>
    <cellStyle name="40% - Accent2 2 11 2 3 3 2" xfId="23914" xr:uid="{00000000-0005-0000-0000-0000DB380000}"/>
    <cellStyle name="40% - Accent2 2 11 2 3 3 3" xfId="32791" xr:uid="{00000000-0005-0000-0000-0000DC380000}"/>
    <cellStyle name="40% - Accent2 2 11 2 3 4" xfId="15090" xr:uid="{00000000-0005-0000-0000-0000DD380000}"/>
    <cellStyle name="40% - Accent2 2 11 2 3 4 2" xfId="26133" xr:uid="{00000000-0005-0000-0000-0000DE380000}"/>
    <cellStyle name="40% - Accent2 2 11 2 3 4 3" xfId="35010" xr:uid="{00000000-0005-0000-0000-0000DF380000}"/>
    <cellStyle name="40% - Accent2 2 11 2 3 5" xfId="19476" xr:uid="{00000000-0005-0000-0000-0000E0380000}"/>
    <cellStyle name="40% - Accent2 2 11 2 3 6" xfId="28353" xr:uid="{00000000-0005-0000-0000-0000E1380000}"/>
    <cellStyle name="40% - Accent2 2 11 2 4" xfId="9449" xr:uid="{00000000-0005-0000-0000-0000E2380000}"/>
    <cellStyle name="40% - Accent2 2 11 2 4 2" xfId="20952" xr:uid="{00000000-0005-0000-0000-0000E3380000}"/>
    <cellStyle name="40% - Accent2 2 11 2 4 3" xfId="29829" xr:uid="{00000000-0005-0000-0000-0000E4380000}"/>
    <cellStyle name="40% - Accent2 2 11 2 5" xfId="11897" xr:uid="{00000000-0005-0000-0000-0000E5380000}"/>
    <cellStyle name="40% - Accent2 2 11 2 5 2" xfId="23171" xr:uid="{00000000-0005-0000-0000-0000E6380000}"/>
    <cellStyle name="40% - Accent2 2 11 2 5 3" xfId="32048" xr:uid="{00000000-0005-0000-0000-0000E7380000}"/>
    <cellStyle name="40% - Accent2 2 11 2 6" xfId="14118" xr:uid="{00000000-0005-0000-0000-0000E8380000}"/>
    <cellStyle name="40% - Accent2 2 11 2 6 2" xfId="25390" xr:uid="{00000000-0005-0000-0000-0000E9380000}"/>
    <cellStyle name="40% - Accent2 2 11 2 6 3" xfId="34267" xr:uid="{00000000-0005-0000-0000-0000EA380000}"/>
    <cellStyle name="40% - Accent2 2 11 2 7" xfId="18727" xr:uid="{00000000-0005-0000-0000-0000EB380000}"/>
    <cellStyle name="40% - Accent2 2 11 2 8" xfId="27608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29" xr:uid="{00000000-0005-0000-0000-0000F0380000}"/>
    <cellStyle name="40% - Accent2 2 11 3 2 2 3" xfId="31306" xr:uid="{00000000-0005-0000-0000-0000F1380000}"/>
    <cellStyle name="40% - Accent2 2 11 3 2 3" xfId="13374" xr:uid="{00000000-0005-0000-0000-0000F2380000}"/>
    <cellStyle name="40% - Accent2 2 11 3 2 3 2" xfId="24648" xr:uid="{00000000-0005-0000-0000-0000F3380000}"/>
    <cellStyle name="40% - Accent2 2 11 3 2 3 3" xfId="33525" xr:uid="{00000000-0005-0000-0000-0000F4380000}"/>
    <cellStyle name="40% - Accent2 2 11 3 2 4" xfId="15824" xr:uid="{00000000-0005-0000-0000-0000F5380000}"/>
    <cellStyle name="40% - Accent2 2 11 3 2 4 2" xfId="26867" xr:uid="{00000000-0005-0000-0000-0000F6380000}"/>
    <cellStyle name="40% - Accent2 2 11 3 2 4 3" xfId="35744" xr:uid="{00000000-0005-0000-0000-0000F7380000}"/>
    <cellStyle name="40% - Accent2 2 11 3 2 5" xfId="20210" xr:uid="{00000000-0005-0000-0000-0000F8380000}"/>
    <cellStyle name="40% - Accent2 2 11 3 2 6" xfId="29087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6" xr:uid="{00000000-0005-0000-0000-0000FC380000}"/>
    <cellStyle name="40% - Accent2 2 11 3 3 2 3" xfId="30573" xr:uid="{00000000-0005-0000-0000-0000FD380000}"/>
    <cellStyle name="40% - Accent2 2 11 3 3 3" xfId="12641" xr:uid="{00000000-0005-0000-0000-0000FE380000}"/>
    <cellStyle name="40% - Accent2 2 11 3 3 3 2" xfId="23915" xr:uid="{00000000-0005-0000-0000-0000FF380000}"/>
    <cellStyle name="40% - Accent2 2 11 3 3 3 3" xfId="32792" xr:uid="{00000000-0005-0000-0000-000000390000}"/>
    <cellStyle name="40% - Accent2 2 11 3 3 4" xfId="15091" xr:uid="{00000000-0005-0000-0000-000001390000}"/>
    <cellStyle name="40% - Accent2 2 11 3 3 4 2" xfId="26134" xr:uid="{00000000-0005-0000-0000-000002390000}"/>
    <cellStyle name="40% - Accent2 2 11 3 3 4 3" xfId="35011" xr:uid="{00000000-0005-0000-0000-000003390000}"/>
    <cellStyle name="40% - Accent2 2 11 3 3 5" xfId="19477" xr:uid="{00000000-0005-0000-0000-000004390000}"/>
    <cellStyle name="40% - Accent2 2 11 3 3 6" xfId="28354" xr:uid="{00000000-0005-0000-0000-000005390000}"/>
    <cellStyle name="40% - Accent2 2 11 3 4" xfId="9450" xr:uid="{00000000-0005-0000-0000-000006390000}"/>
    <cellStyle name="40% - Accent2 2 11 3 4 2" xfId="20953" xr:uid="{00000000-0005-0000-0000-000007390000}"/>
    <cellStyle name="40% - Accent2 2 11 3 4 3" xfId="29830" xr:uid="{00000000-0005-0000-0000-000008390000}"/>
    <cellStyle name="40% - Accent2 2 11 3 5" xfId="11898" xr:uid="{00000000-0005-0000-0000-000009390000}"/>
    <cellStyle name="40% - Accent2 2 11 3 5 2" xfId="23172" xr:uid="{00000000-0005-0000-0000-00000A390000}"/>
    <cellStyle name="40% - Accent2 2 11 3 5 3" xfId="32049" xr:uid="{00000000-0005-0000-0000-00000B390000}"/>
    <cellStyle name="40% - Accent2 2 11 3 6" xfId="14119" xr:uid="{00000000-0005-0000-0000-00000C390000}"/>
    <cellStyle name="40% - Accent2 2 11 3 6 2" xfId="25391" xr:uid="{00000000-0005-0000-0000-00000D390000}"/>
    <cellStyle name="40% - Accent2 2 11 3 6 3" xfId="34268" xr:uid="{00000000-0005-0000-0000-00000E390000}"/>
    <cellStyle name="40% - Accent2 2 11 3 7" xfId="18728" xr:uid="{00000000-0005-0000-0000-00000F390000}"/>
    <cellStyle name="40% - Accent2 2 11 3 8" xfId="27609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0" xr:uid="{00000000-0005-0000-0000-000014390000}"/>
    <cellStyle name="40% - Accent2 2 11 4 2 2 3" xfId="31307" xr:uid="{00000000-0005-0000-0000-000015390000}"/>
    <cellStyle name="40% - Accent2 2 11 4 2 3" xfId="13375" xr:uid="{00000000-0005-0000-0000-000016390000}"/>
    <cellStyle name="40% - Accent2 2 11 4 2 3 2" xfId="24649" xr:uid="{00000000-0005-0000-0000-000017390000}"/>
    <cellStyle name="40% - Accent2 2 11 4 2 3 3" xfId="33526" xr:uid="{00000000-0005-0000-0000-000018390000}"/>
    <cellStyle name="40% - Accent2 2 11 4 2 4" xfId="15825" xr:uid="{00000000-0005-0000-0000-000019390000}"/>
    <cellStyle name="40% - Accent2 2 11 4 2 4 2" xfId="26868" xr:uid="{00000000-0005-0000-0000-00001A390000}"/>
    <cellStyle name="40% - Accent2 2 11 4 2 4 3" xfId="35745" xr:uid="{00000000-0005-0000-0000-00001B390000}"/>
    <cellStyle name="40% - Accent2 2 11 4 2 5" xfId="20211" xr:uid="{00000000-0005-0000-0000-00001C390000}"/>
    <cellStyle name="40% - Accent2 2 11 4 2 6" xfId="29088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7" xr:uid="{00000000-0005-0000-0000-000020390000}"/>
    <cellStyle name="40% - Accent2 2 11 4 3 2 3" xfId="30574" xr:uid="{00000000-0005-0000-0000-000021390000}"/>
    <cellStyle name="40% - Accent2 2 11 4 3 3" xfId="12642" xr:uid="{00000000-0005-0000-0000-000022390000}"/>
    <cellStyle name="40% - Accent2 2 11 4 3 3 2" xfId="23916" xr:uid="{00000000-0005-0000-0000-000023390000}"/>
    <cellStyle name="40% - Accent2 2 11 4 3 3 3" xfId="32793" xr:uid="{00000000-0005-0000-0000-000024390000}"/>
    <cellStyle name="40% - Accent2 2 11 4 3 4" xfId="15092" xr:uid="{00000000-0005-0000-0000-000025390000}"/>
    <cellStyle name="40% - Accent2 2 11 4 3 4 2" xfId="26135" xr:uid="{00000000-0005-0000-0000-000026390000}"/>
    <cellStyle name="40% - Accent2 2 11 4 3 4 3" xfId="35012" xr:uid="{00000000-0005-0000-0000-000027390000}"/>
    <cellStyle name="40% - Accent2 2 11 4 3 5" xfId="19478" xr:uid="{00000000-0005-0000-0000-000028390000}"/>
    <cellStyle name="40% - Accent2 2 11 4 3 6" xfId="28355" xr:uid="{00000000-0005-0000-0000-000029390000}"/>
    <cellStyle name="40% - Accent2 2 11 4 4" xfId="9451" xr:uid="{00000000-0005-0000-0000-00002A390000}"/>
    <cellStyle name="40% - Accent2 2 11 4 4 2" xfId="20954" xr:uid="{00000000-0005-0000-0000-00002B390000}"/>
    <cellStyle name="40% - Accent2 2 11 4 4 3" xfId="29831" xr:uid="{00000000-0005-0000-0000-00002C390000}"/>
    <cellStyle name="40% - Accent2 2 11 4 5" xfId="11899" xr:uid="{00000000-0005-0000-0000-00002D390000}"/>
    <cellStyle name="40% - Accent2 2 11 4 5 2" xfId="23173" xr:uid="{00000000-0005-0000-0000-00002E390000}"/>
    <cellStyle name="40% - Accent2 2 11 4 5 3" xfId="32050" xr:uid="{00000000-0005-0000-0000-00002F390000}"/>
    <cellStyle name="40% - Accent2 2 11 4 6" xfId="14120" xr:uid="{00000000-0005-0000-0000-000030390000}"/>
    <cellStyle name="40% - Accent2 2 11 4 6 2" xfId="25392" xr:uid="{00000000-0005-0000-0000-000031390000}"/>
    <cellStyle name="40% - Accent2 2 11 4 6 3" xfId="34269" xr:uid="{00000000-0005-0000-0000-000032390000}"/>
    <cellStyle name="40% - Accent2 2 11 4 7" xfId="18729" xr:uid="{00000000-0005-0000-0000-000033390000}"/>
    <cellStyle name="40% - Accent2 2 11 4 8" xfId="27610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1" xr:uid="{00000000-0005-0000-0000-000038390000}"/>
    <cellStyle name="40% - Accent2 2 11 5 2 2 3" xfId="31308" xr:uid="{00000000-0005-0000-0000-000039390000}"/>
    <cellStyle name="40% - Accent2 2 11 5 2 3" xfId="13376" xr:uid="{00000000-0005-0000-0000-00003A390000}"/>
    <cellStyle name="40% - Accent2 2 11 5 2 3 2" xfId="24650" xr:uid="{00000000-0005-0000-0000-00003B390000}"/>
    <cellStyle name="40% - Accent2 2 11 5 2 3 3" xfId="33527" xr:uid="{00000000-0005-0000-0000-00003C390000}"/>
    <cellStyle name="40% - Accent2 2 11 5 2 4" xfId="15826" xr:uid="{00000000-0005-0000-0000-00003D390000}"/>
    <cellStyle name="40% - Accent2 2 11 5 2 4 2" xfId="26869" xr:uid="{00000000-0005-0000-0000-00003E390000}"/>
    <cellStyle name="40% - Accent2 2 11 5 2 4 3" xfId="35746" xr:uid="{00000000-0005-0000-0000-00003F390000}"/>
    <cellStyle name="40% - Accent2 2 11 5 2 5" xfId="20212" xr:uid="{00000000-0005-0000-0000-000040390000}"/>
    <cellStyle name="40% - Accent2 2 11 5 2 6" xfId="29089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8" xr:uid="{00000000-0005-0000-0000-000044390000}"/>
    <cellStyle name="40% - Accent2 2 11 5 3 2 3" xfId="30575" xr:uid="{00000000-0005-0000-0000-000045390000}"/>
    <cellStyle name="40% - Accent2 2 11 5 3 3" xfId="12643" xr:uid="{00000000-0005-0000-0000-000046390000}"/>
    <cellStyle name="40% - Accent2 2 11 5 3 3 2" xfId="23917" xr:uid="{00000000-0005-0000-0000-000047390000}"/>
    <cellStyle name="40% - Accent2 2 11 5 3 3 3" xfId="32794" xr:uid="{00000000-0005-0000-0000-000048390000}"/>
    <cellStyle name="40% - Accent2 2 11 5 3 4" xfId="15093" xr:uid="{00000000-0005-0000-0000-000049390000}"/>
    <cellStyle name="40% - Accent2 2 11 5 3 4 2" xfId="26136" xr:uid="{00000000-0005-0000-0000-00004A390000}"/>
    <cellStyle name="40% - Accent2 2 11 5 3 4 3" xfId="35013" xr:uid="{00000000-0005-0000-0000-00004B390000}"/>
    <cellStyle name="40% - Accent2 2 11 5 3 5" xfId="19479" xr:uid="{00000000-0005-0000-0000-00004C390000}"/>
    <cellStyle name="40% - Accent2 2 11 5 3 6" xfId="28356" xr:uid="{00000000-0005-0000-0000-00004D390000}"/>
    <cellStyle name="40% - Accent2 2 11 5 4" xfId="9452" xr:uid="{00000000-0005-0000-0000-00004E390000}"/>
    <cellStyle name="40% - Accent2 2 11 5 4 2" xfId="20955" xr:uid="{00000000-0005-0000-0000-00004F390000}"/>
    <cellStyle name="40% - Accent2 2 11 5 4 3" xfId="29832" xr:uid="{00000000-0005-0000-0000-000050390000}"/>
    <cellStyle name="40% - Accent2 2 11 5 5" xfId="11900" xr:uid="{00000000-0005-0000-0000-000051390000}"/>
    <cellStyle name="40% - Accent2 2 11 5 5 2" xfId="23174" xr:uid="{00000000-0005-0000-0000-000052390000}"/>
    <cellStyle name="40% - Accent2 2 11 5 5 3" xfId="32051" xr:uid="{00000000-0005-0000-0000-000053390000}"/>
    <cellStyle name="40% - Accent2 2 11 5 6" xfId="14121" xr:uid="{00000000-0005-0000-0000-000054390000}"/>
    <cellStyle name="40% - Accent2 2 11 5 6 2" xfId="25393" xr:uid="{00000000-0005-0000-0000-000055390000}"/>
    <cellStyle name="40% - Accent2 2 11 5 6 3" xfId="34270" xr:uid="{00000000-0005-0000-0000-000056390000}"/>
    <cellStyle name="40% - Accent2 2 11 5 7" xfId="18730" xr:uid="{00000000-0005-0000-0000-000057390000}"/>
    <cellStyle name="40% - Accent2 2 11 5 8" xfId="27611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2" xr:uid="{00000000-0005-0000-0000-00005F390000}"/>
    <cellStyle name="40% - Accent2 2 15 2 2 3" xfId="31309" xr:uid="{00000000-0005-0000-0000-000060390000}"/>
    <cellStyle name="40% - Accent2 2 15 2 3" xfId="13377" xr:uid="{00000000-0005-0000-0000-000061390000}"/>
    <cellStyle name="40% - Accent2 2 15 2 3 2" xfId="24651" xr:uid="{00000000-0005-0000-0000-000062390000}"/>
    <cellStyle name="40% - Accent2 2 15 2 3 3" xfId="33528" xr:uid="{00000000-0005-0000-0000-000063390000}"/>
    <cellStyle name="40% - Accent2 2 15 2 4" xfId="15827" xr:uid="{00000000-0005-0000-0000-000064390000}"/>
    <cellStyle name="40% - Accent2 2 15 2 4 2" xfId="26870" xr:uid="{00000000-0005-0000-0000-000065390000}"/>
    <cellStyle name="40% - Accent2 2 15 2 4 3" xfId="35747" xr:uid="{00000000-0005-0000-0000-000066390000}"/>
    <cellStyle name="40% - Accent2 2 15 2 5" xfId="20213" xr:uid="{00000000-0005-0000-0000-000067390000}"/>
    <cellStyle name="40% - Accent2 2 15 2 6" xfId="29090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699" xr:uid="{00000000-0005-0000-0000-00006B390000}"/>
    <cellStyle name="40% - Accent2 2 15 3 2 3" xfId="30576" xr:uid="{00000000-0005-0000-0000-00006C390000}"/>
    <cellStyle name="40% - Accent2 2 15 3 3" xfId="12644" xr:uid="{00000000-0005-0000-0000-00006D390000}"/>
    <cellStyle name="40% - Accent2 2 15 3 3 2" xfId="23918" xr:uid="{00000000-0005-0000-0000-00006E390000}"/>
    <cellStyle name="40% - Accent2 2 15 3 3 3" xfId="32795" xr:uid="{00000000-0005-0000-0000-00006F390000}"/>
    <cellStyle name="40% - Accent2 2 15 3 4" xfId="15094" xr:uid="{00000000-0005-0000-0000-000070390000}"/>
    <cellStyle name="40% - Accent2 2 15 3 4 2" xfId="26137" xr:uid="{00000000-0005-0000-0000-000071390000}"/>
    <cellStyle name="40% - Accent2 2 15 3 4 3" xfId="35014" xr:uid="{00000000-0005-0000-0000-000072390000}"/>
    <cellStyle name="40% - Accent2 2 15 3 5" xfId="19480" xr:uid="{00000000-0005-0000-0000-000073390000}"/>
    <cellStyle name="40% - Accent2 2 15 3 6" xfId="28357" xr:uid="{00000000-0005-0000-0000-000074390000}"/>
    <cellStyle name="40% - Accent2 2 15 4" xfId="9453" xr:uid="{00000000-0005-0000-0000-000075390000}"/>
    <cellStyle name="40% - Accent2 2 15 4 2" xfId="20956" xr:uid="{00000000-0005-0000-0000-000076390000}"/>
    <cellStyle name="40% - Accent2 2 15 4 3" xfId="29833" xr:uid="{00000000-0005-0000-0000-000077390000}"/>
    <cellStyle name="40% - Accent2 2 15 5" xfId="11901" xr:uid="{00000000-0005-0000-0000-000078390000}"/>
    <cellStyle name="40% - Accent2 2 15 5 2" xfId="23175" xr:uid="{00000000-0005-0000-0000-000079390000}"/>
    <cellStyle name="40% - Accent2 2 15 5 3" xfId="32052" xr:uid="{00000000-0005-0000-0000-00007A390000}"/>
    <cellStyle name="40% - Accent2 2 15 6" xfId="14122" xr:uid="{00000000-0005-0000-0000-00007B390000}"/>
    <cellStyle name="40% - Accent2 2 15 6 2" xfId="25394" xr:uid="{00000000-0005-0000-0000-00007C390000}"/>
    <cellStyle name="40% - Accent2 2 15 6 3" xfId="34271" xr:uid="{00000000-0005-0000-0000-00007D390000}"/>
    <cellStyle name="40% - Accent2 2 15 7" xfId="18731" xr:uid="{00000000-0005-0000-0000-00007E390000}"/>
    <cellStyle name="40% - Accent2 2 15 8" xfId="27612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3" xr:uid="{00000000-0005-0000-0000-000084390000}"/>
    <cellStyle name="40% - Accent2 2 2 10 2 3" xfId="31310" xr:uid="{00000000-0005-0000-0000-000085390000}"/>
    <cellStyle name="40% - Accent2 2 2 10 3" xfId="13378" xr:uid="{00000000-0005-0000-0000-000086390000}"/>
    <cellStyle name="40% - Accent2 2 2 10 3 2" xfId="24652" xr:uid="{00000000-0005-0000-0000-000087390000}"/>
    <cellStyle name="40% - Accent2 2 2 10 3 3" xfId="33529" xr:uid="{00000000-0005-0000-0000-000088390000}"/>
    <cellStyle name="40% - Accent2 2 2 10 4" xfId="15828" xr:uid="{00000000-0005-0000-0000-000089390000}"/>
    <cellStyle name="40% - Accent2 2 2 10 4 2" xfId="26871" xr:uid="{00000000-0005-0000-0000-00008A390000}"/>
    <cellStyle name="40% - Accent2 2 2 10 4 3" xfId="35748" xr:uid="{00000000-0005-0000-0000-00008B390000}"/>
    <cellStyle name="40% - Accent2 2 2 10 5" xfId="20214" xr:uid="{00000000-0005-0000-0000-00008C390000}"/>
    <cellStyle name="40% - Accent2 2 2 10 6" xfId="29091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0" xr:uid="{00000000-0005-0000-0000-000090390000}"/>
    <cellStyle name="40% - Accent2 2 2 11 2 3" xfId="30577" xr:uid="{00000000-0005-0000-0000-000091390000}"/>
    <cellStyle name="40% - Accent2 2 2 11 3" xfId="12645" xr:uid="{00000000-0005-0000-0000-000092390000}"/>
    <cellStyle name="40% - Accent2 2 2 11 3 2" xfId="23919" xr:uid="{00000000-0005-0000-0000-000093390000}"/>
    <cellStyle name="40% - Accent2 2 2 11 3 3" xfId="32796" xr:uid="{00000000-0005-0000-0000-000094390000}"/>
    <cellStyle name="40% - Accent2 2 2 11 4" xfId="15095" xr:uid="{00000000-0005-0000-0000-000095390000}"/>
    <cellStyle name="40% - Accent2 2 2 11 4 2" xfId="26138" xr:uid="{00000000-0005-0000-0000-000096390000}"/>
    <cellStyle name="40% - Accent2 2 2 11 4 3" xfId="35015" xr:uid="{00000000-0005-0000-0000-000097390000}"/>
    <cellStyle name="40% - Accent2 2 2 11 5" xfId="19481" xr:uid="{00000000-0005-0000-0000-000098390000}"/>
    <cellStyle name="40% - Accent2 2 2 11 6" xfId="28358" xr:uid="{00000000-0005-0000-0000-000099390000}"/>
    <cellStyle name="40% - Accent2 2 2 12" xfId="9454" xr:uid="{00000000-0005-0000-0000-00009A390000}"/>
    <cellStyle name="40% - Accent2 2 2 12 2" xfId="20957" xr:uid="{00000000-0005-0000-0000-00009B390000}"/>
    <cellStyle name="40% - Accent2 2 2 12 3" xfId="29834" xr:uid="{00000000-0005-0000-0000-00009C390000}"/>
    <cellStyle name="40% - Accent2 2 2 13" xfId="11902" xr:uid="{00000000-0005-0000-0000-00009D390000}"/>
    <cellStyle name="40% - Accent2 2 2 13 2" xfId="23176" xr:uid="{00000000-0005-0000-0000-00009E390000}"/>
    <cellStyle name="40% - Accent2 2 2 13 3" xfId="32053" xr:uid="{00000000-0005-0000-0000-00009F390000}"/>
    <cellStyle name="40% - Accent2 2 2 14" xfId="14123" xr:uid="{00000000-0005-0000-0000-0000A0390000}"/>
    <cellStyle name="40% - Accent2 2 2 14 2" xfId="25395" xr:uid="{00000000-0005-0000-0000-0000A1390000}"/>
    <cellStyle name="40% - Accent2 2 2 14 3" xfId="34272" xr:uid="{00000000-0005-0000-0000-0000A2390000}"/>
    <cellStyle name="40% - Accent2 2 2 15" xfId="18732" xr:uid="{00000000-0005-0000-0000-0000A3390000}"/>
    <cellStyle name="40% - Accent2 2 2 16" xfId="27613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4" xr:uid="{00000000-0005-0000-0000-0000A8390000}"/>
    <cellStyle name="40% - Accent2 2 2 2 2 2 3" xfId="31311" xr:uid="{00000000-0005-0000-0000-0000A9390000}"/>
    <cellStyle name="40% - Accent2 2 2 2 2 3" xfId="13379" xr:uid="{00000000-0005-0000-0000-0000AA390000}"/>
    <cellStyle name="40% - Accent2 2 2 2 2 3 2" xfId="24653" xr:uid="{00000000-0005-0000-0000-0000AB390000}"/>
    <cellStyle name="40% - Accent2 2 2 2 2 3 3" xfId="33530" xr:uid="{00000000-0005-0000-0000-0000AC390000}"/>
    <cellStyle name="40% - Accent2 2 2 2 2 4" xfId="15829" xr:uid="{00000000-0005-0000-0000-0000AD390000}"/>
    <cellStyle name="40% - Accent2 2 2 2 2 4 2" xfId="26872" xr:uid="{00000000-0005-0000-0000-0000AE390000}"/>
    <cellStyle name="40% - Accent2 2 2 2 2 4 3" xfId="35749" xr:uid="{00000000-0005-0000-0000-0000AF390000}"/>
    <cellStyle name="40% - Accent2 2 2 2 2 5" xfId="20215" xr:uid="{00000000-0005-0000-0000-0000B0390000}"/>
    <cellStyle name="40% - Accent2 2 2 2 2 6" xfId="29092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1" xr:uid="{00000000-0005-0000-0000-0000B4390000}"/>
    <cellStyle name="40% - Accent2 2 2 2 3 2 3" xfId="30578" xr:uid="{00000000-0005-0000-0000-0000B5390000}"/>
    <cellStyle name="40% - Accent2 2 2 2 3 3" xfId="12646" xr:uid="{00000000-0005-0000-0000-0000B6390000}"/>
    <cellStyle name="40% - Accent2 2 2 2 3 3 2" xfId="23920" xr:uid="{00000000-0005-0000-0000-0000B7390000}"/>
    <cellStyle name="40% - Accent2 2 2 2 3 3 3" xfId="32797" xr:uid="{00000000-0005-0000-0000-0000B8390000}"/>
    <cellStyle name="40% - Accent2 2 2 2 3 4" xfId="15096" xr:uid="{00000000-0005-0000-0000-0000B9390000}"/>
    <cellStyle name="40% - Accent2 2 2 2 3 4 2" xfId="26139" xr:uid="{00000000-0005-0000-0000-0000BA390000}"/>
    <cellStyle name="40% - Accent2 2 2 2 3 4 3" xfId="35016" xr:uid="{00000000-0005-0000-0000-0000BB390000}"/>
    <cellStyle name="40% - Accent2 2 2 2 3 5" xfId="19482" xr:uid="{00000000-0005-0000-0000-0000BC390000}"/>
    <cellStyle name="40% - Accent2 2 2 2 3 6" xfId="28359" xr:uid="{00000000-0005-0000-0000-0000BD390000}"/>
    <cellStyle name="40% - Accent2 2 2 2 4" xfId="9455" xr:uid="{00000000-0005-0000-0000-0000BE390000}"/>
    <cellStyle name="40% - Accent2 2 2 2 4 2" xfId="20958" xr:uid="{00000000-0005-0000-0000-0000BF390000}"/>
    <cellStyle name="40% - Accent2 2 2 2 4 3" xfId="29835" xr:uid="{00000000-0005-0000-0000-0000C0390000}"/>
    <cellStyle name="40% - Accent2 2 2 2 5" xfId="11903" xr:uid="{00000000-0005-0000-0000-0000C1390000}"/>
    <cellStyle name="40% - Accent2 2 2 2 5 2" xfId="23177" xr:uid="{00000000-0005-0000-0000-0000C2390000}"/>
    <cellStyle name="40% - Accent2 2 2 2 5 3" xfId="32054" xr:uid="{00000000-0005-0000-0000-0000C3390000}"/>
    <cellStyle name="40% - Accent2 2 2 2 6" xfId="14124" xr:uid="{00000000-0005-0000-0000-0000C4390000}"/>
    <cellStyle name="40% - Accent2 2 2 2 6 2" xfId="25396" xr:uid="{00000000-0005-0000-0000-0000C5390000}"/>
    <cellStyle name="40% - Accent2 2 2 2 6 3" xfId="34273" xr:uid="{00000000-0005-0000-0000-0000C6390000}"/>
    <cellStyle name="40% - Accent2 2 2 2 7" xfId="18733" xr:uid="{00000000-0005-0000-0000-0000C7390000}"/>
    <cellStyle name="40% - Accent2 2 2 2 8" xfId="27614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5" xr:uid="{00000000-0005-0000-0000-0000CC390000}"/>
    <cellStyle name="40% - Accent2 2 2 3 2 2 3" xfId="31312" xr:uid="{00000000-0005-0000-0000-0000CD390000}"/>
    <cellStyle name="40% - Accent2 2 2 3 2 3" xfId="13380" xr:uid="{00000000-0005-0000-0000-0000CE390000}"/>
    <cellStyle name="40% - Accent2 2 2 3 2 3 2" xfId="24654" xr:uid="{00000000-0005-0000-0000-0000CF390000}"/>
    <cellStyle name="40% - Accent2 2 2 3 2 3 3" xfId="33531" xr:uid="{00000000-0005-0000-0000-0000D0390000}"/>
    <cellStyle name="40% - Accent2 2 2 3 2 4" xfId="15830" xr:uid="{00000000-0005-0000-0000-0000D1390000}"/>
    <cellStyle name="40% - Accent2 2 2 3 2 4 2" xfId="26873" xr:uid="{00000000-0005-0000-0000-0000D2390000}"/>
    <cellStyle name="40% - Accent2 2 2 3 2 4 3" xfId="35750" xr:uid="{00000000-0005-0000-0000-0000D3390000}"/>
    <cellStyle name="40% - Accent2 2 2 3 2 5" xfId="20216" xr:uid="{00000000-0005-0000-0000-0000D4390000}"/>
    <cellStyle name="40% - Accent2 2 2 3 2 6" xfId="29093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2" xr:uid="{00000000-0005-0000-0000-0000D8390000}"/>
    <cellStyle name="40% - Accent2 2 2 3 3 2 3" xfId="30579" xr:uid="{00000000-0005-0000-0000-0000D9390000}"/>
    <cellStyle name="40% - Accent2 2 2 3 3 3" xfId="12647" xr:uid="{00000000-0005-0000-0000-0000DA390000}"/>
    <cellStyle name="40% - Accent2 2 2 3 3 3 2" xfId="23921" xr:uid="{00000000-0005-0000-0000-0000DB390000}"/>
    <cellStyle name="40% - Accent2 2 2 3 3 3 3" xfId="32798" xr:uid="{00000000-0005-0000-0000-0000DC390000}"/>
    <cellStyle name="40% - Accent2 2 2 3 3 4" xfId="15097" xr:uid="{00000000-0005-0000-0000-0000DD390000}"/>
    <cellStyle name="40% - Accent2 2 2 3 3 4 2" xfId="26140" xr:uid="{00000000-0005-0000-0000-0000DE390000}"/>
    <cellStyle name="40% - Accent2 2 2 3 3 4 3" xfId="35017" xr:uid="{00000000-0005-0000-0000-0000DF390000}"/>
    <cellStyle name="40% - Accent2 2 2 3 3 5" xfId="19483" xr:uid="{00000000-0005-0000-0000-0000E0390000}"/>
    <cellStyle name="40% - Accent2 2 2 3 3 6" xfId="28360" xr:uid="{00000000-0005-0000-0000-0000E1390000}"/>
    <cellStyle name="40% - Accent2 2 2 3 4" xfId="9456" xr:uid="{00000000-0005-0000-0000-0000E2390000}"/>
    <cellStyle name="40% - Accent2 2 2 3 4 2" xfId="20959" xr:uid="{00000000-0005-0000-0000-0000E3390000}"/>
    <cellStyle name="40% - Accent2 2 2 3 4 3" xfId="29836" xr:uid="{00000000-0005-0000-0000-0000E4390000}"/>
    <cellStyle name="40% - Accent2 2 2 3 5" xfId="11904" xr:uid="{00000000-0005-0000-0000-0000E5390000}"/>
    <cellStyle name="40% - Accent2 2 2 3 5 2" xfId="23178" xr:uid="{00000000-0005-0000-0000-0000E6390000}"/>
    <cellStyle name="40% - Accent2 2 2 3 5 3" xfId="32055" xr:uid="{00000000-0005-0000-0000-0000E7390000}"/>
    <cellStyle name="40% - Accent2 2 2 3 6" xfId="14125" xr:uid="{00000000-0005-0000-0000-0000E8390000}"/>
    <cellStyle name="40% - Accent2 2 2 3 6 2" xfId="25397" xr:uid="{00000000-0005-0000-0000-0000E9390000}"/>
    <cellStyle name="40% - Accent2 2 2 3 6 3" xfId="34274" xr:uid="{00000000-0005-0000-0000-0000EA390000}"/>
    <cellStyle name="40% - Accent2 2 2 3 7" xfId="18734" xr:uid="{00000000-0005-0000-0000-0000EB390000}"/>
    <cellStyle name="40% - Accent2 2 2 3 8" xfId="27615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6" xr:uid="{00000000-0005-0000-0000-0000F0390000}"/>
    <cellStyle name="40% - Accent2 2 2 4 2 2 3" xfId="31313" xr:uid="{00000000-0005-0000-0000-0000F1390000}"/>
    <cellStyle name="40% - Accent2 2 2 4 2 3" xfId="13381" xr:uid="{00000000-0005-0000-0000-0000F2390000}"/>
    <cellStyle name="40% - Accent2 2 2 4 2 3 2" xfId="24655" xr:uid="{00000000-0005-0000-0000-0000F3390000}"/>
    <cellStyle name="40% - Accent2 2 2 4 2 3 3" xfId="33532" xr:uid="{00000000-0005-0000-0000-0000F4390000}"/>
    <cellStyle name="40% - Accent2 2 2 4 2 4" xfId="15831" xr:uid="{00000000-0005-0000-0000-0000F5390000}"/>
    <cellStyle name="40% - Accent2 2 2 4 2 4 2" xfId="26874" xr:uid="{00000000-0005-0000-0000-0000F6390000}"/>
    <cellStyle name="40% - Accent2 2 2 4 2 4 3" xfId="35751" xr:uid="{00000000-0005-0000-0000-0000F7390000}"/>
    <cellStyle name="40% - Accent2 2 2 4 2 5" xfId="20217" xr:uid="{00000000-0005-0000-0000-0000F8390000}"/>
    <cellStyle name="40% - Accent2 2 2 4 2 6" xfId="29094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3" xr:uid="{00000000-0005-0000-0000-0000FC390000}"/>
    <cellStyle name="40% - Accent2 2 2 4 3 2 3" xfId="30580" xr:uid="{00000000-0005-0000-0000-0000FD390000}"/>
    <cellStyle name="40% - Accent2 2 2 4 3 3" xfId="12648" xr:uid="{00000000-0005-0000-0000-0000FE390000}"/>
    <cellStyle name="40% - Accent2 2 2 4 3 3 2" xfId="23922" xr:uid="{00000000-0005-0000-0000-0000FF390000}"/>
    <cellStyle name="40% - Accent2 2 2 4 3 3 3" xfId="32799" xr:uid="{00000000-0005-0000-0000-0000003A0000}"/>
    <cellStyle name="40% - Accent2 2 2 4 3 4" xfId="15098" xr:uid="{00000000-0005-0000-0000-0000013A0000}"/>
    <cellStyle name="40% - Accent2 2 2 4 3 4 2" xfId="26141" xr:uid="{00000000-0005-0000-0000-0000023A0000}"/>
    <cellStyle name="40% - Accent2 2 2 4 3 4 3" xfId="35018" xr:uid="{00000000-0005-0000-0000-0000033A0000}"/>
    <cellStyle name="40% - Accent2 2 2 4 3 5" xfId="19484" xr:uid="{00000000-0005-0000-0000-0000043A0000}"/>
    <cellStyle name="40% - Accent2 2 2 4 3 6" xfId="28361" xr:uid="{00000000-0005-0000-0000-0000053A0000}"/>
    <cellStyle name="40% - Accent2 2 2 4 4" xfId="9457" xr:uid="{00000000-0005-0000-0000-0000063A0000}"/>
    <cellStyle name="40% - Accent2 2 2 4 4 2" xfId="20960" xr:uid="{00000000-0005-0000-0000-0000073A0000}"/>
    <cellStyle name="40% - Accent2 2 2 4 4 3" xfId="29837" xr:uid="{00000000-0005-0000-0000-0000083A0000}"/>
    <cellStyle name="40% - Accent2 2 2 4 5" xfId="11905" xr:uid="{00000000-0005-0000-0000-0000093A0000}"/>
    <cellStyle name="40% - Accent2 2 2 4 5 2" xfId="23179" xr:uid="{00000000-0005-0000-0000-00000A3A0000}"/>
    <cellStyle name="40% - Accent2 2 2 4 5 3" xfId="32056" xr:uid="{00000000-0005-0000-0000-00000B3A0000}"/>
    <cellStyle name="40% - Accent2 2 2 4 6" xfId="14126" xr:uid="{00000000-0005-0000-0000-00000C3A0000}"/>
    <cellStyle name="40% - Accent2 2 2 4 6 2" xfId="25398" xr:uid="{00000000-0005-0000-0000-00000D3A0000}"/>
    <cellStyle name="40% - Accent2 2 2 4 6 3" xfId="34275" xr:uid="{00000000-0005-0000-0000-00000E3A0000}"/>
    <cellStyle name="40% - Accent2 2 2 4 7" xfId="18735" xr:uid="{00000000-0005-0000-0000-00000F3A0000}"/>
    <cellStyle name="40% - Accent2 2 2 4 8" xfId="27616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7" xr:uid="{00000000-0005-0000-0000-0000143A0000}"/>
    <cellStyle name="40% - Accent2 2 2 5 2 2 3" xfId="31314" xr:uid="{00000000-0005-0000-0000-0000153A0000}"/>
    <cellStyle name="40% - Accent2 2 2 5 2 3" xfId="13382" xr:uid="{00000000-0005-0000-0000-0000163A0000}"/>
    <cellStyle name="40% - Accent2 2 2 5 2 3 2" xfId="24656" xr:uid="{00000000-0005-0000-0000-0000173A0000}"/>
    <cellStyle name="40% - Accent2 2 2 5 2 3 3" xfId="33533" xr:uid="{00000000-0005-0000-0000-0000183A0000}"/>
    <cellStyle name="40% - Accent2 2 2 5 2 4" xfId="15832" xr:uid="{00000000-0005-0000-0000-0000193A0000}"/>
    <cellStyle name="40% - Accent2 2 2 5 2 4 2" xfId="26875" xr:uid="{00000000-0005-0000-0000-00001A3A0000}"/>
    <cellStyle name="40% - Accent2 2 2 5 2 4 3" xfId="35752" xr:uid="{00000000-0005-0000-0000-00001B3A0000}"/>
    <cellStyle name="40% - Accent2 2 2 5 2 5" xfId="20218" xr:uid="{00000000-0005-0000-0000-00001C3A0000}"/>
    <cellStyle name="40% - Accent2 2 2 5 2 6" xfId="29095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4" xr:uid="{00000000-0005-0000-0000-0000203A0000}"/>
    <cellStyle name="40% - Accent2 2 2 5 3 2 3" xfId="30581" xr:uid="{00000000-0005-0000-0000-0000213A0000}"/>
    <cellStyle name="40% - Accent2 2 2 5 3 3" xfId="12649" xr:uid="{00000000-0005-0000-0000-0000223A0000}"/>
    <cellStyle name="40% - Accent2 2 2 5 3 3 2" xfId="23923" xr:uid="{00000000-0005-0000-0000-0000233A0000}"/>
    <cellStyle name="40% - Accent2 2 2 5 3 3 3" xfId="32800" xr:uid="{00000000-0005-0000-0000-0000243A0000}"/>
    <cellStyle name="40% - Accent2 2 2 5 3 4" xfId="15099" xr:uid="{00000000-0005-0000-0000-0000253A0000}"/>
    <cellStyle name="40% - Accent2 2 2 5 3 4 2" xfId="26142" xr:uid="{00000000-0005-0000-0000-0000263A0000}"/>
    <cellStyle name="40% - Accent2 2 2 5 3 4 3" xfId="35019" xr:uid="{00000000-0005-0000-0000-0000273A0000}"/>
    <cellStyle name="40% - Accent2 2 2 5 3 5" xfId="19485" xr:uid="{00000000-0005-0000-0000-0000283A0000}"/>
    <cellStyle name="40% - Accent2 2 2 5 3 6" xfId="28362" xr:uid="{00000000-0005-0000-0000-0000293A0000}"/>
    <cellStyle name="40% - Accent2 2 2 5 4" xfId="9458" xr:uid="{00000000-0005-0000-0000-00002A3A0000}"/>
    <cellStyle name="40% - Accent2 2 2 5 4 2" xfId="20961" xr:uid="{00000000-0005-0000-0000-00002B3A0000}"/>
    <cellStyle name="40% - Accent2 2 2 5 4 3" xfId="29838" xr:uid="{00000000-0005-0000-0000-00002C3A0000}"/>
    <cellStyle name="40% - Accent2 2 2 5 5" xfId="11906" xr:uid="{00000000-0005-0000-0000-00002D3A0000}"/>
    <cellStyle name="40% - Accent2 2 2 5 5 2" xfId="23180" xr:uid="{00000000-0005-0000-0000-00002E3A0000}"/>
    <cellStyle name="40% - Accent2 2 2 5 5 3" xfId="32057" xr:uid="{00000000-0005-0000-0000-00002F3A0000}"/>
    <cellStyle name="40% - Accent2 2 2 5 6" xfId="14127" xr:uid="{00000000-0005-0000-0000-0000303A0000}"/>
    <cellStyle name="40% - Accent2 2 2 5 6 2" xfId="25399" xr:uid="{00000000-0005-0000-0000-0000313A0000}"/>
    <cellStyle name="40% - Accent2 2 2 5 6 3" xfId="34276" xr:uid="{00000000-0005-0000-0000-0000323A0000}"/>
    <cellStyle name="40% - Accent2 2 2 5 7" xfId="18736" xr:uid="{00000000-0005-0000-0000-0000333A0000}"/>
    <cellStyle name="40% - Accent2 2 2 5 8" xfId="27617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8" xr:uid="{00000000-0005-0000-0000-0000383A0000}"/>
    <cellStyle name="40% - Accent2 2 2 6 2 2 3" xfId="31315" xr:uid="{00000000-0005-0000-0000-0000393A0000}"/>
    <cellStyle name="40% - Accent2 2 2 6 2 3" xfId="13383" xr:uid="{00000000-0005-0000-0000-00003A3A0000}"/>
    <cellStyle name="40% - Accent2 2 2 6 2 3 2" xfId="24657" xr:uid="{00000000-0005-0000-0000-00003B3A0000}"/>
    <cellStyle name="40% - Accent2 2 2 6 2 3 3" xfId="33534" xr:uid="{00000000-0005-0000-0000-00003C3A0000}"/>
    <cellStyle name="40% - Accent2 2 2 6 2 4" xfId="15833" xr:uid="{00000000-0005-0000-0000-00003D3A0000}"/>
    <cellStyle name="40% - Accent2 2 2 6 2 4 2" xfId="26876" xr:uid="{00000000-0005-0000-0000-00003E3A0000}"/>
    <cellStyle name="40% - Accent2 2 2 6 2 4 3" xfId="35753" xr:uid="{00000000-0005-0000-0000-00003F3A0000}"/>
    <cellStyle name="40% - Accent2 2 2 6 2 5" xfId="20219" xr:uid="{00000000-0005-0000-0000-0000403A0000}"/>
    <cellStyle name="40% - Accent2 2 2 6 2 6" xfId="29096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5" xr:uid="{00000000-0005-0000-0000-0000443A0000}"/>
    <cellStyle name="40% - Accent2 2 2 6 3 2 3" xfId="30582" xr:uid="{00000000-0005-0000-0000-0000453A0000}"/>
    <cellStyle name="40% - Accent2 2 2 6 3 3" xfId="12650" xr:uid="{00000000-0005-0000-0000-0000463A0000}"/>
    <cellStyle name="40% - Accent2 2 2 6 3 3 2" xfId="23924" xr:uid="{00000000-0005-0000-0000-0000473A0000}"/>
    <cellStyle name="40% - Accent2 2 2 6 3 3 3" xfId="32801" xr:uid="{00000000-0005-0000-0000-0000483A0000}"/>
    <cellStyle name="40% - Accent2 2 2 6 3 4" xfId="15100" xr:uid="{00000000-0005-0000-0000-0000493A0000}"/>
    <cellStyle name="40% - Accent2 2 2 6 3 4 2" xfId="26143" xr:uid="{00000000-0005-0000-0000-00004A3A0000}"/>
    <cellStyle name="40% - Accent2 2 2 6 3 4 3" xfId="35020" xr:uid="{00000000-0005-0000-0000-00004B3A0000}"/>
    <cellStyle name="40% - Accent2 2 2 6 3 5" xfId="19486" xr:uid="{00000000-0005-0000-0000-00004C3A0000}"/>
    <cellStyle name="40% - Accent2 2 2 6 3 6" xfId="28363" xr:uid="{00000000-0005-0000-0000-00004D3A0000}"/>
    <cellStyle name="40% - Accent2 2 2 6 4" xfId="9459" xr:uid="{00000000-0005-0000-0000-00004E3A0000}"/>
    <cellStyle name="40% - Accent2 2 2 6 4 2" xfId="20962" xr:uid="{00000000-0005-0000-0000-00004F3A0000}"/>
    <cellStyle name="40% - Accent2 2 2 6 4 3" xfId="29839" xr:uid="{00000000-0005-0000-0000-0000503A0000}"/>
    <cellStyle name="40% - Accent2 2 2 6 5" xfId="11907" xr:uid="{00000000-0005-0000-0000-0000513A0000}"/>
    <cellStyle name="40% - Accent2 2 2 6 5 2" xfId="23181" xr:uid="{00000000-0005-0000-0000-0000523A0000}"/>
    <cellStyle name="40% - Accent2 2 2 6 5 3" xfId="32058" xr:uid="{00000000-0005-0000-0000-0000533A0000}"/>
    <cellStyle name="40% - Accent2 2 2 6 6" xfId="14128" xr:uid="{00000000-0005-0000-0000-0000543A0000}"/>
    <cellStyle name="40% - Accent2 2 2 6 6 2" xfId="25400" xr:uid="{00000000-0005-0000-0000-0000553A0000}"/>
    <cellStyle name="40% - Accent2 2 2 6 6 3" xfId="34277" xr:uid="{00000000-0005-0000-0000-0000563A0000}"/>
    <cellStyle name="40% - Accent2 2 2 6 7" xfId="18737" xr:uid="{00000000-0005-0000-0000-0000573A0000}"/>
    <cellStyle name="40% - Accent2 2 2 6 8" xfId="27618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39" xr:uid="{00000000-0005-0000-0000-00005C3A0000}"/>
    <cellStyle name="40% - Accent2 2 2 7 2 2 3" xfId="31316" xr:uid="{00000000-0005-0000-0000-00005D3A0000}"/>
    <cellStyle name="40% - Accent2 2 2 7 2 3" xfId="13384" xr:uid="{00000000-0005-0000-0000-00005E3A0000}"/>
    <cellStyle name="40% - Accent2 2 2 7 2 3 2" xfId="24658" xr:uid="{00000000-0005-0000-0000-00005F3A0000}"/>
    <cellStyle name="40% - Accent2 2 2 7 2 3 3" xfId="33535" xr:uid="{00000000-0005-0000-0000-0000603A0000}"/>
    <cellStyle name="40% - Accent2 2 2 7 2 4" xfId="15834" xr:uid="{00000000-0005-0000-0000-0000613A0000}"/>
    <cellStyle name="40% - Accent2 2 2 7 2 4 2" xfId="26877" xr:uid="{00000000-0005-0000-0000-0000623A0000}"/>
    <cellStyle name="40% - Accent2 2 2 7 2 4 3" xfId="35754" xr:uid="{00000000-0005-0000-0000-0000633A0000}"/>
    <cellStyle name="40% - Accent2 2 2 7 2 5" xfId="20220" xr:uid="{00000000-0005-0000-0000-0000643A0000}"/>
    <cellStyle name="40% - Accent2 2 2 7 2 6" xfId="29097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6" xr:uid="{00000000-0005-0000-0000-0000683A0000}"/>
    <cellStyle name="40% - Accent2 2 2 7 3 2 3" xfId="30583" xr:uid="{00000000-0005-0000-0000-0000693A0000}"/>
    <cellStyle name="40% - Accent2 2 2 7 3 3" xfId="12651" xr:uid="{00000000-0005-0000-0000-00006A3A0000}"/>
    <cellStyle name="40% - Accent2 2 2 7 3 3 2" xfId="23925" xr:uid="{00000000-0005-0000-0000-00006B3A0000}"/>
    <cellStyle name="40% - Accent2 2 2 7 3 3 3" xfId="32802" xr:uid="{00000000-0005-0000-0000-00006C3A0000}"/>
    <cellStyle name="40% - Accent2 2 2 7 3 4" xfId="15101" xr:uid="{00000000-0005-0000-0000-00006D3A0000}"/>
    <cellStyle name="40% - Accent2 2 2 7 3 4 2" xfId="26144" xr:uid="{00000000-0005-0000-0000-00006E3A0000}"/>
    <cellStyle name="40% - Accent2 2 2 7 3 4 3" xfId="35021" xr:uid="{00000000-0005-0000-0000-00006F3A0000}"/>
    <cellStyle name="40% - Accent2 2 2 7 3 5" xfId="19487" xr:uid="{00000000-0005-0000-0000-0000703A0000}"/>
    <cellStyle name="40% - Accent2 2 2 7 3 6" xfId="28364" xr:uid="{00000000-0005-0000-0000-0000713A0000}"/>
    <cellStyle name="40% - Accent2 2 2 7 4" xfId="9460" xr:uid="{00000000-0005-0000-0000-0000723A0000}"/>
    <cellStyle name="40% - Accent2 2 2 7 4 2" xfId="20963" xr:uid="{00000000-0005-0000-0000-0000733A0000}"/>
    <cellStyle name="40% - Accent2 2 2 7 4 3" xfId="29840" xr:uid="{00000000-0005-0000-0000-0000743A0000}"/>
    <cellStyle name="40% - Accent2 2 2 7 5" xfId="11908" xr:uid="{00000000-0005-0000-0000-0000753A0000}"/>
    <cellStyle name="40% - Accent2 2 2 7 5 2" xfId="23182" xr:uid="{00000000-0005-0000-0000-0000763A0000}"/>
    <cellStyle name="40% - Accent2 2 2 7 5 3" xfId="32059" xr:uid="{00000000-0005-0000-0000-0000773A0000}"/>
    <cellStyle name="40% - Accent2 2 2 7 6" xfId="14129" xr:uid="{00000000-0005-0000-0000-0000783A0000}"/>
    <cellStyle name="40% - Accent2 2 2 7 6 2" xfId="25401" xr:uid="{00000000-0005-0000-0000-0000793A0000}"/>
    <cellStyle name="40% - Accent2 2 2 7 6 3" xfId="34278" xr:uid="{00000000-0005-0000-0000-00007A3A0000}"/>
    <cellStyle name="40% - Accent2 2 2 7 7" xfId="18738" xr:uid="{00000000-0005-0000-0000-00007B3A0000}"/>
    <cellStyle name="40% - Accent2 2 2 7 8" xfId="27619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0" xr:uid="{00000000-0005-0000-0000-0000803A0000}"/>
    <cellStyle name="40% - Accent2 2 2 8 2 2 3" xfId="31317" xr:uid="{00000000-0005-0000-0000-0000813A0000}"/>
    <cellStyle name="40% - Accent2 2 2 8 2 3" xfId="13385" xr:uid="{00000000-0005-0000-0000-0000823A0000}"/>
    <cellStyle name="40% - Accent2 2 2 8 2 3 2" xfId="24659" xr:uid="{00000000-0005-0000-0000-0000833A0000}"/>
    <cellStyle name="40% - Accent2 2 2 8 2 3 3" xfId="33536" xr:uid="{00000000-0005-0000-0000-0000843A0000}"/>
    <cellStyle name="40% - Accent2 2 2 8 2 4" xfId="15835" xr:uid="{00000000-0005-0000-0000-0000853A0000}"/>
    <cellStyle name="40% - Accent2 2 2 8 2 4 2" xfId="26878" xr:uid="{00000000-0005-0000-0000-0000863A0000}"/>
    <cellStyle name="40% - Accent2 2 2 8 2 4 3" xfId="35755" xr:uid="{00000000-0005-0000-0000-0000873A0000}"/>
    <cellStyle name="40% - Accent2 2 2 8 2 5" xfId="20221" xr:uid="{00000000-0005-0000-0000-0000883A0000}"/>
    <cellStyle name="40% - Accent2 2 2 8 2 6" xfId="29098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7" xr:uid="{00000000-0005-0000-0000-00008C3A0000}"/>
    <cellStyle name="40% - Accent2 2 2 8 3 2 3" xfId="30584" xr:uid="{00000000-0005-0000-0000-00008D3A0000}"/>
    <cellStyle name="40% - Accent2 2 2 8 3 3" xfId="12652" xr:uid="{00000000-0005-0000-0000-00008E3A0000}"/>
    <cellStyle name="40% - Accent2 2 2 8 3 3 2" xfId="23926" xr:uid="{00000000-0005-0000-0000-00008F3A0000}"/>
    <cellStyle name="40% - Accent2 2 2 8 3 3 3" xfId="32803" xr:uid="{00000000-0005-0000-0000-0000903A0000}"/>
    <cellStyle name="40% - Accent2 2 2 8 3 4" xfId="15102" xr:uid="{00000000-0005-0000-0000-0000913A0000}"/>
    <cellStyle name="40% - Accent2 2 2 8 3 4 2" xfId="26145" xr:uid="{00000000-0005-0000-0000-0000923A0000}"/>
    <cellStyle name="40% - Accent2 2 2 8 3 4 3" xfId="35022" xr:uid="{00000000-0005-0000-0000-0000933A0000}"/>
    <cellStyle name="40% - Accent2 2 2 8 3 5" xfId="19488" xr:uid="{00000000-0005-0000-0000-0000943A0000}"/>
    <cellStyle name="40% - Accent2 2 2 8 3 6" xfId="28365" xr:uid="{00000000-0005-0000-0000-0000953A0000}"/>
    <cellStyle name="40% - Accent2 2 2 8 4" xfId="9461" xr:uid="{00000000-0005-0000-0000-0000963A0000}"/>
    <cellStyle name="40% - Accent2 2 2 8 4 2" xfId="20964" xr:uid="{00000000-0005-0000-0000-0000973A0000}"/>
    <cellStyle name="40% - Accent2 2 2 8 4 3" xfId="29841" xr:uid="{00000000-0005-0000-0000-0000983A0000}"/>
    <cellStyle name="40% - Accent2 2 2 8 5" xfId="11909" xr:uid="{00000000-0005-0000-0000-0000993A0000}"/>
    <cellStyle name="40% - Accent2 2 2 8 5 2" xfId="23183" xr:uid="{00000000-0005-0000-0000-00009A3A0000}"/>
    <cellStyle name="40% - Accent2 2 2 8 5 3" xfId="32060" xr:uid="{00000000-0005-0000-0000-00009B3A0000}"/>
    <cellStyle name="40% - Accent2 2 2 8 6" xfId="14130" xr:uid="{00000000-0005-0000-0000-00009C3A0000}"/>
    <cellStyle name="40% - Accent2 2 2 8 6 2" xfId="25402" xr:uid="{00000000-0005-0000-0000-00009D3A0000}"/>
    <cellStyle name="40% - Accent2 2 2 8 6 3" xfId="34279" xr:uid="{00000000-0005-0000-0000-00009E3A0000}"/>
    <cellStyle name="40% - Accent2 2 2 8 7" xfId="18739" xr:uid="{00000000-0005-0000-0000-00009F3A0000}"/>
    <cellStyle name="40% - Accent2 2 2 8 8" xfId="27620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1" xr:uid="{00000000-0005-0000-0000-0000A43A0000}"/>
    <cellStyle name="40% - Accent2 2 2 9 2 2 3" xfId="31318" xr:uid="{00000000-0005-0000-0000-0000A53A0000}"/>
    <cellStyle name="40% - Accent2 2 2 9 2 3" xfId="13386" xr:uid="{00000000-0005-0000-0000-0000A63A0000}"/>
    <cellStyle name="40% - Accent2 2 2 9 2 3 2" xfId="24660" xr:uid="{00000000-0005-0000-0000-0000A73A0000}"/>
    <cellStyle name="40% - Accent2 2 2 9 2 3 3" xfId="33537" xr:uid="{00000000-0005-0000-0000-0000A83A0000}"/>
    <cellStyle name="40% - Accent2 2 2 9 2 4" xfId="15836" xr:uid="{00000000-0005-0000-0000-0000A93A0000}"/>
    <cellStyle name="40% - Accent2 2 2 9 2 4 2" xfId="26879" xr:uid="{00000000-0005-0000-0000-0000AA3A0000}"/>
    <cellStyle name="40% - Accent2 2 2 9 2 4 3" xfId="35756" xr:uid="{00000000-0005-0000-0000-0000AB3A0000}"/>
    <cellStyle name="40% - Accent2 2 2 9 2 5" xfId="20222" xr:uid="{00000000-0005-0000-0000-0000AC3A0000}"/>
    <cellStyle name="40% - Accent2 2 2 9 2 6" xfId="29099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8" xr:uid="{00000000-0005-0000-0000-0000B03A0000}"/>
    <cellStyle name="40% - Accent2 2 2 9 3 2 3" xfId="30585" xr:uid="{00000000-0005-0000-0000-0000B13A0000}"/>
    <cellStyle name="40% - Accent2 2 2 9 3 3" xfId="12653" xr:uid="{00000000-0005-0000-0000-0000B23A0000}"/>
    <cellStyle name="40% - Accent2 2 2 9 3 3 2" xfId="23927" xr:uid="{00000000-0005-0000-0000-0000B33A0000}"/>
    <cellStyle name="40% - Accent2 2 2 9 3 3 3" xfId="32804" xr:uid="{00000000-0005-0000-0000-0000B43A0000}"/>
    <cellStyle name="40% - Accent2 2 2 9 3 4" xfId="15103" xr:uid="{00000000-0005-0000-0000-0000B53A0000}"/>
    <cellStyle name="40% - Accent2 2 2 9 3 4 2" xfId="26146" xr:uid="{00000000-0005-0000-0000-0000B63A0000}"/>
    <cellStyle name="40% - Accent2 2 2 9 3 4 3" xfId="35023" xr:uid="{00000000-0005-0000-0000-0000B73A0000}"/>
    <cellStyle name="40% - Accent2 2 2 9 3 5" xfId="19489" xr:uid="{00000000-0005-0000-0000-0000B83A0000}"/>
    <cellStyle name="40% - Accent2 2 2 9 3 6" xfId="28366" xr:uid="{00000000-0005-0000-0000-0000B93A0000}"/>
    <cellStyle name="40% - Accent2 2 2 9 4" xfId="9462" xr:uid="{00000000-0005-0000-0000-0000BA3A0000}"/>
    <cellStyle name="40% - Accent2 2 2 9 4 2" xfId="20965" xr:uid="{00000000-0005-0000-0000-0000BB3A0000}"/>
    <cellStyle name="40% - Accent2 2 2 9 4 3" xfId="29842" xr:uid="{00000000-0005-0000-0000-0000BC3A0000}"/>
    <cellStyle name="40% - Accent2 2 2 9 5" xfId="11910" xr:uid="{00000000-0005-0000-0000-0000BD3A0000}"/>
    <cellStyle name="40% - Accent2 2 2 9 5 2" xfId="23184" xr:uid="{00000000-0005-0000-0000-0000BE3A0000}"/>
    <cellStyle name="40% - Accent2 2 2 9 5 3" xfId="32061" xr:uid="{00000000-0005-0000-0000-0000BF3A0000}"/>
    <cellStyle name="40% - Accent2 2 2 9 6" xfId="14131" xr:uid="{00000000-0005-0000-0000-0000C03A0000}"/>
    <cellStyle name="40% - Accent2 2 2 9 6 2" xfId="25403" xr:uid="{00000000-0005-0000-0000-0000C13A0000}"/>
    <cellStyle name="40% - Accent2 2 2 9 6 3" xfId="34280" xr:uid="{00000000-0005-0000-0000-0000C23A0000}"/>
    <cellStyle name="40% - Accent2 2 2 9 7" xfId="18740" xr:uid="{00000000-0005-0000-0000-0000C33A0000}"/>
    <cellStyle name="40% - Accent2 2 2 9 8" xfId="27621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2" xr:uid="{00000000-0005-0000-0000-0000C83A0000}"/>
    <cellStyle name="40% - Accent2 2 3 10 2 3" xfId="31319" xr:uid="{00000000-0005-0000-0000-0000C93A0000}"/>
    <cellStyle name="40% - Accent2 2 3 10 3" xfId="13387" xr:uid="{00000000-0005-0000-0000-0000CA3A0000}"/>
    <cellStyle name="40% - Accent2 2 3 10 3 2" xfId="24661" xr:uid="{00000000-0005-0000-0000-0000CB3A0000}"/>
    <cellStyle name="40% - Accent2 2 3 10 3 3" xfId="33538" xr:uid="{00000000-0005-0000-0000-0000CC3A0000}"/>
    <cellStyle name="40% - Accent2 2 3 10 4" xfId="15837" xr:uid="{00000000-0005-0000-0000-0000CD3A0000}"/>
    <cellStyle name="40% - Accent2 2 3 10 4 2" xfId="26880" xr:uid="{00000000-0005-0000-0000-0000CE3A0000}"/>
    <cellStyle name="40% - Accent2 2 3 10 4 3" xfId="35757" xr:uid="{00000000-0005-0000-0000-0000CF3A0000}"/>
    <cellStyle name="40% - Accent2 2 3 10 5" xfId="20223" xr:uid="{00000000-0005-0000-0000-0000D03A0000}"/>
    <cellStyle name="40% - Accent2 2 3 10 6" xfId="29100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09" xr:uid="{00000000-0005-0000-0000-0000D43A0000}"/>
    <cellStyle name="40% - Accent2 2 3 11 2 3" xfId="30586" xr:uid="{00000000-0005-0000-0000-0000D53A0000}"/>
    <cellStyle name="40% - Accent2 2 3 11 3" xfId="12654" xr:uid="{00000000-0005-0000-0000-0000D63A0000}"/>
    <cellStyle name="40% - Accent2 2 3 11 3 2" xfId="23928" xr:uid="{00000000-0005-0000-0000-0000D73A0000}"/>
    <cellStyle name="40% - Accent2 2 3 11 3 3" xfId="32805" xr:uid="{00000000-0005-0000-0000-0000D83A0000}"/>
    <cellStyle name="40% - Accent2 2 3 11 4" xfId="15104" xr:uid="{00000000-0005-0000-0000-0000D93A0000}"/>
    <cellStyle name="40% - Accent2 2 3 11 4 2" xfId="26147" xr:uid="{00000000-0005-0000-0000-0000DA3A0000}"/>
    <cellStyle name="40% - Accent2 2 3 11 4 3" xfId="35024" xr:uid="{00000000-0005-0000-0000-0000DB3A0000}"/>
    <cellStyle name="40% - Accent2 2 3 11 5" xfId="19490" xr:uid="{00000000-0005-0000-0000-0000DC3A0000}"/>
    <cellStyle name="40% - Accent2 2 3 11 6" xfId="28367" xr:uid="{00000000-0005-0000-0000-0000DD3A0000}"/>
    <cellStyle name="40% - Accent2 2 3 12" xfId="9463" xr:uid="{00000000-0005-0000-0000-0000DE3A0000}"/>
    <cellStyle name="40% - Accent2 2 3 12 2" xfId="20966" xr:uid="{00000000-0005-0000-0000-0000DF3A0000}"/>
    <cellStyle name="40% - Accent2 2 3 12 3" xfId="29843" xr:uid="{00000000-0005-0000-0000-0000E03A0000}"/>
    <cellStyle name="40% - Accent2 2 3 13" xfId="11911" xr:uid="{00000000-0005-0000-0000-0000E13A0000}"/>
    <cellStyle name="40% - Accent2 2 3 13 2" xfId="23185" xr:uid="{00000000-0005-0000-0000-0000E23A0000}"/>
    <cellStyle name="40% - Accent2 2 3 13 3" xfId="32062" xr:uid="{00000000-0005-0000-0000-0000E33A0000}"/>
    <cellStyle name="40% - Accent2 2 3 14" xfId="14132" xr:uid="{00000000-0005-0000-0000-0000E43A0000}"/>
    <cellStyle name="40% - Accent2 2 3 14 2" xfId="25404" xr:uid="{00000000-0005-0000-0000-0000E53A0000}"/>
    <cellStyle name="40% - Accent2 2 3 14 3" xfId="34281" xr:uid="{00000000-0005-0000-0000-0000E63A0000}"/>
    <cellStyle name="40% - Accent2 2 3 15" xfId="18741" xr:uid="{00000000-0005-0000-0000-0000E73A0000}"/>
    <cellStyle name="40% - Accent2 2 3 16" xfId="27622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3" xr:uid="{00000000-0005-0000-0000-0000EC3A0000}"/>
    <cellStyle name="40% - Accent2 2 3 2 2 2 3" xfId="31320" xr:uid="{00000000-0005-0000-0000-0000ED3A0000}"/>
    <cellStyle name="40% - Accent2 2 3 2 2 3" xfId="13388" xr:uid="{00000000-0005-0000-0000-0000EE3A0000}"/>
    <cellStyle name="40% - Accent2 2 3 2 2 3 2" xfId="24662" xr:uid="{00000000-0005-0000-0000-0000EF3A0000}"/>
    <cellStyle name="40% - Accent2 2 3 2 2 3 3" xfId="33539" xr:uid="{00000000-0005-0000-0000-0000F03A0000}"/>
    <cellStyle name="40% - Accent2 2 3 2 2 4" xfId="15838" xr:uid="{00000000-0005-0000-0000-0000F13A0000}"/>
    <cellStyle name="40% - Accent2 2 3 2 2 4 2" xfId="26881" xr:uid="{00000000-0005-0000-0000-0000F23A0000}"/>
    <cellStyle name="40% - Accent2 2 3 2 2 4 3" xfId="35758" xr:uid="{00000000-0005-0000-0000-0000F33A0000}"/>
    <cellStyle name="40% - Accent2 2 3 2 2 5" xfId="20224" xr:uid="{00000000-0005-0000-0000-0000F43A0000}"/>
    <cellStyle name="40% - Accent2 2 3 2 2 6" xfId="29101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0" xr:uid="{00000000-0005-0000-0000-0000F83A0000}"/>
    <cellStyle name="40% - Accent2 2 3 2 3 2 3" xfId="30587" xr:uid="{00000000-0005-0000-0000-0000F93A0000}"/>
    <cellStyle name="40% - Accent2 2 3 2 3 3" xfId="12655" xr:uid="{00000000-0005-0000-0000-0000FA3A0000}"/>
    <cellStyle name="40% - Accent2 2 3 2 3 3 2" xfId="23929" xr:uid="{00000000-0005-0000-0000-0000FB3A0000}"/>
    <cellStyle name="40% - Accent2 2 3 2 3 3 3" xfId="32806" xr:uid="{00000000-0005-0000-0000-0000FC3A0000}"/>
    <cellStyle name="40% - Accent2 2 3 2 3 4" xfId="15105" xr:uid="{00000000-0005-0000-0000-0000FD3A0000}"/>
    <cellStyle name="40% - Accent2 2 3 2 3 4 2" xfId="26148" xr:uid="{00000000-0005-0000-0000-0000FE3A0000}"/>
    <cellStyle name="40% - Accent2 2 3 2 3 4 3" xfId="35025" xr:uid="{00000000-0005-0000-0000-0000FF3A0000}"/>
    <cellStyle name="40% - Accent2 2 3 2 3 5" xfId="19491" xr:uid="{00000000-0005-0000-0000-0000003B0000}"/>
    <cellStyle name="40% - Accent2 2 3 2 3 6" xfId="28368" xr:uid="{00000000-0005-0000-0000-0000013B0000}"/>
    <cellStyle name="40% - Accent2 2 3 2 4" xfId="9464" xr:uid="{00000000-0005-0000-0000-0000023B0000}"/>
    <cellStyle name="40% - Accent2 2 3 2 4 2" xfId="20967" xr:uid="{00000000-0005-0000-0000-0000033B0000}"/>
    <cellStyle name="40% - Accent2 2 3 2 4 3" xfId="29844" xr:uid="{00000000-0005-0000-0000-0000043B0000}"/>
    <cellStyle name="40% - Accent2 2 3 2 5" xfId="11912" xr:uid="{00000000-0005-0000-0000-0000053B0000}"/>
    <cellStyle name="40% - Accent2 2 3 2 5 2" xfId="23186" xr:uid="{00000000-0005-0000-0000-0000063B0000}"/>
    <cellStyle name="40% - Accent2 2 3 2 5 3" xfId="32063" xr:uid="{00000000-0005-0000-0000-0000073B0000}"/>
    <cellStyle name="40% - Accent2 2 3 2 6" xfId="14133" xr:uid="{00000000-0005-0000-0000-0000083B0000}"/>
    <cellStyle name="40% - Accent2 2 3 2 6 2" xfId="25405" xr:uid="{00000000-0005-0000-0000-0000093B0000}"/>
    <cellStyle name="40% - Accent2 2 3 2 6 3" xfId="34282" xr:uid="{00000000-0005-0000-0000-00000A3B0000}"/>
    <cellStyle name="40% - Accent2 2 3 2 7" xfId="18742" xr:uid="{00000000-0005-0000-0000-00000B3B0000}"/>
    <cellStyle name="40% - Accent2 2 3 2 8" xfId="27623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4" xr:uid="{00000000-0005-0000-0000-0000103B0000}"/>
    <cellStyle name="40% - Accent2 2 3 3 2 2 3" xfId="31321" xr:uid="{00000000-0005-0000-0000-0000113B0000}"/>
    <cellStyle name="40% - Accent2 2 3 3 2 3" xfId="13389" xr:uid="{00000000-0005-0000-0000-0000123B0000}"/>
    <cellStyle name="40% - Accent2 2 3 3 2 3 2" xfId="24663" xr:uid="{00000000-0005-0000-0000-0000133B0000}"/>
    <cellStyle name="40% - Accent2 2 3 3 2 3 3" xfId="33540" xr:uid="{00000000-0005-0000-0000-0000143B0000}"/>
    <cellStyle name="40% - Accent2 2 3 3 2 4" xfId="15839" xr:uid="{00000000-0005-0000-0000-0000153B0000}"/>
    <cellStyle name="40% - Accent2 2 3 3 2 4 2" xfId="26882" xr:uid="{00000000-0005-0000-0000-0000163B0000}"/>
    <cellStyle name="40% - Accent2 2 3 3 2 4 3" xfId="35759" xr:uid="{00000000-0005-0000-0000-0000173B0000}"/>
    <cellStyle name="40% - Accent2 2 3 3 2 5" xfId="20225" xr:uid="{00000000-0005-0000-0000-0000183B0000}"/>
    <cellStyle name="40% - Accent2 2 3 3 2 6" xfId="29102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1" xr:uid="{00000000-0005-0000-0000-00001C3B0000}"/>
    <cellStyle name="40% - Accent2 2 3 3 3 2 3" xfId="30588" xr:uid="{00000000-0005-0000-0000-00001D3B0000}"/>
    <cellStyle name="40% - Accent2 2 3 3 3 3" xfId="12656" xr:uid="{00000000-0005-0000-0000-00001E3B0000}"/>
    <cellStyle name="40% - Accent2 2 3 3 3 3 2" xfId="23930" xr:uid="{00000000-0005-0000-0000-00001F3B0000}"/>
    <cellStyle name="40% - Accent2 2 3 3 3 3 3" xfId="32807" xr:uid="{00000000-0005-0000-0000-0000203B0000}"/>
    <cellStyle name="40% - Accent2 2 3 3 3 4" xfId="15106" xr:uid="{00000000-0005-0000-0000-0000213B0000}"/>
    <cellStyle name="40% - Accent2 2 3 3 3 4 2" xfId="26149" xr:uid="{00000000-0005-0000-0000-0000223B0000}"/>
    <cellStyle name="40% - Accent2 2 3 3 3 4 3" xfId="35026" xr:uid="{00000000-0005-0000-0000-0000233B0000}"/>
    <cellStyle name="40% - Accent2 2 3 3 3 5" xfId="19492" xr:uid="{00000000-0005-0000-0000-0000243B0000}"/>
    <cellStyle name="40% - Accent2 2 3 3 3 6" xfId="28369" xr:uid="{00000000-0005-0000-0000-0000253B0000}"/>
    <cellStyle name="40% - Accent2 2 3 3 4" xfId="9465" xr:uid="{00000000-0005-0000-0000-0000263B0000}"/>
    <cellStyle name="40% - Accent2 2 3 3 4 2" xfId="20968" xr:uid="{00000000-0005-0000-0000-0000273B0000}"/>
    <cellStyle name="40% - Accent2 2 3 3 4 3" xfId="29845" xr:uid="{00000000-0005-0000-0000-0000283B0000}"/>
    <cellStyle name="40% - Accent2 2 3 3 5" xfId="11913" xr:uid="{00000000-0005-0000-0000-0000293B0000}"/>
    <cellStyle name="40% - Accent2 2 3 3 5 2" xfId="23187" xr:uid="{00000000-0005-0000-0000-00002A3B0000}"/>
    <cellStyle name="40% - Accent2 2 3 3 5 3" xfId="32064" xr:uid="{00000000-0005-0000-0000-00002B3B0000}"/>
    <cellStyle name="40% - Accent2 2 3 3 6" xfId="14134" xr:uid="{00000000-0005-0000-0000-00002C3B0000}"/>
    <cellStyle name="40% - Accent2 2 3 3 6 2" xfId="25406" xr:uid="{00000000-0005-0000-0000-00002D3B0000}"/>
    <cellStyle name="40% - Accent2 2 3 3 6 3" xfId="34283" xr:uid="{00000000-0005-0000-0000-00002E3B0000}"/>
    <cellStyle name="40% - Accent2 2 3 3 7" xfId="18743" xr:uid="{00000000-0005-0000-0000-00002F3B0000}"/>
    <cellStyle name="40% - Accent2 2 3 3 8" xfId="27624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5" xr:uid="{00000000-0005-0000-0000-0000343B0000}"/>
    <cellStyle name="40% - Accent2 2 3 4 2 2 3" xfId="31322" xr:uid="{00000000-0005-0000-0000-0000353B0000}"/>
    <cellStyle name="40% - Accent2 2 3 4 2 3" xfId="13390" xr:uid="{00000000-0005-0000-0000-0000363B0000}"/>
    <cellStyle name="40% - Accent2 2 3 4 2 3 2" xfId="24664" xr:uid="{00000000-0005-0000-0000-0000373B0000}"/>
    <cellStyle name="40% - Accent2 2 3 4 2 3 3" xfId="33541" xr:uid="{00000000-0005-0000-0000-0000383B0000}"/>
    <cellStyle name="40% - Accent2 2 3 4 2 4" xfId="15840" xr:uid="{00000000-0005-0000-0000-0000393B0000}"/>
    <cellStyle name="40% - Accent2 2 3 4 2 4 2" xfId="26883" xr:uid="{00000000-0005-0000-0000-00003A3B0000}"/>
    <cellStyle name="40% - Accent2 2 3 4 2 4 3" xfId="35760" xr:uid="{00000000-0005-0000-0000-00003B3B0000}"/>
    <cellStyle name="40% - Accent2 2 3 4 2 5" xfId="20226" xr:uid="{00000000-0005-0000-0000-00003C3B0000}"/>
    <cellStyle name="40% - Accent2 2 3 4 2 6" xfId="29103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2" xr:uid="{00000000-0005-0000-0000-0000403B0000}"/>
    <cellStyle name="40% - Accent2 2 3 4 3 2 3" xfId="30589" xr:uid="{00000000-0005-0000-0000-0000413B0000}"/>
    <cellStyle name="40% - Accent2 2 3 4 3 3" xfId="12657" xr:uid="{00000000-0005-0000-0000-0000423B0000}"/>
    <cellStyle name="40% - Accent2 2 3 4 3 3 2" xfId="23931" xr:uid="{00000000-0005-0000-0000-0000433B0000}"/>
    <cellStyle name="40% - Accent2 2 3 4 3 3 3" xfId="32808" xr:uid="{00000000-0005-0000-0000-0000443B0000}"/>
    <cellStyle name="40% - Accent2 2 3 4 3 4" xfId="15107" xr:uid="{00000000-0005-0000-0000-0000453B0000}"/>
    <cellStyle name="40% - Accent2 2 3 4 3 4 2" xfId="26150" xr:uid="{00000000-0005-0000-0000-0000463B0000}"/>
    <cellStyle name="40% - Accent2 2 3 4 3 4 3" xfId="35027" xr:uid="{00000000-0005-0000-0000-0000473B0000}"/>
    <cellStyle name="40% - Accent2 2 3 4 3 5" xfId="19493" xr:uid="{00000000-0005-0000-0000-0000483B0000}"/>
    <cellStyle name="40% - Accent2 2 3 4 3 6" xfId="28370" xr:uid="{00000000-0005-0000-0000-0000493B0000}"/>
    <cellStyle name="40% - Accent2 2 3 4 4" xfId="9466" xr:uid="{00000000-0005-0000-0000-00004A3B0000}"/>
    <cellStyle name="40% - Accent2 2 3 4 4 2" xfId="20969" xr:uid="{00000000-0005-0000-0000-00004B3B0000}"/>
    <cellStyle name="40% - Accent2 2 3 4 4 3" xfId="29846" xr:uid="{00000000-0005-0000-0000-00004C3B0000}"/>
    <cellStyle name="40% - Accent2 2 3 4 5" xfId="11914" xr:uid="{00000000-0005-0000-0000-00004D3B0000}"/>
    <cellStyle name="40% - Accent2 2 3 4 5 2" xfId="23188" xr:uid="{00000000-0005-0000-0000-00004E3B0000}"/>
    <cellStyle name="40% - Accent2 2 3 4 5 3" xfId="32065" xr:uid="{00000000-0005-0000-0000-00004F3B0000}"/>
    <cellStyle name="40% - Accent2 2 3 4 6" xfId="14135" xr:uid="{00000000-0005-0000-0000-0000503B0000}"/>
    <cellStyle name="40% - Accent2 2 3 4 6 2" xfId="25407" xr:uid="{00000000-0005-0000-0000-0000513B0000}"/>
    <cellStyle name="40% - Accent2 2 3 4 6 3" xfId="34284" xr:uid="{00000000-0005-0000-0000-0000523B0000}"/>
    <cellStyle name="40% - Accent2 2 3 4 7" xfId="18744" xr:uid="{00000000-0005-0000-0000-0000533B0000}"/>
    <cellStyle name="40% - Accent2 2 3 4 8" xfId="27625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6" xr:uid="{00000000-0005-0000-0000-0000583B0000}"/>
    <cellStyle name="40% - Accent2 2 3 5 2 2 3" xfId="31323" xr:uid="{00000000-0005-0000-0000-0000593B0000}"/>
    <cellStyle name="40% - Accent2 2 3 5 2 3" xfId="13391" xr:uid="{00000000-0005-0000-0000-00005A3B0000}"/>
    <cellStyle name="40% - Accent2 2 3 5 2 3 2" xfId="24665" xr:uid="{00000000-0005-0000-0000-00005B3B0000}"/>
    <cellStyle name="40% - Accent2 2 3 5 2 3 3" xfId="33542" xr:uid="{00000000-0005-0000-0000-00005C3B0000}"/>
    <cellStyle name="40% - Accent2 2 3 5 2 4" xfId="15841" xr:uid="{00000000-0005-0000-0000-00005D3B0000}"/>
    <cellStyle name="40% - Accent2 2 3 5 2 4 2" xfId="26884" xr:uid="{00000000-0005-0000-0000-00005E3B0000}"/>
    <cellStyle name="40% - Accent2 2 3 5 2 4 3" xfId="35761" xr:uid="{00000000-0005-0000-0000-00005F3B0000}"/>
    <cellStyle name="40% - Accent2 2 3 5 2 5" xfId="20227" xr:uid="{00000000-0005-0000-0000-0000603B0000}"/>
    <cellStyle name="40% - Accent2 2 3 5 2 6" xfId="29104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3" xr:uid="{00000000-0005-0000-0000-0000643B0000}"/>
    <cellStyle name="40% - Accent2 2 3 5 3 2 3" xfId="30590" xr:uid="{00000000-0005-0000-0000-0000653B0000}"/>
    <cellStyle name="40% - Accent2 2 3 5 3 3" xfId="12658" xr:uid="{00000000-0005-0000-0000-0000663B0000}"/>
    <cellStyle name="40% - Accent2 2 3 5 3 3 2" xfId="23932" xr:uid="{00000000-0005-0000-0000-0000673B0000}"/>
    <cellStyle name="40% - Accent2 2 3 5 3 3 3" xfId="32809" xr:uid="{00000000-0005-0000-0000-0000683B0000}"/>
    <cellStyle name="40% - Accent2 2 3 5 3 4" xfId="15108" xr:uid="{00000000-0005-0000-0000-0000693B0000}"/>
    <cellStyle name="40% - Accent2 2 3 5 3 4 2" xfId="26151" xr:uid="{00000000-0005-0000-0000-00006A3B0000}"/>
    <cellStyle name="40% - Accent2 2 3 5 3 4 3" xfId="35028" xr:uid="{00000000-0005-0000-0000-00006B3B0000}"/>
    <cellStyle name="40% - Accent2 2 3 5 3 5" xfId="19494" xr:uid="{00000000-0005-0000-0000-00006C3B0000}"/>
    <cellStyle name="40% - Accent2 2 3 5 3 6" xfId="28371" xr:uid="{00000000-0005-0000-0000-00006D3B0000}"/>
    <cellStyle name="40% - Accent2 2 3 5 4" xfId="9467" xr:uid="{00000000-0005-0000-0000-00006E3B0000}"/>
    <cellStyle name="40% - Accent2 2 3 5 4 2" xfId="20970" xr:uid="{00000000-0005-0000-0000-00006F3B0000}"/>
    <cellStyle name="40% - Accent2 2 3 5 4 3" xfId="29847" xr:uid="{00000000-0005-0000-0000-0000703B0000}"/>
    <cellStyle name="40% - Accent2 2 3 5 5" xfId="11915" xr:uid="{00000000-0005-0000-0000-0000713B0000}"/>
    <cellStyle name="40% - Accent2 2 3 5 5 2" xfId="23189" xr:uid="{00000000-0005-0000-0000-0000723B0000}"/>
    <cellStyle name="40% - Accent2 2 3 5 5 3" xfId="32066" xr:uid="{00000000-0005-0000-0000-0000733B0000}"/>
    <cellStyle name="40% - Accent2 2 3 5 6" xfId="14136" xr:uid="{00000000-0005-0000-0000-0000743B0000}"/>
    <cellStyle name="40% - Accent2 2 3 5 6 2" xfId="25408" xr:uid="{00000000-0005-0000-0000-0000753B0000}"/>
    <cellStyle name="40% - Accent2 2 3 5 6 3" xfId="34285" xr:uid="{00000000-0005-0000-0000-0000763B0000}"/>
    <cellStyle name="40% - Accent2 2 3 5 7" xfId="18745" xr:uid="{00000000-0005-0000-0000-0000773B0000}"/>
    <cellStyle name="40% - Accent2 2 3 5 8" xfId="27626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7" xr:uid="{00000000-0005-0000-0000-00007C3B0000}"/>
    <cellStyle name="40% - Accent2 2 3 6 2 2 3" xfId="31324" xr:uid="{00000000-0005-0000-0000-00007D3B0000}"/>
    <cellStyle name="40% - Accent2 2 3 6 2 3" xfId="13392" xr:uid="{00000000-0005-0000-0000-00007E3B0000}"/>
    <cellStyle name="40% - Accent2 2 3 6 2 3 2" xfId="24666" xr:uid="{00000000-0005-0000-0000-00007F3B0000}"/>
    <cellStyle name="40% - Accent2 2 3 6 2 3 3" xfId="33543" xr:uid="{00000000-0005-0000-0000-0000803B0000}"/>
    <cellStyle name="40% - Accent2 2 3 6 2 4" xfId="15842" xr:uid="{00000000-0005-0000-0000-0000813B0000}"/>
    <cellStyle name="40% - Accent2 2 3 6 2 4 2" xfId="26885" xr:uid="{00000000-0005-0000-0000-0000823B0000}"/>
    <cellStyle name="40% - Accent2 2 3 6 2 4 3" xfId="35762" xr:uid="{00000000-0005-0000-0000-0000833B0000}"/>
    <cellStyle name="40% - Accent2 2 3 6 2 5" xfId="20228" xr:uid="{00000000-0005-0000-0000-0000843B0000}"/>
    <cellStyle name="40% - Accent2 2 3 6 2 6" xfId="29105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4" xr:uid="{00000000-0005-0000-0000-0000883B0000}"/>
    <cellStyle name="40% - Accent2 2 3 6 3 2 3" xfId="30591" xr:uid="{00000000-0005-0000-0000-0000893B0000}"/>
    <cellStyle name="40% - Accent2 2 3 6 3 3" xfId="12659" xr:uid="{00000000-0005-0000-0000-00008A3B0000}"/>
    <cellStyle name="40% - Accent2 2 3 6 3 3 2" xfId="23933" xr:uid="{00000000-0005-0000-0000-00008B3B0000}"/>
    <cellStyle name="40% - Accent2 2 3 6 3 3 3" xfId="32810" xr:uid="{00000000-0005-0000-0000-00008C3B0000}"/>
    <cellStyle name="40% - Accent2 2 3 6 3 4" xfId="15109" xr:uid="{00000000-0005-0000-0000-00008D3B0000}"/>
    <cellStyle name="40% - Accent2 2 3 6 3 4 2" xfId="26152" xr:uid="{00000000-0005-0000-0000-00008E3B0000}"/>
    <cellStyle name="40% - Accent2 2 3 6 3 4 3" xfId="35029" xr:uid="{00000000-0005-0000-0000-00008F3B0000}"/>
    <cellStyle name="40% - Accent2 2 3 6 3 5" xfId="19495" xr:uid="{00000000-0005-0000-0000-0000903B0000}"/>
    <cellStyle name="40% - Accent2 2 3 6 3 6" xfId="28372" xr:uid="{00000000-0005-0000-0000-0000913B0000}"/>
    <cellStyle name="40% - Accent2 2 3 6 4" xfId="9468" xr:uid="{00000000-0005-0000-0000-0000923B0000}"/>
    <cellStyle name="40% - Accent2 2 3 6 4 2" xfId="20971" xr:uid="{00000000-0005-0000-0000-0000933B0000}"/>
    <cellStyle name="40% - Accent2 2 3 6 4 3" xfId="29848" xr:uid="{00000000-0005-0000-0000-0000943B0000}"/>
    <cellStyle name="40% - Accent2 2 3 6 5" xfId="11916" xr:uid="{00000000-0005-0000-0000-0000953B0000}"/>
    <cellStyle name="40% - Accent2 2 3 6 5 2" xfId="23190" xr:uid="{00000000-0005-0000-0000-0000963B0000}"/>
    <cellStyle name="40% - Accent2 2 3 6 5 3" xfId="32067" xr:uid="{00000000-0005-0000-0000-0000973B0000}"/>
    <cellStyle name="40% - Accent2 2 3 6 6" xfId="14137" xr:uid="{00000000-0005-0000-0000-0000983B0000}"/>
    <cellStyle name="40% - Accent2 2 3 6 6 2" xfId="25409" xr:uid="{00000000-0005-0000-0000-0000993B0000}"/>
    <cellStyle name="40% - Accent2 2 3 6 6 3" xfId="34286" xr:uid="{00000000-0005-0000-0000-00009A3B0000}"/>
    <cellStyle name="40% - Accent2 2 3 6 7" xfId="18746" xr:uid="{00000000-0005-0000-0000-00009B3B0000}"/>
    <cellStyle name="40% - Accent2 2 3 6 8" xfId="27627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8" xr:uid="{00000000-0005-0000-0000-0000A03B0000}"/>
    <cellStyle name="40% - Accent2 2 3 7 2 2 3" xfId="31325" xr:uid="{00000000-0005-0000-0000-0000A13B0000}"/>
    <cellStyle name="40% - Accent2 2 3 7 2 3" xfId="13393" xr:uid="{00000000-0005-0000-0000-0000A23B0000}"/>
    <cellStyle name="40% - Accent2 2 3 7 2 3 2" xfId="24667" xr:uid="{00000000-0005-0000-0000-0000A33B0000}"/>
    <cellStyle name="40% - Accent2 2 3 7 2 3 3" xfId="33544" xr:uid="{00000000-0005-0000-0000-0000A43B0000}"/>
    <cellStyle name="40% - Accent2 2 3 7 2 4" xfId="15843" xr:uid="{00000000-0005-0000-0000-0000A53B0000}"/>
    <cellStyle name="40% - Accent2 2 3 7 2 4 2" xfId="26886" xr:uid="{00000000-0005-0000-0000-0000A63B0000}"/>
    <cellStyle name="40% - Accent2 2 3 7 2 4 3" xfId="35763" xr:uid="{00000000-0005-0000-0000-0000A73B0000}"/>
    <cellStyle name="40% - Accent2 2 3 7 2 5" xfId="20229" xr:uid="{00000000-0005-0000-0000-0000A83B0000}"/>
    <cellStyle name="40% - Accent2 2 3 7 2 6" xfId="29106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5" xr:uid="{00000000-0005-0000-0000-0000AC3B0000}"/>
    <cellStyle name="40% - Accent2 2 3 7 3 2 3" xfId="30592" xr:uid="{00000000-0005-0000-0000-0000AD3B0000}"/>
    <cellStyle name="40% - Accent2 2 3 7 3 3" xfId="12660" xr:uid="{00000000-0005-0000-0000-0000AE3B0000}"/>
    <cellStyle name="40% - Accent2 2 3 7 3 3 2" xfId="23934" xr:uid="{00000000-0005-0000-0000-0000AF3B0000}"/>
    <cellStyle name="40% - Accent2 2 3 7 3 3 3" xfId="32811" xr:uid="{00000000-0005-0000-0000-0000B03B0000}"/>
    <cellStyle name="40% - Accent2 2 3 7 3 4" xfId="15110" xr:uid="{00000000-0005-0000-0000-0000B13B0000}"/>
    <cellStyle name="40% - Accent2 2 3 7 3 4 2" xfId="26153" xr:uid="{00000000-0005-0000-0000-0000B23B0000}"/>
    <cellStyle name="40% - Accent2 2 3 7 3 4 3" xfId="35030" xr:uid="{00000000-0005-0000-0000-0000B33B0000}"/>
    <cellStyle name="40% - Accent2 2 3 7 3 5" xfId="19496" xr:uid="{00000000-0005-0000-0000-0000B43B0000}"/>
    <cellStyle name="40% - Accent2 2 3 7 3 6" xfId="28373" xr:uid="{00000000-0005-0000-0000-0000B53B0000}"/>
    <cellStyle name="40% - Accent2 2 3 7 4" xfId="9469" xr:uid="{00000000-0005-0000-0000-0000B63B0000}"/>
    <cellStyle name="40% - Accent2 2 3 7 4 2" xfId="20972" xr:uid="{00000000-0005-0000-0000-0000B73B0000}"/>
    <cellStyle name="40% - Accent2 2 3 7 4 3" xfId="29849" xr:uid="{00000000-0005-0000-0000-0000B83B0000}"/>
    <cellStyle name="40% - Accent2 2 3 7 5" xfId="11917" xr:uid="{00000000-0005-0000-0000-0000B93B0000}"/>
    <cellStyle name="40% - Accent2 2 3 7 5 2" xfId="23191" xr:uid="{00000000-0005-0000-0000-0000BA3B0000}"/>
    <cellStyle name="40% - Accent2 2 3 7 5 3" xfId="32068" xr:uid="{00000000-0005-0000-0000-0000BB3B0000}"/>
    <cellStyle name="40% - Accent2 2 3 7 6" xfId="14138" xr:uid="{00000000-0005-0000-0000-0000BC3B0000}"/>
    <cellStyle name="40% - Accent2 2 3 7 6 2" xfId="25410" xr:uid="{00000000-0005-0000-0000-0000BD3B0000}"/>
    <cellStyle name="40% - Accent2 2 3 7 6 3" xfId="34287" xr:uid="{00000000-0005-0000-0000-0000BE3B0000}"/>
    <cellStyle name="40% - Accent2 2 3 7 7" xfId="18747" xr:uid="{00000000-0005-0000-0000-0000BF3B0000}"/>
    <cellStyle name="40% - Accent2 2 3 7 8" xfId="27628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49" xr:uid="{00000000-0005-0000-0000-0000C43B0000}"/>
    <cellStyle name="40% - Accent2 2 3 8 2 2 3" xfId="31326" xr:uid="{00000000-0005-0000-0000-0000C53B0000}"/>
    <cellStyle name="40% - Accent2 2 3 8 2 3" xfId="13394" xr:uid="{00000000-0005-0000-0000-0000C63B0000}"/>
    <cellStyle name="40% - Accent2 2 3 8 2 3 2" xfId="24668" xr:uid="{00000000-0005-0000-0000-0000C73B0000}"/>
    <cellStyle name="40% - Accent2 2 3 8 2 3 3" xfId="33545" xr:uid="{00000000-0005-0000-0000-0000C83B0000}"/>
    <cellStyle name="40% - Accent2 2 3 8 2 4" xfId="15844" xr:uid="{00000000-0005-0000-0000-0000C93B0000}"/>
    <cellStyle name="40% - Accent2 2 3 8 2 4 2" xfId="26887" xr:uid="{00000000-0005-0000-0000-0000CA3B0000}"/>
    <cellStyle name="40% - Accent2 2 3 8 2 4 3" xfId="35764" xr:uid="{00000000-0005-0000-0000-0000CB3B0000}"/>
    <cellStyle name="40% - Accent2 2 3 8 2 5" xfId="20230" xr:uid="{00000000-0005-0000-0000-0000CC3B0000}"/>
    <cellStyle name="40% - Accent2 2 3 8 2 6" xfId="29107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6" xr:uid="{00000000-0005-0000-0000-0000D03B0000}"/>
    <cellStyle name="40% - Accent2 2 3 8 3 2 3" xfId="30593" xr:uid="{00000000-0005-0000-0000-0000D13B0000}"/>
    <cellStyle name="40% - Accent2 2 3 8 3 3" xfId="12661" xr:uid="{00000000-0005-0000-0000-0000D23B0000}"/>
    <cellStyle name="40% - Accent2 2 3 8 3 3 2" xfId="23935" xr:uid="{00000000-0005-0000-0000-0000D33B0000}"/>
    <cellStyle name="40% - Accent2 2 3 8 3 3 3" xfId="32812" xr:uid="{00000000-0005-0000-0000-0000D43B0000}"/>
    <cellStyle name="40% - Accent2 2 3 8 3 4" xfId="15111" xr:uid="{00000000-0005-0000-0000-0000D53B0000}"/>
    <cellStyle name="40% - Accent2 2 3 8 3 4 2" xfId="26154" xr:uid="{00000000-0005-0000-0000-0000D63B0000}"/>
    <cellStyle name="40% - Accent2 2 3 8 3 4 3" xfId="35031" xr:uid="{00000000-0005-0000-0000-0000D73B0000}"/>
    <cellStyle name="40% - Accent2 2 3 8 3 5" xfId="19497" xr:uid="{00000000-0005-0000-0000-0000D83B0000}"/>
    <cellStyle name="40% - Accent2 2 3 8 3 6" xfId="28374" xr:uid="{00000000-0005-0000-0000-0000D93B0000}"/>
    <cellStyle name="40% - Accent2 2 3 8 4" xfId="9470" xr:uid="{00000000-0005-0000-0000-0000DA3B0000}"/>
    <cellStyle name="40% - Accent2 2 3 8 4 2" xfId="20973" xr:uid="{00000000-0005-0000-0000-0000DB3B0000}"/>
    <cellStyle name="40% - Accent2 2 3 8 4 3" xfId="29850" xr:uid="{00000000-0005-0000-0000-0000DC3B0000}"/>
    <cellStyle name="40% - Accent2 2 3 8 5" xfId="11918" xr:uid="{00000000-0005-0000-0000-0000DD3B0000}"/>
    <cellStyle name="40% - Accent2 2 3 8 5 2" xfId="23192" xr:uid="{00000000-0005-0000-0000-0000DE3B0000}"/>
    <cellStyle name="40% - Accent2 2 3 8 5 3" xfId="32069" xr:uid="{00000000-0005-0000-0000-0000DF3B0000}"/>
    <cellStyle name="40% - Accent2 2 3 8 6" xfId="14139" xr:uid="{00000000-0005-0000-0000-0000E03B0000}"/>
    <cellStyle name="40% - Accent2 2 3 8 6 2" xfId="25411" xr:uid="{00000000-0005-0000-0000-0000E13B0000}"/>
    <cellStyle name="40% - Accent2 2 3 8 6 3" xfId="34288" xr:uid="{00000000-0005-0000-0000-0000E23B0000}"/>
    <cellStyle name="40% - Accent2 2 3 8 7" xfId="18748" xr:uid="{00000000-0005-0000-0000-0000E33B0000}"/>
    <cellStyle name="40% - Accent2 2 3 8 8" xfId="27629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0" xr:uid="{00000000-0005-0000-0000-0000E83B0000}"/>
    <cellStyle name="40% - Accent2 2 3 9 2 2 3" xfId="31327" xr:uid="{00000000-0005-0000-0000-0000E93B0000}"/>
    <cellStyle name="40% - Accent2 2 3 9 2 3" xfId="13395" xr:uid="{00000000-0005-0000-0000-0000EA3B0000}"/>
    <cellStyle name="40% - Accent2 2 3 9 2 3 2" xfId="24669" xr:uid="{00000000-0005-0000-0000-0000EB3B0000}"/>
    <cellStyle name="40% - Accent2 2 3 9 2 3 3" xfId="33546" xr:uid="{00000000-0005-0000-0000-0000EC3B0000}"/>
    <cellStyle name="40% - Accent2 2 3 9 2 4" xfId="15845" xr:uid="{00000000-0005-0000-0000-0000ED3B0000}"/>
    <cellStyle name="40% - Accent2 2 3 9 2 4 2" xfId="26888" xr:uid="{00000000-0005-0000-0000-0000EE3B0000}"/>
    <cellStyle name="40% - Accent2 2 3 9 2 4 3" xfId="35765" xr:uid="{00000000-0005-0000-0000-0000EF3B0000}"/>
    <cellStyle name="40% - Accent2 2 3 9 2 5" xfId="20231" xr:uid="{00000000-0005-0000-0000-0000F03B0000}"/>
    <cellStyle name="40% - Accent2 2 3 9 2 6" xfId="29108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7" xr:uid="{00000000-0005-0000-0000-0000F43B0000}"/>
    <cellStyle name="40% - Accent2 2 3 9 3 2 3" xfId="30594" xr:uid="{00000000-0005-0000-0000-0000F53B0000}"/>
    <cellStyle name="40% - Accent2 2 3 9 3 3" xfId="12662" xr:uid="{00000000-0005-0000-0000-0000F63B0000}"/>
    <cellStyle name="40% - Accent2 2 3 9 3 3 2" xfId="23936" xr:uid="{00000000-0005-0000-0000-0000F73B0000}"/>
    <cellStyle name="40% - Accent2 2 3 9 3 3 3" xfId="32813" xr:uid="{00000000-0005-0000-0000-0000F83B0000}"/>
    <cellStyle name="40% - Accent2 2 3 9 3 4" xfId="15112" xr:uid="{00000000-0005-0000-0000-0000F93B0000}"/>
    <cellStyle name="40% - Accent2 2 3 9 3 4 2" xfId="26155" xr:uid="{00000000-0005-0000-0000-0000FA3B0000}"/>
    <cellStyle name="40% - Accent2 2 3 9 3 4 3" xfId="35032" xr:uid="{00000000-0005-0000-0000-0000FB3B0000}"/>
    <cellStyle name="40% - Accent2 2 3 9 3 5" xfId="19498" xr:uid="{00000000-0005-0000-0000-0000FC3B0000}"/>
    <cellStyle name="40% - Accent2 2 3 9 3 6" xfId="28375" xr:uid="{00000000-0005-0000-0000-0000FD3B0000}"/>
    <cellStyle name="40% - Accent2 2 3 9 4" xfId="9471" xr:uid="{00000000-0005-0000-0000-0000FE3B0000}"/>
    <cellStyle name="40% - Accent2 2 3 9 4 2" xfId="20974" xr:uid="{00000000-0005-0000-0000-0000FF3B0000}"/>
    <cellStyle name="40% - Accent2 2 3 9 4 3" xfId="29851" xr:uid="{00000000-0005-0000-0000-0000003C0000}"/>
    <cellStyle name="40% - Accent2 2 3 9 5" xfId="11919" xr:uid="{00000000-0005-0000-0000-0000013C0000}"/>
    <cellStyle name="40% - Accent2 2 3 9 5 2" xfId="23193" xr:uid="{00000000-0005-0000-0000-0000023C0000}"/>
    <cellStyle name="40% - Accent2 2 3 9 5 3" xfId="32070" xr:uid="{00000000-0005-0000-0000-0000033C0000}"/>
    <cellStyle name="40% - Accent2 2 3 9 6" xfId="14140" xr:uid="{00000000-0005-0000-0000-0000043C0000}"/>
    <cellStyle name="40% - Accent2 2 3 9 6 2" xfId="25412" xr:uid="{00000000-0005-0000-0000-0000053C0000}"/>
    <cellStyle name="40% - Accent2 2 3 9 6 3" xfId="34289" xr:uid="{00000000-0005-0000-0000-0000063C0000}"/>
    <cellStyle name="40% - Accent2 2 3 9 7" xfId="18749" xr:uid="{00000000-0005-0000-0000-0000073C0000}"/>
    <cellStyle name="40% - Accent2 2 3 9 8" xfId="27630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1" xr:uid="{00000000-0005-0000-0000-00000C3C0000}"/>
    <cellStyle name="40% - Accent2 2 4 10 2 3" xfId="31328" xr:uid="{00000000-0005-0000-0000-00000D3C0000}"/>
    <cellStyle name="40% - Accent2 2 4 10 3" xfId="13396" xr:uid="{00000000-0005-0000-0000-00000E3C0000}"/>
    <cellStyle name="40% - Accent2 2 4 10 3 2" xfId="24670" xr:uid="{00000000-0005-0000-0000-00000F3C0000}"/>
    <cellStyle name="40% - Accent2 2 4 10 3 3" xfId="33547" xr:uid="{00000000-0005-0000-0000-0000103C0000}"/>
    <cellStyle name="40% - Accent2 2 4 10 4" xfId="15846" xr:uid="{00000000-0005-0000-0000-0000113C0000}"/>
    <cellStyle name="40% - Accent2 2 4 10 4 2" xfId="26889" xr:uid="{00000000-0005-0000-0000-0000123C0000}"/>
    <cellStyle name="40% - Accent2 2 4 10 4 3" xfId="35766" xr:uid="{00000000-0005-0000-0000-0000133C0000}"/>
    <cellStyle name="40% - Accent2 2 4 10 5" xfId="20232" xr:uid="{00000000-0005-0000-0000-0000143C0000}"/>
    <cellStyle name="40% - Accent2 2 4 10 6" xfId="29109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8" xr:uid="{00000000-0005-0000-0000-0000183C0000}"/>
    <cellStyle name="40% - Accent2 2 4 11 2 3" xfId="30595" xr:uid="{00000000-0005-0000-0000-0000193C0000}"/>
    <cellStyle name="40% - Accent2 2 4 11 3" xfId="12663" xr:uid="{00000000-0005-0000-0000-00001A3C0000}"/>
    <cellStyle name="40% - Accent2 2 4 11 3 2" xfId="23937" xr:uid="{00000000-0005-0000-0000-00001B3C0000}"/>
    <cellStyle name="40% - Accent2 2 4 11 3 3" xfId="32814" xr:uid="{00000000-0005-0000-0000-00001C3C0000}"/>
    <cellStyle name="40% - Accent2 2 4 11 4" xfId="15113" xr:uid="{00000000-0005-0000-0000-00001D3C0000}"/>
    <cellStyle name="40% - Accent2 2 4 11 4 2" xfId="26156" xr:uid="{00000000-0005-0000-0000-00001E3C0000}"/>
    <cellStyle name="40% - Accent2 2 4 11 4 3" xfId="35033" xr:uid="{00000000-0005-0000-0000-00001F3C0000}"/>
    <cellStyle name="40% - Accent2 2 4 11 5" xfId="19499" xr:uid="{00000000-0005-0000-0000-0000203C0000}"/>
    <cellStyle name="40% - Accent2 2 4 11 6" xfId="28376" xr:uid="{00000000-0005-0000-0000-0000213C0000}"/>
    <cellStyle name="40% - Accent2 2 4 12" xfId="9472" xr:uid="{00000000-0005-0000-0000-0000223C0000}"/>
    <cellStyle name="40% - Accent2 2 4 12 2" xfId="20975" xr:uid="{00000000-0005-0000-0000-0000233C0000}"/>
    <cellStyle name="40% - Accent2 2 4 12 3" xfId="29852" xr:uid="{00000000-0005-0000-0000-0000243C0000}"/>
    <cellStyle name="40% - Accent2 2 4 13" xfId="11920" xr:uid="{00000000-0005-0000-0000-0000253C0000}"/>
    <cellStyle name="40% - Accent2 2 4 13 2" xfId="23194" xr:uid="{00000000-0005-0000-0000-0000263C0000}"/>
    <cellStyle name="40% - Accent2 2 4 13 3" xfId="32071" xr:uid="{00000000-0005-0000-0000-0000273C0000}"/>
    <cellStyle name="40% - Accent2 2 4 14" xfId="14141" xr:uid="{00000000-0005-0000-0000-0000283C0000}"/>
    <cellStyle name="40% - Accent2 2 4 14 2" xfId="25413" xr:uid="{00000000-0005-0000-0000-0000293C0000}"/>
    <cellStyle name="40% - Accent2 2 4 14 3" xfId="34290" xr:uid="{00000000-0005-0000-0000-00002A3C0000}"/>
    <cellStyle name="40% - Accent2 2 4 15" xfId="18750" xr:uid="{00000000-0005-0000-0000-00002B3C0000}"/>
    <cellStyle name="40% - Accent2 2 4 16" xfId="27631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2" xr:uid="{00000000-0005-0000-0000-0000303C0000}"/>
    <cellStyle name="40% - Accent2 2 4 2 2 2 3" xfId="31329" xr:uid="{00000000-0005-0000-0000-0000313C0000}"/>
    <cellStyle name="40% - Accent2 2 4 2 2 3" xfId="13397" xr:uid="{00000000-0005-0000-0000-0000323C0000}"/>
    <cellStyle name="40% - Accent2 2 4 2 2 3 2" xfId="24671" xr:uid="{00000000-0005-0000-0000-0000333C0000}"/>
    <cellStyle name="40% - Accent2 2 4 2 2 3 3" xfId="33548" xr:uid="{00000000-0005-0000-0000-0000343C0000}"/>
    <cellStyle name="40% - Accent2 2 4 2 2 4" xfId="15847" xr:uid="{00000000-0005-0000-0000-0000353C0000}"/>
    <cellStyle name="40% - Accent2 2 4 2 2 4 2" xfId="26890" xr:uid="{00000000-0005-0000-0000-0000363C0000}"/>
    <cellStyle name="40% - Accent2 2 4 2 2 4 3" xfId="35767" xr:uid="{00000000-0005-0000-0000-0000373C0000}"/>
    <cellStyle name="40% - Accent2 2 4 2 2 5" xfId="20233" xr:uid="{00000000-0005-0000-0000-0000383C0000}"/>
    <cellStyle name="40% - Accent2 2 4 2 2 6" xfId="29110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19" xr:uid="{00000000-0005-0000-0000-00003C3C0000}"/>
    <cellStyle name="40% - Accent2 2 4 2 3 2 3" xfId="30596" xr:uid="{00000000-0005-0000-0000-00003D3C0000}"/>
    <cellStyle name="40% - Accent2 2 4 2 3 3" xfId="12664" xr:uid="{00000000-0005-0000-0000-00003E3C0000}"/>
    <cellStyle name="40% - Accent2 2 4 2 3 3 2" xfId="23938" xr:uid="{00000000-0005-0000-0000-00003F3C0000}"/>
    <cellStyle name="40% - Accent2 2 4 2 3 3 3" xfId="32815" xr:uid="{00000000-0005-0000-0000-0000403C0000}"/>
    <cellStyle name="40% - Accent2 2 4 2 3 4" xfId="15114" xr:uid="{00000000-0005-0000-0000-0000413C0000}"/>
    <cellStyle name="40% - Accent2 2 4 2 3 4 2" xfId="26157" xr:uid="{00000000-0005-0000-0000-0000423C0000}"/>
    <cellStyle name="40% - Accent2 2 4 2 3 4 3" xfId="35034" xr:uid="{00000000-0005-0000-0000-0000433C0000}"/>
    <cellStyle name="40% - Accent2 2 4 2 3 5" xfId="19500" xr:uid="{00000000-0005-0000-0000-0000443C0000}"/>
    <cellStyle name="40% - Accent2 2 4 2 3 6" xfId="28377" xr:uid="{00000000-0005-0000-0000-0000453C0000}"/>
    <cellStyle name="40% - Accent2 2 4 2 4" xfId="9473" xr:uid="{00000000-0005-0000-0000-0000463C0000}"/>
    <cellStyle name="40% - Accent2 2 4 2 4 2" xfId="20976" xr:uid="{00000000-0005-0000-0000-0000473C0000}"/>
    <cellStyle name="40% - Accent2 2 4 2 4 3" xfId="29853" xr:uid="{00000000-0005-0000-0000-0000483C0000}"/>
    <cellStyle name="40% - Accent2 2 4 2 5" xfId="11921" xr:uid="{00000000-0005-0000-0000-0000493C0000}"/>
    <cellStyle name="40% - Accent2 2 4 2 5 2" xfId="23195" xr:uid="{00000000-0005-0000-0000-00004A3C0000}"/>
    <cellStyle name="40% - Accent2 2 4 2 5 3" xfId="32072" xr:uid="{00000000-0005-0000-0000-00004B3C0000}"/>
    <cellStyle name="40% - Accent2 2 4 2 6" xfId="14142" xr:uid="{00000000-0005-0000-0000-00004C3C0000}"/>
    <cellStyle name="40% - Accent2 2 4 2 6 2" xfId="25414" xr:uid="{00000000-0005-0000-0000-00004D3C0000}"/>
    <cellStyle name="40% - Accent2 2 4 2 6 3" xfId="34291" xr:uid="{00000000-0005-0000-0000-00004E3C0000}"/>
    <cellStyle name="40% - Accent2 2 4 2 7" xfId="18751" xr:uid="{00000000-0005-0000-0000-00004F3C0000}"/>
    <cellStyle name="40% - Accent2 2 4 2 8" xfId="27632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3" xr:uid="{00000000-0005-0000-0000-0000543C0000}"/>
    <cellStyle name="40% - Accent2 2 4 3 2 2 3" xfId="31330" xr:uid="{00000000-0005-0000-0000-0000553C0000}"/>
    <cellStyle name="40% - Accent2 2 4 3 2 3" xfId="13398" xr:uid="{00000000-0005-0000-0000-0000563C0000}"/>
    <cellStyle name="40% - Accent2 2 4 3 2 3 2" xfId="24672" xr:uid="{00000000-0005-0000-0000-0000573C0000}"/>
    <cellStyle name="40% - Accent2 2 4 3 2 3 3" xfId="33549" xr:uid="{00000000-0005-0000-0000-0000583C0000}"/>
    <cellStyle name="40% - Accent2 2 4 3 2 4" xfId="15848" xr:uid="{00000000-0005-0000-0000-0000593C0000}"/>
    <cellStyle name="40% - Accent2 2 4 3 2 4 2" xfId="26891" xr:uid="{00000000-0005-0000-0000-00005A3C0000}"/>
    <cellStyle name="40% - Accent2 2 4 3 2 4 3" xfId="35768" xr:uid="{00000000-0005-0000-0000-00005B3C0000}"/>
    <cellStyle name="40% - Accent2 2 4 3 2 5" xfId="20234" xr:uid="{00000000-0005-0000-0000-00005C3C0000}"/>
    <cellStyle name="40% - Accent2 2 4 3 2 6" xfId="29111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0" xr:uid="{00000000-0005-0000-0000-0000603C0000}"/>
    <cellStyle name="40% - Accent2 2 4 3 3 2 3" xfId="30597" xr:uid="{00000000-0005-0000-0000-0000613C0000}"/>
    <cellStyle name="40% - Accent2 2 4 3 3 3" xfId="12665" xr:uid="{00000000-0005-0000-0000-0000623C0000}"/>
    <cellStyle name="40% - Accent2 2 4 3 3 3 2" xfId="23939" xr:uid="{00000000-0005-0000-0000-0000633C0000}"/>
    <cellStyle name="40% - Accent2 2 4 3 3 3 3" xfId="32816" xr:uid="{00000000-0005-0000-0000-0000643C0000}"/>
    <cellStyle name="40% - Accent2 2 4 3 3 4" xfId="15115" xr:uid="{00000000-0005-0000-0000-0000653C0000}"/>
    <cellStyle name="40% - Accent2 2 4 3 3 4 2" xfId="26158" xr:uid="{00000000-0005-0000-0000-0000663C0000}"/>
    <cellStyle name="40% - Accent2 2 4 3 3 4 3" xfId="35035" xr:uid="{00000000-0005-0000-0000-0000673C0000}"/>
    <cellStyle name="40% - Accent2 2 4 3 3 5" xfId="19501" xr:uid="{00000000-0005-0000-0000-0000683C0000}"/>
    <cellStyle name="40% - Accent2 2 4 3 3 6" xfId="28378" xr:uid="{00000000-0005-0000-0000-0000693C0000}"/>
    <cellStyle name="40% - Accent2 2 4 3 4" xfId="9474" xr:uid="{00000000-0005-0000-0000-00006A3C0000}"/>
    <cellStyle name="40% - Accent2 2 4 3 4 2" xfId="20977" xr:uid="{00000000-0005-0000-0000-00006B3C0000}"/>
    <cellStyle name="40% - Accent2 2 4 3 4 3" xfId="29854" xr:uid="{00000000-0005-0000-0000-00006C3C0000}"/>
    <cellStyle name="40% - Accent2 2 4 3 5" xfId="11922" xr:uid="{00000000-0005-0000-0000-00006D3C0000}"/>
    <cellStyle name="40% - Accent2 2 4 3 5 2" xfId="23196" xr:uid="{00000000-0005-0000-0000-00006E3C0000}"/>
    <cellStyle name="40% - Accent2 2 4 3 5 3" xfId="32073" xr:uid="{00000000-0005-0000-0000-00006F3C0000}"/>
    <cellStyle name="40% - Accent2 2 4 3 6" xfId="14143" xr:uid="{00000000-0005-0000-0000-0000703C0000}"/>
    <cellStyle name="40% - Accent2 2 4 3 6 2" xfId="25415" xr:uid="{00000000-0005-0000-0000-0000713C0000}"/>
    <cellStyle name="40% - Accent2 2 4 3 6 3" xfId="34292" xr:uid="{00000000-0005-0000-0000-0000723C0000}"/>
    <cellStyle name="40% - Accent2 2 4 3 7" xfId="18752" xr:uid="{00000000-0005-0000-0000-0000733C0000}"/>
    <cellStyle name="40% - Accent2 2 4 3 8" xfId="27633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4" xr:uid="{00000000-0005-0000-0000-0000783C0000}"/>
    <cellStyle name="40% - Accent2 2 4 4 2 2 3" xfId="31331" xr:uid="{00000000-0005-0000-0000-0000793C0000}"/>
    <cellStyle name="40% - Accent2 2 4 4 2 3" xfId="13399" xr:uid="{00000000-0005-0000-0000-00007A3C0000}"/>
    <cellStyle name="40% - Accent2 2 4 4 2 3 2" xfId="24673" xr:uid="{00000000-0005-0000-0000-00007B3C0000}"/>
    <cellStyle name="40% - Accent2 2 4 4 2 3 3" xfId="33550" xr:uid="{00000000-0005-0000-0000-00007C3C0000}"/>
    <cellStyle name="40% - Accent2 2 4 4 2 4" xfId="15849" xr:uid="{00000000-0005-0000-0000-00007D3C0000}"/>
    <cellStyle name="40% - Accent2 2 4 4 2 4 2" xfId="26892" xr:uid="{00000000-0005-0000-0000-00007E3C0000}"/>
    <cellStyle name="40% - Accent2 2 4 4 2 4 3" xfId="35769" xr:uid="{00000000-0005-0000-0000-00007F3C0000}"/>
    <cellStyle name="40% - Accent2 2 4 4 2 5" xfId="20235" xr:uid="{00000000-0005-0000-0000-0000803C0000}"/>
    <cellStyle name="40% - Accent2 2 4 4 2 6" xfId="29112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1" xr:uid="{00000000-0005-0000-0000-0000843C0000}"/>
    <cellStyle name="40% - Accent2 2 4 4 3 2 3" xfId="30598" xr:uid="{00000000-0005-0000-0000-0000853C0000}"/>
    <cellStyle name="40% - Accent2 2 4 4 3 3" xfId="12666" xr:uid="{00000000-0005-0000-0000-0000863C0000}"/>
    <cellStyle name="40% - Accent2 2 4 4 3 3 2" xfId="23940" xr:uid="{00000000-0005-0000-0000-0000873C0000}"/>
    <cellStyle name="40% - Accent2 2 4 4 3 3 3" xfId="32817" xr:uid="{00000000-0005-0000-0000-0000883C0000}"/>
    <cellStyle name="40% - Accent2 2 4 4 3 4" xfId="15116" xr:uid="{00000000-0005-0000-0000-0000893C0000}"/>
    <cellStyle name="40% - Accent2 2 4 4 3 4 2" xfId="26159" xr:uid="{00000000-0005-0000-0000-00008A3C0000}"/>
    <cellStyle name="40% - Accent2 2 4 4 3 4 3" xfId="35036" xr:uid="{00000000-0005-0000-0000-00008B3C0000}"/>
    <cellStyle name="40% - Accent2 2 4 4 3 5" xfId="19502" xr:uid="{00000000-0005-0000-0000-00008C3C0000}"/>
    <cellStyle name="40% - Accent2 2 4 4 3 6" xfId="28379" xr:uid="{00000000-0005-0000-0000-00008D3C0000}"/>
    <cellStyle name="40% - Accent2 2 4 4 4" xfId="9475" xr:uid="{00000000-0005-0000-0000-00008E3C0000}"/>
    <cellStyle name="40% - Accent2 2 4 4 4 2" xfId="20978" xr:uid="{00000000-0005-0000-0000-00008F3C0000}"/>
    <cellStyle name="40% - Accent2 2 4 4 4 3" xfId="29855" xr:uid="{00000000-0005-0000-0000-0000903C0000}"/>
    <cellStyle name="40% - Accent2 2 4 4 5" xfId="11923" xr:uid="{00000000-0005-0000-0000-0000913C0000}"/>
    <cellStyle name="40% - Accent2 2 4 4 5 2" xfId="23197" xr:uid="{00000000-0005-0000-0000-0000923C0000}"/>
    <cellStyle name="40% - Accent2 2 4 4 5 3" xfId="32074" xr:uid="{00000000-0005-0000-0000-0000933C0000}"/>
    <cellStyle name="40% - Accent2 2 4 4 6" xfId="14144" xr:uid="{00000000-0005-0000-0000-0000943C0000}"/>
    <cellStyle name="40% - Accent2 2 4 4 6 2" xfId="25416" xr:uid="{00000000-0005-0000-0000-0000953C0000}"/>
    <cellStyle name="40% - Accent2 2 4 4 6 3" xfId="34293" xr:uid="{00000000-0005-0000-0000-0000963C0000}"/>
    <cellStyle name="40% - Accent2 2 4 4 7" xfId="18753" xr:uid="{00000000-0005-0000-0000-0000973C0000}"/>
    <cellStyle name="40% - Accent2 2 4 4 8" xfId="27634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5" xr:uid="{00000000-0005-0000-0000-00009C3C0000}"/>
    <cellStyle name="40% - Accent2 2 4 5 2 2 3" xfId="31332" xr:uid="{00000000-0005-0000-0000-00009D3C0000}"/>
    <cellStyle name="40% - Accent2 2 4 5 2 3" xfId="13400" xr:uid="{00000000-0005-0000-0000-00009E3C0000}"/>
    <cellStyle name="40% - Accent2 2 4 5 2 3 2" xfId="24674" xr:uid="{00000000-0005-0000-0000-00009F3C0000}"/>
    <cellStyle name="40% - Accent2 2 4 5 2 3 3" xfId="33551" xr:uid="{00000000-0005-0000-0000-0000A03C0000}"/>
    <cellStyle name="40% - Accent2 2 4 5 2 4" xfId="15850" xr:uid="{00000000-0005-0000-0000-0000A13C0000}"/>
    <cellStyle name="40% - Accent2 2 4 5 2 4 2" xfId="26893" xr:uid="{00000000-0005-0000-0000-0000A23C0000}"/>
    <cellStyle name="40% - Accent2 2 4 5 2 4 3" xfId="35770" xr:uid="{00000000-0005-0000-0000-0000A33C0000}"/>
    <cellStyle name="40% - Accent2 2 4 5 2 5" xfId="20236" xr:uid="{00000000-0005-0000-0000-0000A43C0000}"/>
    <cellStyle name="40% - Accent2 2 4 5 2 6" xfId="29113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2" xr:uid="{00000000-0005-0000-0000-0000A83C0000}"/>
    <cellStyle name="40% - Accent2 2 4 5 3 2 3" xfId="30599" xr:uid="{00000000-0005-0000-0000-0000A93C0000}"/>
    <cellStyle name="40% - Accent2 2 4 5 3 3" xfId="12667" xr:uid="{00000000-0005-0000-0000-0000AA3C0000}"/>
    <cellStyle name="40% - Accent2 2 4 5 3 3 2" xfId="23941" xr:uid="{00000000-0005-0000-0000-0000AB3C0000}"/>
    <cellStyle name="40% - Accent2 2 4 5 3 3 3" xfId="32818" xr:uid="{00000000-0005-0000-0000-0000AC3C0000}"/>
    <cellStyle name="40% - Accent2 2 4 5 3 4" xfId="15117" xr:uid="{00000000-0005-0000-0000-0000AD3C0000}"/>
    <cellStyle name="40% - Accent2 2 4 5 3 4 2" xfId="26160" xr:uid="{00000000-0005-0000-0000-0000AE3C0000}"/>
    <cellStyle name="40% - Accent2 2 4 5 3 4 3" xfId="35037" xr:uid="{00000000-0005-0000-0000-0000AF3C0000}"/>
    <cellStyle name="40% - Accent2 2 4 5 3 5" xfId="19503" xr:uid="{00000000-0005-0000-0000-0000B03C0000}"/>
    <cellStyle name="40% - Accent2 2 4 5 3 6" xfId="28380" xr:uid="{00000000-0005-0000-0000-0000B13C0000}"/>
    <cellStyle name="40% - Accent2 2 4 5 4" xfId="9476" xr:uid="{00000000-0005-0000-0000-0000B23C0000}"/>
    <cellStyle name="40% - Accent2 2 4 5 4 2" xfId="20979" xr:uid="{00000000-0005-0000-0000-0000B33C0000}"/>
    <cellStyle name="40% - Accent2 2 4 5 4 3" xfId="29856" xr:uid="{00000000-0005-0000-0000-0000B43C0000}"/>
    <cellStyle name="40% - Accent2 2 4 5 5" xfId="11924" xr:uid="{00000000-0005-0000-0000-0000B53C0000}"/>
    <cellStyle name="40% - Accent2 2 4 5 5 2" xfId="23198" xr:uid="{00000000-0005-0000-0000-0000B63C0000}"/>
    <cellStyle name="40% - Accent2 2 4 5 5 3" xfId="32075" xr:uid="{00000000-0005-0000-0000-0000B73C0000}"/>
    <cellStyle name="40% - Accent2 2 4 5 6" xfId="14145" xr:uid="{00000000-0005-0000-0000-0000B83C0000}"/>
    <cellStyle name="40% - Accent2 2 4 5 6 2" xfId="25417" xr:uid="{00000000-0005-0000-0000-0000B93C0000}"/>
    <cellStyle name="40% - Accent2 2 4 5 6 3" xfId="34294" xr:uid="{00000000-0005-0000-0000-0000BA3C0000}"/>
    <cellStyle name="40% - Accent2 2 4 5 7" xfId="18754" xr:uid="{00000000-0005-0000-0000-0000BB3C0000}"/>
    <cellStyle name="40% - Accent2 2 4 5 8" xfId="27635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6" xr:uid="{00000000-0005-0000-0000-0000C03C0000}"/>
    <cellStyle name="40% - Accent2 2 4 6 2 2 3" xfId="31333" xr:uid="{00000000-0005-0000-0000-0000C13C0000}"/>
    <cellStyle name="40% - Accent2 2 4 6 2 3" xfId="13401" xr:uid="{00000000-0005-0000-0000-0000C23C0000}"/>
    <cellStyle name="40% - Accent2 2 4 6 2 3 2" xfId="24675" xr:uid="{00000000-0005-0000-0000-0000C33C0000}"/>
    <cellStyle name="40% - Accent2 2 4 6 2 3 3" xfId="33552" xr:uid="{00000000-0005-0000-0000-0000C43C0000}"/>
    <cellStyle name="40% - Accent2 2 4 6 2 4" xfId="15851" xr:uid="{00000000-0005-0000-0000-0000C53C0000}"/>
    <cellStyle name="40% - Accent2 2 4 6 2 4 2" xfId="26894" xr:uid="{00000000-0005-0000-0000-0000C63C0000}"/>
    <cellStyle name="40% - Accent2 2 4 6 2 4 3" xfId="35771" xr:uid="{00000000-0005-0000-0000-0000C73C0000}"/>
    <cellStyle name="40% - Accent2 2 4 6 2 5" xfId="20237" xr:uid="{00000000-0005-0000-0000-0000C83C0000}"/>
    <cellStyle name="40% - Accent2 2 4 6 2 6" xfId="29114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3" xr:uid="{00000000-0005-0000-0000-0000CC3C0000}"/>
    <cellStyle name="40% - Accent2 2 4 6 3 2 3" xfId="30600" xr:uid="{00000000-0005-0000-0000-0000CD3C0000}"/>
    <cellStyle name="40% - Accent2 2 4 6 3 3" xfId="12668" xr:uid="{00000000-0005-0000-0000-0000CE3C0000}"/>
    <cellStyle name="40% - Accent2 2 4 6 3 3 2" xfId="23942" xr:uid="{00000000-0005-0000-0000-0000CF3C0000}"/>
    <cellStyle name="40% - Accent2 2 4 6 3 3 3" xfId="32819" xr:uid="{00000000-0005-0000-0000-0000D03C0000}"/>
    <cellStyle name="40% - Accent2 2 4 6 3 4" xfId="15118" xr:uid="{00000000-0005-0000-0000-0000D13C0000}"/>
    <cellStyle name="40% - Accent2 2 4 6 3 4 2" xfId="26161" xr:uid="{00000000-0005-0000-0000-0000D23C0000}"/>
    <cellStyle name="40% - Accent2 2 4 6 3 4 3" xfId="35038" xr:uid="{00000000-0005-0000-0000-0000D33C0000}"/>
    <cellStyle name="40% - Accent2 2 4 6 3 5" xfId="19504" xr:uid="{00000000-0005-0000-0000-0000D43C0000}"/>
    <cellStyle name="40% - Accent2 2 4 6 3 6" xfId="28381" xr:uid="{00000000-0005-0000-0000-0000D53C0000}"/>
    <cellStyle name="40% - Accent2 2 4 6 4" xfId="9477" xr:uid="{00000000-0005-0000-0000-0000D63C0000}"/>
    <cellStyle name="40% - Accent2 2 4 6 4 2" xfId="20980" xr:uid="{00000000-0005-0000-0000-0000D73C0000}"/>
    <cellStyle name="40% - Accent2 2 4 6 4 3" xfId="29857" xr:uid="{00000000-0005-0000-0000-0000D83C0000}"/>
    <cellStyle name="40% - Accent2 2 4 6 5" xfId="11925" xr:uid="{00000000-0005-0000-0000-0000D93C0000}"/>
    <cellStyle name="40% - Accent2 2 4 6 5 2" xfId="23199" xr:uid="{00000000-0005-0000-0000-0000DA3C0000}"/>
    <cellStyle name="40% - Accent2 2 4 6 5 3" xfId="32076" xr:uid="{00000000-0005-0000-0000-0000DB3C0000}"/>
    <cellStyle name="40% - Accent2 2 4 6 6" xfId="14146" xr:uid="{00000000-0005-0000-0000-0000DC3C0000}"/>
    <cellStyle name="40% - Accent2 2 4 6 6 2" xfId="25418" xr:uid="{00000000-0005-0000-0000-0000DD3C0000}"/>
    <cellStyle name="40% - Accent2 2 4 6 6 3" xfId="34295" xr:uid="{00000000-0005-0000-0000-0000DE3C0000}"/>
    <cellStyle name="40% - Accent2 2 4 6 7" xfId="18755" xr:uid="{00000000-0005-0000-0000-0000DF3C0000}"/>
    <cellStyle name="40% - Accent2 2 4 6 8" xfId="27636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7" xr:uid="{00000000-0005-0000-0000-0000E43C0000}"/>
    <cellStyle name="40% - Accent2 2 4 7 2 2 3" xfId="31334" xr:uid="{00000000-0005-0000-0000-0000E53C0000}"/>
    <cellStyle name="40% - Accent2 2 4 7 2 3" xfId="13402" xr:uid="{00000000-0005-0000-0000-0000E63C0000}"/>
    <cellStyle name="40% - Accent2 2 4 7 2 3 2" xfId="24676" xr:uid="{00000000-0005-0000-0000-0000E73C0000}"/>
    <cellStyle name="40% - Accent2 2 4 7 2 3 3" xfId="33553" xr:uid="{00000000-0005-0000-0000-0000E83C0000}"/>
    <cellStyle name="40% - Accent2 2 4 7 2 4" xfId="15852" xr:uid="{00000000-0005-0000-0000-0000E93C0000}"/>
    <cellStyle name="40% - Accent2 2 4 7 2 4 2" xfId="26895" xr:uid="{00000000-0005-0000-0000-0000EA3C0000}"/>
    <cellStyle name="40% - Accent2 2 4 7 2 4 3" xfId="35772" xr:uid="{00000000-0005-0000-0000-0000EB3C0000}"/>
    <cellStyle name="40% - Accent2 2 4 7 2 5" xfId="20238" xr:uid="{00000000-0005-0000-0000-0000EC3C0000}"/>
    <cellStyle name="40% - Accent2 2 4 7 2 6" xfId="29115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4" xr:uid="{00000000-0005-0000-0000-0000F03C0000}"/>
    <cellStyle name="40% - Accent2 2 4 7 3 2 3" xfId="30601" xr:uid="{00000000-0005-0000-0000-0000F13C0000}"/>
    <cellStyle name="40% - Accent2 2 4 7 3 3" xfId="12669" xr:uid="{00000000-0005-0000-0000-0000F23C0000}"/>
    <cellStyle name="40% - Accent2 2 4 7 3 3 2" xfId="23943" xr:uid="{00000000-0005-0000-0000-0000F33C0000}"/>
    <cellStyle name="40% - Accent2 2 4 7 3 3 3" xfId="32820" xr:uid="{00000000-0005-0000-0000-0000F43C0000}"/>
    <cellStyle name="40% - Accent2 2 4 7 3 4" xfId="15119" xr:uid="{00000000-0005-0000-0000-0000F53C0000}"/>
    <cellStyle name="40% - Accent2 2 4 7 3 4 2" xfId="26162" xr:uid="{00000000-0005-0000-0000-0000F63C0000}"/>
    <cellStyle name="40% - Accent2 2 4 7 3 4 3" xfId="35039" xr:uid="{00000000-0005-0000-0000-0000F73C0000}"/>
    <cellStyle name="40% - Accent2 2 4 7 3 5" xfId="19505" xr:uid="{00000000-0005-0000-0000-0000F83C0000}"/>
    <cellStyle name="40% - Accent2 2 4 7 3 6" xfId="28382" xr:uid="{00000000-0005-0000-0000-0000F93C0000}"/>
    <cellStyle name="40% - Accent2 2 4 7 4" xfId="9478" xr:uid="{00000000-0005-0000-0000-0000FA3C0000}"/>
    <cellStyle name="40% - Accent2 2 4 7 4 2" xfId="20981" xr:uid="{00000000-0005-0000-0000-0000FB3C0000}"/>
    <cellStyle name="40% - Accent2 2 4 7 4 3" xfId="29858" xr:uid="{00000000-0005-0000-0000-0000FC3C0000}"/>
    <cellStyle name="40% - Accent2 2 4 7 5" xfId="11926" xr:uid="{00000000-0005-0000-0000-0000FD3C0000}"/>
    <cellStyle name="40% - Accent2 2 4 7 5 2" xfId="23200" xr:uid="{00000000-0005-0000-0000-0000FE3C0000}"/>
    <cellStyle name="40% - Accent2 2 4 7 5 3" xfId="32077" xr:uid="{00000000-0005-0000-0000-0000FF3C0000}"/>
    <cellStyle name="40% - Accent2 2 4 7 6" xfId="14147" xr:uid="{00000000-0005-0000-0000-0000003D0000}"/>
    <cellStyle name="40% - Accent2 2 4 7 6 2" xfId="25419" xr:uid="{00000000-0005-0000-0000-0000013D0000}"/>
    <cellStyle name="40% - Accent2 2 4 7 6 3" xfId="34296" xr:uid="{00000000-0005-0000-0000-0000023D0000}"/>
    <cellStyle name="40% - Accent2 2 4 7 7" xfId="18756" xr:uid="{00000000-0005-0000-0000-0000033D0000}"/>
    <cellStyle name="40% - Accent2 2 4 7 8" xfId="27637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8" xr:uid="{00000000-0005-0000-0000-0000083D0000}"/>
    <cellStyle name="40% - Accent2 2 4 8 2 2 3" xfId="31335" xr:uid="{00000000-0005-0000-0000-0000093D0000}"/>
    <cellStyle name="40% - Accent2 2 4 8 2 3" xfId="13403" xr:uid="{00000000-0005-0000-0000-00000A3D0000}"/>
    <cellStyle name="40% - Accent2 2 4 8 2 3 2" xfId="24677" xr:uid="{00000000-0005-0000-0000-00000B3D0000}"/>
    <cellStyle name="40% - Accent2 2 4 8 2 3 3" xfId="33554" xr:uid="{00000000-0005-0000-0000-00000C3D0000}"/>
    <cellStyle name="40% - Accent2 2 4 8 2 4" xfId="15853" xr:uid="{00000000-0005-0000-0000-00000D3D0000}"/>
    <cellStyle name="40% - Accent2 2 4 8 2 4 2" xfId="26896" xr:uid="{00000000-0005-0000-0000-00000E3D0000}"/>
    <cellStyle name="40% - Accent2 2 4 8 2 4 3" xfId="35773" xr:uid="{00000000-0005-0000-0000-00000F3D0000}"/>
    <cellStyle name="40% - Accent2 2 4 8 2 5" xfId="20239" xr:uid="{00000000-0005-0000-0000-0000103D0000}"/>
    <cellStyle name="40% - Accent2 2 4 8 2 6" xfId="29116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5" xr:uid="{00000000-0005-0000-0000-0000143D0000}"/>
    <cellStyle name="40% - Accent2 2 4 8 3 2 3" xfId="30602" xr:uid="{00000000-0005-0000-0000-0000153D0000}"/>
    <cellStyle name="40% - Accent2 2 4 8 3 3" xfId="12670" xr:uid="{00000000-0005-0000-0000-0000163D0000}"/>
    <cellStyle name="40% - Accent2 2 4 8 3 3 2" xfId="23944" xr:uid="{00000000-0005-0000-0000-0000173D0000}"/>
    <cellStyle name="40% - Accent2 2 4 8 3 3 3" xfId="32821" xr:uid="{00000000-0005-0000-0000-0000183D0000}"/>
    <cellStyle name="40% - Accent2 2 4 8 3 4" xfId="15120" xr:uid="{00000000-0005-0000-0000-0000193D0000}"/>
    <cellStyle name="40% - Accent2 2 4 8 3 4 2" xfId="26163" xr:uid="{00000000-0005-0000-0000-00001A3D0000}"/>
    <cellStyle name="40% - Accent2 2 4 8 3 4 3" xfId="35040" xr:uid="{00000000-0005-0000-0000-00001B3D0000}"/>
    <cellStyle name="40% - Accent2 2 4 8 3 5" xfId="19506" xr:uid="{00000000-0005-0000-0000-00001C3D0000}"/>
    <cellStyle name="40% - Accent2 2 4 8 3 6" xfId="28383" xr:uid="{00000000-0005-0000-0000-00001D3D0000}"/>
    <cellStyle name="40% - Accent2 2 4 8 4" xfId="9479" xr:uid="{00000000-0005-0000-0000-00001E3D0000}"/>
    <cellStyle name="40% - Accent2 2 4 8 4 2" xfId="20982" xr:uid="{00000000-0005-0000-0000-00001F3D0000}"/>
    <cellStyle name="40% - Accent2 2 4 8 4 3" xfId="29859" xr:uid="{00000000-0005-0000-0000-0000203D0000}"/>
    <cellStyle name="40% - Accent2 2 4 8 5" xfId="11927" xr:uid="{00000000-0005-0000-0000-0000213D0000}"/>
    <cellStyle name="40% - Accent2 2 4 8 5 2" xfId="23201" xr:uid="{00000000-0005-0000-0000-0000223D0000}"/>
    <cellStyle name="40% - Accent2 2 4 8 5 3" xfId="32078" xr:uid="{00000000-0005-0000-0000-0000233D0000}"/>
    <cellStyle name="40% - Accent2 2 4 8 6" xfId="14148" xr:uid="{00000000-0005-0000-0000-0000243D0000}"/>
    <cellStyle name="40% - Accent2 2 4 8 6 2" xfId="25420" xr:uid="{00000000-0005-0000-0000-0000253D0000}"/>
    <cellStyle name="40% - Accent2 2 4 8 6 3" xfId="34297" xr:uid="{00000000-0005-0000-0000-0000263D0000}"/>
    <cellStyle name="40% - Accent2 2 4 8 7" xfId="18757" xr:uid="{00000000-0005-0000-0000-0000273D0000}"/>
    <cellStyle name="40% - Accent2 2 4 8 8" xfId="27638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59" xr:uid="{00000000-0005-0000-0000-00002C3D0000}"/>
    <cellStyle name="40% - Accent2 2 4 9 2 2 3" xfId="31336" xr:uid="{00000000-0005-0000-0000-00002D3D0000}"/>
    <cellStyle name="40% - Accent2 2 4 9 2 3" xfId="13404" xr:uid="{00000000-0005-0000-0000-00002E3D0000}"/>
    <cellStyle name="40% - Accent2 2 4 9 2 3 2" xfId="24678" xr:uid="{00000000-0005-0000-0000-00002F3D0000}"/>
    <cellStyle name="40% - Accent2 2 4 9 2 3 3" xfId="33555" xr:uid="{00000000-0005-0000-0000-0000303D0000}"/>
    <cellStyle name="40% - Accent2 2 4 9 2 4" xfId="15854" xr:uid="{00000000-0005-0000-0000-0000313D0000}"/>
    <cellStyle name="40% - Accent2 2 4 9 2 4 2" xfId="26897" xr:uid="{00000000-0005-0000-0000-0000323D0000}"/>
    <cellStyle name="40% - Accent2 2 4 9 2 4 3" xfId="35774" xr:uid="{00000000-0005-0000-0000-0000333D0000}"/>
    <cellStyle name="40% - Accent2 2 4 9 2 5" xfId="20240" xr:uid="{00000000-0005-0000-0000-0000343D0000}"/>
    <cellStyle name="40% - Accent2 2 4 9 2 6" xfId="29117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6" xr:uid="{00000000-0005-0000-0000-0000383D0000}"/>
    <cellStyle name="40% - Accent2 2 4 9 3 2 3" xfId="30603" xr:uid="{00000000-0005-0000-0000-0000393D0000}"/>
    <cellStyle name="40% - Accent2 2 4 9 3 3" xfId="12671" xr:uid="{00000000-0005-0000-0000-00003A3D0000}"/>
    <cellStyle name="40% - Accent2 2 4 9 3 3 2" xfId="23945" xr:uid="{00000000-0005-0000-0000-00003B3D0000}"/>
    <cellStyle name="40% - Accent2 2 4 9 3 3 3" xfId="32822" xr:uid="{00000000-0005-0000-0000-00003C3D0000}"/>
    <cellStyle name="40% - Accent2 2 4 9 3 4" xfId="15121" xr:uid="{00000000-0005-0000-0000-00003D3D0000}"/>
    <cellStyle name="40% - Accent2 2 4 9 3 4 2" xfId="26164" xr:uid="{00000000-0005-0000-0000-00003E3D0000}"/>
    <cellStyle name="40% - Accent2 2 4 9 3 4 3" xfId="35041" xr:uid="{00000000-0005-0000-0000-00003F3D0000}"/>
    <cellStyle name="40% - Accent2 2 4 9 3 5" xfId="19507" xr:uid="{00000000-0005-0000-0000-0000403D0000}"/>
    <cellStyle name="40% - Accent2 2 4 9 3 6" xfId="28384" xr:uid="{00000000-0005-0000-0000-0000413D0000}"/>
    <cellStyle name="40% - Accent2 2 4 9 4" xfId="9480" xr:uid="{00000000-0005-0000-0000-0000423D0000}"/>
    <cellStyle name="40% - Accent2 2 4 9 4 2" xfId="20983" xr:uid="{00000000-0005-0000-0000-0000433D0000}"/>
    <cellStyle name="40% - Accent2 2 4 9 4 3" xfId="29860" xr:uid="{00000000-0005-0000-0000-0000443D0000}"/>
    <cellStyle name="40% - Accent2 2 4 9 5" xfId="11928" xr:uid="{00000000-0005-0000-0000-0000453D0000}"/>
    <cellStyle name="40% - Accent2 2 4 9 5 2" xfId="23202" xr:uid="{00000000-0005-0000-0000-0000463D0000}"/>
    <cellStyle name="40% - Accent2 2 4 9 5 3" xfId="32079" xr:uid="{00000000-0005-0000-0000-0000473D0000}"/>
    <cellStyle name="40% - Accent2 2 4 9 6" xfId="14149" xr:uid="{00000000-0005-0000-0000-0000483D0000}"/>
    <cellStyle name="40% - Accent2 2 4 9 6 2" xfId="25421" xr:uid="{00000000-0005-0000-0000-0000493D0000}"/>
    <cellStyle name="40% - Accent2 2 4 9 6 3" xfId="34298" xr:uid="{00000000-0005-0000-0000-00004A3D0000}"/>
    <cellStyle name="40% - Accent2 2 4 9 7" xfId="18758" xr:uid="{00000000-0005-0000-0000-00004B3D0000}"/>
    <cellStyle name="40% - Accent2 2 4 9 8" xfId="27639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2" xr:uid="{00000000-0005-0000-0000-00004F3D0000}"/>
    <cellStyle name="40% - Accent2 2 5 10 3" xfId="34299" xr:uid="{00000000-0005-0000-0000-0000503D0000}"/>
    <cellStyle name="40% - Accent2 2 5 11" xfId="18759" xr:uid="{00000000-0005-0000-0000-0000513D0000}"/>
    <cellStyle name="40% - Accent2 2 5 12" xfId="27640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1" xr:uid="{00000000-0005-0000-0000-0000563D0000}"/>
    <cellStyle name="40% - Accent2 2 5 2 2 2 3" xfId="31338" xr:uid="{00000000-0005-0000-0000-0000573D0000}"/>
    <cellStyle name="40% - Accent2 2 5 2 2 3" xfId="13406" xr:uid="{00000000-0005-0000-0000-0000583D0000}"/>
    <cellStyle name="40% - Accent2 2 5 2 2 3 2" xfId="24680" xr:uid="{00000000-0005-0000-0000-0000593D0000}"/>
    <cellStyle name="40% - Accent2 2 5 2 2 3 3" xfId="33557" xr:uid="{00000000-0005-0000-0000-00005A3D0000}"/>
    <cellStyle name="40% - Accent2 2 5 2 2 4" xfId="15856" xr:uid="{00000000-0005-0000-0000-00005B3D0000}"/>
    <cellStyle name="40% - Accent2 2 5 2 2 4 2" xfId="26899" xr:uid="{00000000-0005-0000-0000-00005C3D0000}"/>
    <cellStyle name="40% - Accent2 2 5 2 2 4 3" xfId="35776" xr:uid="{00000000-0005-0000-0000-00005D3D0000}"/>
    <cellStyle name="40% - Accent2 2 5 2 2 5" xfId="20242" xr:uid="{00000000-0005-0000-0000-00005E3D0000}"/>
    <cellStyle name="40% - Accent2 2 5 2 2 6" xfId="29119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8" xr:uid="{00000000-0005-0000-0000-0000623D0000}"/>
    <cellStyle name="40% - Accent2 2 5 2 3 2 3" xfId="30605" xr:uid="{00000000-0005-0000-0000-0000633D0000}"/>
    <cellStyle name="40% - Accent2 2 5 2 3 3" xfId="12673" xr:uid="{00000000-0005-0000-0000-0000643D0000}"/>
    <cellStyle name="40% - Accent2 2 5 2 3 3 2" xfId="23947" xr:uid="{00000000-0005-0000-0000-0000653D0000}"/>
    <cellStyle name="40% - Accent2 2 5 2 3 3 3" xfId="32824" xr:uid="{00000000-0005-0000-0000-0000663D0000}"/>
    <cellStyle name="40% - Accent2 2 5 2 3 4" xfId="15123" xr:uid="{00000000-0005-0000-0000-0000673D0000}"/>
    <cellStyle name="40% - Accent2 2 5 2 3 4 2" xfId="26166" xr:uid="{00000000-0005-0000-0000-0000683D0000}"/>
    <cellStyle name="40% - Accent2 2 5 2 3 4 3" xfId="35043" xr:uid="{00000000-0005-0000-0000-0000693D0000}"/>
    <cellStyle name="40% - Accent2 2 5 2 3 5" xfId="19509" xr:uid="{00000000-0005-0000-0000-00006A3D0000}"/>
    <cellStyle name="40% - Accent2 2 5 2 3 6" xfId="28386" xr:uid="{00000000-0005-0000-0000-00006B3D0000}"/>
    <cellStyle name="40% - Accent2 2 5 2 4" xfId="9482" xr:uid="{00000000-0005-0000-0000-00006C3D0000}"/>
    <cellStyle name="40% - Accent2 2 5 2 4 2" xfId="20985" xr:uid="{00000000-0005-0000-0000-00006D3D0000}"/>
    <cellStyle name="40% - Accent2 2 5 2 4 3" xfId="29862" xr:uid="{00000000-0005-0000-0000-00006E3D0000}"/>
    <cellStyle name="40% - Accent2 2 5 2 5" xfId="11930" xr:uid="{00000000-0005-0000-0000-00006F3D0000}"/>
    <cellStyle name="40% - Accent2 2 5 2 5 2" xfId="23204" xr:uid="{00000000-0005-0000-0000-0000703D0000}"/>
    <cellStyle name="40% - Accent2 2 5 2 5 3" xfId="32081" xr:uid="{00000000-0005-0000-0000-0000713D0000}"/>
    <cellStyle name="40% - Accent2 2 5 2 6" xfId="14151" xr:uid="{00000000-0005-0000-0000-0000723D0000}"/>
    <cellStyle name="40% - Accent2 2 5 2 6 2" xfId="25423" xr:uid="{00000000-0005-0000-0000-0000733D0000}"/>
    <cellStyle name="40% - Accent2 2 5 2 6 3" xfId="34300" xr:uid="{00000000-0005-0000-0000-0000743D0000}"/>
    <cellStyle name="40% - Accent2 2 5 2 7" xfId="18760" xr:uid="{00000000-0005-0000-0000-0000753D0000}"/>
    <cellStyle name="40% - Accent2 2 5 2 8" xfId="27641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2" xr:uid="{00000000-0005-0000-0000-00007A3D0000}"/>
    <cellStyle name="40% - Accent2 2 5 3 2 2 3" xfId="31339" xr:uid="{00000000-0005-0000-0000-00007B3D0000}"/>
    <cellStyle name="40% - Accent2 2 5 3 2 3" xfId="13407" xr:uid="{00000000-0005-0000-0000-00007C3D0000}"/>
    <cellStyle name="40% - Accent2 2 5 3 2 3 2" xfId="24681" xr:uid="{00000000-0005-0000-0000-00007D3D0000}"/>
    <cellStyle name="40% - Accent2 2 5 3 2 3 3" xfId="33558" xr:uid="{00000000-0005-0000-0000-00007E3D0000}"/>
    <cellStyle name="40% - Accent2 2 5 3 2 4" xfId="15857" xr:uid="{00000000-0005-0000-0000-00007F3D0000}"/>
    <cellStyle name="40% - Accent2 2 5 3 2 4 2" xfId="26900" xr:uid="{00000000-0005-0000-0000-0000803D0000}"/>
    <cellStyle name="40% - Accent2 2 5 3 2 4 3" xfId="35777" xr:uid="{00000000-0005-0000-0000-0000813D0000}"/>
    <cellStyle name="40% - Accent2 2 5 3 2 5" xfId="20243" xr:uid="{00000000-0005-0000-0000-0000823D0000}"/>
    <cellStyle name="40% - Accent2 2 5 3 2 6" xfId="29120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29" xr:uid="{00000000-0005-0000-0000-0000863D0000}"/>
    <cellStyle name="40% - Accent2 2 5 3 3 2 3" xfId="30606" xr:uid="{00000000-0005-0000-0000-0000873D0000}"/>
    <cellStyle name="40% - Accent2 2 5 3 3 3" xfId="12674" xr:uid="{00000000-0005-0000-0000-0000883D0000}"/>
    <cellStyle name="40% - Accent2 2 5 3 3 3 2" xfId="23948" xr:uid="{00000000-0005-0000-0000-0000893D0000}"/>
    <cellStyle name="40% - Accent2 2 5 3 3 3 3" xfId="32825" xr:uid="{00000000-0005-0000-0000-00008A3D0000}"/>
    <cellStyle name="40% - Accent2 2 5 3 3 4" xfId="15124" xr:uid="{00000000-0005-0000-0000-00008B3D0000}"/>
    <cellStyle name="40% - Accent2 2 5 3 3 4 2" xfId="26167" xr:uid="{00000000-0005-0000-0000-00008C3D0000}"/>
    <cellStyle name="40% - Accent2 2 5 3 3 4 3" xfId="35044" xr:uid="{00000000-0005-0000-0000-00008D3D0000}"/>
    <cellStyle name="40% - Accent2 2 5 3 3 5" xfId="19510" xr:uid="{00000000-0005-0000-0000-00008E3D0000}"/>
    <cellStyle name="40% - Accent2 2 5 3 3 6" xfId="28387" xr:uid="{00000000-0005-0000-0000-00008F3D0000}"/>
    <cellStyle name="40% - Accent2 2 5 3 4" xfId="9483" xr:uid="{00000000-0005-0000-0000-0000903D0000}"/>
    <cellStyle name="40% - Accent2 2 5 3 4 2" xfId="20986" xr:uid="{00000000-0005-0000-0000-0000913D0000}"/>
    <cellStyle name="40% - Accent2 2 5 3 4 3" xfId="29863" xr:uid="{00000000-0005-0000-0000-0000923D0000}"/>
    <cellStyle name="40% - Accent2 2 5 3 5" xfId="11931" xr:uid="{00000000-0005-0000-0000-0000933D0000}"/>
    <cellStyle name="40% - Accent2 2 5 3 5 2" xfId="23205" xr:uid="{00000000-0005-0000-0000-0000943D0000}"/>
    <cellStyle name="40% - Accent2 2 5 3 5 3" xfId="32082" xr:uid="{00000000-0005-0000-0000-0000953D0000}"/>
    <cellStyle name="40% - Accent2 2 5 3 6" xfId="14152" xr:uid="{00000000-0005-0000-0000-0000963D0000}"/>
    <cellStyle name="40% - Accent2 2 5 3 6 2" xfId="25424" xr:uid="{00000000-0005-0000-0000-0000973D0000}"/>
    <cellStyle name="40% - Accent2 2 5 3 6 3" xfId="34301" xr:uid="{00000000-0005-0000-0000-0000983D0000}"/>
    <cellStyle name="40% - Accent2 2 5 3 7" xfId="18761" xr:uid="{00000000-0005-0000-0000-0000993D0000}"/>
    <cellStyle name="40% - Accent2 2 5 3 8" xfId="27642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3" xr:uid="{00000000-0005-0000-0000-00009E3D0000}"/>
    <cellStyle name="40% - Accent2 2 5 4 2 2 3" xfId="31340" xr:uid="{00000000-0005-0000-0000-00009F3D0000}"/>
    <cellStyle name="40% - Accent2 2 5 4 2 3" xfId="13408" xr:uid="{00000000-0005-0000-0000-0000A03D0000}"/>
    <cellStyle name="40% - Accent2 2 5 4 2 3 2" xfId="24682" xr:uid="{00000000-0005-0000-0000-0000A13D0000}"/>
    <cellStyle name="40% - Accent2 2 5 4 2 3 3" xfId="33559" xr:uid="{00000000-0005-0000-0000-0000A23D0000}"/>
    <cellStyle name="40% - Accent2 2 5 4 2 4" xfId="15858" xr:uid="{00000000-0005-0000-0000-0000A33D0000}"/>
    <cellStyle name="40% - Accent2 2 5 4 2 4 2" xfId="26901" xr:uid="{00000000-0005-0000-0000-0000A43D0000}"/>
    <cellStyle name="40% - Accent2 2 5 4 2 4 3" xfId="35778" xr:uid="{00000000-0005-0000-0000-0000A53D0000}"/>
    <cellStyle name="40% - Accent2 2 5 4 2 5" xfId="20244" xr:uid="{00000000-0005-0000-0000-0000A63D0000}"/>
    <cellStyle name="40% - Accent2 2 5 4 2 6" xfId="29121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0" xr:uid="{00000000-0005-0000-0000-0000AA3D0000}"/>
    <cellStyle name="40% - Accent2 2 5 4 3 2 3" xfId="30607" xr:uid="{00000000-0005-0000-0000-0000AB3D0000}"/>
    <cellStyle name="40% - Accent2 2 5 4 3 3" xfId="12675" xr:uid="{00000000-0005-0000-0000-0000AC3D0000}"/>
    <cellStyle name="40% - Accent2 2 5 4 3 3 2" xfId="23949" xr:uid="{00000000-0005-0000-0000-0000AD3D0000}"/>
    <cellStyle name="40% - Accent2 2 5 4 3 3 3" xfId="32826" xr:uid="{00000000-0005-0000-0000-0000AE3D0000}"/>
    <cellStyle name="40% - Accent2 2 5 4 3 4" xfId="15125" xr:uid="{00000000-0005-0000-0000-0000AF3D0000}"/>
    <cellStyle name="40% - Accent2 2 5 4 3 4 2" xfId="26168" xr:uid="{00000000-0005-0000-0000-0000B03D0000}"/>
    <cellStyle name="40% - Accent2 2 5 4 3 4 3" xfId="35045" xr:uid="{00000000-0005-0000-0000-0000B13D0000}"/>
    <cellStyle name="40% - Accent2 2 5 4 3 5" xfId="19511" xr:uid="{00000000-0005-0000-0000-0000B23D0000}"/>
    <cellStyle name="40% - Accent2 2 5 4 3 6" xfId="28388" xr:uid="{00000000-0005-0000-0000-0000B33D0000}"/>
    <cellStyle name="40% - Accent2 2 5 4 4" xfId="9484" xr:uid="{00000000-0005-0000-0000-0000B43D0000}"/>
    <cellStyle name="40% - Accent2 2 5 4 4 2" xfId="20987" xr:uid="{00000000-0005-0000-0000-0000B53D0000}"/>
    <cellStyle name="40% - Accent2 2 5 4 4 3" xfId="29864" xr:uid="{00000000-0005-0000-0000-0000B63D0000}"/>
    <cellStyle name="40% - Accent2 2 5 4 5" xfId="11932" xr:uid="{00000000-0005-0000-0000-0000B73D0000}"/>
    <cellStyle name="40% - Accent2 2 5 4 5 2" xfId="23206" xr:uid="{00000000-0005-0000-0000-0000B83D0000}"/>
    <cellStyle name="40% - Accent2 2 5 4 5 3" xfId="32083" xr:uid="{00000000-0005-0000-0000-0000B93D0000}"/>
    <cellStyle name="40% - Accent2 2 5 4 6" xfId="14153" xr:uid="{00000000-0005-0000-0000-0000BA3D0000}"/>
    <cellStyle name="40% - Accent2 2 5 4 6 2" xfId="25425" xr:uid="{00000000-0005-0000-0000-0000BB3D0000}"/>
    <cellStyle name="40% - Accent2 2 5 4 6 3" xfId="34302" xr:uid="{00000000-0005-0000-0000-0000BC3D0000}"/>
    <cellStyle name="40% - Accent2 2 5 4 7" xfId="18762" xr:uid="{00000000-0005-0000-0000-0000BD3D0000}"/>
    <cellStyle name="40% - Accent2 2 5 4 8" xfId="27643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4" xr:uid="{00000000-0005-0000-0000-0000C23D0000}"/>
    <cellStyle name="40% - Accent2 2 5 5 2 2 3" xfId="31341" xr:uid="{00000000-0005-0000-0000-0000C33D0000}"/>
    <cellStyle name="40% - Accent2 2 5 5 2 3" xfId="13409" xr:uid="{00000000-0005-0000-0000-0000C43D0000}"/>
    <cellStyle name="40% - Accent2 2 5 5 2 3 2" xfId="24683" xr:uid="{00000000-0005-0000-0000-0000C53D0000}"/>
    <cellStyle name="40% - Accent2 2 5 5 2 3 3" xfId="33560" xr:uid="{00000000-0005-0000-0000-0000C63D0000}"/>
    <cellStyle name="40% - Accent2 2 5 5 2 4" xfId="15859" xr:uid="{00000000-0005-0000-0000-0000C73D0000}"/>
    <cellStyle name="40% - Accent2 2 5 5 2 4 2" xfId="26902" xr:uid="{00000000-0005-0000-0000-0000C83D0000}"/>
    <cellStyle name="40% - Accent2 2 5 5 2 4 3" xfId="35779" xr:uid="{00000000-0005-0000-0000-0000C93D0000}"/>
    <cellStyle name="40% - Accent2 2 5 5 2 5" xfId="20245" xr:uid="{00000000-0005-0000-0000-0000CA3D0000}"/>
    <cellStyle name="40% - Accent2 2 5 5 2 6" xfId="29122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1" xr:uid="{00000000-0005-0000-0000-0000CE3D0000}"/>
    <cellStyle name="40% - Accent2 2 5 5 3 2 3" xfId="30608" xr:uid="{00000000-0005-0000-0000-0000CF3D0000}"/>
    <cellStyle name="40% - Accent2 2 5 5 3 3" xfId="12676" xr:uid="{00000000-0005-0000-0000-0000D03D0000}"/>
    <cellStyle name="40% - Accent2 2 5 5 3 3 2" xfId="23950" xr:uid="{00000000-0005-0000-0000-0000D13D0000}"/>
    <cellStyle name="40% - Accent2 2 5 5 3 3 3" xfId="32827" xr:uid="{00000000-0005-0000-0000-0000D23D0000}"/>
    <cellStyle name="40% - Accent2 2 5 5 3 4" xfId="15126" xr:uid="{00000000-0005-0000-0000-0000D33D0000}"/>
    <cellStyle name="40% - Accent2 2 5 5 3 4 2" xfId="26169" xr:uid="{00000000-0005-0000-0000-0000D43D0000}"/>
    <cellStyle name="40% - Accent2 2 5 5 3 4 3" xfId="35046" xr:uid="{00000000-0005-0000-0000-0000D53D0000}"/>
    <cellStyle name="40% - Accent2 2 5 5 3 5" xfId="19512" xr:uid="{00000000-0005-0000-0000-0000D63D0000}"/>
    <cellStyle name="40% - Accent2 2 5 5 3 6" xfId="28389" xr:uid="{00000000-0005-0000-0000-0000D73D0000}"/>
    <cellStyle name="40% - Accent2 2 5 5 4" xfId="9485" xr:uid="{00000000-0005-0000-0000-0000D83D0000}"/>
    <cellStyle name="40% - Accent2 2 5 5 4 2" xfId="20988" xr:uid="{00000000-0005-0000-0000-0000D93D0000}"/>
    <cellStyle name="40% - Accent2 2 5 5 4 3" xfId="29865" xr:uid="{00000000-0005-0000-0000-0000DA3D0000}"/>
    <cellStyle name="40% - Accent2 2 5 5 5" xfId="11933" xr:uid="{00000000-0005-0000-0000-0000DB3D0000}"/>
    <cellStyle name="40% - Accent2 2 5 5 5 2" xfId="23207" xr:uid="{00000000-0005-0000-0000-0000DC3D0000}"/>
    <cellStyle name="40% - Accent2 2 5 5 5 3" xfId="32084" xr:uid="{00000000-0005-0000-0000-0000DD3D0000}"/>
    <cellStyle name="40% - Accent2 2 5 5 6" xfId="14154" xr:uid="{00000000-0005-0000-0000-0000DE3D0000}"/>
    <cellStyle name="40% - Accent2 2 5 5 6 2" xfId="25426" xr:uid="{00000000-0005-0000-0000-0000DF3D0000}"/>
    <cellStyle name="40% - Accent2 2 5 5 6 3" xfId="34303" xr:uid="{00000000-0005-0000-0000-0000E03D0000}"/>
    <cellStyle name="40% - Accent2 2 5 5 7" xfId="18763" xr:uid="{00000000-0005-0000-0000-0000E13D0000}"/>
    <cellStyle name="40% - Accent2 2 5 5 8" xfId="27644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0" xr:uid="{00000000-0005-0000-0000-0000E53D0000}"/>
    <cellStyle name="40% - Accent2 2 5 6 2 3" xfId="31337" xr:uid="{00000000-0005-0000-0000-0000E63D0000}"/>
    <cellStyle name="40% - Accent2 2 5 6 3" xfId="13405" xr:uid="{00000000-0005-0000-0000-0000E73D0000}"/>
    <cellStyle name="40% - Accent2 2 5 6 3 2" xfId="24679" xr:uid="{00000000-0005-0000-0000-0000E83D0000}"/>
    <cellStyle name="40% - Accent2 2 5 6 3 3" xfId="33556" xr:uid="{00000000-0005-0000-0000-0000E93D0000}"/>
    <cellStyle name="40% - Accent2 2 5 6 4" xfId="15855" xr:uid="{00000000-0005-0000-0000-0000EA3D0000}"/>
    <cellStyle name="40% - Accent2 2 5 6 4 2" xfId="26898" xr:uid="{00000000-0005-0000-0000-0000EB3D0000}"/>
    <cellStyle name="40% - Accent2 2 5 6 4 3" xfId="35775" xr:uid="{00000000-0005-0000-0000-0000EC3D0000}"/>
    <cellStyle name="40% - Accent2 2 5 6 5" xfId="20241" xr:uid="{00000000-0005-0000-0000-0000ED3D0000}"/>
    <cellStyle name="40% - Accent2 2 5 6 6" xfId="29118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7" xr:uid="{00000000-0005-0000-0000-0000F13D0000}"/>
    <cellStyle name="40% - Accent2 2 5 7 2 3" xfId="30604" xr:uid="{00000000-0005-0000-0000-0000F23D0000}"/>
    <cellStyle name="40% - Accent2 2 5 7 3" xfId="12672" xr:uid="{00000000-0005-0000-0000-0000F33D0000}"/>
    <cellStyle name="40% - Accent2 2 5 7 3 2" xfId="23946" xr:uid="{00000000-0005-0000-0000-0000F43D0000}"/>
    <cellStyle name="40% - Accent2 2 5 7 3 3" xfId="32823" xr:uid="{00000000-0005-0000-0000-0000F53D0000}"/>
    <cellStyle name="40% - Accent2 2 5 7 4" xfId="15122" xr:uid="{00000000-0005-0000-0000-0000F63D0000}"/>
    <cellStyle name="40% - Accent2 2 5 7 4 2" xfId="26165" xr:uid="{00000000-0005-0000-0000-0000F73D0000}"/>
    <cellStyle name="40% - Accent2 2 5 7 4 3" xfId="35042" xr:uid="{00000000-0005-0000-0000-0000F83D0000}"/>
    <cellStyle name="40% - Accent2 2 5 7 5" xfId="19508" xr:uid="{00000000-0005-0000-0000-0000F93D0000}"/>
    <cellStyle name="40% - Accent2 2 5 7 6" xfId="28385" xr:uid="{00000000-0005-0000-0000-0000FA3D0000}"/>
    <cellStyle name="40% - Accent2 2 5 8" xfId="9481" xr:uid="{00000000-0005-0000-0000-0000FB3D0000}"/>
    <cellStyle name="40% - Accent2 2 5 8 2" xfId="20984" xr:uid="{00000000-0005-0000-0000-0000FC3D0000}"/>
    <cellStyle name="40% - Accent2 2 5 8 3" xfId="29861" xr:uid="{00000000-0005-0000-0000-0000FD3D0000}"/>
    <cellStyle name="40% - Accent2 2 5 9" xfId="11929" xr:uid="{00000000-0005-0000-0000-0000FE3D0000}"/>
    <cellStyle name="40% - Accent2 2 5 9 2" xfId="23203" xr:uid="{00000000-0005-0000-0000-0000FF3D0000}"/>
    <cellStyle name="40% - Accent2 2 5 9 3" xfId="32080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7" xr:uid="{00000000-0005-0000-0000-0000033E0000}"/>
    <cellStyle name="40% - Accent2 2 6 10 3" xfId="34304" xr:uid="{00000000-0005-0000-0000-0000043E0000}"/>
    <cellStyle name="40% - Accent2 2 6 11" xfId="18764" xr:uid="{00000000-0005-0000-0000-0000053E0000}"/>
    <cellStyle name="40% - Accent2 2 6 12" xfId="27645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6" xr:uid="{00000000-0005-0000-0000-00000A3E0000}"/>
    <cellStyle name="40% - Accent2 2 6 2 2 2 3" xfId="31343" xr:uid="{00000000-0005-0000-0000-00000B3E0000}"/>
    <cellStyle name="40% - Accent2 2 6 2 2 3" xfId="13411" xr:uid="{00000000-0005-0000-0000-00000C3E0000}"/>
    <cellStyle name="40% - Accent2 2 6 2 2 3 2" xfId="24685" xr:uid="{00000000-0005-0000-0000-00000D3E0000}"/>
    <cellStyle name="40% - Accent2 2 6 2 2 3 3" xfId="33562" xr:uid="{00000000-0005-0000-0000-00000E3E0000}"/>
    <cellStyle name="40% - Accent2 2 6 2 2 4" xfId="15861" xr:uid="{00000000-0005-0000-0000-00000F3E0000}"/>
    <cellStyle name="40% - Accent2 2 6 2 2 4 2" xfId="26904" xr:uid="{00000000-0005-0000-0000-0000103E0000}"/>
    <cellStyle name="40% - Accent2 2 6 2 2 4 3" xfId="35781" xr:uid="{00000000-0005-0000-0000-0000113E0000}"/>
    <cellStyle name="40% - Accent2 2 6 2 2 5" xfId="20247" xr:uid="{00000000-0005-0000-0000-0000123E0000}"/>
    <cellStyle name="40% - Accent2 2 6 2 2 6" xfId="29124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3" xr:uid="{00000000-0005-0000-0000-0000163E0000}"/>
    <cellStyle name="40% - Accent2 2 6 2 3 2 3" xfId="30610" xr:uid="{00000000-0005-0000-0000-0000173E0000}"/>
    <cellStyle name="40% - Accent2 2 6 2 3 3" xfId="12678" xr:uid="{00000000-0005-0000-0000-0000183E0000}"/>
    <cellStyle name="40% - Accent2 2 6 2 3 3 2" xfId="23952" xr:uid="{00000000-0005-0000-0000-0000193E0000}"/>
    <cellStyle name="40% - Accent2 2 6 2 3 3 3" xfId="32829" xr:uid="{00000000-0005-0000-0000-00001A3E0000}"/>
    <cellStyle name="40% - Accent2 2 6 2 3 4" xfId="15128" xr:uid="{00000000-0005-0000-0000-00001B3E0000}"/>
    <cellStyle name="40% - Accent2 2 6 2 3 4 2" xfId="26171" xr:uid="{00000000-0005-0000-0000-00001C3E0000}"/>
    <cellStyle name="40% - Accent2 2 6 2 3 4 3" xfId="35048" xr:uid="{00000000-0005-0000-0000-00001D3E0000}"/>
    <cellStyle name="40% - Accent2 2 6 2 3 5" xfId="19514" xr:uid="{00000000-0005-0000-0000-00001E3E0000}"/>
    <cellStyle name="40% - Accent2 2 6 2 3 6" xfId="28391" xr:uid="{00000000-0005-0000-0000-00001F3E0000}"/>
    <cellStyle name="40% - Accent2 2 6 2 4" xfId="9487" xr:uid="{00000000-0005-0000-0000-0000203E0000}"/>
    <cellStyle name="40% - Accent2 2 6 2 4 2" xfId="20990" xr:uid="{00000000-0005-0000-0000-0000213E0000}"/>
    <cellStyle name="40% - Accent2 2 6 2 4 3" xfId="29867" xr:uid="{00000000-0005-0000-0000-0000223E0000}"/>
    <cellStyle name="40% - Accent2 2 6 2 5" xfId="11935" xr:uid="{00000000-0005-0000-0000-0000233E0000}"/>
    <cellStyle name="40% - Accent2 2 6 2 5 2" xfId="23209" xr:uid="{00000000-0005-0000-0000-0000243E0000}"/>
    <cellStyle name="40% - Accent2 2 6 2 5 3" xfId="32086" xr:uid="{00000000-0005-0000-0000-0000253E0000}"/>
    <cellStyle name="40% - Accent2 2 6 2 6" xfId="14156" xr:uid="{00000000-0005-0000-0000-0000263E0000}"/>
    <cellStyle name="40% - Accent2 2 6 2 6 2" xfId="25428" xr:uid="{00000000-0005-0000-0000-0000273E0000}"/>
    <cellStyle name="40% - Accent2 2 6 2 6 3" xfId="34305" xr:uid="{00000000-0005-0000-0000-0000283E0000}"/>
    <cellStyle name="40% - Accent2 2 6 2 7" xfId="18765" xr:uid="{00000000-0005-0000-0000-0000293E0000}"/>
    <cellStyle name="40% - Accent2 2 6 2 8" xfId="27646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7" xr:uid="{00000000-0005-0000-0000-00002E3E0000}"/>
    <cellStyle name="40% - Accent2 2 6 3 2 2 3" xfId="31344" xr:uid="{00000000-0005-0000-0000-00002F3E0000}"/>
    <cellStyle name="40% - Accent2 2 6 3 2 3" xfId="13412" xr:uid="{00000000-0005-0000-0000-0000303E0000}"/>
    <cellStyle name="40% - Accent2 2 6 3 2 3 2" xfId="24686" xr:uid="{00000000-0005-0000-0000-0000313E0000}"/>
    <cellStyle name="40% - Accent2 2 6 3 2 3 3" xfId="33563" xr:uid="{00000000-0005-0000-0000-0000323E0000}"/>
    <cellStyle name="40% - Accent2 2 6 3 2 4" xfId="15862" xr:uid="{00000000-0005-0000-0000-0000333E0000}"/>
    <cellStyle name="40% - Accent2 2 6 3 2 4 2" xfId="26905" xr:uid="{00000000-0005-0000-0000-0000343E0000}"/>
    <cellStyle name="40% - Accent2 2 6 3 2 4 3" xfId="35782" xr:uid="{00000000-0005-0000-0000-0000353E0000}"/>
    <cellStyle name="40% - Accent2 2 6 3 2 5" xfId="20248" xr:uid="{00000000-0005-0000-0000-0000363E0000}"/>
    <cellStyle name="40% - Accent2 2 6 3 2 6" xfId="29125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4" xr:uid="{00000000-0005-0000-0000-00003A3E0000}"/>
    <cellStyle name="40% - Accent2 2 6 3 3 2 3" xfId="30611" xr:uid="{00000000-0005-0000-0000-00003B3E0000}"/>
    <cellStyle name="40% - Accent2 2 6 3 3 3" xfId="12679" xr:uid="{00000000-0005-0000-0000-00003C3E0000}"/>
    <cellStyle name="40% - Accent2 2 6 3 3 3 2" xfId="23953" xr:uid="{00000000-0005-0000-0000-00003D3E0000}"/>
    <cellStyle name="40% - Accent2 2 6 3 3 3 3" xfId="32830" xr:uid="{00000000-0005-0000-0000-00003E3E0000}"/>
    <cellStyle name="40% - Accent2 2 6 3 3 4" xfId="15129" xr:uid="{00000000-0005-0000-0000-00003F3E0000}"/>
    <cellStyle name="40% - Accent2 2 6 3 3 4 2" xfId="26172" xr:uid="{00000000-0005-0000-0000-0000403E0000}"/>
    <cellStyle name="40% - Accent2 2 6 3 3 4 3" xfId="35049" xr:uid="{00000000-0005-0000-0000-0000413E0000}"/>
    <cellStyle name="40% - Accent2 2 6 3 3 5" xfId="19515" xr:uid="{00000000-0005-0000-0000-0000423E0000}"/>
    <cellStyle name="40% - Accent2 2 6 3 3 6" xfId="28392" xr:uid="{00000000-0005-0000-0000-0000433E0000}"/>
    <cellStyle name="40% - Accent2 2 6 3 4" xfId="9488" xr:uid="{00000000-0005-0000-0000-0000443E0000}"/>
    <cellStyle name="40% - Accent2 2 6 3 4 2" xfId="20991" xr:uid="{00000000-0005-0000-0000-0000453E0000}"/>
    <cellStyle name="40% - Accent2 2 6 3 4 3" xfId="29868" xr:uid="{00000000-0005-0000-0000-0000463E0000}"/>
    <cellStyle name="40% - Accent2 2 6 3 5" xfId="11936" xr:uid="{00000000-0005-0000-0000-0000473E0000}"/>
    <cellStyle name="40% - Accent2 2 6 3 5 2" xfId="23210" xr:uid="{00000000-0005-0000-0000-0000483E0000}"/>
    <cellStyle name="40% - Accent2 2 6 3 5 3" xfId="32087" xr:uid="{00000000-0005-0000-0000-0000493E0000}"/>
    <cellStyle name="40% - Accent2 2 6 3 6" xfId="14157" xr:uid="{00000000-0005-0000-0000-00004A3E0000}"/>
    <cellStyle name="40% - Accent2 2 6 3 6 2" xfId="25429" xr:uid="{00000000-0005-0000-0000-00004B3E0000}"/>
    <cellStyle name="40% - Accent2 2 6 3 6 3" xfId="34306" xr:uid="{00000000-0005-0000-0000-00004C3E0000}"/>
    <cellStyle name="40% - Accent2 2 6 3 7" xfId="18766" xr:uid="{00000000-0005-0000-0000-00004D3E0000}"/>
    <cellStyle name="40% - Accent2 2 6 3 8" xfId="27647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8" xr:uid="{00000000-0005-0000-0000-0000523E0000}"/>
    <cellStyle name="40% - Accent2 2 6 4 2 2 3" xfId="31345" xr:uid="{00000000-0005-0000-0000-0000533E0000}"/>
    <cellStyle name="40% - Accent2 2 6 4 2 3" xfId="13413" xr:uid="{00000000-0005-0000-0000-0000543E0000}"/>
    <cellStyle name="40% - Accent2 2 6 4 2 3 2" xfId="24687" xr:uid="{00000000-0005-0000-0000-0000553E0000}"/>
    <cellStyle name="40% - Accent2 2 6 4 2 3 3" xfId="33564" xr:uid="{00000000-0005-0000-0000-0000563E0000}"/>
    <cellStyle name="40% - Accent2 2 6 4 2 4" xfId="15863" xr:uid="{00000000-0005-0000-0000-0000573E0000}"/>
    <cellStyle name="40% - Accent2 2 6 4 2 4 2" xfId="26906" xr:uid="{00000000-0005-0000-0000-0000583E0000}"/>
    <cellStyle name="40% - Accent2 2 6 4 2 4 3" xfId="35783" xr:uid="{00000000-0005-0000-0000-0000593E0000}"/>
    <cellStyle name="40% - Accent2 2 6 4 2 5" xfId="20249" xr:uid="{00000000-0005-0000-0000-00005A3E0000}"/>
    <cellStyle name="40% - Accent2 2 6 4 2 6" xfId="29126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5" xr:uid="{00000000-0005-0000-0000-00005E3E0000}"/>
    <cellStyle name="40% - Accent2 2 6 4 3 2 3" xfId="30612" xr:uid="{00000000-0005-0000-0000-00005F3E0000}"/>
    <cellStyle name="40% - Accent2 2 6 4 3 3" xfId="12680" xr:uid="{00000000-0005-0000-0000-0000603E0000}"/>
    <cellStyle name="40% - Accent2 2 6 4 3 3 2" xfId="23954" xr:uid="{00000000-0005-0000-0000-0000613E0000}"/>
    <cellStyle name="40% - Accent2 2 6 4 3 3 3" xfId="32831" xr:uid="{00000000-0005-0000-0000-0000623E0000}"/>
    <cellStyle name="40% - Accent2 2 6 4 3 4" xfId="15130" xr:uid="{00000000-0005-0000-0000-0000633E0000}"/>
    <cellStyle name="40% - Accent2 2 6 4 3 4 2" xfId="26173" xr:uid="{00000000-0005-0000-0000-0000643E0000}"/>
    <cellStyle name="40% - Accent2 2 6 4 3 4 3" xfId="35050" xr:uid="{00000000-0005-0000-0000-0000653E0000}"/>
    <cellStyle name="40% - Accent2 2 6 4 3 5" xfId="19516" xr:uid="{00000000-0005-0000-0000-0000663E0000}"/>
    <cellStyle name="40% - Accent2 2 6 4 3 6" xfId="28393" xr:uid="{00000000-0005-0000-0000-0000673E0000}"/>
    <cellStyle name="40% - Accent2 2 6 4 4" xfId="9489" xr:uid="{00000000-0005-0000-0000-0000683E0000}"/>
    <cellStyle name="40% - Accent2 2 6 4 4 2" xfId="20992" xr:uid="{00000000-0005-0000-0000-0000693E0000}"/>
    <cellStyle name="40% - Accent2 2 6 4 4 3" xfId="29869" xr:uid="{00000000-0005-0000-0000-00006A3E0000}"/>
    <cellStyle name="40% - Accent2 2 6 4 5" xfId="11937" xr:uid="{00000000-0005-0000-0000-00006B3E0000}"/>
    <cellStyle name="40% - Accent2 2 6 4 5 2" xfId="23211" xr:uid="{00000000-0005-0000-0000-00006C3E0000}"/>
    <cellStyle name="40% - Accent2 2 6 4 5 3" xfId="32088" xr:uid="{00000000-0005-0000-0000-00006D3E0000}"/>
    <cellStyle name="40% - Accent2 2 6 4 6" xfId="14158" xr:uid="{00000000-0005-0000-0000-00006E3E0000}"/>
    <cellStyle name="40% - Accent2 2 6 4 6 2" xfId="25430" xr:uid="{00000000-0005-0000-0000-00006F3E0000}"/>
    <cellStyle name="40% - Accent2 2 6 4 6 3" xfId="34307" xr:uid="{00000000-0005-0000-0000-0000703E0000}"/>
    <cellStyle name="40% - Accent2 2 6 4 7" xfId="18767" xr:uid="{00000000-0005-0000-0000-0000713E0000}"/>
    <cellStyle name="40% - Accent2 2 6 4 8" xfId="27648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69" xr:uid="{00000000-0005-0000-0000-0000763E0000}"/>
    <cellStyle name="40% - Accent2 2 6 5 2 2 3" xfId="31346" xr:uid="{00000000-0005-0000-0000-0000773E0000}"/>
    <cellStyle name="40% - Accent2 2 6 5 2 3" xfId="13414" xr:uid="{00000000-0005-0000-0000-0000783E0000}"/>
    <cellStyle name="40% - Accent2 2 6 5 2 3 2" xfId="24688" xr:uid="{00000000-0005-0000-0000-0000793E0000}"/>
    <cellStyle name="40% - Accent2 2 6 5 2 3 3" xfId="33565" xr:uid="{00000000-0005-0000-0000-00007A3E0000}"/>
    <cellStyle name="40% - Accent2 2 6 5 2 4" xfId="15864" xr:uid="{00000000-0005-0000-0000-00007B3E0000}"/>
    <cellStyle name="40% - Accent2 2 6 5 2 4 2" xfId="26907" xr:uid="{00000000-0005-0000-0000-00007C3E0000}"/>
    <cellStyle name="40% - Accent2 2 6 5 2 4 3" xfId="35784" xr:uid="{00000000-0005-0000-0000-00007D3E0000}"/>
    <cellStyle name="40% - Accent2 2 6 5 2 5" xfId="20250" xr:uid="{00000000-0005-0000-0000-00007E3E0000}"/>
    <cellStyle name="40% - Accent2 2 6 5 2 6" xfId="29127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6" xr:uid="{00000000-0005-0000-0000-0000823E0000}"/>
    <cellStyle name="40% - Accent2 2 6 5 3 2 3" xfId="30613" xr:uid="{00000000-0005-0000-0000-0000833E0000}"/>
    <cellStyle name="40% - Accent2 2 6 5 3 3" xfId="12681" xr:uid="{00000000-0005-0000-0000-0000843E0000}"/>
    <cellStyle name="40% - Accent2 2 6 5 3 3 2" xfId="23955" xr:uid="{00000000-0005-0000-0000-0000853E0000}"/>
    <cellStyle name="40% - Accent2 2 6 5 3 3 3" xfId="32832" xr:uid="{00000000-0005-0000-0000-0000863E0000}"/>
    <cellStyle name="40% - Accent2 2 6 5 3 4" xfId="15131" xr:uid="{00000000-0005-0000-0000-0000873E0000}"/>
    <cellStyle name="40% - Accent2 2 6 5 3 4 2" xfId="26174" xr:uid="{00000000-0005-0000-0000-0000883E0000}"/>
    <cellStyle name="40% - Accent2 2 6 5 3 4 3" xfId="35051" xr:uid="{00000000-0005-0000-0000-0000893E0000}"/>
    <cellStyle name="40% - Accent2 2 6 5 3 5" xfId="19517" xr:uid="{00000000-0005-0000-0000-00008A3E0000}"/>
    <cellStyle name="40% - Accent2 2 6 5 3 6" xfId="28394" xr:uid="{00000000-0005-0000-0000-00008B3E0000}"/>
    <cellStyle name="40% - Accent2 2 6 5 4" xfId="9490" xr:uid="{00000000-0005-0000-0000-00008C3E0000}"/>
    <cellStyle name="40% - Accent2 2 6 5 4 2" xfId="20993" xr:uid="{00000000-0005-0000-0000-00008D3E0000}"/>
    <cellStyle name="40% - Accent2 2 6 5 4 3" xfId="29870" xr:uid="{00000000-0005-0000-0000-00008E3E0000}"/>
    <cellStyle name="40% - Accent2 2 6 5 5" xfId="11938" xr:uid="{00000000-0005-0000-0000-00008F3E0000}"/>
    <cellStyle name="40% - Accent2 2 6 5 5 2" xfId="23212" xr:uid="{00000000-0005-0000-0000-0000903E0000}"/>
    <cellStyle name="40% - Accent2 2 6 5 5 3" xfId="32089" xr:uid="{00000000-0005-0000-0000-0000913E0000}"/>
    <cellStyle name="40% - Accent2 2 6 5 6" xfId="14159" xr:uid="{00000000-0005-0000-0000-0000923E0000}"/>
    <cellStyle name="40% - Accent2 2 6 5 6 2" xfId="25431" xr:uid="{00000000-0005-0000-0000-0000933E0000}"/>
    <cellStyle name="40% - Accent2 2 6 5 6 3" xfId="34308" xr:uid="{00000000-0005-0000-0000-0000943E0000}"/>
    <cellStyle name="40% - Accent2 2 6 5 7" xfId="18768" xr:uid="{00000000-0005-0000-0000-0000953E0000}"/>
    <cellStyle name="40% - Accent2 2 6 5 8" xfId="27649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5" xr:uid="{00000000-0005-0000-0000-0000993E0000}"/>
    <cellStyle name="40% - Accent2 2 6 6 2 3" xfId="31342" xr:uid="{00000000-0005-0000-0000-00009A3E0000}"/>
    <cellStyle name="40% - Accent2 2 6 6 3" xfId="13410" xr:uid="{00000000-0005-0000-0000-00009B3E0000}"/>
    <cellStyle name="40% - Accent2 2 6 6 3 2" xfId="24684" xr:uid="{00000000-0005-0000-0000-00009C3E0000}"/>
    <cellStyle name="40% - Accent2 2 6 6 3 3" xfId="33561" xr:uid="{00000000-0005-0000-0000-00009D3E0000}"/>
    <cellStyle name="40% - Accent2 2 6 6 4" xfId="15860" xr:uid="{00000000-0005-0000-0000-00009E3E0000}"/>
    <cellStyle name="40% - Accent2 2 6 6 4 2" xfId="26903" xr:uid="{00000000-0005-0000-0000-00009F3E0000}"/>
    <cellStyle name="40% - Accent2 2 6 6 4 3" xfId="35780" xr:uid="{00000000-0005-0000-0000-0000A03E0000}"/>
    <cellStyle name="40% - Accent2 2 6 6 5" xfId="20246" xr:uid="{00000000-0005-0000-0000-0000A13E0000}"/>
    <cellStyle name="40% - Accent2 2 6 6 6" xfId="29123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2" xr:uid="{00000000-0005-0000-0000-0000A53E0000}"/>
    <cellStyle name="40% - Accent2 2 6 7 2 3" xfId="30609" xr:uid="{00000000-0005-0000-0000-0000A63E0000}"/>
    <cellStyle name="40% - Accent2 2 6 7 3" xfId="12677" xr:uid="{00000000-0005-0000-0000-0000A73E0000}"/>
    <cellStyle name="40% - Accent2 2 6 7 3 2" xfId="23951" xr:uid="{00000000-0005-0000-0000-0000A83E0000}"/>
    <cellStyle name="40% - Accent2 2 6 7 3 3" xfId="32828" xr:uid="{00000000-0005-0000-0000-0000A93E0000}"/>
    <cellStyle name="40% - Accent2 2 6 7 4" xfId="15127" xr:uid="{00000000-0005-0000-0000-0000AA3E0000}"/>
    <cellStyle name="40% - Accent2 2 6 7 4 2" xfId="26170" xr:uid="{00000000-0005-0000-0000-0000AB3E0000}"/>
    <cellStyle name="40% - Accent2 2 6 7 4 3" xfId="35047" xr:uid="{00000000-0005-0000-0000-0000AC3E0000}"/>
    <cellStyle name="40% - Accent2 2 6 7 5" xfId="19513" xr:uid="{00000000-0005-0000-0000-0000AD3E0000}"/>
    <cellStyle name="40% - Accent2 2 6 7 6" xfId="28390" xr:uid="{00000000-0005-0000-0000-0000AE3E0000}"/>
    <cellStyle name="40% - Accent2 2 6 8" xfId="9486" xr:uid="{00000000-0005-0000-0000-0000AF3E0000}"/>
    <cellStyle name="40% - Accent2 2 6 8 2" xfId="20989" xr:uid="{00000000-0005-0000-0000-0000B03E0000}"/>
    <cellStyle name="40% - Accent2 2 6 8 3" xfId="29866" xr:uid="{00000000-0005-0000-0000-0000B13E0000}"/>
    <cellStyle name="40% - Accent2 2 6 9" xfId="11934" xr:uid="{00000000-0005-0000-0000-0000B23E0000}"/>
    <cellStyle name="40% - Accent2 2 6 9 2" xfId="23208" xr:uid="{00000000-0005-0000-0000-0000B33E0000}"/>
    <cellStyle name="40% - Accent2 2 6 9 3" xfId="32085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0" xr:uid="{00000000-0005-0000-0000-0000B83E0000}"/>
    <cellStyle name="40% - Accent2 2 7 2 2 3" xfId="31347" xr:uid="{00000000-0005-0000-0000-0000B93E0000}"/>
    <cellStyle name="40% - Accent2 2 7 2 3" xfId="13415" xr:uid="{00000000-0005-0000-0000-0000BA3E0000}"/>
    <cellStyle name="40% - Accent2 2 7 2 3 2" xfId="24689" xr:uid="{00000000-0005-0000-0000-0000BB3E0000}"/>
    <cellStyle name="40% - Accent2 2 7 2 3 3" xfId="33566" xr:uid="{00000000-0005-0000-0000-0000BC3E0000}"/>
    <cellStyle name="40% - Accent2 2 7 2 4" xfId="15865" xr:uid="{00000000-0005-0000-0000-0000BD3E0000}"/>
    <cellStyle name="40% - Accent2 2 7 2 4 2" xfId="26908" xr:uid="{00000000-0005-0000-0000-0000BE3E0000}"/>
    <cellStyle name="40% - Accent2 2 7 2 4 3" xfId="35785" xr:uid="{00000000-0005-0000-0000-0000BF3E0000}"/>
    <cellStyle name="40% - Accent2 2 7 2 5" xfId="20251" xr:uid="{00000000-0005-0000-0000-0000C03E0000}"/>
    <cellStyle name="40% - Accent2 2 7 2 6" xfId="29128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7" xr:uid="{00000000-0005-0000-0000-0000C43E0000}"/>
    <cellStyle name="40% - Accent2 2 7 3 2 3" xfId="30614" xr:uid="{00000000-0005-0000-0000-0000C53E0000}"/>
    <cellStyle name="40% - Accent2 2 7 3 3" xfId="12682" xr:uid="{00000000-0005-0000-0000-0000C63E0000}"/>
    <cellStyle name="40% - Accent2 2 7 3 3 2" xfId="23956" xr:uid="{00000000-0005-0000-0000-0000C73E0000}"/>
    <cellStyle name="40% - Accent2 2 7 3 3 3" xfId="32833" xr:uid="{00000000-0005-0000-0000-0000C83E0000}"/>
    <cellStyle name="40% - Accent2 2 7 3 4" xfId="15132" xr:uid="{00000000-0005-0000-0000-0000C93E0000}"/>
    <cellStyle name="40% - Accent2 2 7 3 4 2" xfId="26175" xr:uid="{00000000-0005-0000-0000-0000CA3E0000}"/>
    <cellStyle name="40% - Accent2 2 7 3 4 3" xfId="35052" xr:uid="{00000000-0005-0000-0000-0000CB3E0000}"/>
    <cellStyle name="40% - Accent2 2 7 3 5" xfId="19518" xr:uid="{00000000-0005-0000-0000-0000CC3E0000}"/>
    <cellStyle name="40% - Accent2 2 7 3 6" xfId="28395" xr:uid="{00000000-0005-0000-0000-0000CD3E0000}"/>
    <cellStyle name="40% - Accent2 2 7 4" xfId="9491" xr:uid="{00000000-0005-0000-0000-0000CE3E0000}"/>
    <cellStyle name="40% - Accent2 2 7 4 2" xfId="20994" xr:uid="{00000000-0005-0000-0000-0000CF3E0000}"/>
    <cellStyle name="40% - Accent2 2 7 4 3" xfId="29871" xr:uid="{00000000-0005-0000-0000-0000D03E0000}"/>
    <cellStyle name="40% - Accent2 2 7 5" xfId="11939" xr:uid="{00000000-0005-0000-0000-0000D13E0000}"/>
    <cellStyle name="40% - Accent2 2 7 5 2" xfId="23213" xr:uid="{00000000-0005-0000-0000-0000D23E0000}"/>
    <cellStyle name="40% - Accent2 2 7 5 3" xfId="32090" xr:uid="{00000000-0005-0000-0000-0000D33E0000}"/>
    <cellStyle name="40% - Accent2 2 7 6" xfId="14160" xr:uid="{00000000-0005-0000-0000-0000D43E0000}"/>
    <cellStyle name="40% - Accent2 2 7 6 2" xfId="25432" xr:uid="{00000000-0005-0000-0000-0000D53E0000}"/>
    <cellStyle name="40% - Accent2 2 7 6 3" xfId="34309" xr:uid="{00000000-0005-0000-0000-0000D63E0000}"/>
    <cellStyle name="40% - Accent2 2 7 7" xfId="18769" xr:uid="{00000000-0005-0000-0000-0000D73E0000}"/>
    <cellStyle name="40% - Accent2 2 7 8" xfId="27650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1" xr:uid="{00000000-0005-0000-0000-0000DC3E0000}"/>
    <cellStyle name="40% - Accent2 2 8 2 2 3" xfId="31348" xr:uid="{00000000-0005-0000-0000-0000DD3E0000}"/>
    <cellStyle name="40% - Accent2 2 8 2 3" xfId="13416" xr:uid="{00000000-0005-0000-0000-0000DE3E0000}"/>
    <cellStyle name="40% - Accent2 2 8 2 3 2" xfId="24690" xr:uid="{00000000-0005-0000-0000-0000DF3E0000}"/>
    <cellStyle name="40% - Accent2 2 8 2 3 3" xfId="33567" xr:uid="{00000000-0005-0000-0000-0000E03E0000}"/>
    <cellStyle name="40% - Accent2 2 8 2 4" xfId="15866" xr:uid="{00000000-0005-0000-0000-0000E13E0000}"/>
    <cellStyle name="40% - Accent2 2 8 2 4 2" xfId="26909" xr:uid="{00000000-0005-0000-0000-0000E23E0000}"/>
    <cellStyle name="40% - Accent2 2 8 2 4 3" xfId="35786" xr:uid="{00000000-0005-0000-0000-0000E33E0000}"/>
    <cellStyle name="40% - Accent2 2 8 2 5" xfId="20252" xr:uid="{00000000-0005-0000-0000-0000E43E0000}"/>
    <cellStyle name="40% - Accent2 2 8 2 6" xfId="29129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8" xr:uid="{00000000-0005-0000-0000-0000E83E0000}"/>
    <cellStyle name="40% - Accent2 2 8 3 2 3" xfId="30615" xr:uid="{00000000-0005-0000-0000-0000E93E0000}"/>
    <cellStyle name="40% - Accent2 2 8 3 3" xfId="12683" xr:uid="{00000000-0005-0000-0000-0000EA3E0000}"/>
    <cellStyle name="40% - Accent2 2 8 3 3 2" xfId="23957" xr:uid="{00000000-0005-0000-0000-0000EB3E0000}"/>
    <cellStyle name="40% - Accent2 2 8 3 3 3" xfId="32834" xr:uid="{00000000-0005-0000-0000-0000EC3E0000}"/>
    <cellStyle name="40% - Accent2 2 8 3 4" xfId="15133" xr:uid="{00000000-0005-0000-0000-0000ED3E0000}"/>
    <cellStyle name="40% - Accent2 2 8 3 4 2" xfId="26176" xr:uid="{00000000-0005-0000-0000-0000EE3E0000}"/>
    <cellStyle name="40% - Accent2 2 8 3 4 3" xfId="35053" xr:uid="{00000000-0005-0000-0000-0000EF3E0000}"/>
    <cellStyle name="40% - Accent2 2 8 3 5" xfId="19519" xr:uid="{00000000-0005-0000-0000-0000F03E0000}"/>
    <cellStyle name="40% - Accent2 2 8 3 6" xfId="28396" xr:uid="{00000000-0005-0000-0000-0000F13E0000}"/>
    <cellStyle name="40% - Accent2 2 8 4" xfId="9492" xr:uid="{00000000-0005-0000-0000-0000F23E0000}"/>
    <cellStyle name="40% - Accent2 2 8 4 2" xfId="20995" xr:uid="{00000000-0005-0000-0000-0000F33E0000}"/>
    <cellStyle name="40% - Accent2 2 8 4 3" xfId="29872" xr:uid="{00000000-0005-0000-0000-0000F43E0000}"/>
    <cellStyle name="40% - Accent2 2 8 5" xfId="11940" xr:uid="{00000000-0005-0000-0000-0000F53E0000}"/>
    <cellStyle name="40% - Accent2 2 8 5 2" xfId="23214" xr:uid="{00000000-0005-0000-0000-0000F63E0000}"/>
    <cellStyle name="40% - Accent2 2 8 5 3" xfId="32091" xr:uid="{00000000-0005-0000-0000-0000F73E0000}"/>
    <cellStyle name="40% - Accent2 2 8 6" xfId="14161" xr:uid="{00000000-0005-0000-0000-0000F83E0000}"/>
    <cellStyle name="40% - Accent2 2 8 6 2" xfId="25433" xr:uid="{00000000-0005-0000-0000-0000F93E0000}"/>
    <cellStyle name="40% - Accent2 2 8 6 3" xfId="34310" xr:uid="{00000000-0005-0000-0000-0000FA3E0000}"/>
    <cellStyle name="40% - Accent2 2 8 7" xfId="18770" xr:uid="{00000000-0005-0000-0000-0000FB3E0000}"/>
    <cellStyle name="40% - Accent2 2 8 8" xfId="27651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2" xr:uid="{00000000-0005-0000-0000-0000003F0000}"/>
    <cellStyle name="40% - Accent2 2 9 2 2 3" xfId="31349" xr:uid="{00000000-0005-0000-0000-0000013F0000}"/>
    <cellStyle name="40% - Accent2 2 9 2 3" xfId="13417" xr:uid="{00000000-0005-0000-0000-0000023F0000}"/>
    <cellStyle name="40% - Accent2 2 9 2 3 2" xfId="24691" xr:uid="{00000000-0005-0000-0000-0000033F0000}"/>
    <cellStyle name="40% - Accent2 2 9 2 3 3" xfId="33568" xr:uid="{00000000-0005-0000-0000-0000043F0000}"/>
    <cellStyle name="40% - Accent2 2 9 2 4" xfId="15867" xr:uid="{00000000-0005-0000-0000-0000053F0000}"/>
    <cellStyle name="40% - Accent2 2 9 2 4 2" xfId="26910" xr:uid="{00000000-0005-0000-0000-0000063F0000}"/>
    <cellStyle name="40% - Accent2 2 9 2 4 3" xfId="35787" xr:uid="{00000000-0005-0000-0000-0000073F0000}"/>
    <cellStyle name="40% - Accent2 2 9 2 5" xfId="20253" xr:uid="{00000000-0005-0000-0000-0000083F0000}"/>
    <cellStyle name="40% - Accent2 2 9 2 6" xfId="29130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39" xr:uid="{00000000-0005-0000-0000-00000C3F0000}"/>
    <cellStyle name="40% - Accent2 2 9 3 2 3" xfId="30616" xr:uid="{00000000-0005-0000-0000-00000D3F0000}"/>
    <cellStyle name="40% - Accent2 2 9 3 3" xfId="12684" xr:uid="{00000000-0005-0000-0000-00000E3F0000}"/>
    <cellStyle name="40% - Accent2 2 9 3 3 2" xfId="23958" xr:uid="{00000000-0005-0000-0000-00000F3F0000}"/>
    <cellStyle name="40% - Accent2 2 9 3 3 3" xfId="32835" xr:uid="{00000000-0005-0000-0000-0000103F0000}"/>
    <cellStyle name="40% - Accent2 2 9 3 4" xfId="15134" xr:uid="{00000000-0005-0000-0000-0000113F0000}"/>
    <cellStyle name="40% - Accent2 2 9 3 4 2" xfId="26177" xr:uid="{00000000-0005-0000-0000-0000123F0000}"/>
    <cellStyle name="40% - Accent2 2 9 3 4 3" xfId="35054" xr:uid="{00000000-0005-0000-0000-0000133F0000}"/>
    <cellStyle name="40% - Accent2 2 9 3 5" xfId="19520" xr:uid="{00000000-0005-0000-0000-0000143F0000}"/>
    <cellStyle name="40% - Accent2 2 9 3 6" xfId="28397" xr:uid="{00000000-0005-0000-0000-0000153F0000}"/>
    <cellStyle name="40% - Accent2 2 9 4" xfId="9493" xr:uid="{00000000-0005-0000-0000-0000163F0000}"/>
    <cellStyle name="40% - Accent2 2 9 4 2" xfId="20996" xr:uid="{00000000-0005-0000-0000-0000173F0000}"/>
    <cellStyle name="40% - Accent2 2 9 4 3" xfId="29873" xr:uid="{00000000-0005-0000-0000-0000183F0000}"/>
    <cellStyle name="40% - Accent2 2 9 5" xfId="11941" xr:uid="{00000000-0005-0000-0000-0000193F0000}"/>
    <cellStyle name="40% - Accent2 2 9 5 2" xfId="23215" xr:uid="{00000000-0005-0000-0000-00001A3F0000}"/>
    <cellStyle name="40% - Accent2 2 9 5 3" xfId="32092" xr:uid="{00000000-0005-0000-0000-00001B3F0000}"/>
    <cellStyle name="40% - Accent2 2 9 6" xfId="14162" xr:uid="{00000000-0005-0000-0000-00001C3F0000}"/>
    <cellStyle name="40% - Accent2 2 9 6 2" xfId="25434" xr:uid="{00000000-0005-0000-0000-00001D3F0000}"/>
    <cellStyle name="40% - Accent2 2 9 6 3" xfId="34311" xr:uid="{00000000-0005-0000-0000-00001E3F0000}"/>
    <cellStyle name="40% - Accent2 2 9 7" xfId="18771" xr:uid="{00000000-0005-0000-0000-00001F3F0000}"/>
    <cellStyle name="40% - Accent2 2 9 8" xfId="27652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3" xr:uid="{00000000-0005-0000-0000-0000263F0000}"/>
    <cellStyle name="40% - Accent2 3 2 2 2 3" xfId="31350" xr:uid="{00000000-0005-0000-0000-0000273F0000}"/>
    <cellStyle name="40% - Accent2 3 2 2 3" xfId="13418" xr:uid="{00000000-0005-0000-0000-0000283F0000}"/>
    <cellStyle name="40% - Accent2 3 2 2 3 2" xfId="24692" xr:uid="{00000000-0005-0000-0000-0000293F0000}"/>
    <cellStyle name="40% - Accent2 3 2 2 3 3" xfId="33569" xr:uid="{00000000-0005-0000-0000-00002A3F0000}"/>
    <cellStyle name="40% - Accent2 3 2 2 4" xfId="15868" xr:uid="{00000000-0005-0000-0000-00002B3F0000}"/>
    <cellStyle name="40% - Accent2 3 2 2 4 2" xfId="26911" xr:uid="{00000000-0005-0000-0000-00002C3F0000}"/>
    <cellStyle name="40% - Accent2 3 2 2 4 3" xfId="35788" xr:uid="{00000000-0005-0000-0000-00002D3F0000}"/>
    <cellStyle name="40% - Accent2 3 2 2 5" xfId="20254" xr:uid="{00000000-0005-0000-0000-00002E3F0000}"/>
    <cellStyle name="40% - Accent2 3 2 2 6" xfId="29131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0" xr:uid="{00000000-0005-0000-0000-0000323F0000}"/>
    <cellStyle name="40% - Accent2 3 2 3 2 3" xfId="30617" xr:uid="{00000000-0005-0000-0000-0000333F0000}"/>
    <cellStyle name="40% - Accent2 3 2 3 3" xfId="12685" xr:uid="{00000000-0005-0000-0000-0000343F0000}"/>
    <cellStyle name="40% - Accent2 3 2 3 3 2" xfId="23959" xr:uid="{00000000-0005-0000-0000-0000353F0000}"/>
    <cellStyle name="40% - Accent2 3 2 3 3 3" xfId="32836" xr:uid="{00000000-0005-0000-0000-0000363F0000}"/>
    <cellStyle name="40% - Accent2 3 2 3 4" xfId="15135" xr:uid="{00000000-0005-0000-0000-0000373F0000}"/>
    <cellStyle name="40% - Accent2 3 2 3 4 2" xfId="26178" xr:uid="{00000000-0005-0000-0000-0000383F0000}"/>
    <cellStyle name="40% - Accent2 3 2 3 4 3" xfId="35055" xr:uid="{00000000-0005-0000-0000-0000393F0000}"/>
    <cellStyle name="40% - Accent2 3 2 3 5" xfId="19521" xr:uid="{00000000-0005-0000-0000-00003A3F0000}"/>
    <cellStyle name="40% - Accent2 3 2 3 6" xfId="28398" xr:uid="{00000000-0005-0000-0000-00003B3F0000}"/>
    <cellStyle name="40% - Accent2 3 2 4" xfId="9494" xr:uid="{00000000-0005-0000-0000-00003C3F0000}"/>
    <cellStyle name="40% - Accent2 3 2 4 2" xfId="20997" xr:uid="{00000000-0005-0000-0000-00003D3F0000}"/>
    <cellStyle name="40% - Accent2 3 2 4 3" xfId="29874" xr:uid="{00000000-0005-0000-0000-00003E3F0000}"/>
    <cellStyle name="40% - Accent2 3 2 5" xfId="11942" xr:uid="{00000000-0005-0000-0000-00003F3F0000}"/>
    <cellStyle name="40% - Accent2 3 2 5 2" xfId="23216" xr:uid="{00000000-0005-0000-0000-0000403F0000}"/>
    <cellStyle name="40% - Accent2 3 2 5 3" xfId="32093" xr:uid="{00000000-0005-0000-0000-0000413F0000}"/>
    <cellStyle name="40% - Accent2 3 2 6" xfId="14163" xr:uid="{00000000-0005-0000-0000-0000423F0000}"/>
    <cellStyle name="40% - Accent2 3 2 6 2" xfId="25435" xr:uid="{00000000-0005-0000-0000-0000433F0000}"/>
    <cellStyle name="40% - Accent2 3 2 6 3" xfId="34312" xr:uid="{00000000-0005-0000-0000-0000443F0000}"/>
    <cellStyle name="40% - Accent2 3 2 7" xfId="18772" xr:uid="{00000000-0005-0000-0000-0000453F0000}"/>
    <cellStyle name="40% - Accent2 3 2 8" xfId="27653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4" xr:uid="{00000000-0005-0000-0000-00004A3F0000}"/>
    <cellStyle name="40% - Accent2 3 3 2 2 3" xfId="31351" xr:uid="{00000000-0005-0000-0000-00004B3F0000}"/>
    <cellStyle name="40% - Accent2 3 3 2 3" xfId="13419" xr:uid="{00000000-0005-0000-0000-00004C3F0000}"/>
    <cellStyle name="40% - Accent2 3 3 2 3 2" xfId="24693" xr:uid="{00000000-0005-0000-0000-00004D3F0000}"/>
    <cellStyle name="40% - Accent2 3 3 2 3 3" xfId="33570" xr:uid="{00000000-0005-0000-0000-00004E3F0000}"/>
    <cellStyle name="40% - Accent2 3 3 2 4" xfId="15869" xr:uid="{00000000-0005-0000-0000-00004F3F0000}"/>
    <cellStyle name="40% - Accent2 3 3 2 4 2" xfId="26912" xr:uid="{00000000-0005-0000-0000-0000503F0000}"/>
    <cellStyle name="40% - Accent2 3 3 2 4 3" xfId="35789" xr:uid="{00000000-0005-0000-0000-0000513F0000}"/>
    <cellStyle name="40% - Accent2 3 3 2 5" xfId="20255" xr:uid="{00000000-0005-0000-0000-0000523F0000}"/>
    <cellStyle name="40% - Accent2 3 3 2 6" xfId="29132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1" xr:uid="{00000000-0005-0000-0000-0000563F0000}"/>
    <cellStyle name="40% - Accent2 3 3 3 2 3" xfId="30618" xr:uid="{00000000-0005-0000-0000-0000573F0000}"/>
    <cellStyle name="40% - Accent2 3 3 3 3" xfId="12686" xr:uid="{00000000-0005-0000-0000-0000583F0000}"/>
    <cellStyle name="40% - Accent2 3 3 3 3 2" xfId="23960" xr:uid="{00000000-0005-0000-0000-0000593F0000}"/>
    <cellStyle name="40% - Accent2 3 3 3 3 3" xfId="32837" xr:uid="{00000000-0005-0000-0000-00005A3F0000}"/>
    <cellStyle name="40% - Accent2 3 3 3 4" xfId="15136" xr:uid="{00000000-0005-0000-0000-00005B3F0000}"/>
    <cellStyle name="40% - Accent2 3 3 3 4 2" xfId="26179" xr:uid="{00000000-0005-0000-0000-00005C3F0000}"/>
    <cellStyle name="40% - Accent2 3 3 3 4 3" xfId="35056" xr:uid="{00000000-0005-0000-0000-00005D3F0000}"/>
    <cellStyle name="40% - Accent2 3 3 3 5" xfId="19522" xr:uid="{00000000-0005-0000-0000-00005E3F0000}"/>
    <cellStyle name="40% - Accent2 3 3 3 6" xfId="28399" xr:uid="{00000000-0005-0000-0000-00005F3F0000}"/>
    <cellStyle name="40% - Accent2 3 3 4" xfId="9495" xr:uid="{00000000-0005-0000-0000-0000603F0000}"/>
    <cellStyle name="40% - Accent2 3 3 4 2" xfId="20998" xr:uid="{00000000-0005-0000-0000-0000613F0000}"/>
    <cellStyle name="40% - Accent2 3 3 4 3" xfId="29875" xr:uid="{00000000-0005-0000-0000-0000623F0000}"/>
    <cellStyle name="40% - Accent2 3 3 5" xfId="11943" xr:uid="{00000000-0005-0000-0000-0000633F0000}"/>
    <cellStyle name="40% - Accent2 3 3 5 2" xfId="23217" xr:uid="{00000000-0005-0000-0000-0000643F0000}"/>
    <cellStyle name="40% - Accent2 3 3 5 3" xfId="32094" xr:uid="{00000000-0005-0000-0000-0000653F0000}"/>
    <cellStyle name="40% - Accent2 3 3 6" xfId="14164" xr:uid="{00000000-0005-0000-0000-0000663F0000}"/>
    <cellStyle name="40% - Accent2 3 3 6 2" xfId="25436" xr:uid="{00000000-0005-0000-0000-0000673F0000}"/>
    <cellStyle name="40% - Accent2 3 3 6 3" xfId="34313" xr:uid="{00000000-0005-0000-0000-0000683F0000}"/>
    <cellStyle name="40% - Accent2 3 3 7" xfId="18773" xr:uid="{00000000-0005-0000-0000-0000693F0000}"/>
    <cellStyle name="40% - Accent2 3 3 8" xfId="27654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5" xr:uid="{00000000-0005-0000-0000-00006E3F0000}"/>
    <cellStyle name="40% - Accent2 3 4 2 2 3" xfId="31352" xr:uid="{00000000-0005-0000-0000-00006F3F0000}"/>
    <cellStyle name="40% - Accent2 3 4 2 3" xfId="13420" xr:uid="{00000000-0005-0000-0000-0000703F0000}"/>
    <cellStyle name="40% - Accent2 3 4 2 3 2" xfId="24694" xr:uid="{00000000-0005-0000-0000-0000713F0000}"/>
    <cellStyle name="40% - Accent2 3 4 2 3 3" xfId="33571" xr:uid="{00000000-0005-0000-0000-0000723F0000}"/>
    <cellStyle name="40% - Accent2 3 4 2 4" xfId="15870" xr:uid="{00000000-0005-0000-0000-0000733F0000}"/>
    <cellStyle name="40% - Accent2 3 4 2 4 2" xfId="26913" xr:uid="{00000000-0005-0000-0000-0000743F0000}"/>
    <cellStyle name="40% - Accent2 3 4 2 4 3" xfId="35790" xr:uid="{00000000-0005-0000-0000-0000753F0000}"/>
    <cellStyle name="40% - Accent2 3 4 2 5" xfId="20256" xr:uid="{00000000-0005-0000-0000-0000763F0000}"/>
    <cellStyle name="40% - Accent2 3 4 2 6" xfId="29133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2" xr:uid="{00000000-0005-0000-0000-00007A3F0000}"/>
    <cellStyle name="40% - Accent2 3 4 3 2 3" xfId="30619" xr:uid="{00000000-0005-0000-0000-00007B3F0000}"/>
    <cellStyle name="40% - Accent2 3 4 3 3" xfId="12687" xr:uid="{00000000-0005-0000-0000-00007C3F0000}"/>
    <cellStyle name="40% - Accent2 3 4 3 3 2" xfId="23961" xr:uid="{00000000-0005-0000-0000-00007D3F0000}"/>
    <cellStyle name="40% - Accent2 3 4 3 3 3" xfId="32838" xr:uid="{00000000-0005-0000-0000-00007E3F0000}"/>
    <cellStyle name="40% - Accent2 3 4 3 4" xfId="15137" xr:uid="{00000000-0005-0000-0000-00007F3F0000}"/>
    <cellStyle name="40% - Accent2 3 4 3 4 2" xfId="26180" xr:uid="{00000000-0005-0000-0000-0000803F0000}"/>
    <cellStyle name="40% - Accent2 3 4 3 4 3" xfId="35057" xr:uid="{00000000-0005-0000-0000-0000813F0000}"/>
    <cellStyle name="40% - Accent2 3 4 3 5" xfId="19523" xr:uid="{00000000-0005-0000-0000-0000823F0000}"/>
    <cellStyle name="40% - Accent2 3 4 3 6" xfId="28400" xr:uid="{00000000-0005-0000-0000-0000833F0000}"/>
    <cellStyle name="40% - Accent2 3 4 4" xfId="9496" xr:uid="{00000000-0005-0000-0000-0000843F0000}"/>
    <cellStyle name="40% - Accent2 3 4 4 2" xfId="20999" xr:uid="{00000000-0005-0000-0000-0000853F0000}"/>
    <cellStyle name="40% - Accent2 3 4 4 3" xfId="29876" xr:uid="{00000000-0005-0000-0000-0000863F0000}"/>
    <cellStyle name="40% - Accent2 3 4 5" xfId="11944" xr:uid="{00000000-0005-0000-0000-0000873F0000}"/>
    <cellStyle name="40% - Accent2 3 4 5 2" xfId="23218" xr:uid="{00000000-0005-0000-0000-0000883F0000}"/>
    <cellStyle name="40% - Accent2 3 4 5 3" xfId="32095" xr:uid="{00000000-0005-0000-0000-0000893F0000}"/>
    <cellStyle name="40% - Accent2 3 4 6" xfId="14165" xr:uid="{00000000-0005-0000-0000-00008A3F0000}"/>
    <cellStyle name="40% - Accent2 3 4 6 2" xfId="25437" xr:uid="{00000000-0005-0000-0000-00008B3F0000}"/>
    <cellStyle name="40% - Accent2 3 4 6 3" xfId="34314" xr:uid="{00000000-0005-0000-0000-00008C3F0000}"/>
    <cellStyle name="40% - Accent2 3 4 7" xfId="18774" xr:uid="{00000000-0005-0000-0000-00008D3F0000}"/>
    <cellStyle name="40% - Accent2 3 4 8" xfId="27655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6" xr:uid="{00000000-0005-0000-0000-0000923F0000}"/>
    <cellStyle name="40% - Accent2 3 5 2 2 3" xfId="31353" xr:uid="{00000000-0005-0000-0000-0000933F0000}"/>
    <cellStyle name="40% - Accent2 3 5 2 3" xfId="13421" xr:uid="{00000000-0005-0000-0000-0000943F0000}"/>
    <cellStyle name="40% - Accent2 3 5 2 3 2" xfId="24695" xr:uid="{00000000-0005-0000-0000-0000953F0000}"/>
    <cellStyle name="40% - Accent2 3 5 2 3 3" xfId="33572" xr:uid="{00000000-0005-0000-0000-0000963F0000}"/>
    <cellStyle name="40% - Accent2 3 5 2 4" xfId="15871" xr:uid="{00000000-0005-0000-0000-0000973F0000}"/>
    <cellStyle name="40% - Accent2 3 5 2 4 2" xfId="26914" xr:uid="{00000000-0005-0000-0000-0000983F0000}"/>
    <cellStyle name="40% - Accent2 3 5 2 4 3" xfId="35791" xr:uid="{00000000-0005-0000-0000-0000993F0000}"/>
    <cellStyle name="40% - Accent2 3 5 2 5" xfId="20257" xr:uid="{00000000-0005-0000-0000-00009A3F0000}"/>
    <cellStyle name="40% - Accent2 3 5 2 6" xfId="29134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3" xr:uid="{00000000-0005-0000-0000-00009E3F0000}"/>
    <cellStyle name="40% - Accent2 3 5 3 2 3" xfId="30620" xr:uid="{00000000-0005-0000-0000-00009F3F0000}"/>
    <cellStyle name="40% - Accent2 3 5 3 3" xfId="12688" xr:uid="{00000000-0005-0000-0000-0000A03F0000}"/>
    <cellStyle name="40% - Accent2 3 5 3 3 2" xfId="23962" xr:uid="{00000000-0005-0000-0000-0000A13F0000}"/>
    <cellStyle name="40% - Accent2 3 5 3 3 3" xfId="32839" xr:uid="{00000000-0005-0000-0000-0000A23F0000}"/>
    <cellStyle name="40% - Accent2 3 5 3 4" xfId="15138" xr:uid="{00000000-0005-0000-0000-0000A33F0000}"/>
    <cellStyle name="40% - Accent2 3 5 3 4 2" xfId="26181" xr:uid="{00000000-0005-0000-0000-0000A43F0000}"/>
    <cellStyle name="40% - Accent2 3 5 3 4 3" xfId="35058" xr:uid="{00000000-0005-0000-0000-0000A53F0000}"/>
    <cellStyle name="40% - Accent2 3 5 3 5" xfId="19524" xr:uid="{00000000-0005-0000-0000-0000A63F0000}"/>
    <cellStyle name="40% - Accent2 3 5 3 6" xfId="28401" xr:uid="{00000000-0005-0000-0000-0000A73F0000}"/>
    <cellStyle name="40% - Accent2 3 5 4" xfId="9497" xr:uid="{00000000-0005-0000-0000-0000A83F0000}"/>
    <cellStyle name="40% - Accent2 3 5 4 2" xfId="21000" xr:uid="{00000000-0005-0000-0000-0000A93F0000}"/>
    <cellStyle name="40% - Accent2 3 5 4 3" xfId="29877" xr:uid="{00000000-0005-0000-0000-0000AA3F0000}"/>
    <cellStyle name="40% - Accent2 3 5 5" xfId="11945" xr:uid="{00000000-0005-0000-0000-0000AB3F0000}"/>
    <cellStyle name="40% - Accent2 3 5 5 2" xfId="23219" xr:uid="{00000000-0005-0000-0000-0000AC3F0000}"/>
    <cellStyle name="40% - Accent2 3 5 5 3" xfId="32096" xr:uid="{00000000-0005-0000-0000-0000AD3F0000}"/>
    <cellStyle name="40% - Accent2 3 5 6" xfId="14166" xr:uid="{00000000-0005-0000-0000-0000AE3F0000}"/>
    <cellStyle name="40% - Accent2 3 5 6 2" xfId="25438" xr:uid="{00000000-0005-0000-0000-0000AF3F0000}"/>
    <cellStyle name="40% - Accent2 3 5 6 3" xfId="34315" xr:uid="{00000000-0005-0000-0000-0000B03F0000}"/>
    <cellStyle name="40% - Accent2 3 5 7" xfId="18775" xr:uid="{00000000-0005-0000-0000-0000B13F0000}"/>
    <cellStyle name="40% - Accent2 3 5 8" xfId="27656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7" xr:uid="{00000000-0005-0000-0000-0000B73F0000}"/>
    <cellStyle name="40% - Accent2 3 6 2 2 2 3" xfId="31354" xr:uid="{00000000-0005-0000-0000-0000B83F0000}"/>
    <cellStyle name="40% - Accent2 3 6 2 2 3" xfId="13422" xr:uid="{00000000-0005-0000-0000-0000B93F0000}"/>
    <cellStyle name="40% - Accent2 3 6 2 2 3 2" xfId="24696" xr:uid="{00000000-0005-0000-0000-0000BA3F0000}"/>
    <cellStyle name="40% - Accent2 3 6 2 2 3 3" xfId="33573" xr:uid="{00000000-0005-0000-0000-0000BB3F0000}"/>
    <cellStyle name="40% - Accent2 3 6 2 2 4" xfId="15872" xr:uid="{00000000-0005-0000-0000-0000BC3F0000}"/>
    <cellStyle name="40% - Accent2 3 6 2 2 4 2" xfId="26915" xr:uid="{00000000-0005-0000-0000-0000BD3F0000}"/>
    <cellStyle name="40% - Accent2 3 6 2 2 4 3" xfId="35792" xr:uid="{00000000-0005-0000-0000-0000BE3F0000}"/>
    <cellStyle name="40% - Accent2 3 6 2 2 5" xfId="20258" xr:uid="{00000000-0005-0000-0000-0000BF3F0000}"/>
    <cellStyle name="40% - Accent2 3 6 2 2 6" xfId="29135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4" xr:uid="{00000000-0005-0000-0000-0000C33F0000}"/>
    <cellStyle name="40% - Accent2 3 6 2 3 2 3" xfId="30621" xr:uid="{00000000-0005-0000-0000-0000C43F0000}"/>
    <cellStyle name="40% - Accent2 3 6 2 3 3" xfId="12689" xr:uid="{00000000-0005-0000-0000-0000C53F0000}"/>
    <cellStyle name="40% - Accent2 3 6 2 3 3 2" xfId="23963" xr:uid="{00000000-0005-0000-0000-0000C63F0000}"/>
    <cellStyle name="40% - Accent2 3 6 2 3 3 3" xfId="32840" xr:uid="{00000000-0005-0000-0000-0000C73F0000}"/>
    <cellStyle name="40% - Accent2 3 6 2 3 4" xfId="15139" xr:uid="{00000000-0005-0000-0000-0000C83F0000}"/>
    <cellStyle name="40% - Accent2 3 6 2 3 4 2" xfId="26182" xr:uid="{00000000-0005-0000-0000-0000C93F0000}"/>
    <cellStyle name="40% - Accent2 3 6 2 3 4 3" xfId="35059" xr:uid="{00000000-0005-0000-0000-0000CA3F0000}"/>
    <cellStyle name="40% - Accent2 3 6 2 3 5" xfId="19525" xr:uid="{00000000-0005-0000-0000-0000CB3F0000}"/>
    <cellStyle name="40% - Accent2 3 6 2 3 6" xfId="28402" xr:uid="{00000000-0005-0000-0000-0000CC3F0000}"/>
    <cellStyle name="40% - Accent2 3 6 2 4" xfId="9498" xr:uid="{00000000-0005-0000-0000-0000CD3F0000}"/>
    <cellStyle name="40% - Accent2 3 6 2 4 2" xfId="21001" xr:uid="{00000000-0005-0000-0000-0000CE3F0000}"/>
    <cellStyle name="40% - Accent2 3 6 2 4 3" xfId="29878" xr:uid="{00000000-0005-0000-0000-0000CF3F0000}"/>
    <cellStyle name="40% - Accent2 3 6 2 5" xfId="11946" xr:uid="{00000000-0005-0000-0000-0000D03F0000}"/>
    <cellStyle name="40% - Accent2 3 6 2 5 2" xfId="23220" xr:uid="{00000000-0005-0000-0000-0000D13F0000}"/>
    <cellStyle name="40% - Accent2 3 6 2 5 3" xfId="32097" xr:uid="{00000000-0005-0000-0000-0000D23F0000}"/>
    <cellStyle name="40% - Accent2 3 6 2 6" xfId="14167" xr:uid="{00000000-0005-0000-0000-0000D33F0000}"/>
    <cellStyle name="40% - Accent2 3 6 2 6 2" xfId="25439" xr:uid="{00000000-0005-0000-0000-0000D43F0000}"/>
    <cellStyle name="40% - Accent2 3 6 2 6 3" xfId="34316" xr:uid="{00000000-0005-0000-0000-0000D53F0000}"/>
    <cellStyle name="40% - Accent2 3 6 2 7" xfId="18776" xr:uid="{00000000-0005-0000-0000-0000D63F0000}"/>
    <cellStyle name="40% - Accent2 3 6 2 8" xfId="27657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8" xr:uid="{00000000-0005-0000-0000-0000DB3F0000}"/>
    <cellStyle name="40% - Accent2 3 6 3 2 2 3" xfId="31355" xr:uid="{00000000-0005-0000-0000-0000DC3F0000}"/>
    <cellStyle name="40% - Accent2 3 6 3 2 3" xfId="13423" xr:uid="{00000000-0005-0000-0000-0000DD3F0000}"/>
    <cellStyle name="40% - Accent2 3 6 3 2 3 2" xfId="24697" xr:uid="{00000000-0005-0000-0000-0000DE3F0000}"/>
    <cellStyle name="40% - Accent2 3 6 3 2 3 3" xfId="33574" xr:uid="{00000000-0005-0000-0000-0000DF3F0000}"/>
    <cellStyle name="40% - Accent2 3 6 3 2 4" xfId="15873" xr:uid="{00000000-0005-0000-0000-0000E03F0000}"/>
    <cellStyle name="40% - Accent2 3 6 3 2 4 2" xfId="26916" xr:uid="{00000000-0005-0000-0000-0000E13F0000}"/>
    <cellStyle name="40% - Accent2 3 6 3 2 4 3" xfId="35793" xr:uid="{00000000-0005-0000-0000-0000E23F0000}"/>
    <cellStyle name="40% - Accent2 3 6 3 2 5" xfId="20259" xr:uid="{00000000-0005-0000-0000-0000E33F0000}"/>
    <cellStyle name="40% - Accent2 3 6 3 2 6" xfId="29136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5" xr:uid="{00000000-0005-0000-0000-0000E73F0000}"/>
    <cellStyle name="40% - Accent2 3 6 3 3 2 3" xfId="30622" xr:uid="{00000000-0005-0000-0000-0000E83F0000}"/>
    <cellStyle name="40% - Accent2 3 6 3 3 3" xfId="12690" xr:uid="{00000000-0005-0000-0000-0000E93F0000}"/>
    <cellStyle name="40% - Accent2 3 6 3 3 3 2" xfId="23964" xr:uid="{00000000-0005-0000-0000-0000EA3F0000}"/>
    <cellStyle name="40% - Accent2 3 6 3 3 3 3" xfId="32841" xr:uid="{00000000-0005-0000-0000-0000EB3F0000}"/>
    <cellStyle name="40% - Accent2 3 6 3 3 4" xfId="15140" xr:uid="{00000000-0005-0000-0000-0000EC3F0000}"/>
    <cellStyle name="40% - Accent2 3 6 3 3 4 2" xfId="26183" xr:uid="{00000000-0005-0000-0000-0000ED3F0000}"/>
    <cellStyle name="40% - Accent2 3 6 3 3 4 3" xfId="35060" xr:uid="{00000000-0005-0000-0000-0000EE3F0000}"/>
    <cellStyle name="40% - Accent2 3 6 3 3 5" xfId="19526" xr:uid="{00000000-0005-0000-0000-0000EF3F0000}"/>
    <cellStyle name="40% - Accent2 3 6 3 3 6" xfId="28403" xr:uid="{00000000-0005-0000-0000-0000F03F0000}"/>
    <cellStyle name="40% - Accent2 3 6 3 4" xfId="9499" xr:uid="{00000000-0005-0000-0000-0000F13F0000}"/>
    <cellStyle name="40% - Accent2 3 6 3 4 2" xfId="21002" xr:uid="{00000000-0005-0000-0000-0000F23F0000}"/>
    <cellStyle name="40% - Accent2 3 6 3 4 3" xfId="29879" xr:uid="{00000000-0005-0000-0000-0000F33F0000}"/>
    <cellStyle name="40% - Accent2 3 6 3 5" xfId="11947" xr:uid="{00000000-0005-0000-0000-0000F43F0000}"/>
    <cellStyle name="40% - Accent2 3 6 3 5 2" xfId="23221" xr:uid="{00000000-0005-0000-0000-0000F53F0000}"/>
    <cellStyle name="40% - Accent2 3 6 3 5 3" xfId="32098" xr:uid="{00000000-0005-0000-0000-0000F63F0000}"/>
    <cellStyle name="40% - Accent2 3 6 3 6" xfId="14168" xr:uid="{00000000-0005-0000-0000-0000F73F0000}"/>
    <cellStyle name="40% - Accent2 3 6 3 6 2" xfId="25440" xr:uid="{00000000-0005-0000-0000-0000F83F0000}"/>
    <cellStyle name="40% - Accent2 3 6 3 6 3" xfId="34317" xr:uid="{00000000-0005-0000-0000-0000F93F0000}"/>
    <cellStyle name="40% - Accent2 3 6 3 7" xfId="18777" xr:uid="{00000000-0005-0000-0000-0000FA3F0000}"/>
    <cellStyle name="40% - Accent2 3 6 3 8" xfId="27658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79" xr:uid="{00000000-0005-0000-0000-0000FF3F0000}"/>
    <cellStyle name="40% - Accent2 3 6 4 2 2 3" xfId="31356" xr:uid="{00000000-0005-0000-0000-000000400000}"/>
    <cellStyle name="40% - Accent2 3 6 4 2 3" xfId="13424" xr:uid="{00000000-0005-0000-0000-000001400000}"/>
    <cellStyle name="40% - Accent2 3 6 4 2 3 2" xfId="24698" xr:uid="{00000000-0005-0000-0000-000002400000}"/>
    <cellStyle name="40% - Accent2 3 6 4 2 3 3" xfId="33575" xr:uid="{00000000-0005-0000-0000-000003400000}"/>
    <cellStyle name="40% - Accent2 3 6 4 2 4" xfId="15874" xr:uid="{00000000-0005-0000-0000-000004400000}"/>
    <cellStyle name="40% - Accent2 3 6 4 2 4 2" xfId="26917" xr:uid="{00000000-0005-0000-0000-000005400000}"/>
    <cellStyle name="40% - Accent2 3 6 4 2 4 3" xfId="35794" xr:uid="{00000000-0005-0000-0000-000006400000}"/>
    <cellStyle name="40% - Accent2 3 6 4 2 5" xfId="20260" xr:uid="{00000000-0005-0000-0000-000007400000}"/>
    <cellStyle name="40% - Accent2 3 6 4 2 6" xfId="29137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6" xr:uid="{00000000-0005-0000-0000-00000B400000}"/>
    <cellStyle name="40% - Accent2 3 6 4 3 2 3" xfId="30623" xr:uid="{00000000-0005-0000-0000-00000C400000}"/>
    <cellStyle name="40% - Accent2 3 6 4 3 3" xfId="12691" xr:uid="{00000000-0005-0000-0000-00000D400000}"/>
    <cellStyle name="40% - Accent2 3 6 4 3 3 2" xfId="23965" xr:uid="{00000000-0005-0000-0000-00000E400000}"/>
    <cellStyle name="40% - Accent2 3 6 4 3 3 3" xfId="32842" xr:uid="{00000000-0005-0000-0000-00000F400000}"/>
    <cellStyle name="40% - Accent2 3 6 4 3 4" xfId="15141" xr:uid="{00000000-0005-0000-0000-000010400000}"/>
    <cellStyle name="40% - Accent2 3 6 4 3 4 2" xfId="26184" xr:uid="{00000000-0005-0000-0000-000011400000}"/>
    <cellStyle name="40% - Accent2 3 6 4 3 4 3" xfId="35061" xr:uid="{00000000-0005-0000-0000-000012400000}"/>
    <cellStyle name="40% - Accent2 3 6 4 3 5" xfId="19527" xr:uid="{00000000-0005-0000-0000-000013400000}"/>
    <cellStyle name="40% - Accent2 3 6 4 3 6" xfId="28404" xr:uid="{00000000-0005-0000-0000-000014400000}"/>
    <cellStyle name="40% - Accent2 3 6 4 4" xfId="9500" xr:uid="{00000000-0005-0000-0000-000015400000}"/>
    <cellStyle name="40% - Accent2 3 6 4 4 2" xfId="21003" xr:uid="{00000000-0005-0000-0000-000016400000}"/>
    <cellStyle name="40% - Accent2 3 6 4 4 3" xfId="29880" xr:uid="{00000000-0005-0000-0000-000017400000}"/>
    <cellStyle name="40% - Accent2 3 6 4 5" xfId="11948" xr:uid="{00000000-0005-0000-0000-000018400000}"/>
    <cellStyle name="40% - Accent2 3 6 4 5 2" xfId="23222" xr:uid="{00000000-0005-0000-0000-000019400000}"/>
    <cellStyle name="40% - Accent2 3 6 4 5 3" xfId="32099" xr:uid="{00000000-0005-0000-0000-00001A400000}"/>
    <cellStyle name="40% - Accent2 3 6 4 6" xfId="14169" xr:uid="{00000000-0005-0000-0000-00001B400000}"/>
    <cellStyle name="40% - Accent2 3 6 4 6 2" xfId="25441" xr:uid="{00000000-0005-0000-0000-00001C400000}"/>
    <cellStyle name="40% - Accent2 3 6 4 6 3" xfId="34318" xr:uid="{00000000-0005-0000-0000-00001D400000}"/>
    <cellStyle name="40% - Accent2 3 6 4 7" xfId="18778" xr:uid="{00000000-0005-0000-0000-00001E400000}"/>
    <cellStyle name="40% - Accent2 3 6 4 8" xfId="27659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0" xr:uid="{00000000-0005-0000-0000-000023400000}"/>
    <cellStyle name="40% - Accent2 3 6 5 2 2 3" xfId="31357" xr:uid="{00000000-0005-0000-0000-000024400000}"/>
    <cellStyle name="40% - Accent2 3 6 5 2 3" xfId="13425" xr:uid="{00000000-0005-0000-0000-000025400000}"/>
    <cellStyle name="40% - Accent2 3 6 5 2 3 2" xfId="24699" xr:uid="{00000000-0005-0000-0000-000026400000}"/>
    <cellStyle name="40% - Accent2 3 6 5 2 3 3" xfId="33576" xr:uid="{00000000-0005-0000-0000-000027400000}"/>
    <cellStyle name="40% - Accent2 3 6 5 2 4" xfId="15875" xr:uid="{00000000-0005-0000-0000-000028400000}"/>
    <cellStyle name="40% - Accent2 3 6 5 2 4 2" xfId="26918" xr:uid="{00000000-0005-0000-0000-000029400000}"/>
    <cellStyle name="40% - Accent2 3 6 5 2 4 3" xfId="35795" xr:uid="{00000000-0005-0000-0000-00002A400000}"/>
    <cellStyle name="40% - Accent2 3 6 5 2 5" xfId="20261" xr:uid="{00000000-0005-0000-0000-00002B400000}"/>
    <cellStyle name="40% - Accent2 3 6 5 2 6" xfId="29138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7" xr:uid="{00000000-0005-0000-0000-00002F400000}"/>
    <cellStyle name="40% - Accent2 3 6 5 3 2 3" xfId="30624" xr:uid="{00000000-0005-0000-0000-000030400000}"/>
    <cellStyle name="40% - Accent2 3 6 5 3 3" xfId="12692" xr:uid="{00000000-0005-0000-0000-000031400000}"/>
    <cellStyle name="40% - Accent2 3 6 5 3 3 2" xfId="23966" xr:uid="{00000000-0005-0000-0000-000032400000}"/>
    <cellStyle name="40% - Accent2 3 6 5 3 3 3" xfId="32843" xr:uid="{00000000-0005-0000-0000-000033400000}"/>
    <cellStyle name="40% - Accent2 3 6 5 3 4" xfId="15142" xr:uid="{00000000-0005-0000-0000-000034400000}"/>
    <cellStyle name="40% - Accent2 3 6 5 3 4 2" xfId="26185" xr:uid="{00000000-0005-0000-0000-000035400000}"/>
    <cellStyle name="40% - Accent2 3 6 5 3 4 3" xfId="35062" xr:uid="{00000000-0005-0000-0000-000036400000}"/>
    <cellStyle name="40% - Accent2 3 6 5 3 5" xfId="19528" xr:uid="{00000000-0005-0000-0000-000037400000}"/>
    <cellStyle name="40% - Accent2 3 6 5 3 6" xfId="28405" xr:uid="{00000000-0005-0000-0000-000038400000}"/>
    <cellStyle name="40% - Accent2 3 6 5 4" xfId="9501" xr:uid="{00000000-0005-0000-0000-000039400000}"/>
    <cellStyle name="40% - Accent2 3 6 5 4 2" xfId="21004" xr:uid="{00000000-0005-0000-0000-00003A400000}"/>
    <cellStyle name="40% - Accent2 3 6 5 4 3" xfId="29881" xr:uid="{00000000-0005-0000-0000-00003B400000}"/>
    <cellStyle name="40% - Accent2 3 6 5 5" xfId="11949" xr:uid="{00000000-0005-0000-0000-00003C400000}"/>
    <cellStyle name="40% - Accent2 3 6 5 5 2" xfId="23223" xr:uid="{00000000-0005-0000-0000-00003D400000}"/>
    <cellStyle name="40% - Accent2 3 6 5 5 3" xfId="32100" xr:uid="{00000000-0005-0000-0000-00003E400000}"/>
    <cellStyle name="40% - Accent2 3 6 5 6" xfId="14170" xr:uid="{00000000-0005-0000-0000-00003F400000}"/>
    <cellStyle name="40% - Accent2 3 6 5 6 2" xfId="25442" xr:uid="{00000000-0005-0000-0000-000040400000}"/>
    <cellStyle name="40% - Accent2 3 6 5 6 3" xfId="34319" xr:uid="{00000000-0005-0000-0000-000041400000}"/>
    <cellStyle name="40% - Accent2 3 6 5 7" xfId="18779" xr:uid="{00000000-0005-0000-0000-000042400000}"/>
    <cellStyle name="40% - Accent2 3 6 5 8" xfId="27660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1" xr:uid="{00000000-0005-0000-0000-00004D400000}"/>
    <cellStyle name="40% - Accent2 4 2 2 2 2 3" xfId="31358" xr:uid="{00000000-0005-0000-0000-00004E400000}"/>
    <cellStyle name="40% - Accent2 4 2 2 2 3" xfId="13426" xr:uid="{00000000-0005-0000-0000-00004F400000}"/>
    <cellStyle name="40% - Accent2 4 2 2 2 3 2" xfId="24700" xr:uid="{00000000-0005-0000-0000-000050400000}"/>
    <cellStyle name="40% - Accent2 4 2 2 2 3 3" xfId="33577" xr:uid="{00000000-0005-0000-0000-000051400000}"/>
    <cellStyle name="40% - Accent2 4 2 2 2 4" xfId="15876" xr:uid="{00000000-0005-0000-0000-000052400000}"/>
    <cellStyle name="40% - Accent2 4 2 2 2 4 2" xfId="26919" xr:uid="{00000000-0005-0000-0000-000053400000}"/>
    <cellStyle name="40% - Accent2 4 2 2 2 4 3" xfId="35796" xr:uid="{00000000-0005-0000-0000-000054400000}"/>
    <cellStyle name="40% - Accent2 4 2 2 2 5" xfId="20262" xr:uid="{00000000-0005-0000-0000-000055400000}"/>
    <cellStyle name="40% - Accent2 4 2 2 2 6" xfId="29139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8" xr:uid="{00000000-0005-0000-0000-000059400000}"/>
    <cellStyle name="40% - Accent2 4 2 2 3 2 3" xfId="30625" xr:uid="{00000000-0005-0000-0000-00005A400000}"/>
    <cellStyle name="40% - Accent2 4 2 2 3 3" xfId="12693" xr:uid="{00000000-0005-0000-0000-00005B400000}"/>
    <cellStyle name="40% - Accent2 4 2 2 3 3 2" xfId="23967" xr:uid="{00000000-0005-0000-0000-00005C400000}"/>
    <cellStyle name="40% - Accent2 4 2 2 3 3 3" xfId="32844" xr:uid="{00000000-0005-0000-0000-00005D400000}"/>
    <cellStyle name="40% - Accent2 4 2 2 3 4" xfId="15143" xr:uid="{00000000-0005-0000-0000-00005E400000}"/>
    <cellStyle name="40% - Accent2 4 2 2 3 4 2" xfId="26186" xr:uid="{00000000-0005-0000-0000-00005F400000}"/>
    <cellStyle name="40% - Accent2 4 2 2 3 4 3" xfId="35063" xr:uid="{00000000-0005-0000-0000-000060400000}"/>
    <cellStyle name="40% - Accent2 4 2 2 3 5" xfId="19529" xr:uid="{00000000-0005-0000-0000-000061400000}"/>
    <cellStyle name="40% - Accent2 4 2 2 3 6" xfId="28406" xr:uid="{00000000-0005-0000-0000-000062400000}"/>
    <cellStyle name="40% - Accent2 4 2 2 4" xfId="9502" xr:uid="{00000000-0005-0000-0000-000063400000}"/>
    <cellStyle name="40% - Accent2 4 2 2 4 2" xfId="21005" xr:uid="{00000000-0005-0000-0000-000064400000}"/>
    <cellStyle name="40% - Accent2 4 2 2 4 3" xfId="29882" xr:uid="{00000000-0005-0000-0000-000065400000}"/>
    <cellStyle name="40% - Accent2 4 2 2 5" xfId="11950" xr:uid="{00000000-0005-0000-0000-000066400000}"/>
    <cellStyle name="40% - Accent2 4 2 2 5 2" xfId="23224" xr:uid="{00000000-0005-0000-0000-000067400000}"/>
    <cellStyle name="40% - Accent2 4 2 2 5 3" xfId="32101" xr:uid="{00000000-0005-0000-0000-000068400000}"/>
    <cellStyle name="40% - Accent2 4 2 2 6" xfId="14171" xr:uid="{00000000-0005-0000-0000-000069400000}"/>
    <cellStyle name="40% - Accent2 4 2 2 6 2" xfId="25443" xr:uid="{00000000-0005-0000-0000-00006A400000}"/>
    <cellStyle name="40% - Accent2 4 2 2 6 3" xfId="34320" xr:uid="{00000000-0005-0000-0000-00006B400000}"/>
    <cellStyle name="40% - Accent2 4 2 2 7" xfId="18780" xr:uid="{00000000-0005-0000-0000-00006C400000}"/>
    <cellStyle name="40% - Accent2 4 2 2 8" xfId="27661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2" xr:uid="{00000000-0005-0000-0000-000071400000}"/>
    <cellStyle name="40% - Accent2 4 2 3 2 2 3" xfId="31359" xr:uid="{00000000-0005-0000-0000-000072400000}"/>
    <cellStyle name="40% - Accent2 4 2 3 2 3" xfId="13427" xr:uid="{00000000-0005-0000-0000-000073400000}"/>
    <cellStyle name="40% - Accent2 4 2 3 2 3 2" xfId="24701" xr:uid="{00000000-0005-0000-0000-000074400000}"/>
    <cellStyle name="40% - Accent2 4 2 3 2 3 3" xfId="33578" xr:uid="{00000000-0005-0000-0000-000075400000}"/>
    <cellStyle name="40% - Accent2 4 2 3 2 4" xfId="15877" xr:uid="{00000000-0005-0000-0000-000076400000}"/>
    <cellStyle name="40% - Accent2 4 2 3 2 4 2" xfId="26920" xr:uid="{00000000-0005-0000-0000-000077400000}"/>
    <cellStyle name="40% - Accent2 4 2 3 2 4 3" xfId="35797" xr:uid="{00000000-0005-0000-0000-000078400000}"/>
    <cellStyle name="40% - Accent2 4 2 3 2 5" xfId="20263" xr:uid="{00000000-0005-0000-0000-000079400000}"/>
    <cellStyle name="40% - Accent2 4 2 3 2 6" xfId="29140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49" xr:uid="{00000000-0005-0000-0000-00007D400000}"/>
    <cellStyle name="40% - Accent2 4 2 3 3 2 3" xfId="30626" xr:uid="{00000000-0005-0000-0000-00007E400000}"/>
    <cellStyle name="40% - Accent2 4 2 3 3 3" xfId="12694" xr:uid="{00000000-0005-0000-0000-00007F400000}"/>
    <cellStyle name="40% - Accent2 4 2 3 3 3 2" xfId="23968" xr:uid="{00000000-0005-0000-0000-000080400000}"/>
    <cellStyle name="40% - Accent2 4 2 3 3 3 3" xfId="32845" xr:uid="{00000000-0005-0000-0000-000081400000}"/>
    <cellStyle name="40% - Accent2 4 2 3 3 4" xfId="15144" xr:uid="{00000000-0005-0000-0000-000082400000}"/>
    <cellStyle name="40% - Accent2 4 2 3 3 4 2" xfId="26187" xr:uid="{00000000-0005-0000-0000-000083400000}"/>
    <cellStyle name="40% - Accent2 4 2 3 3 4 3" xfId="35064" xr:uid="{00000000-0005-0000-0000-000084400000}"/>
    <cellStyle name="40% - Accent2 4 2 3 3 5" xfId="19530" xr:uid="{00000000-0005-0000-0000-000085400000}"/>
    <cellStyle name="40% - Accent2 4 2 3 3 6" xfId="28407" xr:uid="{00000000-0005-0000-0000-000086400000}"/>
    <cellStyle name="40% - Accent2 4 2 3 4" xfId="9503" xr:uid="{00000000-0005-0000-0000-000087400000}"/>
    <cellStyle name="40% - Accent2 4 2 3 4 2" xfId="21006" xr:uid="{00000000-0005-0000-0000-000088400000}"/>
    <cellStyle name="40% - Accent2 4 2 3 4 3" xfId="29883" xr:uid="{00000000-0005-0000-0000-000089400000}"/>
    <cellStyle name="40% - Accent2 4 2 3 5" xfId="11951" xr:uid="{00000000-0005-0000-0000-00008A400000}"/>
    <cellStyle name="40% - Accent2 4 2 3 5 2" xfId="23225" xr:uid="{00000000-0005-0000-0000-00008B400000}"/>
    <cellStyle name="40% - Accent2 4 2 3 5 3" xfId="32102" xr:uid="{00000000-0005-0000-0000-00008C400000}"/>
    <cellStyle name="40% - Accent2 4 2 3 6" xfId="14172" xr:uid="{00000000-0005-0000-0000-00008D400000}"/>
    <cellStyle name="40% - Accent2 4 2 3 6 2" xfId="25444" xr:uid="{00000000-0005-0000-0000-00008E400000}"/>
    <cellStyle name="40% - Accent2 4 2 3 6 3" xfId="34321" xr:uid="{00000000-0005-0000-0000-00008F400000}"/>
    <cellStyle name="40% - Accent2 4 2 3 7" xfId="18781" xr:uid="{00000000-0005-0000-0000-000090400000}"/>
    <cellStyle name="40% - Accent2 4 2 3 8" xfId="27662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3" xr:uid="{00000000-0005-0000-0000-000095400000}"/>
    <cellStyle name="40% - Accent2 4 2 4 2 2 3" xfId="31360" xr:uid="{00000000-0005-0000-0000-000096400000}"/>
    <cellStyle name="40% - Accent2 4 2 4 2 3" xfId="13428" xr:uid="{00000000-0005-0000-0000-000097400000}"/>
    <cellStyle name="40% - Accent2 4 2 4 2 3 2" xfId="24702" xr:uid="{00000000-0005-0000-0000-000098400000}"/>
    <cellStyle name="40% - Accent2 4 2 4 2 3 3" xfId="33579" xr:uid="{00000000-0005-0000-0000-000099400000}"/>
    <cellStyle name="40% - Accent2 4 2 4 2 4" xfId="15878" xr:uid="{00000000-0005-0000-0000-00009A400000}"/>
    <cellStyle name="40% - Accent2 4 2 4 2 4 2" xfId="26921" xr:uid="{00000000-0005-0000-0000-00009B400000}"/>
    <cellStyle name="40% - Accent2 4 2 4 2 4 3" xfId="35798" xr:uid="{00000000-0005-0000-0000-00009C400000}"/>
    <cellStyle name="40% - Accent2 4 2 4 2 5" xfId="20264" xr:uid="{00000000-0005-0000-0000-00009D400000}"/>
    <cellStyle name="40% - Accent2 4 2 4 2 6" xfId="29141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0" xr:uid="{00000000-0005-0000-0000-0000A1400000}"/>
    <cellStyle name="40% - Accent2 4 2 4 3 2 3" xfId="30627" xr:uid="{00000000-0005-0000-0000-0000A2400000}"/>
    <cellStyle name="40% - Accent2 4 2 4 3 3" xfId="12695" xr:uid="{00000000-0005-0000-0000-0000A3400000}"/>
    <cellStyle name="40% - Accent2 4 2 4 3 3 2" xfId="23969" xr:uid="{00000000-0005-0000-0000-0000A4400000}"/>
    <cellStyle name="40% - Accent2 4 2 4 3 3 3" xfId="32846" xr:uid="{00000000-0005-0000-0000-0000A5400000}"/>
    <cellStyle name="40% - Accent2 4 2 4 3 4" xfId="15145" xr:uid="{00000000-0005-0000-0000-0000A6400000}"/>
    <cellStyle name="40% - Accent2 4 2 4 3 4 2" xfId="26188" xr:uid="{00000000-0005-0000-0000-0000A7400000}"/>
    <cellStyle name="40% - Accent2 4 2 4 3 4 3" xfId="35065" xr:uid="{00000000-0005-0000-0000-0000A8400000}"/>
    <cellStyle name="40% - Accent2 4 2 4 3 5" xfId="19531" xr:uid="{00000000-0005-0000-0000-0000A9400000}"/>
    <cellStyle name="40% - Accent2 4 2 4 3 6" xfId="28408" xr:uid="{00000000-0005-0000-0000-0000AA400000}"/>
    <cellStyle name="40% - Accent2 4 2 4 4" xfId="9504" xr:uid="{00000000-0005-0000-0000-0000AB400000}"/>
    <cellStyle name="40% - Accent2 4 2 4 4 2" xfId="21007" xr:uid="{00000000-0005-0000-0000-0000AC400000}"/>
    <cellStyle name="40% - Accent2 4 2 4 4 3" xfId="29884" xr:uid="{00000000-0005-0000-0000-0000AD400000}"/>
    <cellStyle name="40% - Accent2 4 2 4 5" xfId="11952" xr:uid="{00000000-0005-0000-0000-0000AE400000}"/>
    <cellStyle name="40% - Accent2 4 2 4 5 2" xfId="23226" xr:uid="{00000000-0005-0000-0000-0000AF400000}"/>
    <cellStyle name="40% - Accent2 4 2 4 5 3" xfId="32103" xr:uid="{00000000-0005-0000-0000-0000B0400000}"/>
    <cellStyle name="40% - Accent2 4 2 4 6" xfId="14173" xr:uid="{00000000-0005-0000-0000-0000B1400000}"/>
    <cellStyle name="40% - Accent2 4 2 4 6 2" xfId="25445" xr:uid="{00000000-0005-0000-0000-0000B2400000}"/>
    <cellStyle name="40% - Accent2 4 2 4 6 3" xfId="34322" xr:uid="{00000000-0005-0000-0000-0000B3400000}"/>
    <cellStyle name="40% - Accent2 4 2 4 7" xfId="18782" xr:uid="{00000000-0005-0000-0000-0000B4400000}"/>
    <cellStyle name="40% - Accent2 4 2 4 8" xfId="27663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4" xr:uid="{00000000-0005-0000-0000-0000B9400000}"/>
    <cellStyle name="40% - Accent2 4 2 5 2 2 3" xfId="31361" xr:uid="{00000000-0005-0000-0000-0000BA400000}"/>
    <cellStyle name="40% - Accent2 4 2 5 2 3" xfId="13429" xr:uid="{00000000-0005-0000-0000-0000BB400000}"/>
    <cellStyle name="40% - Accent2 4 2 5 2 3 2" xfId="24703" xr:uid="{00000000-0005-0000-0000-0000BC400000}"/>
    <cellStyle name="40% - Accent2 4 2 5 2 3 3" xfId="33580" xr:uid="{00000000-0005-0000-0000-0000BD400000}"/>
    <cellStyle name="40% - Accent2 4 2 5 2 4" xfId="15879" xr:uid="{00000000-0005-0000-0000-0000BE400000}"/>
    <cellStyle name="40% - Accent2 4 2 5 2 4 2" xfId="26922" xr:uid="{00000000-0005-0000-0000-0000BF400000}"/>
    <cellStyle name="40% - Accent2 4 2 5 2 4 3" xfId="35799" xr:uid="{00000000-0005-0000-0000-0000C0400000}"/>
    <cellStyle name="40% - Accent2 4 2 5 2 5" xfId="20265" xr:uid="{00000000-0005-0000-0000-0000C1400000}"/>
    <cellStyle name="40% - Accent2 4 2 5 2 6" xfId="29142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1" xr:uid="{00000000-0005-0000-0000-0000C5400000}"/>
    <cellStyle name="40% - Accent2 4 2 5 3 2 3" xfId="30628" xr:uid="{00000000-0005-0000-0000-0000C6400000}"/>
    <cellStyle name="40% - Accent2 4 2 5 3 3" xfId="12696" xr:uid="{00000000-0005-0000-0000-0000C7400000}"/>
    <cellStyle name="40% - Accent2 4 2 5 3 3 2" xfId="23970" xr:uid="{00000000-0005-0000-0000-0000C8400000}"/>
    <cellStyle name="40% - Accent2 4 2 5 3 3 3" xfId="32847" xr:uid="{00000000-0005-0000-0000-0000C9400000}"/>
    <cellStyle name="40% - Accent2 4 2 5 3 4" xfId="15146" xr:uid="{00000000-0005-0000-0000-0000CA400000}"/>
    <cellStyle name="40% - Accent2 4 2 5 3 4 2" xfId="26189" xr:uid="{00000000-0005-0000-0000-0000CB400000}"/>
    <cellStyle name="40% - Accent2 4 2 5 3 4 3" xfId="35066" xr:uid="{00000000-0005-0000-0000-0000CC400000}"/>
    <cellStyle name="40% - Accent2 4 2 5 3 5" xfId="19532" xr:uid="{00000000-0005-0000-0000-0000CD400000}"/>
    <cellStyle name="40% - Accent2 4 2 5 3 6" xfId="28409" xr:uid="{00000000-0005-0000-0000-0000CE400000}"/>
    <cellStyle name="40% - Accent2 4 2 5 4" xfId="9505" xr:uid="{00000000-0005-0000-0000-0000CF400000}"/>
    <cellStyle name="40% - Accent2 4 2 5 4 2" xfId="21008" xr:uid="{00000000-0005-0000-0000-0000D0400000}"/>
    <cellStyle name="40% - Accent2 4 2 5 4 3" xfId="29885" xr:uid="{00000000-0005-0000-0000-0000D1400000}"/>
    <cellStyle name="40% - Accent2 4 2 5 5" xfId="11953" xr:uid="{00000000-0005-0000-0000-0000D2400000}"/>
    <cellStyle name="40% - Accent2 4 2 5 5 2" xfId="23227" xr:uid="{00000000-0005-0000-0000-0000D3400000}"/>
    <cellStyle name="40% - Accent2 4 2 5 5 3" xfId="32104" xr:uid="{00000000-0005-0000-0000-0000D4400000}"/>
    <cellStyle name="40% - Accent2 4 2 5 6" xfId="14174" xr:uid="{00000000-0005-0000-0000-0000D5400000}"/>
    <cellStyle name="40% - Accent2 4 2 5 6 2" xfId="25446" xr:uid="{00000000-0005-0000-0000-0000D6400000}"/>
    <cellStyle name="40% - Accent2 4 2 5 6 3" xfId="34323" xr:uid="{00000000-0005-0000-0000-0000D7400000}"/>
    <cellStyle name="40% - Accent2 4 2 5 7" xfId="18783" xr:uid="{00000000-0005-0000-0000-0000D8400000}"/>
    <cellStyle name="40% - Accent2 4 2 5 8" xfId="27664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5" xr:uid="{00000000-0005-0000-0000-0000DD400000}"/>
    <cellStyle name="40% - Accent2 4 3 2 2 3" xfId="31362" xr:uid="{00000000-0005-0000-0000-0000DE400000}"/>
    <cellStyle name="40% - Accent2 4 3 2 3" xfId="13430" xr:uid="{00000000-0005-0000-0000-0000DF400000}"/>
    <cellStyle name="40% - Accent2 4 3 2 3 2" xfId="24704" xr:uid="{00000000-0005-0000-0000-0000E0400000}"/>
    <cellStyle name="40% - Accent2 4 3 2 3 3" xfId="33581" xr:uid="{00000000-0005-0000-0000-0000E1400000}"/>
    <cellStyle name="40% - Accent2 4 3 2 4" xfId="15880" xr:uid="{00000000-0005-0000-0000-0000E2400000}"/>
    <cellStyle name="40% - Accent2 4 3 2 4 2" xfId="26923" xr:uid="{00000000-0005-0000-0000-0000E3400000}"/>
    <cellStyle name="40% - Accent2 4 3 2 4 3" xfId="35800" xr:uid="{00000000-0005-0000-0000-0000E4400000}"/>
    <cellStyle name="40% - Accent2 4 3 2 5" xfId="20266" xr:uid="{00000000-0005-0000-0000-0000E5400000}"/>
    <cellStyle name="40% - Accent2 4 3 2 6" xfId="29143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2" xr:uid="{00000000-0005-0000-0000-0000E9400000}"/>
    <cellStyle name="40% - Accent2 4 3 3 2 3" xfId="30629" xr:uid="{00000000-0005-0000-0000-0000EA400000}"/>
    <cellStyle name="40% - Accent2 4 3 3 3" xfId="12697" xr:uid="{00000000-0005-0000-0000-0000EB400000}"/>
    <cellStyle name="40% - Accent2 4 3 3 3 2" xfId="23971" xr:uid="{00000000-0005-0000-0000-0000EC400000}"/>
    <cellStyle name="40% - Accent2 4 3 3 3 3" xfId="32848" xr:uid="{00000000-0005-0000-0000-0000ED400000}"/>
    <cellStyle name="40% - Accent2 4 3 3 4" xfId="15147" xr:uid="{00000000-0005-0000-0000-0000EE400000}"/>
    <cellStyle name="40% - Accent2 4 3 3 4 2" xfId="26190" xr:uid="{00000000-0005-0000-0000-0000EF400000}"/>
    <cellStyle name="40% - Accent2 4 3 3 4 3" xfId="35067" xr:uid="{00000000-0005-0000-0000-0000F0400000}"/>
    <cellStyle name="40% - Accent2 4 3 3 5" xfId="19533" xr:uid="{00000000-0005-0000-0000-0000F1400000}"/>
    <cellStyle name="40% - Accent2 4 3 3 6" xfId="28410" xr:uid="{00000000-0005-0000-0000-0000F2400000}"/>
    <cellStyle name="40% - Accent2 4 3 4" xfId="9506" xr:uid="{00000000-0005-0000-0000-0000F3400000}"/>
    <cellStyle name="40% - Accent2 4 3 4 2" xfId="21009" xr:uid="{00000000-0005-0000-0000-0000F4400000}"/>
    <cellStyle name="40% - Accent2 4 3 4 3" xfId="29886" xr:uid="{00000000-0005-0000-0000-0000F5400000}"/>
    <cellStyle name="40% - Accent2 4 3 5" xfId="11954" xr:uid="{00000000-0005-0000-0000-0000F6400000}"/>
    <cellStyle name="40% - Accent2 4 3 5 2" xfId="23228" xr:uid="{00000000-0005-0000-0000-0000F7400000}"/>
    <cellStyle name="40% - Accent2 4 3 5 3" xfId="32105" xr:uid="{00000000-0005-0000-0000-0000F8400000}"/>
    <cellStyle name="40% - Accent2 4 3 6" xfId="14175" xr:uid="{00000000-0005-0000-0000-0000F9400000}"/>
    <cellStyle name="40% - Accent2 4 3 6 2" xfId="25447" xr:uid="{00000000-0005-0000-0000-0000FA400000}"/>
    <cellStyle name="40% - Accent2 4 3 6 3" xfId="34324" xr:uid="{00000000-0005-0000-0000-0000FB400000}"/>
    <cellStyle name="40% - Accent2 4 3 7" xfId="18784" xr:uid="{00000000-0005-0000-0000-0000FC400000}"/>
    <cellStyle name="40% - Accent2 4 3 8" xfId="27665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6" xr:uid="{00000000-0005-0000-0000-000001410000}"/>
    <cellStyle name="40% - Accent2 4 4 2 2 3" xfId="31363" xr:uid="{00000000-0005-0000-0000-000002410000}"/>
    <cellStyle name="40% - Accent2 4 4 2 3" xfId="13431" xr:uid="{00000000-0005-0000-0000-000003410000}"/>
    <cellStyle name="40% - Accent2 4 4 2 3 2" xfId="24705" xr:uid="{00000000-0005-0000-0000-000004410000}"/>
    <cellStyle name="40% - Accent2 4 4 2 3 3" xfId="33582" xr:uid="{00000000-0005-0000-0000-000005410000}"/>
    <cellStyle name="40% - Accent2 4 4 2 4" xfId="15881" xr:uid="{00000000-0005-0000-0000-000006410000}"/>
    <cellStyle name="40% - Accent2 4 4 2 4 2" xfId="26924" xr:uid="{00000000-0005-0000-0000-000007410000}"/>
    <cellStyle name="40% - Accent2 4 4 2 4 3" xfId="35801" xr:uid="{00000000-0005-0000-0000-000008410000}"/>
    <cellStyle name="40% - Accent2 4 4 2 5" xfId="20267" xr:uid="{00000000-0005-0000-0000-000009410000}"/>
    <cellStyle name="40% - Accent2 4 4 2 6" xfId="29144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3" xr:uid="{00000000-0005-0000-0000-00000D410000}"/>
    <cellStyle name="40% - Accent2 4 4 3 2 3" xfId="30630" xr:uid="{00000000-0005-0000-0000-00000E410000}"/>
    <cellStyle name="40% - Accent2 4 4 3 3" xfId="12698" xr:uid="{00000000-0005-0000-0000-00000F410000}"/>
    <cellStyle name="40% - Accent2 4 4 3 3 2" xfId="23972" xr:uid="{00000000-0005-0000-0000-000010410000}"/>
    <cellStyle name="40% - Accent2 4 4 3 3 3" xfId="32849" xr:uid="{00000000-0005-0000-0000-000011410000}"/>
    <cellStyle name="40% - Accent2 4 4 3 4" xfId="15148" xr:uid="{00000000-0005-0000-0000-000012410000}"/>
    <cellStyle name="40% - Accent2 4 4 3 4 2" xfId="26191" xr:uid="{00000000-0005-0000-0000-000013410000}"/>
    <cellStyle name="40% - Accent2 4 4 3 4 3" xfId="35068" xr:uid="{00000000-0005-0000-0000-000014410000}"/>
    <cellStyle name="40% - Accent2 4 4 3 5" xfId="19534" xr:uid="{00000000-0005-0000-0000-000015410000}"/>
    <cellStyle name="40% - Accent2 4 4 3 6" xfId="28411" xr:uid="{00000000-0005-0000-0000-000016410000}"/>
    <cellStyle name="40% - Accent2 4 4 4" xfId="9507" xr:uid="{00000000-0005-0000-0000-000017410000}"/>
    <cellStyle name="40% - Accent2 4 4 4 2" xfId="21010" xr:uid="{00000000-0005-0000-0000-000018410000}"/>
    <cellStyle name="40% - Accent2 4 4 4 3" xfId="29887" xr:uid="{00000000-0005-0000-0000-000019410000}"/>
    <cellStyle name="40% - Accent2 4 4 5" xfId="11955" xr:uid="{00000000-0005-0000-0000-00001A410000}"/>
    <cellStyle name="40% - Accent2 4 4 5 2" xfId="23229" xr:uid="{00000000-0005-0000-0000-00001B410000}"/>
    <cellStyle name="40% - Accent2 4 4 5 3" xfId="32106" xr:uid="{00000000-0005-0000-0000-00001C410000}"/>
    <cellStyle name="40% - Accent2 4 4 6" xfId="14176" xr:uid="{00000000-0005-0000-0000-00001D410000}"/>
    <cellStyle name="40% - Accent2 4 4 6 2" xfId="25448" xr:uid="{00000000-0005-0000-0000-00001E410000}"/>
    <cellStyle name="40% - Accent2 4 4 6 3" xfId="34325" xr:uid="{00000000-0005-0000-0000-00001F410000}"/>
    <cellStyle name="40% - Accent2 4 4 7" xfId="18785" xr:uid="{00000000-0005-0000-0000-000020410000}"/>
    <cellStyle name="40% - Accent2 4 4 8" xfId="27666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7" xr:uid="{00000000-0005-0000-0000-000025410000}"/>
    <cellStyle name="40% - Accent2 4 5 2 2 3" xfId="31364" xr:uid="{00000000-0005-0000-0000-000026410000}"/>
    <cellStyle name="40% - Accent2 4 5 2 3" xfId="13432" xr:uid="{00000000-0005-0000-0000-000027410000}"/>
    <cellStyle name="40% - Accent2 4 5 2 3 2" xfId="24706" xr:uid="{00000000-0005-0000-0000-000028410000}"/>
    <cellStyle name="40% - Accent2 4 5 2 3 3" xfId="33583" xr:uid="{00000000-0005-0000-0000-000029410000}"/>
    <cellStyle name="40% - Accent2 4 5 2 4" xfId="15882" xr:uid="{00000000-0005-0000-0000-00002A410000}"/>
    <cellStyle name="40% - Accent2 4 5 2 4 2" xfId="26925" xr:uid="{00000000-0005-0000-0000-00002B410000}"/>
    <cellStyle name="40% - Accent2 4 5 2 4 3" xfId="35802" xr:uid="{00000000-0005-0000-0000-00002C410000}"/>
    <cellStyle name="40% - Accent2 4 5 2 5" xfId="20268" xr:uid="{00000000-0005-0000-0000-00002D410000}"/>
    <cellStyle name="40% - Accent2 4 5 2 6" xfId="29145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4" xr:uid="{00000000-0005-0000-0000-000031410000}"/>
    <cellStyle name="40% - Accent2 4 5 3 2 3" xfId="30631" xr:uid="{00000000-0005-0000-0000-000032410000}"/>
    <cellStyle name="40% - Accent2 4 5 3 3" xfId="12699" xr:uid="{00000000-0005-0000-0000-000033410000}"/>
    <cellStyle name="40% - Accent2 4 5 3 3 2" xfId="23973" xr:uid="{00000000-0005-0000-0000-000034410000}"/>
    <cellStyle name="40% - Accent2 4 5 3 3 3" xfId="32850" xr:uid="{00000000-0005-0000-0000-000035410000}"/>
    <cellStyle name="40% - Accent2 4 5 3 4" xfId="15149" xr:uid="{00000000-0005-0000-0000-000036410000}"/>
    <cellStyle name="40% - Accent2 4 5 3 4 2" xfId="26192" xr:uid="{00000000-0005-0000-0000-000037410000}"/>
    <cellStyle name="40% - Accent2 4 5 3 4 3" xfId="35069" xr:uid="{00000000-0005-0000-0000-000038410000}"/>
    <cellStyle name="40% - Accent2 4 5 3 5" xfId="19535" xr:uid="{00000000-0005-0000-0000-000039410000}"/>
    <cellStyle name="40% - Accent2 4 5 3 6" xfId="28412" xr:uid="{00000000-0005-0000-0000-00003A410000}"/>
    <cellStyle name="40% - Accent2 4 5 4" xfId="9508" xr:uid="{00000000-0005-0000-0000-00003B410000}"/>
    <cellStyle name="40% - Accent2 4 5 4 2" xfId="21011" xr:uid="{00000000-0005-0000-0000-00003C410000}"/>
    <cellStyle name="40% - Accent2 4 5 4 3" xfId="29888" xr:uid="{00000000-0005-0000-0000-00003D410000}"/>
    <cellStyle name="40% - Accent2 4 5 5" xfId="11956" xr:uid="{00000000-0005-0000-0000-00003E410000}"/>
    <cellStyle name="40% - Accent2 4 5 5 2" xfId="23230" xr:uid="{00000000-0005-0000-0000-00003F410000}"/>
    <cellStyle name="40% - Accent2 4 5 5 3" xfId="32107" xr:uid="{00000000-0005-0000-0000-000040410000}"/>
    <cellStyle name="40% - Accent2 4 5 6" xfId="14177" xr:uid="{00000000-0005-0000-0000-000041410000}"/>
    <cellStyle name="40% - Accent2 4 5 6 2" xfId="25449" xr:uid="{00000000-0005-0000-0000-000042410000}"/>
    <cellStyle name="40% - Accent2 4 5 6 3" xfId="34326" xr:uid="{00000000-0005-0000-0000-000043410000}"/>
    <cellStyle name="40% - Accent2 4 5 7" xfId="18786" xr:uid="{00000000-0005-0000-0000-000044410000}"/>
    <cellStyle name="40% - Accent2 4 5 8" xfId="27667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8" xr:uid="{00000000-0005-0000-0000-000049410000}"/>
    <cellStyle name="40% - Accent2 4 6 2 2 3" xfId="31365" xr:uid="{00000000-0005-0000-0000-00004A410000}"/>
    <cellStyle name="40% - Accent2 4 6 2 3" xfId="13433" xr:uid="{00000000-0005-0000-0000-00004B410000}"/>
    <cellStyle name="40% - Accent2 4 6 2 3 2" xfId="24707" xr:uid="{00000000-0005-0000-0000-00004C410000}"/>
    <cellStyle name="40% - Accent2 4 6 2 3 3" xfId="33584" xr:uid="{00000000-0005-0000-0000-00004D410000}"/>
    <cellStyle name="40% - Accent2 4 6 2 4" xfId="15883" xr:uid="{00000000-0005-0000-0000-00004E410000}"/>
    <cellStyle name="40% - Accent2 4 6 2 4 2" xfId="26926" xr:uid="{00000000-0005-0000-0000-00004F410000}"/>
    <cellStyle name="40% - Accent2 4 6 2 4 3" xfId="35803" xr:uid="{00000000-0005-0000-0000-000050410000}"/>
    <cellStyle name="40% - Accent2 4 6 2 5" xfId="20269" xr:uid="{00000000-0005-0000-0000-000051410000}"/>
    <cellStyle name="40% - Accent2 4 6 2 6" xfId="29146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5" xr:uid="{00000000-0005-0000-0000-000055410000}"/>
    <cellStyle name="40% - Accent2 4 6 3 2 3" xfId="30632" xr:uid="{00000000-0005-0000-0000-000056410000}"/>
    <cellStyle name="40% - Accent2 4 6 3 3" xfId="12700" xr:uid="{00000000-0005-0000-0000-000057410000}"/>
    <cellStyle name="40% - Accent2 4 6 3 3 2" xfId="23974" xr:uid="{00000000-0005-0000-0000-000058410000}"/>
    <cellStyle name="40% - Accent2 4 6 3 3 3" xfId="32851" xr:uid="{00000000-0005-0000-0000-000059410000}"/>
    <cellStyle name="40% - Accent2 4 6 3 4" xfId="15150" xr:uid="{00000000-0005-0000-0000-00005A410000}"/>
    <cellStyle name="40% - Accent2 4 6 3 4 2" xfId="26193" xr:uid="{00000000-0005-0000-0000-00005B410000}"/>
    <cellStyle name="40% - Accent2 4 6 3 4 3" xfId="35070" xr:uid="{00000000-0005-0000-0000-00005C410000}"/>
    <cellStyle name="40% - Accent2 4 6 3 5" xfId="19536" xr:uid="{00000000-0005-0000-0000-00005D410000}"/>
    <cellStyle name="40% - Accent2 4 6 3 6" xfId="28413" xr:uid="{00000000-0005-0000-0000-00005E410000}"/>
    <cellStyle name="40% - Accent2 4 6 4" xfId="9509" xr:uid="{00000000-0005-0000-0000-00005F410000}"/>
    <cellStyle name="40% - Accent2 4 6 4 2" xfId="21012" xr:uid="{00000000-0005-0000-0000-000060410000}"/>
    <cellStyle name="40% - Accent2 4 6 4 3" xfId="29889" xr:uid="{00000000-0005-0000-0000-000061410000}"/>
    <cellStyle name="40% - Accent2 4 6 5" xfId="11957" xr:uid="{00000000-0005-0000-0000-000062410000}"/>
    <cellStyle name="40% - Accent2 4 6 5 2" xfId="23231" xr:uid="{00000000-0005-0000-0000-000063410000}"/>
    <cellStyle name="40% - Accent2 4 6 5 3" xfId="32108" xr:uid="{00000000-0005-0000-0000-000064410000}"/>
    <cellStyle name="40% - Accent2 4 6 6" xfId="14178" xr:uid="{00000000-0005-0000-0000-000065410000}"/>
    <cellStyle name="40% - Accent2 4 6 6 2" xfId="25450" xr:uid="{00000000-0005-0000-0000-000066410000}"/>
    <cellStyle name="40% - Accent2 4 6 6 3" xfId="34327" xr:uid="{00000000-0005-0000-0000-000067410000}"/>
    <cellStyle name="40% - Accent2 4 6 7" xfId="18787" xr:uid="{00000000-0005-0000-0000-000068410000}"/>
    <cellStyle name="40% - Accent2 4 6 8" xfId="27668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2" xr:uid="{00000000-0005-0000-0000-00007B410000}"/>
    <cellStyle name="40% - Accent2 7 10 3" xfId="32109" xr:uid="{00000000-0005-0000-0000-00007C410000}"/>
    <cellStyle name="40% - Accent2 7 11" xfId="14179" xr:uid="{00000000-0005-0000-0000-00007D410000}"/>
    <cellStyle name="40% - Accent2 7 11 2" xfId="25451" xr:uid="{00000000-0005-0000-0000-00007E410000}"/>
    <cellStyle name="40% - Accent2 7 11 3" xfId="34328" xr:uid="{00000000-0005-0000-0000-00007F410000}"/>
    <cellStyle name="40% - Accent2 7 12" xfId="18788" xr:uid="{00000000-0005-0000-0000-000080410000}"/>
    <cellStyle name="40% - Accent2 7 13" xfId="27669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89" xr:uid="{00000000-0005-0000-0000-000089410000}"/>
    <cellStyle name="40% - Accent2 7 7 2 3" xfId="31366" xr:uid="{00000000-0005-0000-0000-00008A410000}"/>
    <cellStyle name="40% - Accent2 7 7 3" xfId="13434" xr:uid="{00000000-0005-0000-0000-00008B410000}"/>
    <cellStyle name="40% - Accent2 7 7 3 2" xfId="24708" xr:uid="{00000000-0005-0000-0000-00008C410000}"/>
    <cellStyle name="40% - Accent2 7 7 3 3" xfId="33585" xr:uid="{00000000-0005-0000-0000-00008D410000}"/>
    <cellStyle name="40% - Accent2 7 7 4" xfId="15884" xr:uid="{00000000-0005-0000-0000-00008E410000}"/>
    <cellStyle name="40% - Accent2 7 7 4 2" xfId="26927" xr:uid="{00000000-0005-0000-0000-00008F410000}"/>
    <cellStyle name="40% - Accent2 7 7 4 3" xfId="35804" xr:uid="{00000000-0005-0000-0000-000090410000}"/>
    <cellStyle name="40% - Accent2 7 7 5" xfId="20270" xr:uid="{00000000-0005-0000-0000-000091410000}"/>
    <cellStyle name="40% - Accent2 7 7 6" xfId="29147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6" xr:uid="{00000000-0005-0000-0000-000095410000}"/>
    <cellStyle name="40% - Accent2 7 8 2 3" xfId="30633" xr:uid="{00000000-0005-0000-0000-000096410000}"/>
    <cellStyle name="40% - Accent2 7 8 3" xfId="12701" xr:uid="{00000000-0005-0000-0000-000097410000}"/>
    <cellStyle name="40% - Accent2 7 8 3 2" xfId="23975" xr:uid="{00000000-0005-0000-0000-000098410000}"/>
    <cellStyle name="40% - Accent2 7 8 3 3" xfId="32852" xr:uid="{00000000-0005-0000-0000-000099410000}"/>
    <cellStyle name="40% - Accent2 7 8 4" xfId="15151" xr:uid="{00000000-0005-0000-0000-00009A410000}"/>
    <cellStyle name="40% - Accent2 7 8 4 2" xfId="26194" xr:uid="{00000000-0005-0000-0000-00009B410000}"/>
    <cellStyle name="40% - Accent2 7 8 4 3" xfId="35071" xr:uid="{00000000-0005-0000-0000-00009C410000}"/>
    <cellStyle name="40% - Accent2 7 8 5" xfId="19537" xr:uid="{00000000-0005-0000-0000-00009D410000}"/>
    <cellStyle name="40% - Accent2 7 8 6" xfId="28414" xr:uid="{00000000-0005-0000-0000-00009E410000}"/>
    <cellStyle name="40% - Accent2 7 9" xfId="9510" xr:uid="{00000000-0005-0000-0000-00009F410000}"/>
    <cellStyle name="40% - Accent2 7 9 2" xfId="21013" xr:uid="{00000000-0005-0000-0000-0000A0410000}"/>
    <cellStyle name="40% - Accent2 7 9 3" xfId="29890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1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0" xr:uid="{00000000-0005-0000-0000-0000C0410000}"/>
    <cellStyle name="40% - Accent3 2 10 2 2 3" xfId="31367" xr:uid="{00000000-0005-0000-0000-0000C1410000}"/>
    <cellStyle name="40% - Accent3 2 10 2 3" xfId="13435" xr:uid="{00000000-0005-0000-0000-0000C2410000}"/>
    <cellStyle name="40% - Accent3 2 10 2 3 2" xfId="24709" xr:uid="{00000000-0005-0000-0000-0000C3410000}"/>
    <cellStyle name="40% - Accent3 2 10 2 3 3" xfId="33586" xr:uid="{00000000-0005-0000-0000-0000C4410000}"/>
    <cellStyle name="40% - Accent3 2 10 2 4" xfId="15885" xr:uid="{00000000-0005-0000-0000-0000C5410000}"/>
    <cellStyle name="40% - Accent3 2 10 2 4 2" xfId="26928" xr:uid="{00000000-0005-0000-0000-0000C6410000}"/>
    <cellStyle name="40% - Accent3 2 10 2 4 3" xfId="35805" xr:uid="{00000000-0005-0000-0000-0000C7410000}"/>
    <cellStyle name="40% - Accent3 2 10 2 5" xfId="20271" xr:uid="{00000000-0005-0000-0000-0000C8410000}"/>
    <cellStyle name="40% - Accent3 2 10 2 6" xfId="29148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7" xr:uid="{00000000-0005-0000-0000-0000CC410000}"/>
    <cellStyle name="40% - Accent3 2 10 3 2 3" xfId="30634" xr:uid="{00000000-0005-0000-0000-0000CD410000}"/>
    <cellStyle name="40% - Accent3 2 10 3 3" xfId="12702" xr:uid="{00000000-0005-0000-0000-0000CE410000}"/>
    <cellStyle name="40% - Accent3 2 10 3 3 2" xfId="23976" xr:uid="{00000000-0005-0000-0000-0000CF410000}"/>
    <cellStyle name="40% - Accent3 2 10 3 3 3" xfId="32853" xr:uid="{00000000-0005-0000-0000-0000D0410000}"/>
    <cellStyle name="40% - Accent3 2 10 3 4" xfId="15152" xr:uid="{00000000-0005-0000-0000-0000D1410000}"/>
    <cellStyle name="40% - Accent3 2 10 3 4 2" xfId="26195" xr:uid="{00000000-0005-0000-0000-0000D2410000}"/>
    <cellStyle name="40% - Accent3 2 10 3 4 3" xfId="35072" xr:uid="{00000000-0005-0000-0000-0000D3410000}"/>
    <cellStyle name="40% - Accent3 2 10 3 5" xfId="19538" xr:uid="{00000000-0005-0000-0000-0000D4410000}"/>
    <cellStyle name="40% - Accent3 2 10 3 6" xfId="28415" xr:uid="{00000000-0005-0000-0000-0000D5410000}"/>
    <cellStyle name="40% - Accent3 2 10 4" xfId="9511" xr:uid="{00000000-0005-0000-0000-0000D6410000}"/>
    <cellStyle name="40% - Accent3 2 10 4 2" xfId="21014" xr:uid="{00000000-0005-0000-0000-0000D7410000}"/>
    <cellStyle name="40% - Accent3 2 10 4 3" xfId="29891" xr:uid="{00000000-0005-0000-0000-0000D8410000}"/>
    <cellStyle name="40% - Accent3 2 10 5" xfId="11959" xr:uid="{00000000-0005-0000-0000-0000D9410000}"/>
    <cellStyle name="40% - Accent3 2 10 5 2" xfId="23233" xr:uid="{00000000-0005-0000-0000-0000DA410000}"/>
    <cellStyle name="40% - Accent3 2 10 5 3" xfId="32110" xr:uid="{00000000-0005-0000-0000-0000DB410000}"/>
    <cellStyle name="40% - Accent3 2 10 6" xfId="14180" xr:uid="{00000000-0005-0000-0000-0000DC410000}"/>
    <cellStyle name="40% - Accent3 2 10 6 2" xfId="25452" xr:uid="{00000000-0005-0000-0000-0000DD410000}"/>
    <cellStyle name="40% - Accent3 2 10 6 3" xfId="34329" xr:uid="{00000000-0005-0000-0000-0000DE410000}"/>
    <cellStyle name="40% - Accent3 2 10 7" xfId="18789" xr:uid="{00000000-0005-0000-0000-0000DF410000}"/>
    <cellStyle name="40% - Accent3 2 10 8" xfId="27670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1" xr:uid="{00000000-0005-0000-0000-0000E5410000}"/>
    <cellStyle name="40% - Accent3 2 11 2 2 2 3" xfId="31368" xr:uid="{00000000-0005-0000-0000-0000E6410000}"/>
    <cellStyle name="40% - Accent3 2 11 2 2 3" xfId="13436" xr:uid="{00000000-0005-0000-0000-0000E7410000}"/>
    <cellStyle name="40% - Accent3 2 11 2 2 3 2" xfId="24710" xr:uid="{00000000-0005-0000-0000-0000E8410000}"/>
    <cellStyle name="40% - Accent3 2 11 2 2 3 3" xfId="33587" xr:uid="{00000000-0005-0000-0000-0000E9410000}"/>
    <cellStyle name="40% - Accent3 2 11 2 2 4" xfId="15886" xr:uid="{00000000-0005-0000-0000-0000EA410000}"/>
    <cellStyle name="40% - Accent3 2 11 2 2 4 2" xfId="26929" xr:uid="{00000000-0005-0000-0000-0000EB410000}"/>
    <cellStyle name="40% - Accent3 2 11 2 2 4 3" xfId="35806" xr:uid="{00000000-0005-0000-0000-0000EC410000}"/>
    <cellStyle name="40% - Accent3 2 11 2 2 5" xfId="20272" xr:uid="{00000000-0005-0000-0000-0000ED410000}"/>
    <cellStyle name="40% - Accent3 2 11 2 2 6" xfId="29149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8" xr:uid="{00000000-0005-0000-0000-0000F1410000}"/>
    <cellStyle name="40% - Accent3 2 11 2 3 2 3" xfId="30635" xr:uid="{00000000-0005-0000-0000-0000F2410000}"/>
    <cellStyle name="40% - Accent3 2 11 2 3 3" xfId="12703" xr:uid="{00000000-0005-0000-0000-0000F3410000}"/>
    <cellStyle name="40% - Accent3 2 11 2 3 3 2" xfId="23977" xr:uid="{00000000-0005-0000-0000-0000F4410000}"/>
    <cellStyle name="40% - Accent3 2 11 2 3 3 3" xfId="32854" xr:uid="{00000000-0005-0000-0000-0000F5410000}"/>
    <cellStyle name="40% - Accent3 2 11 2 3 4" xfId="15153" xr:uid="{00000000-0005-0000-0000-0000F6410000}"/>
    <cellStyle name="40% - Accent3 2 11 2 3 4 2" xfId="26196" xr:uid="{00000000-0005-0000-0000-0000F7410000}"/>
    <cellStyle name="40% - Accent3 2 11 2 3 4 3" xfId="35073" xr:uid="{00000000-0005-0000-0000-0000F8410000}"/>
    <cellStyle name="40% - Accent3 2 11 2 3 5" xfId="19539" xr:uid="{00000000-0005-0000-0000-0000F9410000}"/>
    <cellStyle name="40% - Accent3 2 11 2 3 6" xfId="28416" xr:uid="{00000000-0005-0000-0000-0000FA410000}"/>
    <cellStyle name="40% - Accent3 2 11 2 4" xfId="9512" xr:uid="{00000000-0005-0000-0000-0000FB410000}"/>
    <cellStyle name="40% - Accent3 2 11 2 4 2" xfId="21015" xr:uid="{00000000-0005-0000-0000-0000FC410000}"/>
    <cellStyle name="40% - Accent3 2 11 2 4 3" xfId="29892" xr:uid="{00000000-0005-0000-0000-0000FD410000}"/>
    <cellStyle name="40% - Accent3 2 11 2 5" xfId="11960" xr:uid="{00000000-0005-0000-0000-0000FE410000}"/>
    <cellStyle name="40% - Accent3 2 11 2 5 2" xfId="23234" xr:uid="{00000000-0005-0000-0000-0000FF410000}"/>
    <cellStyle name="40% - Accent3 2 11 2 5 3" xfId="32111" xr:uid="{00000000-0005-0000-0000-000000420000}"/>
    <cellStyle name="40% - Accent3 2 11 2 6" xfId="14181" xr:uid="{00000000-0005-0000-0000-000001420000}"/>
    <cellStyle name="40% - Accent3 2 11 2 6 2" xfId="25453" xr:uid="{00000000-0005-0000-0000-000002420000}"/>
    <cellStyle name="40% - Accent3 2 11 2 6 3" xfId="34330" xr:uid="{00000000-0005-0000-0000-000003420000}"/>
    <cellStyle name="40% - Accent3 2 11 2 7" xfId="18790" xr:uid="{00000000-0005-0000-0000-000004420000}"/>
    <cellStyle name="40% - Accent3 2 11 2 8" xfId="27671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2" xr:uid="{00000000-0005-0000-0000-000009420000}"/>
    <cellStyle name="40% - Accent3 2 11 3 2 2 3" xfId="31369" xr:uid="{00000000-0005-0000-0000-00000A420000}"/>
    <cellStyle name="40% - Accent3 2 11 3 2 3" xfId="13437" xr:uid="{00000000-0005-0000-0000-00000B420000}"/>
    <cellStyle name="40% - Accent3 2 11 3 2 3 2" xfId="24711" xr:uid="{00000000-0005-0000-0000-00000C420000}"/>
    <cellStyle name="40% - Accent3 2 11 3 2 3 3" xfId="33588" xr:uid="{00000000-0005-0000-0000-00000D420000}"/>
    <cellStyle name="40% - Accent3 2 11 3 2 4" xfId="15887" xr:uid="{00000000-0005-0000-0000-00000E420000}"/>
    <cellStyle name="40% - Accent3 2 11 3 2 4 2" xfId="26930" xr:uid="{00000000-0005-0000-0000-00000F420000}"/>
    <cellStyle name="40% - Accent3 2 11 3 2 4 3" xfId="35807" xr:uid="{00000000-0005-0000-0000-000010420000}"/>
    <cellStyle name="40% - Accent3 2 11 3 2 5" xfId="20273" xr:uid="{00000000-0005-0000-0000-000011420000}"/>
    <cellStyle name="40% - Accent3 2 11 3 2 6" xfId="29150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59" xr:uid="{00000000-0005-0000-0000-000015420000}"/>
    <cellStyle name="40% - Accent3 2 11 3 3 2 3" xfId="30636" xr:uid="{00000000-0005-0000-0000-000016420000}"/>
    <cellStyle name="40% - Accent3 2 11 3 3 3" xfId="12704" xr:uid="{00000000-0005-0000-0000-000017420000}"/>
    <cellStyle name="40% - Accent3 2 11 3 3 3 2" xfId="23978" xr:uid="{00000000-0005-0000-0000-000018420000}"/>
    <cellStyle name="40% - Accent3 2 11 3 3 3 3" xfId="32855" xr:uid="{00000000-0005-0000-0000-000019420000}"/>
    <cellStyle name="40% - Accent3 2 11 3 3 4" xfId="15154" xr:uid="{00000000-0005-0000-0000-00001A420000}"/>
    <cellStyle name="40% - Accent3 2 11 3 3 4 2" xfId="26197" xr:uid="{00000000-0005-0000-0000-00001B420000}"/>
    <cellStyle name="40% - Accent3 2 11 3 3 4 3" xfId="35074" xr:uid="{00000000-0005-0000-0000-00001C420000}"/>
    <cellStyle name="40% - Accent3 2 11 3 3 5" xfId="19540" xr:uid="{00000000-0005-0000-0000-00001D420000}"/>
    <cellStyle name="40% - Accent3 2 11 3 3 6" xfId="28417" xr:uid="{00000000-0005-0000-0000-00001E420000}"/>
    <cellStyle name="40% - Accent3 2 11 3 4" xfId="9513" xr:uid="{00000000-0005-0000-0000-00001F420000}"/>
    <cellStyle name="40% - Accent3 2 11 3 4 2" xfId="21016" xr:uid="{00000000-0005-0000-0000-000020420000}"/>
    <cellStyle name="40% - Accent3 2 11 3 4 3" xfId="29893" xr:uid="{00000000-0005-0000-0000-000021420000}"/>
    <cellStyle name="40% - Accent3 2 11 3 5" xfId="11961" xr:uid="{00000000-0005-0000-0000-000022420000}"/>
    <cellStyle name="40% - Accent3 2 11 3 5 2" xfId="23235" xr:uid="{00000000-0005-0000-0000-000023420000}"/>
    <cellStyle name="40% - Accent3 2 11 3 5 3" xfId="32112" xr:uid="{00000000-0005-0000-0000-000024420000}"/>
    <cellStyle name="40% - Accent3 2 11 3 6" xfId="14182" xr:uid="{00000000-0005-0000-0000-000025420000}"/>
    <cellStyle name="40% - Accent3 2 11 3 6 2" xfId="25454" xr:uid="{00000000-0005-0000-0000-000026420000}"/>
    <cellStyle name="40% - Accent3 2 11 3 6 3" xfId="34331" xr:uid="{00000000-0005-0000-0000-000027420000}"/>
    <cellStyle name="40% - Accent3 2 11 3 7" xfId="18791" xr:uid="{00000000-0005-0000-0000-000028420000}"/>
    <cellStyle name="40% - Accent3 2 11 3 8" xfId="27672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3" xr:uid="{00000000-0005-0000-0000-00002D420000}"/>
    <cellStyle name="40% - Accent3 2 11 4 2 2 3" xfId="31370" xr:uid="{00000000-0005-0000-0000-00002E420000}"/>
    <cellStyle name="40% - Accent3 2 11 4 2 3" xfId="13438" xr:uid="{00000000-0005-0000-0000-00002F420000}"/>
    <cellStyle name="40% - Accent3 2 11 4 2 3 2" xfId="24712" xr:uid="{00000000-0005-0000-0000-000030420000}"/>
    <cellStyle name="40% - Accent3 2 11 4 2 3 3" xfId="33589" xr:uid="{00000000-0005-0000-0000-000031420000}"/>
    <cellStyle name="40% - Accent3 2 11 4 2 4" xfId="15888" xr:uid="{00000000-0005-0000-0000-000032420000}"/>
    <cellStyle name="40% - Accent3 2 11 4 2 4 2" xfId="26931" xr:uid="{00000000-0005-0000-0000-000033420000}"/>
    <cellStyle name="40% - Accent3 2 11 4 2 4 3" xfId="35808" xr:uid="{00000000-0005-0000-0000-000034420000}"/>
    <cellStyle name="40% - Accent3 2 11 4 2 5" xfId="20274" xr:uid="{00000000-0005-0000-0000-000035420000}"/>
    <cellStyle name="40% - Accent3 2 11 4 2 6" xfId="29151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0" xr:uid="{00000000-0005-0000-0000-000039420000}"/>
    <cellStyle name="40% - Accent3 2 11 4 3 2 3" xfId="30637" xr:uid="{00000000-0005-0000-0000-00003A420000}"/>
    <cellStyle name="40% - Accent3 2 11 4 3 3" xfId="12705" xr:uid="{00000000-0005-0000-0000-00003B420000}"/>
    <cellStyle name="40% - Accent3 2 11 4 3 3 2" xfId="23979" xr:uid="{00000000-0005-0000-0000-00003C420000}"/>
    <cellStyle name="40% - Accent3 2 11 4 3 3 3" xfId="32856" xr:uid="{00000000-0005-0000-0000-00003D420000}"/>
    <cellStyle name="40% - Accent3 2 11 4 3 4" xfId="15155" xr:uid="{00000000-0005-0000-0000-00003E420000}"/>
    <cellStyle name="40% - Accent3 2 11 4 3 4 2" xfId="26198" xr:uid="{00000000-0005-0000-0000-00003F420000}"/>
    <cellStyle name="40% - Accent3 2 11 4 3 4 3" xfId="35075" xr:uid="{00000000-0005-0000-0000-000040420000}"/>
    <cellStyle name="40% - Accent3 2 11 4 3 5" xfId="19541" xr:uid="{00000000-0005-0000-0000-000041420000}"/>
    <cellStyle name="40% - Accent3 2 11 4 3 6" xfId="28418" xr:uid="{00000000-0005-0000-0000-000042420000}"/>
    <cellStyle name="40% - Accent3 2 11 4 4" xfId="9514" xr:uid="{00000000-0005-0000-0000-000043420000}"/>
    <cellStyle name="40% - Accent3 2 11 4 4 2" xfId="21017" xr:uid="{00000000-0005-0000-0000-000044420000}"/>
    <cellStyle name="40% - Accent3 2 11 4 4 3" xfId="29894" xr:uid="{00000000-0005-0000-0000-000045420000}"/>
    <cellStyle name="40% - Accent3 2 11 4 5" xfId="11962" xr:uid="{00000000-0005-0000-0000-000046420000}"/>
    <cellStyle name="40% - Accent3 2 11 4 5 2" xfId="23236" xr:uid="{00000000-0005-0000-0000-000047420000}"/>
    <cellStyle name="40% - Accent3 2 11 4 5 3" xfId="32113" xr:uid="{00000000-0005-0000-0000-000048420000}"/>
    <cellStyle name="40% - Accent3 2 11 4 6" xfId="14183" xr:uid="{00000000-0005-0000-0000-000049420000}"/>
    <cellStyle name="40% - Accent3 2 11 4 6 2" xfId="25455" xr:uid="{00000000-0005-0000-0000-00004A420000}"/>
    <cellStyle name="40% - Accent3 2 11 4 6 3" xfId="34332" xr:uid="{00000000-0005-0000-0000-00004B420000}"/>
    <cellStyle name="40% - Accent3 2 11 4 7" xfId="18792" xr:uid="{00000000-0005-0000-0000-00004C420000}"/>
    <cellStyle name="40% - Accent3 2 11 4 8" xfId="27673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4" xr:uid="{00000000-0005-0000-0000-000051420000}"/>
    <cellStyle name="40% - Accent3 2 11 5 2 2 3" xfId="31371" xr:uid="{00000000-0005-0000-0000-000052420000}"/>
    <cellStyle name="40% - Accent3 2 11 5 2 3" xfId="13439" xr:uid="{00000000-0005-0000-0000-000053420000}"/>
    <cellStyle name="40% - Accent3 2 11 5 2 3 2" xfId="24713" xr:uid="{00000000-0005-0000-0000-000054420000}"/>
    <cellStyle name="40% - Accent3 2 11 5 2 3 3" xfId="33590" xr:uid="{00000000-0005-0000-0000-000055420000}"/>
    <cellStyle name="40% - Accent3 2 11 5 2 4" xfId="15889" xr:uid="{00000000-0005-0000-0000-000056420000}"/>
    <cellStyle name="40% - Accent3 2 11 5 2 4 2" xfId="26932" xr:uid="{00000000-0005-0000-0000-000057420000}"/>
    <cellStyle name="40% - Accent3 2 11 5 2 4 3" xfId="35809" xr:uid="{00000000-0005-0000-0000-000058420000}"/>
    <cellStyle name="40% - Accent3 2 11 5 2 5" xfId="20275" xr:uid="{00000000-0005-0000-0000-000059420000}"/>
    <cellStyle name="40% - Accent3 2 11 5 2 6" xfId="29152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1" xr:uid="{00000000-0005-0000-0000-00005D420000}"/>
    <cellStyle name="40% - Accent3 2 11 5 3 2 3" xfId="30638" xr:uid="{00000000-0005-0000-0000-00005E420000}"/>
    <cellStyle name="40% - Accent3 2 11 5 3 3" xfId="12706" xr:uid="{00000000-0005-0000-0000-00005F420000}"/>
    <cellStyle name="40% - Accent3 2 11 5 3 3 2" xfId="23980" xr:uid="{00000000-0005-0000-0000-000060420000}"/>
    <cellStyle name="40% - Accent3 2 11 5 3 3 3" xfId="32857" xr:uid="{00000000-0005-0000-0000-000061420000}"/>
    <cellStyle name="40% - Accent3 2 11 5 3 4" xfId="15156" xr:uid="{00000000-0005-0000-0000-000062420000}"/>
    <cellStyle name="40% - Accent3 2 11 5 3 4 2" xfId="26199" xr:uid="{00000000-0005-0000-0000-000063420000}"/>
    <cellStyle name="40% - Accent3 2 11 5 3 4 3" xfId="35076" xr:uid="{00000000-0005-0000-0000-000064420000}"/>
    <cellStyle name="40% - Accent3 2 11 5 3 5" xfId="19542" xr:uid="{00000000-0005-0000-0000-000065420000}"/>
    <cellStyle name="40% - Accent3 2 11 5 3 6" xfId="28419" xr:uid="{00000000-0005-0000-0000-000066420000}"/>
    <cellStyle name="40% - Accent3 2 11 5 4" xfId="9515" xr:uid="{00000000-0005-0000-0000-000067420000}"/>
    <cellStyle name="40% - Accent3 2 11 5 4 2" xfId="21018" xr:uid="{00000000-0005-0000-0000-000068420000}"/>
    <cellStyle name="40% - Accent3 2 11 5 4 3" xfId="29895" xr:uid="{00000000-0005-0000-0000-000069420000}"/>
    <cellStyle name="40% - Accent3 2 11 5 5" xfId="11963" xr:uid="{00000000-0005-0000-0000-00006A420000}"/>
    <cellStyle name="40% - Accent3 2 11 5 5 2" xfId="23237" xr:uid="{00000000-0005-0000-0000-00006B420000}"/>
    <cellStyle name="40% - Accent3 2 11 5 5 3" xfId="32114" xr:uid="{00000000-0005-0000-0000-00006C420000}"/>
    <cellStyle name="40% - Accent3 2 11 5 6" xfId="14184" xr:uid="{00000000-0005-0000-0000-00006D420000}"/>
    <cellStyle name="40% - Accent3 2 11 5 6 2" xfId="25456" xr:uid="{00000000-0005-0000-0000-00006E420000}"/>
    <cellStyle name="40% - Accent3 2 11 5 6 3" xfId="34333" xr:uid="{00000000-0005-0000-0000-00006F420000}"/>
    <cellStyle name="40% - Accent3 2 11 5 7" xfId="18793" xr:uid="{00000000-0005-0000-0000-000070420000}"/>
    <cellStyle name="40% - Accent3 2 11 5 8" xfId="27674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5" xr:uid="{00000000-0005-0000-0000-000078420000}"/>
    <cellStyle name="40% - Accent3 2 15 2 2 3" xfId="31372" xr:uid="{00000000-0005-0000-0000-000079420000}"/>
    <cellStyle name="40% - Accent3 2 15 2 3" xfId="13440" xr:uid="{00000000-0005-0000-0000-00007A420000}"/>
    <cellStyle name="40% - Accent3 2 15 2 3 2" xfId="24714" xr:uid="{00000000-0005-0000-0000-00007B420000}"/>
    <cellStyle name="40% - Accent3 2 15 2 3 3" xfId="33591" xr:uid="{00000000-0005-0000-0000-00007C420000}"/>
    <cellStyle name="40% - Accent3 2 15 2 4" xfId="15890" xr:uid="{00000000-0005-0000-0000-00007D420000}"/>
    <cellStyle name="40% - Accent3 2 15 2 4 2" xfId="26933" xr:uid="{00000000-0005-0000-0000-00007E420000}"/>
    <cellStyle name="40% - Accent3 2 15 2 4 3" xfId="35810" xr:uid="{00000000-0005-0000-0000-00007F420000}"/>
    <cellStyle name="40% - Accent3 2 15 2 5" xfId="20276" xr:uid="{00000000-0005-0000-0000-000080420000}"/>
    <cellStyle name="40% - Accent3 2 15 2 6" xfId="29153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2" xr:uid="{00000000-0005-0000-0000-000084420000}"/>
    <cellStyle name="40% - Accent3 2 15 3 2 3" xfId="30639" xr:uid="{00000000-0005-0000-0000-000085420000}"/>
    <cellStyle name="40% - Accent3 2 15 3 3" xfId="12707" xr:uid="{00000000-0005-0000-0000-000086420000}"/>
    <cellStyle name="40% - Accent3 2 15 3 3 2" xfId="23981" xr:uid="{00000000-0005-0000-0000-000087420000}"/>
    <cellStyle name="40% - Accent3 2 15 3 3 3" xfId="32858" xr:uid="{00000000-0005-0000-0000-000088420000}"/>
    <cellStyle name="40% - Accent3 2 15 3 4" xfId="15157" xr:uid="{00000000-0005-0000-0000-000089420000}"/>
    <cellStyle name="40% - Accent3 2 15 3 4 2" xfId="26200" xr:uid="{00000000-0005-0000-0000-00008A420000}"/>
    <cellStyle name="40% - Accent3 2 15 3 4 3" xfId="35077" xr:uid="{00000000-0005-0000-0000-00008B420000}"/>
    <cellStyle name="40% - Accent3 2 15 3 5" xfId="19543" xr:uid="{00000000-0005-0000-0000-00008C420000}"/>
    <cellStyle name="40% - Accent3 2 15 3 6" xfId="28420" xr:uid="{00000000-0005-0000-0000-00008D420000}"/>
    <cellStyle name="40% - Accent3 2 15 4" xfId="9516" xr:uid="{00000000-0005-0000-0000-00008E420000}"/>
    <cellStyle name="40% - Accent3 2 15 4 2" xfId="21019" xr:uid="{00000000-0005-0000-0000-00008F420000}"/>
    <cellStyle name="40% - Accent3 2 15 4 3" xfId="29896" xr:uid="{00000000-0005-0000-0000-000090420000}"/>
    <cellStyle name="40% - Accent3 2 15 5" xfId="11964" xr:uid="{00000000-0005-0000-0000-000091420000}"/>
    <cellStyle name="40% - Accent3 2 15 5 2" xfId="23238" xr:uid="{00000000-0005-0000-0000-000092420000}"/>
    <cellStyle name="40% - Accent3 2 15 5 3" xfId="32115" xr:uid="{00000000-0005-0000-0000-000093420000}"/>
    <cellStyle name="40% - Accent3 2 15 6" xfId="14185" xr:uid="{00000000-0005-0000-0000-000094420000}"/>
    <cellStyle name="40% - Accent3 2 15 6 2" xfId="25457" xr:uid="{00000000-0005-0000-0000-000095420000}"/>
    <cellStyle name="40% - Accent3 2 15 6 3" xfId="34334" xr:uid="{00000000-0005-0000-0000-000096420000}"/>
    <cellStyle name="40% - Accent3 2 15 7" xfId="18794" xr:uid="{00000000-0005-0000-0000-000097420000}"/>
    <cellStyle name="40% - Accent3 2 15 8" xfId="27675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6" xr:uid="{00000000-0005-0000-0000-00009D420000}"/>
    <cellStyle name="40% - Accent3 2 2 10 2 3" xfId="31373" xr:uid="{00000000-0005-0000-0000-00009E420000}"/>
    <cellStyle name="40% - Accent3 2 2 10 3" xfId="13441" xr:uid="{00000000-0005-0000-0000-00009F420000}"/>
    <cellStyle name="40% - Accent3 2 2 10 3 2" xfId="24715" xr:uid="{00000000-0005-0000-0000-0000A0420000}"/>
    <cellStyle name="40% - Accent3 2 2 10 3 3" xfId="33592" xr:uid="{00000000-0005-0000-0000-0000A1420000}"/>
    <cellStyle name="40% - Accent3 2 2 10 4" xfId="15891" xr:uid="{00000000-0005-0000-0000-0000A2420000}"/>
    <cellStyle name="40% - Accent3 2 2 10 4 2" xfId="26934" xr:uid="{00000000-0005-0000-0000-0000A3420000}"/>
    <cellStyle name="40% - Accent3 2 2 10 4 3" xfId="35811" xr:uid="{00000000-0005-0000-0000-0000A4420000}"/>
    <cellStyle name="40% - Accent3 2 2 10 5" xfId="20277" xr:uid="{00000000-0005-0000-0000-0000A5420000}"/>
    <cellStyle name="40% - Accent3 2 2 10 6" xfId="29154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3" xr:uid="{00000000-0005-0000-0000-0000A9420000}"/>
    <cellStyle name="40% - Accent3 2 2 11 2 3" xfId="30640" xr:uid="{00000000-0005-0000-0000-0000AA420000}"/>
    <cellStyle name="40% - Accent3 2 2 11 3" xfId="12708" xr:uid="{00000000-0005-0000-0000-0000AB420000}"/>
    <cellStyle name="40% - Accent3 2 2 11 3 2" xfId="23982" xr:uid="{00000000-0005-0000-0000-0000AC420000}"/>
    <cellStyle name="40% - Accent3 2 2 11 3 3" xfId="32859" xr:uid="{00000000-0005-0000-0000-0000AD420000}"/>
    <cellStyle name="40% - Accent3 2 2 11 4" xfId="15158" xr:uid="{00000000-0005-0000-0000-0000AE420000}"/>
    <cellStyle name="40% - Accent3 2 2 11 4 2" xfId="26201" xr:uid="{00000000-0005-0000-0000-0000AF420000}"/>
    <cellStyle name="40% - Accent3 2 2 11 4 3" xfId="35078" xr:uid="{00000000-0005-0000-0000-0000B0420000}"/>
    <cellStyle name="40% - Accent3 2 2 11 5" xfId="19544" xr:uid="{00000000-0005-0000-0000-0000B1420000}"/>
    <cellStyle name="40% - Accent3 2 2 11 6" xfId="28421" xr:uid="{00000000-0005-0000-0000-0000B2420000}"/>
    <cellStyle name="40% - Accent3 2 2 12" xfId="9517" xr:uid="{00000000-0005-0000-0000-0000B3420000}"/>
    <cellStyle name="40% - Accent3 2 2 12 2" xfId="21020" xr:uid="{00000000-0005-0000-0000-0000B4420000}"/>
    <cellStyle name="40% - Accent3 2 2 12 3" xfId="29897" xr:uid="{00000000-0005-0000-0000-0000B5420000}"/>
    <cellStyle name="40% - Accent3 2 2 13" xfId="11965" xr:uid="{00000000-0005-0000-0000-0000B6420000}"/>
    <cellStyle name="40% - Accent3 2 2 13 2" xfId="23239" xr:uid="{00000000-0005-0000-0000-0000B7420000}"/>
    <cellStyle name="40% - Accent3 2 2 13 3" xfId="32116" xr:uid="{00000000-0005-0000-0000-0000B8420000}"/>
    <cellStyle name="40% - Accent3 2 2 14" xfId="14186" xr:uid="{00000000-0005-0000-0000-0000B9420000}"/>
    <cellStyle name="40% - Accent3 2 2 14 2" xfId="25458" xr:uid="{00000000-0005-0000-0000-0000BA420000}"/>
    <cellStyle name="40% - Accent3 2 2 14 3" xfId="34335" xr:uid="{00000000-0005-0000-0000-0000BB420000}"/>
    <cellStyle name="40% - Accent3 2 2 15" xfId="18795" xr:uid="{00000000-0005-0000-0000-0000BC420000}"/>
    <cellStyle name="40% - Accent3 2 2 16" xfId="27676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7" xr:uid="{00000000-0005-0000-0000-0000C1420000}"/>
    <cellStyle name="40% - Accent3 2 2 2 2 2 3" xfId="31374" xr:uid="{00000000-0005-0000-0000-0000C2420000}"/>
    <cellStyle name="40% - Accent3 2 2 2 2 3" xfId="13442" xr:uid="{00000000-0005-0000-0000-0000C3420000}"/>
    <cellStyle name="40% - Accent3 2 2 2 2 3 2" xfId="24716" xr:uid="{00000000-0005-0000-0000-0000C4420000}"/>
    <cellStyle name="40% - Accent3 2 2 2 2 3 3" xfId="33593" xr:uid="{00000000-0005-0000-0000-0000C5420000}"/>
    <cellStyle name="40% - Accent3 2 2 2 2 4" xfId="15892" xr:uid="{00000000-0005-0000-0000-0000C6420000}"/>
    <cellStyle name="40% - Accent3 2 2 2 2 4 2" xfId="26935" xr:uid="{00000000-0005-0000-0000-0000C7420000}"/>
    <cellStyle name="40% - Accent3 2 2 2 2 4 3" xfId="35812" xr:uid="{00000000-0005-0000-0000-0000C8420000}"/>
    <cellStyle name="40% - Accent3 2 2 2 2 5" xfId="20278" xr:uid="{00000000-0005-0000-0000-0000C9420000}"/>
    <cellStyle name="40% - Accent3 2 2 2 2 6" xfId="29155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4" xr:uid="{00000000-0005-0000-0000-0000CD420000}"/>
    <cellStyle name="40% - Accent3 2 2 2 3 2 3" xfId="30641" xr:uid="{00000000-0005-0000-0000-0000CE420000}"/>
    <cellStyle name="40% - Accent3 2 2 2 3 3" xfId="12709" xr:uid="{00000000-0005-0000-0000-0000CF420000}"/>
    <cellStyle name="40% - Accent3 2 2 2 3 3 2" xfId="23983" xr:uid="{00000000-0005-0000-0000-0000D0420000}"/>
    <cellStyle name="40% - Accent3 2 2 2 3 3 3" xfId="32860" xr:uid="{00000000-0005-0000-0000-0000D1420000}"/>
    <cellStyle name="40% - Accent3 2 2 2 3 4" xfId="15159" xr:uid="{00000000-0005-0000-0000-0000D2420000}"/>
    <cellStyle name="40% - Accent3 2 2 2 3 4 2" xfId="26202" xr:uid="{00000000-0005-0000-0000-0000D3420000}"/>
    <cellStyle name="40% - Accent3 2 2 2 3 4 3" xfId="35079" xr:uid="{00000000-0005-0000-0000-0000D4420000}"/>
    <cellStyle name="40% - Accent3 2 2 2 3 5" xfId="19545" xr:uid="{00000000-0005-0000-0000-0000D5420000}"/>
    <cellStyle name="40% - Accent3 2 2 2 3 6" xfId="28422" xr:uid="{00000000-0005-0000-0000-0000D6420000}"/>
    <cellStyle name="40% - Accent3 2 2 2 4" xfId="9518" xr:uid="{00000000-0005-0000-0000-0000D7420000}"/>
    <cellStyle name="40% - Accent3 2 2 2 4 2" xfId="21021" xr:uid="{00000000-0005-0000-0000-0000D8420000}"/>
    <cellStyle name="40% - Accent3 2 2 2 4 3" xfId="29898" xr:uid="{00000000-0005-0000-0000-0000D9420000}"/>
    <cellStyle name="40% - Accent3 2 2 2 5" xfId="11966" xr:uid="{00000000-0005-0000-0000-0000DA420000}"/>
    <cellStyle name="40% - Accent3 2 2 2 5 2" xfId="23240" xr:uid="{00000000-0005-0000-0000-0000DB420000}"/>
    <cellStyle name="40% - Accent3 2 2 2 5 3" xfId="32117" xr:uid="{00000000-0005-0000-0000-0000DC420000}"/>
    <cellStyle name="40% - Accent3 2 2 2 6" xfId="14187" xr:uid="{00000000-0005-0000-0000-0000DD420000}"/>
    <cellStyle name="40% - Accent3 2 2 2 6 2" xfId="25459" xr:uid="{00000000-0005-0000-0000-0000DE420000}"/>
    <cellStyle name="40% - Accent3 2 2 2 6 3" xfId="34336" xr:uid="{00000000-0005-0000-0000-0000DF420000}"/>
    <cellStyle name="40% - Accent3 2 2 2 7" xfId="18796" xr:uid="{00000000-0005-0000-0000-0000E0420000}"/>
    <cellStyle name="40% - Accent3 2 2 2 8" xfId="27677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8" xr:uid="{00000000-0005-0000-0000-0000E5420000}"/>
    <cellStyle name="40% - Accent3 2 2 3 2 2 3" xfId="31375" xr:uid="{00000000-0005-0000-0000-0000E6420000}"/>
    <cellStyle name="40% - Accent3 2 2 3 2 3" xfId="13443" xr:uid="{00000000-0005-0000-0000-0000E7420000}"/>
    <cellStyle name="40% - Accent3 2 2 3 2 3 2" xfId="24717" xr:uid="{00000000-0005-0000-0000-0000E8420000}"/>
    <cellStyle name="40% - Accent3 2 2 3 2 3 3" xfId="33594" xr:uid="{00000000-0005-0000-0000-0000E9420000}"/>
    <cellStyle name="40% - Accent3 2 2 3 2 4" xfId="15893" xr:uid="{00000000-0005-0000-0000-0000EA420000}"/>
    <cellStyle name="40% - Accent3 2 2 3 2 4 2" xfId="26936" xr:uid="{00000000-0005-0000-0000-0000EB420000}"/>
    <cellStyle name="40% - Accent3 2 2 3 2 4 3" xfId="35813" xr:uid="{00000000-0005-0000-0000-0000EC420000}"/>
    <cellStyle name="40% - Accent3 2 2 3 2 5" xfId="20279" xr:uid="{00000000-0005-0000-0000-0000ED420000}"/>
    <cellStyle name="40% - Accent3 2 2 3 2 6" xfId="29156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5" xr:uid="{00000000-0005-0000-0000-0000F1420000}"/>
    <cellStyle name="40% - Accent3 2 2 3 3 2 3" xfId="30642" xr:uid="{00000000-0005-0000-0000-0000F2420000}"/>
    <cellStyle name="40% - Accent3 2 2 3 3 3" xfId="12710" xr:uid="{00000000-0005-0000-0000-0000F3420000}"/>
    <cellStyle name="40% - Accent3 2 2 3 3 3 2" xfId="23984" xr:uid="{00000000-0005-0000-0000-0000F4420000}"/>
    <cellStyle name="40% - Accent3 2 2 3 3 3 3" xfId="32861" xr:uid="{00000000-0005-0000-0000-0000F5420000}"/>
    <cellStyle name="40% - Accent3 2 2 3 3 4" xfId="15160" xr:uid="{00000000-0005-0000-0000-0000F6420000}"/>
    <cellStyle name="40% - Accent3 2 2 3 3 4 2" xfId="26203" xr:uid="{00000000-0005-0000-0000-0000F7420000}"/>
    <cellStyle name="40% - Accent3 2 2 3 3 4 3" xfId="35080" xr:uid="{00000000-0005-0000-0000-0000F8420000}"/>
    <cellStyle name="40% - Accent3 2 2 3 3 5" xfId="19546" xr:uid="{00000000-0005-0000-0000-0000F9420000}"/>
    <cellStyle name="40% - Accent3 2 2 3 3 6" xfId="28423" xr:uid="{00000000-0005-0000-0000-0000FA420000}"/>
    <cellStyle name="40% - Accent3 2 2 3 4" xfId="9519" xr:uid="{00000000-0005-0000-0000-0000FB420000}"/>
    <cellStyle name="40% - Accent3 2 2 3 4 2" xfId="21022" xr:uid="{00000000-0005-0000-0000-0000FC420000}"/>
    <cellStyle name="40% - Accent3 2 2 3 4 3" xfId="29899" xr:uid="{00000000-0005-0000-0000-0000FD420000}"/>
    <cellStyle name="40% - Accent3 2 2 3 5" xfId="11967" xr:uid="{00000000-0005-0000-0000-0000FE420000}"/>
    <cellStyle name="40% - Accent3 2 2 3 5 2" xfId="23241" xr:uid="{00000000-0005-0000-0000-0000FF420000}"/>
    <cellStyle name="40% - Accent3 2 2 3 5 3" xfId="32118" xr:uid="{00000000-0005-0000-0000-000000430000}"/>
    <cellStyle name="40% - Accent3 2 2 3 6" xfId="14188" xr:uid="{00000000-0005-0000-0000-000001430000}"/>
    <cellStyle name="40% - Accent3 2 2 3 6 2" xfId="25460" xr:uid="{00000000-0005-0000-0000-000002430000}"/>
    <cellStyle name="40% - Accent3 2 2 3 6 3" xfId="34337" xr:uid="{00000000-0005-0000-0000-000003430000}"/>
    <cellStyle name="40% - Accent3 2 2 3 7" xfId="18797" xr:uid="{00000000-0005-0000-0000-000004430000}"/>
    <cellStyle name="40% - Accent3 2 2 3 8" xfId="27678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499" xr:uid="{00000000-0005-0000-0000-000009430000}"/>
    <cellStyle name="40% - Accent3 2 2 4 2 2 3" xfId="31376" xr:uid="{00000000-0005-0000-0000-00000A430000}"/>
    <cellStyle name="40% - Accent3 2 2 4 2 3" xfId="13444" xr:uid="{00000000-0005-0000-0000-00000B430000}"/>
    <cellStyle name="40% - Accent3 2 2 4 2 3 2" xfId="24718" xr:uid="{00000000-0005-0000-0000-00000C430000}"/>
    <cellStyle name="40% - Accent3 2 2 4 2 3 3" xfId="33595" xr:uid="{00000000-0005-0000-0000-00000D430000}"/>
    <cellStyle name="40% - Accent3 2 2 4 2 4" xfId="15894" xr:uid="{00000000-0005-0000-0000-00000E430000}"/>
    <cellStyle name="40% - Accent3 2 2 4 2 4 2" xfId="26937" xr:uid="{00000000-0005-0000-0000-00000F430000}"/>
    <cellStyle name="40% - Accent3 2 2 4 2 4 3" xfId="35814" xr:uid="{00000000-0005-0000-0000-000010430000}"/>
    <cellStyle name="40% - Accent3 2 2 4 2 5" xfId="20280" xr:uid="{00000000-0005-0000-0000-000011430000}"/>
    <cellStyle name="40% - Accent3 2 2 4 2 6" xfId="29157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6" xr:uid="{00000000-0005-0000-0000-000015430000}"/>
    <cellStyle name="40% - Accent3 2 2 4 3 2 3" xfId="30643" xr:uid="{00000000-0005-0000-0000-000016430000}"/>
    <cellStyle name="40% - Accent3 2 2 4 3 3" xfId="12711" xr:uid="{00000000-0005-0000-0000-000017430000}"/>
    <cellStyle name="40% - Accent3 2 2 4 3 3 2" xfId="23985" xr:uid="{00000000-0005-0000-0000-000018430000}"/>
    <cellStyle name="40% - Accent3 2 2 4 3 3 3" xfId="32862" xr:uid="{00000000-0005-0000-0000-000019430000}"/>
    <cellStyle name="40% - Accent3 2 2 4 3 4" xfId="15161" xr:uid="{00000000-0005-0000-0000-00001A430000}"/>
    <cellStyle name="40% - Accent3 2 2 4 3 4 2" xfId="26204" xr:uid="{00000000-0005-0000-0000-00001B430000}"/>
    <cellStyle name="40% - Accent3 2 2 4 3 4 3" xfId="35081" xr:uid="{00000000-0005-0000-0000-00001C430000}"/>
    <cellStyle name="40% - Accent3 2 2 4 3 5" xfId="19547" xr:uid="{00000000-0005-0000-0000-00001D430000}"/>
    <cellStyle name="40% - Accent3 2 2 4 3 6" xfId="28424" xr:uid="{00000000-0005-0000-0000-00001E430000}"/>
    <cellStyle name="40% - Accent3 2 2 4 4" xfId="9520" xr:uid="{00000000-0005-0000-0000-00001F430000}"/>
    <cellStyle name="40% - Accent3 2 2 4 4 2" xfId="21023" xr:uid="{00000000-0005-0000-0000-000020430000}"/>
    <cellStyle name="40% - Accent3 2 2 4 4 3" xfId="29900" xr:uid="{00000000-0005-0000-0000-000021430000}"/>
    <cellStyle name="40% - Accent3 2 2 4 5" xfId="11968" xr:uid="{00000000-0005-0000-0000-000022430000}"/>
    <cellStyle name="40% - Accent3 2 2 4 5 2" xfId="23242" xr:uid="{00000000-0005-0000-0000-000023430000}"/>
    <cellStyle name="40% - Accent3 2 2 4 5 3" xfId="32119" xr:uid="{00000000-0005-0000-0000-000024430000}"/>
    <cellStyle name="40% - Accent3 2 2 4 6" xfId="14189" xr:uid="{00000000-0005-0000-0000-000025430000}"/>
    <cellStyle name="40% - Accent3 2 2 4 6 2" xfId="25461" xr:uid="{00000000-0005-0000-0000-000026430000}"/>
    <cellStyle name="40% - Accent3 2 2 4 6 3" xfId="34338" xr:uid="{00000000-0005-0000-0000-000027430000}"/>
    <cellStyle name="40% - Accent3 2 2 4 7" xfId="18798" xr:uid="{00000000-0005-0000-0000-000028430000}"/>
    <cellStyle name="40% - Accent3 2 2 4 8" xfId="27679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0" xr:uid="{00000000-0005-0000-0000-00002D430000}"/>
    <cellStyle name="40% - Accent3 2 2 5 2 2 3" xfId="31377" xr:uid="{00000000-0005-0000-0000-00002E430000}"/>
    <cellStyle name="40% - Accent3 2 2 5 2 3" xfId="13445" xr:uid="{00000000-0005-0000-0000-00002F430000}"/>
    <cellStyle name="40% - Accent3 2 2 5 2 3 2" xfId="24719" xr:uid="{00000000-0005-0000-0000-000030430000}"/>
    <cellStyle name="40% - Accent3 2 2 5 2 3 3" xfId="33596" xr:uid="{00000000-0005-0000-0000-000031430000}"/>
    <cellStyle name="40% - Accent3 2 2 5 2 4" xfId="15895" xr:uid="{00000000-0005-0000-0000-000032430000}"/>
    <cellStyle name="40% - Accent3 2 2 5 2 4 2" xfId="26938" xr:uid="{00000000-0005-0000-0000-000033430000}"/>
    <cellStyle name="40% - Accent3 2 2 5 2 4 3" xfId="35815" xr:uid="{00000000-0005-0000-0000-000034430000}"/>
    <cellStyle name="40% - Accent3 2 2 5 2 5" xfId="20281" xr:uid="{00000000-0005-0000-0000-000035430000}"/>
    <cellStyle name="40% - Accent3 2 2 5 2 6" xfId="29158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7" xr:uid="{00000000-0005-0000-0000-000039430000}"/>
    <cellStyle name="40% - Accent3 2 2 5 3 2 3" xfId="30644" xr:uid="{00000000-0005-0000-0000-00003A430000}"/>
    <cellStyle name="40% - Accent3 2 2 5 3 3" xfId="12712" xr:uid="{00000000-0005-0000-0000-00003B430000}"/>
    <cellStyle name="40% - Accent3 2 2 5 3 3 2" xfId="23986" xr:uid="{00000000-0005-0000-0000-00003C430000}"/>
    <cellStyle name="40% - Accent3 2 2 5 3 3 3" xfId="32863" xr:uid="{00000000-0005-0000-0000-00003D430000}"/>
    <cellStyle name="40% - Accent3 2 2 5 3 4" xfId="15162" xr:uid="{00000000-0005-0000-0000-00003E430000}"/>
    <cellStyle name="40% - Accent3 2 2 5 3 4 2" xfId="26205" xr:uid="{00000000-0005-0000-0000-00003F430000}"/>
    <cellStyle name="40% - Accent3 2 2 5 3 4 3" xfId="35082" xr:uid="{00000000-0005-0000-0000-000040430000}"/>
    <cellStyle name="40% - Accent3 2 2 5 3 5" xfId="19548" xr:uid="{00000000-0005-0000-0000-000041430000}"/>
    <cellStyle name="40% - Accent3 2 2 5 3 6" xfId="28425" xr:uid="{00000000-0005-0000-0000-000042430000}"/>
    <cellStyle name="40% - Accent3 2 2 5 4" xfId="9521" xr:uid="{00000000-0005-0000-0000-000043430000}"/>
    <cellStyle name="40% - Accent3 2 2 5 4 2" xfId="21024" xr:uid="{00000000-0005-0000-0000-000044430000}"/>
    <cellStyle name="40% - Accent3 2 2 5 4 3" xfId="29901" xr:uid="{00000000-0005-0000-0000-000045430000}"/>
    <cellStyle name="40% - Accent3 2 2 5 5" xfId="11969" xr:uid="{00000000-0005-0000-0000-000046430000}"/>
    <cellStyle name="40% - Accent3 2 2 5 5 2" xfId="23243" xr:uid="{00000000-0005-0000-0000-000047430000}"/>
    <cellStyle name="40% - Accent3 2 2 5 5 3" xfId="32120" xr:uid="{00000000-0005-0000-0000-000048430000}"/>
    <cellStyle name="40% - Accent3 2 2 5 6" xfId="14190" xr:uid="{00000000-0005-0000-0000-000049430000}"/>
    <cellStyle name="40% - Accent3 2 2 5 6 2" xfId="25462" xr:uid="{00000000-0005-0000-0000-00004A430000}"/>
    <cellStyle name="40% - Accent3 2 2 5 6 3" xfId="34339" xr:uid="{00000000-0005-0000-0000-00004B430000}"/>
    <cellStyle name="40% - Accent3 2 2 5 7" xfId="18799" xr:uid="{00000000-0005-0000-0000-00004C430000}"/>
    <cellStyle name="40% - Accent3 2 2 5 8" xfId="27680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1" xr:uid="{00000000-0005-0000-0000-000051430000}"/>
    <cellStyle name="40% - Accent3 2 2 6 2 2 3" xfId="31378" xr:uid="{00000000-0005-0000-0000-000052430000}"/>
    <cellStyle name="40% - Accent3 2 2 6 2 3" xfId="13446" xr:uid="{00000000-0005-0000-0000-000053430000}"/>
    <cellStyle name="40% - Accent3 2 2 6 2 3 2" xfId="24720" xr:uid="{00000000-0005-0000-0000-000054430000}"/>
    <cellStyle name="40% - Accent3 2 2 6 2 3 3" xfId="33597" xr:uid="{00000000-0005-0000-0000-000055430000}"/>
    <cellStyle name="40% - Accent3 2 2 6 2 4" xfId="15896" xr:uid="{00000000-0005-0000-0000-000056430000}"/>
    <cellStyle name="40% - Accent3 2 2 6 2 4 2" xfId="26939" xr:uid="{00000000-0005-0000-0000-000057430000}"/>
    <cellStyle name="40% - Accent3 2 2 6 2 4 3" xfId="35816" xr:uid="{00000000-0005-0000-0000-000058430000}"/>
    <cellStyle name="40% - Accent3 2 2 6 2 5" xfId="20282" xr:uid="{00000000-0005-0000-0000-000059430000}"/>
    <cellStyle name="40% - Accent3 2 2 6 2 6" xfId="29159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8" xr:uid="{00000000-0005-0000-0000-00005D430000}"/>
    <cellStyle name="40% - Accent3 2 2 6 3 2 3" xfId="30645" xr:uid="{00000000-0005-0000-0000-00005E430000}"/>
    <cellStyle name="40% - Accent3 2 2 6 3 3" xfId="12713" xr:uid="{00000000-0005-0000-0000-00005F430000}"/>
    <cellStyle name="40% - Accent3 2 2 6 3 3 2" xfId="23987" xr:uid="{00000000-0005-0000-0000-000060430000}"/>
    <cellStyle name="40% - Accent3 2 2 6 3 3 3" xfId="32864" xr:uid="{00000000-0005-0000-0000-000061430000}"/>
    <cellStyle name="40% - Accent3 2 2 6 3 4" xfId="15163" xr:uid="{00000000-0005-0000-0000-000062430000}"/>
    <cellStyle name="40% - Accent3 2 2 6 3 4 2" xfId="26206" xr:uid="{00000000-0005-0000-0000-000063430000}"/>
    <cellStyle name="40% - Accent3 2 2 6 3 4 3" xfId="35083" xr:uid="{00000000-0005-0000-0000-000064430000}"/>
    <cellStyle name="40% - Accent3 2 2 6 3 5" xfId="19549" xr:uid="{00000000-0005-0000-0000-000065430000}"/>
    <cellStyle name="40% - Accent3 2 2 6 3 6" xfId="28426" xr:uid="{00000000-0005-0000-0000-000066430000}"/>
    <cellStyle name="40% - Accent3 2 2 6 4" xfId="9522" xr:uid="{00000000-0005-0000-0000-000067430000}"/>
    <cellStyle name="40% - Accent3 2 2 6 4 2" xfId="21025" xr:uid="{00000000-0005-0000-0000-000068430000}"/>
    <cellStyle name="40% - Accent3 2 2 6 4 3" xfId="29902" xr:uid="{00000000-0005-0000-0000-000069430000}"/>
    <cellStyle name="40% - Accent3 2 2 6 5" xfId="11970" xr:uid="{00000000-0005-0000-0000-00006A430000}"/>
    <cellStyle name="40% - Accent3 2 2 6 5 2" xfId="23244" xr:uid="{00000000-0005-0000-0000-00006B430000}"/>
    <cellStyle name="40% - Accent3 2 2 6 5 3" xfId="32121" xr:uid="{00000000-0005-0000-0000-00006C430000}"/>
    <cellStyle name="40% - Accent3 2 2 6 6" xfId="14191" xr:uid="{00000000-0005-0000-0000-00006D430000}"/>
    <cellStyle name="40% - Accent3 2 2 6 6 2" xfId="25463" xr:uid="{00000000-0005-0000-0000-00006E430000}"/>
    <cellStyle name="40% - Accent3 2 2 6 6 3" xfId="34340" xr:uid="{00000000-0005-0000-0000-00006F430000}"/>
    <cellStyle name="40% - Accent3 2 2 6 7" xfId="18800" xr:uid="{00000000-0005-0000-0000-000070430000}"/>
    <cellStyle name="40% - Accent3 2 2 6 8" xfId="27681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2" xr:uid="{00000000-0005-0000-0000-000075430000}"/>
    <cellStyle name="40% - Accent3 2 2 7 2 2 3" xfId="31379" xr:uid="{00000000-0005-0000-0000-000076430000}"/>
    <cellStyle name="40% - Accent3 2 2 7 2 3" xfId="13447" xr:uid="{00000000-0005-0000-0000-000077430000}"/>
    <cellStyle name="40% - Accent3 2 2 7 2 3 2" xfId="24721" xr:uid="{00000000-0005-0000-0000-000078430000}"/>
    <cellStyle name="40% - Accent3 2 2 7 2 3 3" xfId="33598" xr:uid="{00000000-0005-0000-0000-000079430000}"/>
    <cellStyle name="40% - Accent3 2 2 7 2 4" xfId="15897" xr:uid="{00000000-0005-0000-0000-00007A430000}"/>
    <cellStyle name="40% - Accent3 2 2 7 2 4 2" xfId="26940" xr:uid="{00000000-0005-0000-0000-00007B430000}"/>
    <cellStyle name="40% - Accent3 2 2 7 2 4 3" xfId="35817" xr:uid="{00000000-0005-0000-0000-00007C430000}"/>
    <cellStyle name="40% - Accent3 2 2 7 2 5" xfId="20283" xr:uid="{00000000-0005-0000-0000-00007D430000}"/>
    <cellStyle name="40% - Accent3 2 2 7 2 6" xfId="29160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69" xr:uid="{00000000-0005-0000-0000-000081430000}"/>
    <cellStyle name="40% - Accent3 2 2 7 3 2 3" xfId="30646" xr:uid="{00000000-0005-0000-0000-000082430000}"/>
    <cellStyle name="40% - Accent3 2 2 7 3 3" xfId="12714" xr:uid="{00000000-0005-0000-0000-000083430000}"/>
    <cellStyle name="40% - Accent3 2 2 7 3 3 2" xfId="23988" xr:uid="{00000000-0005-0000-0000-000084430000}"/>
    <cellStyle name="40% - Accent3 2 2 7 3 3 3" xfId="32865" xr:uid="{00000000-0005-0000-0000-000085430000}"/>
    <cellStyle name="40% - Accent3 2 2 7 3 4" xfId="15164" xr:uid="{00000000-0005-0000-0000-000086430000}"/>
    <cellStyle name="40% - Accent3 2 2 7 3 4 2" xfId="26207" xr:uid="{00000000-0005-0000-0000-000087430000}"/>
    <cellStyle name="40% - Accent3 2 2 7 3 4 3" xfId="35084" xr:uid="{00000000-0005-0000-0000-000088430000}"/>
    <cellStyle name="40% - Accent3 2 2 7 3 5" xfId="19550" xr:uid="{00000000-0005-0000-0000-000089430000}"/>
    <cellStyle name="40% - Accent3 2 2 7 3 6" xfId="28427" xr:uid="{00000000-0005-0000-0000-00008A430000}"/>
    <cellStyle name="40% - Accent3 2 2 7 4" xfId="9523" xr:uid="{00000000-0005-0000-0000-00008B430000}"/>
    <cellStyle name="40% - Accent3 2 2 7 4 2" xfId="21026" xr:uid="{00000000-0005-0000-0000-00008C430000}"/>
    <cellStyle name="40% - Accent3 2 2 7 4 3" xfId="29903" xr:uid="{00000000-0005-0000-0000-00008D430000}"/>
    <cellStyle name="40% - Accent3 2 2 7 5" xfId="11971" xr:uid="{00000000-0005-0000-0000-00008E430000}"/>
    <cellStyle name="40% - Accent3 2 2 7 5 2" xfId="23245" xr:uid="{00000000-0005-0000-0000-00008F430000}"/>
    <cellStyle name="40% - Accent3 2 2 7 5 3" xfId="32122" xr:uid="{00000000-0005-0000-0000-000090430000}"/>
    <cellStyle name="40% - Accent3 2 2 7 6" xfId="14192" xr:uid="{00000000-0005-0000-0000-000091430000}"/>
    <cellStyle name="40% - Accent3 2 2 7 6 2" xfId="25464" xr:uid="{00000000-0005-0000-0000-000092430000}"/>
    <cellStyle name="40% - Accent3 2 2 7 6 3" xfId="34341" xr:uid="{00000000-0005-0000-0000-000093430000}"/>
    <cellStyle name="40% - Accent3 2 2 7 7" xfId="18801" xr:uid="{00000000-0005-0000-0000-000094430000}"/>
    <cellStyle name="40% - Accent3 2 2 7 8" xfId="27682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3" xr:uid="{00000000-0005-0000-0000-000099430000}"/>
    <cellStyle name="40% - Accent3 2 2 8 2 2 3" xfId="31380" xr:uid="{00000000-0005-0000-0000-00009A430000}"/>
    <cellStyle name="40% - Accent3 2 2 8 2 3" xfId="13448" xr:uid="{00000000-0005-0000-0000-00009B430000}"/>
    <cellStyle name="40% - Accent3 2 2 8 2 3 2" xfId="24722" xr:uid="{00000000-0005-0000-0000-00009C430000}"/>
    <cellStyle name="40% - Accent3 2 2 8 2 3 3" xfId="33599" xr:uid="{00000000-0005-0000-0000-00009D430000}"/>
    <cellStyle name="40% - Accent3 2 2 8 2 4" xfId="15898" xr:uid="{00000000-0005-0000-0000-00009E430000}"/>
    <cellStyle name="40% - Accent3 2 2 8 2 4 2" xfId="26941" xr:uid="{00000000-0005-0000-0000-00009F430000}"/>
    <cellStyle name="40% - Accent3 2 2 8 2 4 3" xfId="35818" xr:uid="{00000000-0005-0000-0000-0000A0430000}"/>
    <cellStyle name="40% - Accent3 2 2 8 2 5" xfId="20284" xr:uid="{00000000-0005-0000-0000-0000A1430000}"/>
    <cellStyle name="40% - Accent3 2 2 8 2 6" xfId="29161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0" xr:uid="{00000000-0005-0000-0000-0000A5430000}"/>
    <cellStyle name="40% - Accent3 2 2 8 3 2 3" xfId="30647" xr:uid="{00000000-0005-0000-0000-0000A6430000}"/>
    <cellStyle name="40% - Accent3 2 2 8 3 3" xfId="12715" xr:uid="{00000000-0005-0000-0000-0000A7430000}"/>
    <cellStyle name="40% - Accent3 2 2 8 3 3 2" xfId="23989" xr:uid="{00000000-0005-0000-0000-0000A8430000}"/>
    <cellStyle name="40% - Accent3 2 2 8 3 3 3" xfId="32866" xr:uid="{00000000-0005-0000-0000-0000A9430000}"/>
    <cellStyle name="40% - Accent3 2 2 8 3 4" xfId="15165" xr:uid="{00000000-0005-0000-0000-0000AA430000}"/>
    <cellStyle name="40% - Accent3 2 2 8 3 4 2" xfId="26208" xr:uid="{00000000-0005-0000-0000-0000AB430000}"/>
    <cellStyle name="40% - Accent3 2 2 8 3 4 3" xfId="35085" xr:uid="{00000000-0005-0000-0000-0000AC430000}"/>
    <cellStyle name="40% - Accent3 2 2 8 3 5" xfId="19551" xr:uid="{00000000-0005-0000-0000-0000AD430000}"/>
    <cellStyle name="40% - Accent3 2 2 8 3 6" xfId="28428" xr:uid="{00000000-0005-0000-0000-0000AE430000}"/>
    <cellStyle name="40% - Accent3 2 2 8 4" xfId="9524" xr:uid="{00000000-0005-0000-0000-0000AF430000}"/>
    <cellStyle name="40% - Accent3 2 2 8 4 2" xfId="21027" xr:uid="{00000000-0005-0000-0000-0000B0430000}"/>
    <cellStyle name="40% - Accent3 2 2 8 4 3" xfId="29904" xr:uid="{00000000-0005-0000-0000-0000B1430000}"/>
    <cellStyle name="40% - Accent3 2 2 8 5" xfId="11972" xr:uid="{00000000-0005-0000-0000-0000B2430000}"/>
    <cellStyle name="40% - Accent3 2 2 8 5 2" xfId="23246" xr:uid="{00000000-0005-0000-0000-0000B3430000}"/>
    <cellStyle name="40% - Accent3 2 2 8 5 3" xfId="32123" xr:uid="{00000000-0005-0000-0000-0000B4430000}"/>
    <cellStyle name="40% - Accent3 2 2 8 6" xfId="14193" xr:uid="{00000000-0005-0000-0000-0000B5430000}"/>
    <cellStyle name="40% - Accent3 2 2 8 6 2" xfId="25465" xr:uid="{00000000-0005-0000-0000-0000B6430000}"/>
    <cellStyle name="40% - Accent3 2 2 8 6 3" xfId="34342" xr:uid="{00000000-0005-0000-0000-0000B7430000}"/>
    <cellStyle name="40% - Accent3 2 2 8 7" xfId="18802" xr:uid="{00000000-0005-0000-0000-0000B8430000}"/>
    <cellStyle name="40% - Accent3 2 2 8 8" xfId="27683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4" xr:uid="{00000000-0005-0000-0000-0000BD430000}"/>
    <cellStyle name="40% - Accent3 2 2 9 2 2 3" xfId="31381" xr:uid="{00000000-0005-0000-0000-0000BE430000}"/>
    <cellStyle name="40% - Accent3 2 2 9 2 3" xfId="13449" xr:uid="{00000000-0005-0000-0000-0000BF430000}"/>
    <cellStyle name="40% - Accent3 2 2 9 2 3 2" xfId="24723" xr:uid="{00000000-0005-0000-0000-0000C0430000}"/>
    <cellStyle name="40% - Accent3 2 2 9 2 3 3" xfId="33600" xr:uid="{00000000-0005-0000-0000-0000C1430000}"/>
    <cellStyle name="40% - Accent3 2 2 9 2 4" xfId="15899" xr:uid="{00000000-0005-0000-0000-0000C2430000}"/>
    <cellStyle name="40% - Accent3 2 2 9 2 4 2" xfId="26942" xr:uid="{00000000-0005-0000-0000-0000C3430000}"/>
    <cellStyle name="40% - Accent3 2 2 9 2 4 3" xfId="35819" xr:uid="{00000000-0005-0000-0000-0000C4430000}"/>
    <cellStyle name="40% - Accent3 2 2 9 2 5" xfId="20285" xr:uid="{00000000-0005-0000-0000-0000C5430000}"/>
    <cellStyle name="40% - Accent3 2 2 9 2 6" xfId="29162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1" xr:uid="{00000000-0005-0000-0000-0000C9430000}"/>
    <cellStyle name="40% - Accent3 2 2 9 3 2 3" xfId="30648" xr:uid="{00000000-0005-0000-0000-0000CA430000}"/>
    <cellStyle name="40% - Accent3 2 2 9 3 3" xfId="12716" xr:uid="{00000000-0005-0000-0000-0000CB430000}"/>
    <cellStyle name="40% - Accent3 2 2 9 3 3 2" xfId="23990" xr:uid="{00000000-0005-0000-0000-0000CC430000}"/>
    <cellStyle name="40% - Accent3 2 2 9 3 3 3" xfId="32867" xr:uid="{00000000-0005-0000-0000-0000CD430000}"/>
    <cellStyle name="40% - Accent3 2 2 9 3 4" xfId="15166" xr:uid="{00000000-0005-0000-0000-0000CE430000}"/>
    <cellStyle name="40% - Accent3 2 2 9 3 4 2" xfId="26209" xr:uid="{00000000-0005-0000-0000-0000CF430000}"/>
    <cellStyle name="40% - Accent3 2 2 9 3 4 3" xfId="35086" xr:uid="{00000000-0005-0000-0000-0000D0430000}"/>
    <cellStyle name="40% - Accent3 2 2 9 3 5" xfId="19552" xr:uid="{00000000-0005-0000-0000-0000D1430000}"/>
    <cellStyle name="40% - Accent3 2 2 9 3 6" xfId="28429" xr:uid="{00000000-0005-0000-0000-0000D2430000}"/>
    <cellStyle name="40% - Accent3 2 2 9 4" xfId="9525" xr:uid="{00000000-0005-0000-0000-0000D3430000}"/>
    <cellStyle name="40% - Accent3 2 2 9 4 2" xfId="21028" xr:uid="{00000000-0005-0000-0000-0000D4430000}"/>
    <cellStyle name="40% - Accent3 2 2 9 4 3" xfId="29905" xr:uid="{00000000-0005-0000-0000-0000D5430000}"/>
    <cellStyle name="40% - Accent3 2 2 9 5" xfId="11973" xr:uid="{00000000-0005-0000-0000-0000D6430000}"/>
    <cellStyle name="40% - Accent3 2 2 9 5 2" xfId="23247" xr:uid="{00000000-0005-0000-0000-0000D7430000}"/>
    <cellStyle name="40% - Accent3 2 2 9 5 3" xfId="32124" xr:uid="{00000000-0005-0000-0000-0000D8430000}"/>
    <cellStyle name="40% - Accent3 2 2 9 6" xfId="14194" xr:uid="{00000000-0005-0000-0000-0000D9430000}"/>
    <cellStyle name="40% - Accent3 2 2 9 6 2" xfId="25466" xr:uid="{00000000-0005-0000-0000-0000DA430000}"/>
    <cellStyle name="40% - Accent3 2 2 9 6 3" xfId="34343" xr:uid="{00000000-0005-0000-0000-0000DB430000}"/>
    <cellStyle name="40% - Accent3 2 2 9 7" xfId="18803" xr:uid="{00000000-0005-0000-0000-0000DC430000}"/>
    <cellStyle name="40% - Accent3 2 2 9 8" xfId="27684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5" xr:uid="{00000000-0005-0000-0000-0000E1430000}"/>
    <cellStyle name="40% - Accent3 2 3 10 2 3" xfId="31382" xr:uid="{00000000-0005-0000-0000-0000E2430000}"/>
    <cellStyle name="40% - Accent3 2 3 10 3" xfId="13450" xr:uid="{00000000-0005-0000-0000-0000E3430000}"/>
    <cellStyle name="40% - Accent3 2 3 10 3 2" xfId="24724" xr:uid="{00000000-0005-0000-0000-0000E4430000}"/>
    <cellStyle name="40% - Accent3 2 3 10 3 3" xfId="33601" xr:uid="{00000000-0005-0000-0000-0000E5430000}"/>
    <cellStyle name="40% - Accent3 2 3 10 4" xfId="15900" xr:uid="{00000000-0005-0000-0000-0000E6430000}"/>
    <cellStyle name="40% - Accent3 2 3 10 4 2" xfId="26943" xr:uid="{00000000-0005-0000-0000-0000E7430000}"/>
    <cellStyle name="40% - Accent3 2 3 10 4 3" xfId="35820" xr:uid="{00000000-0005-0000-0000-0000E8430000}"/>
    <cellStyle name="40% - Accent3 2 3 10 5" xfId="20286" xr:uid="{00000000-0005-0000-0000-0000E9430000}"/>
    <cellStyle name="40% - Accent3 2 3 10 6" xfId="29163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2" xr:uid="{00000000-0005-0000-0000-0000ED430000}"/>
    <cellStyle name="40% - Accent3 2 3 11 2 3" xfId="30649" xr:uid="{00000000-0005-0000-0000-0000EE430000}"/>
    <cellStyle name="40% - Accent3 2 3 11 3" xfId="12717" xr:uid="{00000000-0005-0000-0000-0000EF430000}"/>
    <cellStyle name="40% - Accent3 2 3 11 3 2" xfId="23991" xr:uid="{00000000-0005-0000-0000-0000F0430000}"/>
    <cellStyle name="40% - Accent3 2 3 11 3 3" xfId="32868" xr:uid="{00000000-0005-0000-0000-0000F1430000}"/>
    <cellStyle name="40% - Accent3 2 3 11 4" xfId="15167" xr:uid="{00000000-0005-0000-0000-0000F2430000}"/>
    <cellStyle name="40% - Accent3 2 3 11 4 2" xfId="26210" xr:uid="{00000000-0005-0000-0000-0000F3430000}"/>
    <cellStyle name="40% - Accent3 2 3 11 4 3" xfId="35087" xr:uid="{00000000-0005-0000-0000-0000F4430000}"/>
    <cellStyle name="40% - Accent3 2 3 11 5" xfId="19553" xr:uid="{00000000-0005-0000-0000-0000F5430000}"/>
    <cellStyle name="40% - Accent3 2 3 11 6" xfId="28430" xr:uid="{00000000-0005-0000-0000-0000F6430000}"/>
    <cellStyle name="40% - Accent3 2 3 12" xfId="9526" xr:uid="{00000000-0005-0000-0000-0000F7430000}"/>
    <cellStyle name="40% - Accent3 2 3 12 2" xfId="21029" xr:uid="{00000000-0005-0000-0000-0000F8430000}"/>
    <cellStyle name="40% - Accent3 2 3 12 3" xfId="29906" xr:uid="{00000000-0005-0000-0000-0000F9430000}"/>
    <cellStyle name="40% - Accent3 2 3 13" xfId="11974" xr:uid="{00000000-0005-0000-0000-0000FA430000}"/>
    <cellStyle name="40% - Accent3 2 3 13 2" xfId="23248" xr:uid="{00000000-0005-0000-0000-0000FB430000}"/>
    <cellStyle name="40% - Accent3 2 3 13 3" xfId="32125" xr:uid="{00000000-0005-0000-0000-0000FC430000}"/>
    <cellStyle name="40% - Accent3 2 3 14" xfId="14195" xr:uid="{00000000-0005-0000-0000-0000FD430000}"/>
    <cellStyle name="40% - Accent3 2 3 14 2" xfId="25467" xr:uid="{00000000-0005-0000-0000-0000FE430000}"/>
    <cellStyle name="40% - Accent3 2 3 14 3" xfId="34344" xr:uid="{00000000-0005-0000-0000-0000FF430000}"/>
    <cellStyle name="40% - Accent3 2 3 15" xfId="18804" xr:uid="{00000000-0005-0000-0000-000000440000}"/>
    <cellStyle name="40% - Accent3 2 3 16" xfId="27685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6" xr:uid="{00000000-0005-0000-0000-000005440000}"/>
    <cellStyle name="40% - Accent3 2 3 2 2 2 3" xfId="31383" xr:uid="{00000000-0005-0000-0000-000006440000}"/>
    <cellStyle name="40% - Accent3 2 3 2 2 3" xfId="13451" xr:uid="{00000000-0005-0000-0000-000007440000}"/>
    <cellStyle name="40% - Accent3 2 3 2 2 3 2" xfId="24725" xr:uid="{00000000-0005-0000-0000-000008440000}"/>
    <cellStyle name="40% - Accent3 2 3 2 2 3 3" xfId="33602" xr:uid="{00000000-0005-0000-0000-000009440000}"/>
    <cellStyle name="40% - Accent3 2 3 2 2 4" xfId="15901" xr:uid="{00000000-0005-0000-0000-00000A440000}"/>
    <cellStyle name="40% - Accent3 2 3 2 2 4 2" xfId="26944" xr:uid="{00000000-0005-0000-0000-00000B440000}"/>
    <cellStyle name="40% - Accent3 2 3 2 2 4 3" xfId="35821" xr:uid="{00000000-0005-0000-0000-00000C440000}"/>
    <cellStyle name="40% - Accent3 2 3 2 2 5" xfId="20287" xr:uid="{00000000-0005-0000-0000-00000D440000}"/>
    <cellStyle name="40% - Accent3 2 3 2 2 6" xfId="29164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3" xr:uid="{00000000-0005-0000-0000-000011440000}"/>
    <cellStyle name="40% - Accent3 2 3 2 3 2 3" xfId="30650" xr:uid="{00000000-0005-0000-0000-000012440000}"/>
    <cellStyle name="40% - Accent3 2 3 2 3 3" xfId="12718" xr:uid="{00000000-0005-0000-0000-000013440000}"/>
    <cellStyle name="40% - Accent3 2 3 2 3 3 2" xfId="23992" xr:uid="{00000000-0005-0000-0000-000014440000}"/>
    <cellStyle name="40% - Accent3 2 3 2 3 3 3" xfId="32869" xr:uid="{00000000-0005-0000-0000-000015440000}"/>
    <cellStyle name="40% - Accent3 2 3 2 3 4" xfId="15168" xr:uid="{00000000-0005-0000-0000-000016440000}"/>
    <cellStyle name="40% - Accent3 2 3 2 3 4 2" xfId="26211" xr:uid="{00000000-0005-0000-0000-000017440000}"/>
    <cellStyle name="40% - Accent3 2 3 2 3 4 3" xfId="35088" xr:uid="{00000000-0005-0000-0000-000018440000}"/>
    <cellStyle name="40% - Accent3 2 3 2 3 5" xfId="19554" xr:uid="{00000000-0005-0000-0000-000019440000}"/>
    <cellStyle name="40% - Accent3 2 3 2 3 6" xfId="28431" xr:uid="{00000000-0005-0000-0000-00001A440000}"/>
    <cellStyle name="40% - Accent3 2 3 2 4" xfId="9527" xr:uid="{00000000-0005-0000-0000-00001B440000}"/>
    <cellStyle name="40% - Accent3 2 3 2 4 2" xfId="21030" xr:uid="{00000000-0005-0000-0000-00001C440000}"/>
    <cellStyle name="40% - Accent3 2 3 2 4 3" xfId="29907" xr:uid="{00000000-0005-0000-0000-00001D440000}"/>
    <cellStyle name="40% - Accent3 2 3 2 5" xfId="11975" xr:uid="{00000000-0005-0000-0000-00001E440000}"/>
    <cellStyle name="40% - Accent3 2 3 2 5 2" xfId="23249" xr:uid="{00000000-0005-0000-0000-00001F440000}"/>
    <cellStyle name="40% - Accent3 2 3 2 5 3" xfId="32126" xr:uid="{00000000-0005-0000-0000-000020440000}"/>
    <cellStyle name="40% - Accent3 2 3 2 6" xfId="14196" xr:uid="{00000000-0005-0000-0000-000021440000}"/>
    <cellStyle name="40% - Accent3 2 3 2 6 2" xfId="25468" xr:uid="{00000000-0005-0000-0000-000022440000}"/>
    <cellStyle name="40% - Accent3 2 3 2 6 3" xfId="34345" xr:uid="{00000000-0005-0000-0000-000023440000}"/>
    <cellStyle name="40% - Accent3 2 3 2 7" xfId="18805" xr:uid="{00000000-0005-0000-0000-000024440000}"/>
    <cellStyle name="40% - Accent3 2 3 2 8" xfId="27686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7" xr:uid="{00000000-0005-0000-0000-000029440000}"/>
    <cellStyle name="40% - Accent3 2 3 3 2 2 3" xfId="31384" xr:uid="{00000000-0005-0000-0000-00002A440000}"/>
    <cellStyle name="40% - Accent3 2 3 3 2 3" xfId="13452" xr:uid="{00000000-0005-0000-0000-00002B440000}"/>
    <cellStyle name="40% - Accent3 2 3 3 2 3 2" xfId="24726" xr:uid="{00000000-0005-0000-0000-00002C440000}"/>
    <cellStyle name="40% - Accent3 2 3 3 2 3 3" xfId="33603" xr:uid="{00000000-0005-0000-0000-00002D440000}"/>
    <cellStyle name="40% - Accent3 2 3 3 2 4" xfId="15902" xr:uid="{00000000-0005-0000-0000-00002E440000}"/>
    <cellStyle name="40% - Accent3 2 3 3 2 4 2" xfId="26945" xr:uid="{00000000-0005-0000-0000-00002F440000}"/>
    <cellStyle name="40% - Accent3 2 3 3 2 4 3" xfId="35822" xr:uid="{00000000-0005-0000-0000-000030440000}"/>
    <cellStyle name="40% - Accent3 2 3 3 2 5" xfId="20288" xr:uid="{00000000-0005-0000-0000-000031440000}"/>
    <cellStyle name="40% - Accent3 2 3 3 2 6" xfId="29165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4" xr:uid="{00000000-0005-0000-0000-000035440000}"/>
    <cellStyle name="40% - Accent3 2 3 3 3 2 3" xfId="30651" xr:uid="{00000000-0005-0000-0000-000036440000}"/>
    <cellStyle name="40% - Accent3 2 3 3 3 3" xfId="12719" xr:uid="{00000000-0005-0000-0000-000037440000}"/>
    <cellStyle name="40% - Accent3 2 3 3 3 3 2" xfId="23993" xr:uid="{00000000-0005-0000-0000-000038440000}"/>
    <cellStyle name="40% - Accent3 2 3 3 3 3 3" xfId="32870" xr:uid="{00000000-0005-0000-0000-000039440000}"/>
    <cellStyle name="40% - Accent3 2 3 3 3 4" xfId="15169" xr:uid="{00000000-0005-0000-0000-00003A440000}"/>
    <cellStyle name="40% - Accent3 2 3 3 3 4 2" xfId="26212" xr:uid="{00000000-0005-0000-0000-00003B440000}"/>
    <cellStyle name="40% - Accent3 2 3 3 3 4 3" xfId="35089" xr:uid="{00000000-0005-0000-0000-00003C440000}"/>
    <cellStyle name="40% - Accent3 2 3 3 3 5" xfId="19555" xr:uid="{00000000-0005-0000-0000-00003D440000}"/>
    <cellStyle name="40% - Accent3 2 3 3 3 6" xfId="28432" xr:uid="{00000000-0005-0000-0000-00003E440000}"/>
    <cellStyle name="40% - Accent3 2 3 3 4" xfId="9528" xr:uid="{00000000-0005-0000-0000-00003F440000}"/>
    <cellStyle name="40% - Accent3 2 3 3 4 2" xfId="21031" xr:uid="{00000000-0005-0000-0000-000040440000}"/>
    <cellStyle name="40% - Accent3 2 3 3 4 3" xfId="29908" xr:uid="{00000000-0005-0000-0000-000041440000}"/>
    <cellStyle name="40% - Accent3 2 3 3 5" xfId="11976" xr:uid="{00000000-0005-0000-0000-000042440000}"/>
    <cellStyle name="40% - Accent3 2 3 3 5 2" xfId="23250" xr:uid="{00000000-0005-0000-0000-000043440000}"/>
    <cellStyle name="40% - Accent3 2 3 3 5 3" xfId="32127" xr:uid="{00000000-0005-0000-0000-000044440000}"/>
    <cellStyle name="40% - Accent3 2 3 3 6" xfId="14197" xr:uid="{00000000-0005-0000-0000-000045440000}"/>
    <cellStyle name="40% - Accent3 2 3 3 6 2" xfId="25469" xr:uid="{00000000-0005-0000-0000-000046440000}"/>
    <cellStyle name="40% - Accent3 2 3 3 6 3" xfId="34346" xr:uid="{00000000-0005-0000-0000-000047440000}"/>
    <cellStyle name="40% - Accent3 2 3 3 7" xfId="18806" xr:uid="{00000000-0005-0000-0000-000048440000}"/>
    <cellStyle name="40% - Accent3 2 3 3 8" xfId="27687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8" xr:uid="{00000000-0005-0000-0000-00004D440000}"/>
    <cellStyle name="40% - Accent3 2 3 4 2 2 3" xfId="31385" xr:uid="{00000000-0005-0000-0000-00004E440000}"/>
    <cellStyle name="40% - Accent3 2 3 4 2 3" xfId="13453" xr:uid="{00000000-0005-0000-0000-00004F440000}"/>
    <cellStyle name="40% - Accent3 2 3 4 2 3 2" xfId="24727" xr:uid="{00000000-0005-0000-0000-000050440000}"/>
    <cellStyle name="40% - Accent3 2 3 4 2 3 3" xfId="33604" xr:uid="{00000000-0005-0000-0000-000051440000}"/>
    <cellStyle name="40% - Accent3 2 3 4 2 4" xfId="15903" xr:uid="{00000000-0005-0000-0000-000052440000}"/>
    <cellStyle name="40% - Accent3 2 3 4 2 4 2" xfId="26946" xr:uid="{00000000-0005-0000-0000-000053440000}"/>
    <cellStyle name="40% - Accent3 2 3 4 2 4 3" xfId="35823" xr:uid="{00000000-0005-0000-0000-000054440000}"/>
    <cellStyle name="40% - Accent3 2 3 4 2 5" xfId="20289" xr:uid="{00000000-0005-0000-0000-000055440000}"/>
    <cellStyle name="40% - Accent3 2 3 4 2 6" xfId="29166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5" xr:uid="{00000000-0005-0000-0000-000059440000}"/>
    <cellStyle name="40% - Accent3 2 3 4 3 2 3" xfId="30652" xr:uid="{00000000-0005-0000-0000-00005A440000}"/>
    <cellStyle name="40% - Accent3 2 3 4 3 3" xfId="12720" xr:uid="{00000000-0005-0000-0000-00005B440000}"/>
    <cellStyle name="40% - Accent3 2 3 4 3 3 2" xfId="23994" xr:uid="{00000000-0005-0000-0000-00005C440000}"/>
    <cellStyle name="40% - Accent3 2 3 4 3 3 3" xfId="32871" xr:uid="{00000000-0005-0000-0000-00005D440000}"/>
    <cellStyle name="40% - Accent3 2 3 4 3 4" xfId="15170" xr:uid="{00000000-0005-0000-0000-00005E440000}"/>
    <cellStyle name="40% - Accent3 2 3 4 3 4 2" xfId="26213" xr:uid="{00000000-0005-0000-0000-00005F440000}"/>
    <cellStyle name="40% - Accent3 2 3 4 3 4 3" xfId="35090" xr:uid="{00000000-0005-0000-0000-000060440000}"/>
    <cellStyle name="40% - Accent3 2 3 4 3 5" xfId="19556" xr:uid="{00000000-0005-0000-0000-000061440000}"/>
    <cellStyle name="40% - Accent3 2 3 4 3 6" xfId="28433" xr:uid="{00000000-0005-0000-0000-000062440000}"/>
    <cellStyle name="40% - Accent3 2 3 4 4" xfId="9529" xr:uid="{00000000-0005-0000-0000-000063440000}"/>
    <cellStyle name="40% - Accent3 2 3 4 4 2" xfId="21032" xr:uid="{00000000-0005-0000-0000-000064440000}"/>
    <cellStyle name="40% - Accent3 2 3 4 4 3" xfId="29909" xr:uid="{00000000-0005-0000-0000-000065440000}"/>
    <cellStyle name="40% - Accent3 2 3 4 5" xfId="11977" xr:uid="{00000000-0005-0000-0000-000066440000}"/>
    <cellStyle name="40% - Accent3 2 3 4 5 2" xfId="23251" xr:uid="{00000000-0005-0000-0000-000067440000}"/>
    <cellStyle name="40% - Accent3 2 3 4 5 3" xfId="32128" xr:uid="{00000000-0005-0000-0000-000068440000}"/>
    <cellStyle name="40% - Accent3 2 3 4 6" xfId="14198" xr:uid="{00000000-0005-0000-0000-000069440000}"/>
    <cellStyle name="40% - Accent3 2 3 4 6 2" xfId="25470" xr:uid="{00000000-0005-0000-0000-00006A440000}"/>
    <cellStyle name="40% - Accent3 2 3 4 6 3" xfId="34347" xr:uid="{00000000-0005-0000-0000-00006B440000}"/>
    <cellStyle name="40% - Accent3 2 3 4 7" xfId="18807" xr:uid="{00000000-0005-0000-0000-00006C440000}"/>
    <cellStyle name="40% - Accent3 2 3 4 8" xfId="27688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09" xr:uid="{00000000-0005-0000-0000-000071440000}"/>
    <cellStyle name="40% - Accent3 2 3 5 2 2 3" xfId="31386" xr:uid="{00000000-0005-0000-0000-000072440000}"/>
    <cellStyle name="40% - Accent3 2 3 5 2 3" xfId="13454" xr:uid="{00000000-0005-0000-0000-000073440000}"/>
    <cellStyle name="40% - Accent3 2 3 5 2 3 2" xfId="24728" xr:uid="{00000000-0005-0000-0000-000074440000}"/>
    <cellStyle name="40% - Accent3 2 3 5 2 3 3" xfId="33605" xr:uid="{00000000-0005-0000-0000-000075440000}"/>
    <cellStyle name="40% - Accent3 2 3 5 2 4" xfId="15904" xr:uid="{00000000-0005-0000-0000-000076440000}"/>
    <cellStyle name="40% - Accent3 2 3 5 2 4 2" xfId="26947" xr:uid="{00000000-0005-0000-0000-000077440000}"/>
    <cellStyle name="40% - Accent3 2 3 5 2 4 3" xfId="35824" xr:uid="{00000000-0005-0000-0000-000078440000}"/>
    <cellStyle name="40% - Accent3 2 3 5 2 5" xfId="20290" xr:uid="{00000000-0005-0000-0000-000079440000}"/>
    <cellStyle name="40% - Accent3 2 3 5 2 6" xfId="29167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6" xr:uid="{00000000-0005-0000-0000-00007D440000}"/>
    <cellStyle name="40% - Accent3 2 3 5 3 2 3" xfId="30653" xr:uid="{00000000-0005-0000-0000-00007E440000}"/>
    <cellStyle name="40% - Accent3 2 3 5 3 3" xfId="12721" xr:uid="{00000000-0005-0000-0000-00007F440000}"/>
    <cellStyle name="40% - Accent3 2 3 5 3 3 2" xfId="23995" xr:uid="{00000000-0005-0000-0000-000080440000}"/>
    <cellStyle name="40% - Accent3 2 3 5 3 3 3" xfId="32872" xr:uid="{00000000-0005-0000-0000-000081440000}"/>
    <cellStyle name="40% - Accent3 2 3 5 3 4" xfId="15171" xr:uid="{00000000-0005-0000-0000-000082440000}"/>
    <cellStyle name="40% - Accent3 2 3 5 3 4 2" xfId="26214" xr:uid="{00000000-0005-0000-0000-000083440000}"/>
    <cellStyle name="40% - Accent3 2 3 5 3 4 3" xfId="35091" xr:uid="{00000000-0005-0000-0000-000084440000}"/>
    <cellStyle name="40% - Accent3 2 3 5 3 5" xfId="19557" xr:uid="{00000000-0005-0000-0000-000085440000}"/>
    <cellStyle name="40% - Accent3 2 3 5 3 6" xfId="28434" xr:uid="{00000000-0005-0000-0000-000086440000}"/>
    <cellStyle name="40% - Accent3 2 3 5 4" xfId="9530" xr:uid="{00000000-0005-0000-0000-000087440000}"/>
    <cellStyle name="40% - Accent3 2 3 5 4 2" xfId="21033" xr:uid="{00000000-0005-0000-0000-000088440000}"/>
    <cellStyle name="40% - Accent3 2 3 5 4 3" xfId="29910" xr:uid="{00000000-0005-0000-0000-000089440000}"/>
    <cellStyle name="40% - Accent3 2 3 5 5" xfId="11978" xr:uid="{00000000-0005-0000-0000-00008A440000}"/>
    <cellStyle name="40% - Accent3 2 3 5 5 2" xfId="23252" xr:uid="{00000000-0005-0000-0000-00008B440000}"/>
    <cellStyle name="40% - Accent3 2 3 5 5 3" xfId="32129" xr:uid="{00000000-0005-0000-0000-00008C440000}"/>
    <cellStyle name="40% - Accent3 2 3 5 6" xfId="14199" xr:uid="{00000000-0005-0000-0000-00008D440000}"/>
    <cellStyle name="40% - Accent3 2 3 5 6 2" xfId="25471" xr:uid="{00000000-0005-0000-0000-00008E440000}"/>
    <cellStyle name="40% - Accent3 2 3 5 6 3" xfId="34348" xr:uid="{00000000-0005-0000-0000-00008F440000}"/>
    <cellStyle name="40% - Accent3 2 3 5 7" xfId="18808" xr:uid="{00000000-0005-0000-0000-000090440000}"/>
    <cellStyle name="40% - Accent3 2 3 5 8" xfId="27689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0" xr:uid="{00000000-0005-0000-0000-000095440000}"/>
    <cellStyle name="40% - Accent3 2 3 6 2 2 3" xfId="31387" xr:uid="{00000000-0005-0000-0000-000096440000}"/>
    <cellStyle name="40% - Accent3 2 3 6 2 3" xfId="13455" xr:uid="{00000000-0005-0000-0000-000097440000}"/>
    <cellStyle name="40% - Accent3 2 3 6 2 3 2" xfId="24729" xr:uid="{00000000-0005-0000-0000-000098440000}"/>
    <cellStyle name="40% - Accent3 2 3 6 2 3 3" xfId="33606" xr:uid="{00000000-0005-0000-0000-000099440000}"/>
    <cellStyle name="40% - Accent3 2 3 6 2 4" xfId="15905" xr:uid="{00000000-0005-0000-0000-00009A440000}"/>
    <cellStyle name="40% - Accent3 2 3 6 2 4 2" xfId="26948" xr:uid="{00000000-0005-0000-0000-00009B440000}"/>
    <cellStyle name="40% - Accent3 2 3 6 2 4 3" xfId="35825" xr:uid="{00000000-0005-0000-0000-00009C440000}"/>
    <cellStyle name="40% - Accent3 2 3 6 2 5" xfId="20291" xr:uid="{00000000-0005-0000-0000-00009D440000}"/>
    <cellStyle name="40% - Accent3 2 3 6 2 6" xfId="29168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7" xr:uid="{00000000-0005-0000-0000-0000A1440000}"/>
    <cellStyle name="40% - Accent3 2 3 6 3 2 3" xfId="30654" xr:uid="{00000000-0005-0000-0000-0000A2440000}"/>
    <cellStyle name="40% - Accent3 2 3 6 3 3" xfId="12722" xr:uid="{00000000-0005-0000-0000-0000A3440000}"/>
    <cellStyle name="40% - Accent3 2 3 6 3 3 2" xfId="23996" xr:uid="{00000000-0005-0000-0000-0000A4440000}"/>
    <cellStyle name="40% - Accent3 2 3 6 3 3 3" xfId="32873" xr:uid="{00000000-0005-0000-0000-0000A5440000}"/>
    <cellStyle name="40% - Accent3 2 3 6 3 4" xfId="15172" xr:uid="{00000000-0005-0000-0000-0000A6440000}"/>
    <cellStyle name="40% - Accent3 2 3 6 3 4 2" xfId="26215" xr:uid="{00000000-0005-0000-0000-0000A7440000}"/>
    <cellStyle name="40% - Accent3 2 3 6 3 4 3" xfId="35092" xr:uid="{00000000-0005-0000-0000-0000A8440000}"/>
    <cellStyle name="40% - Accent3 2 3 6 3 5" xfId="19558" xr:uid="{00000000-0005-0000-0000-0000A9440000}"/>
    <cellStyle name="40% - Accent3 2 3 6 3 6" xfId="28435" xr:uid="{00000000-0005-0000-0000-0000AA440000}"/>
    <cellStyle name="40% - Accent3 2 3 6 4" xfId="9531" xr:uid="{00000000-0005-0000-0000-0000AB440000}"/>
    <cellStyle name="40% - Accent3 2 3 6 4 2" xfId="21034" xr:uid="{00000000-0005-0000-0000-0000AC440000}"/>
    <cellStyle name="40% - Accent3 2 3 6 4 3" xfId="29911" xr:uid="{00000000-0005-0000-0000-0000AD440000}"/>
    <cellStyle name="40% - Accent3 2 3 6 5" xfId="11979" xr:uid="{00000000-0005-0000-0000-0000AE440000}"/>
    <cellStyle name="40% - Accent3 2 3 6 5 2" xfId="23253" xr:uid="{00000000-0005-0000-0000-0000AF440000}"/>
    <cellStyle name="40% - Accent3 2 3 6 5 3" xfId="32130" xr:uid="{00000000-0005-0000-0000-0000B0440000}"/>
    <cellStyle name="40% - Accent3 2 3 6 6" xfId="14200" xr:uid="{00000000-0005-0000-0000-0000B1440000}"/>
    <cellStyle name="40% - Accent3 2 3 6 6 2" xfId="25472" xr:uid="{00000000-0005-0000-0000-0000B2440000}"/>
    <cellStyle name="40% - Accent3 2 3 6 6 3" xfId="34349" xr:uid="{00000000-0005-0000-0000-0000B3440000}"/>
    <cellStyle name="40% - Accent3 2 3 6 7" xfId="18809" xr:uid="{00000000-0005-0000-0000-0000B4440000}"/>
    <cellStyle name="40% - Accent3 2 3 6 8" xfId="27690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1" xr:uid="{00000000-0005-0000-0000-0000B9440000}"/>
    <cellStyle name="40% - Accent3 2 3 7 2 2 3" xfId="31388" xr:uid="{00000000-0005-0000-0000-0000BA440000}"/>
    <cellStyle name="40% - Accent3 2 3 7 2 3" xfId="13456" xr:uid="{00000000-0005-0000-0000-0000BB440000}"/>
    <cellStyle name="40% - Accent3 2 3 7 2 3 2" xfId="24730" xr:uid="{00000000-0005-0000-0000-0000BC440000}"/>
    <cellStyle name="40% - Accent3 2 3 7 2 3 3" xfId="33607" xr:uid="{00000000-0005-0000-0000-0000BD440000}"/>
    <cellStyle name="40% - Accent3 2 3 7 2 4" xfId="15906" xr:uid="{00000000-0005-0000-0000-0000BE440000}"/>
    <cellStyle name="40% - Accent3 2 3 7 2 4 2" xfId="26949" xr:uid="{00000000-0005-0000-0000-0000BF440000}"/>
    <cellStyle name="40% - Accent3 2 3 7 2 4 3" xfId="35826" xr:uid="{00000000-0005-0000-0000-0000C0440000}"/>
    <cellStyle name="40% - Accent3 2 3 7 2 5" xfId="20292" xr:uid="{00000000-0005-0000-0000-0000C1440000}"/>
    <cellStyle name="40% - Accent3 2 3 7 2 6" xfId="29169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8" xr:uid="{00000000-0005-0000-0000-0000C5440000}"/>
    <cellStyle name="40% - Accent3 2 3 7 3 2 3" xfId="30655" xr:uid="{00000000-0005-0000-0000-0000C6440000}"/>
    <cellStyle name="40% - Accent3 2 3 7 3 3" xfId="12723" xr:uid="{00000000-0005-0000-0000-0000C7440000}"/>
    <cellStyle name="40% - Accent3 2 3 7 3 3 2" xfId="23997" xr:uid="{00000000-0005-0000-0000-0000C8440000}"/>
    <cellStyle name="40% - Accent3 2 3 7 3 3 3" xfId="32874" xr:uid="{00000000-0005-0000-0000-0000C9440000}"/>
    <cellStyle name="40% - Accent3 2 3 7 3 4" xfId="15173" xr:uid="{00000000-0005-0000-0000-0000CA440000}"/>
    <cellStyle name="40% - Accent3 2 3 7 3 4 2" xfId="26216" xr:uid="{00000000-0005-0000-0000-0000CB440000}"/>
    <cellStyle name="40% - Accent3 2 3 7 3 4 3" xfId="35093" xr:uid="{00000000-0005-0000-0000-0000CC440000}"/>
    <cellStyle name="40% - Accent3 2 3 7 3 5" xfId="19559" xr:uid="{00000000-0005-0000-0000-0000CD440000}"/>
    <cellStyle name="40% - Accent3 2 3 7 3 6" xfId="28436" xr:uid="{00000000-0005-0000-0000-0000CE440000}"/>
    <cellStyle name="40% - Accent3 2 3 7 4" xfId="9532" xr:uid="{00000000-0005-0000-0000-0000CF440000}"/>
    <cellStyle name="40% - Accent3 2 3 7 4 2" xfId="21035" xr:uid="{00000000-0005-0000-0000-0000D0440000}"/>
    <cellStyle name="40% - Accent3 2 3 7 4 3" xfId="29912" xr:uid="{00000000-0005-0000-0000-0000D1440000}"/>
    <cellStyle name="40% - Accent3 2 3 7 5" xfId="11980" xr:uid="{00000000-0005-0000-0000-0000D2440000}"/>
    <cellStyle name="40% - Accent3 2 3 7 5 2" xfId="23254" xr:uid="{00000000-0005-0000-0000-0000D3440000}"/>
    <cellStyle name="40% - Accent3 2 3 7 5 3" xfId="32131" xr:uid="{00000000-0005-0000-0000-0000D4440000}"/>
    <cellStyle name="40% - Accent3 2 3 7 6" xfId="14201" xr:uid="{00000000-0005-0000-0000-0000D5440000}"/>
    <cellStyle name="40% - Accent3 2 3 7 6 2" xfId="25473" xr:uid="{00000000-0005-0000-0000-0000D6440000}"/>
    <cellStyle name="40% - Accent3 2 3 7 6 3" xfId="34350" xr:uid="{00000000-0005-0000-0000-0000D7440000}"/>
    <cellStyle name="40% - Accent3 2 3 7 7" xfId="18810" xr:uid="{00000000-0005-0000-0000-0000D8440000}"/>
    <cellStyle name="40% - Accent3 2 3 7 8" xfId="27691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2" xr:uid="{00000000-0005-0000-0000-0000DD440000}"/>
    <cellStyle name="40% - Accent3 2 3 8 2 2 3" xfId="31389" xr:uid="{00000000-0005-0000-0000-0000DE440000}"/>
    <cellStyle name="40% - Accent3 2 3 8 2 3" xfId="13457" xr:uid="{00000000-0005-0000-0000-0000DF440000}"/>
    <cellStyle name="40% - Accent3 2 3 8 2 3 2" xfId="24731" xr:uid="{00000000-0005-0000-0000-0000E0440000}"/>
    <cellStyle name="40% - Accent3 2 3 8 2 3 3" xfId="33608" xr:uid="{00000000-0005-0000-0000-0000E1440000}"/>
    <cellStyle name="40% - Accent3 2 3 8 2 4" xfId="15907" xr:uid="{00000000-0005-0000-0000-0000E2440000}"/>
    <cellStyle name="40% - Accent3 2 3 8 2 4 2" xfId="26950" xr:uid="{00000000-0005-0000-0000-0000E3440000}"/>
    <cellStyle name="40% - Accent3 2 3 8 2 4 3" xfId="35827" xr:uid="{00000000-0005-0000-0000-0000E4440000}"/>
    <cellStyle name="40% - Accent3 2 3 8 2 5" xfId="20293" xr:uid="{00000000-0005-0000-0000-0000E5440000}"/>
    <cellStyle name="40% - Accent3 2 3 8 2 6" xfId="29170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79" xr:uid="{00000000-0005-0000-0000-0000E9440000}"/>
    <cellStyle name="40% - Accent3 2 3 8 3 2 3" xfId="30656" xr:uid="{00000000-0005-0000-0000-0000EA440000}"/>
    <cellStyle name="40% - Accent3 2 3 8 3 3" xfId="12724" xr:uid="{00000000-0005-0000-0000-0000EB440000}"/>
    <cellStyle name="40% - Accent3 2 3 8 3 3 2" xfId="23998" xr:uid="{00000000-0005-0000-0000-0000EC440000}"/>
    <cellStyle name="40% - Accent3 2 3 8 3 3 3" xfId="32875" xr:uid="{00000000-0005-0000-0000-0000ED440000}"/>
    <cellStyle name="40% - Accent3 2 3 8 3 4" xfId="15174" xr:uid="{00000000-0005-0000-0000-0000EE440000}"/>
    <cellStyle name="40% - Accent3 2 3 8 3 4 2" xfId="26217" xr:uid="{00000000-0005-0000-0000-0000EF440000}"/>
    <cellStyle name="40% - Accent3 2 3 8 3 4 3" xfId="35094" xr:uid="{00000000-0005-0000-0000-0000F0440000}"/>
    <cellStyle name="40% - Accent3 2 3 8 3 5" xfId="19560" xr:uid="{00000000-0005-0000-0000-0000F1440000}"/>
    <cellStyle name="40% - Accent3 2 3 8 3 6" xfId="28437" xr:uid="{00000000-0005-0000-0000-0000F2440000}"/>
    <cellStyle name="40% - Accent3 2 3 8 4" xfId="9533" xr:uid="{00000000-0005-0000-0000-0000F3440000}"/>
    <cellStyle name="40% - Accent3 2 3 8 4 2" xfId="21036" xr:uid="{00000000-0005-0000-0000-0000F4440000}"/>
    <cellStyle name="40% - Accent3 2 3 8 4 3" xfId="29913" xr:uid="{00000000-0005-0000-0000-0000F5440000}"/>
    <cellStyle name="40% - Accent3 2 3 8 5" xfId="11981" xr:uid="{00000000-0005-0000-0000-0000F6440000}"/>
    <cellStyle name="40% - Accent3 2 3 8 5 2" xfId="23255" xr:uid="{00000000-0005-0000-0000-0000F7440000}"/>
    <cellStyle name="40% - Accent3 2 3 8 5 3" xfId="32132" xr:uid="{00000000-0005-0000-0000-0000F8440000}"/>
    <cellStyle name="40% - Accent3 2 3 8 6" xfId="14202" xr:uid="{00000000-0005-0000-0000-0000F9440000}"/>
    <cellStyle name="40% - Accent3 2 3 8 6 2" xfId="25474" xr:uid="{00000000-0005-0000-0000-0000FA440000}"/>
    <cellStyle name="40% - Accent3 2 3 8 6 3" xfId="34351" xr:uid="{00000000-0005-0000-0000-0000FB440000}"/>
    <cellStyle name="40% - Accent3 2 3 8 7" xfId="18811" xr:uid="{00000000-0005-0000-0000-0000FC440000}"/>
    <cellStyle name="40% - Accent3 2 3 8 8" xfId="27692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3" xr:uid="{00000000-0005-0000-0000-000001450000}"/>
    <cellStyle name="40% - Accent3 2 3 9 2 2 3" xfId="31390" xr:uid="{00000000-0005-0000-0000-000002450000}"/>
    <cellStyle name="40% - Accent3 2 3 9 2 3" xfId="13458" xr:uid="{00000000-0005-0000-0000-000003450000}"/>
    <cellStyle name="40% - Accent3 2 3 9 2 3 2" xfId="24732" xr:uid="{00000000-0005-0000-0000-000004450000}"/>
    <cellStyle name="40% - Accent3 2 3 9 2 3 3" xfId="33609" xr:uid="{00000000-0005-0000-0000-000005450000}"/>
    <cellStyle name="40% - Accent3 2 3 9 2 4" xfId="15908" xr:uid="{00000000-0005-0000-0000-000006450000}"/>
    <cellStyle name="40% - Accent3 2 3 9 2 4 2" xfId="26951" xr:uid="{00000000-0005-0000-0000-000007450000}"/>
    <cellStyle name="40% - Accent3 2 3 9 2 4 3" xfId="35828" xr:uid="{00000000-0005-0000-0000-000008450000}"/>
    <cellStyle name="40% - Accent3 2 3 9 2 5" xfId="20294" xr:uid="{00000000-0005-0000-0000-000009450000}"/>
    <cellStyle name="40% - Accent3 2 3 9 2 6" xfId="29171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0" xr:uid="{00000000-0005-0000-0000-00000D450000}"/>
    <cellStyle name="40% - Accent3 2 3 9 3 2 3" xfId="30657" xr:uid="{00000000-0005-0000-0000-00000E450000}"/>
    <cellStyle name="40% - Accent3 2 3 9 3 3" xfId="12725" xr:uid="{00000000-0005-0000-0000-00000F450000}"/>
    <cellStyle name="40% - Accent3 2 3 9 3 3 2" xfId="23999" xr:uid="{00000000-0005-0000-0000-000010450000}"/>
    <cellStyle name="40% - Accent3 2 3 9 3 3 3" xfId="32876" xr:uid="{00000000-0005-0000-0000-000011450000}"/>
    <cellStyle name="40% - Accent3 2 3 9 3 4" xfId="15175" xr:uid="{00000000-0005-0000-0000-000012450000}"/>
    <cellStyle name="40% - Accent3 2 3 9 3 4 2" xfId="26218" xr:uid="{00000000-0005-0000-0000-000013450000}"/>
    <cellStyle name="40% - Accent3 2 3 9 3 4 3" xfId="35095" xr:uid="{00000000-0005-0000-0000-000014450000}"/>
    <cellStyle name="40% - Accent3 2 3 9 3 5" xfId="19561" xr:uid="{00000000-0005-0000-0000-000015450000}"/>
    <cellStyle name="40% - Accent3 2 3 9 3 6" xfId="28438" xr:uid="{00000000-0005-0000-0000-000016450000}"/>
    <cellStyle name="40% - Accent3 2 3 9 4" xfId="9534" xr:uid="{00000000-0005-0000-0000-000017450000}"/>
    <cellStyle name="40% - Accent3 2 3 9 4 2" xfId="21037" xr:uid="{00000000-0005-0000-0000-000018450000}"/>
    <cellStyle name="40% - Accent3 2 3 9 4 3" xfId="29914" xr:uid="{00000000-0005-0000-0000-000019450000}"/>
    <cellStyle name="40% - Accent3 2 3 9 5" xfId="11982" xr:uid="{00000000-0005-0000-0000-00001A450000}"/>
    <cellStyle name="40% - Accent3 2 3 9 5 2" xfId="23256" xr:uid="{00000000-0005-0000-0000-00001B450000}"/>
    <cellStyle name="40% - Accent3 2 3 9 5 3" xfId="32133" xr:uid="{00000000-0005-0000-0000-00001C450000}"/>
    <cellStyle name="40% - Accent3 2 3 9 6" xfId="14203" xr:uid="{00000000-0005-0000-0000-00001D450000}"/>
    <cellStyle name="40% - Accent3 2 3 9 6 2" xfId="25475" xr:uid="{00000000-0005-0000-0000-00001E450000}"/>
    <cellStyle name="40% - Accent3 2 3 9 6 3" xfId="34352" xr:uid="{00000000-0005-0000-0000-00001F450000}"/>
    <cellStyle name="40% - Accent3 2 3 9 7" xfId="18812" xr:uid="{00000000-0005-0000-0000-000020450000}"/>
    <cellStyle name="40% - Accent3 2 3 9 8" xfId="27693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4" xr:uid="{00000000-0005-0000-0000-000025450000}"/>
    <cellStyle name="40% - Accent3 2 4 10 2 3" xfId="31391" xr:uid="{00000000-0005-0000-0000-000026450000}"/>
    <cellStyle name="40% - Accent3 2 4 10 3" xfId="13459" xr:uid="{00000000-0005-0000-0000-000027450000}"/>
    <cellStyle name="40% - Accent3 2 4 10 3 2" xfId="24733" xr:uid="{00000000-0005-0000-0000-000028450000}"/>
    <cellStyle name="40% - Accent3 2 4 10 3 3" xfId="33610" xr:uid="{00000000-0005-0000-0000-000029450000}"/>
    <cellStyle name="40% - Accent3 2 4 10 4" xfId="15909" xr:uid="{00000000-0005-0000-0000-00002A450000}"/>
    <cellStyle name="40% - Accent3 2 4 10 4 2" xfId="26952" xr:uid="{00000000-0005-0000-0000-00002B450000}"/>
    <cellStyle name="40% - Accent3 2 4 10 4 3" xfId="35829" xr:uid="{00000000-0005-0000-0000-00002C450000}"/>
    <cellStyle name="40% - Accent3 2 4 10 5" xfId="20295" xr:uid="{00000000-0005-0000-0000-00002D450000}"/>
    <cellStyle name="40% - Accent3 2 4 10 6" xfId="29172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1" xr:uid="{00000000-0005-0000-0000-000031450000}"/>
    <cellStyle name="40% - Accent3 2 4 11 2 3" xfId="30658" xr:uid="{00000000-0005-0000-0000-000032450000}"/>
    <cellStyle name="40% - Accent3 2 4 11 3" xfId="12726" xr:uid="{00000000-0005-0000-0000-000033450000}"/>
    <cellStyle name="40% - Accent3 2 4 11 3 2" xfId="24000" xr:uid="{00000000-0005-0000-0000-000034450000}"/>
    <cellStyle name="40% - Accent3 2 4 11 3 3" xfId="32877" xr:uid="{00000000-0005-0000-0000-000035450000}"/>
    <cellStyle name="40% - Accent3 2 4 11 4" xfId="15176" xr:uid="{00000000-0005-0000-0000-000036450000}"/>
    <cellStyle name="40% - Accent3 2 4 11 4 2" xfId="26219" xr:uid="{00000000-0005-0000-0000-000037450000}"/>
    <cellStyle name="40% - Accent3 2 4 11 4 3" xfId="35096" xr:uid="{00000000-0005-0000-0000-000038450000}"/>
    <cellStyle name="40% - Accent3 2 4 11 5" xfId="19562" xr:uid="{00000000-0005-0000-0000-000039450000}"/>
    <cellStyle name="40% - Accent3 2 4 11 6" xfId="28439" xr:uid="{00000000-0005-0000-0000-00003A450000}"/>
    <cellStyle name="40% - Accent3 2 4 12" xfId="9535" xr:uid="{00000000-0005-0000-0000-00003B450000}"/>
    <cellStyle name="40% - Accent3 2 4 12 2" xfId="21038" xr:uid="{00000000-0005-0000-0000-00003C450000}"/>
    <cellStyle name="40% - Accent3 2 4 12 3" xfId="29915" xr:uid="{00000000-0005-0000-0000-00003D450000}"/>
    <cellStyle name="40% - Accent3 2 4 13" xfId="11983" xr:uid="{00000000-0005-0000-0000-00003E450000}"/>
    <cellStyle name="40% - Accent3 2 4 13 2" xfId="23257" xr:uid="{00000000-0005-0000-0000-00003F450000}"/>
    <cellStyle name="40% - Accent3 2 4 13 3" xfId="32134" xr:uid="{00000000-0005-0000-0000-000040450000}"/>
    <cellStyle name="40% - Accent3 2 4 14" xfId="14204" xr:uid="{00000000-0005-0000-0000-000041450000}"/>
    <cellStyle name="40% - Accent3 2 4 14 2" xfId="25476" xr:uid="{00000000-0005-0000-0000-000042450000}"/>
    <cellStyle name="40% - Accent3 2 4 14 3" xfId="34353" xr:uid="{00000000-0005-0000-0000-000043450000}"/>
    <cellStyle name="40% - Accent3 2 4 15" xfId="18813" xr:uid="{00000000-0005-0000-0000-000044450000}"/>
    <cellStyle name="40% - Accent3 2 4 16" xfId="27694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5" xr:uid="{00000000-0005-0000-0000-000049450000}"/>
    <cellStyle name="40% - Accent3 2 4 2 2 2 3" xfId="31392" xr:uid="{00000000-0005-0000-0000-00004A450000}"/>
    <cellStyle name="40% - Accent3 2 4 2 2 3" xfId="13460" xr:uid="{00000000-0005-0000-0000-00004B450000}"/>
    <cellStyle name="40% - Accent3 2 4 2 2 3 2" xfId="24734" xr:uid="{00000000-0005-0000-0000-00004C450000}"/>
    <cellStyle name="40% - Accent3 2 4 2 2 3 3" xfId="33611" xr:uid="{00000000-0005-0000-0000-00004D450000}"/>
    <cellStyle name="40% - Accent3 2 4 2 2 4" xfId="15910" xr:uid="{00000000-0005-0000-0000-00004E450000}"/>
    <cellStyle name="40% - Accent3 2 4 2 2 4 2" xfId="26953" xr:uid="{00000000-0005-0000-0000-00004F450000}"/>
    <cellStyle name="40% - Accent3 2 4 2 2 4 3" xfId="35830" xr:uid="{00000000-0005-0000-0000-000050450000}"/>
    <cellStyle name="40% - Accent3 2 4 2 2 5" xfId="20296" xr:uid="{00000000-0005-0000-0000-000051450000}"/>
    <cellStyle name="40% - Accent3 2 4 2 2 6" xfId="29173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2" xr:uid="{00000000-0005-0000-0000-000055450000}"/>
    <cellStyle name="40% - Accent3 2 4 2 3 2 3" xfId="30659" xr:uid="{00000000-0005-0000-0000-000056450000}"/>
    <cellStyle name="40% - Accent3 2 4 2 3 3" xfId="12727" xr:uid="{00000000-0005-0000-0000-000057450000}"/>
    <cellStyle name="40% - Accent3 2 4 2 3 3 2" xfId="24001" xr:uid="{00000000-0005-0000-0000-000058450000}"/>
    <cellStyle name="40% - Accent3 2 4 2 3 3 3" xfId="32878" xr:uid="{00000000-0005-0000-0000-000059450000}"/>
    <cellStyle name="40% - Accent3 2 4 2 3 4" xfId="15177" xr:uid="{00000000-0005-0000-0000-00005A450000}"/>
    <cellStyle name="40% - Accent3 2 4 2 3 4 2" xfId="26220" xr:uid="{00000000-0005-0000-0000-00005B450000}"/>
    <cellStyle name="40% - Accent3 2 4 2 3 4 3" xfId="35097" xr:uid="{00000000-0005-0000-0000-00005C450000}"/>
    <cellStyle name="40% - Accent3 2 4 2 3 5" xfId="19563" xr:uid="{00000000-0005-0000-0000-00005D450000}"/>
    <cellStyle name="40% - Accent3 2 4 2 3 6" xfId="28440" xr:uid="{00000000-0005-0000-0000-00005E450000}"/>
    <cellStyle name="40% - Accent3 2 4 2 4" xfId="9536" xr:uid="{00000000-0005-0000-0000-00005F450000}"/>
    <cellStyle name="40% - Accent3 2 4 2 4 2" xfId="21039" xr:uid="{00000000-0005-0000-0000-000060450000}"/>
    <cellStyle name="40% - Accent3 2 4 2 4 3" xfId="29916" xr:uid="{00000000-0005-0000-0000-000061450000}"/>
    <cellStyle name="40% - Accent3 2 4 2 5" xfId="11984" xr:uid="{00000000-0005-0000-0000-000062450000}"/>
    <cellStyle name="40% - Accent3 2 4 2 5 2" xfId="23258" xr:uid="{00000000-0005-0000-0000-000063450000}"/>
    <cellStyle name="40% - Accent3 2 4 2 5 3" xfId="32135" xr:uid="{00000000-0005-0000-0000-000064450000}"/>
    <cellStyle name="40% - Accent3 2 4 2 6" xfId="14205" xr:uid="{00000000-0005-0000-0000-000065450000}"/>
    <cellStyle name="40% - Accent3 2 4 2 6 2" xfId="25477" xr:uid="{00000000-0005-0000-0000-000066450000}"/>
    <cellStyle name="40% - Accent3 2 4 2 6 3" xfId="34354" xr:uid="{00000000-0005-0000-0000-000067450000}"/>
    <cellStyle name="40% - Accent3 2 4 2 7" xfId="18814" xr:uid="{00000000-0005-0000-0000-000068450000}"/>
    <cellStyle name="40% - Accent3 2 4 2 8" xfId="27695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6" xr:uid="{00000000-0005-0000-0000-00006D450000}"/>
    <cellStyle name="40% - Accent3 2 4 3 2 2 3" xfId="31393" xr:uid="{00000000-0005-0000-0000-00006E450000}"/>
    <cellStyle name="40% - Accent3 2 4 3 2 3" xfId="13461" xr:uid="{00000000-0005-0000-0000-00006F450000}"/>
    <cellStyle name="40% - Accent3 2 4 3 2 3 2" xfId="24735" xr:uid="{00000000-0005-0000-0000-000070450000}"/>
    <cellStyle name="40% - Accent3 2 4 3 2 3 3" xfId="33612" xr:uid="{00000000-0005-0000-0000-000071450000}"/>
    <cellStyle name="40% - Accent3 2 4 3 2 4" xfId="15911" xr:uid="{00000000-0005-0000-0000-000072450000}"/>
    <cellStyle name="40% - Accent3 2 4 3 2 4 2" xfId="26954" xr:uid="{00000000-0005-0000-0000-000073450000}"/>
    <cellStyle name="40% - Accent3 2 4 3 2 4 3" xfId="35831" xr:uid="{00000000-0005-0000-0000-000074450000}"/>
    <cellStyle name="40% - Accent3 2 4 3 2 5" xfId="20297" xr:uid="{00000000-0005-0000-0000-000075450000}"/>
    <cellStyle name="40% - Accent3 2 4 3 2 6" xfId="29174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3" xr:uid="{00000000-0005-0000-0000-000079450000}"/>
    <cellStyle name="40% - Accent3 2 4 3 3 2 3" xfId="30660" xr:uid="{00000000-0005-0000-0000-00007A450000}"/>
    <cellStyle name="40% - Accent3 2 4 3 3 3" xfId="12728" xr:uid="{00000000-0005-0000-0000-00007B450000}"/>
    <cellStyle name="40% - Accent3 2 4 3 3 3 2" xfId="24002" xr:uid="{00000000-0005-0000-0000-00007C450000}"/>
    <cellStyle name="40% - Accent3 2 4 3 3 3 3" xfId="32879" xr:uid="{00000000-0005-0000-0000-00007D450000}"/>
    <cellStyle name="40% - Accent3 2 4 3 3 4" xfId="15178" xr:uid="{00000000-0005-0000-0000-00007E450000}"/>
    <cellStyle name="40% - Accent3 2 4 3 3 4 2" xfId="26221" xr:uid="{00000000-0005-0000-0000-00007F450000}"/>
    <cellStyle name="40% - Accent3 2 4 3 3 4 3" xfId="35098" xr:uid="{00000000-0005-0000-0000-000080450000}"/>
    <cellStyle name="40% - Accent3 2 4 3 3 5" xfId="19564" xr:uid="{00000000-0005-0000-0000-000081450000}"/>
    <cellStyle name="40% - Accent3 2 4 3 3 6" xfId="28441" xr:uid="{00000000-0005-0000-0000-000082450000}"/>
    <cellStyle name="40% - Accent3 2 4 3 4" xfId="9537" xr:uid="{00000000-0005-0000-0000-000083450000}"/>
    <cellStyle name="40% - Accent3 2 4 3 4 2" xfId="21040" xr:uid="{00000000-0005-0000-0000-000084450000}"/>
    <cellStyle name="40% - Accent3 2 4 3 4 3" xfId="29917" xr:uid="{00000000-0005-0000-0000-000085450000}"/>
    <cellStyle name="40% - Accent3 2 4 3 5" xfId="11985" xr:uid="{00000000-0005-0000-0000-000086450000}"/>
    <cellStyle name="40% - Accent3 2 4 3 5 2" xfId="23259" xr:uid="{00000000-0005-0000-0000-000087450000}"/>
    <cellStyle name="40% - Accent3 2 4 3 5 3" xfId="32136" xr:uid="{00000000-0005-0000-0000-000088450000}"/>
    <cellStyle name="40% - Accent3 2 4 3 6" xfId="14206" xr:uid="{00000000-0005-0000-0000-000089450000}"/>
    <cellStyle name="40% - Accent3 2 4 3 6 2" xfId="25478" xr:uid="{00000000-0005-0000-0000-00008A450000}"/>
    <cellStyle name="40% - Accent3 2 4 3 6 3" xfId="34355" xr:uid="{00000000-0005-0000-0000-00008B450000}"/>
    <cellStyle name="40% - Accent3 2 4 3 7" xfId="18815" xr:uid="{00000000-0005-0000-0000-00008C450000}"/>
    <cellStyle name="40% - Accent3 2 4 3 8" xfId="27696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7" xr:uid="{00000000-0005-0000-0000-000091450000}"/>
    <cellStyle name="40% - Accent3 2 4 4 2 2 3" xfId="31394" xr:uid="{00000000-0005-0000-0000-000092450000}"/>
    <cellStyle name="40% - Accent3 2 4 4 2 3" xfId="13462" xr:uid="{00000000-0005-0000-0000-000093450000}"/>
    <cellStyle name="40% - Accent3 2 4 4 2 3 2" xfId="24736" xr:uid="{00000000-0005-0000-0000-000094450000}"/>
    <cellStyle name="40% - Accent3 2 4 4 2 3 3" xfId="33613" xr:uid="{00000000-0005-0000-0000-000095450000}"/>
    <cellStyle name="40% - Accent3 2 4 4 2 4" xfId="15912" xr:uid="{00000000-0005-0000-0000-000096450000}"/>
    <cellStyle name="40% - Accent3 2 4 4 2 4 2" xfId="26955" xr:uid="{00000000-0005-0000-0000-000097450000}"/>
    <cellStyle name="40% - Accent3 2 4 4 2 4 3" xfId="35832" xr:uid="{00000000-0005-0000-0000-000098450000}"/>
    <cellStyle name="40% - Accent3 2 4 4 2 5" xfId="20298" xr:uid="{00000000-0005-0000-0000-000099450000}"/>
    <cellStyle name="40% - Accent3 2 4 4 2 6" xfId="29175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4" xr:uid="{00000000-0005-0000-0000-00009D450000}"/>
    <cellStyle name="40% - Accent3 2 4 4 3 2 3" xfId="30661" xr:uid="{00000000-0005-0000-0000-00009E450000}"/>
    <cellStyle name="40% - Accent3 2 4 4 3 3" xfId="12729" xr:uid="{00000000-0005-0000-0000-00009F450000}"/>
    <cellStyle name="40% - Accent3 2 4 4 3 3 2" xfId="24003" xr:uid="{00000000-0005-0000-0000-0000A0450000}"/>
    <cellStyle name="40% - Accent3 2 4 4 3 3 3" xfId="32880" xr:uid="{00000000-0005-0000-0000-0000A1450000}"/>
    <cellStyle name="40% - Accent3 2 4 4 3 4" xfId="15179" xr:uid="{00000000-0005-0000-0000-0000A2450000}"/>
    <cellStyle name="40% - Accent3 2 4 4 3 4 2" xfId="26222" xr:uid="{00000000-0005-0000-0000-0000A3450000}"/>
    <cellStyle name="40% - Accent3 2 4 4 3 4 3" xfId="35099" xr:uid="{00000000-0005-0000-0000-0000A4450000}"/>
    <cellStyle name="40% - Accent3 2 4 4 3 5" xfId="19565" xr:uid="{00000000-0005-0000-0000-0000A5450000}"/>
    <cellStyle name="40% - Accent3 2 4 4 3 6" xfId="28442" xr:uid="{00000000-0005-0000-0000-0000A6450000}"/>
    <cellStyle name="40% - Accent3 2 4 4 4" xfId="9538" xr:uid="{00000000-0005-0000-0000-0000A7450000}"/>
    <cellStyle name="40% - Accent3 2 4 4 4 2" xfId="21041" xr:uid="{00000000-0005-0000-0000-0000A8450000}"/>
    <cellStyle name="40% - Accent3 2 4 4 4 3" xfId="29918" xr:uid="{00000000-0005-0000-0000-0000A9450000}"/>
    <cellStyle name="40% - Accent3 2 4 4 5" xfId="11986" xr:uid="{00000000-0005-0000-0000-0000AA450000}"/>
    <cellStyle name="40% - Accent3 2 4 4 5 2" xfId="23260" xr:uid="{00000000-0005-0000-0000-0000AB450000}"/>
    <cellStyle name="40% - Accent3 2 4 4 5 3" xfId="32137" xr:uid="{00000000-0005-0000-0000-0000AC450000}"/>
    <cellStyle name="40% - Accent3 2 4 4 6" xfId="14207" xr:uid="{00000000-0005-0000-0000-0000AD450000}"/>
    <cellStyle name="40% - Accent3 2 4 4 6 2" xfId="25479" xr:uid="{00000000-0005-0000-0000-0000AE450000}"/>
    <cellStyle name="40% - Accent3 2 4 4 6 3" xfId="34356" xr:uid="{00000000-0005-0000-0000-0000AF450000}"/>
    <cellStyle name="40% - Accent3 2 4 4 7" xfId="18816" xr:uid="{00000000-0005-0000-0000-0000B0450000}"/>
    <cellStyle name="40% - Accent3 2 4 4 8" xfId="27697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8" xr:uid="{00000000-0005-0000-0000-0000B5450000}"/>
    <cellStyle name="40% - Accent3 2 4 5 2 2 3" xfId="31395" xr:uid="{00000000-0005-0000-0000-0000B6450000}"/>
    <cellStyle name="40% - Accent3 2 4 5 2 3" xfId="13463" xr:uid="{00000000-0005-0000-0000-0000B7450000}"/>
    <cellStyle name="40% - Accent3 2 4 5 2 3 2" xfId="24737" xr:uid="{00000000-0005-0000-0000-0000B8450000}"/>
    <cellStyle name="40% - Accent3 2 4 5 2 3 3" xfId="33614" xr:uid="{00000000-0005-0000-0000-0000B9450000}"/>
    <cellStyle name="40% - Accent3 2 4 5 2 4" xfId="15913" xr:uid="{00000000-0005-0000-0000-0000BA450000}"/>
    <cellStyle name="40% - Accent3 2 4 5 2 4 2" xfId="26956" xr:uid="{00000000-0005-0000-0000-0000BB450000}"/>
    <cellStyle name="40% - Accent3 2 4 5 2 4 3" xfId="35833" xr:uid="{00000000-0005-0000-0000-0000BC450000}"/>
    <cellStyle name="40% - Accent3 2 4 5 2 5" xfId="20299" xr:uid="{00000000-0005-0000-0000-0000BD450000}"/>
    <cellStyle name="40% - Accent3 2 4 5 2 6" xfId="29176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5" xr:uid="{00000000-0005-0000-0000-0000C1450000}"/>
    <cellStyle name="40% - Accent3 2 4 5 3 2 3" xfId="30662" xr:uid="{00000000-0005-0000-0000-0000C2450000}"/>
    <cellStyle name="40% - Accent3 2 4 5 3 3" xfId="12730" xr:uid="{00000000-0005-0000-0000-0000C3450000}"/>
    <cellStyle name="40% - Accent3 2 4 5 3 3 2" xfId="24004" xr:uid="{00000000-0005-0000-0000-0000C4450000}"/>
    <cellStyle name="40% - Accent3 2 4 5 3 3 3" xfId="32881" xr:uid="{00000000-0005-0000-0000-0000C5450000}"/>
    <cellStyle name="40% - Accent3 2 4 5 3 4" xfId="15180" xr:uid="{00000000-0005-0000-0000-0000C6450000}"/>
    <cellStyle name="40% - Accent3 2 4 5 3 4 2" xfId="26223" xr:uid="{00000000-0005-0000-0000-0000C7450000}"/>
    <cellStyle name="40% - Accent3 2 4 5 3 4 3" xfId="35100" xr:uid="{00000000-0005-0000-0000-0000C8450000}"/>
    <cellStyle name="40% - Accent3 2 4 5 3 5" xfId="19566" xr:uid="{00000000-0005-0000-0000-0000C9450000}"/>
    <cellStyle name="40% - Accent3 2 4 5 3 6" xfId="28443" xr:uid="{00000000-0005-0000-0000-0000CA450000}"/>
    <cellStyle name="40% - Accent3 2 4 5 4" xfId="9539" xr:uid="{00000000-0005-0000-0000-0000CB450000}"/>
    <cellStyle name="40% - Accent3 2 4 5 4 2" xfId="21042" xr:uid="{00000000-0005-0000-0000-0000CC450000}"/>
    <cellStyle name="40% - Accent3 2 4 5 4 3" xfId="29919" xr:uid="{00000000-0005-0000-0000-0000CD450000}"/>
    <cellStyle name="40% - Accent3 2 4 5 5" xfId="11987" xr:uid="{00000000-0005-0000-0000-0000CE450000}"/>
    <cellStyle name="40% - Accent3 2 4 5 5 2" xfId="23261" xr:uid="{00000000-0005-0000-0000-0000CF450000}"/>
    <cellStyle name="40% - Accent3 2 4 5 5 3" xfId="32138" xr:uid="{00000000-0005-0000-0000-0000D0450000}"/>
    <cellStyle name="40% - Accent3 2 4 5 6" xfId="14208" xr:uid="{00000000-0005-0000-0000-0000D1450000}"/>
    <cellStyle name="40% - Accent3 2 4 5 6 2" xfId="25480" xr:uid="{00000000-0005-0000-0000-0000D2450000}"/>
    <cellStyle name="40% - Accent3 2 4 5 6 3" xfId="34357" xr:uid="{00000000-0005-0000-0000-0000D3450000}"/>
    <cellStyle name="40% - Accent3 2 4 5 7" xfId="18817" xr:uid="{00000000-0005-0000-0000-0000D4450000}"/>
    <cellStyle name="40% - Accent3 2 4 5 8" xfId="27698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19" xr:uid="{00000000-0005-0000-0000-0000D9450000}"/>
    <cellStyle name="40% - Accent3 2 4 6 2 2 3" xfId="31396" xr:uid="{00000000-0005-0000-0000-0000DA450000}"/>
    <cellStyle name="40% - Accent3 2 4 6 2 3" xfId="13464" xr:uid="{00000000-0005-0000-0000-0000DB450000}"/>
    <cellStyle name="40% - Accent3 2 4 6 2 3 2" xfId="24738" xr:uid="{00000000-0005-0000-0000-0000DC450000}"/>
    <cellStyle name="40% - Accent3 2 4 6 2 3 3" xfId="33615" xr:uid="{00000000-0005-0000-0000-0000DD450000}"/>
    <cellStyle name="40% - Accent3 2 4 6 2 4" xfId="15914" xr:uid="{00000000-0005-0000-0000-0000DE450000}"/>
    <cellStyle name="40% - Accent3 2 4 6 2 4 2" xfId="26957" xr:uid="{00000000-0005-0000-0000-0000DF450000}"/>
    <cellStyle name="40% - Accent3 2 4 6 2 4 3" xfId="35834" xr:uid="{00000000-0005-0000-0000-0000E0450000}"/>
    <cellStyle name="40% - Accent3 2 4 6 2 5" xfId="20300" xr:uid="{00000000-0005-0000-0000-0000E1450000}"/>
    <cellStyle name="40% - Accent3 2 4 6 2 6" xfId="29177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6" xr:uid="{00000000-0005-0000-0000-0000E5450000}"/>
    <cellStyle name="40% - Accent3 2 4 6 3 2 3" xfId="30663" xr:uid="{00000000-0005-0000-0000-0000E6450000}"/>
    <cellStyle name="40% - Accent3 2 4 6 3 3" xfId="12731" xr:uid="{00000000-0005-0000-0000-0000E7450000}"/>
    <cellStyle name="40% - Accent3 2 4 6 3 3 2" xfId="24005" xr:uid="{00000000-0005-0000-0000-0000E8450000}"/>
    <cellStyle name="40% - Accent3 2 4 6 3 3 3" xfId="32882" xr:uid="{00000000-0005-0000-0000-0000E9450000}"/>
    <cellStyle name="40% - Accent3 2 4 6 3 4" xfId="15181" xr:uid="{00000000-0005-0000-0000-0000EA450000}"/>
    <cellStyle name="40% - Accent3 2 4 6 3 4 2" xfId="26224" xr:uid="{00000000-0005-0000-0000-0000EB450000}"/>
    <cellStyle name="40% - Accent3 2 4 6 3 4 3" xfId="35101" xr:uid="{00000000-0005-0000-0000-0000EC450000}"/>
    <cellStyle name="40% - Accent3 2 4 6 3 5" xfId="19567" xr:uid="{00000000-0005-0000-0000-0000ED450000}"/>
    <cellStyle name="40% - Accent3 2 4 6 3 6" xfId="28444" xr:uid="{00000000-0005-0000-0000-0000EE450000}"/>
    <cellStyle name="40% - Accent3 2 4 6 4" xfId="9540" xr:uid="{00000000-0005-0000-0000-0000EF450000}"/>
    <cellStyle name="40% - Accent3 2 4 6 4 2" xfId="21043" xr:uid="{00000000-0005-0000-0000-0000F0450000}"/>
    <cellStyle name="40% - Accent3 2 4 6 4 3" xfId="29920" xr:uid="{00000000-0005-0000-0000-0000F1450000}"/>
    <cellStyle name="40% - Accent3 2 4 6 5" xfId="11988" xr:uid="{00000000-0005-0000-0000-0000F2450000}"/>
    <cellStyle name="40% - Accent3 2 4 6 5 2" xfId="23262" xr:uid="{00000000-0005-0000-0000-0000F3450000}"/>
    <cellStyle name="40% - Accent3 2 4 6 5 3" xfId="32139" xr:uid="{00000000-0005-0000-0000-0000F4450000}"/>
    <cellStyle name="40% - Accent3 2 4 6 6" xfId="14209" xr:uid="{00000000-0005-0000-0000-0000F5450000}"/>
    <cellStyle name="40% - Accent3 2 4 6 6 2" xfId="25481" xr:uid="{00000000-0005-0000-0000-0000F6450000}"/>
    <cellStyle name="40% - Accent3 2 4 6 6 3" xfId="34358" xr:uid="{00000000-0005-0000-0000-0000F7450000}"/>
    <cellStyle name="40% - Accent3 2 4 6 7" xfId="18818" xr:uid="{00000000-0005-0000-0000-0000F8450000}"/>
    <cellStyle name="40% - Accent3 2 4 6 8" xfId="27699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0" xr:uid="{00000000-0005-0000-0000-0000FD450000}"/>
    <cellStyle name="40% - Accent3 2 4 7 2 2 3" xfId="31397" xr:uid="{00000000-0005-0000-0000-0000FE450000}"/>
    <cellStyle name="40% - Accent3 2 4 7 2 3" xfId="13465" xr:uid="{00000000-0005-0000-0000-0000FF450000}"/>
    <cellStyle name="40% - Accent3 2 4 7 2 3 2" xfId="24739" xr:uid="{00000000-0005-0000-0000-000000460000}"/>
    <cellStyle name="40% - Accent3 2 4 7 2 3 3" xfId="33616" xr:uid="{00000000-0005-0000-0000-000001460000}"/>
    <cellStyle name="40% - Accent3 2 4 7 2 4" xfId="15915" xr:uid="{00000000-0005-0000-0000-000002460000}"/>
    <cellStyle name="40% - Accent3 2 4 7 2 4 2" xfId="26958" xr:uid="{00000000-0005-0000-0000-000003460000}"/>
    <cellStyle name="40% - Accent3 2 4 7 2 4 3" xfId="35835" xr:uid="{00000000-0005-0000-0000-000004460000}"/>
    <cellStyle name="40% - Accent3 2 4 7 2 5" xfId="20301" xr:uid="{00000000-0005-0000-0000-000005460000}"/>
    <cellStyle name="40% - Accent3 2 4 7 2 6" xfId="29178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7" xr:uid="{00000000-0005-0000-0000-000009460000}"/>
    <cellStyle name="40% - Accent3 2 4 7 3 2 3" xfId="30664" xr:uid="{00000000-0005-0000-0000-00000A460000}"/>
    <cellStyle name="40% - Accent3 2 4 7 3 3" xfId="12732" xr:uid="{00000000-0005-0000-0000-00000B460000}"/>
    <cellStyle name="40% - Accent3 2 4 7 3 3 2" xfId="24006" xr:uid="{00000000-0005-0000-0000-00000C460000}"/>
    <cellStyle name="40% - Accent3 2 4 7 3 3 3" xfId="32883" xr:uid="{00000000-0005-0000-0000-00000D460000}"/>
    <cellStyle name="40% - Accent3 2 4 7 3 4" xfId="15182" xr:uid="{00000000-0005-0000-0000-00000E460000}"/>
    <cellStyle name="40% - Accent3 2 4 7 3 4 2" xfId="26225" xr:uid="{00000000-0005-0000-0000-00000F460000}"/>
    <cellStyle name="40% - Accent3 2 4 7 3 4 3" xfId="35102" xr:uid="{00000000-0005-0000-0000-000010460000}"/>
    <cellStyle name="40% - Accent3 2 4 7 3 5" xfId="19568" xr:uid="{00000000-0005-0000-0000-000011460000}"/>
    <cellStyle name="40% - Accent3 2 4 7 3 6" xfId="28445" xr:uid="{00000000-0005-0000-0000-000012460000}"/>
    <cellStyle name="40% - Accent3 2 4 7 4" xfId="9541" xr:uid="{00000000-0005-0000-0000-000013460000}"/>
    <cellStyle name="40% - Accent3 2 4 7 4 2" xfId="21044" xr:uid="{00000000-0005-0000-0000-000014460000}"/>
    <cellStyle name="40% - Accent3 2 4 7 4 3" xfId="29921" xr:uid="{00000000-0005-0000-0000-000015460000}"/>
    <cellStyle name="40% - Accent3 2 4 7 5" xfId="11989" xr:uid="{00000000-0005-0000-0000-000016460000}"/>
    <cellStyle name="40% - Accent3 2 4 7 5 2" xfId="23263" xr:uid="{00000000-0005-0000-0000-000017460000}"/>
    <cellStyle name="40% - Accent3 2 4 7 5 3" xfId="32140" xr:uid="{00000000-0005-0000-0000-000018460000}"/>
    <cellStyle name="40% - Accent3 2 4 7 6" xfId="14210" xr:uid="{00000000-0005-0000-0000-000019460000}"/>
    <cellStyle name="40% - Accent3 2 4 7 6 2" xfId="25482" xr:uid="{00000000-0005-0000-0000-00001A460000}"/>
    <cellStyle name="40% - Accent3 2 4 7 6 3" xfId="34359" xr:uid="{00000000-0005-0000-0000-00001B460000}"/>
    <cellStyle name="40% - Accent3 2 4 7 7" xfId="18819" xr:uid="{00000000-0005-0000-0000-00001C460000}"/>
    <cellStyle name="40% - Accent3 2 4 7 8" xfId="27700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1" xr:uid="{00000000-0005-0000-0000-000021460000}"/>
    <cellStyle name="40% - Accent3 2 4 8 2 2 3" xfId="31398" xr:uid="{00000000-0005-0000-0000-000022460000}"/>
    <cellStyle name="40% - Accent3 2 4 8 2 3" xfId="13466" xr:uid="{00000000-0005-0000-0000-000023460000}"/>
    <cellStyle name="40% - Accent3 2 4 8 2 3 2" xfId="24740" xr:uid="{00000000-0005-0000-0000-000024460000}"/>
    <cellStyle name="40% - Accent3 2 4 8 2 3 3" xfId="33617" xr:uid="{00000000-0005-0000-0000-000025460000}"/>
    <cellStyle name="40% - Accent3 2 4 8 2 4" xfId="15916" xr:uid="{00000000-0005-0000-0000-000026460000}"/>
    <cellStyle name="40% - Accent3 2 4 8 2 4 2" xfId="26959" xr:uid="{00000000-0005-0000-0000-000027460000}"/>
    <cellStyle name="40% - Accent3 2 4 8 2 4 3" xfId="35836" xr:uid="{00000000-0005-0000-0000-000028460000}"/>
    <cellStyle name="40% - Accent3 2 4 8 2 5" xfId="20302" xr:uid="{00000000-0005-0000-0000-000029460000}"/>
    <cellStyle name="40% - Accent3 2 4 8 2 6" xfId="29179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8" xr:uid="{00000000-0005-0000-0000-00002D460000}"/>
    <cellStyle name="40% - Accent3 2 4 8 3 2 3" xfId="30665" xr:uid="{00000000-0005-0000-0000-00002E460000}"/>
    <cellStyle name="40% - Accent3 2 4 8 3 3" xfId="12733" xr:uid="{00000000-0005-0000-0000-00002F460000}"/>
    <cellStyle name="40% - Accent3 2 4 8 3 3 2" xfId="24007" xr:uid="{00000000-0005-0000-0000-000030460000}"/>
    <cellStyle name="40% - Accent3 2 4 8 3 3 3" xfId="32884" xr:uid="{00000000-0005-0000-0000-000031460000}"/>
    <cellStyle name="40% - Accent3 2 4 8 3 4" xfId="15183" xr:uid="{00000000-0005-0000-0000-000032460000}"/>
    <cellStyle name="40% - Accent3 2 4 8 3 4 2" xfId="26226" xr:uid="{00000000-0005-0000-0000-000033460000}"/>
    <cellStyle name="40% - Accent3 2 4 8 3 4 3" xfId="35103" xr:uid="{00000000-0005-0000-0000-000034460000}"/>
    <cellStyle name="40% - Accent3 2 4 8 3 5" xfId="19569" xr:uid="{00000000-0005-0000-0000-000035460000}"/>
    <cellStyle name="40% - Accent3 2 4 8 3 6" xfId="28446" xr:uid="{00000000-0005-0000-0000-000036460000}"/>
    <cellStyle name="40% - Accent3 2 4 8 4" xfId="9542" xr:uid="{00000000-0005-0000-0000-000037460000}"/>
    <cellStyle name="40% - Accent3 2 4 8 4 2" xfId="21045" xr:uid="{00000000-0005-0000-0000-000038460000}"/>
    <cellStyle name="40% - Accent3 2 4 8 4 3" xfId="29922" xr:uid="{00000000-0005-0000-0000-000039460000}"/>
    <cellStyle name="40% - Accent3 2 4 8 5" xfId="11990" xr:uid="{00000000-0005-0000-0000-00003A460000}"/>
    <cellStyle name="40% - Accent3 2 4 8 5 2" xfId="23264" xr:uid="{00000000-0005-0000-0000-00003B460000}"/>
    <cellStyle name="40% - Accent3 2 4 8 5 3" xfId="32141" xr:uid="{00000000-0005-0000-0000-00003C460000}"/>
    <cellStyle name="40% - Accent3 2 4 8 6" xfId="14211" xr:uid="{00000000-0005-0000-0000-00003D460000}"/>
    <cellStyle name="40% - Accent3 2 4 8 6 2" xfId="25483" xr:uid="{00000000-0005-0000-0000-00003E460000}"/>
    <cellStyle name="40% - Accent3 2 4 8 6 3" xfId="34360" xr:uid="{00000000-0005-0000-0000-00003F460000}"/>
    <cellStyle name="40% - Accent3 2 4 8 7" xfId="18820" xr:uid="{00000000-0005-0000-0000-000040460000}"/>
    <cellStyle name="40% - Accent3 2 4 8 8" xfId="27701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2" xr:uid="{00000000-0005-0000-0000-000045460000}"/>
    <cellStyle name="40% - Accent3 2 4 9 2 2 3" xfId="31399" xr:uid="{00000000-0005-0000-0000-000046460000}"/>
    <cellStyle name="40% - Accent3 2 4 9 2 3" xfId="13467" xr:uid="{00000000-0005-0000-0000-000047460000}"/>
    <cellStyle name="40% - Accent3 2 4 9 2 3 2" xfId="24741" xr:uid="{00000000-0005-0000-0000-000048460000}"/>
    <cellStyle name="40% - Accent3 2 4 9 2 3 3" xfId="33618" xr:uid="{00000000-0005-0000-0000-000049460000}"/>
    <cellStyle name="40% - Accent3 2 4 9 2 4" xfId="15917" xr:uid="{00000000-0005-0000-0000-00004A460000}"/>
    <cellStyle name="40% - Accent3 2 4 9 2 4 2" xfId="26960" xr:uid="{00000000-0005-0000-0000-00004B460000}"/>
    <cellStyle name="40% - Accent3 2 4 9 2 4 3" xfId="35837" xr:uid="{00000000-0005-0000-0000-00004C460000}"/>
    <cellStyle name="40% - Accent3 2 4 9 2 5" xfId="20303" xr:uid="{00000000-0005-0000-0000-00004D460000}"/>
    <cellStyle name="40% - Accent3 2 4 9 2 6" xfId="29180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89" xr:uid="{00000000-0005-0000-0000-000051460000}"/>
    <cellStyle name="40% - Accent3 2 4 9 3 2 3" xfId="30666" xr:uid="{00000000-0005-0000-0000-000052460000}"/>
    <cellStyle name="40% - Accent3 2 4 9 3 3" xfId="12734" xr:uid="{00000000-0005-0000-0000-000053460000}"/>
    <cellStyle name="40% - Accent3 2 4 9 3 3 2" xfId="24008" xr:uid="{00000000-0005-0000-0000-000054460000}"/>
    <cellStyle name="40% - Accent3 2 4 9 3 3 3" xfId="32885" xr:uid="{00000000-0005-0000-0000-000055460000}"/>
    <cellStyle name="40% - Accent3 2 4 9 3 4" xfId="15184" xr:uid="{00000000-0005-0000-0000-000056460000}"/>
    <cellStyle name="40% - Accent3 2 4 9 3 4 2" xfId="26227" xr:uid="{00000000-0005-0000-0000-000057460000}"/>
    <cellStyle name="40% - Accent3 2 4 9 3 4 3" xfId="35104" xr:uid="{00000000-0005-0000-0000-000058460000}"/>
    <cellStyle name="40% - Accent3 2 4 9 3 5" xfId="19570" xr:uid="{00000000-0005-0000-0000-000059460000}"/>
    <cellStyle name="40% - Accent3 2 4 9 3 6" xfId="28447" xr:uid="{00000000-0005-0000-0000-00005A460000}"/>
    <cellStyle name="40% - Accent3 2 4 9 4" xfId="9543" xr:uid="{00000000-0005-0000-0000-00005B460000}"/>
    <cellStyle name="40% - Accent3 2 4 9 4 2" xfId="21046" xr:uid="{00000000-0005-0000-0000-00005C460000}"/>
    <cellStyle name="40% - Accent3 2 4 9 4 3" xfId="29923" xr:uid="{00000000-0005-0000-0000-00005D460000}"/>
    <cellStyle name="40% - Accent3 2 4 9 5" xfId="11991" xr:uid="{00000000-0005-0000-0000-00005E460000}"/>
    <cellStyle name="40% - Accent3 2 4 9 5 2" xfId="23265" xr:uid="{00000000-0005-0000-0000-00005F460000}"/>
    <cellStyle name="40% - Accent3 2 4 9 5 3" xfId="32142" xr:uid="{00000000-0005-0000-0000-000060460000}"/>
    <cellStyle name="40% - Accent3 2 4 9 6" xfId="14212" xr:uid="{00000000-0005-0000-0000-000061460000}"/>
    <cellStyle name="40% - Accent3 2 4 9 6 2" xfId="25484" xr:uid="{00000000-0005-0000-0000-000062460000}"/>
    <cellStyle name="40% - Accent3 2 4 9 6 3" xfId="34361" xr:uid="{00000000-0005-0000-0000-000063460000}"/>
    <cellStyle name="40% - Accent3 2 4 9 7" xfId="18821" xr:uid="{00000000-0005-0000-0000-000064460000}"/>
    <cellStyle name="40% - Accent3 2 4 9 8" xfId="27702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3" xr:uid="{00000000-0005-0000-0000-000069460000}"/>
    <cellStyle name="40% - Accent3 2 5 10 2 3" xfId="31400" xr:uid="{00000000-0005-0000-0000-00006A460000}"/>
    <cellStyle name="40% - Accent3 2 5 10 3" xfId="13468" xr:uid="{00000000-0005-0000-0000-00006B460000}"/>
    <cellStyle name="40% - Accent3 2 5 10 3 2" xfId="24742" xr:uid="{00000000-0005-0000-0000-00006C460000}"/>
    <cellStyle name="40% - Accent3 2 5 10 3 3" xfId="33619" xr:uid="{00000000-0005-0000-0000-00006D460000}"/>
    <cellStyle name="40% - Accent3 2 5 10 4" xfId="15918" xr:uid="{00000000-0005-0000-0000-00006E460000}"/>
    <cellStyle name="40% - Accent3 2 5 10 4 2" xfId="26961" xr:uid="{00000000-0005-0000-0000-00006F460000}"/>
    <cellStyle name="40% - Accent3 2 5 10 4 3" xfId="35838" xr:uid="{00000000-0005-0000-0000-000070460000}"/>
    <cellStyle name="40% - Accent3 2 5 10 5" xfId="20304" xr:uid="{00000000-0005-0000-0000-000071460000}"/>
    <cellStyle name="40% - Accent3 2 5 10 6" xfId="29181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0" xr:uid="{00000000-0005-0000-0000-000075460000}"/>
    <cellStyle name="40% - Accent3 2 5 11 2 3" xfId="30667" xr:uid="{00000000-0005-0000-0000-000076460000}"/>
    <cellStyle name="40% - Accent3 2 5 11 3" xfId="12735" xr:uid="{00000000-0005-0000-0000-000077460000}"/>
    <cellStyle name="40% - Accent3 2 5 11 3 2" xfId="24009" xr:uid="{00000000-0005-0000-0000-000078460000}"/>
    <cellStyle name="40% - Accent3 2 5 11 3 3" xfId="32886" xr:uid="{00000000-0005-0000-0000-000079460000}"/>
    <cellStyle name="40% - Accent3 2 5 11 4" xfId="15185" xr:uid="{00000000-0005-0000-0000-00007A460000}"/>
    <cellStyle name="40% - Accent3 2 5 11 4 2" xfId="26228" xr:uid="{00000000-0005-0000-0000-00007B460000}"/>
    <cellStyle name="40% - Accent3 2 5 11 4 3" xfId="35105" xr:uid="{00000000-0005-0000-0000-00007C460000}"/>
    <cellStyle name="40% - Accent3 2 5 11 5" xfId="19571" xr:uid="{00000000-0005-0000-0000-00007D460000}"/>
    <cellStyle name="40% - Accent3 2 5 11 6" xfId="28448" xr:uid="{00000000-0005-0000-0000-00007E460000}"/>
    <cellStyle name="40% - Accent3 2 5 12" xfId="9544" xr:uid="{00000000-0005-0000-0000-00007F460000}"/>
    <cellStyle name="40% - Accent3 2 5 12 2" xfId="21047" xr:uid="{00000000-0005-0000-0000-000080460000}"/>
    <cellStyle name="40% - Accent3 2 5 12 3" xfId="29924" xr:uid="{00000000-0005-0000-0000-000081460000}"/>
    <cellStyle name="40% - Accent3 2 5 13" xfId="11992" xr:uid="{00000000-0005-0000-0000-000082460000}"/>
    <cellStyle name="40% - Accent3 2 5 13 2" xfId="23266" xr:uid="{00000000-0005-0000-0000-000083460000}"/>
    <cellStyle name="40% - Accent3 2 5 13 3" xfId="32143" xr:uid="{00000000-0005-0000-0000-000084460000}"/>
    <cellStyle name="40% - Accent3 2 5 14" xfId="14213" xr:uid="{00000000-0005-0000-0000-000085460000}"/>
    <cellStyle name="40% - Accent3 2 5 14 2" xfId="25485" xr:uid="{00000000-0005-0000-0000-000086460000}"/>
    <cellStyle name="40% - Accent3 2 5 14 3" xfId="34362" xr:uid="{00000000-0005-0000-0000-000087460000}"/>
    <cellStyle name="40% - Accent3 2 5 15" xfId="18822" xr:uid="{00000000-0005-0000-0000-000088460000}"/>
    <cellStyle name="40% - Accent3 2 5 16" xfId="27703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4" xr:uid="{00000000-0005-0000-0000-00008D460000}"/>
    <cellStyle name="40% - Accent3 2 5 2 2 2 3" xfId="31401" xr:uid="{00000000-0005-0000-0000-00008E460000}"/>
    <cellStyle name="40% - Accent3 2 5 2 2 3" xfId="13469" xr:uid="{00000000-0005-0000-0000-00008F460000}"/>
    <cellStyle name="40% - Accent3 2 5 2 2 3 2" xfId="24743" xr:uid="{00000000-0005-0000-0000-000090460000}"/>
    <cellStyle name="40% - Accent3 2 5 2 2 3 3" xfId="33620" xr:uid="{00000000-0005-0000-0000-000091460000}"/>
    <cellStyle name="40% - Accent3 2 5 2 2 4" xfId="15919" xr:uid="{00000000-0005-0000-0000-000092460000}"/>
    <cellStyle name="40% - Accent3 2 5 2 2 4 2" xfId="26962" xr:uid="{00000000-0005-0000-0000-000093460000}"/>
    <cellStyle name="40% - Accent3 2 5 2 2 4 3" xfId="35839" xr:uid="{00000000-0005-0000-0000-000094460000}"/>
    <cellStyle name="40% - Accent3 2 5 2 2 5" xfId="20305" xr:uid="{00000000-0005-0000-0000-000095460000}"/>
    <cellStyle name="40% - Accent3 2 5 2 2 6" xfId="29182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1" xr:uid="{00000000-0005-0000-0000-000099460000}"/>
    <cellStyle name="40% - Accent3 2 5 2 3 2 3" xfId="30668" xr:uid="{00000000-0005-0000-0000-00009A460000}"/>
    <cellStyle name="40% - Accent3 2 5 2 3 3" xfId="12736" xr:uid="{00000000-0005-0000-0000-00009B460000}"/>
    <cellStyle name="40% - Accent3 2 5 2 3 3 2" xfId="24010" xr:uid="{00000000-0005-0000-0000-00009C460000}"/>
    <cellStyle name="40% - Accent3 2 5 2 3 3 3" xfId="32887" xr:uid="{00000000-0005-0000-0000-00009D460000}"/>
    <cellStyle name="40% - Accent3 2 5 2 3 4" xfId="15186" xr:uid="{00000000-0005-0000-0000-00009E460000}"/>
    <cellStyle name="40% - Accent3 2 5 2 3 4 2" xfId="26229" xr:uid="{00000000-0005-0000-0000-00009F460000}"/>
    <cellStyle name="40% - Accent3 2 5 2 3 4 3" xfId="35106" xr:uid="{00000000-0005-0000-0000-0000A0460000}"/>
    <cellStyle name="40% - Accent3 2 5 2 3 5" xfId="19572" xr:uid="{00000000-0005-0000-0000-0000A1460000}"/>
    <cellStyle name="40% - Accent3 2 5 2 3 6" xfId="28449" xr:uid="{00000000-0005-0000-0000-0000A2460000}"/>
    <cellStyle name="40% - Accent3 2 5 2 4" xfId="9545" xr:uid="{00000000-0005-0000-0000-0000A3460000}"/>
    <cellStyle name="40% - Accent3 2 5 2 4 2" xfId="21048" xr:uid="{00000000-0005-0000-0000-0000A4460000}"/>
    <cellStyle name="40% - Accent3 2 5 2 4 3" xfId="29925" xr:uid="{00000000-0005-0000-0000-0000A5460000}"/>
    <cellStyle name="40% - Accent3 2 5 2 5" xfId="11993" xr:uid="{00000000-0005-0000-0000-0000A6460000}"/>
    <cellStyle name="40% - Accent3 2 5 2 5 2" xfId="23267" xr:uid="{00000000-0005-0000-0000-0000A7460000}"/>
    <cellStyle name="40% - Accent3 2 5 2 5 3" xfId="32144" xr:uid="{00000000-0005-0000-0000-0000A8460000}"/>
    <cellStyle name="40% - Accent3 2 5 2 6" xfId="14214" xr:uid="{00000000-0005-0000-0000-0000A9460000}"/>
    <cellStyle name="40% - Accent3 2 5 2 6 2" xfId="25486" xr:uid="{00000000-0005-0000-0000-0000AA460000}"/>
    <cellStyle name="40% - Accent3 2 5 2 6 3" xfId="34363" xr:uid="{00000000-0005-0000-0000-0000AB460000}"/>
    <cellStyle name="40% - Accent3 2 5 2 7" xfId="18823" xr:uid="{00000000-0005-0000-0000-0000AC460000}"/>
    <cellStyle name="40% - Accent3 2 5 2 8" xfId="27704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5" xr:uid="{00000000-0005-0000-0000-0000B1460000}"/>
    <cellStyle name="40% - Accent3 2 5 3 2 2 3" xfId="31402" xr:uid="{00000000-0005-0000-0000-0000B2460000}"/>
    <cellStyle name="40% - Accent3 2 5 3 2 3" xfId="13470" xr:uid="{00000000-0005-0000-0000-0000B3460000}"/>
    <cellStyle name="40% - Accent3 2 5 3 2 3 2" xfId="24744" xr:uid="{00000000-0005-0000-0000-0000B4460000}"/>
    <cellStyle name="40% - Accent3 2 5 3 2 3 3" xfId="33621" xr:uid="{00000000-0005-0000-0000-0000B5460000}"/>
    <cellStyle name="40% - Accent3 2 5 3 2 4" xfId="15920" xr:uid="{00000000-0005-0000-0000-0000B6460000}"/>
    <cellStyle name="40% - Accent3 2 5 3 2 4 2" xfId="26963" xr:uid="{00000000-0005-0000-0000-0000B7460000}"/>
    <cellStyle name="40% - Accent3 2 5 3 2 4 3" xfId="35840" xr:uid="{00000000-0005-0000-0000-0000B8460000}"/>
    <cellStyle name="40% - Accent3 2 5 3 2 5" xfId="20306" xr:uid="{00000000-0005-0000-0000-0000B9460000}"/>
    <cellStyle name="40% - Accent3 2 5 3 2 6" xfId="29183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2" xr:uid="{00000000-0005-0000-0000-0000BD460000}"/>
    <cellStyle name="40% - Accent3 2 5 3 3 2 3" xfId="30669" xr:uid="{00000000-0005-0000-0000-0000BE460000}"/>
    <cellStyle name="40% - Accent3 2 5 3 3 3" xfId="12737" xr:uid="{00000000-0005-0000-0000-0000BF460000}"/>
    <cellStyle name="40% - Accent3 2 5 3 3 3 2" xfId="24011" xr:uid="{00000000-0005-0000-0000-0000C0460000}"/>
    <cellStyle name="40% - Accent3 2 5 3 3 3 3" xfId="32888" xr:uid="{00000000-0005-0000-0000-0000C1460000}"/>
    <cellStyle name="40% - Accent3 2 5 3 3 4" xfId="15187" xr:uid="{00000000-0005-0000-0000-0000C2460000}"/>
    <cellStyle name="40% - Accent3 2 5 3 3 4 2" xfId="26230" xr:uid="{00000000-0005-0000-0000-0000C3460000}"/>
    <cellStyle name="40% - Accent3 2 5 3 3 4 3" xfId="35107" xr:uid="{00000000-0005-0000-0000-0000C4460000}"/>
    <cellStyle name="40% - Accent3 2 5 3 3 5" xfId="19573" xr:uid="{00000000-0005-0000-0000-0000C5460000}"/>
    <cellStyle name="40% - Accent3 2 5 3 3 6" xfId="28450" xr:uid="{00000000-0005-0000-0000-0000C6460000}"/>
    <cellStyle name="40% - Accent3 2 5 3 4" xfId="9546" xr:uid="{00000000-0005-0000-0000-0000C7460000}"/>
    <cellStyle name="40% - Accent3 2 5 3 4 2" xfId="21049" xr:uid="{00000000-0005-0000-0000-0000C8460000}"/>
    <cellStyle name="40% - Accent3 2 5 3 4 3" xfId="29926" xr:uid="{00000000-0005-0000-0000-0000C9460000}"/>
    <cellStyle name="40% - Accent3 2 5 3 5" xfId="11994" xr:uid="{00000000-0005-0000-0000-0000CA460000}"/>
    <cellStyle name="40% - Accent3 2 5 3 5 2" xfId="23268" xr:uid="{00000000-0005-0000-0000-0000CB460000}"/>
    <cellStyle name="40% - Accent3 2 5 3 5 3" xfId="32145" xr:uid="{00000000-0005-0000-0000-0000CC460000}"/>
    <cellStyle name="40% - Accent3 2 5 3 6" xfId="14215" xr:uid="{00000000-0005-0000-0000-0000CD460000}"/>
    <cellStyle name="40% - Accent3 2 5 3 6 2" xfId="25487" xr:uid="{00000000-0005-0000-0000-0000CE460000}"/>
    <cellStyle name="40% - Accent3 2 5 3 6 3" xfId="34364" xr:uid="{00000000-0005-0000-0000-0000CF460000}"/>
    <cellStyle name="40% - Accent3 2 5 3 7" xfId="18824" xr:uid="{00000000-0005-0000-0000-0000D0460000}"/>
    <cellStyle name="40% - Accent3 2 5 3 8" xfId="27705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6" xr:uid="{00000000-0005-0000-0000-0000D5460000}"/>
    <cellStyle name="40% - Accent3 2 5 4 2 2 3" xfId="31403" xr:uid="{00000000-0005-0000-0000-0000D6460000}"/>
    <cellStyle name="40% - Accent3 2 5 4 2 3" xfId="13471" xr:uid="{00000000-0005-0000-0000-0000D7460000}"/>
    <cellStyle name="40% - Accent3 2 5 4 2 3 2" xfId="24745" xr:uid="{00000000-0005-0000-0000-0000D8460000}"/>
    <cellStyle name="40% - Accent3 2 5 4 2 3 3" xfId="33622" xr:uid="{00000000-0005-0000-0000-0000D9460000}"/>
    <cellStyle name="40% - Accent3 2 5 4 2 4" xfId="15921" xr:uid="{00000000-0005-0000-0000-0000DA460000}"/>
    <cellStyle name="40% - Accent3 2 5 4 2 4 2" xfId="26964" xr:uid="{00000000-0005-0000-0000-0000DB460000}"/>
    <cellStyle name="40% - Accent3 2 5 4 2 4 3" xfId="35841" xr:uid="{00000000-0005-0000-0000-0000DC460000}"/>
    <cellStyle name="40% - Accent3 2 5 4 2 5" xfId="20307" xr:uid="{00000000-0005-0000-0000-0000DD460000}"/>
    <cellStyle name="40% - Accent3 2 5 4 2 6" xfId="29184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3" xr:uid="{00000000-0005-0000-0000-0000E1460000}"/>
    <cellStyle name="40% - Accent3 2 5 4 3 2 3" xfId="30670" xr:uid="{00000000-0005-0000-0000-0000E2460000}"/>
    <cellStyle name="40% - Accent3 2 5 4 3 3" xfId="12738" xr:uid="{00000000-0005-0000-0000-0000E3460000}"/>
    <cellStyle name="40% - Accent3 2 5 4 3 3 2" xfId="24012" xr:uid="{00000000-0005-0000-0000-0000E4460000}"/>
    <cellStyle name="40% - Accent3 2 5 4 3 3 3" xfId="32889" xr:uid="{00000000-0005-0000-0000-0000E5460000}"/>
    <cellStyle name="40% - Accent3 2 5 4 3 4" xfId="15188" xr:uid="{00000000-0005-0000-0000-0000E6460000}"/>
    <cellStyle name="40% - Accent3 2 5 4 3 4 2" xfId="26231" xr:uid="{00000000-0005-0000-0000-0000E7460000}"/>
    <cellStyle name="40% - Accent3 2 5 4 3 4 3" xfId="35108" xr:uid="{00000000-0005-0000-0000-0000E8460000}"/>
    <cellStyle name="40% - Accent3 2 5 4 3 5" xfId="19574" xr:uid="{00000000-0005-0000-0000-0000E9460000}"/>
    <cellStyle name="40% - Accent3 2 5 4 3 6" xfId="28451" xr:uid="{00000000-0005-0000-0000-0000EA460000}"/>
    <cellStyle name="40% - Accent3 2 5 4 4" xfId="9547" xr:uid="{00000000-0005-0000-0000-0000EB460000}"/>
    <cellStyle name="40% - Accent3 2 5 4 4 2" xfId="21050" xr:uid="{00000000-0005-0000-0000-0000EC460000}"/>
    <cellStyle name="40% - Accent3 2 5 4 4 3" xfId="29927" xr:uid="{00000000-0005-0000-0000-0000ED460000}"/>
    <cellStyle name="40% - Accent3 2 5 4 5" xfId="11995" xr:uid="{00000000-0005-0000-0000-0000EE460000}"/>
    <cellStyle name="40% - Accent3 2 5 4 5 2" xfId="23269" xr:uid="{00000000-0005-0000-0000-0000EF460000}"/>
    <cellStyle name="40% - Accent3 2 5 4 5 3" xfId="32146" xr:uid="{00000000-0005-0000-0000-0000F0460000}"/>
    <cellStyle name="40% - Accent3 2 5 4 6" xfId="14216" xr:uid="{00000000-0005-0000-0000-0000F1460000}"/>
    <cellStyle name="40% - Accent3 2 5 4 6 2" xfId="25488" xr:uid="{00000000-0005-0000-0000-0000F2460000}"/>
    <cellStyle name="40% - Accent3 2 5 4 6 3" xfId="34365" xr:uid="{00000000-0005-0000-0000-0000F3460000}"/>
    <cellStyle name="40% - Accent3 2 5 4 7" xfId="18825" xr:uid="{00000000-0005-0000-0000-0000F4460000}"/>
    <cellStyle name="40% - Accent3 2 5 4 8" xfId="27706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7" xr:uid="{00000000-0005-0000-0000-0000F9460000}"/>
    <cellStyle name="40% - Accent3 2 5 5 2 2 3" xfId="31404" xr:uid="{00000000-0005-0000-0000-0000FA460000}"/>
    <cellStyle name="40% - Accent3 2 5 5 2 3" xfId="13472" xr:uid="{00000000-0005-0000-0000-0000FB460000}"/>
    <cellStyle name="40% - Accent3 2 5 5 2 3 2" xfId="24746" xr:uid="{00000000-0005-0000-0000-0000FC460000}"/>
    <cellStyle name="40% - Accent3 2 5 5 2 3 3" xfId="33623" xr:uid="{00000000-0005-0000-0000-0000FD460000}"/>
    <cellStyle name="40% - Accent3 2 5 5 2 4" xfId="15922" xr:uid="{00000000-0005-0000-0000-0000FE460000}"/>
    <cellStyle name="40% - Accent3 2 5 5 2 4 2" xfId="26965" xr:uid="{00000000-0005-0000-0000-0000FF460000}"/>
    <cellStyle name="40% - Accent3 2 5 5 2 4 3" xfId="35842" xr:uid="{00000000-0005-0000-0000-000000470000}"/>
    <cellStyle name="40% - Accent3 2 5 5 2 5" xfId="20308" xr:uid="{00000000-0005-0000-0000-000001470000}"/>
    <cellStyle name="40% - Accent3 2 5 5 2 6" xfId="29185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4" xr:uid="{00000000-0005-0000-0000-000005470000}"/>
    <cellStyle name="40% - Accent3 2 5 5 3 2 3" xfId="30671" xr:uid="{00000000-0005-0000-0000-000006470000}"/>
    <cellStyle name="40% - Accent3 2 5 5 3 3" xfId="12739" xr:uid="{00000000-0005-0000-0000-000007470000}"/>
    <cellStyle name="40% - Accent3 2 5 5 3 3 2" xfId="24013" xr:uid="{00000000-0005-0000-0000-000008470000}"/>
    <cellStyle name="40% - Accent3 2 5 5 3 3 3" xfId="32890" xr:uid="{00000000-0005-0000-0000-000009470000}"/>
    <cellStyle name="40% - Accent3 2 5 5 3 4" xfId="15189" xr:uid="{00000000-0005-0000-0000-00000A470000}"/>
    <cellStyle name="40% - Accent3 2 5 5 3 4 2" xfId="26232" xr:uid="{00000000-0005-0000-0000-00000B470000}"/>
    <cellStyle name="40% - Accent3 2 5 5 3 4 3" xfId="35109" xr:uid="{00000000-0005-0000-0000-00000C470000}"/>
    <cellStyle name="40% - Accent3 2 5 5 3 5" xfId="19575" xr:uid="{00000000-0005-0000-0000-00000D470000}"/>
    <cellStyle name="40% - Accent3 2 5 5 3 6" xfId="28452" xr:uid="{00000000-0005-0000-0000-00000E470000}"/>
    <cellStyle name="40% - Accent3 2 5 5 4" xfId="9548" xr:uid="{00000000-0005-0000-0000-00000F470000}"/>
    <cellStyle name="40% - Accent3 2 5 5 4 2" xfId="21051" xr:uid="{00000000-0005-0000-0000-000010470000}"/>
    <cellStyle name="40% - Accent3 2 5 5 4 3" xfId="29928" xr:uid="{00000000-0005-0000-0000-000011470000}"/>
    <cellStyle name="40% - Accent3 2 5 5 5" xfId="11996" xr:uid="{00000000-0005-0000-0000-000012470000}"/>
    <cellStyle name="40% - Accent3 2 5 5 5 2" xfId="23270" xr:uid="{00000000-0005-0000-0000-000013470000}"/>
    <cellStyle name="40% - Accent3 2 5 5 5 3" xfId="32147" xr:uid="{00000000-0005-0000-0000-000014470000}"/>
    <cellStyle name="40% - Accent3 2 5 5 6" xfId="14217" xr:uid="{00000000-0005-0000-0000-000015470000}"/>
    <cellStyle name="40% - Accent3 2 5 5 6 2" xfId="25489" xr:uid="{00000000-0005-0000-0000-000016470000}"/>
    <cellStyle name="40% - Accent3 2 5 5 6 3" xfId="34366" xr:uid="{00000000-0005-0000-0000-000017470000}"/>
    <cellStyle name="40% - Accent3 2 5 5 7" xfId="18826" xr:uid="{00000000-0005-0000-0000-000018470000}"/>
    <cellStyle name="40% - Accent3 2 5 5 8" xfId="27707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8" xr:uid="{00000000-0005-0000-0000-00001D470000}"/>
    <cellStyle name="40% - Accent3 2 5 6 2 2 3" xfId="31405" xr:uid="{00000000-0005-0000-0000-00001E470000}"/>
    <cellStyle name="40% - Accent3 2 5 6 2 3" xfId="13473" xr:uid="{00000000-0005-0000-0000-00001F470000}"/>
    <cellStyle name="40% - Accent3 2 5 6 2 3 2" xfId="24747" xr:uid="{00000000-0005-0000-0000-000020470000}"/>
    <cellStyle name="40% - Accent3 2 5 6 2 3 3" xfId="33624" xr:uid="{00000000-0005-0000-0000-000021470000}"/>
    <cellStyle name="40% - Accent3 2 5 6 2 4" xfId="15923" xr:uid="{00000000-0005-0000-0000-000022470000}"/>
    <cellStyle name="40% - Accent3 2 5 6 2 4 2" xfId="26966" xr:uid="{00000000-0005-0000-0000-000023470000}"/>
    <cellStyle name="40% - Accent3 2 5 6 2 4 3" xfId="35843" xr:uid="{00000000-0005-0000-0000-000024470000}"/>
    <cellStyle name="40% - Accent3 2 5 6 2 5" xfId="20309" xr:uid="{00000000-0005-0000-0000-000025470000}"/>
    <cellStyle name="40% - Accent3 2 5 6 2 6" xfId="29186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5" xr:uid="{00000000-0005-0000-0000-000029470000}"/>
    <cellStyle name="40% - Accent3 2 5 6 3 2 3" xfId="30672" xr:uid="{00000000-0005-0000-0000-00002A470000}"/>
    <cellStyle name="40% - Accent3 2 5 6 3 3" xfId="12740" xr:uid="{00000000-0005-0000-0000-00002B470000}"/>
    <cellStyle name="40% - Accent3 2 5 6 3 3 2" xfId="24014" xr:uid="{00000000-0005-0000-0000-00002C470000}"/>
    <cellStyle name="40% - Accent3 2 5 6 3 3 3" xfId="32891" xr:uid="{00000000-0005-0000-0000-00002D470000}"/>
    <cellStyle name="40% - Accent3 2 5 6 3 4" xfId="15190" xr:uid="{00000000-0005-0000-0000-00002E470000}"/>
    <cellStyle name="40% - Accent3 2 5 6 3 4 2" xfId="26233" xr:uid="{00000000-0005-0000-0000-00002F470000}"/>
    <cellStyle name="40% - Accent3 2 5 6 3 4 3" xfId="35110" xr:uid="{00000000-0005-0000-0000-000030470000}"/>
    <cellStyle name="40% - Accent3 2 5 6 3 5" xfId="19576" xr:uid="{00000000-0005-0000-0000-000031470000}"/>
    <cellStyle name="40% - Accent3 2 5 6 3 6" xfId="28453" xr:uid="{00000000-0005-0000-0000-000032470000}"/>
    <cellStyle name="40% - Accent3 2 5 6 4" xfId="9549" xr:uid="{00000000-0005-0000-0000-000033470000}"/>
    <cellStyle name="40% - Accent3 2 5 6 4 2" xfId="21052" xr:uid="{00000000-0005-0000-0000-000034470000}"/>
    <cellStyle name="40% - Accent3 2 5 6 4 3" xfId="29929" xr:uid="{00000000-0005-0000-0000-000035470000}"/>
    <cellStyle name="40% - Accent3 2 5 6 5" xfId="11997" xr:uid="{00000000-0005-0000-0000-000036470000}"/>
    <cellStyle name="40% - Accent3 2 5 6 5 2" xfId="23271" xr:uid="{00000000-0005-0000-0000-000037470000}"/>
    <cellStyle name="40% - Accent3 2 5 6 5 3" xfId="32148" xr:uid="{00000000-0005-0000-0000-000038470000}"/>
    <cellStyle name="40% - Accent3 2 5 6 6" xfId="14218" xr:uid="{00000000-0005-0000-0000-000039470000}"/>
    <cellStyle name="40% - Accent3 2 5 6 6 2" xfId="25490" xr:uid="{00000000-0005-0000-0000-00003A470000}"/>
    <cellStyle name="40% - Accent3 2 5 6 6 3" xfId="34367" xr:uid="{00000000-0005-0000-0000-00003B470000}"/>
    <cellStyle name="40% - Accent3 2 5 6 7" xfId="18827" xr:uid="{00000000-0005-0000-0000-00003C470000}"/>
    <cellStyle name="40% - Accent3 2 5 6 8" xfId="27708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29" xr:uid="{00000000-0005-0000-0000-000041470000}"/>
    <cellStyle name="40% - Accent3 2 5 7 2 2 3" xfId="31406" xr:uid="{00000000-0005-0000-0000-000042470000}"/>
    <cellStyle name="40% - Accent3 2 5 7 2 3" xfId="13474" xr:uid="{00000000-0005-0000-0000-000043470000}"/>
    <cellStyle name="40% - Accent3 2 5 7 2 3 2" xfId="24748" xr:uid="{00000000-0005-0000-0000-000044470000}"/>
    <cellStyle name="40% - Accent3 2 5 7 2 3 3" xfId="33625" xr:uid="{00000000-0005-0000-0000-000045470000}"/>
    <cellStyle name="40% - Accent3 2 5 7 2 4" xfId="15924" xr:uid="{00000000-0005-0000-0000-000046470000}"/>
    <cellStyle name="40% - Accent3 2 5 7 2 4 2" xfId="26967" xr:uid="{00000000-0005-0000-0000-000047470000}"/>
    <cellStyle name="40% - Accent3 2 5 7 2 4 3" xfId="35844" xr:uid="{00000000-0005-0000-0000-000048470000}"/>
    <cellStyle name="40% - Accent3 2 5 7 2 5" xfId="20310" xr:uid="{00000000-0005-0000-0000-000049470000}"/>
    <cellStyle name="40% - Accent3 2 5 7 2 6" xfId="29187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6" xr:uid="{00000000-0005-0000-0000-00004D470000}"/>
    <cellStyle name="40% - Accent3 2 5 7 3 2 3" xfId="30673" xr:uid="{00000000-0005-0000-0000-00004E470000}"/>
    <cellStyle name="40% - Accent3 2 5 7 3 3" xfId="12741" xr:uid="{00000000-0005-0000-0000-00004F470000}"/>
    <cellStyle name="40% - Accent3 2 5 7 3 3 2" xfId="24015" xr:uid="{00000000-0005-0000-0000-000050470000}"/>
    <cellStyle name="40% - Accent3 2 5 7 3 3 3" xfId="32892" xr:uid="{00000000-0005-0000-0000-000051470000}"/>
    <cellStyle name="40% - Accent3 2 5 7 3 4" xfId="15191" xr:uid="{00000000-0005-0000-0000-000052470000}"/>
    <cellStyle name="40% - Accent3 2 5 7 3 4 2" xfId="26234" xr:uid="{00000000-0005-0000-0000-000053470000}"/>
    <cellStyle name="40% - Accent3 2 5 7 3 4 3" xfId="35111" xr:uid="{00000000-0005-0000-0000-000054470000}"/>
    <cellStyle name="40% - Accent3 2 5 7 3 5" xfId="19577" xr:uid="{00000000-0005-0000-0000-000055470000}"/>
    <cellStyle name="40% - Accent3 2 5 7 3 6" xfId="28454" xr:uid="{00000000-0005-0000-0000-000056470000}"/>
    <cellStyle name="40% - Accent3 2 5 7 4" xfId="9550" xr:uid="{00000000-0005-0000-0000-000057470000}"/>
    <cellStyle name="40% - Accent3 2 5 7 4 2" xfId="21053" xr:uid="{00000000-0005-0000-0000-000058470000}"/>
    <cellStyle name="40% - Accent3 2 5 7 4 3" xfId="29930" xr:uid="{00000000-0005-0000-0000-000059470000}"/>
    <cellStyle name="40% - Accent3 2 5 7 5" xfId="11998" xr:uid="{00000000-0005-0000-0000-00005A470000}"/>
    <cellStyle name="40% - Accent3 2 5 7 5 2" xfId="23272" xr:uid="{00000000-0005-0000-0000-00005B470000}"/>
    <cellStyle name="40% - Accent3 2 5 7 5 3" xfId="32149" xr:uid="{00000000-0005-0000-0000-00005C470000}"/>
    <cellStyle name="40% - Accent3 2 5 7 6" xfId="14219" xr:uid="{00000000-0005-0000-0000-00005D470000}"/>
    <cellStyle name="40% - Accent3 2 5 7 6 2" xfId="25491" xr:uid="{00000000-0005-0000-0000-00005E470000}"/>
    <cellStyle name="40% - Accent3 2 5 7 6 3" xfId="34368" xr:uid="{00000000-0005-0000-0000-00005F470000}"/>
    <cellStyle name="40% - Accent3 2 5 7 7" xfId="18828" xr:uid="{00000000-0005-0000-0000-000060470000}"/>
    <cellStyle name="40% - Accent3 2 5 7 8" xfId="27709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0" xr:uid="{00000000-0005-0000-0000-000065470000}"/>
    <cellStyle name="40% - Accent3 2 5 8 2 2 3" xfId="31407" xr:uid="{00000000-0005-0000-0000-000066470000}"/>
    <cellStyle name="40% - Accent3 2 5 8 2 3" xfId="13475" xr:uid="{00000000-0005-0000-0000-000067470000}"/>
    <cellStyle name="40% - Accent3 2 5 8 2 3 2" xfId="24749" xr:uid="{00000000-0005-0000-0000-000068470000}"/>
    <cellStyle name="40% - Accent3 2 5 8 2 3 3" xfId="33626" xr:uid="{00000000-0005-0000-0000-000069470000}"/>
    <cellStyle name="40% - Accent3 2 5 8 2 4" xfId="15925" xr:uid="{00000000-0005-0000-0000-00006A470000}"/>
    <cellStyle name="40% - Accent3 2 5 8 2 4 2" xfId="26968" xr:uid="{00000000-0005-0000-0000-00006B470000}"/>
    <cellStyle name="40% - Accent3 2 5 8 2 4 3" xfId="35845" xr:uid="{00000000-0005-0000-0000-00006C470000}"/>
    <cellStyle name="40% - Accent3 2 5 8 2 5" xfId="20311" xr:uid="{00000000-0005-0000-0000-00006D470000}"/>
    <cellStyle name="40% - Accent3 2 5 8 2 6" xfId="29188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7" xr:uid="{00000000-0005-0000-0000-000071470000}"/>
    <cellStyle name="40% - Accent3 2 5 8 3 2 3" xfId="30674" xr:uid="{00000000-0005-0000-0000-000072470000}"/>
    <cellStyle name="40% - Accent3 2 5 8 3 3" xfId="12742" xr:uid="{00000000-0005-0000-0000-000073470000}"/>
    <cellStyle name="40% - Accent3 2 5 8 3 3 2" xfId="24016" xr:uid="{00000000-0005-0000-0000-000074470000}"/>
    <cellStyle name="40% - Accent3 2 5 8 3 3 3" xfId="32893" xr:uid="{00000000-0005-0000-0000-000075470000}"/>
    <cellStyle name="40% - Accent3 2 5 8 3 4" xfId="15192" xr:uid="{00000000-0005-0000-0000-000076470000}"/>
    <cellStyle name="40% - Accent3 2 5 8 3 4 2" xfId="26235" xr:uid="{00000000-0005-0000-0000-000077470000}"/>
    <cellStyle name="40% - Accent3 2 5 8 3 4 3" xfId="35112" xr:uid="{00000000-0005-0000-0000-000078470000}"/>
    <cellStyle name="40% - Accent3 2 5 8 3 5" xfId="19578" xr:uid="{00000000-0005-0000-0000-000079470000}"/>
    <cellStyle name="40% - Accent3 2 5 8 3 6" xfId="28455" xr:uid="{00000000-0005-0000-0000-00007A470000}"/>
    <cellStyle name="40% - Accent3 2 5 8 4" xfId="9551" xr:uid="{00000000-0005-0000-0000-00007B470000}"/>
    <cellStyle name="40% - Accent3 2 5 8 4 2" xfId="21054" xr:uid="{00000000-0005-0000-0000-00007C470000}"/>
    <cellStyle name="40% - Accent3 2 5 8 4 3" xfId="29931" xr:uid="{00000000-0005-0000-0000-00007D470000}"/>
    <cellStyle name="40% - Accent3 2 5 8 5" xfId="11999" xr:uid="{00000000-0005-0000-0000-00007E470000}"/>
    <cellStyle name="40% - Accent3 2 5 8 5 2" xfId="23273" xr:uid="{00000000-0005-0000-0000-00007F470000}"/>
    <cellStyle name="40% - Accent3 2 5 8 5 3" xfId="32150" xr:uid="{00000000-0005-0000-0000-000080470000}"/>
    <cellStyle name="40% - Accent3 2 5 8 6" xfId="14220" xr:uid="{00000000-0005-0000-0000-000081470000}"/>
    <cellStyle name="40% - Accent3 2 5 8 6 2" xfId="25492" xr:uid="{00000000-0005-0000-0000-000082470000}"/>
    <cellStyle name="40% - Accent3 2 5 8 6 3" xfId="34369" xr:uid="{00000000-0005-0000-0000-000083470000}"/>
    <cellStyle name="40% - Accent3 2 5 8 7" xfId="18829" xr:uid="{00000000-0005-0000-0000-000084470000}"/>
    <cellStyle name="40% - Accent3 2 5 8 8" xfId="27710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1" xr:uid="{00000000-0005-0000-0000-000089470000}"/>
    <cellStyle name="40% - Accent3 2 5 9 2 2 3" xfId="31408" xr:uid="{00000000-0005-0000-0000-00008A470000}"/>
    <cellStyle name="40% - Accent3 2 5 9 2 3" xfId="13476" xr:uid="{00000000-0005-0000-0000-00008B470000}"/>
    <cellStyle name="40% - Accent3 2 5 9 2 3 2" xfId="24750" xr:uid="{00000000-0005-0000-0000-00008C470000}"/>
    <cellStyle name="40% - Accent3 2 5 9 2 3 3" xfId="33627" xr:uid="{00000000-0005-0000-0000-00008D470000}"/>
    <cellStyle name="40% - Accent3 2 5 9 2 4" xfId="15926" xr:uid="{00000000-0005-0000-0000-00008E470000}"/>
    <cellStyle name="40% - Accent3 2 5 9 2 4 2" xfId="26969" xr:uid="{00000000-0005-0000-0000-00008F470000}"/>
    <cellStyle name="40% - Accent3 2 5 9 2 4 3" xfId="35846" xr:uid="{00000000-0005-0000-0000-000090470000}"/>
    <cellStyle name="40% - Accent3 2 5 9 2 5" xfId="20312" xr:uid="{00000000-0005-0000-0000-000091470000}"/>
    <cellStyle name="40% - Accent3 2 5 9 2 6" xfId="29189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8" xr:uid="{00000000-0005-0000-0000-000095470000}"/>
    <cellStyle name="40% - Accent3 2 5 9 3 2 3" xfId="30675" xr:uid="{00000000-0005-0000-0000-000096470000}"/>
    <cellStyle name="40% - Accent3 2 5 9 3 3" xfId="12743" xr:uid="{00000000-0005-0000-0000-000097470000}"/>
    <cellStyle name="40% - Accent3 2 5 9 3 3 2" xfId="24017" xr:uid="{00000000-0005-0000-0000-000098470000}"/>
    <cellStyle name="40% - Accent3 2 5 9 3 3 3" xfId="32894" xr:uid="{00000000-0005-0000-0000-000099470000}"/>
    <cellStyle name="40% - Accent3 2 5 9 3 4" xfId="15193" xr:uid="{00000000-0005-0000-0000-00009A470000}"/>
    <cellStyle name="40% - Accent3 2 5 9 3 4 2" xfId="26236" xr:uid="{00000000-0005-0000-0000-00009B470000}"/>
    <cellStyle name="40% - Accent3 2 5 9 3 4 3" xfId="35113" xr:uid="{00000000-0005-0000-0000-00009C470000}"/>
    <cellStyle name="40% - Accent3 2 5 9 3 5" xfId="19579" xr:uid="{00000000-0005-0000-0000-00009D470000}"/>
    <cellStyle name="40% - Accent3 2 5 9 3 6" xfId="28456" xr:uid="{00000000-0005-0000-0000-00009E470000}"/>
    <cellStyle name="40% - Accent3 2 5 9 4" xfId="9552" xr:uid="{00000000-0005-0000-0000-00009F470000}"/>
    <cellStyle name="40% - Accent3 2 5 9 4 2" xfId="21055" xr:uid="{00000000-0005-0000-0000-0000A0470000}"/>
    <cellStyle name="40% - Accent3 2 5 9 4 3" xfId="29932" xr:uid="{00000000-0005-0000-0000-0000A1470000}"/>
    <cellStyle name="40% - Accent3 2 5 9 5" xfId="12000" xr:uid="{00000000-0005-0000-0000-0000A2470000}"/>
    <cellStyle name="40% - Accent3 2 5 9 5 2" xfId="23274" xr:uid="{00000000-0005-0000-0000-0000A3470000}"/>
    <cellStyle name="40% - Accent3 2 5 9 5 3" xfId="32151" xr:uid="{00000000-0005-0000-0000-0000A4470000}"/>
    <cellStyle name="40% - Accent3 2 5 9 6" xfId="14221" xr:uid="{00000000-0005-0000-0000-0000A5470000}"/>
    <cellStyle name="40% - Accent3 2 5 9 6 2" xfId="25493" xr:uid="{00000000-0005-0000-0000-0000A6470000}"/>
    <cellStyle name="40% - Accent3 2 5 9 6 3" xfId="34370" xr:uid="{00000000-0005-0000-0000-0000A7470000}"/>
    <cellStyle name="40% - Accent3 2 5 9 7" xfId="18830" xr:uid="{00000000-0005-0000-0000-0000A8470000}"/>
    <cellStyle name="40% - Accent3 2 5 9 8" xfId="27711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4" xr:uid="{00000000-0005-0000-0000-0000AC470000}"/>
    <cellStyle name="40% - Accent3 2 6 10 3" xfId="34371" xr:uid="{00000000-0005-0000-0000-0000AD470000}"/>
    <cellStyle name="40% - Accent3 2 6 11" xfId="18831" xr:uid="{00000000-0005-0000-0000-0000AE470000}"/>
    <cellStyle name="40% - Accent3 2 6 12" xfId="27712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3" xr:uid="{00000000-0005-0000-0000-0000B3470000}"/>
    <cellStyle name="40% - Accent3 2 6 2 2 2 3" xfId="31410" xr:uid="{00000000-0005-0000-0000-0000B4470000}"/>
    <cellStyle name="40% - Accent3 2 6 2 2 3" xfId="13478" xr:uid="{00000000-0005-0000-0000-0000B5470000}"/>
    <cellStyle name="40% - Accent3 2 6 2 2 3 2" xfId="24752" xr:uid="{00000000-0005-0000-0000-0000B6470000}"/>
    <cellStyle name="40% - Accent3 2 6 2 2 3 3" xfId="33629" xr:uid="{00000000-0005-0000-0000-0000B7470000}"/>
    <cellStyle name="40% - Accent3 2 6 2 2 4" xfId="15928" xr:uid="{00000000-0005-0000-0000-0000B8470000}"/>
    <cellStyle name="40% - Accent3 2 6 2 2 4 2" xfId="26971" xr:uid="{00000000-0005-0000-0000-0000B9470000}"/>
    <cellStyle name="40% - Accent3 2 6 2 2 4 3" xfId="35848" xr:uid="{00000000-0005-0000-0000-0000BA470000}"/>
    <cellStyle name="40% - Accent3 2 6 2 2 5" xfId="20314" xr:uid="{00000000-0005-0000-0000-0000BB470000}"/>
    <cellStyle name="40% - Accent3 2 6 2 2 6" xfId="29191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0" xr:uid="{00000000-0005-0000-0000-0000BF470000}"/>
    <cellStyle name="40% - Accent3 2 6 2 3 2 3" xfId="30677" xr:uid="{00000000-0005-0000-0000-0000C0470000}"/>
    <cellStyle name="40% - Accent3 2 6 2 3 3" xfId="12745" xr:uid="{00000000-0005-0000-0000-0000C1470000}"/>
    <cellStyle name="40% - Accent3 2 6 2 3 3 2" xfId="24019" xr:uid="{00000000-0005-0000-0000-0000C2470000}"/>
    <cellStyle name="40% - Accent3 2 6 2 3 3 3" xfId="32896" xr:uid="{00000000-0005-0000-0000-0000C3470000}"/>
    <cellStyle name="40% - Accent3 2 6 2 3 4" xfId="15195" xr:uid="{00000000-0005-0000-0000-0000C4470000}"/>
    <cellStyle name="40% - Accent3 2 6 2 3 4 2" xfId="26238" xr:uid="{00000000-0005-0000-0000-0000C5470000}"/>
    <cellStyle name="40% - Accent3 2 6 2 3 4 3" xfId="35115" xr:uid="{00000000-0005-0000-0000-0000C6470000}"/>
    <cellStyle name="40% - Accent3 2 6 2 3 5" xfId="19581" xr:uid="{00000000-0005-0000-0000-0000C7470000}"/>
    <cellStyle name="40% - Accent3 2 6 2 3 6" xfId="28458" xr:uid="{00000000-0005-0000-0000-0000C8470000}"/>
    <cellStyle name="40% - Accent3 2 6 2 4" xfId="9554" xr:uid="{00000000-0005-0000-0000-0000C9470000}"/>
    <cellStyle name="40% - Accent3 2 6 2 4 2" xfId="21057" xr:uid="{00000000-0005-0000-0000-0000CA470000}"/>
    <cellStyle name="40% - Accent3 2 6 2 4 3" xfId="29934" xr:uid="{00000000-0005-0000-0000-0000CB470000}"/>
    <cellStyle name="40% - Accent3 2 6 2 5" xfId="12002" xr:uid="{00000000-0005-0000-0000-0000CC470000}"/>
    <cellStyle name="40% - Accent3 2 6 2 5 2" xfId="23276" xr:uid="{00000000-0005-0000-0000-0000CD470000}"/>
    <cellStyle name="40% - Accent3 2 6 2 5 3" xfId="32153" xr:uid="{00000000-0005-0000-0000-0000CE470000}"/>
    <cellStyle name="40% - Accent3 2 6 2 6" xfId="14223" xr:uid="{00000000-0005-0000-0000-0000CF470000}"/>
    <cellStyle name="40% - Accent3 2 6 2 6 2" xfId="25495" xr:uid="{00000000-0005-0000-0000-0000D0470000}"/>
    <cellStyle name="40% - Accent3 2 6 2 6 3" xfId="34372" xr:uid="{00000000-0005-0000-0000-0000D1470000}"/>
    <cellStyle name="40% - Accent3 2 6 2 7" xfId="18832" xr:uid="{00000000-0005-0000-0000-0000D2470000}"/>
    <cellStyle name="40% - Accent3 2 6 2 8" xfId="27713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4" xr:uid="{00000000-0005-0000-0000-0000D7470000}"/>
    <cellStyle name="40% - Accent3 2 6 3 2 2 3" xfId="31411" xr:uid="{00000000-0005-0000-0000-0000D8470000}"/>
    <cellStyle name="40% - Accent3 2 6 3 2 3" xfId="13479" xr:uid="{00000000-0005-0000-0000-0000D9470000}"/>
    <cellStyle name="40% - Accent3 2 6 3 2 3 2" xfId="24753" xr:uid="{00000000-0005-0000-0000-0000DA470000}"/>
    <cellStyle name="40% - Accent3 2 6 3 2 3 3" xfId="33630" xr:uid="{00000000-0005-0000-0000-0000DB470000}"/>
    <cellStyle name="40% - Accent3 2 6 3 2 4" xfId="15929" xr:uid="{00000000-0005-0000-0000-0000DC470000}"/>
    <cellStyle name="40% - Accent3 2 6 3 2 4 2" xfId="26972" xr:uid="{00000000-0005-0000-0000-0000DD470000}"/>
    <cellStyle name="40% - Accent3 2 6 3 2 4 3" xfId="35849" xr:uid="{00000000-0005-0000-0000-0000DE470000}"/>
    <cellStyle name="40% - Accent3 2 6 3 2 5" xfId="20315" xr:uid="{00000000-0005-0000-0000-0000DF470000}"/>
    <cellStyle name="40% - Accent3 2 6 3 2 6" xfId="29192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1" xr:uid="{00000000-0005-0000-0000-0000E3470000}"/>
    <cellStyle name="40% - Accent3 2 6 3 3 2 3" xfId="30678" xr:uid="{00000000-0005-0000-0000-0000E4470000}"/>
    <cellStyle name="40% - Accent3 2 6 3 3 3" xfId="12746" xr:uid="{00000000-0005-0000-0000-0000E5470000}"/>
    <cellStyle name="40% - Accent3 2 6 3 3 3 2" xfId="24020" xr:uid="{00000000-0005-0000-0000-0000E6470000}"/>
    <cellStyle name="40% - Accent3 2 6 3 3 3 3" xfId="32897" xr:uid="{00000000-0005-0000-0000-0000E7470000}"/>
    <cellStyle name="40% - Accent3 2 6 3 3 4" xfId="15196" xr:uid="{00000000-0005-0000-0000-0000E8470000}"/>
    <cellStyle name="40% - Accent3 2 6 3 3 4 2" xfId="26239" xr:uid="{00000000-0005-0000-0000-0000E9470000}"/>
    <cellStyle name="40% - Accent3 2 6 3 3 4 3" xfId="35116" xr:uid="{00000000-0005-0000-0000-0000EA470000}"/>
    <cellStyle name="40% - Accent3 2 6 3 3 5" xfId="19582" xr:uid="{00000000-0005-0000-0000-0000EB470000}"/>
    <cellStyle name="40% - Accent3 2 6 3 3 6" xfId="28459" xr:uid="{00000000-0005-0000-0000-0000EC470000}"/>
    <cellStyle name="40% - Accent3 2 6 3 4" xfId="9555" xr:uid="{00000000-0005-0000-0000-0000ED470000}"/>
    <cellStyle name="40% - Accent3 2 6 3 4 2" xfId="21058" xr:uid="{00000000-0005-0000-0000-0000EE470000}"/>
    <cellStyle name="40% - Accent3 2 6 3 4 3" xfId="29935" xr:uid="{00000000-0005-0000-0000-0000EF470000}"/>
    <cellStyle name="40% - Accent3 2 6 3 5" xfId="12003" xr:uid="{00000000-0005-0000-0000-0000F0470000}"/>
    <cellStyle name="40% - Accent3 2 6 3 5 2" xfId="23277" xr:uid="{00000000-0005-0000-0000-0000F1470000}"/>
    <cellStyle name="40% - Accent3 2 6 3 5 3" xfId="32154" xr:uid="{00000000-0005-0000-0000-0000F2470000}"/>
    <cellStyle name="40% - Accent3 2 6 3 6" xfId="14224" xr:uid="{00000000-0005-0000-0000-0000F3470000}"/>
    <cellStyle name="40% - Accent3 2 6 3 6 2" xfId="25496" xr:uid="{00000000-0005-0000-0000-0000F4470000}"/>
    <cellStyle name="40% - Accent3 2 6 3 6 3" xfId="34373" xr:uid="{00000000-0005-0000-0000-0000F5470000}"/>
    <cellStyle name="40% - Accent3 2 6 3 7" xfId="18833" xr:uid="{00000000-0005-0000-0000-0000F6470000}"/>
    <cellStyle name="40% - Accent3 2 6 3 8" xfId="27714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5" xr:uid="{00000000-0005-0000-0000-0000FB470000}"/>
    <cellStyle name="40% - Accent3 2 6 4 2 2 3" xfId="31412" xr:uid="{00000000-0005-0000-0000-0000FC470000}"/>
    <cellStyle name="40% - Accent3 2 6 4 2 3" xfId="13480" xr:uid="{00000000-0005-0000-0000-0000FD470000}"/>
    <cellStyle name="40% - Accent3 2 6 4 2 3 2" xfId="24754" xr:uid="{00000000-0005-0000-0000-0000FE470000}"/>
    <cellStyle name="40% - Accent3 2 6 4 2 3 3" xfId="33631" xr:uid="{00000000-0005-0000-0000-0000FF470000}"/>
    <cellStyle name="40% - Accent3 2 6 4 2 4" xfId="15930" xr:uid="{00000000-0005-0000-0000-000000480000}"/>
    <cellStyle name="40% - Accent3 2 6 4 2 4 2" xfId="26973" xr:uid="{00000000-0005-0000-0000-000001480000}"/>
    <cellStyle name="40% - Accent3 2 6 4 2 4 3" xfId="35850" xr:uid="{00000000-0005-0000-0000-000002480000}"/>
    <cellStyle name="40% - Accent3 2 6 4 2 5" xfId="20316" xr:uid="{00000000-0005-0000-0000-000003480000}"/>
    <cellStyle name="40% - Accent3 2 6 4 2 6" xfId="29193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2" xr:uid="{00000000-0005-0000-0000-000007480000}"/>
    <cellStyle name="40% - Accent3 2 6 4 3 2 3" xfId="30679" xr:uid="{00000000-0005-0000-0000-000008480000}"/>
    <cellStyle name="40% - Accent3 2 6 4 3 3" xfId="12747" xr:uid="{00000000-0005-0000-0000-000009480000}"/>
    <cellStyle name="40% - Accent3 2 6 4 3 3 2" xfId="24021" xr:uid="{00000000-0005-0000-0000-00000A480000}"/>
    <cellStyle name="40% - Accent3 2 6 4 3 3 3" xfId="32898" xr:uid="{00000000-0005-0000-0000-00000B480000}"/>
    <cellStyle name="40% - Accent3 2 6 4 3 4" xfId="15197" xr:uid="{00000000-0005-0000-0000-00000C480000}"/>
    <cellStyle name="40% - Accent3 2 6 4 3 4 2" xfId="26240" xr:uid="{00000000-0005-0000-0000-00000D480000}"/>
    <cellStyle name="40% - Accent3 2 6 4 3 4 3" xfId="35117" xr:uid="{00000000-0005-0000-0000-00000E480000}"/>
    <cellStyle name="40% - Accent3 2 6 4 3 5" xfId="19583" xr:uid="{00000000-0005-0000-0000-00000F480000}"/>
    <cellStyle name="40% - Accent3 2 6 4 3 6" xfId="28460" xr:uid="{00000000-0005-0000-0000-000010480000}"/>
    <cellStyle name="40% - Accent3 2 6 4 4" xfId="9556" xr:uid="{00000000-0005-0000-0000-000011480000}"/>
    <cellStyle name="40% - Accent3 2 6 4 4 2" xfId="21059" xr:uid="{00000000-0005-0000-0000-000012480000}"/>
    <cellStyle name="40% - Accent3 2 6 4 4 3" xfId="29936" xr:uid="{00000000-0005-0000-0000-000013480000}"/>
    <cellStyle name="40% - Accent3 2 6 4 5" xfId="12004" xr:uid="{00000000-0005-0000-0000-000014480000}"/>
    <cellStyle name="40% - Accent3 2 6 4 5 2" xfId="23278" xr:uid="{00000000-0005-0000-0000-000015480000}"/>
    <cellStyle name="40% - Accent3 2 6 4 5 3" xfId="32155" xr:uid="{00000000-0005-0000-0000-000016480000}"/>
    <cellStyle name="40% - Accent3 2 6 4 6" xfId="14225" xr:uid="{00000000-0005-0000-0000-000017480000}"/>
    <cellStyle name="40% - Accent3 2 6 4 6 2" xfId="25497" xr:uid="{00000000-0005-0000-0000-000018480000}"/>
    <cellStyle name="40% - Accent3 2 6 4 6 3" xfId="34374" xr:uid="{00000000-0005-0000-0000-000019480000}"/>
    <cellStyle name="40% - Accent3 2 6 4 7" xfId="18834" xr:uid="{00000000-0005-0000-0000-00001A480000}"/>
    <cellStyle name="40% - Accent3 2 6 4 8" xfId="27715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6" xr:uid="{00000000-0005-0000-0000-00001F480000}"/>
    <cellStyle name="40% - Accent3 2 6 5 2 2 3" xfId="31413" xr:uid="{00000000-0005-0000-0000-000020480000}"/>
    <cellStyle name="40% - Accent3 2 6 5 2 3" xfId="13481" xr:uid="{00000000-0005-0000-0000-000021480000}"/>
    <cellStyle name="40% - Accent3 2 6 5 2 3 2" xfId="24755" xr:uid="{00000000-0005-0000-0000-000022480000}"/>
    <cellStyle name="40% - Accent3 2 6 5 2 3 3" xfId="33632" xr:uid="{00000000-0005-0000-0000-000023480000}"/>
    <cellStyle name="40% - Accent3 2 6 5 2 4" xfId="15931" xr:uid="{00000000-0005-0000-0000-000024480000}"/>
    <cellStyle name="40% - Accent3 2 6 5 2 4 2" xfId="26974" xr:uid="{00000000-0005-0000-0000-000025480000}"/>
    <cellStyle name="40% - Accent3 2 6 5 2 4 3" xfId="35851" xr:uid="{00000000-0005-0000-0000-000026480000}"/>
    <cellStyle name="40% - Accent3 2 6 5 2 5" xfId="20317" xr:uid="{00000000-0005-0000-0000-000027480000}"/>
    <cellStyle name="40% - Accent3 2 6 5 2 6" xfId="29194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3" xr:uid="{00000000-0005-0000-0000-00002B480000}"/>
    <cellStyle name="40% - Accent3 2 6 5 3 2 3" xfId="30680" xr:uid="{00000000-0005-0000-0000-00002C480000}"/>
    <cellStyle name="40% - Accent3 2 6 5 3 3" xfId="12748" xr:uid="{00000000-0005-0000-0000-00002D480000}"/>
    <cellStyle name="40% - Accent3 2 6 5 3 3 2" xfId="24022" xr:uid="{00000000-0005-0000-0000-00002E480000}"/>
    <cellStyle name="40% - Accent3 2 6 5 3 3 3" xfId="32899" xr:uid="{00000000-0005-0000-0000-00002F480000}"/>
    <cellStyle name="40% - Accent3 2 6 5 3 4" xfId="15198" xr:uid="{00000000-0005-0000-0000-000030480000}"/>
    <cellStyle name="40% - Accent3 2 6 5 3 4 2" xfId="26241" xr:uid="{00000000-0005-0000-0000-000031480000}"/>
    <cellStyle name="40% - Accent3 2 6 5 3 4 3" xfId="35118" xr:uid="{00000000-0005-0000-0000-000032480000}"/>
    <cellStyle name="40% - Accent3 2 6 5 3 5" xfId="19584" xr:uid="{00000000-0005-0000-0000-000033480000}"/>
    <cellStyle name="40% - Accent3 2 6 5 3 6" xfId="28461" xr:uid="{00000000-0005-0000-0000-000034480000}"/>
    <cellStyle name="40% - Accent3 2 6 5 4" xfId="9557" xr:uid="{00000000-0005-0000-0000-000035480000}"/>
    <cellStyle name="40% - Accent3 2 6 5 4 2" xfId="21060" xr:uid="{00000000-0005-0000-0000-000036480000}"/>
    <cellStyle name="40% - Accent3 2 6 5 4 3" xfId="29937" xr:uid="{00000000-0005-0000-0000-000037480000}"/>
    <cellStyle name="40% - Accent3 2 6 5 5" xfId="12005" xr:uid="{00000000-0005-0000-0000-000038480000}"/>
    <cellStyle name="40% - Accent3 2 6 5 5 2" xfId="23279" xr:uid="{00000000-0005-0000-0000-000039480000}"/>
    <cellStyle name="40% - Accent3 2 6 5 5 3" xfId="32156" xr:uid="{00000000-0005-0000-0000-00003A480000}"/>
    <cellStyle name="40% - Accent3 2 6 5 6" xfId="14226" xr:uid="{00000000-0005-0000-0000-00003B480000}"/>
    <cellStyle name="40% - Accent3 2 6 5 6 2" xfId="25498" xr:uid="{00000000-0005-0000-0000-00003C480000}"/>
    <cellStyle name="40% - Accent3 2 6 5 6 3" xfId="34375" xr:uid="{00000000-0005-0000-0000-00003D480000}"/>
    <cellStyle name="40% - Accent3 2 6 5 7" xfId="18835" xr:uid="{00000000-0005-0000-0000-00003E480000}"/>
    <cellStyle name="40% - Accent3 2 6 5 8" xfId="27716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2" xr:uid="{00000000-0005-0000-0000-000042480000}"/>
    <cellStyle name="40% - Accent3 2 6 6 2 3" xfId="31409" xr:uid="{00000000-0005-0000-0000-000043480000}"/>
    <cellStyle name="40% - Accent3 2 6 6 3" xfId="13477" xr:uid="{00000000-0005-0000-0000-000044480000}"/>
    <cellStyle name="40% - Accent3 2 6 6 3 2" xfId="24751" xr:uid="{00000000-0005-0000-0000-000045480000}"/>
    <cellStyle name="40% - Accent3 2 6 6 3 3" xfId="33628" xr:uid="{00000000-0005-0000-0000-000046480000}"/>
    <cellStyle name="40% - Accent3 2 6 6 4" xfId="15927" xr:uid="{00000000-0005-0000-0000-000047480000}"/>
    <cellStyle name="40% - Accent3 2 6 6 4 2" xfId="26970" xr:uid="{00000000-0005-0000-0000-000048480000}"/>
    <cellStyle name="40% - Accent3 2 6 6 4 3" xfId="35847" xr:uid="{00000000-0005-0000-0000-000049480000}"/>
    <cellStyle name="40% - Accent3 2 6 6 5" xfId="20313" xr:uid="{00000000-0005-0000-0000-00004A480000}"/>
    <cellStyle name="40% - Accent3 2 6 6 6" xfId="29190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799" xr:uid="{00000000-0005-0000-0000-00004E480000}"/>
    <cellStyle name="40% - Accent3 2 6 7 2 3" xfId="30676" xr:uid="{00000000-0005-0000-0000-00004F480000}"/>
    <cellStyle name="40% - Accent3 2 6 7 3" xfId="12744" xr:uid="{00000000-0005-0000-0000-000050480000}"/>
    <cellStyle name="40% - Accent3 2 6 7 3 2" xfId="24018" xr:uid="{00000000-0005-0000-0000-000051480000}"/>
    <cellStyle name="40% - Accent3 2 6 7 3 3" xfId="32895" xr:uid="{00000000-0005-0000-0000-000052480000}"/>
    <cellStyle name="40% - Accent3 2 6 7 4" xfId="15194" xr:uid="{00000000-0005-0000-0000-000053480000}"/>
    <cellStyle name="40% - Accent3 2 6 7 4 2" xfId="26237" xr:uid="{00000000-0005-0000-0000-000054480000}"/>
    <cellStyle name="40% - Accent3 2 6 7 4 3" xfId="35114" xr:uid="{00000000-0005-0000-0000-000055480000}"/>
    <cellStyle name="40% - Accent3 2 6 7 5" xfId="19580" xr:uid="{00000000-0005-0000-0000-000056480000}"/>
    <cellStyle name="40% - Accent3 2 6 7 6" xfId="28457" xr:uid="{00000000-0005-0000-0000-000057480000}"/>
    <cellStyle name="40% - Accent3 2 6 8" xfId="9553" xr:uid="{00000000-0005-0000-0000-000058480000}"/>
    <cellStyle name="40% - Accent3 2 6 8 2" xfId="21056" xr:uid="{00000000-0005-0000-0000-000059480000}"/>
    <cellStyle name="40% - Accent3 2 6 8 3" xfId="29933" xr:uid="{00000000-0005-0000-0000-00005A480000}"/>
    <cellStyle name="40% - Accent3 2 6 9" xfId="12001" xr:uid="{00000000-0005-0000-0000-00005B480000}"/>
    <cellStyle name="40% - Accent3 2 6 9 2" xfId="23275" xr:uid="{00000000-0005-0000-0000-00005C480000}"/>
    <cellStyle name="40% - Accent3 2 6 9 3" xfId="32152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7" xr:uid="{00000000-0005-0000-0000-000061480000}"/>
    <cellStyle name="40% - Accent3 2 7 2 2 3" xfId="31414" xr:uid="{00000000-0005-0000-0000-000062480000}"/>
    <cellStyle name="40% - Accent3 2 7 2 3" xfId="13482" xr:uid="{00000000-0005-0000-0000-000063480000}"/>
    <cellStyle name="40% - Accent3 2 7 2 3 2" xfId="24756" xr:uid="{00000000-0005-0000-0000-000064480000}"/>
    <cellStyle name="40% - Accent3 2 7 2 3 3" xfId="33633" xr:uid="{00000000-0005-0000-0000-000065480000}"/>
    <cellStyle name="40% - Accent3 2 7 2 4" xfId="15932" xr:uid="{00000000-0005-0000-0000-000066480000}"/>
    <cellStyle name="40% - Accent3 2 7 2 4 2" xfId="26975" xr:uid="{00000000-0005-0000-0000-000067480000}"/>
    <cellStyle name="40% - Accent3 2 7 2 4 3" xfId="35852" xr:uid="{00000000-0005-0000-0000-000068480000}"/>
    <cellStyle name="40% - Accent3 2 7 2 5" xfId="20318" xr:uid="{00000000-0005-0000-0000-000069480000}"/>
    <cellStyle name="40% - Accent3 2 7 2 6" xfId="29195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4" xr:uid="{00000000-0005-0000-0000-00006D480000}"/>
    <cellStyle name="40% - Accent3 2 7 3 2 3" xfId="30681" xr:uid="{00000000-0005-0000-0000-00006E480000}"/>
    <cellStyle name="40% - Accent3 2 7 3 3" xfId="12749" xr:uid="{00000000-0005-0000-0000-00006F480000}"/>
    <cellStyle name="40% - Accent3 2 7 3 3 2" xfId="24023" xr:uid="{00000000-0005-0000-0000-000070480000}"/>
    <cellStyle name="40% - Accent3 2 7 3 3 3" xfId="32900" xr:uid="{00000000-0005-0000-0000-000071480000}"/>
    <cellStyle name="40% - Accent3 2 7 3 4" xfId="15199" xr:uid="{00000000-0005-0000-0000-000072480000}"/>
    <cellStyle name="40% - Accent3 2 7 3 4 2" xfId="26242" xr:uid="{00000000-0005-0000-0000-000073480000}"/>
    <cellStyle name="40% - Accent3 2 7 3 4 3" xfId="35119" xr:uid="{00000000-0005-0000-0000-000074480000}"/>
    <cellStyle name="40% - Accent3 2 7 3 5" xfId="19585" xr:uid="{00000000-0005-0000-0000-000075480000}"/>
    <cellStyle name="40% - Accent3 2 7 3 6" xfId="28462" xr:uid="{00000000-0005-0000-0000-000076480000}"/>
    <cellStyle name="40% - Accent3 2 7 4" xfId="9558" xr:uid="{00000000-0005-0000-0000-000077480000}"/>
    <cellStyle name="40% - Accent3 2 7 4 2" xfId="21061" xr:uid="{00000000-0005-0000-0000-000078480000}"/>
    <cellStyle name="40% - Accent3 2 7 4 3" xfId="29938" xr:uid="{00000000-0005-0000-0000-000079480000}"/>
    <cellStyle name="40% - Accent3 2 7 5" xfId="12006" xr:uid="{00000000-0005-0000-0000-00007A480000}"/>
    <cellStyle name="40% - Accent3 2 7 5 2" xfId="23280" xr:uid="{00000000-0005-0000-0000-00007B480000}"/>
    <cellStyle name="40% - Accent3 2 7 5 3" xfId="32157" xr:uid="{00000000-0005-0000-0000-00007C480000}"/>
    <cellStyle name="40% - Accent3 2 7 6" xfId="14227" xr:uid="{00000000-0005-0000-0000-00007D480000}"/>
    <cellStyle name="40% - Accent3 2 7 6 2" xfId="25499" xr:uid="{00000000-0005-0000-0000-00007E480000}"/>
    <cellStyle name="40% - Accent3 2 7 6 3" xfId="34376" xr:uid="{00000000-0005-0000-0000-00007F480000}"/>
    <cellStyle name="40% - Accent3 2 7 7" xfId="18836" xr:uid="{00000000-0005-0000-0000-000080480000}"/>
    <cellStyle name="40% - Accent3 2 7 8" xfId="27717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8" xr:uid="{00000000-0005-0000-0000-000085480000}"/>
    <cellStyle name="40% - Accent3 2 8 2 2 3" xfId="31415" xr:uid="{00000000-0005-0000-0000-000086480000}"/>
    <cellStyle name="40% - Accent3 2 8 2 3" xfId="13483" xr:uid="{00000000-0005-0000-0000-000087480000}"/>
    <cellStyle name="40% - Accent3 2 8 2 3 2" xfId="24757" xr:uid="{00000000-0005-0000-0000-000088480000}"/>
    <cellStyle name="40% - Accent3 2 8 2 3 3" xfId="33634" xr:uid="{00000000-0005-0000-0000-000089480000}"/>
    <cellStyle name="40% - Accent3 2 8 2 4" xfId="15933" xr:uid="{00000000-0005-0000-0000-00008A480000}"/>
    <cellStyle name="40% - Accent3 2 8 2 4 2" xfId="26976" xr:uid="{00000000-0005-0000-0000-00008B480000}"/>
    <cellStyle name="40% - Accent3 2 8 2 4 3" xfId="35853" xr:uid="{00000000-0005-0000-0000-00008C480000}"/>
    <cellStyle name="40% - Accent3 2 8 2 5" xfId="20319" xr:uid="{00000000-0005-0000-0000-00008D480000}"/>
    <cellStyle name="40% - Accent3 2 8 2 6" xfId="29196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5" xr:uid="{00000000-0005-0000-0000-000091480000}"/>
    <cellStyle name="40% - Accent3 2 8 3 2 3" xfId="30682" xr:uid="{00000000-0005-0000-0000-000092480000}"/>
    <cellStyle name="40% - Accent3 2 8 3 3" xfId="12750" xr:uid="{00000000-0005-0000-0000-000093480000}"/>
    <cellStyle name="40% - Accent3 2 8 3 3 2" xfId="24024" xr:uid="{00000000-0005-0000-0000-000094480000}"/>
    <cellStyle name="40% - Accent3 2 8 3 3 3" xfId="32901" xr:uid="{00000000-0005-0000-0000-000095480000}"/>
    <cellStyle name="40% - Accent3 2 8 3 4" xfId="15200" xr:uid="{00000000-0005-0000-0000-000096480000}"/>
    <cellStyle name="40% - Accent3 2 8 3 4 2" xfId="26243" xr:uid="{00000000-0005-0000-0000-000097480000}"/>
    <cellStyle name="40% - Accent3 2 8 3 4 3" xfId="35120" xr:uid="{00000000-0005-0000-0000-000098480000}"/>
    <cellStyle name="40% - Accent3 2 8 3 5" xfId="19586" xr:uid="{00000000-0005-0000-0000-000099480000}"/>
    <cellStyle name="40% - Accent3 2 8 3 6" xfId="28463" xr:uid="{00000000-0005-0000-0000-00009A480000}"/>
    <cellStyle name="40% - Accent3 2 8 4" xfId="9559" xr:uid="{00000000-0005-0000-0000-00009B480000}"/>
    <cellStyle name="40% - Accent3 2 8 4 2" xfId="21062" xr:uid="{00000000-0005-0000-0000-00009C480000}"/>
    <cellStyle name="40% - Accent3 2 8 4 3" xfId="29939" xr:uid="{00000000-0005-0000-0000-00009D480000}"/>
    <cellStyle name="40% - Accent3 2 8 5" xfId="12007" xr:uid="{00000000-0005-0000-0000-00009E480000}"/>
    <cellStyle name="40% - Accent3 2 8 5 2" xfId="23281" xr:uid="{00000000-0005-0000-0000-00009F480000}"/>
    <cellStyle name="40% - Accent3 2 8 5 3" xfId="32158" xr:uid="{00000000-0005-0000-0000-0000A0480000}"/>
    <cellStyle name="40% - Accent3 2 8 6" xfId="14228" xr:uid="{00000000-0005-0000-0000-0000A1480000}"/>
    <cellStyle name="40% - Accent3 2 8 6 2" xfId="25500" xr:uid="{00000000-0005-0000-0000-0000A2480000}"/>
    <cellStyle name="40% - Accent3 2 8 6 3" xfId="34377" xr:uid="{00000000-0005-0000-0000-0000A3480000}"/>
    <cellStyle name="40% - Accent3 2 8 7" xfId="18837" xr:uid="{00000000-0005-0000-0000-0000A4480000}"/>
    <cellStyle name="40% - Accent3 2 8 8" xfId="27718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39" xr:uid="{00000000-0005-0000-0000-0000A9480000}"/>
    <cellStyle name="40% - Accent3 2 9 2 2 3" xfId="31416" xr:uid="{00000000-0005-0000-0000-0000AA480000}"/>
    <cellStyle name="40% - Accent3 2 9 2 3" xfId="13484" xr:uid="{00000000-0005-0000-0000-0000AB480000}"/>
    <cellStyle name="40% - Accent3 2 9 2 3 2" xfId="24758" xr:uid="{00000000-0005-0000-0000-0000AC480000}"/>
    <cellStyle name="40% - Accent3 2 9 2 3 3" xfId="33635" xr:uid="{00000000-0005-0000-0000-0000AD480000}"/>
    <cellStyle name="40% - Accent3 2 9 2 4" xfId="15934" xr:uid="{00000000-0005-0000-0000-0000AE480000}"/>
    <cellStyle name="40% - Accent3 2 9 2 4 2" xfId="26977" xr:uid="{00000000-0005-0000-0000-0000AF480000}"/>
    <cellStyle name="40% - Accent3 2 9 2 4 3" xfId="35854" xr:uid="{00000000-0005-0000-0000-0000B0480000}"/>
    <cellStyle name="40% - Accent3 2 9 2 5" xfId="20320" xr:uid="{00000000-0005-0000-0000-0000B1480000}"/>
    <cellStyle name="40% - Accent3 2 9 2 6" xfId="29197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6" xr:uid="{00000000-0005-0000-0000-0000B5480000}"/>
    <cellStyle name="40% - Accent3 2 9 3 2 3" xfId="30683" xr:uid="{00000000-0005-0000-0000-0000B6480000}"/>
    <cellStyle name="40% - Accent3 2 9 3 3" xfId="12751" xr:uid="{00000000-0005-0000-0000-0000B7480000}"/>
    <cellStyle name="40% - Accent3 2 9 3 3 2" xfId="24025" xr:uid="{00000000-0005-0000-0000-0000B8480000}"/>
    <cellStyle name="40% - Accent3 2 9 3 3 3" xfId="32902" xr:uid="{00000000-0005-0000-0000-0000B9480000}"/>
    <cellStyle name="40% - Accent3 2 9 3 4" xfId="15201" xr:uid="{00000000-0005-0000-0000-0000BA480000}"/>
    <cellStyle name="40% - Accent3 2 9 3 4 2" xfId="26244" xr:uid="{00000000-0005-0000-0000-0000BB480000}"/>
    <cellStyle name="40% - Accent3 2 9 3 4 3" xfId="35121" xr:uid="{00000000-0005-0000-0000-0000BC480000}"/>
    <cellStyle name="40% - Accent3 2 9 3 5" xfId="19587" xr:uid="{00000000-0005-0000-0000-0000BD480000}"/>
    <cellStyle name="40% - Accent3 2 9 3 6" xfId="28464" xr:uid="{00000000-0005-0000-0000-0000BE480000}"/>
    <cellStyle name="40% - Accent3 2 9 4" xfId="9560" xr:uid="{00000000-0005-0000-0000-0000BF480000}"/>
    <cellStyle name="40% - Accent3 2 9 4 2" xfId="21063" xr:uid="{00000000-0005-0000-0000-0000C0480000}"/>
    <cellStyle name="40% - Accent3 2 9 4 3" xfId="29940" xr:uid="{00000000-0005-0000-0000-0000C1480000}"/>
    <cellStyle name="40% - Accent3 2 9 5" xfId="12008" xr:uid="{00000000-0005-0000-0000-0000C2480000}"/>
    <cellStyle name="40% - Accent3 2 9 5 2" xfId="23282" xr:uid="{00000000-0005-0000-0000-0000C3480000}"/>
    <cellStyle name="40% - Accent3 2 9 5 3" xfId="32159" xr:uid="{00000000-0005-0000-0000-0000C4480000}"/>
    <cellStyle name="40% - Accent3 2 9 6" xfId="14229" xr:uid="{00000000-0005-0000-0000-0000C5480000}"/>
    <cellStyle name="40% - Accent3 2 9 6 2" xfId="25501" xr:uid="{00000000-0005-0000-0000-0000C6480000}"/>
    <cellStyle name="40% - Accent3 2 9 6 3" xfId="34378" xr:uid="{00000000-0005-0000-0000-0000C7480000}"/>
    <cellStyle name="40% - Accent3 2 9 7" xfId="18838" xr:uid="{00000000-0005-0000-0000-0000C8480000}"/>
    <cellStyle name="40% - Accent3 2 9 8" xfId="27719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6" xr:uid="{00000000-0005-0000-0000-0000D3480000}"/>
    <cellStyle name="40% - Accent3 27 2 3" xfId="30913" xr:uid="{00000000-0005-0000-0000-0000D4480000}"/>
    <cellStyle name="40% - Accent3 27 3" xfId="12981" xr:uid="{00000000-0005-0000-0000-0000D5480000}"/>
    <cellStyle name="40% - Accent3 27 3 2" xfId="24255" xr:uid="{00000000-0005-0000-0000-0000D6480000}"/>
    <cellStyle name="40% - Accent3 27 3 3" xfId="33132" xr:uid="{00000000-0005-0000-0000-0000D7480000}"/>
    <cellStyle name="40% - Accent3 27 4" xfId="15431" xr:uid="{00000000-0005-0000-0000-0000D8480000}"/>
    <cellStyle name="40% - Accent3 27 4 2" xfId="26474" xr:uid="{00000000-0005-0000-0000-0000D9480000}"/>
    <cellStyle name="40% - Accent3 27 4 3" xfId="35351" xr:uid="{00000000-0005-0000-0000-0000DA480000}"/>
    <cellStyle name="40% - Accent3 27 5" xfId="19817" xr:uid="{00000000-0005-0000-0000-0000DB480000}"/>
    <cellStyle name="40% - Accent3 27 6" xfId="28694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3" xr:uid="{00000000-0005-0000-0000-0000DF480000}"/>
    <cellStyle name="40% - Accent3 28 2 3" xfId="30180" xr:uid="{00000000-0005-0000-0000-0000E0480000}"/>
    <cellStyle name="40% - Accent3 28 3" xfId="12248" xr:uid="{00000000-0005-0000-0000-0000E1480000}"/>
    <cellStyle name="40% - Accent3 28 3 2" xfId="23522" xr:uid="{00000000-0005-0000-0000-0000E2480000}"/>
    <cellStyle name="40% - Accent3 28 3 3" xfId="32399" xr:uid="{00000000-0005-0000-0000-0000E3480000}"/>
    <cellStyle name="40% - Accent3 28 4" xfId="14698" xr:uid="{00000000-0005-0000-0000-0000E4480000}"/>
    <cellStyle name="40% - Accent3 28 4 2" xfId="25741" xr:uid="{00000000-0005-0000-0000-0000E5480000}"/>
    <cellStyle name="40% - Accent3 28 4 3" xfId="34618" xr:uid="{00000000-0005-0000-0000-0000E6480000}"/>
    <cellStyle name="40% - Accent3 28 5" xfId="19084" xr:uid="{00000000-0005-0000-0000-0000E7480000}"/>
    <cellStyle name="40% - Accent3 28 6" xfId="27961" xr:uid="{00000000-0005-0000-0000-0000E8480000}"/>
    <cellStyle name="40% - Accent3 29" xfId="9055" xr:uid="{00000000-0005-0000-0000-0000E9480000}"/>
    <cellStyle name="40% - Accent3 29 2" xfId="20560" xr:uid="{00000000-0005-0000-0000-0000EA480000}"/>
    <cellStyle name="40% - Accent3 29 3" xfId="29437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0" xr:uid="{00000000-0005-0000-0000-0000F1480000}"/>
    <cellStyle name="40% - Accent3 3 2 2 2 3" xfId="31417" xr:uid="{00000000-0005-0000-0000-0000F2480000}"/>
    <cellStyle name="40% - Accent3 3 2 2 3" xfId="13485" xr:uid="{00000000-0005-0000-0000-0000F3480000}"/>
    <cellStyle name="40% - Accent3 3 2 2 3 2" xfId="24759" xr:uid="{00000000-0005-0000-0000-0000F4480000}"/>
    <cellStyle name="40% - Accent3 3 2 2 3 3" xfId="33636" xr:uid="{00000000-0005-0000-0000-0000F5480000}"/>
    <cellStyle name="40% - Accent3 3 2 2 4" xfId="15935" xr:uid="{00000000-0005-0000-0000-0000F6480000}"/>
    <cellStyle name="40% - Accent3 3 2 2 4 2" xfId="26978" xr:uid="{00000000-0005-0000-0000-0000F7480000}"/>
    <cellStyle name="40% - Accent3 3 2 2 4 3" xfId="35855" xr:uid="{00000000-0005-0000-0000-0000F8480000}"/>
    <cellStyle name="40% - Accent3 3 2 2 5" xfId="20321" xr:uid="{00000000-0005-0000-0000-0000F9480000}"/>
    <cellStyle name="40% - Accent3 3 2 2 6" xfId="29198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7" xr:uid="{00000000-0005-0000-0000-0000FD480000}"/>
    <cellStyle name="40% - Accent3 3 2 3 2 3" xfId="30684" xr:uid="{00000000-0005-0000-0000-0000FE480000}"/>
    <cellStyle name="40% - Accent3 3 2 3 3" xfId="12752" xr:uid="{00000000-0005-0000-0000-0000FF480000}"/>
    <cellStyle name="40% - Accent3 3 2 3 3 2" xfId="24026" xr:uid="{00000000-0005-0000-0000-000000490000}"/>
    <cellStyle name="40% - Accent3 3 2 3 3 3" xfId="32903" xr:uid="{00000000-0005-0000-0000-000001490000}"/>
    <cellStyle name="40% - Accent3 3 2 3 4" xfId="15202" xr:uid="{00000000-0005-0000-0000-000002490000}"/>
    <cellStyle name="40% - Accent3 3 2 3 4 2" xfId="26245" xr:uid="{00000000-0005-0000-0000-000003490000}"/>
    <cellStyle name="40% - Accent3 3 2 3 4 3" xfId="35122" xr:uid="{00000000-0005-0000-0000-000004490000}"/>
    <cellStyle name="40% - Accent3 3 2 3 5" xfId="19588" xr:uid="{00000000-0005-0000-0000-000005490000}"/>
    <cellStyle name="40% - Accent3 3 2 3 6" xfId="28465" xr:uid="{00000000-0005-0000-0000-000006490000}"/>
    <cellStyle name="40% - Accent3 3 2 4" xfId="9561" xr:uid="{00000000-0005-0000-0000-000007490000}"/>
    <cellStyle name="40% - Accent3 3 2 4 2" xfId="21064" xr:uid="{00000000-0005-0000-0000-000008490000}"/>
    <cellStyle name="40% - Accent3 3 2 4 3" xfId="29941" xr:uid="{00000000-0005-0000-0000-000009490000}"/>
    <cellStyle name="40% - Accent3 3 2 5" xfId="12009" xr:uid="{00000000-0005-0000-0000-00000A490000}"/>
    <cellStyle name="40% - Accent3 3 2 5 2" xfId="23283" xr:uid="{00000000-0005-0000-0000-00000B490000}"/>
    <cellStyle name="40% - Accent3 3 2 5 3" xfId="32160" xr:uid="{00000000-0005-0000-0000-00000C490000}"/>
    <cellStyle name="40% - Accent3 3 2 6" xfId="14230" xr:uid="{00000000-0005-0000-0000-00000D490000}"/>
    <cellStyle name="40% - Accent3 3 2 6 2" xfId="25502" xr:uid="{00000000-0005-0000-0000-00000E490000}"/>
    <cellStyle name="40% - Accent3 3 2 6 3" xfId="34379" xr:uid="{00000000-0005-0000-0000-00000F490000}"/>
    <cellStyle name="40% - Accent3 3 2 7" xfId="18839" xr:uid="{00000000-0005-0000-0000-000010490000}"/>
    <cellStyle name="40% - Accent3 3 2 8" xfId="27720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1" xr:uid="{00000000-0005-0000-0000-000015490000}"/>
    <cellStyle name="40% - Accent3 3 3 2 2 3" xfId="31418" xr:uid="{00000000-0005-0000-0000-000016490000}"/>
    <cellStyle name="40% - Accent3 3 3 2 3" xfId="13486" xr:uid="{00000000-0005-0000-0000-000017490000}"/>
    <cellStyle name="40% - Accent3 3 3 2 3 2" xfId="24760" xr:uid="{00000000-0005-0000-0000-000018490000}"/>
    <cellStyle name="40% - Accent3 3 3 2 3 3" xfId="33637" xr:uid="{00000000-0005-0000-0000-000019490000}"/>
    <cellStyle name="40% - Accent3 3 3 2 4" xfId="15936" xr:uid="{00000000-0005-0000-0000-00001A490000}"/>
    <cellStyle name="40% - Accent3 3 3 2 4 2" xfId="26979" xr:uid="{00000000-0005-0000-0000-00001B490000}"/>
    <cellStyle name="40% - Accent3 3 3 2 4 3" xfId="35856" xr:uid="{00000000-0005-0000-0000-00001C490000}"/>
    <cellStyle name="40% - Accent3 3 3 2 5" xfId="20322" xr:uid="{00000000-0005-0000-0000-00001D490000}"/>
    <cellStyle name="40% - Accent3 3 3 2 6" xfId="29199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8" xr:uid="{00000000-0005-0000-0000-000021490000}"/>
    <cellStyle name="40% - Accent3 3 3 3 2 3" xfId="30685" xr:uid="{00000000-0005-0000-0000-000022490000}"/>
    <cellStyle name="40% - Accent3 3 3 3 3" xfId="12753" xr:uid="{00000000-0005-0000-0000-000023490000}"/>
    <cellStyle name="40% - Accent3 3 3 3 3 2" xfId="24027" xr:uid="{00000000-0005-0000-0000-000024490000}"/>
    <cellStyle name="40% - Accent3 3 3 3 3 3" xfId="32904" xr:uid="{00000000-0005-0000-0000-000025490000}"/>
    <cellStyle name="40% - Accent3 3 3 3 4" xfId="15203" xr:uid="{00000000-0005-0000-0000-000026490000}"/>
    <cellStyle name="40% - Accent3 3 3 3 4 2" xfId="26246" xr:uid="{00000000-0005-0000-0000-000027490000}"/>
    <cellStyle name="40% - Accent3 3 3 3 4 3" xfId="35123" xr:uid="{00000000-0005-0000-0000-000028490000}"/>
    <cellStyle name="40% - Accent3 3 3 3 5" xfId="19589" xr:uid="{00000000-0005-0000-0000-000029490000}"/>
    <cellStyle name="40% - Accent3 3 3 3 6" xfId="28466" xr:uid="{00000000-0005-0000-0000-00002A490000}"/>
    <cellStyle name="40% - Accent3 3 3 4" xfId="9562" xr:uid="{00000000-0005-0000-0000-00002B490000}"/>
    <cellStyle name="40% - Accent3 3 3 4 2" xfId="21065" xr:uid="{00000000-0005-0000-0000-00002C490000}"/>
    <cellStyle name="40% - Accent3 3 3 4 3" xfId="29942" xr:uid="{00000000-0005-0000-0000-00002D490000}"/>
    <cellStyle name="40% - Accent3 3 3 5" xfId="12010" xr:uid="{00000000-0005-0000-0000-00002E490000}"/>
    <cellStyle name="40% - Accent3 3 3 5 2" xfId="23284" xr:uid="{00000000-0005-0000-0000-00002F490000}"/>
    <cellStyle name="40% - Accent3 3 3 5 3" xfId="32161" xr:uid="{00000000-0005-0000-0000-000030490000}"/>
    <cellStyle name="40% - Accent3 3 3 6" xfId="14231" xr:uid="{00000000-0005-0000-0000-000031490000}"/>
    <cellStyle name="40% - Accent3 3 3 6 2" xfId="25503" xr:uid="{00000000-0005-0000-0000-000032490000}"/>
    <cellStyle name="40% - Accent3 3 3 6 3" xfId="34380" xr:uid="{00000000-0005-0000-0000-000033490000}"/>
    <cellStyle name="40% - Accent3 3 3 7" xfId="18840" xr:uid="{00000000-0005-0000-0000-000034490000}"/>
    <cellStyle name="40% - Accent3 3 3 8" xfId="27721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2" xr:uid="{00000000-0005-0000-0000-000039490000}"/>
    <cellStyle name="40% - Accent3 3 4 2 2 3" xfId="31419" xr:uid="{00000000-0005-0000-0000-00003A490000}"/>
    <cellStyle name="40% - Accent3 3 4 2 3" xfId="13487" xr:uid="{00000000-0005-0000-0000-00003B490000}"/>
    <cellStyle name="40% - Accent3 3 4 2 3 2" xfId="24761" xr:uid="{00000000-0005-0000-0000-00003C490000}"/>
    <cellStyle name="40% - Accent3 3 4 2 3 3" xfId="33638" xr:uid="{00000000-0005-0000-0000-00003D490000}"/>
    <cellStyle name="40% - Accent3 3 4 2 4" xfId="15937" xr:uid="{00000000-0005-0000-0000-00003E490000}"/>
    <cellStyle name="40% - Accent3 3 4 2 4 2" xfId="26980" xr:uid="{00000000-0005-0000-0000-00003F490000}"/>
    <cellStyle name="40% - Accent3 3 4 2 4 3" xfId="35857" xr:uid="{00000000-0005-0000-0000-000040490000}"/>
    <cellStyle name="40% - Accent3 3 4 2 5" xfId="20323" xr:uid="{00000000-0005-0000-0000-000041490000}"/>
    <cellStyle name="40% - Accent3 3 4 2 6" xfId="29200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09" xr:uid="{00000000-0005-0000-0000-000045490000}"/>
    <cellStyle name="40% - Accent3 3 4 3 2 3" xfId="30686" xr:uid="{00000000-0005-0000-0000-000046490000}"/>
    <cellStyle name="40% - Accent3 3 4 3 3" xfId="12754" xr:uid="{00000000-0005-0000-0000-000047490000}"/>
    <cellStyle name="40% - Accent3 3 4 3 3 2" xfId="24028" xr:uid="{00000000-0005-0000-0000-000048490000}"/>
    <cellStyle name="40% - Accent3 3 4 3 3 3" xfId="32905" xr:uid="{00000000-0005-0000-0000-000049490000}"/>
    <cellStyle name="40% - Accent3 3 4 3 4" xfId="15204" xr:uid="{00000000-0005-0000-0000-00004A490000}"/>
    <cellStyle name="40% - Accent3 3 4 3 4 2" xfId="26247" xr:uid="{00000000-0005-0000-0000-00004B490000}"/>
    <cellStyle name="40% - Accent3 3 4 3 4 3" xfId="35124" xr:uid="{00000000-0005-0000-0000-00004C490000}"/>
    <cellStyle name="40% - Accent3 3 4 3 5" xfId="19590" xr:uid="{00000000-0005-0000-0000-00004D490000}"/>
    <cellStyle name="40% - Accent3 3 4 3 6" xfId="28467" xr:uid="{00000000-0005-0000-0000-00004E490000}"/>
    <cellStyle name="40% - Accent3 3 4 4" xfId="9563" xr:uid="{00000000-0005-0000-0000-00004F490000}"/>
    <cellStyle name="40% - Accent3 3 4 4 2" xfId="21066" xr:uid="{00000000-0005-0000-0000-000050490000}"/>
    <cellStyle name="40% - Accent3 3 4 4 3" xfId="29943" xr:uid="{00000000-0005-0000-0000-000051490000}"/>
    <cellStyle name="40% - Accent3 3 4 5" xfId="12011" xr:uid="{00000000-0005-0000-0000-000052490000}"/>
    <cellStyle name="40% - Accent3 3 4 5 2" xfId="23285" xr:uid="{00000000-0005-0000-0000-000053490000}"/>
    <cellStyle name="40% - Accent3 3 4 5 3" xfId="32162" xr:uid="{00000000-0005-0000-0000-000054490000}"/>
    <cellStyle name="40% - Accent3 3 4 6" xfId="14232" xr:uid="{00000000-0005-0000-0000-000055490000}"/>
    <cellStyle name="40% - Accent3 3 4 6 2" xfId="25504" xr:uid="{00000000-0005-0000-0000-000056490000}"/>
    <cellStyle name="40% - Accent3 3 4 6 3" xfId="34381" xr:uid="{00000000-0005-0000-0000-000057490000}"/>
    <cellStyle name="40% - Accent3 3 4 7" xfId="18841" xr:uid="{00000000-0005-0000-0000-000058490000}"/>
    <cellStyle name="40% - Accent3 3 4 8" xfId="27722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3" xr:uid="{00000000-0005-0000-0000-00005D490000}"/>
    <cellStyle name="40% - Accent3 3 5 2 2 3" xfId="31420" xr:uid="{00000000-0005-0000-0000-00005E490000}"/>
    <cellStyle name="40% - Accent3 3 5 2 3" xfId="13488" xr:uid="{00000000-0005-0000-0000-00005F490000}"/>
    <cellStyle name="40% - Accent3 3 5 2 3 2" xfId="24762" xr:uid="{00000000-0005-0000-0000-000060490000}"/>
    <cellStyle name="40% - Accent3 3 5 2 3 3" xfId="33639" xr:uid="{00000000-0005-0000-0000-000061490000}"/>
    <cellStyle name="40% - Accent3 3 5 2 4" xfId="15938" xr:uid="{00000000-0005-0000-0000-000062490000}"/>
    <cellStyle name="40% - Accent3 3 5 2 4 2" xfId="26981" xr:uid="{00000000-0005-0000-0000-000063490000}"/>
    <cellStyle name="40% - Accent3 3 5 2 4 3" xfId="35858" xr:uid="{00000000-0005-0000-0000-000064490000}"/>
    <cellStyle name="40% - Accent3 3 5 2 5" xfId="20324" xr:uid="{00000000-0005-0000-0000-000065490000}"/>
    <cellStyle name="40% - Accent3 3 5 2 6" xfId="29201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0" xr:uid="{00000000-0005-0000-0000-000069490000}"/>
    <cellStyle name="40% - Accent3 3 5 3 2 3" xfId="30687" xr:uid="{00000000-0005-0000-0000-00006A490000}"/>
    <cellStyle name="40% - Accent3 3 5 3 3" xfId="12755" xr:uid="{00000000-0005-0000-0000-00006B490000}"/>
    <cellStyle name="40% - Accent3 3 5 3 3 2" xfId="24029" xr:uid="{00000000-0005-0000-0000-00006C490000}"/>
    <cellStyle name="40% - Accent3 3 5 3 3 3" xfId="32906" xr:uid="{00000000-0005-0000-0000-00006D490000}"/>
    <cellStyle name="40% - Accent3 3 5 3 4" xfId="15205" xr:uid="{00000000-0005-0000-0000-00006E490000}"/>
    <cellStyle name="40% - Accent3 3 5 3 4 2" xfId="26248" xr:uid="{00000000-0005-0000-0000-00006F490000}"/>
    <cellStyle name="40% - Accent3 3 5 3 4 3" xfId="35125" xr:uid="{00000000-0005-0000-0000-000070490000}"/>
    <cellStyle name="40% - Accent3 3 5 3 5" xfId="19591" xr:uid="{00000000-0005-0000-0000-000071490000}"/>
    <cellStyle name="40% - Accent3 3 5 3 6" xfId="28468" xr:uid="{00000000-0005-0000-0000-000072490000}"/>
    <cellStyle name="40% - Accent3 3 5 4" xfId="9564" xr:uid="{00000000-0005-0000-0000-000073490000}"/>
    <cellStyle name="40% - Accent3 3 5 4 2" xfId="21067" xr:uid="{00000000-0005-0000-0000-000074490000}"/>
    <cellStyle name="40% - Accent3 3 5 4 3" xfId="29944" xr:uid="{00000000-0005-0000-0000-000075490000}"/>
    <cellStyle name="40% - Accent3 3 5 5" xfId="12012" xr:uid="{00000000-0005-0000-0000-000076490000}"/>
    <cellStyle name="40% - Accent3 3 5 5 2" xfId="23286" xr:uid="{00000000-0005-0000-0000-000077490000}"/>
    <cellStyle name="40% - Accent3 3 5 5 3" xfId="32163" xr:uid="{00000000-0005-0000-0000-000078490000}"/>
    <cellStyle name="40% - Accent3 3 5 6" xfId="14233" xr:uid="{00000000-0005-0000-0000-000079490000}"/>
    <cellStyle name="40% - Accent3 3 5 6 2" xfId="25505" xr:uid="{00000000-0005-0000-0000-00007A490000}"/>
    <cellStyle name="40% - Accent3 3 5 6 3" xfId="34382" xr:uid="{00000000-0005-0000-0000-00007B490000}"/>
    <cellStyle name="40% - Accent3 3 5 7" xfId="18842" xr:uid="{00000000-0005-0000-0000-00007C490000}"/>
    <cellStyle name="40% - Accent3 3 5 8" xfId="27723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79" xr:uid="{00000000-0005-0000-0000-000083490000}"/>
    <cellStyle name="40% - Accent3 30 3" xfId="31656" xr:uid="{00000000-0005-0000-0000-000084490000}"/>
    <cellStyle name="40% - Accent3 31" xfId="13724" xr:uid="{00000000-0005-0000-0000-000085490000}"/>
    <cellStyle name="40% - Accent3 31 2" xfId="24998" xr:uid="{00000000-0005-0000-0000-000086490000}"/>
    <cellStyle name="40% - Accent3 31 3" xfId="33875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7" xr:uid="{00000000-0005-0000-0000-00009C490000}"/>
    <cellStyle name="40% - Accent3 7 10 3" xfId="32164" xr:uid="{00000000-0005-0000-0000-00009D490000}"/>
    <cellStyle name="40% - Accent3 7 11" xfId="14234" xr:uid="{00000000-0005-0000-0000-00009E490000}"/>
    <cellStyle name="40% - Accent3 7 11 2" xfId="25506" xr:uid="{00000000-0005-0000-0000-00009F490000}"/>
    <cellStyle name="40% - Accent3 7 11 3" xfId="34383" xr:uid="{00000000-0005-0000-0000-0000A0490000}"/>
    <cellStyle name="40% - Accent3 7 12" xfId="18843" xr:uid="{00000000-0005-0000-0000-0000A1490000}"/>
    <cellStyle name="40% - Accent3 7 13" xfId="27724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4" xr:uid="{00000000-0005-0000-0000-0000AA490000}"/>
    <cellStyle name="40% - Accent3 7 7 2 3" xfId="31421" xr:uid="{00000000-0005-0000-0000-0000AB490000}"/>
    <cellStyle name="40% - Accent3 7 7 3" xfId="13489" xr:uid="{00000000-0005-0000-0000-0000AC490000}"/>
    <cellStyle name="40% - Accent3 7 7 3 2" xfId="24763" xr:uid="{00000000-0005-0000-0000-0000AD490000}"/>
    <cellStyle name="40% - Accent3 7 7 3 3" xfId="33640" xr:uid="{00000000-0005-0000-0000-0000AE490000}"/>
    <cellStyle name="40% - Accent3 7 7 4" xfId="15939" xr:uid="{00000000-0005-0000-0000-0000AF490000}"/>
    <cellStyle name="40% - Accent3 7 7 4 2" xfId="26982" xr:uid="{00000000-0005-0000-0000-0000B0490000}"/>
    <cellStyle name="40% - Accent3 7 7 4 3" xfId="35859" xr:uid="{00000000-0005-0000-0000-0000B1490000}"/>
    <cellStyle name="40% - Accent3 7 7 5" xfId="20325" xr:uid="{00000000-0005-0000-0000-0000B2490000}"/>
    <cellStyle name="40% - Accent3 7 7 6" xfId="29202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1" xr:uid="{00000000-0005-0000-0000-0000B6490000}"/>
    <cellStyle name="40% - Accent3 7 8 2 3" xfId="30688" xr:uid="{00000000-0005-0000-0000-0000B7490000}"/>
    <cellStyle name="40% - Accent3 7 8 3" xfId="12756" xr:uid="{00000000-0005-0000-0000-0000B8490000}"/>
    <cellStyle name="40% - Accent3 7 8 3 2" xfId="24030" xr:uid="{00000000-0005-0000-0000-0000B9490000}"/>
    <cellStyle name="40% - Accent3 7 8 3 3" xfId="32907" xr:uid="{00000000-0005-0000-0000-0000BA490000}"/>
    <cellStyle name="40% - Accent3 7 8 4" xfId="15206" xr:uid="{00000000-0005-0000-0000-0000BB490000}"/>
    <cellStyle name="40% - Accent3 7 8 4 2" xfId="26249" xr:uid="{00000000-0005-0000-0000-0000BC490000}"/>
    <cellStyle name="40% - Accent3 7 8 4 3" xfId="35126" xr:uid="{00000000-0005-0000-0000-0000BD490000}"/>
    <cellStyle name="40% - Accent3 7 8 5" xfId="19592" xr:uid="{00000000-0005-0000-0000-0000BE490000}"/>
    <cellStyle name="40% - Accent3 7 8 6" xfId="28469" xr:uid="{00000000-0005-0000-0000-0000BF490000}"/>
    <cellStyle name="40% - Accent3 7 9" xfId="9565" xr:uid="{00000000-0005-0000-0000-0000C0490000}"/>
    <cellStyle name="40% - Accent3 7 9 2" xfId="21068" xr:uid="{00000000-0005-0000-0000-0000C1490000}"/>
    <cellStyle name="40% - Accent3 7 9 3" xfId="29945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5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5" xr:uid="{00000000-0005-0000-0000-0000E9490000}"/>
    <cellStyle name="40% - Accent4 2 10 2 2 3" xfId="31422" xr:uid="{00000000-0005-0000-0000-0000EA490000}"/>
    <cellStyle name="40% - Accent4 2 10 2 3" xfId="13490" xr:uid="{00000000-0005-0000-0000-0000EB490000}"/>
    <cellStyle name="40% - Accent4 2 10 2 3 2" xfId="24764" xr:uid="{00000000-0005-0000-0000-0000EC490000}"/>
    <cellStyle name="40% - Accent4 2 10 2 3 3" xfId="33641" xr:uid="{00000000-0005-0000-0000-0000ED490000}"/>
    <cellStyle name="40% - Accent4 2 10 2 4" xfId="15940" xr:uid="{00000000-0005-0000-0000-0000EE490000}"/>
    <cellStyle name="40% - Accent4 2 10 2 4 2" xfId="26983" xr:uid="{00000000-0005-0000-0000-0000EF490000}"/>
    <cellStyle name="40% - Accent4 2 10 2 4 3" xfId="35860" xr:uid="{00000000-0005-0000-0000-0000F0490000}"/>
    <cellStyle name="40% - Accent4 2 10 2 5" xfId="20326" xr:uid="{00000000-0005-0000-0000-0000F1490000}"/>
    <cellStyle name="40% - Accent4 2 10 2 6" xfId="29203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2" xr:uid="{00000000-0005-0000-0000-0000F5490000}"/>
    <cellStyle name="40% - Accent4 2 10 3 2 3" xfId="30689" xr:uid="{00000000-0005-0000-0000-0000F6490000}"/>
    <cellStyle name="40% - Accent4 2 10 3 3" xfId="12757" xr:uid="{00000000-0005-0000-0000-0000F7490000}"/>
    <cellStyle name="40% - Accent4 2 10 3 3 2" xfId="24031" xr:uid="{00000000-0005-0000-0000-0000F8490000}"/>
    <cellStyle name="40% - Accent4 2 10 3 3 3" xfId="32908" xr:uid="{00000000-0005-0000-0000-0000F9490000}"/>
    <cellStyle name="40% - Accent4 2 10 3 4" xfId="15207" xr:uid="{00000000-0005-0000-0000-0000FA490000}"/>
    <cellStyle name="40% - Accent4 2 10 3 4 2" xfId="26250" xr:uid="{00000000-0005-0000-0000-0000FB490000}"/>
    <cellStyle name="40% - Accent4 2 10 3 4 3" xfId="35127" xr:uid="{00000000-0005-0000-0000-0000FC490000}"/>
    <cellStyle name="40% - Accent4 2 10 3 5" xfId="19593" xr:uid="{00000000-0005-0000-0000-0000FD490000}"/>
    <cellStyle name="40% - Accent4 2 10 3 6" xfId="28470" xr:uid="{00000000-0005-0000-0000-0000FE490000}"/>
    <cellStyle name="40% - Accent4 2 10 4" xfId="9566" xr:uid="{00000000-0005-0000-0000-0000FF490000}"/>
    <cellStyle name="40% - Accent4 2 10 4 2" xfId="21069" xr:uid="{00000000-0005-0000-0000-0000004A0000}"/>
    <cellStyle name="40% - Accent4 2 10 4 3" xfId="29946" xr:uid="{00000000-0005-0000-0000-0000014A0000}"/>
    <cellStyle name="40% - Accent4 2 10 5" xfId="12014" xr:uid="{00000000-0005-0000-0000-0000024A0000}"/>
    <cellStyle name="40% - Accent4 2 10 5 2" xfId="23288" xr:uid="{00000000-0005-0000-0000-0000034A0000}"/>
    <cellStyle name="40% - Accent4 2 10 5 3" xfId="32165" xr:uid="{00000000-0005-0000-0000-0000044A0000}"/>
    <cellStyle name="40% - Accent4 2 10 6" xfId="14235" xr:uid="{00000000-0005-0000-0000-0000054A0000}"/>
    <cellStyle name="40% - Accent4 2 10 6 2" xfId="25507" xr:uid="{00000000-0005-0000-0000-0000064A0000}"/>
    <cellStyle name="40% - Accent4 2 10 6 3" xfId="34384" xr:uid="{00000000-0005-0000-0000-0000074A0000}"/>
    <cellStyle name="40% - Accent4 2 10 7" xfId="18844" xr:uid="{00000000-0005-0000-0000-0000084A0000}"/>
    <cellStyle name="40% - Accent4 2 10 8" xfId="27725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6" xr:uid="{00000000-0005-0000-0000-00000E4A0000}"/>
    <cellStyle name="40% - Accent4 2 11 2 2 2 3" xfId="31423" xr:uid="{00000000-0005-0000-0000-00000F4A0000}"/>
    <cellStyle name="40% - Accent4 2 11 2 2 3" xfId="13491" xr:uid="{00000000-0005-0000-0000-0000104A0000}"/>
    <cellStyle name="40% - Accent4 2 11 2 2 3 2" xfId="24765" xr:uid="{00000000-0005-0000-0000-0000114A0000}"/>
    <cellStyle name="40% - Accent4 2 11 2 2 3 3" xfId="33642" xr:uid="{00000000-0005-0000-0000-0000124A0000}"/>
    <cellStyle name="40% - Accent4 2 11 2 2 4" xfId="15941" xr:uid="{00000000-0005-0000-0000-0000134A0000}"/>
    <cellStyle name="40% - Accent4 2 11 2 2 4 2" xfId="26984" xr:uid="{00000000-0005-0000-0000-0000144A0000}"/>
    <cellStyle name="40% - Accent4 2 11 2 2 4 3" xfId="35861" xr:uid="{00000000-0005-0000-0000-0000154A0000}"/>
    <cellStyle name="40% - Accent4 2 11 2 2 5" xfId="20327" xr:uid="{00000000-0005-0000-0000-0000164A0000}"/>
    <cellStyle name="40% - Accent4 2 11 2 2 6" xfId="29204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3" xr:uid="{00000000-0005-0000-0000-00001A4A0000}"/>
    <cellStyle name="40% - Accent4 2 11 2 3 2 3" xfId="30690" xr:uid="{00000000-0005-0000-0000-00001B4A0000}"/>
    <cellStyle name="40% - Accent4 2 11 2 3 3" xfId="12758" xr:uid="{00000000-0005-0000-0000-00001C4A0000}"/>
    <cellStyle name="40% - Accent4 2 11 2 3 3 2" xfId="24032" xr:uid="{00000000-0005-0000-0000-00001D4A0000}"/>
    <cellStyle name="40% - Accent4 2 11 2 3 3 3" xfId="32909" xr:uid="{00000000-0005-0000-0000-00001E4A0000}"/>
    <cellStyle name="40% - Accent4 2 11 2 3 4" xfId="15208" xr:uid="{00000000-0005-0000-0000-00001F4A0000}"/>
    <cellStyle name="40% - Accent4 2 11 2 3 4 2" xfId="26251" xr:uid="{00000000-0005-0000-0000-0000204A0000}"/>
    <cellStyle name="40% - Accent4 2 11 2 3 4 3" xfId="35128" xr:uid="{00000000-0005-0000-0000-0000214A0000}"/>
    <cellStyle name="40% - Accent4 2 11 2 3 5" xfId="19594" xr:uid="{00000000-0005-0000-0000-0000224A0000}"/>
    <cellStyle name="40% - Accent4 2 11 2 3 6" xfId="28471" xr:uid="{00000000-0005-0000-0000-0000234A0000}"/>
    <cellStyle name="40% - Accent4 2 11 2 4" xfId="9567" xr:uid="{00000000-0005-0000-0000-0000244A0000}"/>
    <cellStyle name="40% - Accent4 2 11 2 4 2" xfId="21070" xr:uid="{00000000-0005-0000-0000-0000254A0000}"/>
    <cellStyle name="40% - Accent4 2 11 2 4 3" xfId="29947" xr:uid="{00000000-0005-0000-0000-0000264A0000}"/>
    <cellStyle name="40% - Accent4 2 11 2 5" xfId="12015" xr:uid="{00000000-0005-0000-0000-0000274A0000}"/>
    <cellStyle name="40% - Accent4 2 11 2 5 2" xfId="23289" xr:uid="{00000000-0005-0000-0000-0000284A0000}"/>
    <cellStyle name="40% - Accent4 2 11 2 5 3" xfId="32166" xr:uid="{00000000-0005-0000-0000-0000294A0000}"/>
    <cellStyle name="40% - Accent4 2 11 2 6" xfId="14236" xr:uid="{00000000-0005-0000-0000-00002A4A0000}"/>
    <cellStyle name="40% - Accent4 2 11 2 6 2" xfId="25508" xr:uid="{00000000-0005-0000-0000-00002B4A0000}"/>
    <cellStyle name="40% - Accent4 2 11 2 6 3" xfId="34385" xr:uid="{00000000-0005-0000-0000-00002C4A0000}"/>
    <cellStyle name="40% - Accent4 2 11 2 7" xfId="18845" xr:uid="{00000000-0005-0000-0000-00002D4A0000}"/>
    <cellStyle name="40% - Accent4 2 11 2 8" xfId="27726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7" xr:uid="{00000000-0005-0000-0000-0000324A0000}"/>
    <cellStyle name="40% - Accent4 2 11 3 2 2 3" xfId="31424" xr:uid="{00000000-0005-0000-0000-0000334A0000}"/>
    <cellStyle name="40% - Accent4 2 11 3 2 3" xfId="13492" xr:uid="{00000000-0005-0000-0000-0000344A0000}"/>
    <cellStyle name="40% - Accent4 2 11 3 2 3 2" xfId="24766" xr:uid="{00000000-0005-0000-0000-0000354A0000}"/>
    <cellStyle name="40% - Accent4 2 11 3 2 3 3" xfId="33643" xr:uid="{00000000-0005-0000-0000-0000364A0000}"/>
    <cellStyle name="40% - Accent4 2 11 3 2 4" xfId="15942" xr:uid="{00000000-0005-0000-0000-0000374A0000}"/>
    <cellStyle name="40% - Accent4 2 11 3 2 4 2" xfId="26985" xr:uid="{00000000-0005-0000-0000-0000384A0000}"/>
    <cellStyle name="40% - Accent4 2 11 3 2 4 3" xfId="35862" xr:uid="{00000000-0005-0000-0000-0000394A0000}"/>
    <cellStyle name="40% - Accent4 2 11 3 2 5" xfId="20328" xr:uid="{00000000-0005-0000-0000-00003A4A0000}"/>
    <cellStyle name="40% - Accent4 2 11 3 2 6" xfId="29205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4" xr:uid="{00000000-0005-0000-0000-00003E4A0000}"/>
    <cellStyle name="40% - Accent4 2 11 3 3 2 3" xfId="30691" xr:uid="{00000000-0005-0000-0000-00003F4A0000}"/>
    <cellStyle name="40% - Accent4 2 11 3 3 3" xfId="12759" xr:uid="{00000000-0005-0000-0000-0000404A0000}"/>
    <cellStyle name="40% - Accent4 2 11 3 3 3 2" xfId="24033" xr:uid="{00000000-0005-0000-0000-0000414A0000}"/>
    <cellStyle name="40% - Accent4 2 11 3 3 3 3" xfId="32910" xr:uid="{00000000-0005-0000-0000-0000424A0000}"/>
    <cellStyle name="40% - Accent4 2 11 3 3 4" xfId="15209" xr:uid="{00000000-0005-0000-0000-0000434A0000}"/>
    <cellStyle name="40% - Accent4 2 11 3 3 4 2" xfId="26252" xr:uid="{00000000-0005-0000-0000-0000444A0000}"/>
    <cellStyle name="40% - Accent4 2 11 3 3 4 3" xfId="35129" xr:uid="{00000000-0005-0000-0000-0000454A0000}"/>
    <cellStyle name="40% - Accent4 2 11 3 3 5" xfId="19595" xr:uid="{00000000-0005-0000-0000-0000464A0000}"/>
    <cellStyle name="40% - Accent4 2 11 3 3 6" xfId="28472" xr:uid="{00000000-0005-0000-0000-0000474A0000}"/>
    <cellStyle name="40% - Accent4 2 11 3 4" xfId="9568" xr:uid="{00000000-0005-0000-0000-0000484A0000}"/>
    <cellStyle name="40% - Accent4 2 11 3 4 2" xfId="21071" xr:uid="{00000000-0005-0000-0000-0000494A0000}"/>
    <cellStyle name="40% - Accent4 2 11 3 4 3" xfId="29948" xr:uid="{00000000-0005-0000-0000-00004A4A0000}"/>
    <cellStyle name="40% - Accent4 2 11 3 5" xfId="12016" xr:uid="{00000000-0005-0000-0000-00004B4A0000}"/>
    <cellStyle name="40% - Accent4 2 11 3 5 2" xfId="23290" xr:uid="{00000000-0005-0000-0000-00004C4A0000}"/>
    <cellStyle name="40% - Accent4 2 11 3 5 3" xfId="32167" xr:uid="{00000000-0005-0000-0000-00004D4A0000}"/>
    <cellStyle name="40% - Accent4 2 11 3 6" xfId="14237" xr:uid="{00000000-0005-0000-0000-00004E4A0000}"/>
    <cellStyle name="40% - Accent4 2 11 3 6 2" xfId="25509" xr:uid="{00000000-0005-0000-0000-00004F4A0000}"/>
    <cellStyle name="40% - Accent4 2 11 3 6 3" xfId="34386" xr:uid="{00000000-0005-0000-0000-0000504A0000}"/>
    <cellStyle name="40% - Accent4 2 11 3 7" xfId="18846" xr:uid="{00000000-0005-0000-0000-0000514A0000}"/>
    <cellStyle name="40% - Accent4 2 11 3 8" xfId="27727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8" xr:uid="{00000000-0005-0000-0000-0000564A0000}"/>
    <cellStyle name="40% - Accent4 2 11 4 2 2 3" xfId="31425" xr:uid="{00000000-0005-0000-0000-0000574A0000}"/>
    <cellStyle name="40% - Accent4 2 11 4 2 3" xfId="13493" xr:uid="{00000000-0005-0000-0000-0000584A0000}"/>
    <cellStyle name="40% - Accent4 2 11 4 2 3 2" xfId="24767" xr:uid="{00000000-0005-0000-0000-0000594A0000}"/>
    <cellStyle name="40% - Accent4 2 11 4 2 3 3" xfId="33644" xr:uid="{00000000-0005-0000-0000-00005A4A0000}"/>
    <cellStyle name="40% - Accent4 2 11 4 2 4" xfId="15943" xr:uid="{00000000-0005-0000-0000-00005B4A0000}"/>
    <cellStyle name="40% - Accent4 2 11 4 2 4 2" xfId="26986" xr:uid="{00000000-0005-0000-0000-00005C4A0000}"/>
    <cellStyle name="40% - Accent4 2 11 4 2 4 3" xfId="35863" xr:uid="{00000000-0005-0000-0000-00005D4A0000}"/>
    <cellStyle name="40% - Accent4 2 11 4 2 5" xfId="20329" xr:uid="{00000000-0005-0000-0000-00005E4A0000}"/>
    <cellStyle name="40% - Accent4 2 11 4 2 6" xfId="29206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5" xr:uid="{00000000-0005-0000-0000-0000624A0000}"/>
    <cellStyle name="40% - Accent4 2 11 4 3 2 3" xfId="30692" xr:uid="{00000000-0005-0000-0000-0000634A0000}"/>
    <cellStyle name="40% - Accent4 2 11 4 3 3" xfId="12760" xr:uid="{00000000-0005-0000-0000-0000644A0000}"/>
    <cellStyle name="40% - Accent4 2 11 4 3 3 2" xfId="24034" xr:uid="{00000000-0005-0000-0000-0000654A0000}"/>
    <cellStyle name="40% - Accent4 2 11 4 3 3 3" xfId="32911" xr:uid="{00000000-0005-0000-0000-0000664A0000}"/>
    <cellStyle name="40% - Accent4 2 11 4 3 4" xfId="15210" xr:uid="{00000000-0005-0000-0000-0000674A0000}"/>
    <cellStyle name="40% - Accent4 2 11 4 3 4 2" xfId="26253" xr:uid="{00000000-0005-0000-0000-0000684A0000}"/>
    <cellStyle name="40% - Accent4 2 11 4 3 4 3" xfId="35130" xr:uid="{00000000-0005-0000-0000-0000694A0000}"/>
    <cellStyle name="40% - Accent4 2 11 4 3 5" xfId="19596" xr:uid="{00000000-0005-0000-0000-00006A4A0000}"/>
    <cellStyle name="40% - Accent4 2 11 4 3 6" xfId="28473" xr:uid="{00000000-0005-0000-0000-00006B4A0000}"/>
    <cellStyle name="40% - Accent4 2 11 4 4" xfId="9569" xr:uid="{00000000-0005-0000-0000-00006C4A0000}"/>
    <cellStyle name="40% - Accent4 2 11 4 4 2" xfId="21072" xr:uid="{00000000-0005-0000-0000-00006D4A0000}"/>
    <cellStyle name="40% - Accent4 2 11 4 4 3" xfId="29949" xr:uid="{00000000-0005-0000-0000-00006E4A0000}"/>
    <cellStyle name="40% - Accent4 2 11 4 5" xfId="12017" xr:uid="{00000000-0005-0000-0000-00006F4A0000}"/>
    <cellStyle name="40% - Accent4 2 11 4 5 2" xfId="23291" xr:uid="{00000000-0005-0000-0000-0000704A0000}"/>
    <cellStyle name="40% - Accent4 2 11 4 5 3" xfId="32168" xr:uid="{00000000-0005-0000-0000-0000714A0000}"/>
    <cellStyle name="40% - Accent4 2 11 4 6" xfId="14238" xr:uid="{00000000-0005-0000-0000-0000724A0000}"/>
    <cellStyle name="40% - Accent4 2 11 4 6 2" xfId="25510" xr:uid="{00000000-0005-0000-0000-0000734A0000}"/>
    <cellStyle name="40% - Accent4 2 11 4 6 3" xfId="34387" xr:uid="{00000000-0005-0000-0000-0000744A0000}"/>
    <cellStyle name="40% - Accent4 2 11 4 7" xfId="18847" xr:uid="{00000000-0005-0000-0000-0000754A0000}"/>
    <cellStyle name="40% - Accent4 2 11 4 8" xfId="27728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49" xr:uid="{00000000-0005-0000-0000-00007A4A0000}"/>
    <cellStyle name="40% - Accent4 2 11 5 2 2 3" xfId="31426" xr:uid="{00000000-0005-0000-0000-00007B4A0000}"/>
    <cellStyle name="40% - Accent4 2 11 5 2 3" xfId="13494" xr:uid="{00000000-0005-0000-0000-00007C4A0000}"/>
    <cellStyle name="40% - Accent4 2 11 5 2 3 2" xfId="24768" xr:uid="{00000000-0005-0000-0000-00007D4A0000}"/>
    <cellStyle name="40% - Accent4 2 11 5 2 3 3" xfId="33645" xr:uid="{00000000-0005-0000-0000-00007E4A0000}"/>
    <cellStyle name="40% - Accent4 2 11 5 2 4" xfId="15944" xr:uid="{00000000-0005-0000-0000-00007F4A0000}"/>
    <cellStyle name="40% - Accent4 2 11 5 2 4 2" xfId="26987" xr:uid="{00000000-0005-0000-0000-0000804A0000}"/>
    <cellStyle name="40% - Accent4 2 11 5 2 4 3" xfId="35864" xr:uid="{00000000-0005-0000-0000-0000814A0000}"/>
    <cellStyle name="40% - Accent4 2 11 5 2 5" xfId="20330" xr:uid="{00000000-0005-0000-0000-0000824A0000}"/>
    <cellStyle name="40% - Accent4 2 11 5 2 6" xfId="29207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6" xr:uid="{00000000-0005-0000-0000-0000864A0000}"/>
    <cellStyle name="40% - Accent4 2 11 5 3 2 3" xfId="30693" xr:uid="{00000000-0005-0000-0000-0000874A0000}"/>
    <cellStyle name="40% - Accent4 2 11 5 3 3" xfId="12761" xr:uid="{00000000-0005-0000-0000-0000884A0000}"/>
    <cellStyle name="40% - Accent4 2 11 5 3 3 2" xfId="24035" xr:uid="{00000000-0005-0000-0000-0000894A0000}"/>
    <cellStyle name="40% - Accent4 2 11 5 3 3 3" xfId="32912" xr:uid="{00000000-0005-0000-0000-00008A4A0000}"/>
    <cellStyle name="40% - Accent4 2 11 5 3 4" xfId="15211" xr:uid="{00000000-0005-0000-0000-00008B4A0000}"/>
    <cellStyle name="40% - Accent4 2 11 5 3 4 2" xfId="26254" xr:uid="{00000000-0005-0000-0000-00008C4A0000}"/>
    <cellStyle name="40% - Accent4 2 11 5 3 4 3" xfId="35131" xr:uid="{00000000-0005-0000-0000-00008D4A0000}"/>
    <cellStyle name="40% - Accent4 2 11 5 3 5" xfId="19597" xr:uid="{00000000-0005-0000-0000-00008E4A0000}"/>
    <cellStyle name="40% - Accent4 2 11 5 3 6" xfId="28474" xr:uid="{00000000-0005-0000-0000-00008F4A0000}"/>
    <cellStyle name="40% - Accent4 2 11 5 4" xfId="9570" xr:uid="{00000000-0005-0000-0000-0000904A0000}"/>
    <cellStyle name="40% - Accent4 2 11 5 4 2" xfId="21073" xr:uid="{00000000-0005-0000-0000-0000914A0000}"/>
    <cellStyle name="40% - Accent4 2 11 5 4 3" xfId="29950" xr:uid="{00000000-0005-0000-0000-0000924A0000}"/>
    <cellStyle name="40% - Accent4 2 11 5 5" xfId="12018" xr:uid="{00000000-0005-0000-0000-0000934A0000}"/>
    <cellStyle name="40% - Accent4 2 11 5 5 2" xfId="23292" xr:uid="{00000000-0005-0000-0000-0000944A0000}"/>
    <cellStyle name="40% - Accent4 2 11 5 5 3" xfId="32169" xr:uid="{00000000-0005-0000-0000-0000954A0000}"/>
    <cellStyle name="40% - Accent4 2 11 5 6" xfId="14239" xr:uid="{00000000-0005-0000-0000-0000964A0000}"/>
    <cellStyle name="40% - Accent4 2 11 5 6 2" xfId="25511" xr:uid="{00000000-0005-0000-0000-0000974A0000}"/>
    <cellStyle name="40% - Accent4 2 11 5 6 3" xfId="34388" xr:uid="{00000000-0005-0000-0000-0000984A0000}"/>
    <cellStyle name="40% - Accent4 2 11 5 7" xfId="18848" xr:uid="{00000000-0005-0000-0000-0000994A0000}"/>
    <cellStyle name="40% - Accent4 2 11 5 8" xfId="27729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0" xr:uid="{00000000-0005-0000-0000-0000A14A0000}"/>
    <cellStyle name="40% - Accent4 2 15 2 2 3" xfId="31427" xr:uid="{00000000-0005-0000-0000-0000A24A0000}"/>
    <cellStyle name="40% - Accent4 2 15 2 3" xfId="13495" xr:uid="{00000000-0005-0000-0000-0000A34A0000}"/>
    <cellStyle name="40% - Accent4 2 15 2 3 2" xfId="24769" xr:uid="{00000000-0005-0000-0000-0000A44A0000}"/>
    <cellStyle name="40% - Accent4 2 15 2 3 3" xfId="33646" xr:uid="{00000000-0005-0000-0000-0000A54A0000}"/>
    <cellStyle name="40% - Accent4 2 15 2 4" xfId="15945" xr:uid="{00000000-0005-0000-0000-0000A64A0000}"/>
    <cellStyle name="40% - Accent4 2 15 2 4 2" xfId="26988" xr:uid="{00000000-0005-0000-0000-0000A74A0000}"/>
    <cellStyle name="40% - Accent4 2 15 2 4 3" xfId="35865" xr:uid="{00000000-0005-0000-0000-0000A84A0000}"/>
    <cellStyle name="40% - Accent4 2 15 2 5" xfId="20331" xr:uid="{00000000-0005-0000-0000-0000A94A0000}"/>
    <cellStyle name="40% - Accent4 2 15 2 6" xfId="29208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7" xr:uid="{00000000-0005-0000-0000-0000AD4A0000}"/>
    <cellStyle name="40% - Accent4 2 15 3 2 3" xfId="30694" xr:uid="{00000000-0005-0000-0000-0000AE4A0000}"/>
    <cellStyle name="40% - Accent4 2 15 3 3" xfId="12762" xr:uid="{00000000-0005-0000-0000-0000AF4A0000}"/>
    <cellStyle name="40% - Accent4 2 15 3 3 2" xfId="24036" xr:uid="{00000000-0005-0000-0000-0000B04A0000}"/>
    <cellStyle name="40% - Accent4 2 15 3 3 3" xfId="32913" xr:uid="{00000000-0005-0000-0000-0000B14A0000}"/>
    <cellStyle name="40% - Accent4 2 15 3 4" xfId="15212" xr:uid="{00000000-0005-0000-0000-0000B24A0000}"/>
    <cellStyle name="40% - Accent4 2 15 3 4 2" xfId="26255" xr:uid="{00000000-0005-0000-0000-0000B34A0000}"/>
    <cellStyle name="40% - Accent4 2 15 3 4 3" xfId="35132" xr:uid="{00000000-0005-0000-0000-0000B44A0000}"/>
    <cellStyle name="40% - Accent4 2 15 3 5" xfId="19598" xr:uid="{00000000-0005-0000-0000-0000B54A0000}"/>
    <cellStyle name="40% - Accent4 2 15 3 6" xfId="28475" xr:uid="{00000000-0005-0000-0000-0000B64A0000}"/>
    <cellStyle name="40% - Accent4 2 15 4" xfId="9571" xr:uid="{00000000-0005-0000-0000-0000B74A0000}"/>
    <cellStyle name="40% - Accent4 2 15 4 2" xfId="21074" xr:uid="{00000000-0005-0000-0000-0000B84A0000}"/>
    <cellStyle name="40% - Accent4 2 15 4 3" xfId="29951" xr:uid="{00000000-0005-0000-0000-0000B94A0000}"/>
    <cellStyle name="40% - Accent4 2 15 5" xfId="12019" xr:uid="{00000000-0005-0000-0000-0000BA4A0000}"/>
    <cellStyle name="40% - Accent4 2 15 5 2" xfId="23293" xr:uid="{00000000-0005-0000-0000-0000BB4A0000}"/>
    <cellStyle name="40% - Accent4 2 15 5 3" xfId="32170" xr:uid="{00000000-0005-0000-0000-0000BC4A0000}"/>
    <cellStyle name="40% - Accent4 2 15 6" xfId="14240" xr:uid="{00000000-0005-0000-0000-0000BD4A0000}"/>
    <cellStyle name="40% - Accent4 2 15 6 2" xfId="25512" xr:uid="{00000000-0005-0000-0000-0000BE4A0000}"/>
    <cellStyle name="40% - Accent4 2 15 6 3" xfId="34389" xr:uid="{00000000-0005-0000-0000-0000BF4A0000}"/>
    <cellStyle name="40% - Accent4 2 15 7" xfId="18849" xr:uid="{00000000-0005-0000-0000-0000C04A0000}"/>
    <cellStyle name="40% - Accent4 2 15 8" xfId="27730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1" xr:uid="{00000000-0005-0000-0000-0000C64A0000}"/>
    <cellStyle name="40% - Accent4 2 2 10 2 3" xfId="31428" xr:uid="{00000000-0005-0000-0000-0000C74A0000}"/>
    <cellStyle name="40% - Accent4 2 2 10 3" xfId="13496" xr:uid="{00000000-0005-0000-0000-0000C84A0000}"/>
    <cellStyle name="40% - Accent4 2 2 10 3 2" xfId="24770" xr:uid="{00000000-0005-0000-0000-0000C94A0000}"/>
    <cellStyle name="40% - Accent4 2 2 10 3 3" xfId="33647" xr:uid="{00000000-0005-0000-0000-0000CA4A0000}"/>
    <cellStyle name="40% - Accent4 2 2 10 4" xfId="15946" xr:uid="{00000000-0005-0000-0000-0000CB4A0000}"/>
    <cellStyle name="40% - Accent4 2 2 10 4 2" xfId="26989" xr:uid="{00000000-0005-0000-0000-0000CC4A0000}"/>
    <cellStyle name="40% - Accent4 2 2 10 4 3" xfId="35866" xr:uid="{00000000-0005-0000-0000-0000CD4A0000}"/>
    <cellStyle name="40% - Accent4 2 2 10 5" xfId="20332" xr:uid="{00000000-0005-0000-0000-0000CE4A0000}"/>
    <cellStyle name="40% - Accent4 2 2 10 6" xfId="29209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8" xr:uid="{00000000-0005-0000-0000-0000D24A0000}"/>
    <cellStyle name="40% - Accent4 2 2 11 2 3" xfId="30695" xr:uid="{00000000-0005-0000-0000-0000D34A0000}"/>
    <cellStyle name="40% - Accent4 2 2 11 3" xfId="12763" xr:uid="{00000000-0005-0000-0000-0000D44A0000}"/>
    <cellStyle name="40% - Accent4 2 2 11 3 2" xfId="24037" xr:uid="{00000000-0005-0000-0000-0000D54A0000}"/>
    <cellStyle name="40% - Accent4 2 2 11 3 3" xfId="32914" xr:uid="{00000000-0005-0000-0000-0000D64A0000}"/>
    <cellStyle name="40% - Accent4 2 2 11 4" xfId="15213" xr:uid="{00000000-0005-0000-0000-0000D74A0000}"/>
    <cellStyle name="40% - Accent4 2 2 11 4 2" xfId="26256" xr:uid="{00000000-0005-0000-0000-0000D84A0000}"/>
    <cellStyle name="40% - Accent4 2 2 11 4 3" xfId="35133" xr:uid="{00000000-0005-0000-0000-0000D94A0000}"/>
    <cellStyle name="40% - Accent4 2 2 11 5" xfId="19599" xr:uid="{00000000-0005-0000-0000-0000DA4A0000}"/>
    <cellStyle name="40% - Accent4 2 2 11 6" xfId="28476" xr:uid="{00000000-0005-0000-0000-0000DB4A0000}"/>
    <cellStyle name="40% - Accent4 2 2 12" xfId="9572" xr:uid="{00000000-0005-0000-0000-0000DC4A0000}"/>
    <cellStyle name="40% - Accent4 2 2 12 2" xfId="21075" xr:uid="{00000000-0005-0000-0000-0000DD4A0000}"/>
    <cellStyle name="40% - Accent4 2 2 12 3" xfId="29952" xr:uid="{00000000-0005-0000-0000-0000DE4A0000}"/>
    <cellStyle name="40% - Accent4 2 2 13" xfId="12020" xr:uid="{00000000-0005-0000-0000-0000DF4A0000}"/>
    <cellStyle name="40% - Accent4 2 2 13 2" xfId="23294" xr:uid="{00000000-0005-0000-0000-0000E04A0000}"/>
    <cellStyle name="40% - Accent4 2 2 13 3" xfId="32171" xr:uid="{00000000-0005-0000-0000-0000E14A0000}"/>
    <cellStyle name="40% - Accent4 2 2 14" xfId="14241" xr:uid="{00000000-0005-0000-0000-0000E24A0000}"/>
    <cellStyle name="40% - Accent4 2 2 14 2" xfId="25513" xr:uid="{00000000-0005-0000-0000-0000E34A0000}"/>
    <cellStyle name="40% - Accent4 2 2 14 3" xfId="34390" xr:uid="{00000000-0005-0000-0000-0000E44A0000}"/>
    <cellStyle name="40% - Accent4 2 2 15" xfId="18850" xr:uid="{00000000-0005-0000-0000-0000E54A0000}"/>
    <cellStyle name="40% - Accent4 2 2 16" xfId="27731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2" xr:uid="{00000000-0005-0000-0000-0000EA4A0000}"/>
    <cellStyle name="40% - Accent4 2 2 2 2 2 3" xfId="31429" xr:uid="{00000000-0005-0000-0000-0000EB4A0000}"/>
    <cellStyle name="40% - Accent4 2 2 2 2 3" xfId="13497" xr:uid="{00000000-0005-0000-0000-0000EC4A0000}"/>
    <cellStyle name="40% - Accent4 2 2 2 2 3 2" xfId="24771" xr:uid="{00000000-0005-0000-0000-0000ED4A0000}"/>
    <cellStyle name="40% - Accent4 2 2 2 2 3 3" xfId="33648" xr:uid="{00000000-0005-0000-0000-0000EE4A0000}"/>
    <cellStyle name="40% - Accent4 2 2 2 2 4" xfId="15947" xr:uid="{00000000-0005-0000-0000-0000EF4A0000}"/>
    <cellStyle name="40% - Accent4 2 2 2 2 4 2" xfId="26990" xr:uid="{00000000-0005-0000-0000-0000F04A0000}"/>
    <cellStyle name="40% - Accent4 2 2 2 2 4 3" xfId="35867" xr:uid="{00000000-0005-0000-0000-0000F14A0000}"/>
    <cellStyle name="40% - Accent4 2 2 2 2 5" xfId="20333" xr:uid="{00000000-0005-0000-0000-0000F24A0000}"/>
    <cellStyle name="40% - Accent4 2 2 2 2 6" xfId="29210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19" xr:uid="{00000000-0005-0000-0000-0000F64A0000}"/>
    <cellStyle name="40% - Accent4 2 2 2 3 2 3" xfId="30696" xr:uid="{00000000-0005-0000-0000-0000F74A0000}"/>
    <cellStyle name="40% - Accent4 2 2 2 3 3" xfId="12764" xr:uid="{00000000-0005-0000-0000-0000F84A0000}"/>
    <cellStyle name="40% - Accent4 2 2 2 3 3 2" xfId="24038" xr:uid="{00000000-0005-0000-0000-0000F94A0000}"/>
    <cellStyle name="40% - Accent4 2 2 2 3 3 3" xfId="32915" xr:uid="{00000000-0005-0000-0000-0000FA4A0000}"/>
    <cellStyle name="40% - Accent4 2 2 2 3 4" xfId="15214" xr:uid="{00000000-0005-0000-0000-0000FB4A0000}"/>
    <cellStyle name="40% - Accent4 2 2 2 3 4 2" xfId="26257" xr:uid="{00000000-0005-0000-0000-0000FC4A0000}"/>
    <cellStyle name="40% - Accent4 2 2 2 3 4 3" xfId="35134" xr:uid="{00000000-0005-0000-0000-0000FD4A0000}"/>
    <cellStyle name="40% - Accent4 2 2 2 3 5" xfId="19600" xr:uid="{00000000-0005-0000-0000-0000FE4A0000}"/>
    <cellStyle name="40% - Accent4 2 2 2 3 6" xfId="28477" xr:uid="{00000000-0005-0000-0000-0000FF4A0000}"/>
    <cellStyle name="40% - Accent4 2 2 2 4" xfId="9573" xr:uid="{00000000-0005-0000-0000-0000004B0000}"/>
    <cellStyle name="40% - Accent4 2 2 2 4 2" xfId="21076" xr:uid="{00000000-0005-0000-0000-0000014B0000}"/>
    <cellStyle name="40% - Accent4 2 2 2 4 3" xfId="29953" xr:uid="{00000000-0005-0000-0000-0000024B0000}"/>
    <cellStyle name="40% - Accent4 2 2 2 5" xfId="12021" xr:uid="{00000000-0005-0000-0000-0000034B0000}"/>
    <cellStyle name="40% - Accent4 2 2 2 5 2" xfId="23295" xr:uid="{00000000-0005-0000-0000-0000044B0000}"/>
    <cellStyle name="40% - Accent4 2 2 2 5 3" xfId="32172" xr:uid="{00000000-0005-0000-0000-0000054B0000}"/>
    <cellStyle name="40% - Accent4 2 2 2 6" xfId="14242" xr:uid="{00000000-0005-0000-0000-0000064B0000}"/>
    <cellStyle name="40% - Accent4 2 2 2 6 2" xfId="25514" xr:uid="{00000000-0005-0000-0000-0000074B0000}"/>
    <cellStyle name="40% - Accent4 2 2 2 6 3" xfId="34391" xr:uid="{00000000-0005-0000-0000-0000084B0000}"/>
    <cellStyle name="40% - Accent4 2 2 2 7" xfId="18851" xr:uid="{00000000-0005-0000-0000-0000094B0000}"/>
    <cellStyle name="40% - Accent4 2 2 2 8" xfId="27732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3" xr:uid="{00000000-0005-0000-0000-00000E4B0000}"/>
    <cellStyle name="40% - Accent4 2 2 3 2 2 3" xfId="31430" xr:uid="{00000000-0005-0000-0000-00000F4B0000}"/>
    <cellStyle name="40% - Accent4 2 2 3 2 3" xfId="13498" xr:uid="{00000000-0005-0000-0000-0000104B0000}"/>
    <cellStyle name="40% - Accent4 2 2 3 2 3 2" xfId="24772" xr:uid="{00000000-0005-0000-0000-0000114B0000}"/>
    <cellStyle name="40% - Accent4 2 2 3 2 3 3" xfId="33649" xr:uid="{00000000-0005-0000-0000-0000124B0000}"/>
    <cellStyle name="40% - Accent4 2 2 3 2 4" xfId="15948" xr:uid="{00000000-0005-0000-0000-0000134B0000}"/>
    <cellStyle name="40% - Accent4 2 2 3 2 4 2" xfId="26991" xr:uid="{00000000-0005-0000-0000-0000144B0000}"/>
    <cellStyle name="40% - Accent4 2 2 3 2 4 3" xfId="35868" xr:uid="{00000000-0005-0000-0000-0000154B0000}"/>
    <cellStyle name="40% - Accent4 2 2 3 2 5" xfId="20334" xr:uid="{00000000-0005-0000-0000-0000164B0000}"/>
    <cellStyle name="40% - Accent4 2 2 3 2 6" xfId="29211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0" xr:uid="{00000000-0005-0000-0000-00001A4B0000}"/>
    <cellStyle name="40% - Accent4 2 2 3 3 2 3" xfId="30697" xr:uid="{00000000-0005-0000-0000-00001B4B0000}"/>
    <cellStyle name="40% - Accent4 2 2 3 3 3" xfId="12765" xr:uid="{00000000-0005-0000-0000-00001C4B0000}"/>
    <cellStyle name="40% - Accent4 2 2 3 3 3 2" xfId="24039" xr:uid="{00000000-0005-0000-0000-00001D4B0000}"/>
    <cellStyle name="40% - Accent4 2 2 3 3 3 3" xfId="32916" xr:uid="{00000000-0005-0000-0000-00001E4B0000}"/>
    <cellStyle name="40% - Accent4 2 2 3 3 4" xfId="15215" xr:uid="{00000000-0005-0000-0000-00001F4B0000}"/>
    <cellStyle name="40% - Accent4 2 2 3 3 4 2" xfId="26258" xr:uid="{00000000-0005-0000-0000-0000204B0000}"/>
    <cellStyle name="40% - Accent4 2 2 3 3 4 3" xfId="35135" xr:uid="{00000000-0005-0000-0000-0000214B0000}"/>
    <cellStyle name="40% - Accent4 2 2 3 3 5" xfId="19601" xr:uid="{00000000-0005-0000-0000-0000224B0000}"/>
    <cellStyle name="40% - Accent4 2 2 3 3 6" xfId="28478" xr:uid="{00000000-0005-0000-0000-0000234B0000}"/>
    <cellStyle name="40% - Accent4 2 2 3 4" xfId="9574" xr:uid="{00000000-0005-0000-0000-0000244B0000}"/>
    <cellStyle name="40% - Accent4 2 2 3 4 2" xfId="21077" xr:uid="{00000000-0005-0000-0000-0000254B0000}"/>
    <cellStyle name="40% - Accent4 2 2 3 4 3" xfId="29954" xr:uid="{00000000-0005-0000-0000-0000264B0000}"/>
    <cellStyle name="40% - Accent4 2 2 3 5" xfId="12022" xr:uid="{00000000-0005-0000-0000-0000274B0000}"/>
    <cellStyle name="40% - Accent4 2 2 3 5 2" xfId="23296" xr:uid="{00000000-0005-0000-0000-0000284B0000}"/>
    <cellStyle name="40% - Accent4 2 2 3 5 3" xfId="32173" xr:uid="{00000000-0005-0000-0000-0000294B0000}"/>
    <cellStyle name="40% - Accent4 2 2 3 6" xfId="14243" xr:uid="{00000000-0005-0000-0000-00002A4B0000}"/>
    <cellStyle name="40% - Accent4 2 2 3 6 2" xfId="25515" xr:uid="{00000000-0005-0000-0000-00002B4B0000}"/>
    <cellStyle name="40% - Accent4 2 2 3 6 3" xfId="34392" xr:uid="{00000000-0005-0000-0000-00002C4B0000}"/>
    <cellStyle name="40% - Accent4 2 2 3 7" xfId="18852" xr:uid="{00000000-0005-0000-0000-00002D4B0000}"/>
    <cellStyle name="40% - Accent4 2 2 3 8" xfId="27733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4" xr:uid="{00000000-0005-0000-0000-0000324B0000}"/>
    <cellStyle name="40% - Accent4 2 2 4 2 2 3" xfId="31431" xr:uid="{00000000-0005-0000-0000-0000334B0000}"/>
    <cellStyle name="40% - Accent4 2 2 4 2 3" xfId="13499" xr:uid="{00000000-0005-0000-0000-0000344B0000}"/>
    <cellStyle name="40% - Accent4 2 2 4 2 3 2" xfId="24773" xr:uid="{00000000-0005-0000-0000-0000354B0000}"/>
    <cellStyle name="40% - Accent4 2 2 4 2 3 3" xfId="33650" xr:uid="{00000000-0005-0000-0000-0000364B0000}"/>
    <cellStyle name="40% - Accent4 2 2 4 2 4" xfId="15949" xr:uid="{00000000-0005-0000-0000-0000374B0000}"/>
    <cellStyle name="40% - Accent4 2 2 4 2 4 2" xfId="26992" xr:uid="{00000000-0005-0000-0000-0000384B0000}"/>
    <cellStyle name="40% - Accent4 2 2 4 2 4 3" xfId="35869" xr:uid="{00000000-0005-0000-0000-0000394B0000}"/>
    <cellStyle name="40% - Accent4 2 2 4 2 5" xfId="20335" xr:uid="{00000000-0005-0000-0000-00003A4B0000}"/>
    <cellStyle name="40% - Accent4 2 2 4 2 6" xfId="29212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1" xr:uid="{00000000-0005-0000-0000-00003E4B0000}"/>
    <cellStyle name="40% - Accent4 2 2 4 3 2 3" xfId="30698" xr:uid="{00000000-0005-0000-0000-00003F4B0000}"/>
    <cellStyle name="40% - Accent4 2 2 4 3 3" xfId="12766" xr:uid="{00000000-0005-0000-0000-0000404B0000}"/>
    <cellStyle name="40% - Accent4 2 2 4 3 3 2" xfId="24040" xr:uid="{00000000-0005-0000-0000-0000414B0000}"/>
    <cellStyle name="40% - Accent4 2 2 4 3 3 3" xfId="32917" xr:uid="{00000000-0005-0000-0000-0000424B0000}"/>
    <cellStyle name="40% - Accent4 2 2 4 3 4" xfId="15216" xr:uid="{00000000-0005-0000-0000-0000434B0000}"/>
    <cellStyle name="40% - Accent4 2 2 4 3 4 2" xfId="26259" xr:uid="{00000000-0005-0000-0000-0000444B0000}"/>
    <cellStyle name="40% - Accent4 2 2 4 3 4 3" xfId="35136" xr:uid="{00000000-0005-0000-0000-0000454B0000}"/>
    <cellStyle name="40% - Accent4 2 2 4 3 5" xfId="19602" xr:uid="{00000000-0005-0000-0000-0000464B0000}"/>
    <cellStyle name="40% - Accent4 2 2 4 3 6" xfId="28479" xr:uid="{00000000-0005-0000-0000-0000474B0000}"/>
    <cellStyle name="40% - Accent4 2 2 4 4" xfId="9575" xr:uid="{00000000-0005-0000-0000-0000484B0000}"/>
    <cellStyle name="40% - Accent4 2 2 4 4 2" xfId="21078" xr:uid="{00000000-0005-0000-0000-0000494B0000}"/>
    <cellStyle name="40% - Accent4 2 2 4 4 3" xfId="29955" xr:uid="{00000000-0005-0000-0000-00004A4B0000}"/>
    <cellStyle name="40% - Accent4 2 2 4 5" xfId="12023" xr:uid="{00000000-0005-0000-0000-00004B4B0000}"/>
    <cellStyle name="40% - Accent4 2 2 4 5 2" xfId="23297" xr:uid="{00000000-0005-0000-0000-00004C4B0000}"/>
    <cellStyle name="40% - Accent4 2 2 4 5 3" xfId="32174" xr:uid="{00000000-0005-0000-0000-00004D4B0000}"/>
    <cellStyle name="40% - Accent4 2 2 4 6" xfId="14244" xr:uid="{00000000-0005-0000-0000-00004E4B0000}"/>
    <cellStyle name="40% - Accent4 2 2 4 6 2" xfId="25516" xr:uid="{00000000-0005-0000-0000-00004F4B0000}"/>
    <cellStyle name="40% - Accent4 2 2 4 6 3" xfId="34393" xr:uid="{00000000-0005-0000-0000-0000504B0000}"/>
    <cellStyle name="40% - Accent4 2 2 4 7" xfId="18853" xr:uid="{00000000-0005-0000-0000-0000514B0000}"/>
    <cellStyle name="40% - Accent4 2 2 4 8" xfId="27734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5" xr:uid="{00000000-0005-0000-0000-0000564B0000}"/>
    <cellStyle name="40% - Accent4 2 2 5 2 2 3" xfId="31432" xr:uid="{00000000-0005-0000-0000-0000574B0000}"/>
    <cellStyle name="40% - Accent4 2 2 5 2 3" xfId="13500" xr:uid="{00000000-0005-0000-0000-0000584B0000}"/>
    <cellStyle name="40% - Accent4 2 2 5 2 3 2" xfId="24774" xr:uid="{00000000-0005-0000-0000-0000594B0000}"/>
    <cellStyle name="40% - Accent4 2 2 5 2 3 3" xfId="33651" xr:uid="{00000000-0005-0000-0000-00005A4B0000}"/>
    <cellStyle name="40% - Accent4 2 2 5 2 4" xfId="15950" xr:uid="{00000000-0005-0000-0000-00005B4B0000}"/>
    <cellStyle name="40% - Accent4 2 2 5 2 4 2" xfId="26993" xr:uid="{00000000-0005-0000-0000-00005C4B0000}"/>
    <cellStyle name="40% - Accent4 2 2 5 2 4 3" xfId="35870" xr:uid="{00000000-0005-0000-0000-00005D4B0000}"/>
    <cellStyle name="40% - Accent4 2 2 5 2 5" xfId="20336" xr:uid="{00000000-0005-0000-0000-00005E4B0000}"/>
    <cellStyle name="40% - Accent4 2 2 5 2 6" xfId="29213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2" xr:uid="{00000000-0005-0000-0000-0000624B0000}"/>
    <cellStyle name="40% - Accent4 2 2 5 3 2 3" xfId="30699" xr:uid="{00000000-0005-0000-0000-0000634B0000}"/>
    <cellStyle name="40% - Accent4 2 2 5 3 3" xfId="12767" xr:uid="{00000000-0005-0000-0000-0000644B0000}"/>
    <cellStyle name="40% - Accent4 2 2 5 3 3 2" xfId="24041" xr:uid="{00000000-0005-0000-0000-0000654B0000}"/>
    <cellStyle name="40% - Accent4 2 2 5 3 3 3" xfId="32918" xr:uid="{00000000-0005-0000-0000-0000664B0000}"/>
    <cellStyle name="40% - Accent4 2 2 5 3 4" xfId="15217" xr:uid="{00000000-0005-0000-0000-0000674B0000}"/>
    <cellStyle name="40% - Accent4 2 2 5 3 4 2" xfId="26260" xr:uid="{00000000-0005-0000-0000-0000684B0000}"/>
    <cellStyle name="40% - Accent4 2 2 5 3 4 3" xfId="35137" xr:uid="{00000000-0005-0000-0000-0000694B0000}"/>
    <cellStyle name="40% - Accent4 2 2 5 3 5" xfId="19603" xr:uid="{00000000-0005-0000-0000-00006A4B0000}"/>
    <cellStyle name="40% - Accent4 2 2 5 3 6" xfId="28480" xr:uid="{00000000-0005-0000-0000-00006B4B0000}"/>
    <cellStyle name="40% - Accent4 2 2 5 4" xfId="9576" xr:uid="{00000000-0005-0000-0000-00006C4B0000}"/>
    <cellStyle name="40% - Accent4 2 2 5 4 2" xfId="21079" xr:uid="{00000000-0005-0000-0000-00006D4B0000}"/>
    <cellStyle name="40% - Accent4 2 2 5 4 3" xfId="29956" xr:uid="{00000000-0005-0000-0000-00006E4B0000}"/>
    <cellStyle name="40% - Accent4 2 2 5 5" xfId="12024" xr:uid="{00000000-0005-0000-0000-00006F4B0000}"/>
    <cellStyle name="40% - Accent4 2 2 5 5 2" xfId="23298" xr:uid="{00000000-0005-0000-0000-0000704B0000}"/>
    <cellStyle name="40% - Accent4 2 2 5 5 3" xfId="32175" xr:uid="{00000000-0005-0000-0000-0000714B0000}"/>
    <cellStyle name="40% - Accent4 2 2 5 6" xfId="14245" xr:uid="{00000000-0005-0000-0000-0000724B0000}"/>
    <cellStyle name="40% - Accent4 2 2 5 6 2" xfId="25517" xr:uid="{00000000-0005-0000-0000-0000734B0000}"/>
    <cellStyle name="40% - Accent4 2 2 5 6 3" xfId="34394" xr:uid="{00000000-0005-0000-0000-0000744B0000}"/>
    <cellStyle name="40% - Accent4 2 2 5 7" xfId="18854" xr:uid="{00000000-0005-0000-0000-0000754B0000}"/>
    <cellStyle name="40% - Accent4 2 2 5 8" xfId="27735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6" xr:uid="{00000000-0005-0000-0000-00007A4B0000}"/>
    <cellStyle name="40% - Accent4 2 2 6 2 2 3" xfId="31433" xr:uid="{00000000-0005-0000-0000-00007B4B0000}"/>
    <cellStyle name="40% - Accent4 2 2 6 2 3" xfId="13501" xr:uid="{00000000-0005-0000-0000-00007C4B0000}"/>
    <cellStyle name="40% - Accent4 2 2 6 2 3 2" xfId="24775" xr:uid="{00000000-0005-0000-0000-00007D4B0000}"/>
    <cellStyle name="40% - Accent4 2 2 6 2 3 3" xfId="33652" xr:uid="{00000000-0005-0000-0000-00007E4B0000}"/>
    <cellStyle name="40% - Accent4 2 2 6 2 4" xfId="15951" xr:uid="{00000000-0005-0000-0000-00007F4B0000}"/>
    <cellStyle name="40% - Accent4 2 2 6 2 4 2" xfId="26994" xr:uid="{00000000-0005-0000-0000-0000804B0000}"/>
    <cellStyle name="40% - Accent4 2 2 6 2 4 3" xfId="35871" xr:uid="{00000000-0005-0000-0000-0000814B0000}"/>
    <cellStyle name="40% - Accent4 2 2 6 2 5" xfId="20337" xr:uid="{00000000-0005-0000-0000-0000824B0000}"/>
    <cellStyle name="40% - Accent4 2 2 6 2 6" xfId="29214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3" xr:uid="{00000000-0005-0000-0000-0000864B0000}"/>
    <cellStyle name="40% - Accent4 2 2 6 3 2 3" xfId="30700" xr:uid="{00000000-0005-0000-0000-0000874B0000}"/>
    <cellStyle name="40% - Accent4 2 2 6 3 3" xfId="12768" xr:uid="{00000000-0005-0000-0000-0000884B0000}"/>
    <cellStyle name="40% - Accent4 2 2 6 3 3 2" xfId="24042" xr:uid="{00000000-0005-0000-0000-0000894B0000}"/>
    <cellStyle name="40% - Accent4 2 2 6 3 3 3" xfId="32919" xr:uid="{00000000-0005-0000-0000-00008A4B0000}"/>
    <cellStyle name="40% - Accent4 2 2 6 3 4" xfId="15218" xr:uid="{00000000-0005-0000-0000-00008B4B0000}"/>
    <cellStyle name="40% - Accent4 2 2 6 3 4 2" xfId="26261" xr:uid="{00000000-0005-0000-0000-00008C4B0000}"/>
    <cellStyle name="40% - Accent4 2 2 6 3 4 3" xfId="35138" xr:uid="{00000000-0005-0000-0000-00008D4B0000}"/>
    <cellStyle name="40% - Accent4 2 2 6 3 5" xfId="19604" xr:uid="{00000000-0005-0000-0000-00008E4B0000}"/>
    <cellStyle name="40% - Accent4 2 2 6 3 6" xfId="28481" xr:uid="{00000000-0005-0000-0000-00008F4B0000}"/>
    <cellStyle name="40% - Accent4 2 2 6 4" xfId="9577" xr:uid="{00000000-0005-0000-0000-0000904B0000}"/>
    <cellStyle name="40% - Accent4 2 2 6 4 2" xfId="21080" xr:uid="{00000000-0005-0000-0000-0000914B0000}"/>
    <cellStyle name="40% - Accent4 2 2 6 4 3" xfId="29957" xr:uid="{00000000-0005-0000-0000-0000924B0000}"/>
    <cellStyle name="40% - Accent4 2 2 6 5" xfId="12025" xr:uid="{00000000-0005-0000-0000-0000934B0000}"/>
    <cellStyle name="40% - Accent4 2 2 6 5 2" xfId="23299" xr:uid="{00000000-0005-0000-0000-0000944B0000}"/>
    <cellStyle name="40% - Accent4 2 2 6 5 3" xfId="32176" xr:uid="{00000000-0005-0000-0000-0000954B0000}"/>
    <cellStyle name="40% - Accent4 2 2 6 6" xfId="14246" xr:uid="{00000000-0005-0000-0000-0000964B0000}"/>
    <cellStyle name="40% - Accent4 2 2 6 6 2" xfId="25518" xr:uid="{00000000-0005-0000-0000-0000974B0000}"/>
    <cellStyle name="40% - Accent4 2 2 6 6 3" xfId="34395" xr:uid="{00000000-0005-0000-0000-0000984B0000}"/>
    <cellStyle name="40% - Accent4 2 2 6 7" xfId="18855" xr:uid="{00000000-0005-0000-0000-0000994B0000}"/>
    <cellStyle name="40% - Accent4 2 2 6 8" xfId="27736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7" xr:uid="{00000000-0005-0000-0000-00009E4B0000}"/>
    <cellStyle name="40% - Accent4 2 2 7 2 2 3" xfId="31434" xr:uid="{00000000-0005-0000-0000-00009F4B0000}"/>
    <cellStyle name="40% - Accent4 2 2 7 2 3" xfId="13502" xr:uid="{00000000-0005-0000-0000-0000A04B0000}"/>
    <cellStyle name="40% - Accent4 2 2 7 2 3 2" xfId="24776" xr:uid="{00000000-0005-0000-0000-0000A14B0000}"/>
    <cellStyle name="40% - Accent4 2 2 7 2 3 3" xfId="33653" xr:uid="{00000000-0005-0000-0000-0000A24B0000}"/>
    <cellStyle name="40% - Accent4 2 2 7 2 4" xfId="15952" xr:uid="{00000000-0005-0000-0000-0000A34B0000}"/>
    <cellStyle name="40% - Accent4 2 2 7 2 4 2" xfId="26995" xr:uid="{00000000-0005-0000-0000-0000A44B0000}"/>
    <cellStyle name="40% - Accent4 2 2 7 2 4 3" xfId="35872" xr:uid="{00000000-0005-0000-0000-0000A54B0000}"/>
    <cellStyle name="40% - Accent4 2 2 7 2 5" xfId="20338" xr:uid="{00000000-0005-0000-0000-0000A64B0000}"/>
    <cellStyle name="40% - Accent4 2 2 7 2 6" xfId="29215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4" xr:uid="{00000000-0005-0000-0000-0000AA4B0000}"/>
    <cellStyle name="40% - Accent4 2 2 7 3 2 3" xfId="30701" xr:uid="{00000000-0005-0000-0000-0000AB4B0000}"/>
    <cellStyle name="40% - Accent4 2 2 7 3 3" xfId="12769" xr:uid="{00000000-0005-0000-0000-0000AC4B0000}"/>
    <cellStyle name="40% - Accent4 2 2 7 3 3 2" xfId="24043" xr:uid="{00000000-0005-0000-0000-0000AD4B0000}"/>
    <cellStyle name="40% - Accent4 2 2 7 3 3 3" xfId="32920" xr:uid="{00000000-0005-0000-0000-0000AE4B0000}"/>
    <cellStyle name="40% - Accent4 2 2 7 3 4" xfId="15219" xr:uid="{00000000-0005-0000-0000-0000AF4B0000}"/>
    <cellStyle name="40% - Accent4 2 2 7 3 4 2" xfId="26262" xr:uid="{00000000-0005-0000-0000-0000B04B0000}"/>
    <cellStyle name="40% - Accent4 2 2 7 3 4 3" xfId="35139" xr:uid="{00000000-0005-0000-0000-0000B14B0000}"/>
    <cellStyle name="40% - Accent4 2 2 7 3 5" xfId="19605" xr:uid="{00000000-0005-0000-0000-0000B24B0000}"/>
    <cellStyle name="40% - Accent4 2 2 7 3 6" xfId="28482" xr:uid="{00000000-0005-0000-0000-0000B34B0000}"/>
    <cellStyle name="40% - Accent4 2 2 7 4" xfId="9578" xr:uid="{00000000-0005-0000-0000-0000B44B0000}"/>
    <cellStyle name="40% - Accent4 2 2 7 4 2" xfId="21081" xr:uid="{00000000-0005-0000-0000-0000B54B0000}"/>
    <cellStyle name="40% - Accent4 2 2 7 4 3" xfId="29958" xr:uid="{00000000-0005-0000-0000-0000B64B0000}"/>
    <cellStyle name="40% - Accent4 2 2 7 5" xfId="12026" xr:uid="{00000000-0005-0000-0000-0000B74B0000}"/>
    <cellStyle name="40% - Accent4 2 2 7 5 2" xfId="23300" xr:uid="{00000000-0005-0000-0000-0000B84B0000}"/>
    <cellStyle name="40% - Accent4 2 2 7 5 3" xfId="32177" xr:uid="{00000000-0005-0000-0000-0000B94B0000}"/>
    <cellStyle name="40% - Accent4 2 2 7 6" xfId="14247" xr:uid="{00000000-0005-0000-0000-0000BA4B0000}"/>
    <cellStyle name="40% - Accent4 2 2 7 6 2" xfId="25519" xr:uid="{00000000-0005-0000-0000-0000BB4B0000}"/>
    <cellStyle name="40% - Accent4 2 2 7 6 3" xfId="34396" xr:uid="{00000000-0005-0000-0000-0000BC4B0000}"/>
    <cellStyle name="40% - Accent4 2 2 7 7" xfId="18856" xr:uid="{00000000-0005-0000-0000-0000BD4B0000}"/>
    <cellStyle name="40% - Accent4 2 2 7 8" xfId="27737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8" xr:uid="{00000000-0005-0000-0000-0000C24B0000}"/>
    <cellStyle name="40% - Accent4 2 2 8 2 2 3" xfId="31435" xr:uid="{00000000-0005-0000-0000-0000C34B0000}"/>
    <cellStyle name="40% - Accent4 2 2 8 2 3" xfId="13503" xr:uid="{00000000-0005-0000-0000-0000C44B0000}"/>
    <cellStyle name="40% - Accent4 2 2 8 2 3 2" xfId="24777" xr:uid="{00000000-0005-0000-0000-0000C54B0000}"/>
    <cellStyle name="40% - Accent4 2 2 8 2 3 3" xfId="33654" xr:uid="{00000000-0005-0000-0000-0000C64B0000}"/>
    <cellStyle name="40% - Accent4 2 2 8 2 4" xfId="15953" xr:uid="{00000000-0005-0000-0000-0000C74B0000}"/>
    <cellStyle name="40% - Accent4 2 2 8 2 4 2" xfId="26996" xr:uid="{00000000-0005-0000-0000-0000C84B0000}"/>
    <cellStyle name="40% - Accent4 2 2 8 2 4 3" xfId="35873" xr:uid="{00000000-0005-0000-0000-0000C94B0000}"/>
    <cellStyle name="40% - Accent4 2 2 8 2 5" xfId="20339" xr:uid="{00000000-0005-0000-0000-0000CA4B0000}"/>
    <cellStyle name="40% - Accent4 2 2 8 2 6" xfId="29216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5" xr:uid="{00000000-0005-0000-0000-0000CE4B0000}"/>
    <cellStyle name="40% - Accent4 2 2 8 3 2 3" xfId="30702" xr:uid="{00000000-0005-0000-0000-0000CF4B0000}"/>
    <cellStyle name="40% - Accent4 2 2 8 3 3" xfId="12770" xr:uid="{00000000-0005-0000-0000-0000D04B0000}"/>
    <cellStyle name="40% - Accent4 2 2 8 3 3 2" xfId="24044" xr:uid="{00000000-0005-0000-0000-0000D14B0000}"/>
    <cellStyle name="40% - Accent4 2 2 8 3 3 3" xfId="32921" xr:uid="{00000000-0005-0000-0000-0000D24B0000}"/>
    <cellStyle name="40% - Accent4 2 2 8 3 4" xfId="15220" xr:uid="{00000000-0005-0000-0000-0000D34B0000}"/>
    <cellStyle name="40% - Accent4 2 2 8 3 4 2" xfId="26263" xr:uid="{00000000-0005-0000-0000-0000D44B0000}"/>
    <cellStyle name="40% - Accent4 2 2 8 3 4 3" xfId="35140" xr:uid="{00000000-0005-0000-0000-0000D54B0000}"/>
    <cellStyle name="40% - Accent4 2 2 8 3 5" xfId="19606" xr:uid="{00000000-0005-0000-0000-0000D64B0000}"/>
    <cellStyle name="40% - Accent4 2 2 8 3 6" xfId="28483" xr:uid="{00000000-0005-0000-0000-0000D74B0000}"/>
    <cellStyle name="40% - Accent4 2 2 8 4" xfId="9579" xr:uid="{00000000-0005-0000-0000-0000D84B0000}"/>
    <cellStyle name="40% - Accent4 2 2 8 4 2" xfId="21082" xr:uid="{00000000-0005-0000-0000-0000D94B0000}"/>
    <cellStyle name="40% - Accent4 2 2 8 4 3" xfId="29959" xr:uid="{00000000-0005-0000-0000-0000DA4B0000}"/>
    <cellStyle name="40% - Accent4 2 2 8 5" xfId="12027" xr:uid="{00000000-0005-0000-0000-0000DB4B0000}"/>
    <cellStyle name="40% - Accent4 2 2 8 5 2" xfId="23301" xr:uid="{00000000-0005-0000-0000-0000DC4B0000}"/>
    <cellStyle name="40% - Accent4 2 2 8 5 3" xfId="32178" xr:uid="{00000000-0005-0000-0000-0000DD4B0000}"/>
    <cellStyle name="40% - Accent4 2 2 8 6" xfId="14248" xr:uid="{00000000-0005-0000-0000-0000DE4B0000}"/>
    <cellStyle name="40% - Accent4 2 2 8 6 2" xfId="25520" xr:uid="{00000000-0005-0000-0000-0000DF4B0000}"/>
    <cellStyle name="40% - Accent4 2 2 8 6 3" xfId="34397" xr:uid="{00000000-0005-0000-0000-0000E04B0000}"/>
    <cellStyle name="40% - Accent4 2 2 8 7" xfId="18857" xr:uid="{00000000-0005-0000-0000-0000E14B0000}"/>
    <cellStyle name="40% - Accent4 2 2 8 8" xfId="27738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59" xr:uid="{00000000-0005-0000-0000-0000E64B0000}"/>
    <cellStyle name="40% - Accent4 2 2 9 2 2 3" xfId="31436" xr:uid="{00000000-0005-0000-0000-0000E74B0000}"/>
    <cellStyle name="40% - Accent4 2 2 9 2 3" xfId="13504" xr:uid="{00000000-0005-0000-0000-0000E84B0000}"/>
    <cellStyle name="40% - Accent4 2 2 9 2 3 2" xfId="24778" xr:uid="{00000000-0005-0000-0000-0000E94B0000}"/>
    <cellStyle name="40% - Accent4 2 2 9 2 3 3" xfId="33655" xr:uid="{00000000-0005-0000-0000-0000EA4B0000}"/>
    <cellStyle name="40% - Accent4 2 2 9 2 4" xfId="15954" xr:uid="{00000000-0005-0000-0000-0000EB4B0000}"/>
    <cellStyle name="40% - Accent4 2 2 9 2 4 2" xfId="26997" xr:uid="{00000000-0005-0000-0000-0000EC4B0000}"/>
    <cellStyle name="40% - Accent4 2 2 9 2 4 3" xfId="35874" xr:uid="{00000000-0005-0000-0000-0000ED4B0000}"/>
    <cellStyle name="40% - Accent4 2 2 9 2 5" xfId="20340" xr:uid="{00000000-0005-0000-0000-0000EE4B0000}"/>
    <cellStyle name="40% - Accent4 2 2 9 2 6" xfId="29217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6" xr:uid="{00000000-0005-0000-0000-0000F24B0000}"/>
    <cellStyle name="40% - Accent4 2 2 9 3 2 3" xfId="30703" xr:uid="{00000000-0005-0000-0000-0000F34B0000}"/>
    <cellStyle name="40% - Accent4 2 2 9 3 3" xfId="12771" xr:uid="{00000000-0005-0000-0000-0000F44B0000}"/>
    <cellStyle name="40% - Accent4 2 2 9 3 3 2" xfId="24045" xr:uid="{00000000-0005-0000-0000-0000F54B0000}"/>
    <cellStyle name="40% - Accent4 2 2 9 3 3 3" xfId="32922" xr:uid="{00000000-0005-0000-0000-0000F64B0000}"/>
    <cellStyle name="40% - Accent4 2 2 9 3 4" xfId="15221" xr:uid="{00000000-0005-0000-0000-0000F74B0000}"/>
    <cellStyle name="40% - Accent4 2 2 9 3 4 2" xfId="26264" xr:uid="{00000000-0005-0000-0000-0000F84B0000}"/>
    <cellStyle name="40% - Accent4 2 2 9 3 4 3" xfId="35141" xr:uid="{00000000-0005-0000-0000-0000F94B0000}"/>
    <cellStyle name="40% - Accent4 2 2 9 3 5" xfId="19607" xr:uid="{00000000-0005-0000-0000-0000FA4B0000}"/>
    <cellStyle name="40% - Accent4 2 2 9 3 6" xfId="28484" xr:uid="{00000000-0005-0000-0000-0000FB4B0000}"/>
    <cellStyle name="40% - Accent4 2 2 9 4" xfId="9580" xr:uid="{00000000-0005-0000-0000-0000FC4B0000}"/>
    <cellStyle name="40% - Accent4 2 2 9 4 2" xfId="21083" xr:uid="{00000000-0005-0000-0000-0000FD4B0000}"/>
    <cellStyle name="40% - Accent4 2 2 9 4 3" xfId="29960" xr:uid="{00000000-0005-0000-0000-0000FE4B0000}"/>
    <cellStyle name="40% - Accent4 2 2 9 5" xfId="12028" xr:uid="{00000000-0005-0000-0000-0000FF4B0000}"/>
    <cellStyle name="40% - Accent4 2 2 9 5 2" xfId="23302" xr:uid="{00000000-0005-0000-0000-0000004C0000}"/>
    <cellStyle name="40% - Accent4 2 2 9 5 3" xfId="32179" xr:uid="{00000000-0005-0000-0000-0000014C0000}"/>
    <cellStyle name="40% - Accent4 2 2 9 6" xfId="14249" xr:uid="{00000000-0005-0000-0000-0000024C0000}"/>
    <cellStyle name="40% - Accent4 2 2 9 6 2" xfId="25521" xr:uid="{00000000-0005-0000-0000-0000034C0000}"/>
    <cellStyle name="40% - Accent4 2 2 9 6 3" xfId="34398" xr:uid="{00000000-0005-0000-0000-0000044C0000}"/>
    <cellStyle name="40% - Accent4 2 2 9 7" xfId="18858" xr:uid="{00000000-0005-0000-0000-0000054C0000}"/>
    <cellStyle name="40% - Accent4 2 2 9 8" xfId="27739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0" xr:uid="{00000000-0005-0000-0000-00000A4C0000}"/>
    <cellStyle name="40% - Accent4 2 3 10 2 3" xfId="31437" xr:uid="{00000000-0005-0000-0000-00000B4C0000}"/>
    <cellStyle name="40% - Accent4 2 3 10 3" xfId="13505" xr:uid="{00000000-0005-0000-0000-00000C4C0000}"/>
    <cellStyle name="40% - Accent4 2 3 10 3 2" xfId="24779" xr:uid="{00000000-0005-0000-0000-00000D4C0000}"/>
    <cellStyle name="40% - Accent4 2 3 10 3 3" xfId="33656" xr:uid="{00000000-0005-0000-0000-00000E4C0000}"/>
    <cellStyle name="40% - Accent4 2 3 10 4" xfId="15955" xr:uid="{00000000-0005-0000-0000-00000F4C0000}"/>
    <cellStyle name="40% - Accent4 2 3 10 4 2" xfId="26998" xr:uid="{00000000-0005-0000-0000-0000104C0000}"/>
    <cellStyle name="40% - Accent4 2 3 10 4 3" xfId="35875" xr:uid="{00000000-0005-0000-0000-0000114C0000}"/>
    <cellStyle name="40% - Accent4 2 3 10 5" xfId="20341" xr:uid="{00000000-0005-0000-0000-0000124C0000}"/>
    <cellStyle name="40% - Accent4 2 3 10 6" xfId="29218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7" xr:uid="{00000000-0005-0000-0000-0000164C0000}"/>
    <cellStyle name="40% - Accent4 2 3 11 2 3" xfId="30704" xr:uid="{00000000-0005-0000-0000-0000174C0000}"/>
    <cellStyle name="40% - Accent4 2 3 11 3" xfId="12772" xr:uid="{00000000-0005-0000-0000-0000184C0000}"/>
    <cellStyle name="40% - Accent4 2 3 11 3 2" xfId="24046" xr:uid="{00000000-0005-0000-0000-0000194C0000}"/>
    <cellStyle name="40% - Accent4 2 3 11 3 3" xfId="32923" xr:uid="{00000000-0005-0000-0000-00001A4C0000}"/>
    <cellStyle name="40% - Accent4 2 3 11 4" xfId="15222" xr:uid="{00000000-0005-0000-0000-00001B4C0000}"/>
    <cellStyle name="40% - Accent4 2 3 11 4 2" xfId="26265" xr:uid="{00000000-0005-0000-0000-00001C4C0000}"/>
    <cellStyle name="40% - Accent4 2 3 11 4 3" xfId="35142" xr:uid="{00000000-0005-0000-0000-00001D4C0000}"/>
    <cellStyle name="40% - Accent4 2 3 11 5" xfId="19608" xr:uid="{00000000-0005-0000-0000-00001E4C0000}"/>
    <cellStyle name="40% - Accent4 2 3 11 6" xfId="28485" xr:uid="{00000000-0005-0000-0000-00001F4C0000}"/>
    <cellStyle name="40% - Accent4 2 3 12" xfId="9581" xr:uid="{00000000-0005-0000-0000-0000204C0000}"/>
    <cellStyle name="40% - Accent4 2 3 12 2" xfId="21084" xr:uid="{00000000-0005-0000-0000-0000214C0000}"/>
    <cellStyle name="40% - Accent4 2 3 12 3" xfId="29961" xr:uid="{00000000-0005-0000-0000-0000224C0000}"/>
    <cellStyle name="40% - Accent4 2 3 13" xfId="12029" xr:uid="{00000000-0005-0000-0000-0000234C0000}"/>
    <cellStyle name="40% - Accent4 2 3 13 2" xfId="23303" xr:uid="{00000000-0005-0000-0000-0000244C0000}"/>
    <cellStyle name="40% - Accent4 2 3 13 3" xfId="32180" xr:uid="{00000000-0005-0000-0000-0000254C0000}"/>
    <cellStyle name="40% - Accent4 2 3 14" xfId="14250" xr:uid="{00000000-0005-0000-0000-0000264C0000}"/>
    <cellStyle name="40% - Accent4 2 3 14 2" xfId="25522" xr:uid="{00000000-0005-0000-0000-0000274C0000}"/>
    <cellStyle name="40% - Accent4 2 3 14 3" xfId="34399" xr:uid="{00000000-0005-0000-0000-0000284C0000}"/>
    <cellStyle name="40% - Accent4 2 3 15" xfId="18859" xr:uid="{00000000-0005-0000-0000-0000294C0000}"/>
    <cellStyle name="40% - Accent4 2 3 16" xfId="27740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1" xr:uid="{00000000-0005-0000-0000-00002E4C0000}"/>
    <cellStyle name="40% - Accent4 2 3 2 2 2 3" xfId="31438" xr:uid="{00000000-0005-0000-0000-00002F4C0000}"/>
    <cellStyle name="40% - Accent4 2 3 2 2 3" xfId="13506" xr:uid="{00000000-0005-0000-0000-0000304C0000}"/>
    <cellStyle name="40% - Accent4 2 3 2 2 3 2" xfId="24780" xr:uid="{00000000-0005-0000-0000-0000314C0000}"/>
    <cellStyle name="40% - Accent4 2 3 2 2 3 3" xfId="33657" xr:uid="{00000000-0005-0000-0000-0000324C0000}"/>
    <cellStyle name="40% - Accent4 2 3 2 2 4" xfId="15956" xr:uid="{00000000-0005-0000-0000-0000334C0000}"/>
    <cellStyle name="40% - Accent4 2 3 2 2 4 2" xfId="26999" xr:uid="{00000000-0005-0000-0000-0000344C0000}"/>
    <cellStyle name="40% - Accent4 2 3 2 2 4 3" xfId="35876" xr:uid="{00000000-0005-0000-0000-0000354C0000}"/>
    <cellStyle name="40% - Accent4 2 3 2 2 5" xfId="20342" xr:uid="{00000000-0005-0000-0000-0000364C0000}"/>
    <cellStyle name="40% - Accent4 2 3 2 2 6" xfId="29219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8" xr:uid="{00000000-0005-0000-0000-00003A4C0000}"/>
    <cellStyle name="40% - Accent4 2 3 2 3 2 3" xfId="30705" xr:uid="{00000000-0005-0000-0000-00003B4C0000}"/>
    <cellStyle name="40% - Accent4 2 3 2 3 3" xfId="12773" xr:uid="{00000000-0005-0000-0000-00003C4C0000}"/>
    <cellStyle name="40% - Accent4 2 3 2 3 3 2" xfId="24047" xr:uid="{00000000-0005-0000-0000-00003D4C0000}"/>
    <cellStyle name="40% - Accent4 2 3 2 3 3 3" xfId="32924" xr:uid="{00000000-0005-0000-0000-00003E4C0000}"/>
    <cellStyle name="40% - Accent4 2 3 2 3 4" xfId="15223" xr:uid="{00000000-0005-0000-0000-00003F4C0000}"/>
    <cellStyle name="40% - Accent4 2 3 2 3 4 2" xfId="26266" xr:uid="{00000000-0005-0000-0000-0000404C0000}"/>
    <cellStyle name="40% - Accent4 2 3 2 3 4 3" xfId="35143" xr:uid="{00000000-0005-0000-0000-0000414C0000}"/>
    <cellStyle name="40% - Accent4 2 3 2 3 5" xfId="19609" xr:uid="{00000000-0005-0000-0000-0000424C0000}"/>
    <cellStyle name="40% - Accent4 2 3 2 3 6" xfId="28486" xr:uid="{00000000-0005-0000-0000-0000434C0000}"/>
    <cellStyle name="40% - Accent4 2 3 2 4" xfId="9582" xr:uid="{00000000-0005-0000-0000-0000444C0000}"/>
    <cellStyle name="40% - Accent4 2 3 2 4 2" xfId="21085" xr:uid="{00000000-0005-0000-0000-0000454C0000}"/>
    <cellStyle name="40% - Accent4 2 3 2 4 3" xfId="29962" xr:uid="{00000000-0005-0000-0000-0000464C0000}"/>
    <cellStyle name="40% - Accent4 2 3 2 5" xfId="12030" xr:uid="{00000000-0005-0000-0000-0000474C0000}"/>
    <cellStyle name="40% - Accent4 2 3 2 5 2" xfId="23304" xr:uid="{00000000-0005-0000-0000-0000484C0000}"/>
    <cellStyle name="40% - Accent4 2 3 2 5 3" xfId="32181" xr:uid="{00000000-0005-0000-0000-0000494C0000}"/>
    <cellStyle name="40% - Accent4 2 3 2 6" xfId="14251" xr:uid="{00000000-0005-0000-0000-00004A4C0000}"/>
    <cellStyle name="40% - Accent4 2 3 2 6 2" xfId="25523" xr:uid="{00000000-0005-0000-0000-00004B4C0000}"/>
    <cellStyle name="40% - Accent4 2 3 2 6 3" xfId="34400" xr:uid="{00000000-0005-0000-0000-00004C4C0000}"/>
    <cellStyle name="40% - Accent4 2 3 2 7" xfId="18860" xr:uid="{00000000-0005-0000-0000-00004D4C0000}"/>
    <cellStyle name="40% - Accent4 2 3 2 8" xfId="27741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2" xr:uid="{00000000-0005-0000-0000-0000524C0000}"/>
    <cellStyle name="40% - Accent4 2 3 3 2 2 3" xfId="31439" xr:uid="{00000000-0005-0000-0000-0000534C0000}"/>
    <cellStyle name="40% - Accent4 2 3 3 2 3" xfId="13507" xr:uid="{00000000-0005-0000-0000-0000544C0000}"/>
    <cellStyle name="40% - Accent4 2 3 3 2 3 2" xfId="24781" xr:uid="{00000000-0005-0000-0000-0000554C0000}"/>
    <cellStyle name="40% - Accent4 2 3 3 2 3 3" xfId="33658" xr:uid="{00000000-0005-0000-0000-0000564C0000}"/>
    <cellStyle name="40% - Accent4 2 3 3 2 4" xfId="15957" xr:uid="{00000000-0005-0000-0000-0000574C0000}"/>
    <cellStyle name="40% - Accent4 2 3 3 2 4 2" xfId="27000" xr:uid="{00000000-0005-0000-0000-0000584C0000}"/>
    <cellStyle name="40% - Accent4 2 3 3 2 4 3" xfId="35877" xr:uid="{00000000-0005-0000-0000-0000594C0000}"/>
    <cellStyle name="40% - Accent4 2 3 3 2 5" xfId="20343" xr:uid="{00000000-0005-0000-0000-00005A4C0000}"/>
    <cellStyle name="40% - Accent4 2 3 3 2 6" xfId="29220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29" xr:uid="{00000000-0005-0000-0000-00005E4C0000}"/>
    <cellStyle name="40% - Accent4 2 3 3 3 2 3" xfId="30706" xr:uid="{00000000-0005-0000-0000-00005F4C0000}"/>
    <cellStyle name="40% - Accent4 2 3 3 3 3" xfId="12774" xr:uid="{00000000-0005-0000-0000-0000604C0000}"/>
    <cellStyle name="40% - Accent4 2 3 3 3 3 2" xfId="24048" xr:uid="{00000000-0005-0000-0000-0000614C0000}"/>
    <cellStyle name="40% - Accent4 2 3 3 3 3 3" xfId="32925" xr:uid="{00000000-0005-0000-0000-0000624C0000}"/>
    <cellStyle name="40% - Accent4 2 3 3 3 4" xfId="15224" xr:uid="{00000000-0005-0000-0000-0000634C0000}"/>
    <cellStyle name="40% - Accent4 2 3 3 3 4 2" xfId="26267" xr:uid="{00000000-0005-0000-0000-0000644C0000}"/>
    <cellStyle name="40% - Accent4 2 3 3 3 4 3" xfId="35144" xr:uid="{00000000-0005-0000-0000-0000654C0000}"/>
    <cellStyle name="40% - Accent4 2 3 3 3 5" xfId="19610" xr:uid="{00000000-0005-0000-0000-0000664C0000}"/>
    <cellStyle name="40% - Accent4 2 3 3 3 6" xfId="28487" xr:uid="{00000000-0005-0000-0000-0000674C0000}"/>
    <cellStyle name="40% - Accent4 2 3 3 4" xfId="9583" xr:uid="{00000000-0005-0000-0000-0000684C0000}"/>
    <cellStyle name="40% - Accent4 2 3 3 4 2" xfId="21086" xr:uid="{00000000-0005-0000-0000-0000694C0000}"/>
    <cellStyle name="40% - Accent4 2 3 3 4 3" xfId="29963" xr:uid="{00000000-0005-0000-0000-00006A4C0000}"/>
    <cellStyle name="40% - Accent4 2 3 3 5" xfId="12031" xr:uid="{00000000-0005-0000-0000-00006B4C0000}"/>
    <cellStyle name="40% - Accent4 2 3 3 5 2" xfId="23305" xr:uid="{00000000-0005-0000-0000-00006C4C0000}"/>
    <cellStyle name="40% - Accent4 2 3 3 5 3" xfId="32182" xr:uid="{00000000-0005-0000-0000-00006D4C0000}"/>
    <cellStyle name="40% - Accent4 2 3 3 6" xfId="14252" xr:uid="{00000000-0005-0000-0000-00006E4C0000}"/>
    <cellStyle name="40% - Accent4 2 3 3 6 2" xfId="25524" xr:uid="{00000000-0005-0000-0000-00006F4C0000}"/>
    <cellStyle name="40% - Accent4 2 3 3 6 3" xfId="34401" xr:uid="{00000000-0005-0000-0000-0000704C0000}"/>
    <cellStyle name="40% - Accent4 2 3 3 7" xfId="18861" xr:uid="{00000000-0005-0000-0000-0000714C0000}"/>
    <cellStyle name="40% - Accent4 2 3 3 8" xfId="27742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3" xr:uid="{00000000-0005-0000-0000-0000764C0000}"/>
    <cellStyle name="40% - Accent4 2 3 4 2 2 3" xfId="31440" xr:uid="{00000000-0005-0000-0000-0000774C0000}"/>
    <cellStyle name="40% - Accent4 2 3 4 2 3" xfId="13508" xr:uid="{00000000-0005-0000-0000-0000784C0000}"/>
    <cellStyle name="40% - Accent4 2 3 4 2 3 2" xfId="24782" xr:uid="{00000000-0005-0000-0000-0000794C0000}"/>
    <cellStyle name="40% - Accent4 2 3 4 2 3 3" xfId="33659" xr:uid="{00000000-0005-0000-0000-00007A4C0000}"/>
    <cellStyle name="40% - Accent4 2 3 4 2 4" xfId="15958" xr:uid="{00000000-0005-0000-0000-00007B4C0000}"/>
    <cellStyle name="40% - Accent4 2 3 4 2 4 2" xfId="27001" xr:uid="{00000000-0005-0000-0000-00007C4C0000}"/>
    <cellStyle name="40% - Accent4 2 3 4 2 4 3" xfId="35878" xr:uid="{00000000-0005-0000-0000-00007D4C0000}"/>
    <cellStyle name="40% - Accent4 2 3 4 2 5" xfId="20344" xr:uid="{00000000-0005-0000-0000-00007E4C0000}"/>
    <cellStyle name="40% - Accent4 2 3 4 2 6" xfId="29221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0" xr:uid="{00000000-0005-0000-0000-0000824C0000}"/>
    <cellStyle name="40% - Accent4 2 3 4 3 2 3" xfId="30707" xr:uid="{00000000-0005-0000-0000-0000834C0000}"/>
    <cellStyle name="40% - Accent4 2 3 4 3 3" xfId="12775" xr:uid="{00000000-0005-0000-0000-0000844C0000}"/>
    <cellStyle name="40% - Accent4 2 3 4 3 3 2" xfId="24049" xr:uid="{00000000-0005-0000-0000-0000854C0000}"/>
    <cellStyle name="40% - Accent4 2 3 4 3 3 3" xfId="32926" xr:uid="{00000000-0005-0000-0000-0000864C0000}"/>
    <cellStyle name="40% - Accent4 2 3 4 3 4" xfId="15225" xr:uid="{00000000-0005-0000-0000-0000874C0000}"/>
    <cellStyle name="40% - Accent4 2 3 4 3 4 2" xfId="26268" xr:uid="{00000000-0005-0000-0000-0000884C0000}"/>
    <cellStyle name="40% - Accent4 2 3 4 3 4 3" xfId="35145" xr:uid="{00000000-0005-0000-0000-0000894C0000}"/>
    <cellStyle name="40% - Accent4 2 3 4 3 5" xfId="19611" xr:uid="{00000000-0005-0000-0000-00008A4C0000}"/>
    <cellStyle name="40% - Accent4 2 3 4 3 6" xfId="28488" xr:uid="{00000000-0005-0000-0000-00008B4C0000}"/>
    <cellStyle name="40% - Accent4 2 3 4 4" xfId="9584" xr:uid="{00000000-0005-0000-0000-00008C4C0000}"/>
    <cellStyle name="40% - Accent4 2 3 4 4 2" xfId="21087" xr:uid="{00000000-0005-0000-0000-00008D4C0000}"/>
    <cellStyle name="40% - Accent4 2 3 4 4 3" xfId="29964" xr:uid="{00000000-0005-0000-0000-00008E4C0000}"/>
    <cellStyle name="40% - Accent4 2 3 4 5" xfId="12032" xr:uid="{00000000-0005-0000-0000-00008F4C0000}"/>
    <cellStyle name="40% - Accent4 2 3 4 5 2" xfId="23306" xr:uid="{00000000-0005-0000-0000-0000904C0000}"/>
    <cellStyle name="40% - Accent4 2 3 4 5 3" xfId="32183" xr:uid="{00000000-0005-0000-0000-0000914C0000}"/>
    <cellStyle name="40% - Accent4 2 3 4 6" xfId="14253" xr:uid="{00000000-0005-0000-0000-0000924C0000}"/>
    <cellStyle name="40% - Accent4 2 3 4 6 2" xfId="25525" xr:uid="{00000000-0005-0000-0000-0000934C0000}"/>
    <cellStyle name="40% - Accent4 2 3 4 6 3" xfId="34402" xr:uid="{00000000-0005-0000-0000-0000944C0000}"/>
    <cellStyle name="40% - Accent4 2 3 4 7" xfId="18862" xr:uid="{00000000-0005-0000-0000-0000954C0000}"/>
    <cellStyle name="40% - Accent4 2 3 4 8" xfId="27743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4" xr:uid="{00000000-0005-0000-0000-00009A4C0000}"/>
    <cellStyle name="40% - Accent4 2 3 5 2 2 3" xfId="31441" xr:uid="{00000000-0005-0000-0000-00009B4C0000}"/>
    <cellStyle name="40% - Accent4 2 3 5 2 3" xfId="13509" xr:uid="{00000000-0005-0000-0000-00009C4C0000}"/>
    <cellStyle name="40% - Accent4 2 3 5 2 3 2" xfId="24783" xr:uid="{00000000-0005-0000-0000-00009D4C0000}"/>
    <cellStyle name="40% - Accent4 2 3 5 2 3 3" xfId="33660" xr:uid="{00000000-0005-0000-0000-00009E4C0000}"/>
    <cellStyle name="40% - Accent4 2 3 5 2 4" xfId="15959" xr:uid="{00000000-0005-0000-0000-00009F4C0000}"/>
    <cellStyle name="40% - Accent4 2 3 5 2 4 2" xfId="27002" xr:uid="{00000000-0005-0000-0000-0000A04C0000}"/>
    <cellStyle name="40% - Accent4 2 3 5 2 4 3" xfId="35879" xr:uid="{00000000-0005-0000-0000-0000A14C0000}"/>
    <cellStyle name="40% - Accent4 2 3 5 2 5" xfId="20345" xr:uid="{00000000-0005-0000-0000-0000A24C0000}"/>
    <cellStyle name="40% - Accent4 2 3 5 2 6" xfId="29222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1" xr:uid="{00000000-0005-0000-0000-0000A64C0000}"/>
    <cellStyle name="40% - Accent4 2 3 5 3 2 3" xfId="30708" xr:uid="{00000000-0005-0000-0000-0000A74C0000}"/>
    <cellStyle name="40% - Accent4 2 3 5 3 3" xfId="12776" xr:uid="{00000000-0005-0000-0000-0000A84C0000}"/>
    <cellStyle name="40% - Accent4 2 3 5 3 3 2" xfId="24050" xr:uid="{00000000-0005-0000-0000-0000A94C0000}"/>
    <cellStyle name="40% - Accent4 2 3 5 3 3 3" xfId="32927" xr:uid="{00000000-0005-0000-0000-0000AA4C0000}"/>
    <cellStyle name="40% - Accent4 2 3 5 3 4" xfId="15226" xr:uid="{00000000-0005-0000-0000-0000AB4C0000}"/>
    <cellStyle name="40% - Accent4 2 3 5 3 4 2" xfId="26269" xr:uid="{00000000-0005-0000-0000-0000AC4C0000}"/>
    <cellStyle name="40% - Accent4 2 3 5 3 4 3" xfId="35146" xr:uid="{00000000-0005-0000-0000-0000AD4C0000}"/>
    <cellStyle name="40% - Accent4 2 3 5 3 5" xfId="19612" xr:uid="{00000000-0005-0000-0000-0000AE4C0000}"/>
    <cellStyle name="40% - Accent4 2 3 5 3 6" xfId="28489" xr:uid="{00000000-0005-0000-0000-0000AF4C0000}"/>
    <cellStyle name="40% - Accent4 2 3 5 4" xfId="9585" xr:uid="{00000000-0005-0000-0000-0000B04C0000}"/>
    <cellStyle name="40% - Accent4 2 3 5 4 2" xfId="21088" xr:uid="{00000000-0005-0000-0000-0000B14C0000}"/>
    <cellStyle name="40% - Accent4 2 3 5 4 3" xfId="29965" xr:uid="{00000000-0005-0000-0000-0000B24C0000}"/>
    <cellStyle name="40% - Accent4 2 3 5 5" xfId="12033" xr:uid="{00000000-0005-0000-0000-0000B34C0000}"/>
    <cellStyle name="40% - Accent4 2 3 5 5 2" xfId="23307" xr:uid="{00000000-0005-0000-0000-0000B44C0000}"/>
    <cellStyle name="40% - Accent4 2 3 5 5 3" xfId="32184" xr:uid="{00000000-0005-0000-0000-0000B54C0000}"/>
    <cellStyle name="40% - Accent4 2 3 5 6" xfId="14254" xr:uid="{00000000-0005-0000-0000-0000B64C0000}"/>
    <cellStyle name="40% - Accent4 2 3 5 6 2" xfId="25526" xr:uid="{00000000-0005-0000-0000-0000B74C0000}"/>
    <cellStyle name="40% - Accent4 2 3 5 6 3" xfId="34403" xr:uid="{00000000-0005-0000-0000-0000B84C0000}"/>
    <cellStyle name="40% - Accent4 2 3 5 7" xfId="18863" xr:uid="{00000000-0005-0000-0000-0000B94C0000}"/>
    <cellStyle name="40% - Accent4 2 3 5 8" xfId="27744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5" xr:uid="{00000000-0005-0000-0000-0000BE4C0000}"/>
    <cellStyle name="40% - Accent4 2 3 6 2 2 3" xfId="31442" xr:uid="{00000000-0005-0000-0000-0000BF4C0000}"/>
    <cellStyle name="40% - Accent4 2 3 6 2 3" xfId="13510" xr:uid="{00000000-0005-0000-0000-0000C04C0000}"/>
    <cellStyle name="40% - Accent4 2 3 6 2 3 2" xfId="24784" xr:uid="{00000000-0005-0000-0000-0000C14C0000}"/>
    <cellStyle name="40% - Accent4 2 3 6 2 3 3" xfId="33661" xr:uid="{00000000-0005-0000-0000-0000C24C0000}"/>
    <cellStyle name="40% - Accent4 2 3 6 2 4" xfId="15960" xr:uid="{00000000-0005-0000-0000-0000C34C0000}"/>
    <cellStyle name="40% - Accent4 2 3 6 2 4 2" xfId="27003" xr:uid="{00000000-0005-0000-0000-0000C44C0000}"/>
    <cellStyle name="40% - Accent4 2 3 6 2 4 3" xfId="35880" xr:uid="{00000000-0005-0000-0000-0000C54C0000}"/>
    <cellStyle name="40% - Accent4 2 3 6 2 5" xfId="20346" xr:uid="{00000000-0005-0000-0000-0000C64C0000}"/>
    <cellStyle name="40% - Accent4 2 3 6 2 6" xfId="29223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2" xr:uid="{00000000-0005-0000-0000-0000CA4C0000}"/>
    <cellStyle name="40% - Accent4 2 3 6 3 2 3" xfId="30709" xr:uid="{00000000-0005-0000-0000-0000CB4C0000}"/>
    <cellStyle name="40% - Accent4 2 3 6 3 3" xfId="12777" xr:uid="{00000000-0005-0000-0000-0000CC4C0000}"/>
    <cellStyle name="40% - Accent4 2 3 6 3 3 2" xfId="24051" xr:uid="{00000000-0005-0000-0000-0000CD4C0000}"/>
    <cellStyle name="40% - Accent4 2 3 6 3 3 3" xfId="32928" xr:uid="{00000000-0005-0000-0000-0000CE4C0000}"/>
    <cellStyle name="40% - Accent4 2 3 6 3 4" xfId="15227" xr:uid="{00000000-0005-0000-0000-0000CF4C0000}"/>
    <cellStyle name="40% - Accent4 2 3 6 3 4 2" xfId="26270" xr:uid="{00000000-0005-0000-0000-0000D04C0000}"/>
    <cellStyle name="40% - Accent4 2 3 6 3 4 3" xfId="35147" xr:uid="{00000000-0005-0000-0000-0000D14C0000}"/>
    <cellStyle name="40% - Accent4 2 3 6 3 5" xfId="19613" xr:uid="{00000000-0005-0000-0000-0000D24C0000}"/>
    <cellStyle name="40% - Accent4 2 3 6 3 6" xfId="28490" xr:uid="{00000000-0005-0000-0000-0000D34C0000}"/>
    <cellStyle name="40% - Accent4 2 3 6 4" xfId="9586" xr:uid="{00000000-0005-0000-0000-0000D44C0000}"/>
    <cellStyle name="40% - Accent4 2 3 6 4 2" xfId="21089" xr:uid="{00000000-0005-0000-0000-0000D54C0000}"/>
    <cellStyle name="40% - Accent4 2 3 6 4 3" xfId="29966" xr:uid="{00000000-0005-0000-0000-0000D64C0000}"/>
    <cellStyle name="40% - Accent4 2 3 6 5" xfId="12034" xr:uid="{00000000-0005-0000-0000-0000D74C0000}"/>
    <cellStyle name="40% - Accent4 2 3 6 5 2" xfId="23308" xr:uid="{00000000-0005-0000-0000-0000D84C0000}"/>
    <cellStyle name="40% - Accent4 2 3 6 5 3" xfId="32185" xr:uid="{00000000-0005-0000-0000-0000D94C0000}"/>
    <cellStyle name="40% - Accent4 2 3 6 6" xfId="14255" xr:uid="{00000000-0005-0000-0000-0000DA4C0000}"/>
    <cellStyle name="40% - Accent4 2 3 6 6 2" xfId="25527" xr:uid="{00000000-0005-0000-0000-0000DB4C0000}"/>
    <cellStyle name="40% - Accent4 2 3 6 6 3" xfId="34404" xr:uid="{00000000-0005-0000-0000-0000DC4C0000}"/>
    <cellStyle name="40% - Accent4 2 3 6 7" xfId="18864" xr:uid="{00000000-0005-0000-0000-0000DD4C0000}"/>
    <cellStyle name="40% - Accent4 2 3 6 8" xfId="27745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6" xr:uid="{00000000-0005-0000-0000-0000E24C0000}"/>
    <cellStyle name="40% - Accent4 2 3 7 2 2 3" xfId="31443" xr:uid="{00000000-0005-0000-0000-0000E34C0000}"/>
    <cellStyle name="40% - Accent4 2 3 7 2 3" xfId="13511" xr:uid="{00000000-0005-0000-0000-0000E44C0000}"/>
    <cellStyle name="40% - Accent4 2 3 7 2 3 2" xfId="24785" xr:uid="{00000000-0005-0000-0000-0000E54C0000}"/>
    <cellStyle name="40% - Accent4 2 3 7 2 3 3" xfId="33662" xr:uid="{00000000-0005-0000-0000-0000E64C0000}"/>
    <cellStyle name="40% - Accent4 2 3 7 2 4" xfId="15961" xr:uid="{00000000-0005-0000-0000-0000E74C0000}"/>
    <cellStyle name="40% - Accent4 2 3 7 2 4 2" xfId="27004" xr:uid="{00000000-0005-0000-0000-0000E84C0000}"/>
    <cellStyle name="40% - Accent4 2 3 7 2 4 3" xfId="35881" xr:uid="{00000000-0005-0000-0000-0000E94C0000}"/>
    <cellStyle name="40% - Accent4 2 3 7 2 5" xfId="20347" xr:uid="{00000000-0005-0000-0000-0000EA4C0000}"/>
    <cellStyle name="40% - Accent4 2 3 7 2 6" xfId="29224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3" xr:uid="{00000000-0005-0000-0000-0000EE4C0000}"/>
    <cellStyle name="40% - Accent4 2 3 7 3 2 3" xfId="30710" xr:uid="{00000000-0005-0000-0000-0000EF4C0000}"/>
    <cellStyle name="40% - Accent4 2 3 7 3 3" xfId="12778" xr:uid="{00000000-0005-0000-0000-0000F04C0000}"/>
    <cellStyle name="40% - Accent4 2 3 7 3 3 2" xfId="24052" xr:uid="{00000000-0005-0000-0000-0000F14C0000}"/>
    <cellStyle name="40% - Accent4 2 3 7 3 3 3" xfId="32929" xr:uid="{00000000-0005-0000-0000-0000F24C0000}"/>
    <cellStyle name="40% - Accent4 2 3 7 3 4" xfId="15228" xr:uid="{00000000-0005-0000-0000-0000F34C0000}"/>
    <cellStyle name="40% - Accent4 2 3 7 3 4 2" xfId="26271" xr:uid="{00000000-0005-0000-0000-0000F44C0000}"/>
    <cellStyle name="40% - Accent4 2 3 7 3 4 3" xfId="35148" xr:uid="{00000000-0005-0000-0000-0000F54C0000}"/>
    <cellStyle name="40% - Accent4 2 3 7 3 5" xfId="19614" xr:uid="{00000000-0005-0000-0000-0000F64C0000}"/>
    <cellStyle name="40% - Accent4 2 3 7 3 6" xfId="28491" xr:uid="{00000000-0005-0000-0000-0000F74C0000}"/>
    <cellStyle name="40% - Accent4 2 3 7 4" xfId="9587" xr:uid="{00000000-0005-0000-0000-0000F84C0000}"/>
    <cellStyle name="40% - Accent4 2 3 7 4 2" xfId="21090" xr:uid="{00000000-0005-0000-0000-0000F94C0000}"/>
    <cellStyle name="40% - Accent4 2 3 7 4 3" xfId="29967" xr:uid="{00000000-0005-0000-0000-0000FA4C0000}"/>
    <cellStyle name="40% - Accent4 2 3 7 5" xfId="12035" xr:uid="{00000000-0005-0000-0000-0000FB4C0000}"/>
    <cellStyle name="40% - Accent4 2 3 7 5 2" xfId="23309" xr:uid="{00000000-0005-0000-0000-0000FC4C0000}"/>
    <cellStyle name="40% - Accent4 2 3 7 5 3" xfId="32186" xr:uid="{00000000-0005-0000-0000-0000FD4C0000}"/>
    <cellStyle name="40% - Accent4 2 3 7 6" xfId="14256" xr:uid="{00000000-0005-0000-0000-0000FE4C0000}"/>
    <cellStyle name="40% - Accent4 2 3 7 6 2" xfId="25528" xr:uid="{00000000-0005-0000-0000-0000FF4C0000}"/>
    <cellStyle name="40% - Accent4 2 3 7 6 3" xfId="34405" xr:uid="{00000000-0005-0000-0000-0000004D0000}"/>
    <cellStyle name="40% - Accent4 2 3 7 7" xfId="18865" xr:uid="{00000000-0005-0000-0000-0000014D0000}"/>
    <cellStyle name="40% - Accent4 2 3 7 8" xfId="27746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7" xr:uid="{00000000-0005-0000-0000-0000064D0000}"/>
    <cellStyle name="40% - Accent4 2 3 8 2 2 3" xfId="31444" xr:uid="{00000000-0005-0000-0000-0000074D0000}"/>
    <cellStyle name="40% - Accent4 2 3 8 2 3" xfId="13512" xr:uid="{00000000-0005-0000-0000-0000084D0000}"/>
    <cellStyle name="40% - Accent4 2 3 8 2 3 2" xfId="24786" xr:uid="{00000000-0005-0000-0000-0000094D0000}"/>
    <cellStyle name="40% - Accent4 2 3 8 2 3 3" xfId="33663" xr:uid="{00000000-0005-0000-0000-00000A4D0000}"/>
    <cellStyle name="40% - Accent4 2 3 8 2 4" xfId="15962" xr:uid="{00000000-0005-0000-0000-00000B4D0000}"/>
    <cellStyle name="40% - Accent4 2 3 8 2 4 2" xfId="27005" xr:uid="{00000000-0005-0000-0000-00000C4D0000}"/>
    <cellStyle name="40% - Accent4 2 3 8 2 4 3" xfId="35882" xr:uid="{00000000-0005-0000-0000-00000D4D0000}"/>
    <cellStyle name="40% - Accent4 2 3 8 2 5" xfId="20348" xr:uid="{00000000-0005-0000-0000-00000E4D0000}"/>
    <cellStyle name="40% - Accent4 2 3 8 2 6" xfId="29225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4" xr:uid="{00000000-0005-0000-0000-0000124D0000}"/>
    <cellStyle name="40% - Accent4 2 3 8 3 2 3" xfId="30711" xr:uid="{00000000-0005-0000-0000-0000134D0000}"/>
    <cellStyle name="40% - Accent4 2 3 8 3 3" xfId="12779" xr:uid="{00000000-0005-0000-0000-0000144D0000}"/>
    <cellStyle name="40% - Accent4 2 3 8 3 3 2" xfId="24053" xr:uid="{00000000-0005-0000-0000-0000154D0000}"/>
    <cellStyle name="40% - Accent4 2 3 8 3 3 3" xfId="32930" xr:uid="{00000000-0005-0000-0000-0000164D0000}"/>
    <cellStyle name="40% - Accent4 2 3 8 3 4" xfId="15229" xr:uid="{00000000-0005-0000-0000-0000174D0000}"/>
    <cellStyle name="40% - Accent4 2 3 8 3 4 2" xfId="26272" xr:uid="{00000000-0005-0000-0000-0000184D0000}"/>
    <cellStyle name="40% - Accent4 2 3 8 3 4 3" xfId="35149" xr:uid="{00000000-0005-0000-0000-0000194D0000}"/>
    <cellStyle name="40% - Accent4 2 3 8 3 5" xfId="19615" xr:uid="{00000000-0005-0000-0000-00001A4D0000}"/>
    <cellStyle name="40% - Accent4 2 3 8 3 6" xfId="28492" xr:uid="{00000000-0005-0000-0000-00001B4D0000}"/>
    <cellStyle name="40% - Accent4 2 3 8 4" xfId="9588" xr:uid="{00000000-0005-0000-0000-00001C4D0000}"/>
    <cellStyle name="40% - Accent4 2 3 8 4 2" xfId="21091" xr:uid="{00000000-0005-0000-0000-00001D4D0000}"/>
    <cellStyle name="40% - Accent4 2 3 8 4 3" xfId="29968" xr:uid="{00000000-0005-0000-0000-00001E4D0000}"/>
    <cellStyle name="40% - Accent4 2 3 8 5" xfId="12036" xr:uid="{00000000-0005-0000-0000-00001F4D0000}"/>
    <cellStyle name="40% - Accent4 2 3 8 5 2" xfId="23310" xr:uid="{00000000-0005-0000-0000-0000204D0000}"/>
    <cellStyle name="40% - Accent4 2 3 8 5 3" xfId="32187" xr:uid="{00000000-0005-0000-0000-0000214D0000}"/>
    <cellStyle name="40% - Accent4 2 3 8 6" xfId="14257" xr:uid="{00000000-0005-0000-0000-0000224D0000}"/>
    <cellStyle name="40% - Accent4 2 3 8 6 2" xfId="25529" xr:uid="{00000000-0005-0000-0000-0000234D0000}"/>
    <cellStyle name="40% - Accent4 2 3 8 6 3" xfId="34406" xr:uid="{00000000-0005-0000-0000-0000244D0000}"/>
    <cellStyle name="40% - Accent4 2 3 8 7" xfId="18866" xr:uid="{00000000-0005-0000-0000-0000254D0000}"/>
    <cellStyle name="40% - Accent4 2 3 8 8" xfId="27747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8" xr:uid="{00000000-0005-0000-0000-00002A4D0000}"/>
    <cellStyle name="40% - Accent4 2 3 9 2 2 3" xfId="31445" xr:uid="{00000000-0005-0000-0000-00002B4D0000}"/>
    <cellStyle name="40% - Accent4 2 3 9 2 3" xfId="13513" xr:uid="{00000000-0005-0000-0000-00002C4D0000}"/>
    <cellStyle name="40% - Accent4 2 3 9 2 3 2" xfId="24787" xr:uid="{00000000-0005-0000-0000-00002D4D0000}"/>
    <cellStyle name="40% - Accent4 2 3 9 2 3 3" xfId="33664" xr:uid="{00000000-0005-0000-0000-00002E4D0000}"/>
    <cellStyle name="40% - Accent4 2 3 9 2 4" xfId="15963" xr:uid="{00000000-0005-0000-0000-00002F4D0000}"/>
    <cellStyle name="40% - Accent4 2 3 9 2 4 2" xfId="27006" xr:uid="{00000000-0005-0000-0000-0000304D0000}"/>
    <cellStyle name="40% - Accent4 2 3 9 2 4 3" xfId="35883" xr:uid="{00000000-0005-0000-0000-0000314D0000}"/>
    <cellStyle name="40% - Accent4 2 3 9 2 5" xfId="20349" xr:uid="{00000000-0005-0000-0000-0000324D0000}"/>
    <cellStyle name="40% - Accent4 2 3 9 2 6" xfId="29226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5" xr:uid="{00000000-0005-0000-0000-0000364D0000}"/>
    <cellStyle name="40% - Accent4 2 3 9 3 2 3" xfId="30712" xr:uid="{00000000-0005-0000-0000-0000374D0000}"/>
    <cellStyle name="40% - Accent4 2 3 9 3 3" xfId="12780" xr:uid="{00000000-0005-0000-0000-0000384D0000}"/>
    <cellStyle name="40% - Accent4 2 3 9 3 3 2" xfId="24054" xr:uid="{00000000-0005-0000-0000-0000394D0000}"/>
    <cellStyle name="40% - Accent4 2 3 9 3 3 3" xfId="32931" xr:uid="{00000000-0005-0000-0000-00003A4D0000}"/>
    <cellStyle name="40% - Accent4 2 3 9 3 4" xfId="15230" xr:uid="{00000000-0005-0000-0000-00003B4D0000}"/>
    <cellStyle name="40% - Accent4 2 3 9 3 4 2" xfId="26273" xr:uid="{00000000-0005-0000-0000-00003C4D0000}"/>
    <cellStyle name="40% - Accent4 2 3 9 3 4 3" xfId="35150" xr:uid="{00000000-0005-0000-0000-00003D4D0000}"/>
    <cellStyle name="40% - Accent4 2 3 9 3 5" xfId="19616" xr:uid="{00000000-0005-0000-0000-00003E4D0000}"/>
    <cellStyle name="40% - Accent4 2 3 9 3 6" xfId="28493" xr:uid="{00000000-0005-0000-0000-00003F4D0000}"/>
    <cellStyle name="40% - Accent4 2 3 9 4" xfId="9589" xr:uid="{00000000-0005-0000-0000-0000404D0000}"/>
    <cellStyle name="40% - Accent4 2 3 9 4 2" xfId="21092" xr:uid="{00000000-0005-0000-0000-0000414D0000}"/>
    <cellStyle name="40% - Accent4 2 3 9 4 3" xfId="29969" xr:uid="{00000000-0005-0000-0000-0000424D0000}"/>
    <cellStyle name="40% - Accent4 2 3 9 5" xfId="12037" xr:uid="{00000000-0005-0000-0000-0000434D0000}"/>
    <cellStyle name="40% - Accent4 2 3 9 5 2" xfId="23311" xr:uid="{00000000-0005-0000-0000-0000444D0000}"/>
    <cellStyle name="40% - Accent4 2 3 9 5 3" xfId="32188" xr:uid="{00000000-0005-0000-0000-0000454D0000}"/>
    <cellStyle name="40% - Accent4 2 3 9 6" xfId="14258" xr:uid="{00000000-0005-0000-0000-0000464D0000}"/>
    <cellStyle name="40% - Accent4 2 3 9 6 2" xfId="25530" xr:uid="{00000000-0005-0000-0000-0000474D0000}"/>
    <cellStyle name="40% - Accent4 2 3 9 6 3" xfId="34407" xr:uid="{00000000-0005-0000-0000-0000484D0000}"/>
    <cellStyle name="40% - Accent4 2 3 9 7" xfId="18867" xr:uid="{00000000-0005-0000-0000-0000494D0000}"/>
    <cellStyle name="40% - Accent4 2 3 9 8" xfId="27748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69" xr:uid="{00000000-0005-0000-0000-00004E4D0000}"/>
    <cellStyle name="40% - Accent4 2 4 10 2 3" xfId="31446" xr:uid="{00000000-0005-0000-0000-00004F4D0000}"/>
    <cellStyle name="40% - Accent4 2 4 10 3" xfId="13514" xr:uid="{00000000-0005-0000-0000-0000504D0000}"/>
    <cellStyle name="40% - Accent4 2 4 10 3 2" xfId="24788" xr:uid="{00000000-0005-0000-0000-0000514D0000}"/>
    <cellStyle name="40% - Accent4 2 4 10 3 3" xfId="33665" xr:uid="{00000000-0005-0000-0000-0000524D0000}"/>
    <cellStyle name="40% - Accent4 2 4 10 4" xfId="15964" xr:uid="{00000000-0005-0000-0000-0000534D0000}"/>
    <cellStyle name="40% - Accent4 2 4 10 4 2" xfId="27007" xr:uid="{00000000-0005-0000-0000-0000544D0000}"/>
    <cellStyle name="40% - Accent4 2 4 10 4 3" xfId="35884" xr:uid="{00000000-0005-0000-0000-0000554D0000}"/>
    <cellStyle name="40% - Accent4 2 4 10 5" xfId="20350" xr:uid="{00000000-0005-0000-0000-0000564D0000}"/>
    <cellStyle name="40% - Accent4 2 4 10 6" xfId="29227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6" xr:uid="{00000000-0005-0000-0000-00005A4D0000}"/>
    <cellStyle name="40% - Accent4 2 4 11 2 3" xfId="30713" xr:uid="{00000000-0005-0000-0000-00005B4D0000}"/>
    <cellStyle name="40% - Accent4 2 4 11 3" xfId="12781" xr:uid="{00000000-0005-0000-0000-00005C4D0000}"/>
    <cellStyle name="40% - Accent4 2 4 11 3 2" xfId="24055" xr:uid="{00000000-0005-0000-0000-00005D4D0000}"/>
    <cellStyle name="40% - Accent4 2 4 11 3 3" xfId="32932" xr:uid="{00000000-0005-0000-0000-00005E4D0000}"/>
    <cellStyle name="40% - Accent4 2 4 11 4" xfId="15231" xr:uid="{00000000-0005-0000-0000-00005F4D0000}"/>
    <cellStyle name="40% - Accent4 2 4 11 4 2" xfId="26274" xr:uid="{00000000-0005-0000-0000-0000604D0000}"/>
    <cellStyle name="40% - Accent4 2 4 11 4 3" xfId="35151" xr:uid="{00000000-0005-0000-0000-0000614D0000}"/>
    <cellStyle name="40% - Accent4 2 4 11 5" xfId="19617" xr:uid="{00000000-0005-0000-0000-0000624D0000}"/>
    <cellStyle name="40% - Accent4 2 4 11 6" xfId="28494" xr:uid="{00000000-0005-0000-0000-0000634D0000}"/>
    <cellStyle name="40% - Accent4 2 4 12" xfId="9590" xr:uid="{00000000-0005-0000-0000-0000644D0000}"/>
    <cellStyle name="40% - Accent4 2 4 12 2" xfId="21093" xr:uid="{00000000-0005-0000-0000-0000654D0000}"/>
    <cellStyle name="40% - Accent4 2 4 12 3" xfId="29970" xr:uid="{00000000-0005-0000-0000-0000664D0000}"/>
    <cellStyle name="40% - Accent4 2 4 13" xfId="12038" xr:uid="{00000000-0005-0000-0000-0000674D0000}"/>
    <cellStyle name="40% - Accent4 2 4 13 2" xfId="23312" xr:uid="{00000000-0005-0000-0000-0000684D0000}"/>
    <cellStyle name="40% - Accent4 2 4 13 3" xfId="32189" xr:uid="{00000000-0005-0000-0000-0000694D0000}"/>
    <cellStyle name="40% - Accent4 2 4 14" xfId="14259" xr:uid="{00000000-0005-0000-0000-00006A4D0000}"/>
    <cellStyle name="40% - Accent4 2 4 14 2" xfId="25531" xr:uid="{00000000-0005-0000-0000-00006B4D0000}"/>
    <cellStyle name="40% - Accent4 2 4 14 3" xfId="34408" xr:uid="{00000000-0005-0000-0000-00006C4D0000}"/>
    <cellStyle name="40% - Accent4 2 4 15" xfId="18868" xr:uid="{00000000-0005-0000-0000-00006D4D0000}"/>
    <cellStyle name="40% - Accent4 2 4 16" xfId="27749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0" xr:uid="{00000000-0005-0000-0000-0000724D0000}"/>
    <cellStyle name="40% - Accent4 2 4 2 2 2 3" xfId="31447" xr:uid="{00000000-0005-0000-0000-0000734D0000}"/>
    <cellStyle name="40% - Accent4 2 4 2 2 3" xfId="13515" xr:uid="{00000000-0005-0000-0000-0000744D0000}"/>
    <cellStyle name="40% - Accent4 2 4 2 2 3 2" xfId="24789" xr:uid="{00000000-0005-0000-0000-0000754D0000}"/>
    <cellStyle name="40% - Accent4 2 4 2 2 3 3" xfId="33666" xr:uid="{00000000-0005-0000-0000-0000764D0000}"/>
    <cellStyle name="40% - Accent4 2 4 2 2 4" xfId="15965" xr:uid="{00000000-0005-0000-0000-0000774D0000}"/>
    <cellStyle name="40% - Accent4 2 4 2 2 4 2" xfId="27008" xr:uid="{00000000-0005-0000-0000-0000784D0000}"/>
    <cellStyle name="40% - Accent4 2 4 2 2 4 3" xfId="35885" xr:uid="{00000000-0005-0000-0000-0000794D0000}"/>
    <cellStyle name="40% - Accent4 2 4 2 2 5" xfId="20351" xr:uid="{00000000-0005-0000-0000-00007A4D0000}"/>
    <cellStyle name="40% - Accent4 2 4 2 2 6" xfId="29228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7" xr:uid="{00000000-0005-0000-0000-00007E4D0000}"/>
    <cellStyle name="40% - Accent4 2 4 2 3 2 3" xfId="30714" xr:uid="{00000000-0005-0000-0000-00007F4D0000}"/>
    <cellStyle name="40% - Accent4 2 4 2 3 3" xfId="12782" xr:uid="{00000000-0005-0000-0000-0000804D0000}"/>
    <cellStyle name="40% - Accent4 2 4 2 3 3 2" xfId="24056" xr:uid="{00000000-0005-0000-0000-0000814D0000}"/>
    <cellStyle name="40% - Accent4 2 4 2 3 3 3" xfId="32933" xr:uid="{00000000-0005-0000-0000-0000824D0000}"/>
    <cellStyle name="40% - Accent4 2 4 2 3 4" xfId="15232" xr:uid="{00000000-0005-0000-0000-0000834D0000}"/>
    <cellStyle name="40% - Accent4 2 4 2 3 4 2" xfId="26275" xr:uid="{00000000-0005-0000-0000-0000844D0000}"/>
    <cellStyle name="40% - Accent4 2 4 2 3 4 3" xfId="35152" xr:uid="{00000000-0005-0000-0000-0000854D0000}"/>
    <cellStyle name="40% - Accent4 2 4 2 3 5" xfId="19618" xr:uid="{00000000-0005-0000-0000-0000864D0000}"/>
    <cellStyle name="40% - Accent4 2 4 2 3 6" xfId="28495" xr:uid="{00000000-0005-0000-0000-0000874D0000}"/>
    <cellStyle name="40% - Accent4 2 4 2 4" xfId="9591" xr:uid="{00000000-0005-0000-0000-0000884D0000}"/>
    <cellStyle name="40% - Accent4 2 4 2 4 2" xfId="21094" xr:uid="{00000000-0005-0000-0000-0000894D0000}"/>
    <cellStyle name="40% - Accent4 2 4 2 4 3" xfId="29971" xr:uid="{00000000-0005-0000-0000-00008A4D0000}"/>
    <cellStyle name="40% - Accent4 2 4 2 5" xfId="12039" xr:uid="{00000000-0005-0000-0000-00008B4D0000}"/>
    <cellStyle name="40% - Accent4 2 4 2 5 2" xfId="23313" xr:uid="{00000000-0005-0000-0000-00008C4D0000}"/>
    <cellStyle name="40% - Accent4 2 4 2 5 3" xfId="32190" xr:uid="{00000000-0005-0000-0000-00008D4D0000}"/>
    <cellStyle name="40% - Accent4 2 4 2 6" xfId="14260" xr:uid="{00000000-0005-0000-0000-00008E4D0000}"/>
    <cellStyle name="40% - Accent4 2 4 2 6 2" xfId="25532" xr:uid="{00000000-0005-0000-0000-00008F4D0000}"/>
    <cellStyle name="40% - Accent4 2 4 2 6 3" xfId="34409" xr:uid="{00000000-0005-0000-0000-0000904D0000}"/>
    <cellStyle name="40% - Accent4 2 4 2 7" xfId="18869" xr:uid="{00000000-0005-0000-0000-0000914D0000}"/>
    <cellStyle name="40% - Accent4 2 4 2 8" xfId="27750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1" xr:uid="{00000000-0005-0000-0000-0000964D0000}"/>
    <cellStyle name="40% - Accent4 2 4 3 2 2 3" xfId="31448" xr:uid="{00000000-0005-0000-0000-0000974D0000}"/>
    <cellStyle name="40% - Accent4 2 4 3 2 3" xfId="13516" xr:uid="{00000000-0005-0000-0000-0000984D0000}"/>
    <cellStyle name="40% - Accent4 2 4 3 2 3 2" xfId="24790" xr:uid="{00000000-0005-0000-0000-0000994D0000}"/>
    <cellStyle name="40% - Accent4 2 4 3 2 3 3" xfId="33667" xr:uid="{00000000-0005-0000-0000-00009A4D0000}"/>
    <cellStyle name="40% - Accent4 2 4 3 2 4" xfId="15966" xr:uid="{00000000-0005-0000-0000-00009B4D0000}"/>
    <cellStyle name="40% - Accent4 2 4 3 2 4 2" xfId="27009" xr:uid="{00000000-0005-0000-0000-00009C4D0000}"/>
    <cellStyle name="40% - Accent4 2 4 3 2 4 3" xfId="35886" xr:uid="{00000000-0005-0000-0000-00009D4D0000}"/>
    <cellStyle name="40% - Accent4 2 4 3 2 5" xfId="20352" xr:uid="{00000000-0005-0000-0000-00009E4D0000}"/>
    <cellStyle name="40% - Accent4 2 4 3 2 6" xfId="29229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8" xr:uid="{00000000-0005-0000-0000-0000A24D0000}"/>
    <cellStyle name="40% - Accent4 2 4 3 3 2 3" xfId="30715" xr:uid="{00000000-0005-0000-0000-0000A34D0000}"/>
    <cellStyle name="40% - Accent4 2 4 3 3 3" xfId="12783" xr:uid="{00000000-0005-0000-0000-0000A44D0000}"/>
    <cellStyle name="40% - Accent4 2 4 3 3 3 2" xfId="24057" xr:uid="{00000000-0005-0000-0000-0000A54D0000}"/>
    <cellStyle name="40% - Accent4 2 4 3 3 3 3" xfId="32934" xr:uid="{00000000-0005-0000-0000-0000A64D0000}"/>
    <cellStyle name="40% - Accent4 2 4 3 3 4" xfId="15233" xr:uid="{00000000-0005-0000-0000-0000A74D0000}"/>
    <cellStyle name="40% - Accent4 2 4 3 3 4 2" xfId="26276" xr:uid="{00000000-0005-0000-0000-0000A84D0000}"/>
    <cellStyle name="40% - Accent4 2 4 3 3 4 3" xfId="35153" xr:uid="{00000000-0005-0000-0000-0000A94D0000}"/>
    <cellStyle name="40% - Accent4 2 4 3 3 5" xfId="19619" xr:uid="{00000000-0005-0000-0000-0000AA4D0000}"/>
    <cellStyle name="40% - Accent4 2 4 3 3 6" xfId="28496" xr:uid="{00000000-0005-0000-0000-0000AB4D0000}"/>
    <cellStyle name="40% - Accent4 2 4 3 4" xfId="9592" xr:uid="{00000000-0005-0000-0000-0000AC4D0000}"/>
    <cellStyle name="40% - Accent4 2 4 3 4 2" xfId="21095" xr:uid="{00000000-0005-0000-0000-0000AD4D0000}"/>
    <cellStyle name="40% - Accent4 2 4 3 4 3" xfId="29972" xr:uid="{00000000-0005-0000-0000-0000AE4D0000}"/>
    <cellStyle name="40% - Accent4 2 4 3 5" xfId="12040" xr:uid="{00000000-0005-0000-0000-0000AF4D0000}"/>
    <cellStyle name="40% - Accent4 2 4 3 5 2" xfId="23314" xr:uid="{00000000-0005-0000-0000-0000B04D0000}"/>
    <cellStyle name="40% - Accent4 2 4 3 5 3" xfId="32191" xr:uid="{00000000-0005-0000-0000-0000B14D0000}"/>
    <cellStyle name="40% - Accent4 2 4 3 6" xfId="14261" xr:uid="{00000000-0005-0000-0000-0000B24D0000}"/>
    <cellStyle name="40% - Accent4 2 4 3 6 2" xfId="25533" xr:uid="{00000000-0005-0000-0000-0000B34D0000}"/>
    <cellStyle name="40% - Accent4 2 4 3 6 3" xfId="34410" xr:uid="{00000000-0005-0000-0000-0000B44D0000}"/>
    <cellStyle name="40% - Accent4 2 4 3 7" xfId="18870" xr:uid="{00000000-0005-0000-0000-0000B54D0000}"/>
    <cellStyle name="40% - Accent4 2 4 3 8" xfId="27751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2" xr:uid="{00000000-0005-0000-0000-0000BA4D0000}"/>
    <cellStyle name="40% - Accent4 2 4 4 2 2 3" xfId="31449" xr:uid="{00000000-0005-0000-0000-0000BB4D0000}"/>
    <cellStyle name="40% - Accent4 2 4 4 2 3" xfId="13517" xr:uid="{00000000-0005-0000-0000-0000BC4D0000}"/>
    <cellStyle name="40% - Accent4 2 4 4 2 3 2" xfId="24791" xr:uid="{00000000-0005-0000-0000-0000BD4D0000}"/>
    <cellStyle name="40% - Accent4 2 4 4 2 3 3" xfId="33668" xr:uid="{00000000-0005-0000-0000-0000BE4D0000}"/>
    <cellStyle name="40% - Accent4 2 4 4 2 4" xfId="15967" xr:uid="{00000000-0005-0000-0000-0000BF4D0000}"/>
    <cellStyle name="40% - Accent4 2 4 4 2 4 2" xfId="27010" xr:uid="{00000000-0005-0000-0000-0000C04D0000}"/>
    <cellStyle name="40% - Accent4 2 4 4 2 4 3" xfId="35887" xr:uid="{00000000-0005-0000-0000-0000C14D0000}"/>
    <cellStyle name="40% - Accent4 2 4 4 2 5" xfId="20353" xr:uid="{00000000-0005-0000-0000-0000C24D0000}"/>
    <cellStyle name="40% - Accent4 2 4 4 2 6" xfId="29230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39" xr:uid="{00000000-0005-0000-0000-0000C64D0000}"/>
    <cellStyle name="40% - Accent4 2 4 4 3 2 3" xfId="30716" xr:uid="{00000000-0005-0000-0000-0000C74D0000}"/>
    <cellStyle name="40% - Accent4 2 4 4 3 3" xfId="12784" xr:uid="{00000000-0005-0000-0000-0000C84D0000}"/>
    <cellStyle name="40% - Accent4 2 4 4 3 3 2" xfId="24058" xr:uid="{00000000-0005-0000-0000-0000C94D0000}"/>
    <cellStyle name="40% - Accent4 2 4 4 3 3 3" xfId="32935" xr:uid="{00000000-0005-0000-0000-0000CA4D0000}"/>
    <cellStyle name="40% - Accent4 2 4 4 3 4" xfId="15234" xr:uid="{00000000-0005-0000-0000-0000CB4D0000}"/>
    <cellStyle name="40% - Accent4 2 4 4 3 4 2" xfId="26277" xr:uid="{00000000-0005-0000-0000-0000CC4D0000}"/>
    <cellStyle name="40% - Accent4 2 4 4 3 4 3" xfId="35154" xr:uid="{00000000-0005-0000-0000-0000CD4D0000}"/>
    <cellStyle name="40% - Accent4 2 4 4 3 5" xfId="19620" xr:uid="{00000000-0005-0000-0000-0000CE4D0000}"/>
    <cellStyle name="40% - Accent4 2 4 4 3 6" xfId="28497" xr:uid="{00000000-0005-0000-0000-0000CF4D0000}"/>
    <cellStyle name="40% - Accent4 2 4 4 4" xfId="9593" xr:uid="{00000000-0005-0000-0000-0000D04D0000}"/>
    <cellStyle name="40% - Accent4 2 4 4 4 2" xfId="21096" xr:uid="{00000000-0005-0000-0000-0000D14D0000}"/>
    <cellStyle name="40% - Accent4 2 4 4 4 3" xfId="29973" xr:uid="{00000000-0005-0000-0000-0000D24D0000}"/>
    <cellStyle name="40% - Accent4 2 4 4 5" xfId="12041" xr:uid="{00000000-0005-0000-0000-0000D34D0000}"/>
    <cellStyle name="40% - Accent4 2 4 4 5 2" xfId="23315" xr:uid="{00000000-0005-0000-0000-0000D44D0000}"/>
    <cellStyle name="40% - Accent4 2 4 4 5 3" xfId="32192" xr:uid="{00000000-0005-0000-0000-0000D54D0000}"/>
    <cellStyle name="40% - Accent4 2 4 4 6" xfId="14262" xr:uid="{00000000-0005-0000-0000-0000D64D0000}"/>
    <cellStyle name="40% - Accent4 2 4 4 6 2" xfId="25534" xr:uid="{00000000-0005-0000-0000-0000D74D0000}"/>
    <cellStyle name="40% - Accent4 2 4 4 6 3" xfId="34411" xr:uid="{00000000-0005-0000-0000-0000D84D0000}"/>
    <cellStyle name="40% - Accent4 2 4 4 7" xfId="18871" xr:uid="{00000000-0005-0000-0000-0000D94D0000}"/>
    <cellStyle name="40% - Accent4 2 4 4 8" xfId="27752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3" xr:uid="{00000000-0005-0000-0000-0000DE4D0000}"/>
    <cellStyle name="40% - Accent4 2 4 5 2 2 3" xfId="31450" xr:uid="{00000000-0005-0000-0000-0000DF4D0000}"/>
    <cellStyle name="40% - Accent4 2 4 5 2 3" xfId="13518" xr:uid="{00000000-0005-0000-0000-0000E04D0000}"/>
    <cellStyle name="40% - Accent4 2 4 5 2 3 2" xfId="24792" xr:uid="{00000000-0005-0000-0000-0000E14D0000}"/>
    <cellStyle name="40% - Accent4 2 4 5 2 3 3" xfId="33669" xr:uid="{00000000-0005-0000-0000-0000E24D0000}"/>
    <cellStyle name="40% - Accent4 2 4 5 2 4" xfId="15968" xr:uid="{00000000-0005-0000-0000-0000E34D0000}"/>
    <cellStyle name="40% - Accent4 2 4 5 2 4 2" xfId="27011" xr:uid="{00000000-0005-0000-0000-0000E44D0000}"/>
    <cellStyle name="40% - Accent4 2 4 5 2 4 3" xfId="35888" xr:uid="{00000000-0005-0000-0000-0000E54D0000}"/>
    <cellStyle name="40% - Accent4 2 4 5 2 5" xfId="20354" xr:uid="{00000000-0005-0000-0000-0000E64D0000}"/>
    <cellStyle name="40% - Accent4 2 4 5 2 6" xfId="29231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0" xr:uid="{00000000-0005-0000-0000-0000EA4D0000}"/>
    <cellStyle name="40% - Accent4 2 4 5 3 2 3" xfId="30717" xr:uid="{00000000-0005-0000-0000-0000EB4D0000}"/>
    <cellStyle name="40% - Accent4 2 4 5 3 3" xfId="12785" xr:uid="{00000000-0005-0000-0000-0000EC4D0000}"/>
    <cellStyle name="40% - Accent4 2 4 5 3 3 2" xfId="24059" xr:uid="{00000000-0005-0000-0000-0000ED4D0000}"/>
    <cellStyle name="40% - Accent4 2 4 5 3 3 3" xfId="32936" xr:uid="{00000000-0005-0000-0000-0000EE4D0000}"/>
    <cellStyle name="40% - Accent4 2 4 5 3 4" xfId="15235" xr:uid="{00000000-0005-0000-0000-0000EF4D0000}"/>
    <cellStyle name="40% - Accent4 2 4 5 3 4 2" xfId="26278" xr:uid="{00000000-0005-0000-0000-0000F04D0000}"/>
    <cellStyle name="40% - Accent4 2 4 5 3 4 3" xfId="35155" xr:uid="{00000000-0005-0000-0000-0000F14D0000}"/>
    <cellStyle name="40% - Accent4 2 4 5 3 5" xfId="19621" xr:uid="{00000000-0005-0000-0000-0000F24D0000}"/>
    <cellStyle name="40% - Accent4 2 4 5 3 6" xfId="28498" xr:uid="{00000000-0005-0000-0000-0000F34D0000}"/>
    <cellStyle name="40% - Accent4 2 4 5 4" xfId="9594" xr:uid="{00000000-0005-0000-0000-0000F44D0000}"/>
    <cellStyle name="40% - Accent4 2 4 5 4 2" xfId="21097" xr:uid="{00000000-0005-0000-0000-0000F54D0000}"/>
    <cellStyle name="40% - Accent4 2 4 5 4 3" xfId="29974" xr:uid="{00000000-0005-0000-0000-0000F64D0000}"/>
    <cellStyle name="40% - Accent4 2 4 5 5" xfId="12042" xr:uid="{00000000-0005-0000-0000-0000F74D0000}"/>
    <cellStyle name="40% - Accent4 2 4 5 5 2" xfId="23316" xr:uid="{00000000-0005-0000-0000-0000F84D0000}"/>
    <cellStyle name="40% - Accent4 2 4 5 5 3" xfId="32193" xr:uid="{00000000-0005-0000-0000-0000F94D0000}"/>
    <cellStyle name="40% - Accent4 2 4 5 6" xfId="14263" xr:uid="{00000000-0005-0000-0000-0000FA4D0000}"/>
    <cellStyle name="40% - Accent4 2 4 5 6 2" xfId="25535" xr:uid="{00000000-0005-0000-0000-0000FB4D0000}"/>
    <cellStyle name="40% - Accent4 2 4 5 6 3" xfId="34412" xr:uid="{00000000-0005-0000-0000-0000FC4D0000}"/>
    <cellStyle name="40% - Accent4 2 4 5 7" xfId="18872" xr:uid="{00000000-0005-0000-0000-0000FD4D0000}"/>
    <cellStyle name="40% - Accent4 2 4 5 8" xfId="27753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4" xr:uid="{00000000-0005-0000-0000-0000024E0000}"/>
    <cellStyle name="40% - Accent4 2 4 6 2 2 3" xfId="31451" xr:uid="{00000000-0005-0000-0000-0000034E0000}"/>
    <cellStyle name="40% - Accent4 2 4 6 2 3" xfId="13519" xr:uid="{00000000-0005-0000-0000-0000044E0000}"/>
    <cellStyle name="40% - Accent4 2 4 6 2 3 2" xfId="24793" xr:uid="{00000000-0005-0000-0000-0000054E0000}"/>
    <cellStyle name="40% - Accent4 2 4 6 2 3 3" xfId="33670" xr:uid="{00000000-0005-0000-0000-0000064E0000}"/>
    <cellStyle name="40% - Accent4 2 4 6 2 4" xfId="15969" xr:uid="{00000000-0005-0000-0000-0000074E0000}"/>
    <cellStyle name="40% - Accent4 2 4 6 2 4 2" xfId="27012" xr:uid="{00000000-0005-0000-0000-0000084E0000}"/>
    <cellStyle name="40% - Accent4 2 4 6 2 4 3" xfId="35889" xr:uid="{00000000-0005-0000-0000-0000094E0000}"/>
    <cellStyle name="40% - Accent4 2 4 6 2 5" xfId="20355" xr:uid="{00000000-0005-0000-0000-00000A4E0000}"/>
    <cellStyle name="40% - Accent4 2 4 6 2 6" xfId="29232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1" xr:uid="{00000000-0005-0000-0000-00000E4E0000}"/>
    <cellStyle name="40% - Accent4 2 4 6 3 2 3" xfId="30718" xr:uid="{00000000-0005-0000-0000-00000F4E0000}"/>
    <cellStyle name="40% - Accent4 2 4 6 3 3" xfId="12786" xr:uid="{00000000-0005-0000-0000-0000104E0000}"/>
    <cellStyle name="40% - Accent4 2 4 6 3 3 2" xfId="24060" xr:uid="{00000000-0005-0000-0000-0000114E0000}"/>
    <cellStyle name="40% - Accent4 2 4 6 3 3 3" xfId="32937" xr:uid="{00000000-0005-0000-0000-0000124E0000}"/>
    <cellStyle name="40% - Accent4 2 4 6 3 4" xfId="15236" xr:uid="{00000000-0005-0000-0000-0000134E0000}"/>
    <cellStyle name="40% - Accent4 2 4 6 3 4 2" xfId="26279" xr:uid="{00000000-0005-0000-0000-0000144E0000}"/>
    <cellStyle name="40% - Accent4 2 4 6 3 4 3" xfId="35156" xr:uid="{00000000-0005-0000-0000-0000154E0000}"/>
    <cellStyle name="40% - Accent4 2 4 6 3 5" xfId="19622" xr:uid="{00000000-0005-0000-0000-0000164E0000}"/>
    <cellStyle name="40% - Accent4 2 4 6 3 6" xfId="28499" xr:uid="{00000000-0005-0000-0000-0000174E0000}"/>
    <cellStyle name="40% - Accent4 2 4 6 4" xfId="9595" xr:uid="{00000000-0005-0000-0000-0000184E0000}"/>
    <cellStyle name="40% - Accent4 2 4 6 4 2" xfId="21098" xr:uid="{00000000-0005-0000-0000-0000194E0000}"/>
    <cellStyle name="40% - Accent4 2 4 6 4 3" xfId="29975" xr:uid="{00000000-0005-0000-0000-00001A4E0000}"/>
    <cellStyle name="40% - Accent4 2 4 6 5" xfId="12043" xr:uid="{00000000-0005-0000-0000-00001B4E0000}"/>
    <cellStyle name="40% - Accent4 2 4 6 5 2" xfId="23317" xr:uid="{00000000-0005-0000-0000-00001C4E0000}"/>
    <cellStyle name="40% - Accent4 2 4 6 5 3" xfId="32194" xr:uid="{00000000-0005-0000-0000-00001D4E0000}"/>
    <cellStyle name="40% - Accent4 2 4 6 6" xfId="14264" xr:uid="{00000000-0005-0000-0000-00001E4E0000}"/>
    <cellStyle name="40% - Accent4 2 4 6 6 2" xfId="25536" xr:uid="{00000000-0005-0000-0000-00001F4E0000}"/>
    <cellStyle name="40% - Accent4 2 4 6 6 3" xfId="34413" xr:uid="{00000000-0005-0000-0000-0000204E0000}"/>
    <cellStyle name="40% - Accent4 2 4 6 7" xfId="18873" xr:uid="{00000000-0005-0000-0000-0000214E0000}"/>
    <cellStyle name="40% - Accent4 2 4 6 8" xfId="27754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5" xr:uid="{00000000-0005-0000-0000-0000264E0000}"/>
    <cellStyle name="40% - Accent4 2 4 7 2 2 3" xfId="31452" xr:uid="{00000000-0005-0000-0000-0000274E0000}"/>
    <cellStyle name="40% - Accent4 2 4 7 2 3" xfId="13520" xr:uid="{00000000-0005-0000-0000-0000284E0000}"/>
    <cellStyle name="40% - Accent4 2 4 7 2 3 2" xfId="24794" xr:uid="{00000000-0005-0000-0000-0000294E0000}"/>
    <cellStyle name="40% - Accent4 2 4 7 2 3 3" xfId="33671" xr:uid="{00000000-0005-0000-0000-00002A4E0000}"/>
    <cellStyle name="40% - Accent4 2 4 7 2 4" xfId="15970" xr:uid="{00000000-0005-0000-0000-00002B4E0000}"/>
    <cellStyle name="40% - Accent4 2 4 7 2 4 2" xfId="27013" xr:uid="{00000000-0005-0000-0000-00002C4E0000}"/>
    <cellStyle name="40% - Accent4 2 4 7 2 4 3" xfId="35890" xr:uid="{00000000-0005-0000-0000-00002D4E0000}"/>
    <cellStyle name="40% - Accent4 2 4 7 2 5" xfId="20356" xr:uid="{00000000-0005-0000-0000-00002E4E0000}"/>
    <cellStyle name="40% - Accent4 2 4 7 2 6" xfId="29233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2" xr:uid="{00000000-0005-0000-0000-0000324E0000}"/>
    <cellStyle name="40% - Accent4 2 4 7 3 2 3" xfId="30719" xr:uid="{00000000-0005-0000-0000-0000334E0000}"/>
    <cellStyle name="40% - Accent4 2 4 7 3 3" xfId="12787" xr:uid="{00000000-0005-0000-0000-0000344E0000}"/>
    <cellStyle name="40% - Accent4 2 4 7 3 3 2" xfId="24061" xr:uid="{00000000-0005-0000-0000-0000354E0000}"/>
    <cellStyle name="40% - Accent4 2 4 7 3 3 3" xfId="32938" xr:uid="{00000000-0005-0000-0000-0000364E0000}"/>
    <cellStyle name="40% - Accent4 2 4 7 3 4" xfId="15237" xr:uid="{00000000-0005-0000-0000-0000374E0000}"/>
    <cellStyle name="40% - Accent4 2 4 7 3 4 2" xfId="26280" xr:uid="{00000000-0005-0000-0000-0000384E0000}"/>
    <cellStyle name="40% - Accent4 2 4 7 3 4 3" xfId="35157" xr:uid="{00000000-0005-0000-0000-0000394E0000}"/>
    <cellStyle name="40% - Accent4 2 4 7 3 5" xfId="19623" xr:uid="{00000000-0005-0000-0000-00003A4E0000}"/>
    <cellStyle name="40% - Accent4 2 4 7 3 6" xfId="28500" xr:uid="{00000000-0005-0000-0000-00003B4E0000}"/>
    <cellStyle name="40% - Accent4 2 4 7 4" xfId="9596" xr:uid="{00000000-0005-0000-0000-00003C4E0000}"/>
    <cellStyle name="40% - Accent4 2 4 7 4 2" xfId="21099" xr:uid="{00000000-0005-0000-0000-00003D4E0000}"/>
    <cellStyle name="40% - Accent4 2 4 7 4 3" xfId="29976" xr:uid="{00000000-0005-0000-0000-00003E4E0000}"/>
    <cellStyle name="40% - Accent4 2 4 7 5" xfId="12044" xr:uid="{00000000-0005-0000-0000-00003F4E0000}"/>
    <cellStyle name="40% - Accent4 2 4 7 5 2" xfId="23318" xr:uid="{00000000-0005-0000-0000-0000404E0000}"/>
    <cellStyle name="40% - Accent4 2 4 7 5 3" xfId="32195" xr:uid="{00000000-0005-0000-0000-0000414E0000}"/>
    <cellStyle name="40% - Accent4 2 4 7 6" xfId="14265" xr:uid="{00000000-0005-0000-0000-0000424E0000}"/>
    <cellStyle name="40% - Accent4 2 4 7 6 2" xfId="25537" xr:uid="{00000000-0005-0000-0000-0000434E0000}"/>
    <cellStyle name="40% - Accent4 2 4 7 6 3" xfId="34414" xr:uid="{00000000-0005-0000-0000-0000444E0000}"/>
    <cellStyle name="40% - Accent4 2 4 7 7" xfId="18874" xr:uid="{00000000-0005-0000-0000-0000454E0000}"/>
    <cellStyle name="40% - Accent4 2 4 7 8" xfId="27755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6" xr:uid="{00000000-0005-0000-0000-00004A4E0000}"/>
    <cellStyle name="40% - Accent4 2 4 8 2 2 3" xfId="31453" xr:uid="{00000000-0005-0000-0000-00004B4E0000}"/>
    <cellStyle name="40% - Accent4 2 4 8 2 3" xfId="13521" xr:uid="{00000000-0005-0000-0000-00004C4E0000}"/>
    <cellStyle name="40% - Accent4 2 4 8 2 3 2" xfId="24795" xr:uid="{00000000-0005-0000-0000-00004D4E0000}"/>
    <cellStyle name="40% - Accent4 2 4 8 2 3 3" xfId="33672" xr:uid="{00000000-0005-0000-0000-00004E4E0000}"/>
    <cellStyle name="40% - Accent4 2 4 8 2 4" xfId="15971" xr:uid="{00000000-0005-0000-0000-00004F4E0000}"/>
    <cellStyle name="40% - Accent4 2 4 8 2 4 2" xfId="27014" xr:uid="{00000000-0005-0000-0000-0000504E0000}"/>
    <cellStyle name="40% - Accent4 2 4 8 2 4 3" xfId="35891" xr:uid="{00000000-0005-0000-0000-0000514E0000}"/>
    <cellStyle name="40% - Accent4 2 4 8 2 5" xfId="20357" xr:uid="{00000000-0005-0000-0000-0000524E0000}"/>
    <cellStyle name="40% - Accent4 2 4 8 2 6" xfId="29234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3" xr:uid="{00000000-0005-0000-0000-0000564E0000}"/>
    <cellStyle name="40% - Accent4 2 4 8 3 2 3" xfId="30720" xr:uid="{00000000-0005-0000-0000-0000574E0000}"/>
    <cellStyle name="40% - Accent4 2 4 8 3 3" xfId="12788" xr:uid="{00000000-0005-0000-0000-0000584E0000}"/>
    <cellStyle name="40% - Accent4 2 4 8 3 3 2" xfId="24062" xr:uid="{00000000-0005-0000-0000-0000594E0000}"/>
    <cellStyle name="40% - Accent4 2 4 8 3 3 3" xfId="32939" xr:uid="{00000000-0005-0000-0000-00005A4E0000}"/>
    <cellStyle name="40% - Accent4 2 4 8 3 4" xfId="15238" xr:uid="{00000000-0005-0000-0000-00005B4E0000}"/>
    <cellStyle name="40% - Accent4 2 4 8 3 4 2" xfId="26281" xr:uid="{00000000-0005-0000-0000-00005C4E0000}"/>
    <cellStyle name="40% - Accent4 2 4 8 3 4 3" xfId="35158" xr:uid="{00000000-0005-0000-0000-00005D4E0000}"/>
    <cellStyle name="40% - Accent4 2 4 8 3 5" xfId="19624" xr:uid="{00000000-0005-0000-0000-00005E4E0000}"/>
    <cellStyle name="40% - Accent4 2 4 8 3 6" xfId="28501" xr:uid="{00000000-0005-0000-0000-00005F4E0000}"/>
    <cellStyle name="40% - Accent4 2 4 8 4" xfId="9597" xr:uid="{00000000-0005-0000-0000-0000604E0000}"/>
    <cellStyle name="40% - Accent4 2 4 8 4 2" xfId="21100" xr:uid="{00000000-0005-0000-0000-0000614E0000}"/>
    <cellStyle name="40% - Accent4 2 4 8 4 3" xfId="29977" xr:uid="{00000000-0005-0000-0000-0000624E0000}"/>
    <cellStyle name="40% - Accent4 2 4 8 5" xfId="12045" xr:uid="{00000000-0005-0000-0000-0000634E0000}"/>
    <cellStyle name="40% - Accent4 2 4 8 5 2" xfId="23319" xr:uid="{00000000-0005-0000-0000-0000644E0000}"/>
    <cellStyle name="40% - Accent4 2 4 8 5 3" xfId="32196" xr:uid="{00000000-0005-0000-0000-0000654E0000}"/>
    <cellStyle name="40% - Accent4 2 4 8 6" xfId="14266" xr:uid="{00000000-0005-0000-0000-0000664E0000}"/>
    <cellStyle name="40% - Accent4 2 4 8 6 2" xfId="25538" xr:uid="{00000000-0005-0000-0000-0000674E0000}"/>
    <cellStyle name="40% - Accent4 2 4 8 6 3" xfId="34415" xr:uid="{00000000-0005-0000-0000-0000684E0000}"/>
    <cellStyle name="40% - Accent4 2 4 8 7" xfId="18875" xr:uid="{00000000-0005-0000-0000-0000694E0000}"/>
    <cellStyle name="40% - Accent4 2 4 8 8" xfId="27756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7" xr:uid="{00000000-0005-0000-0000-00006E4E0000}"/>
    <cellStyle name="40% - Accent4 2 4 9 2 2 3" xfId="31454" xr:uid="{00000000-0005-0000-0000-00006F4E0000}"/>
    <cellStyle name="40% - Accent4 2 4 9 2 3" xfId="13522" xr:uid="{00000000-0005-0000-0000-0000704E0000}"/>
    <cellStyle name="40% - Accent4 2 4 9 2 3 2" xfId="24796" xr:uid="{00000000-0005-0000-0000-0000714E0000}"/>
    <cellStyle name="40% - Accent4 2 4 9 2 3 3" xfId="33673" xr:uid="{00000000-0005-0000-0000-0000724E0000}"/>
    <cellStyle name="40% - Accent4 2 4 9 2 4" xfId="15972" xr:uid="{00000000-0005-0000-0000-0000734E0000}"/>
    <cellStyle name="40% - Accent4 2 4 9 2 4 2" xfId="27015" xr:uid="{00000000-0005-0000-0000-0000744E0000}"/>
    <cellStyle name="40% - Accent4 2 4 9 2 4 3" xfId="35892" xr:uid="{00000000-0005-0000-0000-0000754E0000}"/>
    <cellStyle name="40% - Accent4 2 4 9 2 5" xfId="20358" xr:uid="{00000000-0005-0000-0000-0000764E0000}"/>
    <cellStyle name="40% - Accent4 2 4 9 2 6" xfId="29235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4" xr:uid="{00000000-0005-0000-0000-00007A4E0000}"/>
    <cellStyle name="40% - Accent4 2 4 9 3 2 3" xfId="30721" xr:uid="{00000000-0005-0000-0000-00007B4E0000}"/>
    <cellStyle name="40% - Accent4 2 4 9 3 3" xfId="12789" xr:uid="{00000000-0005-0000-0000-00007C4E0000}"/>
    <cellStyle name="40% - Accent4 2 4 9 3 3 2" xfId="24063" xr:uid="{00000000-0005-0000-0000-00007D4E0000}"/>
    <cellStyle name="40% - Accent4 2 4 9 3 3 3" xfId="32940" xr:uid="{00000000-0005-0000-0000-00007E4E0000}"/>
    <cellStyle name="40% - Accent4 2 4 9 3 4" xfId="15239" xr:uid="{00000000-0005-0000-0000-00007F4E0000}"/>
    <cellStyle name="40% - Accent4 2 4 9 3 4 2" xfId="26282" xr:uid="{00000000-0005-0000-0000-0000804E0000}"/>
    <cellStyle name="40% - Accent4 2 4 9 3 4 3" xfId="35159" xr:uid="{00000000-0005-0000-0000-0000814E0000}"/>
    <cellStyle name="40% - Accent4 2 4 9 3 5" xfId="19625" xr:uid="{00000000-0005-0000-0000-0000824E0000}"/>
    <cellStyle name="40% - Accent4 2 4 9 3 6" xfId="28502" xr:uid="{00000000-0005-0000-0000-0000834E0000}"/>
    <cellStyle name="40% - Accent4 2 4 9 4" xfId="9598" xr:uid="{00000000-0005-0000-0000-0000844E0000}"/>
    <cellStyle name="40% - Accent4 2 4 9 4 2" xfId="21101" xr:uid="{00000000-0005-0000-0000-0000854E0000}"/>
    <cellStyle name="40% - Accent4 2 4 9 4 3" xfId="29978" xr:uid="{00000000-0005-0000-0000-0000864E0000}"/>
    <cellStyle name="40% - Accent4 2 4 9 5" xfId="12046" xr:uid="{00000000-0005-0000-0000-0000874E0000}"/>
    <cellStyle name="40% - Accent4 2 4 9 5 2" xfId="23320" xr:uid="{00000000-0005-0000-0000-0000884E0000}"/>
    <cellStyle name="40% - Accent4 2 4 9 5 3" xfId="32197" xr:uid="{00000000-0005-0000-0000-0000894E0000}"/>
    <cellStyle name="40% - Accent4 2 4 9 6" xfId="14267" xr:uid="{00000000-0005-0000-0000-00008A4E0000}"/>
    <cellStyle name="40% - Accent4 2 4 9 6 2" xfId="25539" xr:uid="{00000000-0005-0000-0000-00008B4E0000}"/>
    <cellStyle name="40% - Accent4 2 4 9 6 3" xfId="34416" xr:uid="{00000000-0005-0000-0000-00008C4E0000}"/>
    <cellStyle name="40% - Accent4 2 4 9 7" xfId="18876" xr:uid="{00000000-0005-0000-0000-00008D4E0000}"/>
    <cellStyle name="40% - Accent4 2 4 9 8" xfId="27757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8" xr:uid="{00000000-0005-0000-0000-0000924E0000}"/>
    <cellStyle name="40% - Accent4 2 5 10 2 3" xfId="31455" xr:uid="{00000000-0005-0000-0000-0000934E0000}"/>
    <cellStyle name="40% - Accent4 2 5 10 3" xfId="13523" xr:uid="{00000000-0005-0000-0000-0000944E0000}"/>
    <cellStyle name="40% - Accent4 2 5 10 3 2" xfId="24797" xr:uid="{00000000-0005-0000-0000-0000954E0000}"/>
    <cellStyle name="40% - Accent4 2 5 10 3 3" xfId="33674" xr:uid="{00000000-0005-0000-0000-0000964E0000}"/>
    <cellStyle name="40% - Accent4 2 5 10 4" xfId="15973" xr:uid="{00000000-0005-0000-0000-0000974E0000}"/>
    <cellStyle name="40% - Accent4 2 5 10 4 2" xfId="27016" xr:uid="{00000000-0005-0000-0000-0000984E0000}"/>
    <cellStyle name="40% - Accent4 2 5 10 4 3" xfId="35893" xr:uid="{00000000-0005-0000-0000-0000994E0000}"/>
    <cellStyle name="40% - Accent4 2 5 10 5" xfId="20359" xr:uid="{00000000-0005-0000-0000-00009A4E0000}"/>
    <cellStyle name="40% - Accent4 2 5 10 6" xfId="29236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5" xr:uid="{00000000-0005-0000-0000-00009E4E0000}"/>
    <cellStyle name="40% - Accent4 2 5 11 2 3" xfId="30722" xr:uid="{00000000-0005-0000-0000-00009F4E0000}"/>
    <cellStyle name="40% - Accent4 2 5 11 3" xfId="12790" xr:uid="{00000000-0005-0000-0000-0000A04E0000}"/>
    <cellStyle name="40% - Accent4 2 5 11 3 2" xfId="24064" xr:uid="{00000000-0005-0000-0000-0000A14E0000}"/>
    <cellStyle name="40% - Accent4 2 5 11 3 3" xfId="32941" xr:uid="{00000000-0005-0000-0000-0000A24E0000}"/>
    <cellStyle name="40% - Accent4 2 5 11 4" xfId="15240" xr:uid="{00000000-0005-0000-0000-0000A34E0000}"/>
    <cellStyle name="40% - Accent4 2 5 11 4 2" xfId="26283" xr:uid="{00000000-0005-0000-0000-0000A44E0000}"/>
    <cellStyle name="40% - Accent4 2 5 11 4 3" xfId="35160" xr:uid="{00000000-0005-0000-0000-0000A54E0000}"/>
    <cellStyle name="40% - Accent4 2 5 11 5" xfId="19626" xr:uid="{00000000-0005-0000-0000-0000A64E0000}"/>
    <cellStyle name="40% - Accent4 2 5 11 6" xfId="28503" xr:uid="{00000000-0005-0000-0000-0000A74E0000}"/>
    <cellStyle name="40% - Accent4 2 5 12" xfId="9599" xr:uid="{00000000-0005-0000-0000-0000A84E0000}"/>
    <cellStyle name="40% - Accent4 2 5 12 2" xfId="21102" xr:uid="{00000000-0005-0000-0000-0000A94E0000}"/>
    <cellStyle name="40% - Accent4 2 5 12 3" xfId="29979" xr:uid="{00000000-0005-0000-0000-0000AA4E0000}"/>
    <cellStyle name="40% - Accent4 2 5 13" xfId="12047" xr:uid="{00000000-0005-0000-0000-0000AB4E0000}"/>
    <cellStyle name="40% - Accent4 2 5 13 2" xfId="23321" xr:uid="{00000000-0005-0000-0000-0000AC4E0000}"/>
    <cellStyle name="40% - Accent4 2 5 13 3" xfId="32198" xr:uid="{00000000-0005-0000-0000-0000AD4E0000}"/>
    <cellStyle name="40% - Accent4 2 5 14" xfId="14268" xr:uid="{00000000-0005-0000-0000-0000AE4E0000}"/>
    <cellStyle name="40% - Accent4 2 5 14 2" xfId="25540" xr:uid="{00000000-0005-0000-0000-0000AF4E0000}"/>
    <cellStyle name="40% - Accent4 2 5 14 3" xfId="34417" xr:uid="{00000000-0005-0000-0000-0000B04E0000}"/>
    <cellStyle name="40% - Accent4 2 5 15" xfId="18877" xr:uid="{00000000-0005-0000-0000-0000B14E0000}"/>
    <cellStyle name="40% - Accent4 2 5 16" xfId="27758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79" xr:uid="{00000000-0005-0000-0000-0000B64E0000}"/>
    <cellStyle name="40% - Accent4 2 5 2 2 2 3" xfId="31456" xr:uid="{00000000-0005-0000-0000-0000B74E0000}"/>
    <cellStyle name="40% - Accent4 2 5 2 2 3" xfId="13524" xr:uid="{00000000-0005-0000-0000-0000B84E0000}"/>
    <cellStyle name="40% - Accent4 2 5 2 2 3 2" xfId="24798" xr:uid="{00000000-0005-0000-0000-0000B94E0000}"/>
    <cellStyle name="40% - Accent4 2 5 2 2 3 3" xfId="33675" xr:uid="{00000000-0005-0000-0000-0000BA4E0000}"/>
    <cellStyle name="40% - Accent4 2 5 2 2 4" xfId="15974" xr:uid="{00000000-0005-0000-0000-0000BB4E0000}"/>
    <cellStyle name="40% - Accent4 2 5 2 2 4 2" xfId="27017" xr:uid="{00000000-0005-0000-0000-0000BC4E0000}"/>
    <cellStyle name="40% - Accent4 2 5 2 2 4 3" xfId="35894" xr:uid="{00000000-0005-0000-0000-0000BD4E0000}"/>
    <cellStyle name="40% - Accent4 2 5 2 2 5" xfId="20360" xr:uid="{00000000-0005-0000-0000-0000BE4E0000}"/>
    <cellStyle name="40% - Accent4 2 5 2 2 6" xfId="29237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6" xr:uid="{00000000-0005-0000-0000-0000C24E0000}"/>
    <cellStyle name="40% - Accent4 2 5 2 3 2 3" xfId="30723" xr:uid="{00000000-0005-0000-0000-0000C34E0000}"/>
    <cellStyle name="40% - Accent4 2 5 2 3 3" xfId="12791" xr:uid="{00000000-0005-0000-0000-0000C44E0000}"/>
    <cellStyle name="40% - Accent4 2 5 2 3 3 2" xfId="24065" xr:uid="{00000000-0005-0000-0000-0000C54E0000}"/>
    <cellStyle name="40% - Accent4 2 5 2 3 3 3" xfId="32942" xr:uid="{00000000-0005-0000-0000-0000C64E0000}"/>
    <cellStyle name="40% - Accent4 2 5 2 3 4" xfId="15241" xr:uid="{00000000-0005-0000-0000-0000C74E0000}"/>
    <cellStyle name="40% - Accent4 2 5 2 3 4 2" xfId="26284" xr:uid="{00000000-0005-0000-0000-0000C84E0000}"/>
    <cellStyle name="40% - Accent4 2 5 2 3 4 3" xfId="35161" xr:uid="{00000000-0005-0000-0000-0000C94E0000}"/>
    <cellStyle name="40% - Accent4 2 5 2 3 5" xfId="19627" xr:uid="{00000000-0005-0000-0000-0000CA4E0000}"/>
    <cellStyle name="40% - Accent4 2 5 2 3 6" xfId="28504" xr:uid="{00000000-0005-0000-0000-0000CB4E0000}"/>
    <cellStyle name="40% - Accent4 2 5 2 4" xfId="9600" xr:uid="{00000000-0005-0000-0000-0000CC4E0000}"/>
    <cellStyle name="40% - Accent4 2 5 2 4 2" xfId="21103" xr:uid="{00000000-0005-0000-0000-0000CD4E0000}"/>
    <cellStyle name="40% - Accent4 2 5 2 4 3" xfId="29980" xr:uid="{00000000-0005-0000-0000-0000CE4E0000}"/>
    <cellStyle name="40% - Accent4 2 5 2 5" xfId="12048" xr:uid="{00000000-0005-0000-0000-0000CF4E0000}"/>
    <cellStyle name="40% - Accent4 2 5 2 5 2" xfId="23322" xr:uid="{00000000-0005-0000-0000-0000D04E0000}"/>
    <cellStyle name="40% - Accent4 2 5 2 5 3" xfId="32199" xr:uid="{00000000-0005-0000-0000-0000D14E0000}"/>
    <cellStyle name="40% - Accent4 2 5 2 6" xfId="14269" xr:uid="{00000000-0005-0000-0000-0000D24E0000}"/>
    <cellStyle name="40% - Accent4 2 5 2 6 2" xfId="25541" xr:uid="{00000000-0005-0000-0000-0000D34E0000}"/>
    <cellStyle name="40% - Accent4 2 5 2 6 3" xfId="34418" xr:uid="{00000000-0005-0000-0000-0000D44E0000}"/>
    <cellStyle name="40% - Accent4 2 5 2 7" xfId="18878" xr:uid="{00000000-0005-0000-0000-0000D54E0000}"/>
    <cellStyle name="40% - Accent4 2 5 2 8" xfId="27759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0" xr:uid="{00000000-0005-0000-0000-0000DA4E0000}"/>
    <cellStyle name="40% - Accent4 2 5 3 2 2 3" xfId="31457" xr:uid="{00000000-0005-0000-0000-0000DB4E0000}"/>
    <cellStyle name="40% - Accent4 2 5 3 2 3" xfId="13525" xr:uid="{00000000-0005-0000-0000-0000DC4E0000}"/>
    <cellStyle name="40% - Accent4 2 5 3 2 3 2" xfId="24799" xr:uid="{00000000-0005-0000-0000-0000DD4E0000}"/>
    <cellStyle name="40% - Accent4 2 5 3 2 3 3" xfId="33676" xr:uid="{00000000-0005-0000-0000-0000DE4E0000}"/>
    <cellStyle name="40% - Accent4 2 5 3 2 4" xfId="15975" xr:uid="{00000000-0005-0000-0000-0000DF4E0000}"/>
    <cellStyle name="40% - Accent4 2 5 3 2 4 2" xfId="27018" xr:uid="{00000000-0005-0000-0000-0000E04E0000}"/>
    <cellStyle name="40% - Accent4 2 5 3 2 4 3" xfId="35895" xr:uid="{00000000-0005-0000-0000-0000E14E0000}"/>
    <cellStyle name="40% - Accent4 2 5 3 2 5" xfId="20361" xr:uid="{00000000-0005-0000-0000-0000E24E0000}"/>
    <cellStyle name="40% - Accent4 2 5 3 2 6" xfId="29238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7" xr:uid="{00000000-0005-0000-0000-0000E64E0000}"/>
    <cellStyle name="40% - Accent4 2 5 3 3 2 3" xfId="30724" xr:uid="{00000000-0005-0000-0000-0000E74E0000}"/>
    <cellStyle name="40% - Accent4 2 5 3 3 3" xfId="12792" xr:uid="{00000000-0005-0000-0000-0000E84E0000}"/>
    <cellStyle name="40% - Accent4 2 5 3 3 3 2" xfId="24066" xr:uid="{00000000-0005-0000-0000-0000E94E0000}"/>
    <cellStyle name="40% - Accent4 2 5 3 3 3 3" xfId="32943" xr:uid="{00000000-0005-0000-0000-0000EA4E0000}"/>
    <cellStyle name="40% - Accent4 2 5 3 3 4" xfId="15242" xr:uid="{00000000-0005-0000-0000-0000EB4E0000}"/>
    <cellStyle name="40% - Accent4 2 5 3 3 4 2" xfId="26285" xr:uid="{00000000-0005-0000-0000-0000EC4E0000}"/>
    <cellStyle name="40% - Accent4 2 5 3 3 4 3" xfId="35162" xr:uid="{00000000-0005-0000-0000-0000ED4E0000}"/>
    <cellStyle name="40% - Accent4 2 5 3 3 5" xfId="19628" xr:uid="{00000000-0005-0000-0000-0000EE4E0000}"/>
    <cellStyle name="40% - Accent4 2 5 3 3 6" xfId="28505" xr:uid="{00000000-0005-0000-0000-0000EF4E0000}"/>
    <cellStyle name="40% - Accent4 2 5 3 4" xfId="9601" xr:uid="{00000000-0005-0000-0000-0000F04E0000}"/>
    <cellStyle name="40% - Accent4 2 5 3 4 2" xfId="21104" xr:uid="{00000000-0005-0000-0000-0000F14E0000}"/>
    <cellStyle name="40% - Accent4 2 5 3 4 3" xfId="29981" xr:uid="{00000000-0005-0000-0000-0000F24E0000}"/>
    <cellStyle name="40% - Accent4 2 5 3 5" xfId="12049" xr:uid="{00000000-0005-0000-0000-0000F34E0000}"/>
    <cellStyle name="40% - Accent4 2 5 3 5 2" xfId="23323" xr:uid="{00000000-0005-0000-0000-0000F44E0000}"/>
    <cellStyle name="40% - Accent4 2 5 3 5 3" xfId="32200" xr:uid="{00000000-0005-0000-0000-0000F54E0000}"/>
    <cellStyle name="40% - Accent4 2 5 3 6" xfId="14270" xr:uid="{00000000-0005-0000-0000-0000F64E0000}"/>
    <cellStyle name="40% - Accent4 2 5 3 6 2" xfId="25542" xr:uid="{00000000-0005-0000-0000-0000F74E0000}"/>
    <cellStyle name="40% - Accent4 2 5 3 6 3" xfId="34419" xr:uid="{00000000-0005-0000-0000-0000F84E0000}"/>
    <cellStyle name="40% - Accent4 2 5 3 7" xfId="18879" xr:uid="{00000000-0005-0000-0000-0000F94E0000}"/>
    <cellStyle name="40% - Accent4 2 5 3 8" xfId="27760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1" xr:uid="{00000000-0005-0000-0000-0000FE4E0000}"/>
    <cellStyle name="40% - Accent4 2 5 4 2 2 3" xfId="31458" xr:uid="{00000000-0005-0000-0000-0000FF4E0000}"/>
    <cellStyle name="40% - Accent4 2 5 4 2 3" xfId="13526" xr:uid="{00000000-0005-0000-0000-0000004F0000}"/>
    <cellStyle name="40% - Accent4 2 5 4 2 3 2" xfId="24800" xr:uid="{00000000-0005-0000-0000-0000014F0000}"/>
    <cellStyle name="40% - Accent4 2 5 4 2 3 3" xfId="33677" xr:uid="{00000000-0005-0000-0000-0000024F0000}"/>
    <cellStyle name="40% - Accent4 2 5 4 2 4" xfId="15976" xr:uid="{00000000-0005-0000-0000-0000034F0000}"/>
    <cellStyle name="40% - Accent4 2 5 4 2 4 2" xfId="27019" xr:uid="{00000000-0005-0000-0000-0000044F0000}"/>
    <cellStyle name="40% - Accent4 2 5 4 2 4 3" xfId="35896" xr:uid="{00000000-0005-0000-0000-0000054F0000}"/>
    <cellStyle name="40% - Accent4 2 5 4 2 5" xfId="20362" xr:uid="{00000000-0005-0000-0000-0000064F0000}"/>
    <cellStyle name="40% - Accent4 2 5 4 2 6" xfId="29239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8" xr:uid="{00000000-0005-0000-0000-00000A4F0000}"/>
    <cellStyle name="40% - Accent4 2 5 4 3 2 3" xfId="30725" xr:uid="{00000000-0005-0000-0000-00000B4F0000}"/>
    <cellStyle name="40% - Accent4 2 5 4 3 3" xfId="12793" xr:uid="{00000000-0005-0000-0000-00000C4F0000}"/>
    <cellStyle name="40% - Accent4 2 5 4 3 3 2" xfId="24067" xr:uid="{00000000-0005-0000-0000-00000D4F0000}"/>
    <cellStyle name="40% - Accent4 2 5 4 3 3 3" xfId="32944" xr:uid="{00000000-0005-0000-0000-00000E4F0000}"/>
    <cellStyle name="40% - Accent4 2 5 4 3 4" xfId="15243" xr:uid="{00000000-0005-0000-0000-00000F4F0000}"/>
    <cellStyle name="40% - Accent4 2 5 4 3 4 2" xfId="26286" xr:uid="{00000000-0005-0000-0000-0000104F0000}"/>
    <cellStyle name="40% - Accent4 2 5 4 3 4 3" xfId="35163" xr:uid="{00000000-0005-0000-0000-0000114F0000}"/>
    <cellStyle name="40% - Accent4 2 5 4 3 5" xfId="19629" xr:uid="{00000000-0005-0000-0000-0000124F0000}"/>
    <cellStyle name="40% - Accent4 2 5 4 3 6" xfId="28506" xr:uid="{00000000-0005-0000-0000-0000134F0000}"/>
    <cellStyle name="40% - Accent4 2 5 4 4" xfId="9602" xr:uid="{00000000-0005-0000-0000-0000144F0000}"/>
    <cellStyle name="40% - Accent4 2 5 4 4 2" xfId="21105" xr:uid="{00000000-0005-0000-0000-0000154F0000}"/>
    <cellStyle name="40% - Accent4 2 5 4 4 3" xfId="29982" xr:uid="{00000000-0005-0000-0000-0000164F0000}"/>
    <cellStyle name="40% - Accent4 2 5 4 5" xfId="12050" xr:uid="{00000000-0005-0000-0000-0000174F0000}"/>
    <cellStyle name="40% - Accent4 2 5 4 5 2" xfId="23324" xr:uid="{00000000-0005-0000-0000-0000184F0000}"/>
    <cellStyle name="40% - Accent4 2 5 4 5 3" xfId="32201" xr:uid="{00000000-0005-0000-0000-0000194F0000}"/>
    <cellStyle name="40% - Accent4 2 5 4 6" xfId="14271" xr:uid="{00000000-0005-0000-0000-00001A4F0000}"/>
    <cellStyle name="40% - Accent4 2 5 4 6 2" xfId="25543" xr:uid="{00000000-0005-0000-0000-00001B4F0000}"/>
    <cellStyle name="40% - Accent4 2 5 4 6 3" xfId="34420" xr:uid="{00000000-0005-0000-0000-00001C4F0000}"/>
    <cellStyle name="40% - Accent4 2 5 4 7" xfId="18880" xr:uid="{00000000-0005-0000-0000-00001D4F0000}"/>
    <cellStyle name="40% - Accent4 2 5 4 8" xfId="27761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2" xr:uid="{00000000-0005-0000-0000-0000224F0000}"/>
    <cellStyle name="40% - Accent4 2 5 5 2 2 3" xfId="31459" xr:uid="{00000000-0005-0000-0000-0000234F0000}"/>
    <cellStyle name="40% - Accent4 2 5 5 2 3" xfId="13527" xr:uid="{00000000-0005-0000-0000-0000244F0000}"/>
    <cellStyle name="40% - Accent4 2 5 5 2 3 2" xfId="24801" xr:uid="{00000000-0005-0000-0000-0000254F0000}"/>
    <cellStyle name="40% - Accent4 2 5 5 2 3 3" xfId="33678" xr:uid="{00000000-0005-0000-0000-0000264F0000}"/>
    <cellStyle name="40% - Accent4 2 5 5 2 4" xfId="15977" xr:uid="{00000000-0005-0000-0000-0000274F0000}"/>
    <cellStyle name="40% - Accent4 2 5 5 2 4 2" xfId="27020" xr:uid="{00000000-0005-0000-0000-0000284F0000}"/>
    <cellStyle name="40% - Accent4 2 5 5 2 4 3" xfId="35897" xr:uid="{00000000-0005-0000-0000-0000294F0000}"/>
    <cellStyle name="40% - Accent4 2 5 5 2 5" xfId="20363" xr:uid="{00000000-0005-0000-0000-00002A4F0000}"/>
    <cellStyle name="40% - Accent4 2 5 5 2 6" xfId="29240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49" xr:uid="{00000000-0005-0000-0000-00002E4F0000}"/>
    <cellStyle name="40% - Accent4 2 5 5 3 2 3" xfId="30726" xr:uid="{00000000-0005-0000-0000-00002F4F0000}"/>
    <cellStyle name="40% - Accent4 2 5 5 3 3" xfId="12794" xr:uid="{00000000-0005-0000-0000-0000304F0000}"/>
    <cellStyle name="40% - Accent4 2 5 5 3 3 2" xfId="24068" xr:uid="{00000000-0005-0000-0000-0000314F0000}"/>
    <cellStyle name="40% - Accent4 2 5 5 3 3 3" xfId="32945" xr:uid="{00000000-0005-0000-0000-0000324F0000}"/>
    <cellStyle name="40% - Accent4 2 5 5 3 4" xfId="15244" xr:uid="{00000000-0005-0000-0000-0000334F0000}"/>
    <cellStyle name="40% - Accent4 2 5 5 3 4 2" xfId="26287" xr:uid="{00000000-0005-0000-0000-0000344F0000}"/>
    <cellStyle name="40% - Accent4 2 5 5 3 4 3" xfId="35164" xr:uid="{00000000-0005-0000-0000-0000354F0000}"/>
    <cellStyle name="40% - Accent4 2 5 5 3 5" xfId="19630" xr:uid="{00000000-0005-0000-0000-0000364F0000}"/>
    <cellStyle name="40% - Accent4 2 5 5 3 6" xfId="28507" xr:uid="{00000000-0005-0000-0000-0000374F0000}"/>
    <cellStyle name="40% - Accent4 2 5 5 4" xfId="9603" xr:uid="{00000000-0005-0000-0000-0000384F0000}"/>
    <cellStyle name="40% - Accent4 2 5 5 4 2" xfId="21106" xr:uid="{00000000-0005-0000-0000-0000394F0000}"/>
    <cellStyle name="40% - Accent4 2 5 5 4 3" xfId="29983" xr:uid="{00000000-0005-0000-0000-00003A4F0000}"/>
    <cellStyle name="40% - Accent4 2 5 5 5" xfId="12051" xr:uid="{00000000-0005-0000-0000-00003B4F0000}"/>
    <cellStyle name="40% - Accent4 2 5 5 5 2" xfId="23325" xr:uid="{00000000-0005-0000-0000-00003C4F0000}"/>
    <cellStyle name="40% - Accent4 2 5 5 5 3" xfId="32202" xr:uid="{00000000-0005-0000-0000-00003D4F0000}"/>
    <cellStyle name="40% - Accent4 2 5 5 6" xfId="14272" xr:uid="{00000000-0005-0000-0000-00003E4F0000}"/>
    <cellStyle name="40% - Accent4 2 5 5 6 2" xfId="25544" xr:uid="{00000000-0005-0000-0000-00003F4F0000}"/>
    <cellStyle name="40% - Accent4 2 5 5 6 3" xfId="34421" xr:uid="{00000000-0005-0000-0000-0000404F0000}"/>
    <cellStyle name="40% - Accent4 2 5 5 7" xfId="18881" xr:uid="{00000000-0005-0000-0000-0000414F0000}"/>
    <cellStyle name="40% - Accent4 2 5 5 8" xfId="27762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3" xr:uid="{00000000-0005-0000-0000-0000464F0000}"/>
    <cellStyle name="40% - Accent4 2 5 6 2 2 3" xfId="31460" xr:uid="{00000000-0005-0000-0000-0000474F0000}"/>
    <cellStyle name="40% - Accent4 2 5 6 2 3" xfId="13528" xr:uid="{00000000-0005-0000-0000-0000484F0000}"/>
    <cellStyle name="40% - Accent4 2 5 6 2 3 2" xfId="24802" xr:uid="{00000000-0005-0000-0000-0000494F0000}"/>
    <cellStyle name="40% - Accent4 2 5 6 2 3 3" xfId="33679" xr:uid="{00000000-0005-0000-0000-00004A4F0000}"/>
    <cellStyle name="40% - Accent4 2 5 6 2 4" xfId="15978" xr:uid="{00000000-0005-0000-0000-00004B4F0000}"/>
    <cellStyle name="40% - Accent4 2 5 6 2 4 2" xfId="27021" xr:uid="{00000000-0005-0000-0000-00004C4F0000}"/>
    <cellStyle name="40% - Accent4 2 5 6 2 4 3" xfId="35898" xr:uid="{00000000-0005-0000-0000-00004D4F0000}"/>
    <cellStyle name="40% - Accent4 2 5 6 2 5" xfId="20364" xr:uid="{00000000-0005-0000-0000-00004E4F0000}"/>
    <cellStyle name="40% - Accent4 2 5 6 2 6" xfId="29241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0" xr:uid="{00000000-0005-0000-0000-0000524F0000}"/>
    <cellStyle name="40% - Accent4 2 5 6 3 2 3" xfId="30727" xr:uid="{00000000-0005-0000-0000-0000534F0000}"/>
    <cellStyle name="40% - Accent4 2 5 6 3 3" xfId="12795" xr:uid="{00000000-0005-0000-0000-0000544F0000}"/>
    <cellStyle name="40% - Accent4 2 5 6 3 3 2" xfId="24069" xr:uid="{00000000-0005-0000-0000-0000554F0000}"/>
    <cellStyle name="40% - Accent4 2 5 6 3 3 3" xfId="32946" xr:uid="{00000000-0005-0000-0000-0000564F0000}"/>
    <cellStyle name="40% - Accent4 2 5 6 3 4" xfId="15245" xr:uid="{00000000-0005-0000-0000-0000574F0000}"/>
    <cellStyle name="40% - Accent4 2 5 6 3 4 2" xfId="26288" xr:uid="{00000000-0005-0000-0000-0000584F0000}"/>
    <cellStyle name="40% - Accent4 2 5 6 3 4 3" xfId="35165" xr:uid="{00000000-0005-0000-0000-0000594F0000}"/>
    <cellStyle name="40% - Accent4 2 5 6 3 5" xfId="19631" xr:uid="{00000000-0005-0000-0000-00005A4F0000}"/>
    <cellStyle name="40% - Accent4 2 5 6 3 6" xfId="28508" xr:uid="{00000000-0005-0000-0000-00005B4F0000}"/>
    <cellStyle name="40% - Accent4 2 5 6 4" xfId="9604" xr:uid="{00000000-0005-0000-0000-00005C4F0000}"/>
    <cellStyle name="40% - Accent4 2 5 6 4 2" xfId="21107" xr:uid="{00000000-0005-0000-0000-00005D4F0000}"/>
    <cellStyle name="40% - Accent4 2 5 6 4 3" xfId="29984" xr:uid="{00000000-0005-0000-0000-00005E4F0000}"/>
    <cellStyle name="40% - Accent4 2 5 6 5" xfId="12052" xr:uid="{00000000-0005-0000-0000-00005F4F0000}"/>
    <cellStyle name="40% - Accent4 2 5 6 5 2" xfId="23326" xr:uid="{00000000-0005-0000-0000-0000604F0000}"/>
    <cellStyle name="40% - Accent4 2 5 6 5 3" xfId="32203" xr:uid="{00000000-0005-0000-0000-0000614F0000}"/>
    <cellStyle name="40% - Accent4 2 5 6 6" xfId="14273" xr:uid="{00000000-0005-0000-0000-0000624F0000}"/>
    <cellStyle name="40% - Accent4 2 5 6 6 2" xfId="25545" xr:uid="{00000000-0005-0000-0000-0000634F0000}"/>
    <cellStyle name="40% - Accent4 2 5 6 6 3" xfId="34422" xr:uid="{00000000-0005-0000-0000-0000644F0000}"/>
    <cellStyle name="40% - Accent4 2 5 6 7" xfId="18882" xr:uid="{00000000-0005-0000-0000-0000654F0000}"/>
    <cellStyle name="40% - Accent4 2 5 6 8" xfId="27763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4" xr:uid="{00000000-0005-0000-0000-00006A4F0000}"/>
    <cellStyle name="40% - Accent4 2 5 7 2 2 3" xfId="31461" xr:uid="{00000000-0005-0000-0000-00006B4F0000}"/>
    <cellStyle name="40% - Accent4 2 5 7 2 3" xfId="13529" xr:uid="{00000000-0005-0000-0000-00006C4F0000}"/>
    <cellStyle name="40% - Accent4 2 5 7 2 3 2" xfId="24803" xr:uid="{00000000-0005-0000-0000-00006D4F0000}"/>
    <cellStyle name="40% - Accent4 2 5 7 2 3 3" xfId="33680" xr:uid="{00000000-0005-0000-0000-00006E4F0000}"/>
    <cellStyle name="40% - Accent4 2 5 7 2 4" xfId="15979" xr:uid="{00000000-0005-0000-0000-00006F4F0000}"/>
    <cellStyle name="40% - Accent4 2 5 7 2 4 2" xfId="27022" xr:uid="{00000000-0005-0000-0000-0000704F0000}"/>
    <cellStyle name="40% - Accent4 2 5 7 2 4 3" xfId="35899" xr:uid="{00000000-0005-0000-0000-0000714F0000}"/>
    <cellStyle name="40% - Accent4 2 5 7 2 5" xfId="20365" xr:uid="{00000000-0005-0000-0000-0000724F0000}"/>
    <cellStyle name="40% - Accent4 2 5 7 2 6" xfId="29242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1" xr:uid="{00000000-0005-0000-0000-0000764F0000}"/>
    <cellStyle name="40% - Accent4 2 5 7 3 2 3" xfId="30728" xr:uid="{00000000-0005-0000-0000-0000774F0000}"/>
    <cellStyle name="40% - Accent4 2 5 7 3 3" xfId="12796" xr:uid="{00000000-0005-0000-0000-0000784F0000}"/>
    <cellStyle name="40% - Accent4 2 5 7 3 3 2" xfId="24070" xr:uid="{00000000-0005-0000-0000-0000794F0000}"/>
    <cellStyle name="40% - Accent4 2 5 7 3 3 3" xfId="32947" xr:uid="{00000000-0005-0000-0000-00007A4F0000}"/>
    <cellStyle name="40% - Accent4 2 5 7 3 4" xfId="15246" xr:uid="{00000000-0005-0000-0000-00007B4F0000}"/>
    <cellStyle name="40% - Accent4 2 5 7 3 4 2" xfId="26289" xr:uid="{00000000-0005-0000-0000-00007C4F0000}"/>
    <cellStyle name="40% - Accent4 2 5 7 3 4 3" xfId="35166" xr:uid="{00000000-0005-0000-0000-00007D4F0000}"/>
    <cellStyle name="40% - Accent4 2 5 7 3 5" xfId="19632" xr:uid="{00000000-0005-0000-0000-00007E4F0000}"/>
    <cellStyle name="40% - Accent4 2 5 7 3 6" xfId="28509" xr:uid="{00000000-0005-0000-0000-00007F4F0000}"/>
    <cellStyle name="40% - Accent4 2 5 7 4" xfId="9605" xr:uid="{00000000-0005-0000-0000-0000804F0000}"/>
    <cellStyle name="40% - Accent4 2 5 7 4 2" xfId="21108" xr:uid="{00000000-0005-0000-0000-0000814F0000}"/>
    <cellStyle name="40% - Accent4 2 5 7 4 3" xfId="29985" xr:uid="{00000000-0005-0000-0000-0000824F0000}"/>
    <cellStyle name="40% - Accent4 2 5 7 5" xfId="12053" xr:uid="{00000000-0005-0000-0000-0000834F0000}"/>
    <cellStyle name="40% - Accent4 2 5 7 5 2" xfId="23327" xr:uid="{00000000-0005-0000-0000-0000844F0000}"/>
    <cellStyle name="40% - Accent4 2 5 7 5 3" xfId="32204" xr:uid="{00000000-0005-0000-0000-0000854F0000}"/>
    <cellStyle name="40% - Accent4 2 5 7 6" xfId="14274" xr:uid="{00000000-0005-0000-0000-0000864F0000}"/>
    <cellStyle name="40% - Accent4 2 5 7 6 2" xfId="25546" xr:uid="{00000000-0005-0000-0000-0000874F0000}"/>
    <cellStyle name="40% - Accent4 2 5 7 6 3" xfId="34423" xr:uid="{00000000-0005-0000-0000-0000884F0000}"/>
    <cellStyle name="40% - Accent4 2 5 7 7" xfId="18883" xr:uid="{00000000-0005-0000-0000-0000894F0000}"/>
    <cellStyle name="40% - Accent4 2 5 7 8" xfId="27764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5" xr:uid="{00000000-0005-0000-0000-00008E4F0000}"/>
    <cellStyle name="40% - Accent4 2 5 8 2 2 3" xfId="31462" xr:uid="{00000000-0005-0000-0000-00008F4F0000}"/>
    <cellStyle name="40% - Accent4 2 5 8 2 3" xfId="13530" xr:uid="{00000000-0005-0000-0000-0000904F0000}"/>
    <cellStyle name="40% - Accent4 2 5 8 2 3 2" xfId="24804" xr:uid="{00000000-0005-0000-0000-0000914F0000}"/>
    <cellStyle name="40% - Accent4 2 5 8 2 3 3" xfId="33681" xr:uid="{00000000-0005-0000-0000-0000924F0000}"/>
    <cellStyle name="40% - Accent4 2 5 8 2 4" xfId="15980" xr:uid="{00000000-0005-0000-0000-0000934F0000}"/>
    <cellStyle name="40% - Accent4 2 5 8 2 4 2" xfId="27023" xr:uid="{00000000-0005-0000-0000-0000944F0000}"/>
    <cellStyle name="40% - Accent4 2 5 8 2 4 3" xfId="35900" xr:uid="{00000000-0005-0000-0000-0000954F0000}"/>
    <cellStyle name="40% - Accent4 2 5 8 2 5" xfId="20366" xr:uid="{00000000-0005-0000-0000-0000964F0000}"/>
    <cellStyle name="40% - Accent4 2 5 8 2 6" xfId="29243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2" xr:uid="{00000000-0005-0000-0000-00009A4F0000}"/>
    <cellStyle name="40% - Accent4 2 5 8 3 2 3" xfId="30729" xr:uid="{00000000-0005-0000-0000-00009B4F0000}"/>
    <cellStyle name="40% - Accent4 2 5 8 3 3" xfId="12797" xr:uid="{00000000-0005-0000-0000-00009C4F0000}"/>
    <cellStyle name="40% - Accent4 2 5 8 3 3 2" xfId="24071" xr:uid="{00000000-0005-0000-0000-00009D4F0000}"/>
    <cellStyle name="40% - Accent4 2 5 8 3 3 3" xfId="32948" xr:uid="{00000000-0005-0000-0000-00009E4F0000}"/>
    <cellStyle name="40% - Accent4 2 5 8 3 4" xfId="15247" xr:uid="{00000000-0005-0000-0000-00009F4F0000}"/>
    <cellStyle name="40% - Accent4 2 5 8 3 4 2" xfId="26290" xr:uid="{00000000-0005-0000-0000-0000A04F0000}"/>
    <cellStyle name="40% - Accent4 2 5 8 3 4 3" xfId="35167" xr:uid="{00000000-0005-0000-0000-0000A14F0000}"/>
    <cellStyle name="40% - Accent4 2 5 8 3 5" xfId="19633" xr:uid="{00000000-0005-0000-0000-0000A24F0000}"/>
    <cellStyle name="40% - Accent4 2 5 8 3 6" xfId="28510" xr:uid="{00000000-0005-0000-0000-0000A34F0000}"/>
    <cellStyle name="40% - Accent4 2 5 8 4" xfId="9606" xr:uid="{00000000-0005-0000-0000-0000A44F0000}"/>
    <cellStyle name="40% - Accent4 2 5 8 4 2" xfId="21109" xr:uid="{00000000-0005-0000-0000-0000A54F0000}"/>
    <cellStyle name="40% - Accent4 2 5 8 4 3" xfId="29986" xr:uid="{00000000-0005-0000-0000-0000A64F0000}"/>
    <cellStyle name="40% - Accent4 2 5 8 5" xfId="12054" xr:uid="{00000000-0005-0000-0000-0000A74F0000}"/>
    <cellStyle name="40% - Accent4 2 5 8 5 2" xfId="23328" xr:uid="{00000000-0005-0000-0000-0000A84F0000}"/>
    <cellStyle name="40% - Accent4 2 5 8 5 3" xfId="32205" xr:uid="{00000000-0005-0000-0000-0000A94F0000}"/>
    <cellStyle name="40% - Accent4 2 5 8 6" xfId="14275" xr:uid="{00000000-0005-0000-0000-0000AA4F0000}"/>
    <cellStyle name="40% - Accent4 2 5 8 6 2" xfId="25547" xr:uid="{00000000-0005-0000-0000-0000AB4F0000}"/>
    <cellStyle name="40% - Accent4 2 5 8 6 3" xfId="34424" xr:uid="{00000000-0005-0000-0000-0000AC4F0000}"/>
    <cellStyle name="40% - Accent4 2 5 8 7" xfId="18884" xr:uid="{00000000-0005-0000-0000-0000AD4F0000}"/>
    <cellStyle name="40% - Accent4 2 5 8 8" xfId="27765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6" xr:uid="{00000000-0005-0000-0000-0000B24F0000}"/>
    <cellStyle name="40% - Accent4 2 5 9 2 2 3" xfId="31463" xr:uid="{00000000-0005-0000-0000-0000B34F0000}"/>
    <cellStyle name="40% - Accent4 2 5 9 2 3" xfId="13531" xr:uid="{00000000-0005-0000-0000-0000B44F0000}"/>
    <cellStyle name="40% - Accent4 2 5 9 2 3 2" xfId="24805" xr:uid="{00000000-0005-0000-0000-0000B54F0000}"/>
    <cellStyle name="40% - Accent4 2 5 9 2 3 3" xfId="33682" xr:uid="{00000000-0005-0000-0000-0000B64F0000}"/>
    <cellStyle name="40% - Accent4 2 5 9 2 4" xfId="15981" xr:uid="{00000000-0005-0000-0000-0000B74F0000}"/>
    <cellStyle name="40% - Accent4 2 5 9 2 4 2" xfId="27024" xr:uid="{00000000-0005-0000-0000-0000B84F0000}"/>
    <cellStyle name="40% - Accent4 2 5 9 2 4 3" xfId="35901" xr:uid="{00000000-0005-0000-0000-0000B94F0000}"/>
    <cellStyle name="40% - Accent4 2 5 9 2 5" xfId="20367" xr:uid="{00000000-0005-0000-0000-0000BA4F0000}"/>
    <cellStyle name="40% - Accent4 2 5 9 2 6" xfId="29244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3" xr:uid="{00000000-0005-0000-0000-0000BE4F0000}"/>
    <cellStyle name="40% - Accent4 2 5 9 3 2 3" xfId="30730" xr:uid="{00000000-0005-0000-0000-0000BF4F0000}"/>
    <cellStyle name="40% - Accent4 2 5 9 3 3" xfId="12798" xr:uid="{00000000-0005-0000-0000-0000C04F0000}"/>
    <cellStyle name="40% - Accent4 2 5 9 3 3 2" xfId="24072" xr:uid="{00000000-0005-0000-0000-0000C14F0000}"/>
    <cellStyle name="40% - Accent4 2 5 9 3 3 3" xfId="32949" xr:uid="{00000000-0005-0000-0000-0000C24F0000}"/>
    <cellStyle name="40% - Accent4 2 5 9 3 4" xfId="15248" xr:uid="{00000000-0005-0000-0000-0000C34F0000}"/>
    <cellStyle name="40% - Accent4 2 5 9 3 4 2" xfId="26291" xr:uid="{00000000-0005-0000-0000-0000C44F0000}"/>
    <cellStyle name="40% - Accent4 2 5 9 3 4 3" xfId="35168" xr:uid="{00000000-0005-0000-0000-0000C54F0000}"/>
    <cellStyle name="40% - Accent4 2 5 9 3 5" xfId="19634" xr:uid="{00000000-0005-0000-0000-0000C64F0000}"/>
    <cellStyle name="40% - Accent4 2 5 9 3 6" xfId="28511" xr:uid="{00000000-0005-0000-0000-0000C74F0000}"/>
    <cellStyle name="40% - Accent4 2 5 9 4" xfId="9607" xr:uid="{00000000-0005-0000-0000-0000C84F0000}"/>
    <cellStyle name="40% - Accent4 2 5 9 4 2" xfId="21110" xr:uid="{00000000-0005-0000-0000-0000C94F0000}"/>
    <cellStyle name="40% - Accent4 2 5 9 4 3" xfId="29987" xr:uid="{00000000-0005-0000-0000-0000CA4F0000}"/>
    <cellStyle name="40% - Accent4 2 5 9 5" xfId="12055" xr:uid="{00000000-0005-0000-0000-0000CB4F0000}"/>
    <cellStyle name="40% - Accent4 2 5 9 5 2" xfId="23329" xr:uid="{00000000-0005-0000-0000-0000CC4F0000}"/>
    <cellStyle name="40% - Accent4 2 5 9 5 3" xfId="32206" xr:uid="{00000000-0005-0000-0000-0000CD4F0000}"/>
    <cellStyle name="40% - Accent4 2 5 9 6" xfId="14276" xr:uid="{00000000-0005-0000-0000-0000CE4F0000}"/>
    <cellStyle name="40% - Accent4 2 5 9 6 2" xfId="25548" xr:uid="{00000000-0005-0000-0000-0000CF4F0000}"/>
    <cellStyle name="40% - Accent4 2 5 9 6 3" xfId="34425" xr:uid="{00000000-0005-0000-0000-0000D04F0000}"/>
    <cellStyle name="40% - Accent4 2 5 9 7" xfId="18885" xr:uid="{00000000-0005-0000-0000-0000D14F0000}"/>
    <cellStyle name="40% - Accent4 2 5 9 8" xfId="27766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49" xr:uid="{00000000-0005-0000-0000-0000D54F0000}"/>
    <cellStyle name="40% - Accent4 2 6 10 3" xfId="34426" xr:uid="{00000000-0005-0000-0000-0000D64F0000}"/>
    <cellStyle name="40% - Accent4 2 6 11" xfId="18886" xr:uid="{00000000-0005-0000-0000-0000D74F0000}"/>
    <cellStyle name="40% - Accent4 2 6 12" xfId="27767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8" xr:uid="{00000000-0005-0000-0000-0000DC4F0000}"/>
    <cellStyle name="40% - Accent4 2 6 2 2 2 3" xfId="31465" xr:uid="{00000000-0005-0000-0000-0000DD4F0000}"/>
    <cellStyle name="40% - Accent4 2 6 2 2 3" xfId="13533" xr:uid="{00000000-0005-0000-0000-0000DE4F0000}"/>
    <cellStyle name="40% - Accent4 2 6 2 2 3 2" xfId="24807" xr:uid="{00000000-0005-0000-0000-0000DF4F0000}"/>
    <cellStyle name="40% - Accent4 2 6 2 2 3 3" xfId="33684" xr:uid="{00000000-0005-0000-0000-0000E04F0000}"/>
    <cellStyle name="40% - Accent4 2 6 2 2 4" xfId="15983" xr:uid="{00000000-0005-0000-0000-0000E14F0000}"/>
    <cellStyle name="40% - Accent4 2 6 2 2 4 2" xfId="27026" xr:uid="{00000000-0005-0000-0000-0000E24F0000}"/>
    <cellStyle name="40% - Accent4 2 6 2 2 4 3" xfId="35903" xr:uid="{00000000-0005-0000-0000-0000E34F0000}"/>
    <cellStyle name="40% - Accent4 2 6 2 2 5" xfId="20369" xr:uid="{00000000-0005-0000-0000-0000E44F0000}"/>
    <cellStyle name="40% - Accent4 2 6 2 2 6" xfId="29246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5" xr:uid="{00000000-0005-0000-0000-0000E84F0000}"/>
    <cellStyle name="40% - Accent4 2 6 2 3 2 3" xfId="30732" xr:uid="{00000000-0005-0000-0000-0000E94F0000}"/>
    <cellStyle name="40% - Accent4 2 6 2 3 3" xfId="12800" xr:uid="{00000000-0005-0000-0000-0000EA4F0000}"/>
    <cellStyle name="40% - Accent4 2 6 2 3 3 2" xfId="24074" xr:uid="{00000000-0005-0000-0000-0000EB4F0000}"/>
    <cellStyle name="40% - Accent4 2 6 2 3 3 3" xfId="32951" xr:uid="{00000000-0005-0000-0000-0000EC4F0000}"/>
    <cellStyle name="40% - Accent4 2 6 2 3 4" xfId="15250" xr:uid="{00000000-0005-0000-0000-0000ED4F0000}"/>
    <cellStyle name="40% - Accent4 2 6 2 3 4 2" xfId="26293" xr:uid="{00000000-0005-0000-0000-0000EE4F0000}"/>
    <cellStyle name="40% - Accent4 2 6 2 3 4 3" xfId="35170" xr:uid="{00000000-0005-0000-0000-0000EF4F0000}"/>
    <cellStyle name="40% - Accent4 2 6 2 3 5" xfId="19636" xr:uid="{00000000-0005-0000-0000-0000F04F0000}"/>
    <cellStyle name="40% - Accent4 2 6 2 3 6" xfId="28513" xr:uid="{00000000-0005-0000-0000-0000F14F0000}"/>
    <cellStyle name="40% - Accent4 2 6 2 4" xfId="9609" xr:uid="{00000000-0005-0000-0000-0000F24F0000}"/>
    <cellStyle name="40% - Accent4 2 6 2 4 2" xfId="21112" xr:uid="{00000000-0005-0000-0000-0000F34F0000}"/>
    <cellStyle name="40% - Accent4 2 6 2 4 3" xfId="29989" xr:uid="{00000000-0005-0000-0000-0000F44F0000}"/>
    <cellStyle name="40% - Accent4 2 6 2 5" xfId="12057" xr:uid="{00000000-0005-0000-0000-0000F54F0000}"/>
    <cellStyle name="40% - Accent4 2 6 2 5 2" xfId="23331" xr:uid="{00000000-0005-0000-0000-0000F64F0000}"/>
    <cellStyle name="40% - Accent4 2 6 2 5 3" xfId="32208" xr:uid="{00000000-0005-0000-0000-0000F74F0000}"/>
    <cellStyle name="40% - Accent4 2 6 2 6" xfId="14278" xr:uid="{00000000-0005-0000-0000-0000F84F0000}"/>
    <cellStyle name="40% - Accent4 2 6 2 6 2" xfId="25550" xr:uid="{00000000-0005-0000-0000-0000F94F0000}"/>
    <cellStyle name="40% - Accent4 2 6 2 6 3" xfId="34427" xr:uid="{00000000-0005-0000-0000-0000FA4F0000}"/>
    <cellStyle name="40% - Accent4 2 6 2 7" xfId="18887" xr:uid="{00000000-0005-0000-0000-0000FB4F0000}"/>
    <cellStyle name="40% - Accent4 2 6 2 8" xfId="27768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89" xr:uid="{00000000-0005-0000-0000-000000500000}"/>
    <cellStyle name="40% - Accent4 2 6 3 2 2 3" xfId="31466" xr:uid="{00000000-0005-0000-0000-000001500000}"/>
    <cellStyle name="40% - Accent4 2 6 3 2 3" xfId="13534" xr:uid="{00000000-0005-0000-0000-000002500000}"/>
    <cellStyle name="40% - Accent4 2 6 3 2 3 2" xfId="24808" xr:uid="{00000000-0005-0000-0000-000003500000}"/>
    <cellStyle name="40% - Accent4 2 6 3 2 3 3" xfId="33685" xr:uid="{00000000-0005-0000-0000-000004500000}"/>
    <cellStyle name="40% - Accent4 2 6 3 2 4" xfId="15984" xr:uid="{00000000-0005-0000-0000-000005500000}"/>
    <cellStyle name="40% - Accent4 2 6 3 2 4 2" xfId="27027" xr:uid="{00000000-0005-0000-0000-000006500000}"/>
    <cellStyle name="40% - Accent4 2 6 3 2 4 3" xfId="35904" xr:uid="{00000000-0005-0000-0000-000007500000}"/>
    <cellStyle name="40% - Accent4 2 6 3 2 5" xfId="20370" xr:uid="{00000000-0005-0000-0000-000008500000}"/>
    <cellStyle name="40% - Accent4 2 6 3 2 6" xfId="29247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6" xr:uid="{00000000-0005-0000-0000-00000C500000}"/>
    <cellStyle name="40% - Accent4 2 6 3 3 2 3" xfId="30733" xr:uid="{00000000-0005-0000-0000-00000D500000}"/>
    <cellStyle name="40% - Accent4 2 6 3 3 3" xfId="12801" xr:uid="{00000000-0005-0000-0000-00000E500000}"/>
    <cellStyle name="40% - Accent4 2 6 3 3 3 2" xfId="24075" xr:uid="{00000000-0005-0000-0000-00000F500000}"/>
    <cellStyle name="40% - Accent4 2 6 3 3 3 3" xfId="32952" xr:uid="{00000000-0005-0000-0000-000010500000}"/>
    <cellStyle name="40% - Accent4 2 6 3 3 4" xfId="15251" xr:uid="{00000000-0005-0000-0000-000011500000}"/>
    <cellStyle name="40% - Accent4 2 6 3 3 4 2" xfId="26294" xr:uid="{00000000-0005-0000-0000-000012500000}"/>
    <cellStyle name="40% - Accent4 2 6 3 3 4 3" xfId="35171" xr:uid="{00000000-0005-0000-0000-000013500000}"/>
    <cellStyle name="40% - Accent4 2 6 3 3 5" xfId="19637" xr:uid="{00000000-0005-0000-0000-000014500000}"/>
    <cellStyle name="40% - Accent4 2 6 3 3 6" xfId="28514" xr:uid="{00000000-0005-0000-0000-000015500000}"/>
    <cellStyle name="40% - Accent4 2 6 3 4" xfId="9610" xr:uid="{00000000-0005-0000-0000-000016500000}"/>
    <cellStyle name="40% - Accent4 2 6 3 4 2" xfId="21113" xr:uid="{00000000-0005-0000-0000-000017500000}"/>
    <cellStyle name="40% - Accent4 2 6 3 4 3" xfId="29990" xr:uid="{00000000-0005-0000-0000-000018500000}"/>
    <cellStyle name="40% - Accent4 2 6 3 5" xfId="12058" xr:uid="{00000000-0005-0000-0000-000019500000}"/>
    <cellStyle name="40% - Accent4 2 6 3 5 2" xfId="23332" xr:uid="{00000000-0005-0000-0000-00001A500000}"/>
    <cellStyle name="40% - Accent4 2 6 3 5 3" xfId="32209" xr:uid="{00000000-0005-0000-0000-00001B500000}"/>
    <cellStyle name="40% - Accent4 2 6 3 6" xfId="14279" xr:uid="{00000000-0005-0000-0000-00001C500000}"/>
    <cellStyle name="40% - Accent4 2 6 3 6 2" xfId="25551" xr:uid="{00000000-0005-0000-0000-00001D500000}"/>
    <cellStyle name="40% - Accent4 2 6 3 6 3" xfId="34428" xr:uid="{00000000-0005-0000-0000-00001E500000}"/>
    <cellStyle name="40% - Accent4 2 6 3 7" xfId="18888" xr:uid="{00000000-0005-0000-0000-00001F500000}"/>
    <cellStyle name="40% - Accent4 2 6 3 8" xfId="27769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0" xr:uid="{00000000-0005-0000-0000-000024500000}"/>
    <cellStyle name="40% - Accent4 2 6 4 2 2 3" xfId="31467" xr:uid="{00000000-0005-0000-0000-000025500000}"/>
    <cellStyle name="40% - Accent4 2 6 4 2 3" xfId="13535" xr:uid="{00000000-0005-0000-0000-000026500000}"/>
    <cellStyle name="40% - Accent4 2 6 4 2 3 2" xfId="24809" xr:uid="{00000000-0005-0000-0000-000027500000}"/>
    <cellStyle name="40% - Accent4 2 6 4 2 3 3" xfId="33686" xr:uid="{00000000-0005-0000-0000-000028500000}"/>
    <cellStyle name="40% - Accent4 2 6 4 2 4" xfId="15985" xr:uid="{00000000-0005-0000-0000-000029500000}"/>
    <cellStyle name="40% - Accent4 2 6 4 2 4 2" xfId="27028" xr:uid="{00000000-0005-0000-0000-00002A500000}"/>
    <cellStyle name="40% - Accent4 2 6 4 2 4 3" xfId="35905" xr:uid="{00000000-0005-0000-0000-00002B500000}"/>
    <cellStyle name="40% - Accent4 2 6 4 2 5" xfId="20371" xr:uid="{00000000-0005-0000-0000-00002C500000}"/>
    <cellStyle name="40% - Accent4 2 6 4 2 6" xfId="29248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7" xr:uid="{00000000-0005-0000-0000-000030500000}"/>
    <cellStyle name="40% - Accent4 2 6 4 3 2 3" xfId="30734" xr:uid="{00000000-0005-0000-0000-000031500000}"/>
    <cellStyle name="40% - Accent4 2 6 4 3 3" xfId="12802" xr:uid="{00000000-0005-0000-0000-000032500000}"/>
    <cellStyle name="40% - Accent4 2 6 4 3 3 2" xfId="24076" xr:uid="{00000000-0005-0000-0000-000033500000}"/>
    <cellStyle name="40% - Accent4 2 6 4 3 3 3" xfId="32953" xr:uid="{00000000-0005-0000-0000-000034500000}"/>
    <cellStyle name="40% - Accent4 2 6 4 3 4" xfId="15252" xr:uid="{00000000-0005-0000-0000-000035500000}"/>
    <cellStyle name="40% - Accent4 2 6 4 3 4 2" xfId="26295" xr:uid="{00000000-0005-0000-0000-000036500000}"/>
    <cellStyle name="40% - Accent4 2 6 4 3 4 3" xfId="35172" xr:uid="{00000000-0005-0000-0000-000037500000}"/>
    <cellStyle name="40% - Accent4 2 6 4 3 5" xfId="19638" xr:uid="{00000000-0005-0000-0000-000038500000}"/>
    <cellStyle name="40% - Accent4 2 6 4 3 6" xfId="28515" xr:uid="{00000000-0005-0000-0000-000039500000}"/>
    <cellStyle name="40% - Accent4 2 6 4 4" xfId="9611" xr:uid="{00000000-0005-0000-0000-00003A500000}"/>
    <cellStyle name="40% - Accent4 2 6 4 4 2" xfId="21114" xr:uid="{00000000-0005-0000-0000-00003B500000}"/>
    <cellStyle name="40% - Accent4 2 6 4 4 3" xfId="29991" xr:uid="{00000000-0005-0000-0000-00003C500000}"/>
    <cellStyle name="40% - Accent4 2 6 4 5" xfId="12059" xr:uid="{00000000-0005-0000-0000-00003D500000}"/>
    <cellStyle name="40% - Accent4 2 6 4 5 2" xfId="23333" xr:uid="{00000000-0005-0000-0000-00003E500000}"/>
    <cellStyle name="40% - Accent4 2 6 4 5 3" xfId="32210" xr:uid="{00000000-0005-0000-0000-00003F500000}"/>
    <cellStyle name="40% - Accent4 2 6 4 6" xfId="14280" xr:uid="{00000000-0005-0000-0000-000040500000}"/>
    <cellStyle name="40% - Accent4 2 6 4 6 2" xfId="25552" xr:uid="{00000000-0005-0000-0000-000041500000}"/>
    <cellStyle name="40% - Accent4 2 6 4 6 3" xfId="34429" xr:uid="{00000000-0005-0000-0000-000042500000}"/>
    <cellStyle name="40% - Accent4 2 6 4 7" xfId="18889" xr:uid="{00000000-0005-0000-0000-000043500000}"/>
    <cellStyle name="40% - Accent4 2 6 4 8" xfId="27770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1" xr:uid="{00000000-0005-0000-0000-000048500000}"/>
    <cellStyle name="40% - Accent4 2 6 5 2 2 3" xfId="31468" xr:uid="{00000000-0005-0000-0000-000049500000}"/>
    <cellStyle name="40% - Accent4 2 6 5 2 3" xfId="13536" xr:uid="{00000000-0005-0000-0000-00004A500000}"/>
    <cellStyle name="40% - Accent4 2 6 5 2 3 2" xfId="24810" xr:uid="{00000000-0005-0000-0000-00004B500000}"/>
    <cellStyle name="40% - Accent4 2 6 5 2 3 3" xfId="33687" xr:uid="{00000000-0005-0000-0000-00004C500000}"/>
    <cellStyle name="40% - Accent4 2 6 5 2 4" xfId="15986" xr:uid="{00000000-0005-0000-0000-00004D500000}"/>
    <cellStyle name="40% - Accent4 2 6 5 2 4 2" xfId="27029" xr:uid="{00000000-0005-0000-0000-00004E500000}"/>
    <cellStyle name="40% - Accent4 2 6 5 2 4 3" xfId="35906" xr:uid="{00000000-0005-0000-0000-00004F500000}"/>
    <cellStyle name="40% - Accent4 2 6 5 2 5" xfId="20372" xr:uid="{00000000-0005-0000-0000-000050500000}"/>
    <cellStyle name="40% - Accent4 2 6 5 2 6" xfId="29249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8" xr:uid="{00000000-0005-0000-0000-000054500000}"/>
    <cellStyle name="40% - Accent4 2 6 5 3 2 3" xfId="30735" xr:uid="{00000000-0005-0000-0000-000055500000}"/>
    <cellStyle name="40% - Accent4 2 6 5 3 3" xfId="12803" xr:uid="{00000000-0005-0000-0000-000056500000}"/>
    <cellStyle name="40% - Accent4 2 6 5 3 3 2" xfId="24077" xr:uid="{00000000-0005-0000-0000-000057500000}"/>
    <cellStyle name="40% - Accent4 2 6 5 3 3 3" xfId="32954" xr:uid="{00000000-0005-0000-0000-000058500000}"/>
    <cellStyle name="40% - Accent4 2 6 5 3 4" xfId="15253" xr:uid="{00000000-0005-0000-0000-000059500000}"/>
    <cellStyle name="40% - Accent4 2 6 5 3 4 2" xfId="26296" xr:uid="{00000000-0005-0000-0000-00005A500000}"/>
    <cellStyle name="40% - Accent4 2 6 5 3 4 3" xfId="35173" xr:uid="{00000000-0005-0000-0000-00005B500000}"/>
    <cellStyle name="40% - Accent4 2 6 5 3 5" xfId="19639" xr:uid="{00000000-0005-0000-0000-00005C500000}"/>
    <cellStyle name="40% - Accent4 2 6 5 3 6" xfId="28516" xr:uid="{00000000-0005-0000-0000-00005D500000}"/>
    <cellStyle name="40% - Accent4 2 6 5 4" xfId="9612" xr:uid="{00000000-0005-0000-0000-00005E500000}"/>
    <cellStyle name="40% - Accent4 2 6 5 4 2" xfId="21115" xr:uid="{00000000-0005-0000-0000-00005F500000}"/>
    <cellStyle name="40% - Accent4 2 6 5 4 3" xfId="29992" xr:uid="{00000000-0005-0000-0000-000060500000}"/>
    <cellStyle name="40% - Accent4 2 6 5 5" xfId="12060" xr:uid="{00000000-0005-0000-0000-000061500000}"/>
    <cellStyle name="40% - Accent4 2 6 5 5 2" xfId="23334" xr:uid="{00000000-0005-0000-0000-000062500000}"/>
    <cellStyle name="40% - Accent4 2 6 5 5 3" xfId="32211" xr:uid="{00000000-0005-0000-0000-000063500000}"/>
    <cellStyle name="40% - Accent4 2 6 5 6" xfId="14281" xr:uid="{00000000-0005-0000-0000-000064500000}"/>
    <cellStyle name="40% - Accent4 2 6 5 6 2" xfId="25553" xr:uid="{00000000-0005-0000-0000-000065500000}"/>
    <cellStyle name="40% - Accent4 2 6 5 6 3" xfId="34430" xr:uid="{00000000-0005-0000-0000-000066500000}"/>
    <cellStyle name="40% - Accent4 2 6 5 7" xfId="18890" xr:uid="{00000000-0005-0000-0000-000067500000}"/>
    <cellStyle name="40% - Accent4 2 6 5 8" xfId="27771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7" xr:uid="{00000000-0005-0000-0000-00006B500000}"/>
    <cellStyle name="40% - Accent4 2 6 6 2 3" xfId="31464" xr:uid="{00000000-0005-0000-0000-00006C500000}"/>
    <cellStyle name="40% - Accent4 2 6 6 3" xfId="13532" xr:uid="{00000000-0005-0000-0000-00006D500000}"/>
    <cellStyle name="40% - Accent4 2 6 6 3 2" xfId="24806" xr:uid="{00000000-0005-0000-0000-00006E500000}"/>
    <cellStyle name="40% - Accent4 2 6 6 3 3" xfId="33683" xr:uid="{00000000-0005-0000-0000-00006F500000}"/>
    <cellStyle name="40% - Accent4 2 6 6 4" xfId="15982" xr:uid="{00000000-0005-0000-0000-000070500000}"/>
    <cellStyle name="40% - Accent4 2 6 6 4 2" xfId="27025" xr:uid="{00000000-0005-0000-0000-000071500000}"/>
    <cellStyle name="40% - Accent4 2 6 6 4 3" xfId="35902" xr:uid="{00000000-0005-0000-0000-000072500000}"/>
    <cellStyle name="40% - Accent4 2 6 6 5" xfId="20368" xr:uid="{00000000-0005-0000-0000-000073500000}"/>
    <cellStyle name="40% - Accent4 2 6 6 6" xfId="29245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4" xr:uid="{00000000-0005-0000-0000-000077500000}"/>
    <cellStyle name="40% - Accent4 2 6 7 2 3" xfId="30731" xr:uid="{00000000-0005-0000-0000-000078500000}"/>
    <cellStyle name="40% - Accent4 2 6 7 3" xfId="12799" xr:uid="{00000000-0005-0000-0000-000079500000}"/>
    <cellStyle name="40% - Accent4 2 6 7 3 2" xfId="24073" xr:uid="{00000000-0005-0000-0000-00007A500000}"/>
    <cellStyle name="40% - Accent4 2 6 7 3 3" xfId="32950" xr:uid="{00000000-0005-0000-0000-00007B500000}"/>
    <cellStyle name="40% - Accent4 2 6 7 4" xfId="15249" xr:uid="{00000000-0005-0000-0000-00007C500000}"/>
    <cellStyle name="40% - Accent4 2 6 7 4 2" xfId="26292" xr:uid="{00000000-0005-0000-0000-00007D500000}"/>
    <cellStyle name="40% - Accent4 2 6 7 4 3" xfId="35169" xr:uid="{00000000-0005-0000-0000-00007E500000}"/>
    <cellStyle name="40% - Accent4 2 6 7 5" xfId="19635" xr:uid="{00000000-0005-0000-0000-00007F500000}"/>
    <cellStyle name="40% - Accent4 2 6 7 6" xfId="28512" xr:uid="{00000000-0005-0000-0000-000080500000}"/>
    <cellStyle name="40% - Accent4 2 6 8" xfId="9608" xr:uid="{00000000-0005-0000-0000-000081500000}"/>
    <cellStyle name="40% - Accent4 2 6 8 2" xfId="21111" xr:uid="{00000000-0005-0000-0000-000082500000}"/>
    <cellStyle name="40% - Accent4 2 6 8 3" xfId="29988" xr:uid="{00000000-0005-0000-0000-000083500000}"/>
    <cellStyle name="40% - Accent4 2 6 9" xfId="12056" xr:uid="{00000000-0005-0000-0000-000084500000}"/>
    <cellStyle name="40% - Accent4 2 6 9 2" xfId="23330" xr:uid="{00000000-0005-0000-0000-000085500000}"/>
    <cellStyle name="40% - Accent4 2 6 9 3" xfId="32207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2" xr:uid="{00000000-0005-0000-0000-00008A500000}"/>
    <cellStyle name="40% - Accent4 2 7 2 2 3" xfId="31469" xr:uid="{00000000-0005-0000-0000-00008B500000}"/>
    <cellStyle name="40% - Accent4 2 7 2 3" xfId="13537" xr:uid="{00000000-0005-0000-0000-00008C500000}"/>
    <cellStyle name="40% - Accent4 2 7 2 3 2" xfId="24811" xr:uid="{00000000-0005-0000-0000-00008D500000}"/>
    <cellStyle name="40% - Accent4 2 7 2 3 3" xfId="33688" xr:uid="{00000000-0005-0000-0000-00008E500000}"/>
    <cellStyle name="40% - Accent4 2 7 2 4" xfId="15987" xr:uid="{00000000-0005-0000-0000-00008F500000}"/>
    <cellStyle name="40% - Accent4 2 7 2 4 2" xfId="27030" xr:uid="{00000000-0005-0000-0000-000090500000}"/>
    <cellStyle name="40% - Accent4 2 7 2 4 3" xfId="35907" xr:uid="{00000000-0005-0000-0000-000091500000}"/>
    <cellStyle name="40% - Accent4 2 7 2 5" xfId="20373" xr:uid="{00000000-0005-0000-0000-000092500000}"/>
    <cellStyle name="40% - Accent4 2 7 2 6" xfId="29250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59" xr:uid="{00000000-0005-0000-0000-000096500000}"/>
    <cellStyle name="40% - Accent4 2 7 3 2 3" xfId="30736" xr:uid="{00000000-0005-0000-0000-000097500000}"/>
    <cellStyle name="40% - Accent4 2 7 3 3" xfId="12804" xr:uid="{00000000-0005-0000-0000-000098500000}"/>
    <cellStyle name="40% - Accent4 2 7 3 3 2" xfId="24078" xr:uid="{00000000-0005-0000-0000-000099500000}"/>
    <cellStyle name="40% - Accent4 2 7 3 3 3" xfId="32955" xr:uid="{00000000-0005-0000-0000-00009A500000}"/>
    <cellStyle name="40% - Accent4 2 7 3 4" xfId="15254" xr:uid="{00000000-0005-0000-0000-00009B500000}"/>
    <cellStyle name="40% - Accent4 2 7 3 4 2" xfId="26297" xr:uid="{00000000-0005-0000-0000-00009C500000}"/>
    <cellStyle name="40% - Accent4 2 7 3 4 3" xfId="35174" xr:uid="{00000000-0005-0000-0000-00009D500000}"/>
    <cellStyle name="40% - Accent4 2 7 3 5" xfId="19640" xr:uid="{00000000-0005-0000-0000-00009E500000}"/>
    <cellStyle name="40% - Accent4 2 7 3 6" xfId="28517" xr:uid="{00000000-0005-0000-0000-00009F500000}"/>
    <cellStyle name="40% - Accent4 2 7 4" xfId="9613" xr:uid="{00000000-0005-0000-0000-0000A0500000}"/>
    <cellStyle name="40% - Accent4 2 7 4 2" xfId="21116" xr:uid="{00000000-0005-0000-0000-0000A1500000}"/>
    <cellStyle name="40% - Accent4 2 7 4 3" xfId="29993" xr:uid="{00000000-0005-0000-0000-0000A2500000}"/>
    <cellStyle name="40% - Accent4 2 7 5" xfId="12061" xr:uid="{00000000-0005-0000-0000-0000A3500000}"/>
    <cellStyle name="40% - Accent4 2 7 5 2" xfId="23335" xr:uid="{00000000-0005-0000-0000-0000A4500000}"/>
    <cellStyle name="40% - Accent4 2 7 5 3" xfId="32212" xr:uid="{00000000-0005-0000-0000-0000A5500000}"/>
    <cellStyle name="40% - Accent4 2 7 6" xfId="14282" xr:uid="{00000000-0005-0000-0000-0000A6500000}"/>
    <cellStyle name="40% - Accent4 2 7 6 2" xfId="25554" xr:uid="{00000000-0005-0000-0000-0000A7500000}"/>
    <cellStyle name="40% - Accent4 2 7 6 3" xfId="34431" xr:uid="{00000000-0005-0000-0000-0000A8500000}"/>
    <cellStyle name="40% - Accent4 2 7 7" xfId="18891" xr:uid="{00000000-0005-0000-0000-0000A9500000}"/>
    <cellStyle name="40% - Accent4 2 7 8" xfId="27772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3" xr:uid="{00000000-0005-0000-0000-0000AE500000}"/>
    <cellStyle name="40% - Accent4 2 8 2 2 3" xfId="31470" xr:uid="{00000000-0005-0000-0000-0000AF500000}"/>
    <cellStyle name="40% - Accent4 2 8 2 3" xfId="13538" xr:uid="{00000000-0005-0000-0000-0000B0500000}"/>
    <cellStyle name="40% - Accent4 2 8 2 3 2" xfId="24812" xr:uid="{00000000-0005-0000-0000-0000B1500000}"/>
    <cellStyle name="40% - Accent4 2 8 2 3 3" xfId="33689" xr:uid="{00000000-0005-0000-0000-0000B2500000}"/>
    <cellStyle name="40% - Accent4 2 8 2 4" xfId="15988" xr:uid="{00000000-0005-0000-0000-0000B3500000}"/>
    <cellStyle name="40% - Accent4 2 8 2 4 2" xfId="27031" xr:uid="{00000000-0005-0000-0000-0000B4500000}"/>
    <cellStyle name="40% - Accent4 2 8 2 4 3" xfId="35908" xr:uid="{00000000-0005-0000-0000-0000B5500000}"/>
    <cellStyle name="40% - Accent4 2 8 2 5" xfId="20374" xr:uid="{00000000-0005-0000-0000-0000B6500000}"/>
    <cellStyle name="40% - Accent4 2 8 2 6" xfId="29251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0" xr:uid="{00000000-0005-0000-0000-0000BA500000}"/>
    <cellStyle name="40% - Accent4 2 8 3 2 3" xfId="30737" xr:uid="{00000000-0005-0000-0000-0000BB500000}"/>
    <cellStyle name="40% - Accent4 2 8 3 3" xfId="12805" xr:uid="{00000000-0005-0000-0000-0000BC500000}"/>
    <cellStyle name="40% - Accent4 2 8 3 3 2" xfId="24079" xr:uid="{00000000-0005-0000-0000-0000BD500000}"/>
    <cellStyle name="40% - Accent4 2 8 3 3 3" xfId="32956" xr:uid="{00000000-0005-0000-0000-0000BE500000}"/>
    <cellStyle name="40% - Accent4 2 8 3 4" xfId="15255" xr:uid="{00000000-0005-0000-0000-0000BF500000}"/>
    <cellStyle name="40% - Accent4 2 8 3 4 2" xfId="26298" xr:uid="{00000000-0005-0000-0000-0000C0500000}"/>
    <cellStyle name="40% - Accent4 2 8 3 4 3" xfId="35175" xr:uid="{00000000-0005-0000-0000-0000C1500000}"/>
    <cellStyle name="40% - Accent4 2 8 3 5" xfId="19641" xr:uid="{00000000-0005-0000-0000-0000C2500000}"/>
    <cellStyle name="40% - Accent4 2 8 3 6" xfId="28518" xr:uid="{00000000-0005-0000-0000-0000C3500000}"/>
    <cellStyle name="40% - Accent4 2 8 4" xfId="9614" xr:uid="{00000000-0005-0000-0000-0000C4500000}"/>
    <cellStyle name="40% - Accent4 2 8 4 2" xfId="21117" xr:uid="{00000000-0005-0000-0000-0000C5500000}"/>
    <cellStyle name="40% - Accent4 2 8 4 3" xfId="29994" xr:uid="{00000000-0005-0000-0000-0000C6500000}"/>
    <cellStyle name="40% - Accent4 2 8 5" xfId="12062" xr:uid="{00000000-0005-0000-0000-0000C7500000}"/>
    <cellStyle name="40% - Accent4 2 8 5 2" xfId="23336" xr:uid="{00000000-0005-0000-0000-0000C8500000}"/>
    <cellStyle name="40% - Accent4 2 8 5 3" xfId="32213" xr:uid="{00000000-0005-0000-0000-0000C9500000}"/>
    <cellStyle name="40% - Accent4 2 8 6" xfId="14283" xr:uid="{00000000-0005-0000-0000-0000CA500000}"/>
    <cellStyle name="40% - Accent4 2 8 6 2" xfId="25555" xr:uid="{00000000-0005-0000-0000-0000CB500000}"/>
    <cellStyle name="40% - Accent4 2 8 6 3" xfId="34432" xr:uid="{00000000-0005-0000-0000-0000CC500000}"/>
    <cellStyle name="40% - Accent4 2 8 7" xfId="18892" xr:uid="{00000000-0005-0000-0000-0000CD500000}"/>
    <cellStyle name="40% - Accent4 2 8 8" xfId="27773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4" xr:uid="{00000000-0005-0000-0000-0000D2500000}"/>
    <cellStyle name="40% - Accent4 2 9 2 2 3" xfId="31471" xr:uid="{00000000-0005-0000-0000-0000D3500000}"/>
    <cellStyle name="40% - Accent4 2 9 2 3" xfId="13539" xr:uid="{00000000-0005-0000-0000-0000D4500000}"/>
    <cellStyle name="40% - Accent4 2 9 2 3 2" xfId="24813" xr:uid="{00000000-0005-0000-0000-0000D5500000}"/>
    <cellStyle name="40% - Accent4 2 9 2 3 3" xfId="33690" xr:uid="{00000000-0005-0000-0000-0000D6500000}"/>
    <cellStyle name="40% - Accent4 2 9 2 4" xfId="15989" xr:uid="{00000000-0005-0000-0000-0000D7500000}"/>
    <cellStyle name="40% - Accent4 2 9 2 4 2" xfId="27032" xr:uid="{00000000-0005-0000-0000-0000D8500000}"/>
    <cellStyle name="40% - Accent4 2 9 2 4 3" xfId="35909" xr:uid="{00000000-0005-0000-0000-0000D9500000}"/>
    <cellStyle name="40% - Accent4 2 9 2 5" xfId="20375" xr:uid="{00000000-0005-0000-0000-0000DA500000}"/>
    <cellStyle name="40% - Accent4 2 9 2 6" xfId="29252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1" xr:uid="{00000000-0005-0000-0000-0000DE500000}"/>
    <cellStyle name="40% - Accent4 2 9 3 2 3" xfId="30738" xr:uid="{00000000-0005-0000-0000-0000DF500000}"/>
    <cellStyle name="40% - Accent4 2 9 3 3" xfId="12806" xr:uid="{00000000-0005-0000-0000-0000E0500000}"/>
    <cellStyle name="40% - Accent4 2 9 3 3 2" xfId="24080" xr:uid="{00000000-0005-0000-0000-0000E1500000}"/>
    <cellStyle name="40% - Accent4 2 9 3 3 3" xfId="32957" xr:uid="{00000000-0005-0000-0000-0000E2500000}"/>
    <cellStyle name="40% - Accent4 2 9 3 4" xfId="15256" xr:uid="{00000000-0005-0000-0000-0000E3500000}"/>
    <cellStyle name="40% - Accent4 2 9 3 4 2" xfId="26299" xr:uid="{00000000-0005-0000-0000-0000E4500000}"/>
    <cellStyle name="40% - Accent4 2 9 3 4 3" xfId="35176" xr:uid="{00000000-0005-0000-0000-0000E5500000}"/>
    <cellStyle name="40% - Accent4 2 9 3 5" xfId="19642" xr:uid="{00000000-0005-0000-0000-0000E6500000}"/>
    <cellStyle name="40% - Accent4 2 9 3 6" xfId="28519" xr:uid="{00000000-0005-0000-0000-0000E7500000}"/>
    <cellStyle name="40% - Accent4 2 9 4" xfId="9615" xr:uid="{00000000-0005-0000-0000-0000E8500000}"/>
    <cellStyle name="40% - Accent4 2 9 4 2" xfId="21118" xr:uid="{00000000-0005-0000-0000-0000E9500000}"/>
    <cellStyle name="40% - Accent4 2 9 4 3" xfId="29995" xr:uid="{00000000-0005-0000-0000-0000EA500000}"/>
    <cellStyle name="40% - Accent4 2 9 5" xfId="12063" xr:uid="{00000000-0005-0000-0000-0000EB500000}"/>
    <cellStyle name="40% - Accent4 2 9 5 2" xfId="23337" xr:uid="{00000000-0005-0000-0000-0000EC500000}"/>
    <cellStyle name="40% - Accent4 2 9 5 3" xfId="32214" xr:uid="{00000000-0005-0000-0000-0000ED500000}"/>
    <cellStyle name="40% - Accent4 2 9 6" xfId="14284" xr:uid="{00000000-0005-0000-0000-0000EE500000}"/>
    <cellStyle name="40% - Accent4 2 9 6 2" xfId="25556" xr:uid="{00000000-0005-0000-0000-0000EF500000}"/>
    <cellStyle name="40% - Accent4 2 9 6 3" xfId="34433" xr:uid="{00000000-0005-0000-0000-0000F0500000}"/>
    <cellStyle name="40% - Accent4 2 9 7" xfId="18893" xr:uid="{00000000-0005-0000-0000-0000F1500000}"/>
    <cellStyle name="40% - Accent4 2 9 8" xfId="27774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5" xr:uid="{00000000-0005-0000-0000-0000FF500000}"/>
    <cellStyle name="40% - Accent4 3 2 2 2 3" xfId="31472" xr:uid="{00000000-0005-0000-0000-000000510000}"/>
    <cellStyle name="40% - Accent4 3 2 2 3" xfId="13540" xr:uid="{00000000-0005-0000-0000-000001510000}"/>
    <cellStyle name="40% - Accent4 3 2 2 3 2" xfId="24814" xr:uid="{00000000-0005-0000-0000-000002510000}"/>
    <cellStyle name="40% - Accent4 3 2 2 3 3" xfId="33691" xr:uid="{00000000-0005-0000-0000-000003510000}"/>
    <cellStyle name="40% - Accent4 3 2 2 4" xfId="15990" xr:uid="{00000000-0005-0000-0000-000004510000}"/>
    <cellStyle name="40% - Accent4 3 2 2 4 2" xfId="27033" xr:uid="{00000000-0005-0000-0000-000005510000}"/>
    <cellStyle name="40% - Accent4 3 2 2 4 3" xfId="35910" xr:uid="{00000000-0005-0000-0000-000006510000}"/>
    <cellStyle name="40% - Accent4 3 2 2 5" xfId="20376" xr:uid="{00000000-0005-0000-0000-000007510000}"/>
    <cellStyle name="40% - Accent4 3 2 2 6" xfId="29253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2" xr:uid="{00000000-0005-0000-0000-00000B510000}"/>
    <cellStyle name="40% - Accent4 3 2 3 2 3" xfId="30739" xr:uid="{00000000-0005-0000-0000-00000C510000}"/>
    <cellStyle name="40% - Accent4 3 2 3 3" xfId="12807" xr:uid="{00000000-0005-0000-0000-00000D510000}"/>
    <cellStyle name="40% - Accent4 3 2 3 3 2" xfId="24081" xr:uid="{00000000-0005-0000-0000-00000E510000}"/>
    <cellStyle name="40% - Accent4 3 2 3 3 3" xfId="32958" xr:uid="{00000000-0005-0000-0000-00000F510000}"/>
    <cellStyle name="40% - Accent4 3 2 3 4" xfId="15257" xr:uid="{00000000-0005-0000-0000-000010510000}"/>
    <cellStyle name="40% - Accent4 3 2 3 4 2" xfId="26300" xr:uid="{00000000-0005-0000-0000-000011510000}"/>
    <cellStyle name="40% - Accent4 3 2 3 4 3" xfId="35177" xr:uid="{00000000-0005-0000-0000-000012510000}"/>
    <cellStyle name="40% - Accent4 3 2 3 5" xfId="19643" xr:uid="{00000000-0005-0000-0000-000013510000}"/>
    <cellStyle name="40% - Accent4 3 2 3 6" xfId="28520" xr:uid="{00000000-0005-0000-0000-000014510000}"/>
    <cellStyle name="40% - Accent4 3 2 4" xfId="9616" xr:uid="{00000000-0005-0000-0000-000015510000}"/>
    <cellStyle name="40% - Accent4 3 2 4 2" xfId="21119" xr:uid="{00000000-0005-0000-0000-000016510000}"/>
    <cellStyle name="40% - Accent4 3 2 4 3" xfId="29996" xr:uid="{00000000-0005-0000-0000-000017510000}"/>
    <cellStyle name="40% - Accent4 3 2 5" xfId="12064" xr:uid="{00000000-0005-0000-0000-000018510000}"/>
    <cellStyle name="40% - Accent4 3 2 5 2" xfId="23338" xr:uid="{00000000-0005-0000-0000-000019510000}"/>
    <cellStyle name="40% - Accent4 3 2 5 3" xfId="32215" xr:uid="{00000000-0005-0000-0000-00001A510000}"/>
    <cellStyle name="40% - Accent4 3 2 6" xfId="14285" xr:uid="{00000000-0005-0000-0000-00001B510000}"/>
    <cellStyle name="40% - Accent4 3 2 6 2" xfId="25557" xr:uid="{00000000-0005-0000-0000-00001C510000}"/>
    <cellStyle name="40% - Accent4 3 2 6 3" xfId="34434" xr:uid="{00000000-0005-0000-0000-00001D510000}"/>
    <cellStyle name="40% - Accent4 3 2 7" xfId="18894" xr:uid="{00000000-0005-0000-0000-00001E510000}"/>
    <cellStyle name="40% - Accent4 3 2 8" xfId="27775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6" xr:uid="{00000000-0005-0000-0000-000023510000}"/>
    <cellStyle name="40% - Accent4 3 3 2 2 3" xfId="31473" xr:uid="{00000000-0005-0000-0000-000024510000}"/>
    <cellStyle name="40% - Accent4 3 3 2 3" xfId="13541" xr:uid="{00000000-0005-0000-0000-000025510000}"/>
    <cellStyle name="40% - Accent4 3 3 2 3 2" xfId="24815" xr:uid="{00000000-0005-0000-0000-000026510000}"/>
    <cellStyle name="40% - Accent4 3 3 2 3 3" xfId="33692" xr:uid="{00000000-0005-0000-0000-000027510000}"/>
    <cellStyle name="40% - Accent4 3 3 2 4" xfId="15991" xr:uid="{00000000-0005-0000-0000-000028510000}"/>
    <cellStyle name="40% - Accent4 3 3 2 4 2" xfId="27034" xr:uid="{00000000-0005-0000-0000-000029510000}"/>
    <cellStyle name="40% - Accent4 3 3 2 4 3" xfId="35911" xr:uid="{00000000-0005-0000-0000-00002A510000}"/>
    <cellStyle name="40% - Accent4 3 3 2 5" xfId="20377" xr:uid="{00000000-0005-0000-0000-00002B510000}"/>
    <cellStyle name="40% - Accent4 3 3 2 6" xfId="29254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3" xr:uid="{00000000-0005-0000-0000-00002F510000}"/>
    <cellStyle name="40% - Accent4 3 3 3 2 3" xfId="30740" xr:uid="{00000000-0005-0000-0000-000030510000}"/>
    <cellStyle name="40% - Accent4 3 3 3 3" xfId="12808" xr:uid="{00000000-0005-0000-0000-000031510000}"/>
    <cellStyle name="40% - Accent4 3 3 3 3 2" xfId="24082" xr:uid="{00000000-0005-0000-0000-000032510000}"/>
    <cellStyle name="40% - Accent4 3 3 3 3 3" xfId="32959" xr:uid="{00000000-0005-0000-0000-000033510000}"/>
    <cellStyle name="40% - Accent4 3 3 3 4" xfId="15258" xr:uid="{00000000-0005-0000-0000-000034510000}"/>
    <cellStyle name="40% - Accent4 3 3 3 4 2" xfId="26301" xr:uid="{00000000-0005-0000-0000-000035510000}"/>
    <cellStyle name="40% - Accent4 3 3 3 4 3" xfId="35178" xr:uid="{00000000-0005-0000-0000-000036510000}"/>
    <cellStyle name="40% - Accent4 3 3 3 5" xfId="19644" xr:uid="{00000000-0005-0000-0000-000037510000}"/>
    <cellStyle name="40% - Accent4 3 3 3 6" xfId="28521" xr:uid="{00000000-0005-0000-0000-000038510000}"/>
    <cellStyle name="40% - Accent4 3 3 4" xfId="9617" xr:uid="{00000000-0005-0000-0000-000039510000}"/>
    <cellStyle name="40% - Accent4 3 3 4 2" xfId="21120" xr:uid="{00000000-0005-0000-0000-00003A510000}"/>
    <cellStyle name="40% - Accent4 3 3 4 3" xfId="29997" xr:uid="{00000000-0005-0000-0000-00003B510000}"/>
    <cellStyle name="40% - Accent4 3 3 5" xfId="12065" xr:uid="{00000000-0005-0000-0000-00003C510000}"/>
    <cellStyle name="40% - Accent4 3 3 5 2" xfId="23339" xr:uid="{00000000-0005-0000-0000-00003D510000}"/>
    <cellStyle name="40% - Accent4 3 3 5 3" xfId="32216" xr:uid="{00000000-0005-0000-0000-00003E510000}"/>
    <cellStyle name="40% - Accent4 3 3 6" xfId="14286" xr:uid="{00000000-0005-0000-0000-00003F510000}"/>
    <cellStyle name="40% - Accent4 3 3 6 2" xfId="25558" xr:uid="{00000000-0005-0000-0000-000040510000}"/>
    <cellStyle name="40% - Accent4 3 3 6 3" xfId="34435" xr:uid="{00000000-0005-0000-0000-000041510000}"/>
    <cellStyle name="40% - Accent4 3 3 7" xfId="18895" xr:uid="{00000000-0005-0000-0000-000042510000}"/>
    <cellStyle name="40% - Accent4 3 3 8" xfId="27776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7" xr:uid="{00000000-0005-0000-0000-000047510000}"/>
    <cellStyle name="40% - Accent4 3 4 2 2 3" xfId="31474" xr:uid="{00000000-0005-0000-0000-000048510000}"/>
    <cellStyle name="40% - Accent4 3 4 2 3" xfId="13542" xr:uid="{00000000-0005-0000-0000-000049510000}"/>
    <cellStyle name="40% - Accent4 3 4 2 3 2" xfId="24816" xr:uid="{00000000-0005-0000-0000-00004A510000}"/>
    <cellStyle name="40% - Accent4 3 4 2 3 3" xfId="33693" xr:uid="{00000000-0005-0000-0000-00004B510000}"/>
    <cellStyle name="40% - Accent4 3 4 2 4" xfId="15992" xr:uid="{00000000-0005-0000-0000-00004C510000}"/>
    <cellStyle name="40% - Accent4 3 4 2 4 2" xfId="27035" xr:uid="{00000000-0005-0000-0000-00004D510000}"/>
    <cellStyle name="40% - Accent4 3 4 2 4 3" xfId="35912" xr:uid="{00000000-0005-0000-0000-00004E510000}"/>
    <cellStyle name="40% - Accent4 3 4 2 5" xfId="20378" xr:uid="{00000000-0005-0000-0000-00004F510000}"/>
    <cellStyle name="40% - Accent4 3 4 2 6" xfId="29255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4" xr:uid="{00000000-0005-0000-0000-000053510000}"/>
    <cellStyle name="40% - Accent4 3 4 3 2 3" xfId="30741" xr:uid="{00000000-0005-0000-0000-000054510000}"/>
    <cellStyle name="40% - Accent4 3 4 3 3" xfId="12809" xr:uid="{00000000-0005-0000-0000-000055510000}"/>
    <cellStyle name="40% - Accent4 3 4 3 3 2" xfId="24083" xr:uid="{00000000-0005-0000-0000-000056510000}"/>
    <cellStyle name="40% - Accent4 3 4 3 3 3" xfId="32960" xr:uid="{00000000-0005-0000-0000-000057510000}"/>
    <cellStyle name="40% - Accent4 3 4 3 4" xfId="15259" xr:uid="{00000000-0005-0000-0000-000058510000}"/>
    <cellStyle name="40% - Accent4 3 4 3 4 2" xfId="26302" xr:uid="{00000000-0005-0000-0000-000059510000}"/>
    <cellStyle name="40% - Accent4 3 4 3 4 3" xfId="35179" xr:uid="{00000000-0005-0000-0000-00005A510000}"/>
    <cellStyle name="40% - Accent4 3 4 3 5" xfId="19645" xr:uid="{00000000-0005-0000-0000-00005B510000}"/>
    <cellStyle name="40% - Accent4 3 4 3 6" xfId="28522" xr:uid="{00000000-0005-0000-0000-00005C510000}"/>
    <cellStyle name="40% - Accent4 3 4 4" xfId="9618" xr:uid="{00000000-0005-0000-0000-00005D510000}"/>
    <cellStyle name="40% - Accent4 3 4 4 2" xfId="21121" xr:uid="{00000000-0005-0000-0000-00005E510000}"/>
    <cellStyle name="40% - Accent4 3 4 4 3" xfId="29998" xr:uid="{00000000-0005-0000-0000-00005F510000}"/>
    <cellStyle name="40% - Accent4 3 4 5" xfId="12066" xr:uid="{00000000-0005-0000-0000-000060510000}"/>
    <cellStyle name="40% - Accent4 3 4 5 2" xfId="23340" xr:uid="{00000000-0005-0000-0000-000061510000}"/>
    <cellStyle name="40% - Accent4 3 4 5 3" xfId="32217" xr:uid="{00000000-0005-0000-0000-000062510000}"/>
    <cellStyle name="40% - Accent4 3 4 6" xfId="14287" xr:uid="{00000000-0005-0000-0000-000063510000}"/>
    <cellStyle name="40% - Accent4 3 4 6 2" xfId="25559" xr:uid="{00000000-0005-0000-0000-000064510000}"/>
    <cellStyle name="40% - Accent4 3 4 6 3" xfId="34436" xr:uid="{00000000-0005-0000-0000-000065510000}"/>
    <cellStyle name="40% - Accent4 3 4 7" xfId="18896" xr:uid="{00000000-0005-0000-0000-000066510000}"/>
    <cellStyle name="40% - Accent4 3 4 8" xfId="27777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8" xr:uid="{00000000-0005-0000-0000-00006B510000}"/>
    <cellStyle name="40% - Accent4 3 5 2 2 3" xfId="31475" xr:uid="{00000000-0005-0000-0000-00006C510000}"/>
    <cellStyle name="40% - Accent4 3 5 2 3" xfId="13543" xr:uid="{00000000-0005-0000-0000-00006D510000}"/>
    <cellStyle name="40% - Accent4 3 5 2 3 2" xfId="24817" xr:uid="{00000000-0005-0000-0000-00006E510000}"/>
    <cellStyle name="40% - Accent4 3 5 2 3 3" xfId="33694" xr:uid="{00000000-0005-0000-0000-00006F510000}"/>
    <cellStyle name="40% - Accent4 3 5 2 4" xfId="15993" xr:uid="{00000000-0005-0000-0000-000070510000}"/>
    <cellStyle name="40% - Accent4 3 5 2 4 2" xfId="27036" xr:uid="{00000000-0005-0000-0000-000071510000}"/>
    <cellStyle name="40% - Accent4 3 5 2 4 3" xfId="35913" xr:uid="{00000000-0005-0000-0000-000072510000}"/>
    <cellStyle name="40% - Accent4 3 5 2 5" xfId="20379" xr:uid="{00000000-0005-0000-0000-000073510000}"/>
    <cellStyle name="40% - Accent4 3 5 2 6" xfId="29256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5" xr:uid="{00000000-0005-0000-0000-000077510000}"/>
    <cellStyle name="40% - Accent4 3 5 3 2 3" xfId="30742" xr:uid="{00000000-0005-0000-0000-000078510000}"/>
    <cellStyle name="40% - Accent4 3 5 3 3" xfId="12810" xr:uid="{00000000-0005-0000-0000-000079510000}"/>
    <cellStyle name="40% - Accent4 3 5 3 3 2" xfId="24084" xr:uid="{00000000-0005-0000-0000-00007A510000}"/>
    <cellStyle name="40% - Accent4 3 5 3 3 3" xfId="32961" xr:uid="{00000000-0005-0000-0000-00007B510000}"/>
    <cellStyle name="40% - Accent4 3 5 3 4" xfId="15260" xr:uid="{00000000-0005-0000-0000-00007C510000}"/>
    <cellStyle name="40% - Accent4 3 5 3 4 2" xfId="26303" xr:uid="{00000000-0005-0000-0000-00007D510000}"/>
    <cellStyle name="40% - Accent4 3 5 3 4 3" xfId="35180" xr:uid="{00000000-0005-0000-0000-00007E510000}"/>
    <cellStyle name="40% - Accent4 3 5 3 5" xfId="19646" xr:uid="{00000000-0005-0000-0000-00007F510000}"/>
    <cellStyle name="40% - Accent4 3 5 3 6" xfId="28523" xr:uid="{00000000-0005-0000-0000-000080510000}"/>
    <cellStyle name="40% - Accent4 3 5 4" xfId="9619" xr:uid="{00000000-0005-0000-0000-000081510000}"/>
    <cellStyle name="40% - Accent4 3 5 4 2" xfId="21122" xr:uid="{00000000-0005-0000-0000-000082510000}"/>
    <cellStyle name="40% - Accent4 3 5 4 3" xfId="29999" xr:uid="{00000000-0005-0000-0000-000083510000}"/>
    <cellStyle name="40% - Accent4 3 5 5" xfId="12067" xr:uid="{00000000-0005-0000-0000-000084510000}"/>
    <cellStyle name="40% - Accent4 3 5 5 2" xfId="23341" xr:uid="{00000000-0005-0000-0000-000085510000}"/>
    <cellStyle name="40% - Accent4 3 5 5 3" xfId="32218" xr:uid="{00000000-0005-0000-0000-000086510000}"/>
    <cellStyle name="40% - Accent4 3 5 6" xfId="14288" xr:uid="{00000000-0005-0000-0000-000087510000}"/>
    <cellStyle name="40% - Accent4 3 5 6 2" xfId="25560" xr:uid="{00000000-0005-0000-0000-000088510000}"/>
    <cellStyle name="40% - Accent4 3 5 6 3" xfId="34437" xr:uid="{00000000-0005-0000-0000-000089510000}"/>
    <cellStyle name="40% - Accent4 3 5 7" xfId="18897" xr:uid="{00000000-0005-0000-0000-00008A510000}"/>
    <cellStyle name="40% - Accent4 3 5 8" xfId="27778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2" xr:uid="{00000000-0005-0000-0000-0000A4510000}"/>
    <cellStyle name="40% - Accent4 7 10 3" xfId="32219" xr:uid="{00000000-0005-0000-0000-0000A5510000}"/>
    <cellStyle name="40% - Accent4 7 11" xfId="14289" xr:uid="{00000000-0005-0000-0000-0000A6510000}"/>
    <cellStyle name="40% - Accent4 7 11 2" xfId="25561" xr:uid="{00000000-0005-0000-0000-0000A7510000}"/>
    <cellStyle name="40% - Accent4 7 11 3" xfId="34438" xr:uid="{00000000-0005-0000-0000-0000A8510000}"/>
    <cellStyle name="40% - Accent4 7 12" xfId="18898" xr:uid="{00000000-0005-0000-0000-0000A9510000}"/>
    <cellStyle name="40% - Accent4 7 13" xfId="27779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599" xr:uid="{00000000-0005-0000-0000-0000B2510000}"/>
    <cellStyle name="40% - Accent4 7 7 2 3" xfId="31476" xr:uid="{00000000-0005-0000-0000-0000B3510000}"/>
    <cellStyle name="40% - Accent4 7 7 3" xfId="13544" xr:uid="{00000000-0005-0000-0000-0000B4510000}"/>
    <cellStyle name="40% - Accent4 7 7 3 2" xfId="24818" xr:uid="{00000000-0005-0000-0000-0000B5510000}"/>
    <cellStyle name="40% - Accent4 7 7 3 3" xfId="33695" xr:uid="{00000000-0005-0000-0000-0000B6510000}"/>
    <cellStyle name="40% - Accent4 7 7 4" xfId="15994" xr:uid="{00000000-0005-0000-0000-0000B7510000}"/>
    <cellStyle name="40% - Accent4 7 7 4 2" xfId="27037" xr:uid="{00000000-0005-0000-0000-0000B8510000}"/>
    <cellStyle name="40% - Accent4 7 7 4 3" xfId="35914" xr:uid="{00000000-0005-0000-0000-0000B9510000}"/>
    <cellStyle name="40% - Accent4 7 7 5" xfId="20380" xr:uid="{00000000-0005-0000-0000-0000BA510000}"/>
    <cellStyle name="40% - Accent4 7 7 6" xfId="29257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6" xr:uid="{00000000-0005-0000-0000-0000BE510000}"/>
    <cellStyle name="40% - Accent4 7 8 2 3" xfId="30743" xr:uid="{00000000-0005-0000-0000-0000BF510000}"/>
    <cellStyle name="40% - Accent4 7 8 3" xfId="12811" xr:uid="{00000000-0005-0000-0000-0000C0510000}"/>
    <cellStyle name="40% - Accent4 7 8 3 2" xfId="24085" xr:uid="{00000000-0005-0000-0000-0000C1510000}"/>
    <cellStyle name="40% - Accent4 7 8 3 3" xfId="32962" xr:uid="{00000000-0005-0000-0000-0000C2510000}"/>
    <cellStyle name="40% - Accent4 7 8 4" xfId="15261" xr:uid="{00000000-0005-0000-0000-0000C3510000}"/>
    <cellStyle name="40% - Accent4 7 8 4 2" xfId="26304" xr:uid="{00000000-0005-0000-0000-0000C4510000}"/>
    <cellStyle name="40% - Accent4 7 8 4 3" xfId="35181" xr:uid="{00000000-0005-0000-0000-0000C5510000}"/>
    <cellStyle name="40% - Accent4 7 8 5" xfId="19647" xr:uid="{00000000-0005-0000-0000-0000C6510000}"/>
    <cellStyle name="40% - Accent4 7 8 6" xfId="28524" xr:uid="{00000000-0005-0000-0000-0000C7510000}"/>
    <cellStyle name="40% - Accent4 7 9" xfId="9620" xr:uid="{00000000-0005-0000-0000-0000C8510000}"/>
    <cellStyle name="40% - Accent4 7 9 2" xfId="21123" xr:uid="{00000000-0005-0000-0000-0000C9510000}"/>
    <cellStyle name="40% - Accent4 7 9 3" xfId="30000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58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0" xr:uid="{00000000-0005-0000-0000-0000E2510000}"/>
    <cellStyle name="40% - Accent5 2 10 2 2 3" xfId="31477" xr:uid="{00000000-0005-0000-0000-0000E3510000}"/>
    <cellStyle name="40% - Accent5 2 10 2 3" xfId="13545" xr:uid="{00000000-0005-0000-0000-0000E4510000}"/>
    <cellStyle name="40% - Accent5 2 10 2 3 2" xfId="24819" xr:uid="{00000000-0005-0000-0000-0000E5510000}"/>
    <cellStyle name="40% - Accent5 2 10 2 3 3" xfId="33696" xr:uid="{00000000-0005-0000-0000-0000E6510000}"/>
    <cellStyle name="40% - Accent5 2 10 2 4" xfId="15995" xr:uid="{00000000-0005-0000-0000-0000E7510000}"/>
    <cellStyle name="40% - Accent5 2 10 2 4 2" xfId="27038" xr:uid="{00000000-0005-0000-0000-0000E8510000}"/>
    <cellStyle name="40% - Accent5 2 10 2 4 3" xfId="35915" xr:uid="{00000000-0005-0000-0000-0000E9510000}"/>
    <cellStyle name="40% - Accent5 2 10 2 5" xfId="20381" xr:uid="{00000000-0005-0000-0000-0000EA510000}"/>
    <cellStyle name="40% - Accent5 2 10 2 6" xfId="29258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7" xr:uid="{00000000-0005-0000-0000-0000EE510000}"/>
    <cellStyle name="40% - Accent5 2 10 3 2 3" xfId="30744" xr:uid="{00000000-0005-0000-0000-0000EF510000}"/>
    <cellStyle name="40% - Accent5 2 10 3 3" xfId="12812" xr:uid="{00000000-0005-0000-0000-0000F0510000}"/>
    <cellStyle name="40% - Accent5 2 10 3 3 2" xfId="24086" xr:uid="{00000000-0005-0000-0000-0000F1510000}"/>
    <cellStyle name="40% - Accent5 2 10 3 3 3" xfId="32963" xr:uid="{00000000-0005-0000-0000-0000F2510000}"/>
    <cellStyle name="40% - Accent5 2 10 3 4" xfId="15262" xr:uid="{00000000-0005-0000-0000-0000F3510000}"/>
    <cellStyle name="40% - Accent5 2 10 3 4 2" xfId="26305" xr:uid="{00000000-0005-0000-0000-0000F4510000}"/>
    <cellStyle name="40% - Accent5 2 10 3 4 3" xfId="35182" xr:uid="{00000000-0005-0000-0000-0000F5510000}"/>
    <cellStyle name="40% - Accent5 2 10 3 5" xfId="19648" xr:uid="{00000000-0005-0000-0000-0000F6510000}"/>
    <cellStyle name="40% - Accent5 2 10 3 6" xfId="28525" xr:uid="{00000000-0005-0000-0000-0000F7510000}"/>
    <cellStyle name="40% - Accent5 2 10 4" xfId="9621" xr:uid="{00000000-0005-0000-0000-0000F8510000}"/>
    <cellStyle name="40% - Accent5 2 10 4 2" xfId="21124" xr:uid="{00000000-0005-0000-0000-0000F9510000}"/>
    <cellStyle name="40% - Accent5 2 10 4 3" xfId="30001" xr:uid="{00000000-0005-0000-0000-0000FA510000}"/>
    <cellStyle name="40% - Accent5 2 10 5" xfId="12069" xr:uid="{00000000-0005-0000-0000-0000FB510000}"/>
    <cellStyle name="40% - Accent5 2 10 5 2" xfId="23343" xr:uid="{00000000-0005-0000-0000-0000FC510000}"/>
    <cellStyle name="40% - Accent5 2 10 5 3" xfId="32220" xr:uid="{00000000-0005-0000-0000-0000FD510000}"/>
    <cellStyle name="40% - Accent5 2 10 6" xfId="14290" xr:uid="{00000000-0005-0000-0000-0000FE510000}"/>
    <cellStyle name="40% - Accent5 2 10 6 2" xfId="25562" xr:uid="{00000000-0005-0000-0000-0000FF510000}"/>
    <cellStyle name="40% - Accent5 2 10 6 3" xfId="34439" xr:uid="{00000000-0005-0000-0000-000000520000}"/>
    <cellStyle name="40% - Accent5 2 10 7" xfId="18899" xr:uid="{00000000-0005-0000-0000-000001520000}"/>
    <cellStyle name="40% - Accent5 2 10 8" xfId="27780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1" xr:uid="{00000000-0005-0000-0000-000007520000}"/>
    <cellStyle name="40% - Accent5 2 11 2 2 2 3" xfId="31478" xr:uid="{00000000-0005-0000-0000-000008520000}"/>
    <cellStyle name="40% - Accent5 2 11 2 2 3" xfId="13546" xr:uid="{00000000-0005-0000-0000-000009520000}"/>
    <cellStyle name="40% - Accent5 2 11 2 2 3 2" xfId="24820" xr:uid="{00000000-0005-0000-0000-00000A520000}"/>
    <cellStyle name="40% - Accent5 2 11 2 2 3 3" xfId="33697" xr:uid="{00000000-0005-0000-0000-00000B520000}"/>
    <cellStyle name="40% - Accent5 2 11 2 2 4" xfId="15996" xr:uid="{00000000-0005-0000-0000-00000C520000}"/>
    <cellStyle name="40% - Accent5 2 11 2 2 4 2" xfId="27039" xr:uid="{00000000-0005-0000-0000-00000D520000}"/>
    <cellStyle name="40% - Accent5 2 11 2 2 4 3" xfId="35916" xr:uid="{00000000-0005-0000-0000-00000E520000}"/>
    <cellStyle name="40% - Accent5 2 11 2 2 5" xfId="20382" xr:uid="{00000000-0005-0000-0000-00000F520000}"/>
    <cellStyle name="40% - Accent5 2 11 2 2 6" xfId="29259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8" xr:uid="{00000000-0005-0000-0000-000013520000}"/>
    <cellStyle name="40% - Accent5 2 11 2 3 2 3" xfId="30745" xr:uid="{00000000-0005-0000-0000-000014520000}"/>
    <cellStyle name="40% - Accent5 2 11 2 3 3" xfId="12813" xr:uid="{00000000-0005-0000-0000-000015520000}"/>
    <cellStyle name="40% - Accent5 2 11 2 3 3 2" xfId="24087" xr:uid="{00000000-0005-0000-0000-000016520000}"/>
    <cellStyle name="40% - Accent5 2 11 2 3 3 3" xfId="32964" xr:uid="{00000000-0005-0000-0000-000017520000}"/>
    <cellStyle name="40% - Accent5 2 11 2 3 4" xfId="15263" xr:uid="{00000000-0005-0000-0000-000018520000}"/>
    <cellStyle name="40% - Accent5 2 11 2 3 4 2" xfId="26306" xr:uid="{00000000-0005-0000-0000-000019520000}"/>
    <cellStyle name="40% - Accent5 2 11 2 3 4 3" xfId="35183" xr:uid="{00000000-0005-0000-0000-00001A520000}"/>
    <cellStyle name="40% - Accent5 2 11 2 3 5" xfId="19649" xr:uid="{00000000-0005-0000-0000-00001B520000}"/>
    <cellStyle name="40% - Accent5 2 11 2 3 6" xfId="28526" xr:uid="{00000000-0005-0000-0000-00001C520000}"/>
    <cellStyle name="40% - Accent5 2 11 2 4" xfId="9622" xr:uid="{00000000-0005-0000-0000-00001D520000}"/>
    <cellStyle name="40% - Accent5 2 11 2 4 2" xfId="21125" xr:uid="{00000000-0005-0000-0000-00001E520000}"/>
    <cellStyle name="40% - Accent5 2 11 2 4 3" xfId="30002" xr:uid="{00000000-0005-0000-0000-00001F520000}"/>
    <cellStyle name="40% - Accent5 2 11 2 5" xfId="12070" xr:uid="{00000000-0005-0000-0000-000020520000}"/>
    <cellStyle name="40% - Accent5 2 11 2 5 2" xfId="23344" xr:uid="{00000000-0005-0000-0000-000021520000}"/>
    <cellStyle name="40% - Accent5 2 11 2 5 3" xfId="32221" xr:uid="{00000000-0005-0000-0000-000022520000}"/>
    <cellStyle name="40% - Accent5 2 11 2 6" xfId="14291" xr:uid="{00000000-0005-0000-0000-000023520000}"/>
    <cellStyle name="40% - Accent5 2 11 2 6 2" xfId="25563" xr:uid="{00000000-0005-0000-0000-000024520000}"/>
    <cellStyle name="40% - Accent5 2 11 2 6 3" xfId="34440" xr:uid="{00000000-0005-0000-0000-000025520000}"/>
    <cellStyle name="40% - Accent5 2 11 2 7" xfId="18900" xr:uid="{00000000-0005-0000-0000-000026520000}"/>
    <cellStyle name="40% - Accent5 2 11 2 8" xfId="27781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2" xr:uid="{00000000-0005-0000-0000-00002B520000}"/>
    <cellStyle name="40% - Accent5 2 11 3 2 2 3" xfId="31479" xr:uid="{00000000-0005-0000-0000-00002C520000}"/>
    <cellStyle name="40% - Accent5 2 11 3 2 3" xfId="13547" xr:uid="{00000000-0005-0000-0000-00002D520000}"/>
    <cellStyle name="40% - Accent5 2 11 3 2 3 2" xfId="24821" xr:uid="{00000000-0005-0000-0000-00002E520000}"/>
    <cellStyle name="40% - Accent5 2 11 3 2 3 3" xfId="33698" xr:uid="{00000000-0005-0000-0000-00002F520000}"/>
    <cellStyle name="40% - Accent5 2 11 3 2 4" xfId="15997" xr:uid="{00000000-0005-0000-0000-000030520000}"/>
    <cellStyle name="40% - Accent5 2 11 3 2 4 2" xfId="27040" xr:uid="{00000000-0005-0000-0000-000031520000}"/>
    <cellStyle name="40% - Accent5 2 11 3 2 4 3" xfId="35917" xr:uid="{00000000-0005-0000-0000-000032520000}"/>
    <cellStyle name="40% - Accent5 2 11 3 2 5" xfId="20383" xr:uid="{00000000-0005-0000-0000-000033520000}"/>
    <cellStyle name="40% - Accent5 2 11 3 2 6" xfId="29260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69" xr:uid="{00000000-0005-0000-0000-000037520000}"/>
    <cellStyle name="40% - Accent5 2 11 3 3 2 3" xfId="30746" xr:uid="{00000000-0005-0000-0000-000038520000}"/>
    <cellStyle name="40% - Accent5 2 11 3 3 3" xfId="12814" xr:uid="{00000000-0005-0000-0000-000039520000}"/>
    <cellStyle name="40% - Accent5 2 11 3 3 3 2" xfId="24088" xr:uid="{00000000-0005-0000-0000-00003A520000}"/>
    <cellStyle name="40% - Accent5 2 11 3 3 3 3" xfId="32965" xr:uid="{00000000-0005-0000-0000-00003B520000}"/>
    <cellStyle name="40% - Accent5 2 11 3 3 4" xfId="15264" xr:uid="{00000000-0005-0000-0000-00003C520000}"/>
    <cellStyle name="40% - Accent5 2 11 3 3 4 2" xfId="26307" xr:uid="{00000000-0005-0000-0000-00003D520000}"/>
    <cellStyle name="40% - Accent5 2 11 3 3 4 3" xfId="35184" xr:uid="{00000000-0005-0000-0000-00003E520000}"/>
    <cellStyle name="40% - Accent5 2 11 3 3 5" xfId="19650" xr:uid="{00000000-0005-0000-0000-00003F520000}"/>
    <cellStyle name="40% - Accent5 2 11 3 3 6" xfId="28527" xr:uid="{00000000-0005-0000-0000-000040520000}"/>
    <cellStyle name="40% - Accent5 2 11 3 4" xfId="9623" xr:uid="{00000000-0005-0000-0000-000041520000}"/>
    <cellStyle name="40% - Accent5 2 11 3 4 2" xfId="21126" xr:uid="{00000000-0005-0000-0000-000042520000}"/>
    <cellStyle name="40% - Accent5 2 11 3 4 3" xfId="30003" xr:uid="{00000000-0005-0000-0000-000043520000}"/>
    <cellStyle name="40% - Accent5 2 11 3 5" xfId="12071" xr:uid="{00000000-0005-0000-0000-000044520000}"/>
    <cellStyle name="40% - Accent5 2 11 3 5 2" xfId="23345" xr:uid="{00000000-0005-0000-0000-000045520000}"/>
    <cellStyle name="40% - Accent5 2 11 3 5 3" xfId="32222" xr:uid="{00000000-0005-0000-0000-000046520000}"/>
    <cellStyle name="40% - Accent5 2 11 3 6" xfId="14292" xr:uid="{00000000-0005-0000-0000-000047520000}"/>
    <cellStyle name="40% - Accent5 2 11 3 6 2" xfId="25564" xr:uid="{00000000-0005-0000-0000-000048520000}"/>
    <cellStyle name="40% - Accent5 2 11 3 6 3" xfId="34441" xr:uid="{00000000-0005-0000-0000-000049520000}"/>
    <cellStyle name="40% - Accent5 2 11 3 7" xfId="18901" xr:uid="{00000000-0005-0000-0000-00004A520000}"/>
    <cellStyle name="40% - Accent5 2 11 3 8" xfId="27782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3" xr:uid="{00000000-0005-0000-0000-00004F520000}"/>
    <cellStyle name="40% - Accent5 2 11 4 2 2 3" xfId="31480" xr:uid="{00000000-0005-0000-0000-000050520000}"/>
    <cellStyle name="40% - Accent5 2 11 4 2 3" xfId="13548" xr:uid="{00000000-0005-0000-0000-000051520000}"/>
    <cellStyle name="40% - Accent5 2 11 4 2 3 2" xfId="24822" xr:uid="{00000000-0005-0000-0000-000052520000}"/>
    <cellStyle name="40% - Accent5 2 11 4 2 3 3" xfId="33699" xr:uid="{00000000-0005-0000-0000-000053520000}"/>
    <cellStyle name="40% - Accent5 2 11 4 2 4" xfId="15998" xr:uid="{00000000-0005-0000-0000-000054520000}"/>
    <cellStyle name="40% - Accent5 2 11 4 2 4 2" xfId="27041" xr:uid="{00000000-0005-0000-0000-000055520000}"/>
    <cellStyle name="40% - Accent5 2 11 4 2 4 3" xfId="35918" xr:uid="{00000000-0005-0000-0000-000056520000}"/>
    <cellStyle name="40% - Accent5 2 11 4 2 5" xfId="20384" xr:uid="{00000000-0005-0000-0000-000057520000}"/>
    <cellStyle name="40% - Accent5 2 11 4 2 6" xfId="29261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0" xr:uid="{00000000-0005-0000-0000-00005B520000}"/>
    <cellStyle name="40% - Accent5 2 11 4 3 2 3" xfId="30747" xr:uid="{00000000-0005-0000-0000-00005C520000}"/>
    <cellStyle name="40% - Accent5 2 11 4 3 3" xfId="12815" xr:uid="{00000000-0005-0000-0000-00005D520000}"/>
    <cellStyle name="40% - Accent5 2 11 4 3 3 2" xfId="24089" xr:uid="{00000000-0005-0000-0000-00005E520000}"/>
    <cellStyle name="40% - Accent5 2 11 4 3 3 3" xfId="32966" xr:uid="{00000000-0005-0000-0000-00005F520000}"/>
    <cellStyle name="40% - Accent5 2 11 4 3 4" xfId="15265" xr:uid="{00000000-0005-0000-0000-000060520000}"/>
    <cellStyle name="40% - Accent5 2 11 4 3 4 2" xfId="26308" xr:uid="{00000000-0005-0000-0000-000061520000}"/>
    <cellStyle name="40% - Accent5 2 11 4 3 4 3" xfId="35185" xr:uid="{00000000-0005-0000-0000-000062520000}"/>
    <cellStyle name="40% - Accent5 2 11 4 3 5" xfId="19651" xr:uid="{00000000-0005-0000-0000-000063520000}"/>
    <cellStyle name="40% - Accent5 2 11 4 3 6" xfId="28528" xr:uid="{00000000-0005-0000-0000-000064520000}"/>
    <cellStyle name="40% - Accent5 2 11 4 4" xfId="9624" xr:uid="{00000000-0005-0000-0000-000065520000}"/>
    <cellStyle name="40% - Accent5 2 11 4 4 2" xfId="21127" xr:uid="{00000000-0005-0000-0000-000066520000}"/>
    <cellStyle name="40% - Accent5 2 11 4 4 3" xfId="30004" xr:uid="{00000000-0005-0000-0000-000067520000}"/>
    <cellStyle name="40% - Accent5 2 11 4 5" xfId="12072" xr:uid="{00000000-0005-0000-0000-000068520000}"/>
    <cellStyle name="40% - Accent5 2 11 4 5 2" xfId="23346" xr:uid="{00000000-0005-0000-0000-000069520000}"/>
    <cellStyle name="40% - Accent5 2 11 4 5 3" xfId="32223" xr:uid="{00000000-0005-0000-0000-00006A520000}"/>
    <cellStyle name="40% - Accent5 2 11 4 6" xfId="14293" xr:uid="{00000000-0005-0000-0000-00006B520000}"/>
    <cellStyle name="40% - Accent5 2 11 4 6 2" xfId="25565" xr:uid="{00000000-0005-0000-0000-00006C520000}"/>
    <cellStyle name="40% - Accent5 2 11 4 6 3" xfId="34442" xr:uid="{00000000-0005-0000-0000-00006D520000}"/>
    <cellStyle name="40% - Accent5 2 11 4 7" xfId="18902" xr:uid="{00000000-0005-0000-0000-00006E520000}"/>
    <cellStyle name="40% - Accent5 2 11 4 8" xfId="27783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4" xr:uid="{00000000-0005-0000-0000-000073520000}"/>
    <cellStyle name="40% - Accent5 2 11 5 2 2 3" xfId="31481" xr:uid="{00000000-0005-0000-0000-000074520000}"/>
    <cellStyle name="40% - Accent5 2 11 5 2 3" xfId="13549" xr:uid="{00000000-0005-0000-0000-000075520000}"/>
    <cellStyle name="40% - Accent5 2 11 5 2 3 2" xfId="24823" xr:uid="{00000000-0005-0000-0000-000076520000}"/>
    <cellStyle name="40% - Accent5 2 11 5 2 3 3" xfId="33700" xr:uid="{00000000-0005-0000-0000-000077520000}"/>
    <cellStyle name="40% - Accent5 2 11 5 2 4" xfId="15999" xr:uid="{00000000-0005-0000-0000-000078520000}"/>
    <cellStyle name="40% - Accent5 2 11 5 2 4 2" xfId="27042" xr:uid="{00000000-0005-0000-0000-000079520000}"/>
    <cellStyle name="40% - Accent5 2 11 5 2 4 3" xfId="35919" xr:uid="{00000000-0005-0000-0000-00007A520000}"/>
    <cellStyle name="40% - Accent5 2 11 5 2 5" xfId="20385" xr:uid="{00000000-0005-0000-0000-00007B520000}"/>
    <cellStyle name="40% - Accent5 2 11 5 2 6" xfId="29262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1" xr:uid="{00000000-0005-0000-0000-00007F520000}"/>
    <cellStyle name="40% - Accent5 2 11 5 3 2 3" xfId="30748" xr:uid="{00000000-0005-0000-0000-000080520000}"/>
    <cellStyle name="40% - Accent5 2 11 5 3 3" xfId="12816" xr:uid="{00000000-0005-0000-0000-000081520000}"/>
    <cellStyle name="40% - Accent5 2 11 5 3 3 2" xfId="24090" xr:uid="{00000000-0005-0000-0000-000082520000}"/>
    <cellStyle name="40% - Accent5 2 11 5 3 3 3" xfId="32967" xr:uid="{00000000-0005-0000-0000-000083520000}"/>
    <cellStyle name="40% - Accent5 2 11 5 3 4" xfId="15266" xr:uid="{00000000-0005-0000-0000-000084520000}"/>
    <cellStyle name="40% - Accent5 2 11 5 3 4 2" xfId="26309" xr:uid="{00000000-0005-0000-0000-000085520000}"/>
    <cellStyle name="40% - Accent5 2 11 5 3 4 3" xfId="35186" xr:uid="{00000000-0005-0000-0000-000086520000}"/>
    <cellStyle name="40% - Accent5 2 11 5 3 5" xfId="19652" xr:uid="{00000000-0005-0000-0000-000087520000}"/>
    <cellStyle name="40% - Accent5 2 11 5 3 6" xfId="28529" xr:uid="{00000000-0005-0000-0000-000088520000}"/>
    <cellStyle name="40% - Accent5 2 11 5 4" xfId="9625" xr:uid="{00000000-0005-0000-0000-000089520000}"/>
    <cellStyle name="40% - Accent5 2 11 5 4 2" xfId="21128" xr:uid="{00000000-0005-0000-0000-00008A520000}"/>
    <cellStyle name="40% - Accent5 2 11 5 4 3" xfId="30005" xr:uid="{00000000-0005-0000-0000-00008B520000}"/>
    <cellStyle name="40% - Accent5 2 11 5 5" xfId="12073" xr:uid="{00000000-0005-0000-0000-00008C520000}"/>
    <cellStyle name="40% - Accent5 2 11 5 5 2" xfId="23347" xr:uid="{00000000-0005-0000-0000-00008D520000}"/>
    <cellStyle name="40% - Accent5 2 11 5 5 3" xfId="32224" xr:uid="{00000000-0005-0000-0000-00008E520000}"/>
    <cellStyle name="40% - Accent5 2 11 5 6" xfId="14294" xr:uid="{00000000-0005-0000-0000-00008F520000}"/>
    <cellStyle name="40% - Accent5 2 11 5 6 2" xfId="25566" xr:uid="{00000000-0005-0000-0000-000090520000}"/>
    <cellStyle name="40% - Accent5 2 11 5 6 3" xfId="34443" xr:uid="{00000000-0005-0000-0000-000091520000}"/>
    <cellStyle name="40% - Accent5 2 11 5 7" xfId="18903" xr:uid="{00000000-0005-0000-0000-000092520000}"/>
    <cellStyle name="40% - Accent5 2 11 5 8" xfId="27784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5" xr:uid="{00000000-0005-0000-0000-00009A520000}"/>
    <cellStyle name="40% - Accent5 2 15 2 2 3" xfId="31482" xr:uid="{00000000-0005-0000-0000-00009B520000}"/>
    <cellStyle name="40% - Accent5 2 15 2 3" xfId="13550" xr:uid="{00000000-0005-0000-0000-00009C520000}"/>
    <cellStyle name="40% - Accent5 2 15 2 3 2" xfId="24824" xr:uid="{00000000-0005-0000-0000-00009D520000}"/>
    <cellStyle name="40% - Accent5 2 15 2 3 3" xfId="33701" xr:uid="{00000000-0005-0000-0000-00009E520000}"/>
    <cellStyle name="40% - Accent5 2 15 2 4" xfId="16000" xr:uid="{00000000-0005-0000-0000-00009F520000}"/>
    <cellStyle name="40% - Accent5 2 15 2 4 2" xfId="27043" xr:uid="{00000000-0005-0000-0000-0000A0520000}"/>
    <cellStyle name="40% - Accent5 2 15 2 4 3" xfId="35920" xr:uid="{00000000-0005-0000-0000-0000A1520000}"/>
    <cellStyle name="40% - Accent5 2 15 2 5" xfId="20386" xr:uid="{00000000-0005-0000-0000-0000A2520000}"/>
    <cellStyle name="40% - Accent5 2 15 2 6" xfId="29263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2" xr:uid="{00000000-0005-0000-0000-0000A6520000}"/>
    <cellStyle name="40% - Accent5 2 15 3 2 3" xfId="30749" xr:uid="{00000000-0005-0000-0000-0000A7520000}"/>
    <cellStyle name="40% - Accent5 2 15 3 3" xfId="12817" xr:uid="{00000000-0005-0000-0000-0000A8520000}"/>
    <cellStyle name="40% - Accent5 2 15 3 3 2" xfId="24091" xr:uid="{00000000-0005-0000-0000-0000A9520000}"/>
    <cellStyle name="40% - Accent5 2 15 3 3 3" xfId="32968" xr:uid="{00000000-0005-0000-0000-0000AA520000}"/>
    <cellStyle name="40% - Accent5 2 15 3 4" xfId="15267" xr:uid="{00000000-0005-0000-0000-0000AB520000}"/>
    <cellStyle name="40% - Accent5 2 15 3 4 2" xfId="26310" xr:uid="{00000000-0005-0000-0000-0000AC520000}"/>
    <cellStyle name="40% - Accent5 2 15 3 4 3" xfId="35187" xr:uid="{00000000-0005-0000-0000-0000AD520000}"/>
    <cellStyle name="40% - Accent5 2 15 3 5" xfId="19653" xr:uid="{00000000-0005-0000-0000-0000AE520000}"/>
    <cellStyle name="40% - Accent5 2 15 3 6" xfId="28530" xr:uid="{00000000-0005-0000-0000-0000AF520000}"/>
    <cellStyle name="40% - Accent5 2 15 4" xfId="9626" xr:uid="{00000000-0005-0000-0000-0000B0520000}"/>
    <cellStyle name="40% - Accent5 2 15 4 2" xfId="21129" xr:uid="{00000000-0005-0000-0000-0000B1520000}"/>
    <cellStyle name="40% - Accent5 2 15 4 3" xfId="30006" xr:uid="{00000000-0005-0000-0000-0000B2520000}"/>
    <cellStyle name="40% - Accent5 2 15 5" xfId="12074" xr:uid="{00000000-0005-0000-0000-0000B3520000}"/>
    <cellStyle name="40% - Accent5 2 15 5 2" xfId="23348" xr:uid="{00000000-0005-0000-0000-0000B4520000}"/>
    <cellStyle name="40% - Accent5 2 15 5 3" xfId="32225" xr:uid="{00000000-0005-0000-0000-0000B5520000}"/>
    <cellStyle name="40% - Accent5 2 15 6" xfId="14295" xr:uid="{00000000-0005-0000-0000-0000B6520000}"/>
    <cellStyle name="40% - Accent5 2 15 6 2" xfId="25567" xr:uid="{00000000-0005-0000-0000-0000B7520000}"/>
    <cellStyle name="40% - Accent5 2 15 6 3" xfId="34444" xr:uid="{00000000-0005-0000-0000-0000B8520000}"/>
    <cellStyle name="40% - Accent5 2 15 7" xfId="18904" xr:uid="{00000000-0005-0000-0000-0000B9520000}"/>
    <cellStyle name="40% - Accent5 2 15 8" xfId="27785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6" xr:uid="{00000000-0005-0000-0000-0000BF520000}"/>
    <cellStyle name="40% - Accent5 2 2 10 2 3" xfId="31483" xr:uid="{00000000-0005-0000-0000-0000C0520000}"/>
    <cellStyle name="40% - Accent5 2 2 10 3" xfId="13551" xr:uid="{00000000-0005-0000-0000-0000C1520000}"/>
    <cellStyle name="40% - Accent5 2 2 10 3 2" xfId="24825" xr:uid="{00000000-0005-0000-0000-0000C2520000}"/>
    <cellStyle name="40% - Accent5 2 2 10 3 3" xfId="33702" xr:uid="{00000000-0005-0000-0000-0000C3520000}"/>
    <cellStyle name="40% - Accent5 2 2 10 4" xfId="16001" xr:uid="{00000000-0005-0000-0000-0000C4520000}"/>
    <cellStyle name="40% - Accent5 2 2 10 4 2" xfId="27044" xr:uid="{00000000-0005-0000-0000-0000C5520000}"/>
    <cellStyle name="40% - Accent5 2 2 10 4 3" xfId="35921" xr:uid="{00000000-0005-0000-0000-0000C6520000}"/>
    <cellStyle name="40% - Accent5 2 2 10 5" xfId="20387" xr:uid="{00000000-0005-0000-0000-0000C7520000}"/>
    <cellStyle name="40% - Accent5 2 2 10 6" xfId="29264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3" xr:uid="{00000000-0005-0000-0000-0000CB520000}"/>
    <cellStyle name="40% - Accent5 2 2 11 2 3" xfId="30750" xr:uid="{00000000-0005-0000-0000-0000CC520000}"/>
    <cellStyle name="40% - Accent5 2 2 11 3" xfId="12818" xr:uid="{00000000-0005-0000-0000-0000CD520000}"/>
    <cellStyle name="40% - Accent5 2 2 11 3 2" xfId="24092" xr:uid="{00000000-0005-0000-0000-0000CE520000}"/>
    <cellStyle name="40% - Accent5 2 2 11 3 3" xfId="32969" xr:uid="{00000000-0005-0000-0000-0000CF520000}"/>
    <cellStyle name="40% - Accent5 2 2 11 4" xfId="15268" xr:uid="{00000000-0005-0000-0000-0000D0520000}"/>
    <cellStyle name="40% - Accent5 2 2 11 4 2" xfId="26311" xr:uid="{00000000-0005-0000-0000-0000D1520000}"/>
    <cellStyle name="40% - Accent5 2 2 11 4 3" xfId="35188" xr:uid="{00000000-0005-0000-0000-0000D2520000}"/>
    <cellStyle name="40% - Accent5 2 2 11 5" xfId="19654" xr:uid="{00000000-0005-0000-0000-0000D3520000}"/>
    <cellStyle name="40% - Accent5 2 2 11 6" xfId="28531" xr:uid="{00000000-0005-0000-0000-0000D4520000}"/>
    <cellStyle name="40% - Accent5 2 2 12" xfId="9627" xr:uid="{00000000-0005-0000-0000-0000D5520000}"/>
    <cellStyle name="40% - Accent5 2 2 12 2" xfId="21130" xr:uid="{00000000-0005-0000-0000-0000D6520000}"/>
    <cellStyle name="40% - Accent5 2 2 12 3" xfId="30007" xr:uid="{00000000-0005-0000-0000-0000D7520000}"/>
    <cellStyle name="40% - Accent5 2 2 13" xfId="12075" xr:uid="{00000000-0005-0000-0000-0000D8520000}"/>
    <cellStyle name="40% - Accent5 2 2 13 2" xfId="23349" xr:uid="{00000000-0005-0000-0000-0000D9520000}"/>
    <cellStyle name="40% - Accent5 2 2 13 3" xfId="32226" xr:uid="{00000000-0005-0000-0000-0000DA520000}"/>
    <cellStyle name="40% - Accent5 2 2 14" xfId="14296" xr:uid="{00000000-0005-0000-0000-0000DB520000}"/>
    <cellStyle name="40% - Accent5 2 2 14 2" xfId="25568" xr:uid="{00000000-0005-0000-0000-0000DC520000}"/>
    <cellStyle name="40% - Accent5 2 2 14 3" xfId="34445" xr:uid="{00000000-0005-0000-0000-0000DD520000}"/>
    <cellStyle name="40% - Accent5 2 2 15" xfId="18905" xr:uid="{00000000-0005-0000-0000-0000DE520000}"/>
    <cellStyle name="40% - Accent5 2 2 16" xfId="27786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7" xr:uid="{00000000-0005-0000-0000-0000E3520000}"/>
    <cellStyle name="40% - Accent5 2 2 2 2 2 3" xfId="31484" xr:uid="{00000000-0005-0000-0000-0000E4520000}"/>
    <cellStyle name="40% - Accent5 2 2 2 2 3" xfId="13552" xr:uid="{00000000-0005-0000-0000-0000E5520000}"/>
    <cellStyle name="40% - Accent5 2 2 2 2 3 2" xfId="24826" xr:uid="{00000000-0005-0000-0000-0000E6520000}"/>
    <cellStyle name="40% - Accent5 2 2 2 2 3 3" xfId="33703" xr:uid="{00000000-0005-0000-0000-0000E7520000}"/>
    <cellStyle name="40% - Accent5 2 2 2 2 4" xfId="16002" xr:uid="{00000000-0005-0000-0000-0000E8520000}"/>
    <cellStyle name="40% - Accent5 2 2 2 2 4 2" xfId="27045" xr:uid="{00000000-0005-0000-0000-0000E9520000}"/>
    <cellStyle name="40% - Accent5 2 2 2 2 4 3" xfId="35922" xr:uid="{00000000-0005-0000-0000-0000EA520000}"/>
    <cellStyle name="40% - Accent5 2 2 2 2 5" xfId="20388" xr:uid="{00000000-0005-0000-0000-0000EB520000}"/>
    <cellStyle name="40% - Accent5 2 2 2 2 6" xfId="29265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4" xr:uid="{00000000-0005-0000-0000-0000EF520000}"/>
    <cellStyle name="40% - Accent5 2 2 2 3 2 3" xfId="30751" xr:uid="{00000000-0005-0000-0000-0000F0520000}"/>
    <cellStyle name="40% - Accent5 2 2 2 3 3" xfId="12819" xr:uid="{00000000-0005-0000-0000-0000F1520000}"/>
    <cellStyle name="40% - Accent5 2 2 2 3 3 2" xfId="24093" xr:uid="{00000000-0005-0000-0000-0000F2520000}"/>
    <cellStyle name="40% - Accent5 2 2 2 3 3 3" xfId="32970" xr:uid="{00000000-0005-0000-0000-0000F3520000}"/>
    <cellStyle name="40% - Accent5 2 2 2 3 4" xfId="15269" xr:uid="{00000000-0005-0000-0000-0000F4520000}"/>
    <cellStyle name="40% - Accent5 2 2 2 3 4 2" xfId="26312" xr:uid="{00000000-0005-0000-0000-0000F5520000}"/>
    <cellStyle name="40% - Accent5 2 2 2 3 4 3" xfId="35189" xr:uid="{00000000-0005-0000-0000-0000F6520000}"/>
    <cellStyle name="40% - Accent5 2 2 2 3 5" xfId="19655" xr:uid="{00000000-0005-0000-0000-0000F7520000}"/>
    <cellStyle name="40% - Accent5 2 2 2 3 6" xfId="28532" xr:uid="{00000000-0005-0000-0000-0000F8520000}"/>
    <cellStyle name="40% - Accent5 2 2 2 4" xfId="9628" xr:uid="{00000000-0005-0000-0000-0000F9520000}"/>
    <cellStyle name="40% - Accent5 2 2 2 4 2" xfId="21131" xr:uid="{00000000-0005-0000-0000-0000FA520000}"/>
    <cellStyle name="40% - Accent5 2 2 2 4 3" xfId="30008" xr:uid="{00000000-0005-0000-0000-0000FB520000}"/>
    <cellStyle name="40% - Accent5 2 2 2 5" xfId="12076" xr:uid="{00000000-0005-0000-0000-0000FC520000}"/>
    <cellStyle name="40% - Accent5 2 2 2 5 2" xfId="23350" xr:uid="{00000000-0005-0000-0000-0000FD520000}"/>
    <cellStyle name="40% - Accent5 2 2 2 5 3" xfId="32227" xr:uid="{00000000-0005-0000-0000-0000FE520000}"/>
    <cellStyle name="40% - Accent5 2 2 2 6" xfId="14297" xr:uid="{00000000-0005-0000-0000-0000FF520000}"/>
    <cellStyle name="40% - Accent5 2 2 2 6 2" xfId="25569" xr:uid="{00000000-0005-0000-0000-000000530000}"/>
    <cellStyle name="40% - Accent5 2 2 2 6 3" xfId="34446" xr:uid="{00000000-0005-0000-0000-000001530000}"/>
    <cellStyle name="40% - Accent5 2 2 2 7" xfId="18906" xr:uid="{00000000-0005-0000-0000-000002530000}"/>
    <cellStyle name="40% - Accent5 2 2 2 8" xfId="27787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8" xr:uid="{00000000-0005-0000-0000-000007530000}"/>
    <cellStyle name="40% - Accent5 2 2 3 2 2 3" xfId="31485" xr:uid="{00000000-0005-0000-0000-000008530000}"/>
    <cellStyle name="40% - Accent5 2 2 3 2 3" xfId="13553" xr:uid="{00000000-0005-0000-0000-000009530000}"/>
    <cellStyle name="40% - Accent5 2 2 3 2 3 2" xfId="24827" xr:uid="{00000000-0005-0000-0000-00000A530000}"/>
    <cellStyle name="40% - Accent5 2 2 3 2 3 3" xfId="33704" xr:uid="{00000000-0005-0000-0000-00000B530000}"/>
    <cellStyle name="40% - Accent5 2 2 3 2 4" xfId="16003" xr:uid="{00000000-0005-0000-0000-00000C530000}"/>
    <cellStyle name="40% - Accent5 2 2 3 2 4 2" xfId="27046" xr:uid="{00000000-0005-0000-0000-00000D530000}"/>
    <cellStyle name="40% - Accent5 2 2 3 2 4 3" xfId="35923" xr:uid="{00000000-0005-0000-0000-00000E530000}"/>
    <cellStyle name="40% - Accent5 2 2 3 2 5" xfId="20389" xr:uid="{00000000-0005-0000-0000-00000F530000}"/>
    <cellStyle name="40% - Accent5 2 2 3 2 6" xfId="29266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5" xr:uid="{00000000-0005-0000-0000-000013530000}"/>
    <cellStyle name="40% - Accent5 2 2 3 3 2 3" xfId="30752" xr:uid="{00000000-0005-0000-0000-000014530000}"/>
    <cellStyle name="40% - Accent5 2 2 3 3 3" xfId="12820" xr:uid="{00000000-0005-0000-0000-000015530000}"/>
    <cellStyle name="40% - Accent5 2 2 3 3 3 2" xfId="24094" xr:uid="{00000000-0005-0000-0000-000016530000}"/>
    <cellStyle name="40% - Accent5 2 2 3 3 3 3" xfId="32971" xr:uid="{00000000-0005-0000-0000-000017530000}"/>
    <cellStyle name="40% - Accent5 2 2 3 3 4" xfId="15270" xr:uid="{00000000-0005-0000-0000-000018530000}"/>
    <cellStyle name="40% - Accent5 2 2 3 3 4 2" xfId="26313" xr:uid="{00000000-0005-0000-0000-000019530000}"/>
    <cellStyle name="40% - Accent5 2 2 3 3 4 3" xfId="35190" xr:uid="{00000000-0005-0000-0000-00001A530000}"/>
    <cellStyle name="40% - Accent5 2 2 3 3 5" xfId="19656" xr:uid="{00000000-0005-0000-0000-00001B530000}"/>
    <cellStyle name="40% - Accent5 2 2 3 3 6" xfId="28533" xr:uid="{00000000-0005-0000-0000-00001C530000}"/>
    <cellStyle name="40% - Accent5 2 2 3 4" xfId="9629" xr:uid="{00000000-0005-0000-0000-00001D530000}"/>
    <cellStyle name="40% - Accent5 2 2 3 4 2" xfId="21132" xr:uid="{00000000-0005-0000-0000-00001E530000}"/>
    <cellStyle name="40% - Accent5 2 2 3 4 3" xfId="30009" xr:uid="{00000000-0005-0000-0000-00001F530000}"/>
    <cellStyle name="40% - Accent5 2 2 3 5" xfId="12077" xr:uid="{00000000-0005-0000-0000-000020530000}"/>
    <cellStyle name="40% - Accent5 2 2 3 5 2" xfId="23351" xr:uid="{00000000-0005-0000-0000-000021530000}"/>
    <cellStyle name="40% - Accent5 2 2 3 5 3" xfId="32228" xr:uid="{00000000-0005-0000-0000-000022530000}"/>
    <cellStyle name="40% - Accent5 2 2 3 6" xfId="14298" xr:uid="{00000000-0005-0000-0000-000023530000}"/>
    <cellStyle name="40% - Accent5 2 2 3 6 2" xfId="25570" xr:uid="{00000000-0005-0000-0000-000024530000}"/>
    <cellStyle name="40% - Accent5 2 2 3 6 3" xfId="34447" xr:uid="{00000000-0005-0000-0000-000025530000}"/>
    <cellStyle name="40% - Accent5 2 2 3 7" xfId="18907" xr:uid="{00000000-0005-0000-0000-000026530000}"/>
    <cellStyle name="40% - Accent5 2 2 3 8" xfId="27788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09" xr:uid="{00000000-0005-0000-0000-00002B530000}"/>
    <cellStyle name="40% - Accent5 2 2 4 2 2 3" xfId="31486" xr:uid="{00000000-0005-0000-0000-00002C530000}"/>
    <cellStyle name="40% - Accent5 2 2 4 2 3" xfId="13554" xr:uid="{00000000-0005-0000-0000-00002D530000}"/>
    <cellStyle name="40% - Accent5 2 2 4 2 3 2" xfId="24828" xr:uid="{00000000-0005-0000-0000-00002E530000}"/>
    <cellStyle name="40% - Accent5 2 2 4 2 3 3" xfId="33705" xr:uid="{00000000-0005-0000-0000-00002F530000}"/>
    <cellStyle name="40% - Accent5 2 2 4 2 4" xfId="16004" xr:uid="{00000000-0005-0000-0000-000030530000}"/>
    <cellStyle name="40% - Accent5 2 2 4 2 4 2" xfId="27047" xr:uid="{00000000-0005-0000-0000-000031530000}"/>
    <cellStyle name="40% - Accent5 2 2 4 2 4 3" xfId="35924" xr:uid="{00000000-0005-0000-0000-000032530000}"/>
    <cellStyle name="40% - Accent5 2 2 4 2 5" xfId="20390" xr:uid="{00000000-0005-0000-0000-000033530000}"/>
    <cellStyle name="40% - Accent5 2 2 4 2 6" xfId="29267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6" xr:uid="{00000000-0005-0000-0000-000037530000}"/>
    <cellStyle name="40% - Accent5 2 2 4 3 2 3" xfId="30753" xr:uid="{00000000-0005-0000-0000-000038530000}"/>
    <cellStyle name="40% - Accent5 2 2 4 3 3" xfId="12821" xr:uid="{00000000-0005-0000-0000-000039530000}"/>
    <cellStyle name="40% - Accent5 2 2 4 3 3 2" xfId="24095" xr:uid="{00000000-0005-0000-0000-00003A530000}"/>
    <cellStyle name="40% - Accent5 2 2 4 3 3 3" xfId="32972" xr:uid="{00000000-0005-0000-0000-00003B530000}"/>
    <cellStyle name="40% - Accent5 2 2 4 3 4" xfId="15271" xr:uid="{00000000-0005-0000-0000-00003C530000}"/>
    <cellStyle name="40% - Accent5 2 2 4 3 4 2" xfId="26314" xr:uid="{00000000-0005-0000-0000-00003D530000}"/>
    <cellStyle name="40% - Accent5 2 2 4 3 4 3" xfId="35191" xr:uid="{00000000-0005-0000-0000-00003E530000}"/>
    <cellStyle name="40% - Accent5 2 2 4 3 5" xfId="19657" xr:uid="{00000000-0005-0000-0000-00003F530000}"/>
    <cellStyle name="40% - Accent5 2 2 4 3 6" xfId="28534" xr:uid="{00000000-0005-0000-0000-000040530000}"/>
    <cellStyle name="40% - Accent5 2 2 4 4" xfId="9630" xr:uid="{00000000-0005-0000-0000-000041530000}"/>
    <cellStyle name="40% - Accent5 2 2 4 4 2" xfId="21133" xr:uid="{00000000-0005-0000-0000-000042530000}"/>
    <cellStyle name="40% - Accent5 2 2 4 4 3" xfId="30010" xr:uid="{00000000-0005-0000-0000-000043530000}"/>
    <cellStyle name="40% - Accent5 2 2 4 5" xfId="12078" xr:uid="{00000000-0005-0000-0000-000044530000}"/>
    <cellStyle name="40% - Accent5 2 2 4 5 2" xfId="23352" xr:uid="{00000000-0005-0000-0000-000045530000}"/>
    <cellStyle name="40% - Accent5 2 2 4 5 3" xfId="32229" xr:uid="{00000000-0005-0000-0000-000046530000}"/>
    <cellStyle name="40% - Accent5 2 2 4 6" xfId="14299" xr:uid="{00000000-0005-0000-0000-000047530000}"/>
    <cellStyle name="40% - Accent5 2 2 4 6 2" xfId="25571" xr:uid="{00000000-0005-0000-0000-000048530000}"/>
    <cellStyle name="40% - Accent5 2 2 4 6 3" xfId="34448" xr:uid="{00000000-0005-0000-0000-000049530000}"/>
    <cellStyle name="40% - Accent5 2 2 4 7" xfId="18908" xr:uid="{00000000-0005-0000-0000-00004A530000}"/>
    <cellStyle name="40% - Accent5 2 2 4 8" xfId="27789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0" xr:uid="{00000000-0005-0000-0000-00004F530000}"/>
    <cellStyle name="40% - Accent5 2 2 5 2 2 3" xfId="31487" xr:uid="{00000000-0005-0000-0000-000050530000}"/>
    <cellStyle name="40% - Accent5 2 2 5 2 3" xfId="13555" xr:uid="{00000000-0005-0000-0000-000051530000}"/>
    <cellStyle name="40% - Accent5 2 2 5 2 3 2" xfId="24829" xr:uid="{00000000-0005-0000-0000-000052530000}"/>
    <cellStyle name="40% - Accent5 2 2 5 2 3 3" xfId="33706" xr:uid="{00000000-0005-0000-0000-000053530000}"/>
    <cellStyle name="40% - Accent5 2 2 5 2 4" xfId="16005" xr:uid="{00000000-0005-0000-0000-000054530000}"/>
    <cellStyle name="40% - Accent5 2 2 5 2 4 2" xfId="27048" xr:uid="{00000000-0005-0000-0000-000055530000}"/>
    <cellStyle name="40% - Accent5 2 2 5 2 4 3" xfId="35925" xr:uid="{00000000-0005-0000-0000-000056530000}"/>
    <cellStyle name="40% - Accent5 2 2 5 2 5" xfId="20391" xr:uid="{00000000-0005-0000-0000-000057530000}"/>
    <cellStyle name="40% - Accent5 2 2 5 2 6" xfId="29268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7" xr:uid="{00000000-0005-0000-0000-00005B530000}"/>
    <cellStyle name="40% - Accent5 2 2 5 3 2 3" xfId="30754" xr:uid="{00000000-0005-0000-0000-00005C530000}"/>
    <cellStyle name="40% - Accent5 2 2 5 3 3" xfId="12822" xr:uid="{00000000-0005-0000-0000-00005D530000}"/>
    <cellStyle name="40% - Accent5 2 2 5 3 3 2" xfId="24096" xr:uid="{00000000-0005-0000-0000-00005E530000}"/>
    <cellStyle name="40% - Accent5 2 2 5 3 3 3" xfId="32973" xr:uid="{00000000-0005-0000-0000-00005F530000}"/>
    <cellStyle name="40% - Accent5 2 2 5 3 4" xfId="15272" xr:uid="{00000000-0005-0000-0000-000060530000}"/>
    <cellStyle name="40% - Accent5 2 2 5 3 4 2" xfId="26315" xr:uid="{00000000-0005-0000-0000-000061530000}"/>
    <cellStyle name="40% - Accent5 2 2 5 3 4 3" xfId="35192" xr:uid="{00000000-0005-0000-0000-000062530000}"/>
    <cellStyle name="40% - Accent5 2 2 5 3 5" xfId="19658" xr:uid="{00000000-0005-0000-0000-000063530000}"/>
    <cellStyle name="40% - Accent5 2 2 5 3 6" xfId="28535" xr:uid="{00000000-0005-0000-0000-000064530000}"/>
    <cellStyle name="40% - Accent5 2 2 5 4" xfId="9631" xr:uid="{00000000-0005-0000-0000-000065530000}"/>
    <cellStyle name="40% - Accent5 2 2 5 4 2" xfId="21134" xr:uid="{00000000-0005-0000-0000-000066530000}"/>
    <cellStyle name="40% - Accent5 2 2 5 4 3" xfId="30011" xr:uid="{00000000-0005-0000-0000-000067530000}"/>
    <cellStyle name="40% - Accent5 2 2 5 5" xfId="12079" xr:uid="{00000000-0005-0000-0000-000068530000}"/>
    <cellStyle name="40% - Accent5 2 2 5 5 2" xfId="23353" xr:uid="{00000000-0005-0000-0000-000069530000}"/>
    <cellStyle name="40% - Accent5 2 2 5 5 3" xfId="32230" xr:uid="{00000000-0005-0000-0000-00006A530000}"/>
    <cellStyle name="40% - Accent5 2 2 5 6" xfId="14300" xr:uid="{00000000-0005-0000-0000-00006B530000}"/>
    <cellStyle name="40% - Accent5 2 2 5 6 2" xfId="25572" xr:uid="{00000000-0005-0000-0000-00006C530000}"/>
    <cellStyle name="40% - Accent5 2 2 5 6 3" xfId="34449" xr:uid="{00000000-0005-0000-0000-00006D530000}"/>
    <cellStyle name="40% - Accent5 2 2 5 7" xfId="18909" xr:uid="{00000000-0005-0000-0000-00006E530000}"/>
    <cellStyle name="40% - Accent5 2 2 5 8" xfId="27790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1" xr:uid="{00000000-0005-0000-0000-000073530000}"/>
    <cellStyle name="40% - Accent5 2 2 6 2 2 3" xfId="31488" xr:uid="{00000000-0005-0000-0000-000074530000}"/>
    <cellStyle name="40% - Accent5 2 2 6 2 3" xfId="13556" xr:uid="{00000000-0005-0000-0000-000075530000}"/>
    <cellStyle name="40% - Accent5 2 2 6 2 3 2" xfId="24830" xr:uid="{00000000-0005-0000-0000-000076530000}"/>
    <cellStyle name="40% - Accent5 2 2 6 2 3 3" xfId="33707" xr:uid="{00000000-0005-0000-0000-000077530000}"/>
    <cellStyle name="40% - Accent5 2 2 6 2 4" xfId="16006" xr:uid="{00000000-0005-0000-0000-000078530000}"/>
    <cellStyle name="40% - Accent5 2 2 6 2 4 2" xfId="27049" xr:uid="{00000000-0005-0000-0000-000079530000}"/>
    <cellStyle name="40% - Accent5 2 2 6 2 4 3" xfId="35926" xr:uid="{00000000-0005-0000-0000-00007A530000}"/>
    <cellStyle name="40% - Accent5 2 2 6 2 5" xfId="20392" xr:uid="{00000000-0005-0000-0000-00007B530000}"/>
    <cellStyle name="40% - Accent5 2 2 6 2 6" xfId="29269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8" xr:uid="{00000000-0005-0000-0000-00007F530000}"/>
    <cellStyle name="40% - Accent5 2 2 6 3 2 3" xfId="30755" xr:uid="{00000000-0005-0000-0000-000080530000}"/>
    <cellStyle name="40% - Accent5 2 2 6 3 3" xfId="12823" xr:uid="{00000000-0005-0000-0000-000081530000}"/>
    <cellStyle name="40% - Accent5 2 2 6 3 3 2" xfId="24097" xr:uid="{00000000-0005-0000-0000-000082530000}"/>
    <cellStyle name="40% - Accent5 2 2 6 3 3 3" xfId="32974" xr:uid="{00000000-0005-0000-0000-000083530000}"/>
    <cellStyle name="40% - Accent5 2 2 6 3 4" xfId="15273" xr:uid="{00000000-0005-0000-0000-000084530000}"/>
    <cellStyle name="40% - Accent5 2 2 6 3 4 2" xfId="26316" xr:uid="{00000000-0005-0000-0000-000085530000}"/>
    <cellStyle name="40% - Accent5 2 2 6 3 4 3" xfId="35193" xr:uid="{00000000-0005-0000-0000-000086530000}"/>
    <cellStyle name="40% - Accent5 2 2 6 3 5" xfId="19659" xr:uid="{00000000-0005-0000-0000-000087530000}"/>
    <cellStyle name="40% - Accent5 2 2 6 3 6" xfId="28536" xr:uid="{00000000-0005-0000-0000-000088530000}"/>
    <cellStyle name="40% - Accent5 2 2 6 4" xfId="9632" xr:uid="{00000000-0005-0000-0000-000089530000}"/>
    <cellStyle name="40% - Accent5 2 2 6 4 2" xfId="21135" xr:uid="{00000000-0005-0000-0000-00008A530000}"/>
    <cellStyle name="40% - Accent5 2 2 6 4 3" xfId="30012" xr:uid="{00000000-0005-0000-0000-00008B530000}"/>
    <cellStyle name="40% - Accent5 2 2 6 5" xfId="12080" xr:uid="{00000000-0005-0000-0000-00008C530000}"/>
    <cellStyle name="40% - Accent5 2 2 6 5 2" xfId="23354" xr:uid="{00000000-0005-0000-0000-00008D530000}"/>
    <cellStyle name="40% - Accent5 2 2 6 5 3" xfId="32231" xr:uid="{00000000-0005-0000-0000-00008E530000}"/>
    <cellStyle name="40% - Accent5 2 2 6 6" xfId="14301" xr:uid="{00000000-0005-0000-0000-00008F530000}"/>
    <cellStyle name="40% - Accent5 2 2 6 6 2" xfId="25573" xr:uid="{00000000-0005-0000-0000-000090530000}"/>
    <cellStyle name="40% - Accent5 2 2 6 6 3" xfId="34450" xr:uid="{00000000-0005-0000-0000-000091530000}"/>
    <cellStyle name="40% - Accent5 2 2 6 7" xfId="18910" xr:uid="{00000000-0005-0000-0000-000092530000}"/>
    <cellStyle name="40% - Accent5 2 2 6 8" xfId="27791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2" xr:uid="{00000000-0005-0000-0000-000097530000}"/>
    <cellStyle name="40% - Accent5 2 2 7 2 2 3" xfId="31489" xr:uid="{00000000-0005-0000-0000-000098530000}"/>
    <cellStyle name="40% - Accent5 2 2 7 2 3" xfId="13557" xr:uid="{00000000-0005-0000-0000-000099530000}"/>
    <cellStyle name="40% - Accent5 2 2 7 2 3 2" xfId="24831" xr:uid="{00000000-0005-0000-0000-00009A530000}"/>
    <cellStyle name="40% - Accent5 2 2 7 2 3 3" xfId="33708" xr:uid="{00000000-0005-0000-0000-00009B530000}"/>
    <cellStyle name="40% - Accent5 2 2 7 2 4" xfId="16007" xr:uid="{00000000-0005-0000-0000-00009C530000}"/>
    <cellStyle name="40% - Accent5 2 2 7 2 4 2" xfId="27050" xr:uid="{00000000-0005-0000-0000-00009D530000}"/>
    <cellStyle name="40% - Accent5 2 2 7 2 4 3" xfId="35927" xr:uid="{00000000-0005-0000-0000-00009E530000}"/>
    <cellStyle name="40% - Accent5 2 2 7 2 5" xfId="20393" xr:uid="{00000000-0005-0000-0000-00009F530000}"/>
    <cellStyle name="40% - Accent5 2 2 7 2 6" xfId="29270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79" xr:uid="{00000000-0005-0000-0000-0000A3530000}"/>
    <cellStyle name="40% - Accent5 2 2 7 3 2 3" xfId="30756" xr:uid="{00000000-0005-0000-0000-0000A4530000}"/>
    <cellStyle name="40% - Accent5 2 2 7 3 3" xfId="12824" xr:uid="{00000000-0005-0000-0000-0000A5530000}"/>
    <cellStyle name="40% - Accent5 2 2 7 3 3 2" xfId="24098" xr:uid="{00000000-0005-0000-0000-0000A6530000}"/>
    <cellStyle name="40% - Accent5 2 2 7 3 3 3" xfId="32975" xr:uid="{00000000-0005-0000-0000-0000A7530000}"/>
    <cellStyle name="40% - Accent5 2 2 7 3 4" xfId="15274" xr:uid="{00000000-0005-0000-0000-0000A8530000}"/>
    <cellStyle name="40% - Accent5 2 2 7 3 4 2" xfId="26317" xr:uid="{00000000-0005-0000-0000-0000A9530000}"/>
    <cellStyle name="40% - Accent5 2 2 7 3 4 3" xfId="35194" xr:uid="{00000000-0005-0000-0000-0000AA530000}"/>
    <cellStyle name="40% - Accent5 2 2 7 3 5" xfId="19660" xr:uid="{00000000-0005-0000-0000-0000AB530000}"/>
    <cellStyle name="40% - Accent5 2 2 7 3 6" xfId="28537" xr:uid="{00000000-0005-0000-0000-0000AC530000}"/>
    <cellStyle name="40% - Accent5 2 2 7 4" xfId="9633" xr:uid="{00000000-0005-0000-0000-0000AD530000}"/>
    <cellStyle name="40% - Accent5 2 2 7 4 2" xfId="21136" xr:uid="{00000000-0005-0000-0000-0000AE530000}"/>
    <cellStyle name="40% - Accent5 2 2 7 4 3" xfId="30013" xr:uid="{00000000-0005-0000-0000-0000AF530000}"/>
    <cellStyle name="40% - Accent5 2 2 7 5" xfId="12081" xr:uid="{00000000-0005-0000-0000-0000B0530000}"/>
    <cellStyle name="40% - Accent5 2 2 7 5 2" xfId="23355" xr:uid="{00000000-0005-0000-0000-0000B1530000}"/>
    <cellStyle name="40% - Accent5 2 2 7 5 3" xfId="32232" xr:uid="{00000000-0005-0000-0000-0000B2530000}"/>
    <cellStyle name="40% - Accent5 2 2 7 6" xfId="14302" xr:uid="{00000000-0005-0000-0000-0000B3530000}"/>
    <cellStyle name="40% - Accent5 2 2 7 6 2" xfId="25574" xr:uid="{00000000-0005-0000-0000-0000B4530000}"/>
    <cellStyle name="40% - Accent5 2 2 7 6 3" xfId="34451" xr:uid="{00000000-0005-0000-0000-0000B5530000}"/>
    <cellStyle name="40% - Accent5 2 2 7 7" xfId="18911" xr:uid="{00000000-0005-0000-0000-0000B6530000}"/>
    <cellStyle name="40% - Accent5 2 2 7 8" xfId="27792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3" xr:uid="{00000000-0005-0000-0000-0000BB530000}"/>
    <cellStyle name="40% - Accent5 2 2 8 2 2 3" xfId="31490" xr:uid="{00000000-0005-0000-0000-0000BC530000}"/>
    <cellStyle name="40% - Accent5 2 2 8 2 3" xfId="13558" xr:uid="{00000000-0005-0000-0000-0000BD530000}"/>
    <cellStyle name="40% - Accent5 2 2 8 2 3 2" xfId="24832" xr:uid="{00000000-0005-0000-0000-0000BE530000}"/>
    <cellStyle name="40% - Accent5 2 2 8 2 3 3" xfId="33709" xr:uid="{00000000-0005-0000-0000-0000BF530000}"/>
    <cellStyle name="40% - Accent5 2 2 8 2 4" xfId="16008" xr:uid="{00000000-0005-0000-0000-0000C0530000}"/>
    <cellStyle name="40% - Accent5 2 2 8 2 4 2" xfId="27051" xr:uid="{00000000-0005-0000-0000-0000C1530000}"/>
    <cellStyle name="40% - Accent5 2 2 8 2 4 3" xfId="35928" xr:uid="{00000000-0005-0000-0000-0000C2530000}"/>
    <cellStyle name="40% - Accent5 2 2 8 2 5" xfId="20394" xr:uid="{00000000-0005-0000-0000-0000C3530000}"/>
    <cellStyle name="40% - Accent5 2 2 8 2 6" xfId="29271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0" xr:uid="{00000000-0005-0000-0000-0000C7530000}"/>
    <cellStyle name="40% - Accent5 2 2 8 3 2 3" xfId="30757" xr:uid="{00000000-0005-0000-0000-0000C8530000}"/>
    <cellStyle name="40% - Accent5 2 2 8 3 3" xfId="12825" xr:uid="{00000000-0005-0000-0000-0000C9530000}"/>
    <cellStyle name="40% - Accent5 2 2 8 3 3 2" xfId="24099" xr:uid="{00000000-0005-0000-0000-0000CA530000}"/>
    <cellStyle name="40% - Accent5 2 2 8 3 3 3" xfId="32976" xr:uid="{00000000-0005-0000-0000-0000CB530000}"/>
    <cellStyle name="40% - Accent5 2 2 8 3 4" xfId="15275" xr:uid="{00000000-0005-0000-0000-0000CC530000}"/>
    <cellStyle name="40% - Accent5 2 2 8 3 4 2" xfId="26318" xr:uid="{00000000-0005-0000-0000-0000CD530000}"/>
    <cellStyle name="40% - Accent5 2 2 8 3 4 3" xfId="35195" xr:uid="{00000000-0005-0000-0000-0000CE530000}"/>
    <cellStyle name="40% - Accent5 2 2 8 3 5" xfId="19661" xr:uid="{00000000-0005-0000-0000-0000CF530000}"/>
    <cellStyle name="40% - Accent5 2 2 8 3 6" xfId="28538" xr:uid="{00000000-0005-0000-0000-0000D0530000}"/>
    <cellStyle name="40% - Accent5 2 2 8 4" xfId="9634" xr:uid="{00000000-0005-0000-0000-0000D1530000}"/>
    <cellStyle name="40% - Accent5 2 2 8 4 2" xfId="21137" xr:uid="{00000000-0005-0000-0000-0000D2530000}"/>
    <cellStyle name="40% - Accent5 2 2 8 4 3" xfId="30014" xr:uid="{00000000-0005-0000-0000-0000D3530000}"/>
    <cellStyle name="40% - Accent5 2 2 8 5" xfId="12082" xr:uid="{00000000-0005-0000-0000-0000D4530000}"/>
    <cellStyle name="40% - Accent5 2 2 8 5 2" xfId="23356" xr:uid="{00000000-0005-0000-0000-0000D5530000}"/>
    <cellStyle name="40% - Accent5 2 2 8 5 3" xfId="32233" xr:uid="{00000000-0005-0000-0000-0000D6530000}"/>
    <cellStyle name="40% - Accent5 2 2 8 6" xfId="14303" xr:uid="{00000000-0005-0000-0000-0000D7530000}"/>
    <cellStyle name="40% - Accent5 2 2 8 6 2" xfId="25575" xr:uid="{00000000-0005-0000-0000-0000D8530000}"/>
    <cellStyle name="40% - Accent5 2 2 8 6 3" xfId="34452" xr:uid="{00000000-0005-0000-0000-0000D9530000}"/>
    <cellStyle name="40% - Accent5 2 2 8 7" xfId="18912" xr:uid="{00000000-0005-0000-0000-0000DA530000}"/>
    <cellStyle name="40% - Accent5 2 2 8 8" xfId="27793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4" xr:uid="{00000000-0005-0000-0000-0000DF530000}"/>
    <cellStyle name="40% - Accent5 2 2 9 2 2 3" xfId="31491" xr:uid="{00000000-0005-0000-0000-0000E0530000}"/>
    <cellStyle name="40% - Accent5 2 2 9 2 3" xfId="13559" xr:uid="{00000000-0005-0000-0000-0000E1530000}"/>
    <cellStyle name="40% - Accent5 2 2 9 2 3 2" xfId="24833" xr:uid="{00000000-0005-0000-0000-0000E2530000}"/>
    <cellStyle name="40% - Accent5 2 2 9 2 3 3" xfId="33710" xr:uid="{00000000-0005-0000-0000-0000E3530000}"/>
    <cellStyle name="40% - Accent5 2 2 9 2 4" xfId="16009" xr:uid="{00000000-0005-0000-0000-0000E4530000}"/>
    <cellStyle name="40% - Accent5 2 2 9 2 4 2" xfId="27052" xr:uid="{00000000-0005-0000-0000-0000E5530000}"/>
    <cellStyle name="40% - Accent5 2 2 9 2 4 3" xfId="35929" xr:uid="{00000000-0005-0000-0000-0000E6530000}"/>
    <cellStyle name="40% - Accent5 2 2 9 2 5" xfId="20395" xr:uid="{00000000-0005-0000-0000-0000E7530000}"/>
    <cellStyle name="40% - Accent5 2 2 9 2 6" xfId="29272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1" xr:uid="{00000000-0005-0000-0000-0000EB530000}"/>
    <cellStyle name="40% - Accent5 2 2 9 3 2 3" xfId="30758" xr:uid="{00000000-0005-0000-0000-0000EC530000}"/>
    <cellStyle name="40% - Accent5 2 2 9 3 3" xfId="12826" xr:uid="{00000000-0005-0000-0000-0000ED530000}"/>
    <cellStyle name="40% - Accent5 2 2 9 3 3 2" xfId="24100" xr:uid="{00000000-0005-0000-0000-0000EE530000}"/>
    <cellStyle name="40% - Accent5 2 2 9 3 3 3" xfId="32977" xr:uid="{00000000-0005-0000-0000-0000EF530000}"/>
    <cellStyle name="40% - Accent5 2 2 9 3 4" xfId="15276" xr:uid="{00000000-0005-0000-0000-0000F0530000}"/>
    <cellStyle name="40% - Accent5 2 2 9 3 4 2" xfId="26319" xr:uid="{00000000-0005-0000-0000-0000F1530000}"/>
    <cellStyle name="40% - Accent5 2 2 9 3 4 3" xfId="35196" xr:uid="{00000000-0005-0000-0000-0000F2530000}"/>
    <cellStyle name="40% - Accent5 2 2 9 3 5" xfId="19662" xr:uid="{00000000-0005-0000-0000-0000F3530000}"/>
    <cellStyle name="40% - Accent5 2 2 9 3 6" xfId="28539" xr:uid="{00000000-0005-0000-0000-0000F4530000}"/>
    <cellStyle name="40% - Accent5 2 2 9 4" xfId="9635" xr:uid="{00000000-0005-0000-0000-0000F5530000}"/>
    <cellStyle name="40% - Accent5 2 2 9 4 2" xfId="21138" xr:uid="{00000000-0005-0000-0000-0000F6530000}"/>
    <cellStyle name="40% - Accent5 2 2 9 4 3" xfId="30015" xr:uid="{00000000-0005-0000-0000-0000F7530000}"/>
    <cellStyle name="40% - Accent5 2 2 9 5" xfId="12083" xr:uid="{00000000-0005-0000-0000-0000F8530000}"/>
    <cellStyle name="40% - Accent5 2 2 9 5 2" xfId="23357" xr:uid="{00000000-0005-0000-0000-0000F9530000}"/>
    <cellStyle name="40% - Accent5 2 2 9 5 3" xfId="32234" xr:uid="{00000000-0005-0000-0000-0000FA530000}"/>
    <cellStyle name="40% - Accent5 2 2 9 6" xfId="14304" xr:uid="{00000000-0005-0000-0000-0000FB530000}"/>
    <cellStyle name="40% - Accent5 2 2 9 6 2" xfId="25576" xr:uid="{00000000-0005-0000-0000-0000FC530000}"/>
    <cellStyle name="40% - Accent5 2 2 9 6 3" xfId="34453" xr:uid="{00000000-0005-0000-0000-0000FD530000}"/>
    <cellStyle name="40% - Accent5 2 2 9 7" xfId="18913" xr:uid="{00000000-0005-0000-0000-0000FE530000}"/>
    <cellStyle name="40% - Accent5 2 2 9 8" xfId="27794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5" xr:uid="{00000000-0005-0000-0000-000003540000}"/>
    <cellStyle name="40% - Accent5 2 3 10 2 3" xfId="31492" xr:uid="{00000000-0005-0000-0000-000004540000}"/>
    <cellStyle name="40% - Accent5 2 3 10 3" xfId="13560" xr:uid="{00000000-0005-0000-0000-000005540000}"/>
    <cellStyle name="40% - Accent5 2 3 10 3 2" xfId="24834" xr:uid="{00000000-0005-0000-0000-000006540000}"/>
    <cellStyle name="40% - Accent5 2 3 10 3 3" xfId="33711" xr:uid="{00000000-0005-0000-0000-000007540000}"/>
    <cellStyle name="40% - Accent5 2 3 10 4" xfId="16010" xr:uid="{00000000-0005-0000-0000-000008540000}"/>
    <cellStyle name="40% - Accent5 2 3 10 4 2" xfId="27053" xr:uid="{00000000-0005-0000-0000-000009540000}"/>
    <cellStyle name="40% - Accent5 2 3 10 4 3" xfId="35930" xr:uid="{00000000-0005-0000-0000-00000A540000}"/>
    <cellStyle name="40% - Accent5 2 3 10 5" xfId="20396" xr:uid="{00000000-0005-0000-0000-00000B540000}"/>
    <cellStyle name="40% - Accent5 2 3 10 6" xfId="29273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2" xr:uid="{00000000-0005-0000-0000-00000F540000}"/>
    <cellStyle name="40% - Accent5 2 3 11 2 3" xfId="30759" xr:uid="{00000000-0005-0000-0000-000010540000}"/>
    <cellStyle name="40% - Accent5 2 3 11 3" xfId="12827" xr:uid="{00000000-0005-0000-0000-000011540000}"/>
    <cellStyle name="40% - Accent5 2 3 11 3 2" xfId="24101" xr:uid="{00000000-0005-0000-0000-000012540000}"/>
    <cellStyle name="40% - Accent5 2 3 11 3 3" xfId="32978" xr:uid="{00000000-0005-0000-0000-000013540000}"/>
    <cellStyle name="40% - Accent5 2 3 11 4" xfId="15277" xr:uid="{00000000-0005-0000-0000-000014540000}"/>
    <cellStyle name="40% - Accent5 2 3 11 4 2" xfId="26320" xr:uid="{00000000-0005-0000-0000-000015540000}"/>
    <cellStyle name="40% - Accent5 2 3 11 4 3" xfId="35197" xr:uid="{00000000-0005-0000-0000-000016540000}"/>
    <cellStyle name="40% - Accent5 2 3 11 5" xfId="19663" xr:uid="{00000000-0005-0000-0000-000017540000}"/>
    <cellStyle name="40% - Accent5 2 3 11 6" xfId="28540" xr:uid="{00000000-0005-0000-0000-000018540000}"/>
    <cellStyle name="40% - Accent5 2 3 12" xfId="9636" xr:uid="{00000000-0005-0000-0000-000019540000}"/>
    <cellStyle name="40% - Accent5 2 3 12 2" xfId="21139" xr:uid="{00000000-0005-0000-0000-00001A540000}"/>
    <cellStyle name="40% - Accent5 2 3 12 3" xfId="30016" xr:uid="{00000000-0005-0000-0000-00001B540000}"/>
    <cellStyle name="40% - Accent5 2 3 13" xfId="12084" xr:uid="{00000000-0005-0000-0000-00001C540000}"/>
    <cellStyle name="40% - Accent5 2 3 13 2" xfId="23358" xr:uid="{00000000-0005-0000-0000-00001D540000}"/>
    <cellStyle name="40% - Accent5 2 3 13 3" xfId="32235" xr:uid="{00000000-0005-0000-0000-00001E540000}"/>
    <cellStyle name="40% - Accent5 2 3 14" xfId="14305" xr:uid="{00000000-0005-0000-0000-00001F540000}"/>
    <cellStyle name="40% - Accent5 2 3 14 2" xfId="25577" xr:uid="{00000000-0005-0000-0000-000020540000}"/>
    <cellStyle name="40% - Accent5 2 3 14 3" xfId="34454" xr:uid="{00000000-0005-0000-0000-000021540000}"/>
    <cellStyle name="40% - Accent5 2 3 15" xfId="18914" xr:uid="{00000000-0005-0000-0000-000022540000}"/>
    <cellStyle name="40% - Accent5 2 3 16" xfId="27795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6" xr:uid="{00000000-0005-0000-0000-000027540000}"/>
    <cellStyle name="40% - Accent5 2 3 2 2 2 3" xfId="31493" xr:uid="{00000000-0005-0000-0000-000028540000}"/>
    <cellStyle name="40% - Accent5 2 3 2 2 3" xfId="13561" xr:uid="{00000000-0005-0000-0000-000029540000}"/>
    <cellStyle name="40% - Accent5 2 3 2 2 3 2" xfId="24835" xr:uid="{00000000-0005-0000-0000-00002A540000}"/>
    <cellStyle name="40% - Accent5 2 3 2 2 3 3" xfId="33712" xr:uid="{00000000-0005-0000-0000-00002B540000}"/>
    <cellStyle name="40% - Accent5 2 3 2 2 4" xfId="16011" xr:uid="{00000000-0005-0000-0000-00002C540000}"/>
    <cellStyle name="40% - Accent5 2 3 2 2 4 2" xfId="27054" xr:uid="{00000000-0005-0000-0000-00002D540000}"/>
    <cellStyle name="40% - Accent5 2 3 2 2 4 3" xfId="35931" xr:uid="{00000000-0005-0000-0000-00002E540000}"/>
    <cellStyle name="40% - Accent5 2 3 2 2 5" xfId="20397" xr:uid="{00000000-0005-0000-0000-00002F540000}"/>
    <cellStyle name="40% - Accent5 2 3 2 2 6" xfId="29274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3" xr:uid="{00000000-0005-0000-0000-000033540000}"/>
    <cellStyle name="40% - Accent5 2 3 2 3 2 3" xfId="30760" xr:uid="{00000000-0005-0000-0000-000034540000}"/>
    <cellStyle name="40% - Accent5 2 3 2 3 3" xfId="12828" xr:uid="{00000000-0005-0000-0000-000035540000}"/>
    <cellStyle name="40% - Accent5 2 3 2 3 3 2" xfId="24102" xr:uid="{00000000-0005-0000-0000-000036540000}"/>
    <cellStyle name="40% - Accent5 2 3 2 3 3 3" xfId="32979" xr:uid="{00000000-0005-0000-0000-000037540000}"/>
    <cellStyle name="40% - Accent5 2 3 2 3 4" xfId="15278" xr:uid="{00000000-0005-0000-0000-000038540000}"/>
    <cellStyle name="40% - Accent5 2 3 2 3 4 2" xfId="26321" xr:uid="{00000000-0005-0000-0000-000039540000}"/>
    <cellStyle name="40% - Accent5 2 3 2 3 4 3" xfId="35198" xr:uid="{00000000-0005-0000-0000-00003A540000}"/>
    <cellStyle name="40% - Accent5 2 3 2 3 5" xfId="19664" xr:uid="{00000000-0005-0000-0000-00003B540000}"/>
    <cellStyle name="40% - Accent5 2 3 2 3 6" xfId="28541" xr:uid="{00000000-0005-0000-0000-00003C540000}"/>
    <cellStyle name="40% - Accent5 2 3 2 4" xfId="9637" xr:uid="{00000000-0005-0000-0000-00003D540000}"/>
    <cellStyle name="40% - Accent5 2 3 2 4 2" xfId="21140" xr:uid="{00000000-0005-0000-0000-00003E540000}"/>
    <cellStyle name="40% - Accent5 2 3 2 4 3" xfId="30017" xr:uid="{00000000-0005-0000-0000-00003F540000}"/>
    <cellStyle name="40% - Accent5 2 3 2 5" xfId="12085" xr:uid="{00000000-0005-0000-0000-000040540000}"/>
    <cellStyle name="40% - Accent5 2 3 2 5 2" xfId="23359" xr:uid="{00000000-0005-0000-0000-000041540000}"/>
    <cellStyle name="40% - Accent5 2 3 2 5 3" xfId="32236" xr:uid="{00000000-0005-0000-0000-000042540000}"/>
    <cellStyle name="40% - Accent5 2 3 2 6" xfId="14306" xr:uid="{00000000-0005-0000-0000-000043540000}"/>
    <cellStyle name="40% - Accent5 2 3 2 6 2" xfId="25578" xr:uid="{00000000-0005-0000-0000-000044540000}"/>
    <cellStyle name="40% - Accent5 2 3 2 6 3" xfId="34455" xr:uid="{00000000-0005-0000-0000-000045540000}"/>
    <cellStyle name="40% - Accent5 2 3 2 7" xfId="18915" xr:uid="{00000000-0005-0000-0000-000046540000}"/>
    <cellStyle name="40% - Accent5 2 3 2 8" xfId="27796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7" xr:uid="{00000000-0005-0000-0000-00004B540000}"/>
    <cellStyle name="40% - Accent5 2 3 3 2 2 3" xfId="31494" xr:uid="{00000000-0005-0000-0000-00004C540000}"/>
    <cellStyle name="40% - Accent5 2 3 3 2 3" xfId="13562" xr:uid="{00000000-0005-0000-0000-00004D540000}"/>
    <cellStyle name="40% - Accent5 2 3 3 2 3 2" xfId="24836" xr:uid="{00000000-0005-0000-0000-00004E540000}"/>
    <cellStyle name="40% - Accent5 2 3 3 2 3 3" xfId="33713" xr:uid="{00000000-0005-0000-0000-00004F540000}"/>
    <cellStyle name="40% - Accent5 2 3 3 2 4" xfId="16012" xr:uid="{00000000-0005-0000-0000-000050540000}"/>
    <cellStyle name="40% - Accent5 2 3 3 2 4 2" xfId="27055" xr:uid="{00000000-0005-0000-0000-000051540000}"/>
    <cellStyle name="40% - Accent5 2 3 3 2 4 3" xfId="35932" xr:uid="{00000000-0005-0000-0000-000052540000}"/>
    <cellStyle name="40% - Accent5 2 3 3 2 5" xfId="20398" xr:uid="{00000000-0005-0000-0000-000053540000}"/>
    <cellStyle name="40% - Accent5 2 3 3 2 6" xfId="29275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4" xr:uid="{00000000-0005-0000-0000-000057540000}"/>
    <cellStyle name="40% - Accent5 2 3 3 3 2 3" xfId="30761" xr:uid="{00000000-0005-0000-0000-000058540000}"/>
    <cellStyle name="40% - Accent5 2 3 3 3 3" xfId="12829" xr:uid="{00000000-0005-0000-0000-000059540000}"/>
    <cellStyle name="40% - Accent5 2 3 3 3 3 2" xfId="24103" xr:uid="{00000000-0005-0000-0000-00005A540000}"/>
    <cellStyle name="40% - Accent5 2 3 3 3 3 3" xfId="32980" xr:uid="{00000000-0005-0000-0000-00005B540000}"/>
    <cellStyle name="40% - Accent5 2 3 3 3 4" xfId="15279" xr:uid="{00000000-0005-0000-0000-00005C540000}"/>
    <cellStyle name="40% - Accent5 2 3 3 3 4 2" xfId="26322" xr:uid="{00000000-0005-0000-0000-00005D540000}"/>
    <cellStyle name="40% - Accent5 2 3 3 3 4 3" xfId="35199" xr:uid="{00000000-0005-0000-0000-00005E540000}"/>
    <cellStyle name="40% - Accent5 2 3 3 3 5" xfId="19665" xr:uid="{00000000-0005-0000-0000-00005F540000}"/>
    <cellStyle name="40% - Accent5 2 3 3 3 6" xfId="28542" xr:uid="{00000000-0005-0000-0000-000060540000}"/>
    <cellStyle name="40% - Accent5 2 3 3 4" xfId="9638" xr:uid="{00000000-0005-0000-0000-000061540000}"/>
    <cellStyle name="40% - Accent5 2 3 3 4 2" xfId="21141" xr:uid="{00000000-0005-0000-0000-000062540000}"/>
    <cellStyle name="40% - Accent5 2 3 3 4 3" xfId="30018" xr:uid="{00000000-0005-0000-0000-000063540000}"/>
    <cellStyle name="40% - Accent5 2 3 3 5" xfId="12086" xr:uid="{00000000-0005-0000-0000-000064540000}"/>
    <cellStyle name="40% - Accent5 2 3 3 5 2" xfId="23360" xr:uid="{00000000-0005-0000-0000-000065540000}"/>
    <cellStyle name="40% - Accent5 2 3 3 5 3" xfId="32237" xr:uid="{00000000-0005-0000-0000-000066540000}"/>
    <cellStyle name="40% - Accent5 2 3 3 6" xfId="14307" xr:uid="{00000000-0005-0000-0000-000067540000}"/>
    <cellStyle name="40% - Accent5 2 3 3 6 2" xfId="25579" xr:uid="{00000000-0005-0000-0000-000068540000}"/>
    <cellStyle name="40% - Accent5 2 3 3 6 3" xfId="34456" xr:uid="{00000000-0005-0000-0000-000069540000}"/>
    <cellStyle name="40% - Accent5 2 3 3 7" xfId="18916" xr:uid="{00000000-0005-0000-0000-00006A540000}"/>
    <cellStyle name="40% - Accent5 2 3 3 8" xfId="27797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8" xr:uid="{00000000-0005-0000-0000-00006F540000}"/>
    <cellStyle name="40% - Accent5 2 3 4 2 2 3" xfId="31495" xr:uid="{00000000-0005-0000-0000-000070540000}"/>
    <cellStyle name="40% - Accent5 2 3 4 2 3" xfId="13563" xr:uid="{00000000-0005-0000-0000-000071540000}"/>
    <cellStyle name="40% - Accent5 2 3 4 2 3 2" xfId="24837" xr:uid="{00000000-0005-0000-0000-000072540000}"/>
    <cellStyle name="40% - Accent5 2 3 4 2 3 3" xfId="33714" xr:uid="{00000000-0005-0000-0000-000073540000}"/>
    <cellStyle name="40% - Accent5 2 3 4 2 4" xfId="16013" xr:uid="{00000000-0005-0000-0000-000074540000}"/>
    <cellStyle name="40% - Accent5 2 3 4 2 4 2" xfId="27056" xr:uid="{00000000-0005-0000-0000-000075540000}"/>
    <cellStyle name="40% - Accent5 2 3 4 2 4 3" xfId="35933" xr:uid="{00000000-0005-0000-0000-000076540000}"/>
    <cellStyle name="40% - Accent5 2 3 4 2 5" xfId="20399" xr:uid="{00000000-0005-0000-0000-000077540000}"/>
    <cellStyle name="40% - Accent5 2 3 4 2 6" xfId="29276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5" xr:uid="{00000000-0005-0000-0000-00007B540000}"/>
    <cellStyle name="40% - Accent5 2 3 4 3 2 3" xfId="30762" xr:uid="{00000000-0005-0000-0000-00007C540000}"/>
    <cellStyle name="40% - Accent5 2 3 4 3 3" xfId="12830" xr:uid="{00000000-0005-0000-0000-00007D540000}"/>
    <cellStyle name="40% - Accent5 2 3 4 3 3 2" xfId="24104" xr:uid="{00000000-0005-0000-0000-00007E540000}"/>
    <cellStyle name="40% - Accent5 2 3 4 3 3 3" xfId="32981" xr:uid="{00000000-0005-0000-0000-00007F540000}"/>
    <cellStyle name="40% - Accent5 2 3 4 3 4" xfId="15280" xr:uid="{00000000-0005-0000-0000-000080540000}"/>
    <cellStyle name="40% - Accent5 2 3 4 3 4 2" xfId="26323" xr:uid="{00000000-0005-0000-0000-000081540000}"/>
    <cellStyle name="40% - Accent5 2 3 4 3 4 3" xfId="35200" xr:uid="{00000000-0005-0000-0000-000082540000}"/>
    <cellStyle name="40% - Accent5 2 3 4 3 5" xfId="19666" xr:uid="{00000000-0005-0000-0000-000083540000}"/>
    <cellStyle name="40% - Accent5 2 3 4 3 6" xfId="28543" xr:uid="{00000000-0005-0000-0000-000084540000}"/>
    <cellStyle name="40% - Accent5 2 3 4 4" xfId="9639" xr:uid="{00000000-0005-0000-0000-000085540000}"/>
    <cellStyle name="40% - Accent5 2 3 4 4 2" xfId="21142" xr:uid="{00000000-0005-0000-0000-000086540000}"/>
    <cellStyle name="40% - Accent5 2 3 4 4 3" xfId="30019" xr:uid="{00000000-0005-0000-0000-000087540000}"/>
    <cellStyle name="40% - Accent5 2 3 4 5" xfId="12087" xr:uid="{00000000-0005-0000-0000-000088540000}"/>
    <cellStyle name="40% - Accent5 2 3 4 5 2" xfId="23361" xr:uid="{00000000-0005-0000-0000-000089540000}"/>
    <cellStyle name="40% - Accent5 2 3 4 5 3" xfId="32238" xr:uid="{00000000-0005-0000-0000-00008A540000}"/>
    <cellStyle name="40% - Accent5 2 3 4 6" xfId="14308" xr:uid="{00000000-0005-0000-0000-00008B540000}"/>
    <cellStyle name="40% - Accent5 2 3 4 6 2" xfId="25580" xr:uid="{00000000-0005-0000-0000-00008C540000}"/>
    <cellStyle name="40% - Accent5 2 3 4 6 3" xfId="34457" xr:uid="{00000000-0005-0000-0000-00008D540000}"/>
    <cellStyle name="40% - Accent5 2 3 4 7" xfId="18917" xr:uid="{00000000-0005-0000-0000-00008E540000}"/>
    <cellStyle name="40% - Accent5 2 3 4 8" xfId="27798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19" xr:uid="{00000000-0005-0000-0000-000093540000}"/>
    <cellStyle name="40% - Accent5 2 3 5 2 2 3" xfId="31496" xr:uid="{00000000-0005-0000-0000-000094540000}"/>
    <cellStyle name="40% - Accent5 2 3 5 2 3" xfId="13564" xr:uid="{00000000-0005-0000-0000-000095540000}"/>
    <cellStyle name="40% - Accent5 2 3 5 2 3 2" xfId="24838" xr:uid="{00000000-0005-0000-0000-000096540000}"/>
    <cellStyle name="40% - Accent5 2 3 5 2 3 3" xfId="33715" xr:uid="{00000000-0005-0000-0000-000097540000}"/>
    <cellStyle name="40% - Accent5 2 3 5 2 4" xfId="16014" xr:uid="{00000000-0005-0000-0000-000098540000}"/>
    <cellStyle name="40% - Accent5 2 3 5 2 4 2" xfId="27057" xr:uid="{00000000-0005-0000-0000-000099540000}"/>
    <cellStyle name="40% - Accent5 2 3 5 2 4 3" xfId="35934" xr:uid="{00000000-0005-0000-0000-00009A540000}"/>
    <cellStyle name="40% - Accent5 2 3 5 2 5" xfId="20400" xr:uid="{00000000-0005-0000-0000-00009B540000}"/>
    <cellStyle name="40% - Accent5 2 3 5 2 6" xfId="29277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6" xr:uid="{00000000-0005-0000-0000-00009F540000}"/>
    <cellStyle name="40% - Accent5 2 3 5 3 2 3" xfId="30763" xr:uid="{00000000-0005-0000-0000-0000A0540000}"/>
    <cellStyle name="40% - Accent5 2 3 5 3 3" xfId="12831" xr:uid="{00000000-0005-0000-0000-0000A1540000}"/>
    <cellStyle name="40% - Accent5 2 3 5 3 3 2" xfId="24105" xr:uid="{00000000-0005-0000-0000-0000A2540000}"/>
    <cellStyle name="40% - Accent5 2 3 5 3 3 3" xfId="32982" xr:uid="{00000000-0005-0000-0000-0000A3540000}"/>
    <cellStyle name="40% - Accent5 2 3 5 3 4" xfId="15281" xr:uid="{00000000-0005-0000-0000-0000A4540000}"/>
    <cellStyle name="40% - Accent5 2 3 5 3 4 2" xfId="26324" xr:uid="{00000000-0005-0000-0000-0000A5540000}"/>
    <cellStyle name="40% - Accent5 2 3 5 3 4 3" xfId="35201" xr:uid="{00000000-0005-0000-0000-0000A6540000}"/>
    <cellStyle name="40% - Accent5 2 3 5 3 5" xfId="19667" xr:uid="{00000000-0005-0000-0000-0000A7540000}"/>
    <cellStyle name="40% - Accent5 2 3 5 3 6" xfId="28544" xr:uid="{00000000-0005-0000-0000-0000A8540000}"/>
    <cellStyle name="40% - Accent5 2 3 5 4" xfId="9640" xr:uid="{00000000-0005-0000-0000-0000A9540000}"/>
    <cellStyle name="40% - Accent5 2 3 5 4 2" xfId="21143" xr:uid="{00000000-0005-0000-0000-0000AA540000}"/>
    <cellStyle name="40% - Accent5 2 3 5 4 3" xfId="30020" xr:uid="{00000000-0005-0000-0000-0000AB540000}"/>
    <cellStyle name="40% - Accent5 2 3 5 5" xfId="12088" xr:uid="{00000000-0005-0000-0000-0000AC540000}"/>
    <cellStyle name="40% - Accent5 2 3 5 5 2" xfId="23362" xr:uid="{00000000-0005-0000-0000-0000AD540000}"/>
    <cellStyle name="40% - Accent5 2 3 5 5 3" xfId="32239" xr:uid="{00000000-0005-0000-0000-0000AE540000}"/>
    <cellStyle name="40% - Accent5 2 3 5 6" xfId="14309" xr:uid="{00000000-0005-0000-0000-0000AF540000}"/>
    <cellStyle name="40% - Accent5 2 3 5 6 2" xfId="25581" xr:uid="{00000000-0005-0000-0000-0000B0540000}"/>
    <cellStyle name="40% - Accent5 2 3 5 6 3" xfId="34458" xr:uid="{00000000-0005-0000-0000-0000B1540000}"/>
    <cellStyle name="40% - Accent5 2 3 5 7" xfId="18918" xr:uid="{00000000-0005-0000-0000-0000B2540000}"/>
    <cellStyle name="40% - Accent5 2 3 5 8" xfId="27799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0" xr:uid="{00000000-0005-0000-0000-0000B7540000}"/>
    <cellStyle name="40% - Accent5 2 3 6 2 2 3" xfId="31497" xr:uid="{00000000-0005-0000-0000-0000B8540000}"/>
    <cellStyle name="40% - Accent5 2 3 6 2 3" xfId="13565" xr:uid="{00000000-0005-0000-0000-0000B9540000}"/>
    <cellStyle name="40% - Accent5 2 3 6 2 3 2" xfId="24839" xr:uid="{00000000-0005-0000-0000-0000BA540000}"/>
    <cellStyle name="40% - Accent5 2 3 6 2 3 3" xfId="33716" xr:uid="{00000000-0005-0000-0000-0000BB540000}"/>
    <cellStyle name="40% - Accent5 2 3 6 2 4" xfId="16015" xr:uid="{00000000-0005-0000-0000-0000BC540000}"/>
    <cellStyle name="40% - Accent5 2 3 6 2 4 2" xfId="27058" xr:uid="{00000000-0005-0000-0000-0000BD540000}"/>
    <cellStyle name="40% - Accent5 2 3 6 2 4 3" xfId="35935" xr:uid="{00000000-0005-0000-0000-0000BE540000}"/>
    <cellStyle name="40% - Accent5 2 3 6 2 5" xfId="20401" xr:uid="{00000000-0005-0000-0000-0000BF540000}"/>
    <cellStyle name="40% - Accent5 2 3 6 2 6" xfId="29278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7" xr:uid="{00000000-0005-0000-0000-0000C3540000}"/>
    <cellStyle name="40% - Accent5 2 3 6 3 2 3" xfId="30764" xr:uid="{00000000-0005-0000-0000-0000C4540000}"/>
    <cellStyle name="40% - Accent5 2 3 6 3 3" xfId="12832" xr:uid="{00000000-0005-0000-0000-0000C5540000}"/>
    <cellStyle name="40% - Accent5 2 3 6 3 3 2" xfId="24106" xr:uid="{00000000-0005-0000-0000-0000C6540000}"/>
    <cellStyle name="40% - Accent5 2 3 6 3 3 3" xfId="32983" xr:uid="{00000000-0005-0000-0000-0000C7540000}"/>
    <cellStyle name="40% - Accent5 2 3 6 3 4" xfId="15282" xr:uid="{00000000-0005-0000-0000-0000C8540000}"/>
    <cellStyle name="40% - Accent5 2 3 6 3 4 2" xfId="26325" xr:uid="{00000000-0005-0000-0000-0000C9540000}"/>
    <cellStyle name="40% - Accent5 2 3 6 3 4 3" xfId="35202" xr:uid="{00000000-0005-0000-0000-0000CA540000}"/>
    <cellStyle name="40% - Accent5 2 3 6 3 5" xfId="19668" xr:uid="{00000000-0005-0000-0000-0000CB540000}"/>
    <cellStyle name="40% - Accent5 2 3 6 3 6" xfId="28545" xr:uid="{00000000-0005-0000-0000-0000CC540000}"/>
    <cellStyle name="40% - Accent5 2 3 6 4" xfId="9641" xr:uid="{00000000-0005-0000-0000-0000CD540000}"/>
    <cellStyle name="40% - Accent5 2 3 6 4 2" xfId="21144" xr:uid="{00000000-0005-0000-0000-0000CE540000}"/>
    <cellStyle name="40% - Accent5 2 3 6 4 3" xfId="30021" xr:uid="{00000000-0005-0000-0000-0000CF540000}"/>
    <cellStyle name="40% - Accent5 2 3 6 5" xfId="12089" xr:uid="{00000000-0005-0000-0000-0000D0540000}"/>
    <cellStyle name="40% - Accent5 2 3 6 5 2" xfId="23363" xr:uid="{00000000-0005-0000-0000-0000D1540000}"/>
    <cellStyle name="40% - Accent5 2 3 6 5 3" xfId="32240" xr:uid="{00000000-0005-0000-0000-0000D2540000}"/>
    <cellStyle name="40% - Accent5 2 3 6 6" xfId="14310" xr:uid="{00000000-0005-0000-0000-0000D3540000}"/>
    <cellStyle name="40% - Accent5 2 3 6 6 2" xfId="25582" xr:uid="{00000000-0005-0000-0000-0000D4540000}"/>
    <cellStyle name="40% - Accent5 2 3 6 6 3" xfId="34459" xr:uid="{00000000-0005-0000-0000-0000D5540000}"/>
    <cellStyle name="40% - Accent5 2 3 6 7" xfId="18919" xr:uid="{00000000-0005-0000-0000-0000D6540000}"/>
    <cellStyle name="40% - Accent5 2 3 6 8" xfId="27800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1" xr:uid="{00000000-0005-0000-0000-0000DB540000}"/>
    <cellStyle name="40% - Accent5 2 3 7 2 2 3" xfId="31498" xr:uid="{00000000-0005-0000-0000-0000DC540000}"/>
    <cellStyle name="40% - Accent5 2 3 7 2 3" xfId="13566" xr:uid="{00000000-0005-0000-0000-0000DD540000}"/>
    <cellStyle name="40% - Accent5 2 3 7 2 3 2" xfId="24840" xr:uid="{00000000-0005-0000-0000-0000DE540000}"/>
    <cellStyle name="40% - Accent5 2 3 7 2 3 3" xfId="33717" xr:uid="{00000000-0005-0000-0000-0000DF540000}"/>
    <cellStyle name="40% - Accent5 2 3 7 2 4" xfId="16016" xr:uid="{00000000-0005-0000-0000-0000E0540000}"/>
    <cellStyle name="40% - Accent5 2 3 7 2 4 2" xfId="27059" xr:uid="{00000000-0005-0000-0000-0000E1540000}"/>
    <cellStyle name="40% - Accent5 2 3 7 2 4 3" xfId="35936" xr:uid="{00000000-0005-0000-0000-0000E2540000}"/>
    <cellStyle name="40% - Accent5 2 3 7 2 5" xfId="20402" xr:uid="{00000000-0005-0000-0000-0000E3540000}"/>
    <cellStyle name="40% - Accent5 2 3 7 2 6" xfId="29279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8" xr:uid="{00000000-0005-0000-0000-0000E7540000}"/>
    <cellStyle name="40% - Accent5 2 3 7 3 2 3" xfId="30765" xr:uid="{00000000-0005-0000-0000-0000E8540000}"/>
    <cellStyle name="40% - Accent5 2 3 7 3 3" xfId="12833" xr:uid="{00000000-0005-0000-0000-0000E9540000}"/>
    <cellStyle name="40% - Accent5 2 3 7 3 3 2" xfId="24107" xr:uid="{00000000-0005-0000-0000-0000EA540000}"/>
    <cellStyle name="40% - Accent5 2 3 7 3 3 3" xfId="32984" xr:uid="{00000000-0005-0000-0000-0000EB540000}"/>
    <cellStyle name="40% - Accent5 2 3 7 3 4" xfId="15283" xr:uid="{00000000-0005-0000-0000-0000EC540000}"/>
    <cellStyle name="40% - Accent5 2 3 7 3 4 2" xfId="26326" xr:uid="{00000000-0005-0000-0000-0000ED540000}"/>
    <cellStyle name="40% - Accent5 2 3 7 3 4 3" xfId="35203" xr:uid="{00000000-0005-0000-0000-0000EE540000}"/>
    <cellStyle name="40% - Accent5 2 3 7 3 5" xfId="19669" xr:uid="{00000000-0005-0000-0000-0000EF540000}"/>
    <cellStyle name="40% - Accent5 2 3 7 3 6" xfId="28546" xr:uid="{00000000-0005-0000-0000-0000F0540000}"/>
    <cellStyle name="40% - Accent5 2 3 7 4" xfId="9642" xr:uid="{00000000-0005-0000-0000-0000F1540000}"/>
    <cellStyle name="40% - Accent5 2 3 7 4 2" xfId="21145" xr:uid="{00000000-0005-0000-0000-0000F2540000}"/>
    <cellStyle name="40% - Accent5 2 3 7 4 3" xfId="30022" xr:uid="{00000000-0005-0000-0000-0000F3540000}"/>
    <cellStyle name="40% - Accent5 2 3 7 5" xfId="12090" xr:uid="{00000000-0005-0000-0000-0000F4540000}"/>
    <cellStyle name="40% - Accent5 2 3 7 5 2" xfId="23364" xr:uid="{00000000-0005-0000-0000-0000F5540000}"/>
    <cellStyle name="40% - Accent5 2 3 7 5 3" xfId="32241" xr:uid="{00000000-0005-0000-0000-0000F6540000}"/>
    <cellStyle name="40% - Accent5 2 3 7 6" xfId="14311" xr:uid="{00000000-0005-0000-0000-0000F7540000}"/>
    <cellStyle name="40% - Accent5 2 3 7 6 2" xfId="25583" xr:uid="{00000000-0005-0000-0000-0000F8540000}"/>
    <cellStyle name="40% - Accent5 2 3 7 6 3" xfId="34460" xr:uid="{00000000-0005-0000-0000-0000F9540000}"/>
    <cellStyle name="40% - Accent5 2 3 7 7" xfId="18920" xr:uid="{00000000-0005-0000-0000-0000FA540000}"/>
    <cellStyle name="40% - Accent5 2 3 7 8" xfId="27801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2" xr:uid="{00000000-0005-0000-0000-0000FF540000}"/>
    <cellStyle name="40% - Accent5 2 3 8 2 2 3" xfId="31499" xr:uid="{00000000-0005-0000-0000-000000550000}"/>
    <cellStyle name="40% - Accent5 2 3 8 2 3" xfId="13567" xr:uid="{00000000-0005-0000-0000-000001550000}"/>
    <cellStyle name="40% - Accent5 2 3 8 2 3 2" xfId="24841" xr:uid="{00000000-0005-0000-0000-000002550000}"/>
    <cellStyle name="40% - Accent5 2 3 8 2 3 3" xfId="33718" xr:uid="{00000000-0005-0000-0000-000003550000}"/>
    <cellStyle name="40% - Accent5 2 3 8 2 4" xfId="16017" xr:uid="{00000000-0005-0000-0000-000004550000}"/>
    <cellStyle name="40% - Accent5 2 3 8 2 4 2" xfId="27060" xr:uid="{00000000-0005-0000-0000-000005550000}"/>
    <cellStyle name="40% - Accent5 2 3 8 2 4 3" xfId="35937" xr:uid="{00000000-0005-0000-0000-000006550000}"/>
    <cellStyle name="40% - Accent5 2 3 8 2 5" xfId="20403" xr:uid="{00000000-0005-0000-0000-000007550000}"/>
    <cellStyle name="40% - Accent5 2 3 8 2 6" xfId="29280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89" xr:uid="{00000000-0005-0000-0000-00000B550000}"/>
    <cellStyle name="40% - Accent5 2 3 8 3 2 3" xfId="30766" xr:uid="{00000000-0005-0000-0000-00000C550000}"/>
    <cellStyle name="40% - Accent5 2 3 8 3 3" xfId="12834" xr:uid="{00000000-0005-0000-0000-00000D550000}"/>
    <cellStyle name="40% - Accent5 2 3 8 3 3 2" xfId="24108" xr:uid="{00000000-0005-0000-0000-00000E550000}"/>
    <cellStyle name="40% - Accent5 2 3 8 3 3 3" xfId="32985" xr:uid="{00000000-0005-0000-0000-00000F550000}"/>
    <cellStyle name="40% - Accent5 2 3 8 3 4" xfId="15284" xr:uid="{00000000-0005-0000-0000-000010550000}"/>
    <cellStyle name="40% - Accent5 2 3 8 3 4 2" xfId="26327" xr:uid="{00000000-0005-0000-0000-000011550000}"/>
    <cellStyle name="40% - Accent5 2 3 8 3 4 3" xfId="35204" xr:uid="{00000000-0005-0000-0000-000012550000}"/>
    <cellStyle name="40% - Accent5 2 3 8 3 5" xfId="19670" xr:uid="{00000000-0005-0000-0000-000013550000}"/>
    <cellStyle name="40% - Accent5 2 3 8 3 6" xfId="28547" xr:uid="{00000000-0005-0000-0000-000014550000}"/>
    <cellStyle name="40% - Accent5 2 3 8 4" xfId="9643" xr:uid="{00000000-0005-0000-0000-000015550000}"/>
    <cellStyle name="40% - Accent5 2 3 8 4 2" xfId="21146" xr:uid="{00000000-0005-0000-0000-000016550000}"/>
    <cellStyle name="40% - Accent5 2 3 8 4 3" xfId="30023" xr:uid="{00000000-0005-0000-0000-000017550000}"/>
    <cellStyle name="40% - Accent5 2 3 8 5" xfId="12091" xr:uid="{00000000-0005-0000-0000-000018550000}"/>
    <cellStyle name="40% - Accent5 2 3 8 5 2" xfId="23365" xr:uid="{00000000-0005-0000-0000-000019550000}"/>
    <cellStyle name="40% - Accent5 2 3 8 5 3" xfId="32242" xr:uid="{00000000-0005-0000-0000-00001A550000}"/>
    <cellStyle name="40% - Accent5 2 3 8 6" xfId="14312" xr:uid="{00000000-0005-0000-0000-00001B550000}"/>
    <cellStyle name="40% - Accent5 2 3 8 6 2" xfId="25584" xr:uid="{00000000-0005-0000-0000-00001C550000}"/>
    <cellStyle name="40% - Accent5 2 3 8 6 3" xfId="34461" xr:uid="{00000000-0005-0000-0000-00001D550000}"/>
    <cellStyle name="40% - Accent5 2 3 8 7" xfId="18921" xr:uid="{00000000-0005-0000-0000-00001E550000}"/>
    <cellStyle name="40% - Accent5 2 3 8 8" xfId="27802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3" xr:uid="{00000000-0005-0000-0000-000023550000}"/>
    <cellStyle name="40% - Accent5 2 3 9 2 2 3" xfId="31500" xr:uid="{00000000-0005-0000-0000-000024550000}"/>
    <cellStyle name="40% - Accent5 2 3 9 2 3" xfId="13568" xr:uid="{00000000-0005-0000-0000-000025550000}"/>
    <cellStyle name="40% - Accent5 2 3 9 2 3 2" xfId="24842" xr:uid="{00000000-0005-0000-0000-000026550000}"/>
    <cellStyle name="40% - Accent5 2 3 9 2 3 3" xfId="33719" xr:uid="{00000000-0005-0000-0000-000027550000}"/>
    <cellStyle name="40% - Accent5 2 3 9 2 4" xfId="16018" xr:uid="{00000000-0005-0000-0000-000028550000}"/>
    <cellStyle name="40% - Accent5 2 3 9 2 4 2" xfId="27061" xr:uid="{00000000-0005-0000-0000-000029550000}"/>
    <cellStyle name="40% - Accent5 2 3 9 2 4 3" xfId="35938" xr:uid="{00000000-0005-0000-0000-00002A550000}"/>
    <cellStyle name="40% - Accent5 2 3 9 2 5" xfId="20404" xr:uid="{00000000-0005-0000-0000-00002B550000}"/>
    <cellStyle name="40% - Accent5 2 3 9 2 6" xfId="29281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0" xr:uid="{00000000-0005-0000-0000-00002F550000}"/>
    <cellStyle name="40% - Accent5 2 3 9 3 2 3" xfId="30767" xr:uid="{00000000-0005-0000-0000-000030550000}"/>
    <cellStyle name="40% - Accent5 2 3 9 3 3" xfId="12835" xr:uid="{00000000-0005-0000-0000-000031550000}"/>
    <cellStyle name="40% - Accent5 2 3 9 3 3 2" xfId="24109" xr:uid="{00000000-0005-0000-0000-000032550000}"/>
    <cellStyle name="40% - Accent5 2 3 9 3 3 3" xfId="32986" xr:uid="{00000000-0005-0000-0000-000033550000}"/>
    <cellStyle name="40% - Accent5 2 3 9 3 4" xfId="15285" xr:uid="{00000000-0005-0000-0000-000034550000}"/>
    <cellStyle name="40% - Accent5 2 3 9 3 4 2" xfId="26328" xr:uid="{00000000-0005-0000-0000-000035550000}"/>
    <cellStyle name="40% - Accent5 2 3 9 3 4 3" xfId="35205" xr:uid="{00000000-0005-0000-0000-000036550000}"/>
    <cellStyle name="40% - Accent5 2 3 9 3 5" xfId="19671" xr:uid="{00000000-0005-0000-0000-000037550000}"/>
    <cellStyle name="40% - Accent5 2 3 9 3 6" xfId="28548" xr:uid="{00000000-0005-0000-0000-000038550000}"/>
    <cellStyle name="40% - Accent5 2 3 9 4" xfId="9644" xr:uid="{00000000-0005-0000-0000-000039550000}"/>
    <cellStyle name="40% - Accent5 2 3 9 4 2" xfId="21147" xr:uid="{00000000-0005-0000-0000-00003A550000}"/>
    <cellStyle name="40% - Accent5 2 3 9 4 3" xfId="30024" xr:uid="{00000000-0005-0000-0000-00003B550000}"/>
    <cellStyle name="40% - Accent5 2 3 9 5" xfId="12092" xr:uid="{00000000-0005-0000-0000-00003C550000}"/>
    <cellStyle name="40% - Accent5 2 3 9 5 2" xfId="23366" xr:uid="{00000000-0005-0000-0000-00003D550000}"/>
    <cellStyle name="40% - Accent5 2 3 9 5 3" xfId="32243" xr:uid="{00000000-0005-0000-0000-00003E550000}"/>
    <cellStyle name="40% - Accent5 2 3 9 6" xfId="14313" xr:uid="{00000000-0005-0000-0000-00003F550000}"/>
    <cellStyle name="40% - Accent5 2 3 9 6 2" xfId="25585" xr:uid="{00000000-0005-0000-0000-000040550000}"/>
    <cellStyle name="40% - Accent5 2 3 9 6 3" xfId="34462" xr:uid="{00000000-0005-0000-0000-000041550000}"/>
    <cellStyle name="40% - Accent5 2 3 9 7" xfId="18922" xr:uid="{00000000-0005-0000-0000-000042550000}"/>
    <cellStyle name="40% - Accent5 2 3 9 8" xfId="27803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4" xr:uid="{00000000-0005-0000-0000-000047550000}"/>
    <cellStyle name="40% - Accent5 2 4 10 2 3" xfId="31501" xr:uid="{00000000-0005-0000-0000-000048550000}"/>
    <cellStyle name="40% - Accent5 2 4 10 3" xfId="13569" xr:uid="{00000000-0005-0000-0000-000049550000}"/>
    <cellStyle name="40% - Accent5 2 4 10 3 2" xfId="24843" xr:uid="{00000000-0005-0000-0000-00004A550000}"/>
    <cellStyle name="40% - Accent5 2 4 10 3 3" xfId="33720" xr:uid="{00000000-0005-0000-0000-00004B550000}"/>
    <cellStyle name="40% - Accent5 2 4 10 4" xfId="16019" xr:uid="{00000000-0005-0000-0000-00004C550000}"/>
    <cellStyle name="40% - Accent5 2 4 10 4 2" xfId="27062" xr:uid="{00000000-0005-0000-0000-00004D550000}"/>
    <cellStyle name="40% - Accent5 2 4 10 4 3" xfId="35939" xr:uid="{00000000-0005-0000-0000-00004E550000}"/>
    <cellStyle name="40% - Accent5 2 4 10 5" xfId="20405" xr:uid="{00000000-0005-0000-0000-00004F550000}"/>
    <cellStyle name="40% - Accent5 2 4 10 6" xfId="29282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1" xr:uid="{00000000-0005-0000-0000-000053550000}"/>
    <cellStyle name="40% - Accent5 2 4 11 2 3" xfId="30768" xr:uid="{00000000-0005-0000-0000-000054550000}"/>
    <cellStyle name="40% - Accent5 2 4 11 3" xfId="12836" xr:uid="{00000000-0005-0000-0000-000055550000}"/>
    <cellStyle name="40% - Accent5 2 4 11 3 2" xfId="24110" xr:uid="{00000000-0005-0000-0000-000056550000}"/>
    <cellStyle name="40% - Accent5 2 4 11 3 3" xfId="32987" xr:uid="{00000000-0005-0000-0000-000057550000}"/>
    <cellStyle name="40% - Accent5 2 4 11 4" xfId="15286" xr:uid="{00000000-0005-0000-0000-000058550000}"/>
    <cellStyle name="40% - Accent5 2 4 11 4 2" xfId="26329" xr:uid="{00000000-0005-0000-0000-000059550000}"/>
    <cellStyle name="40% - Accent5 2 4 11 4 3" xfId="35206" xr:uid="{00000000-0005-0000-0000-00005A550000}"/>
    <cellStyle name="40% - Accent5 2 4 11 5" xfId="19672" xr:uid="{00000000-0005-0000-0000-00005B550000}"/>
    <cellStyle name="40% - Accent5 2 4 11 6" xfId="28549" xr:uid="{00000000-0005-0000-0000-00005C550000}"/>
    <cellStyle name="40% - Accent5 2 4 12" xfId="9645" xr:uid="{00000000-0005-0000-0000-00005D550000}"/>
    <cellStyle name="40% - Accent5 2 4 12 2" xfId="21148" xr:uid="{00000000-0005-0000-0000-00005E550000}"/>
    <cellStyle name="40% - Accent5 2 4 12 3" xfId="30025" xr:uid="{00000000-0005-0000-0000-00005F550000}"/>
    <cellStyle name="40% - Accent5 2 4 13" xfId="12093" xr:uid="{00000000-0005-0000-0000-000060550000}"/>
    <cellStyle name="40% - Accent5 2 4 13 2" xfId="23367" xr:uid="{00000000-0005-0000-0000-000061550000}"/>
    <cellStyle name="40% - Accent5 2 4 13 3" xfId="32244" xr:uid="{00000000-0005-0000-0000-000062550000}"/>
    <cellStyle name="40% - Accent5 2 4 14" xfId="14314" xr:uid="{00000000-0005-0000-0000-000063550000}"/>
    <cellStyle name="40% - Accent5 2 4 14 2" xfId="25586" xr:uid="{00000000-0005-0000-0000-000064550000}"/>
    <cellStyle name="40% - Accent5 2 4 14 3" xfId="34463" xr:uid="{00000000-0005-0000-0000-000065550000}"/>
    <cellStyle name="40% - Accent5 2 4 15" xfId="18923" xr:uid="{00000000-0005-0000-0000-000066550000}"/>
    <cellStyle name="40% - Accent5 2 4 16" xfId="27804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5" xr:uid="{00000000-0005-0000-0000-00006B550000}"/>
    <cellStyle name="40% - Accent5 2 4 2 2 2 3" xfId="31502" xr:uid="{00000000-0005-0000-0000-00006C550000}"/>
    <cellStyle name="40% - Accent5 2 4 2 2 3" xfId="13570" xr:uid="{00000000-0005-0000-0000-00006D550000}"/>
    <cellStyle name="40% - Accent5 2 4 2 2 3 2" xfId="24844" xr:uid="{00000000-0005-0000-0000-00006E550000}"/>
    <cellStyle name="40% - Accent5 2 4 2 2 3 3" xfId="33721" xr:uid="{00000000-0005-0000-0000-00006F550000}"/>
    <cellStyle name="40% - Accent5 2 4 2 2 4" xfId="16020" xr:uid="{00000000-0005-0000-0000-000070550000}"/>
    <cellStyle name="40% - Accent5 2 4 2 2 4 2" xfId="27063" xr:uid="{00000000-0005-0000-0000-000071550000}"/>
    <cellStyle name="40% - Accent5 2 4 2 2 4 3" xfId="35940" xr:uid="{00000000-0005-0000-0000-000072550000}"/>
    <cellStyle name="40% - Accent5 2 4 2 2 5" xfId="20406" xr:uid="{00000000-0005-0000-0000-000073550000}"/>
    <cellStyle name="40% - Accent5 2 4 2 2 6" xfId="29283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2" xr:uid="{00000000-0005-0000-0000-000077550000}"/>
    <cellStyle name="40% - Accent5 2 4 2 3 2 3" xfId="30769" xr:uid="{00000000-0005-0000-0000-000078550000}"/>
    <cellStyle name="40% - Accent5 2 4 2 3 3" xfId="12837" xr:uid="{00000000-0005-0000-0000-000079550000}"/>
    <cellStyle name="40% - Accent5 2 4 2 3 3 2" xfId="24111" xr:uid="{00000000-0005-0000-0000-00007A550000}"/>
    <cellStyle name="40% - Accent5 2 4 2 3 3 3" xfId="32988" xr:uid="{00000000-0005-0000-0000-00007B550000}"/>
    <cellStyle name="40% - Accent5 2 4 2 3 4" xfId="15287" xr:uid="{00000000-0005-0000-0000-00007C550000}"/>
    <cellStyle name="40% - Accent5 2 4 2 3 4 2" xfId="26330" xr:uid="{00000000-0005-0000-0000-00007D550000}"/>
    <cellStyle name="40% - Accent5 2 4 2 3 4 3" xfId="35207" xr:uid="{00000000-0005-0000-0000-00007E550000}"/>
    <cellStyle name="40% - Accent5 2 4 2 3 5" xfId="19673" xr:uid="{00000000-0005-0000-0000-00007F550000}"/>
    <cellStyle name="40% - Accent5 2 4 2 3 6" xfId="28550" xr:uid="{00000000-0005-0000-0000-000080550000}"/>
    <cellStyle name="40% - Accent5 2 4 2 4" xfId="9646" xr:uid="{00000000-0005-0000-0000-000081550000}"/>
    <cellStyle name="40% - Accent5 2 4 2 4 2" xfId="21149" xr:uid="{00000000-0005-0000-0000-000082550000}"/>
    <cellStyle name="40% - Accent5 2 4 2 4 3" xfId="30026" xr:uid="{00000000-0005-0000-0000-000083550000}"/>
    <cellStyle name="40% - Accent5 2 4 2 5" xfId="12094" xr:uid="{00000000-0005-0000-0000-000084550000}"/>
    <cellStyle name="40% - Accent5 2 4 2 5 2" xfId="23368" xr:uid="{00000000-0005-0000-0000-000085550000}"/>
    <cellStyle name="40% - Accent5 2 4 2 5 3" xfId="32245" xr:uid="{00000000-0005-0000-0000-000086550000}"/>
    <cellStyle name="40% - Accent5 2 4 2 6" xfId="14315" xr:uid="{00000000-0005-0000-0000-000087550000}"/>
    <cellStyle name="40% - Accent5 2 4 2 6 2" xfId="25587" xr:uid="{00000000-0005-0000-0000-000088550000}"/>
    <cellStyle name="40% - Accent5 2 4 2 6 3" xfId="34464" xr:uid="{00000000-0005-0000-0000-000089550000}"/>
    <cellStyle name="40% - Accent5 2 4 2 7" xfId="18924" xr:uid="{00000000-0005-0000-0000-00008A550000}"/>
    <cellStyle name="40% - Accent5 2 4 2 8" xfId="27805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6" xr:uid="{00000000-0005-0000-0000-00008F550000}"/>
    <cellStyle name="40% - Accent5 2 4 3 2 2 3" xfId="31503" xr:uid="{00000000-0005-0000-0000-000090550000}"/>
    <cellStyle name="40% - Accent5 2 4 3 2 3" xfId="13571" xr:uid="{00000000-0005-0000-0000-000091550000}"/>
    <cellStyle name="40% - Accent5 2 4 3 2 3 2" xfId="24845" xr:uid="{00000000-0005-0000-0000-000092550000}"/>
    <cellStyle name="40% - Accent5 2 4 3 2 3 3" xfId="33722" xr:uid="{00000000-0005-0000-0000-000093550000}"/>
    <cellStyle name="40% - Accent5 2 4 3 2 4" xfId="16021" xr:uid="{00000000-0005-0000-0000-000094550000}"/>
    <cellStyle name="40% - Accent5 2 4 3 2 4 2" xfId="27064" xr:uid="{00000000-0005-0000-0000-000095550000}"/>
    <cellStyle name="40% - Accent5 2 4 3 2 4 3" xfId="35941" xr:uid="{00000000-0005-0000-0000-000096550000}"/>
    <cellStyle name="40% - Accent5 2 4 3 2 5" xfId="20407" xr:uid="{00000000-0005-0000-0000-000097550000}"/>
    <cellStyle name="40% - Accent5 2 4 3 2 6" xfId="29284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3" xr:uid="{00000000-0005-0000-0000-00009B550000}"/>
    <cellStyle name="40% - Accent5 2 4 3 3 2 3" xfId="30770" xr:uid="{00000000-0005-0000-0000-00009C550000}"/>
    <cellStyle name="40% - Accent5 2 4 3 3 3" xfId="12838" xr:uid="{00000000-0005-0000-0000-00009D550000}"/>
    <cellStyle name="40% - Accent5 2 4 3 3 3 2" xfId="24112" xr:uid="{00000000-0005-0000-0000-00009E550000}"/>
    <cellStyle name="40% - Accent5 2 4 3 3 3 3" xfId="32989" xr:uid="{00000000-0005-0000-0000-00009F550000}"/>
    <cellStyle name="40% - Accent5 2 4 3 3 4" xfId="15288" xr:uid="{00000000-0005-0000-0000-0000A0550000}"/>
    <cellStyle name="40% - Accent5 2 4 3 3 4 2" xfId="26331" xr:uid="{00000000-0005-0000-0000-0000A1550000}"/>
    <cellStyle name="40% - Accent5 2 4 3 3 4 3" xfId="35208" xr:uid="{00000000-0005-0000-0000-0000A2550000}"/>
    <cellStyle name="40% - Accent5 2 4 3 3 5" xfId="19674" xr:uid="{00000000-0005-0000-0000-0000A3550000}"/>
    <cellStyle name="40% - Accent5 2 4 3 3 6" xfId="28551" xr:uid="{00000000-0005-0000-0000-0000A4550000}"/>
    <cellStyle name="40% - Accent5 2 4 3 4" xfId="9647" xr:uid="{00000000-0005-0000-0000-0000A5550000}"/>
    <cellStyle name="40% - Accent5 2 4 3 4 2" xfId="21150" xr:uid="{00000000-0005-0000-0000-0000A6550000}"/>
    <cellStyle name="40% - Accent5 2 4 3 4 3" xfId="30027" xr:uid="{00000000-0005-0000-0000-0000A7550000}"/>
    <cellStyle name="40% - Accent5 2 4 3 5" xfId="12095" xr:uid="{00000000-0005-0000-0000-0000A8550000}"/>
    <cellStyle name="40% - Accent5 2 4 3 5 2" xfId="23369" xr:uid="{00000000-0005-0000-0000-0000A9550000}"/>
    <cellStyle name="40% - Accent5 2 4 3 5 3" xfId="32246" xr:uid="{00000000-0005-0000-0000-0000AA550000}"/>
    <cellStyle name="40% - Accent5 2 4 3 6" xfId="14316" xr:uid="{00000000-0005-0000-0000-0000AB550000}"/>
    <cellStyle name="40% - Accent5 2 4 3 6 2" xfId="25588" xr:uid="{00000000-0005-0000-0000-0000AC550000}"/>
    <cellStyle name="40% - Accent5 2 4 3 6 3" xfId="34465" xr:uid="{00000000-0005-0000-0000-0000AD550000}"/>
    <cellStyle name="40% - Accent5 2 4 3 7" xfId="18925" xr:uid="{00000000-0005-0000-0000-0000AE550000}"/>
    <cellStyle name="40% - Accent5 2 4 3 8" xfId="27806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7" xr:uid="{00000000-0005-0000-0000-0000B3550000}"/>
    <cellStyle name="40% - Accent5 2 4 4 2 2 3" xfId="31504" xr:uid="{00000000-0005-0000-0000-0000B4550000}"/>
    <cellStyle name="40% - Accent5 2 4 4 2 3" xfId="13572" xr:uid="{00000000-0005-0000-0000-0000B5550000}"/>
    <cellStyle name="40% - Accent5 2 4 4 2 3 2" xfId="24846" xr:uid="{00000000-0005-0000-0000-0000B6550000}"/>
    <cellStyle name="40% - Accent5 2 4 4 2 3 3" xfId="33723" xr:uid="{00000000-0005-0000-0000-0000B7550000}"/>
    <cellStyle name="40% - Accent5 2 4 4 2 4" xfId="16022" xr:uid="{00000000-0005-0000-0000-0000B8550000}"/>
    <cellStyle name="40% - Accent5 2 4 4 2 4 2" xfId="27065" xr:uid="{00000000-0005-0000-0000-0000B9550000}"/>
    <cellStyle name="40% - Accent5 2 4 4 2 4 3" xfId="35942" xr:uid="{00000000-0005-0000-0000-0000BA550000}"/>
    <cellStyle name="40% - Accent5 2 4 4 2 5" xfId="20408" xr:uid="{00000000-0005-0000-0000-0000BB550000}"/>
    <cellStyle name="40% - Accent5 2 4 4 2 6" xfId="29285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4" xr:uid="{00000000-0005-0000-0000-0000BF550000}"/>
    <cellStyle name="40% - Accent5 2 4 4 3 2 3" xfId="30771" xr:uid="{00000000-0005-0000-0000-0000C0550000}"/>
    <cellStyle name="40% - Accent5 2 4 4 3 3" xfId="12839" xr:uid="{00000000-0005-0000-0000-0000C1550000}"/>
    <cellStyle name="40% - Accent5 2 4 4 3 3 2" xfId="24113" xr:uid="{00000000-0005-0000-0000-0000C2550000}"/>
    <cellStyle name="40% - Accent5 2 4 4 3 3 3" xfId="32990" xr:uid="{00000000-0005-0000-0000-0000C3550000}"/>
    <cellStyle name="40% - Accent5 2 4 4 3 4" xfId="15289" xr:uid="{00000000-0005-0000-0000-0000C4550000}"/>
    <cellStyle name="40% - Accent5 2 4 4 3 4 2" xfId="26332" xr:uid="{00000000-0005-0000-0000-0000C5550000}"/>
    <cellStyle name="40% - Accent5 2 4 4 3 4 3" xfId="35209" xr:uid="{00000000-0005-0000-0000-0000C6550000}"/>
    <cellStyle name="40% - Accent5 2 4 4 3 5" xfId="19675" xr:uid="{00000000-0005-0000-0000-0000C7550000}"/>
    <cellStyle name="40% - Accent5 2 4 4 3 6" xfId="28552" xr:uid="{00000000-0005-0000-0000-0000C8550000}"/>
    <cellStyle name="40% - Accent5 2 4 4 4" xfId="9648" xr:uid="{00000000-0005-0000-0000-0000C9550000}"/>
    <cellStyle name="40% - Accent5 2 4 4 4 2" xfId="21151" xr:uid="{00000000-0005-0000-0000-0000CA550000}"/>
    <cellStyle name="40% - Accent5 2 4 4 4 3" xfId="30028" xr:uid="{00000000-0005-0000-0000-0000CB550000}"/>
    <cellStyle name="40% - Accent5 2 4 4 5" xfId="12096" xr:uid="{00000000-0005-0000-0000-0000CC550000}"/>
    <cellStyle name="40% - Accent5 2 4 4 5 2" xfId="23370" xr:uid="{00000000-0005-0000-0000-0000CD550000}"/>
    <cellStyle name="40% - Accent5 2 4 4 5 3" xfId="32247" xr:uid="{00000000-0005-0000-0000-0000CE550000}"/>
    <cellStyle name="40% - Accent5 2 4 4 6" xfId="14317" xr:uid="{00000000-0005-0000-0000-0000CF550000}"/>
    <cellStyle name="40% - Accent5 2 4 4 6 2" xfId="25589" xr:uid="{00000000-0005-0000-0000-0000D0550000}"/>
    <cellStyle name="40% - Accent5 2 4 4 6 3" xfId="34466" xr:uid="{00000000-0005-0000-0000-0000D1550000}"/>
    <cellStyle name="40% - Accent5 2 4 4 7" xfId="18926" xr:uid="{00000000-0005-0000-0000-0000D2550000}"/>
    <cellStyle name="40% - Accent5 2 4 4 8" xfId="27807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8" xr:uid="{00000000-0005-0000-0000-0000D7550000}"/>
    <cellStyle name="40% - Accent5 2 4 5 2 2 3" xfId="31505" xr:uid="{00000000-0005-0000-0000-0000D8550000}"/>
    <cellStyle name="40% - Accent5 2 4 5 2 3" xfId="13573" xr:uid="{00000000-0005-0000-0000-0000D9550000}"/>
    <cellStyle name="40% - Accent5 2 4 5 2 3 2" xfId="24847" xr:uid="{00000000-0005-0000-0000-0000DA550000}"/>
    <cellStyle name="40% - Accent5 2 4 5 2 3 3" xfId="33724" xr:uid="{00000000-0005-0000-0000-0000DB550000}"/>
    <cellStyle name="40% - Accent5 2 4 5 2 4" xfId="16023" xr:uid="{00000000-0005-0000-0000-0000DC550000}"/>
    <cellStyle name="40% - Accent5 2 4 5 2 4 2" xfId="27066" xr:uid="{00000000-0005-0000-0000-0000DD550000}"/>
    <cellStyle name="40% - Accent5 2 4 5 2 4 3" xfId="35943" xr:uid="{00000000-0005-0000-0000-0000DE550000}"/>
    <cellStyle name="40% - Accent5 2 4 5 2 5" xfId="20409" xr:uid="{00000000-0005-0000-0000-0000DF550000}"/>
    <cellStyle name="40% - Accent5 2 4 5 2 6" xfId="29286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5" xr:uid="{00000000-0005-0000-0000-0000E3550000}"/>
    <cellStyle name="40% - Accent5 2 4 5 3 2 3" xfId="30772" xr:uid="{00000000-0005-0000-0000-0000E4550000}"/>
    <cellStyle name="40% - Accent5 2 4 5 3 3" xfId="12840" xr:uid="{00000000-0005-0000-0000-0000E5550000}"/>
    <cellStyle name="40% - Accent5 2 4 5 3 3 2" xfId="24114" xr:uid="{00000000-0005-0000-0000-0000E6550000}"/>
    <cellStyle name="40% - Accent5 2 4 5 3 3 3" xfId="32991" xr:uid="{00000000-0005-0000-0000-0000E7550000}"/>
    <cellStyle name="40% - Accent5 2 4 5 3 4" xfId="15290" xr:uid="{00000000-0005-0000-0000-0000E8550000}"/>
    <cellStyle name="40% - Accent5 2 4 5 3 4 2" xfId="26333" xr:uid="{00000000-0005-0000-0000-0000E9550000}"/>
    <cellStyle name="40% - Accent5 2 4 5 3 4 3" xfId="35210" xr:uid="{00000000-0005-0000-0000-0000EA550000}"/>
    <cellStyle name="40% - Accent5 2 4 5 3 5" xfId="19676" xr:uid="{00000000-0005-0000-0000-0000EB550000}"/>
    <cellStyle name="40% - Accent5 2 4 5 3 6" xfId="28553" xr:uid="{00000000-0005-0000-0000-0000EC550000}"/>
    <cellStyle name="40% - Accent5 2 4 5 4" xfId="9649" xr:uid="{00000000-0005-0000-0000-0000ED550000}"/>
    <cellStyle name="40% - Accent5 2 4 5 4 2" xfId="21152" xr:uid="{00000000-0005-0000-0000-0000EE550000}"/>
    <cellStyle name="40% - Accent5 2 4 5 4 3" xfId="30029" xr:uid="{00000000-0005-0000-0000-0000EF550000}"/>
    <cellStyle name="40% - Accent5 2 4 5 5" xfId="12097" xr:uid="{00000000-0005-0000-0000-0000F0550000}"/>
    <cellStyle name="40% - Accent5 2 4 5 5 2" xfId="23371" xr:uid="{00000000-0005-0000-0000-0000F1550000}"/>
    <cellStyle name="40% - Accent5 2 4 5 5 3" xfId="32248" xr:uid="{00000000-0005-0000-0000-0000F2550000}"/>
    <cellStyle name="40% - Accent5 2 4 5 6" xfId="14318" xr:uid="{00000000-0005-0000-0000-0000F3550000}"/>
    <cellStyle name="40% - Accent5 2 4 5 6 2" xfId="25590" xr:uid="{00000000-0005-0000-0000-0000F4550000}"/>
    <cellStyle name="40% - Accent5 2 4 5 6 3" xfId="34467" xr:uid="{00000000-0005-0000-0000-0000F5550000}"/>
    <cellStyle name="40% - Accent5 2 4 5 7" xfId="18927" xr:uid="{00000000-0005-0000-0000-0000F6550000}"/>
    <cellStyle name="40% - Accent5 2 4 5 8" xfId="27808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29" xr:uid="{00000000-0005-0000-0000-0000FB550000}"/>
    <cellStyle name="40% - Accent5 2 4 6 2 2 3" xfId="31506" xr:uid="{00000000-0005-0000-0000-0000FC550000}"/>
    <cellStyle name="40% - Accent5 2 4 6 2 3" xfId="13574" xr:uid="{00000000-0005-0000-0000-0000FD550000}"/>
    <cellStyle name="40% - Accent5 2 4 6 2 3 2" xfId="24848" xr:uid="{00000000-0005-0000-0000-0000FE550000}"/>
    <cellStyle name="40% - Accent5 2 4 6 2 3 3" xfId="33725" xr:uid="{00000000-0005-0000-0000-0000FF550000}"/>
    <cellStyle name="40% - Accent5 2 4 6 2 4" xfId="16024" xr:uid="{00000000-0005-0000-0000-000000560000}"/>
    <cellStyle name="40% - Accent5 2 4 6 2 4 2" xfId="27067" xr:uid="{00000000-0005-0000-0000-000001560000}"/>
    <cellStyle name="40% - Accent5 2 4 6 2 4 3" xfId="35944" xr:uid="{00000000-0005-0000-0000-000002560000}"/>
    <cellStyle name="40% - Accent5 2 4 6 2 5" xfId="20410" xr:uid="{00000000-0005-0000-0000-000003560000}"/>
    <cellStyle name="40% - Accent5 2 4 6 2 6" xfId="29287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6" xr:uid="{00000000-0005-0000-0000-000007560000}"/>
    <cellStyle name="40% - Accent5 2 4 6 3 2 3" xfId="30773" xr:uid="{00000000-0005-0000-0000-000008560000}"/>
    <cellStyle name="40% - Accent5 2 4 6 3 3" xfId="12841" xr:uid="{00000000-0005-0000-0000-000009560000}"/>
    <cellStyle name="40% - Accent5 2 4 6 3 3 2" xfId="24115" xr:uid="{00000000-0005-0000-0000-00000A560000}"/>
    <cellStyle name="40% - Accent5 2 4 6 3 3 3" xfId="32992" xr:uid="{00000000-0005-0000-0000-00000B560000}"/>
    <cellStyle name="40% - Accent5 2 4 6 3 4" xfId="15291" xr:uid="{00000000-0005-0000-0000-00000C560000}"/>
    <cellStyle name="40% - Accent5 2 4 6 3 4 2" xfId="26334" xr:uid="{00000000-0005-0000-0000-00000D560000}"/>
    <cellStyle name="40% - Accent5 2 4 6 3 4 3" xfId="35211" xr:uid="{00000000-0005-0000-0000-00000E560000}"/>
    <cellStyle name="40% - Accent5 2 4 6 3 5" xfId="19677" xr:uid="{00000000-0005-0000-0000-00000F560000}"/>
    <cellStyle name="40% - Accent5 2 4 6 3 6" xfId="28554" xr:uid="{00000000-0005-0000-0000-000010560000}"/>
    <cellStyle name="40% - Accent5 2 4 6 4" xfId="9650" xr:uid="{00000000-0005-0000-0000-000011560000}"/>
    <cellStyle name="40% - Accent5 2 4 6 4 2" xfId="21153" xr:uid="{00000000-0005-0000-0000-000012560000}"/>
    <cellStyle name="40% - Accent5 2 4 6 4 3" xfId="30030" xr:uid="{00000000-0005-0000-0000-000013560000}"/>
    <cellStyle name="40% - Accent5 2 4 6 5" xfId="12098" xr:uid="{00000000-0005-0000-0000-000014560000}"/>
    <cellStyle name="40% - Accent5 2 4 6 5 2" xfId="23372" xr:uid="{00000000-0005-0000-0000-000015560000}"/>
    <cellStyle name="40% - Accent5 2 4 6 5 3" xfId="32249" xr:uid="{00000000-0005-0000-0000-000016560000}"/>
    <cellStyle name="40% - Accent5 2 4 6 6" xfId="14319" xr:uid="{00000000-0005-0000-0000-000017560000}"/>
    <cellStyle name="40% - Accent5 2 4 6 6 2" xfId="25591" xr:uid="{00000000-0005-0000-0000-000018560000}"/>
    <cellStyle name="40% - Accent5 2 4 6 6 3" xfId="34468" xr:uid="{00000000-0005-0000-0000-000019560000}"/>
    <cellStyle name="40% - Accent5 2 4 6 7" xfId="18928" xr:uid="{00000000-0005-0000-0000-00001A560000}"/>
    <cellStyle name="40% - Accent5 2 4 6 8" xfId="27809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0" xr:uid="{00000000-0005-0000-0000-00001F560000}"/>
    <cellStyle name="40% - Accent5 2 4 7 2 2 3" xfId="31507" xr:uid="{00000000-0005-0000-0000-000020560000}"/>
    <cellStyle name="40% - Accent5 2 4 7 2 3" xfId="13575" xr:uid="{00000000-0005-0000-0000-000021560000}"/>
    <cellStyle name="40% - Accent5 2 4 7 2 3 2" xfId="24849" xr:uid="{00000000-0005-0000-0000-000022560000}"/>
    <cellStyle name="40% - Accent5 2 4 7 2 3 3" xfId="33726" xr:uid="{00000000-0005-0000-0000-000023560000}"/>
    <cellStyle name="40% - Accent5 2 4 7 2 4" xfId="16025" xr:uid="{00000000-0005-0000-0000-000024560000}"/>
    <cellStyle name="40% - Accent5 2 4 7 2 4 2" xfId="27068" xr:uid="{00000000-0005-0000-0000-000025560000}"/>
    <cellStyle name="40% - Accent5 2 4 7 2 4 3" xfId="35945" xr:uid="{00000000-0005-0000-0000-000026560000}"/>
    <cellStyle name="40% - Accent5 2 4 7 2 5" xfId="20411" xr:uid="{00000000-0005-0000-0000-000027560000}"/>
    <cellStyle name="40% - Accent5 2 4 7 2 6" xfId="29288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7" xr:uid="{00000000-0005-0000-0000-00002B560000}"/>
    <cellStyle name="40% - Accent5 2 4 7 3 2 3" xfId="30774" xr:uid="{00000000-0005-0000-0000-00002C560000}"/>
    <cellStyle name="40% - Accent5 2 4 7 3 3" xfId="12842" xr:uid="{00000000-0005-0000-0000-00002D560000}"/>
    <cellStyle name="40% - Accent5 2 4 7 3 3 2" xfId="24116" xr:uid="{00000000-0005-0000-0000-00002E560000}"/>
    <cellStyle name="40% - Accent5 2 4 7 3 3 3" xfId="32993" xr:uid="{00000000-0005-0000-0000-00002F560000}"/>
    <cellStyle name="40% - Accent5 2 4 7 3 4" xfId="15292" xr:uid="{00000000-0005-0000-0000-000030560000}"/>
    <cellStyle name="40% - Accent5 2 4 7 3 4 2" xfId="26335" xr:uid="{00000000-0005-0000-0000-000031560000}"/>
    <cellStyle name="40% - Accent5 2 4 7 3 4 3" xfId="35212" xr:uid="{00000000-0005-0000-0000-000032560000}"/>
    <cellStyle name="40% - Accent5 2 4 7 3 5" xfId="19678" xr:uid="{00000000-0005-0000-0000-000033560000}"/>
    <cellStyle name="40% - Accent5 2 4 7 3 6" xfId="28555" xr:uid="{00000000-0005-0000-0000-000034560000}"/>
    <cellStyle name="40% - Accent5 2 4 7 4" xfId="9651" xr:uid="{00000000-0005-0000-0000-000035560000}"/>
    <cellStyle name="40% - Accent5 2 4 7 4 2" xfId="21154" xr:uid="{00000000-0005-0000-0000-000036560000}"/>
    <cellStyle name="40% - Accent5 2 4 7 4 3" xfId="30031" xr:uid="{00000000-0005-0000-0000-000037560000}"/>
    <cellStyle name="40% - Accent5 2 4 7 5" xfId="12099" xr:uid="{00000000-0005-0000-0000-000038560000}"/>
    <cellStyle name="40% - Accent5 2 4 7 5 2" xfId="23373" xr:uid="{00000000-0005-0000-0000-000039560000}"/>
    <cellStyle name="40% - Accent5 2 4 7 5 3" xfId="32250" xr:uid="{00000000-0005-0000-0000-00003A560000}"/>
    <cellStyle name="40% - Accent5 2 4 7 6" xfId="14320" xr:uid="{00000000-0005-0000-0000-00003B560000}"/>
    <cellStyle name="40% - Accent5 2 4 7 6 2" xfId="25592" xr:uid="{00000000-0005-0000-0000-00003C560000}"/>
    <cellStyle name="40% - Accent5 2 4 7 6 3" xfId="34469" xr:uid="{00000000-0005-0000-0000-00003D560000}"/>
    <cellStyle name="40% - Accent5 2 4 7 7" xfId="18929" xr:uid="{00000000-0005-0000-0000-00003E560000}"/>
    <cellStyle name="40% - Accent5 2 4 7 8" xfId="27810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1" xr:uid="{00000000-0005-0000-0000-000043560000}"/>
    <cellStyle name="40% - Accent5 2 4 8 2 2 3" xfId="31508" xr:uid="{00000000-0005-0000-0000-000044560000}"/>
    <cellStyle name="40% - Accent5 2 4 8 2 3" xfId="13576" xr:uid="{00000000-0005-0000-0000-000045560000}"/>
    <cellStyle name="40% - Accent5 2 4 8 2 3 2" xfId="24850" xr:uid="{00000000-0005-0000-0000-000046560000}"/>
    <cellStyle name="40% - Accent5 2 4 8 2 3 3" xfId="33727" xr:uid="{00000000-0005-0000-0000-000047560000}"/>
    <cellStyle name="40% - Accent5 2 4 8 2 4" xfId="16026" xr:uid="{00000000-0005-0000-0000-000048560000}"/>
    <cellStyle name="40% - Accent5 2 4 8 2 4 2" xfId="27069" xr:uid="{00000000-0005-0000-0000-000049560000}"/>
    <cellStyle name="40% - Accent5 2 4 8 2 4 3" xfId="35946" xr:uid="{00000000-0005-0000-0000-00004A560000}"/>
    <cellStyle name="40% - Accent5 2 4 8 2 5" xfId="20412" xr:uid="{00000000-0005-0000-0000-00004B560000}"/>
    <cellStyle name="40% - Accent5 2 4 8 2 6" xfId="29289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8" xr:uid="{00000000-0005-0000-0000-00004F560000}"/>
    <cellStyle name="40% - Accent5 2 4 8 3 2 3" xfId="30775" xr:uid="{00000000-0005-0000-0000-000050560000}"/>
    <cellStyle name="40% - Accent5 2 4 8 3 3" xfId="12843" xr:uid="{00000000-0005-0000-0000-000051560000}"/>
    <cellStyle name="40% - Accent5 2 4 8 3 3 2" xfId="24117" xr:uid="{00000000-0005-0000-0000-000052560000}"/>
    <cellStyle name="40% - Accent5 2 4 8 3 3 3" xfId="32994" xr:uid="{00000000-0005-0000-0000-000053560000}"/>
    <cellStyle name="40% - Accent5 2 4 8 3 4" xfId="15293" xr:uid="{00000000-0005-0000-0000-000054560000}"/>
    <cellStyle name="40% - Accent5 2 4 8 3 4 2" xfId="26336" xr:uid="{00000000-0005-0000-0000-000055560000}"/>
    <cellStyle name="40% - Accent5 2 4 8 3 4 3" xfId="35213" xr:uid="{00000000-0005-0000-0000-000056560000}"/>
    <cellStyle name="40% - Accent5 2 4 8 3 5" xfId="19679" xr:uid="{00000000-0005-0000-0000-000057560000}"/>
    <cellStyle name="40% - Accent5 2 4 8 3 6" xfId="28556" xr:uid="{00000000-0005-0000-0000-000058560000}"/>
    <cellStyle name="40% - Accent5 2 4 8 4" xfId="9652" xr:uid="{00000000-0005-0000-0000-000059560000}"/>
    <cellStyle name="40% - Accent5 2 4 8 4 2" xfId="21155" xr:uid="{00000000-0005-0000-0000-00005A560000}"/>
    <cellStyle name="40% - Accent5 2 4 8 4 3" xfId="30032" xr:uid="{00000000-0005-0000-0000-00005B560000}"/>
    <cellStyle name="40% - Accent5 2 4 8 5" xfId="12100" xr:uid="{00000000-0005-0000-0000-00005C560000}"/>
    <cellStyle name="40% - Accent5 2 4 8 5 2" xfId="23374" xr:uid="{00000000-0005-0000-0000-00005D560000}"/>
    <cellStyle name="40% - Accent5 2 4 8 5 3" xfId="32251" xr:uid="{00000000-0005-0000-0000-00005E560000}"/>
    <cellStyle name="40% - Accent5 2 4 8 6" xfId="14321" xr:uid="{00000000-0005-0000-0000-00005F560000}"/>
    <cellStyle name="40% - Accent5 2 4 8 6 2" xfId="25593" xr:uid="{00000000-0005-0000-0000-000060560000}"/>
    <cellStyle name="40% - Accent5 2 4 8 6 3" xfId="34470" xr:uid="{00000000-0005-0000-0000-000061560000}"/>
    <cellStyle name="40% - Accent5 2 4 8 7" xfId="18930" xr:uid="{00000000-0005-0000-0000-000062560000}"/>
    <cellStyle name="40% - Accent5 2 4 8 8" xfId="27811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2" xr:uid="{00000000-0005-0000-0000-000067560000}"/>
    <cellStyle name="40% - Accent5 2 4 9 2 2 3" xfId="31509" xr:uid="{00000000-0005-0000-0000-000068560000}"/>
    <cellStyle name="40% - Accent5 2 4 9 2 3" xfId="13577" xr:uid="{00000000-0005-0000-0000-000069560000}"/>
    <cellStyle name="40% - Accent5 2 4 9 2 3 2" xfId="24851" xr:uid="{00000000-0005-0000-0000-00006A560000}"/>
    <cellStyle name="40% - Accent5 2 4 9 2 3 3" xfId="33728" xr:uid="{00000000-0005-0000-0000-00006B560000}"/>
    <cellStyle name="40% - Accent5 2 4 9 2 4" xfId="16027" xr:uid="{00000000-0005-0000-0000-00006C560000}"/>
    <cellStyle name="40% - Accent5 2 4 9 2 4 2" xfId="27070" xr:uid="{00000000-0005-0000-0000-00006D560000}"/>
    <cellStyle name="40% - Accent5 2 4 9 2 4 3" xfId="35947" xr:uid="{00000000-0005-0000-0000-00006E560000}"/>
    <cellStyle name="40% - Accent5 2 4 9 2 5" xfId="20413" xr:uid="{00000000-0005-0000-0000-00006F560000}"/>
    <cellStyle name="40% - Accent5 2 4 9 2 6" xfId="29290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899" xr:uid="{00000000-0005-0000-0000-000073560000}"/>
    <cellStyle name="40% - Accent5 2 4 9 3 2 3" xfId="30776" xr:uid="{00000000-0005-0000-0000-000074560000}"/>
    <cellStyle name="40% - Accent5 2 4 9 3 3" xfId="12844" xr:uid="{00000000-0005-0000-0000-000075560000}"/>
    <cellStyle name="40% - Accent5 2 4 9 3 3 2" xfId="24118" xr:uid="{00000000-0005-0000-0000-000076560000}"/>
    <cellStyle name="40% - Accent5 2 4 9 3 3 3" xfId="32995" xr:uid="{00000000-0005-0000-0000-000077560000}"/>
    <cellStyle name="40% - Accent5 2 4 9 3 4" xfId="15294" xr:uid="{00000000-0005-0000-0000-000078560000}"/>
    <cellStyle name="40% - Accent5 2 4 9 3 4 2" xfId="26337" xr:uid="{00000000-0005-0000-0000-000079560000}"/>
    <cellStyle name="40% - Accent5 2 4 9 3 4 3" xfId="35214" xr:uid="{00000000-0005-0000-0000-00007A560000}"/>
    <cellStyle name="40% - Accent5 2 4 9 3 5" xfId="19680" xr:uid="{00000000-0005-0000-0000-00007B560000}"/>
    <cellStyle name="40% - Accent5 2 4 9 3 6" xfId="28557" xr:uid="{00000000-0005-0000-0000-00007C560000}"/>
    <cellStyle name="40% - Accent5 2 4 9 4" xfId="9653" xr:uid="{00000000-0005-0000-0000-00007D560000}"/>
    <cellStyle name="40% - Accent5 2 4 9 4 2" xfId="21156" xr:uid="{00000000-0005-0000-0000-00007E560000}"/>
    <cellStyle name="40% - Accent5 2 4 9 4 3" xfId="30033" xr:uid="{00000000-0005-0000-0000-00007F560000}"/>
    <cellStyle name="40% - Accent5 2 4 9 5" xfId="12101" xr:uid="{00000000-0005-0000-0000-000080560000}"/>
    <cellStyle name="40% - Accent5 2 4 9 5 2" xfId="23375" xr:uid="{00000000-0005-0000-0000-000081560000}"/>
    <cellStyle name="40% - Accent5 2 4 9 5 3" xfId="32252" xr:uid="{00000000-0005-0000-0000-000082560000}"/>
    <cellStyle name="40% - Accent5 2 4 9 6" xfId="14322" xr:uid="{00000000-0005-0000-0000-000083560000}"/>
    <cellStyle name="40% - Accent5 2 4 9 6 2" xfId="25594" xr:uid="{00000000-0005-0000-0000-000084560000}"/>
    <cellStyle name="40% - Accent5 2 4 9 6 3" xfId="34471" xr:uid="{00000000-0005-0000-0000-000085560000}"/>
    <cellStyle name="40% - Accent5 2 4 9 7" xfId="18931" xr:uid="{00000000-0005-0000-0000-000086560000}"/>
    <cellStyle name="40% - Accent5 2 4 9 8" xfId="27812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3" xr:uid="{00000000-0005-0000-0000-00008B560000}"/>
    <cellStyle name="40% - Accent5 2 5 10 2 3" xfId="31510" xr:uid="{00000000-0005-0000-0000-00008C560000}"/>
    <cellStyle name="40% - Accent5 2 5 10 3" xfId="13578" xr:uid="{00000000-0005-0000-0000-00008D560000}"/>
    <cellStyle name="40% - Accent5 2 5 10 3 2" xfId="24852" xr:uid="{00000000-0005-0000-0000-00008E560000}"/>
    <cellStyle name="40% - Accent5 2 5 10 3 3" xfId="33729" xr:uid="{00000000-0005-0000-0000-00008F560000}"/>
    <cellStyle name="40% - Accent5 2 5 10 4" xfId="16028" xr:uid="{00000000-0005-0000-0000-000090560000}"/>
    <cellStyle name="40% - Accent5 2 5 10 4 2" xfId="27071" xr:uid="{00000000-0005-0000-0000-000091560000}"/>
    <cellStyle name="40% - Accent5 2 5 10 4 3" xfId="35948" xr:uid="{00000000-0005-0000-0000-000092560000}"/>
    <cellStyle name="40% - Accent5 2 5 10 5" xfId="20414" xr:uid="{00000000-0005-0000-0000-000093560000}"/>
    <cellStyle name="40% - Accent5 2 5 10 6" xfId="29291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0" xr:uid="{00000000-0005-0000-0000-000097560000}"/>
    <cellStyle name="40% - Accent5 2 5 11 2 3" xfId="30777" xr:uid="{00000000-0005-0000-0000-000098560000}"/>
    <cellStyle name="40% - Accent5 2 5 11 3" xfId="12845" xr:uid="{00000000-0005-0000-0000-000099560000}"/>
    <cellStyle name="40% - Accent5 2 5 11 3 2" xfId="24119" xr:uid="{00000000-0005-0000-0000-00009A560000}"/>
    <cellStyle name="40% - Accent5 2 5 11 3 3" xfId="32996" xr:uid="{00000000-0005-0000-0000-00009B560000}"/>
    <cellStyle name="40% - Accent5 2 5 11 4" xfId="15295" xr:uid="{00000000-0005-0000-0000-00009C560000}"/>
    <cellStyle name="40% - Accent5 2 5 11 4 2" xfId="26338" xr:uid="{00000000-0005-0000-0000-00009D560000}"/>
    <cellStyle name="40% - Accent5 2 5 11 4 3" xfId="35215" xr:uid="{00000000-0005-0000-0000-00009E560000}"/>
    <cellStyle name="40% - Accent5 2 5 11 5" xfId="19681" xr:uid="{00000000-0005-0000-0000-00009F560000}"/>
    <cellStyle name="40% - Accent5 2 5 11 6" xfId="28558" xr:uid="{00000000-0005-0000-0000-0000A0560000}"/>
    <cellStyle name="40% - Accent5 2 5 12" xfId="9654" xr:uid="{00000000-0005-0000-0000-0000A1560000}"/>
    <cellStyle name="40% - Accent5 2 5 12 2" xfId="21157" xr:uid="{00000000-0005-0000-0000-0000A2560000}"/>
    <cellStyle name="40% - Accent5 2 5 12 3" xfId="30034" xr:uid="{00000000-0005-0000-0000-0000A3560000}"/>
    <cellStyle name="40% - Accent5 2 5 13" xfId="12102" xr:uid="{00000000-0005-0000-0000-0000A4560000}"/>
    <cellStyle name="40% - Accent5 2 5 13 2" xfId="23376" xr:uid="{00000000-0005-0000-0000-0000A5560000}"/>
    <cellStyle name="40% - Accent5 2 5 13 3" xfId="32253" xr:uid="{00000000-0005-0000-0000-0000A6560000}"/>
    <cellStyle name="40% - Accent5 2 5 14" xfId="14323" xr:uid="{00000000-0005-0000-0000-0000A7560000}"/>
    <cellStyle name="40% - Accent5 2 5 14 2" xfId="25595" xr:uid="{00000000-0005-0000-0000-0000A8560000}"/>
    <cellStyle name="40% - Accent5 2 5 14 3" xfId="34472" xr:uid="{00000000-0005-0000-0000-0000A9560000}"/>
    <cellStyle name="40% - Accent5 2 5 15" xfId="18932" xr:uid="{00000000-0005-0000-0000-0000AA560000}"/>
    <cellStyle name="40% - Accent5 2 5 16" xfId="27813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4" xr:uid="{00000000-0005-0000-0000-0000AF560000}"/>
    <cellStyle name="40% - Accent5 2 5 2 2 2 3" xfId="31511" xr:uid="{00000000-0005-0000-0000-0000B0560000}"/>
    <cellStyle name="40% - Accent5 2 5 2 2 3" xfId="13579" xr:uid="{00000000-0005-0000-0000-0000B1560000}"/>
    <cellStyle name="40% - Accent5 2 5 2 2 3 2" xfId="24853" xr:uid="{00000000-0005-0000-0000-0000B2560000}"/>
    <cellStyle name="40% - Accent5 2 5 2 2 3 3" xfId="33730" xr:uid="{00000000-0005-0000-0000-0000B3560000}"/>
    <cellStyle name="40% - Accent5 2 5 2 2 4" xfId="16029" xr:uid="{00000000-0005-0000-0000-0000B4560000}"/>
    <cellStyle name="40% - Accent5 2 5 2 2 4 2" xfId="27072" xr:uid="{00000000-0005-0000-0000-0000B5560000}"/>
    <cellStyle name="40% - Accent5 2 5 2 2 4 3" xfId="35949" xr:uid="{00000000-0005-0000-0000-0000B6560000}"/>
    <cellStyle name="40% - Accent5 2 5 2 2 5" xfId="20415" xr:uid="{00000000-0005-0000-0000-0000B7560000}"/>
    <cellStyle name="40% - Accent5 2 5 2 2 6" xfId="29292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1" xr:uid="{00000000-0005-0000-0000-0000BB560000}"/>
    <cellStyle name="40% - Accent5 2 5 2 3 2 3" xfId="30778" xr:uid="{00000000-0005-0000-0000-0000BC560000}"/>
    <cellStyle name="40% - Accent5 2 5 2 3 3" xfId="12846" xr:uid="{00000000-0005-0000-0000-0000BD560000}"/>
    <cellStyle name="40% - Accent5 2 5 2 3 3 2" xfId="24120" xr:uid="{00000000-0005-0000-0000-0000BE560000}"/>
    <cellStyle name="40% - Accent5 2 5 2 3 3 3" xfId="32997" xr:uid="{00000000-0005-0000-0000-0000BF560000}"/>
    <cellStyle name="40% - Accent5 2 5 2 3 4" xfId="15296" xr:uid="{00000000-0005-0000-0000-0000C0560000}"/>
    <cellStyle name="40% - Accent5 2 5 2 3 4 2" xfId="26339" xr:uid="{00000000-0005-0000-0000-0000C1560000}"/>
    <cellStyle name="40% - Accent5 2 5 2 3 4 3" xfId="35216" xr:uid="{00000000-0005-0000-0000-0000C2560000}"/>
    <cellStyle name="40% - Accent5 2 5 2 3 5" xfId="19682" xr:uid="{00000000-0005-0000-0000-0000C3560000}"/>
    <cellStyle name="40% - Accent5 2 5 2 3 6" xfId="28559" xr:uid="{00000000-0005-0000-0000-0000C4560000}"/>
    <cellStyle name="40% - Accent5 2 5 2 4" xfId="9655" xr:uid="{00000000-0005-0000-0000-0000C5560000}"/>
    <cellStyle name="40% - Accent5 2 5 2 4 2" xfId="21158" xr:uid="{00000000-0005-0000-0000-0000C6560000}"/>
    <cellStyle name="40% - Accent5 2 5 2 4 3" xfId="30035" xr:uid="{00000000-0005-0000-0000-0000C7560000}"/>
    <cellStyle name="40% - Accent5 2 5 2 5" xfId="12103" xr:uid="{00000000-0005-0000-0000-0000C8560000}"/>
    <cellStyle name="40% - Accent5 2 5 2 5 2" xfId="23377" xr:uid="{00000000-0005-0000-0000-0000C9560000}"/>
    <cellStyle name="40% - Accent5 2 5 2 5 3" xfId="32254" xr:uid="{00000000-0005-0000-0000-0000CA560000}"/>
    <cellStyle name="40% - Accent5 2 5 2 6" xfId="14324" xr:uid="{00000000-0005-0000-0000-0000CB560000}"/>
    <cellStyle name="40% - Accent5 2 5 2 6 2" xfId="25596" xr:uid="{00000000-0005-0000-0000-0000CC560000}"/>
    <cellStyle name="40% - Accent5 2 5 2 6 3" xfId="34473" xr:uid="{00000000-0005-0000-0000-0000CD560000}"/>
    <cellStyle name="40% - Accent5 2 5 2 7" xfId="18933" xr:uid="{00000000-0005-0000-0000-0000CE560000}"/>
    <cellStyle name="40% - Accent5 2 5 2 8" xfId="27814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5" xr:uid="{00000000-0005-0000-0000-0000D3560000}"/>
    <cellStyle name="40% - Accent5 2 5 3 2 2 3" xfId="31512" xr:uid="{00000000-0005-0000-0000-0000D4560000}"/>
    <cellStyle name="40% - Accent5 2 5 3 2 3" xfId="13580" xr:uid="{00000000-0005-0000-0000-0000D5560000}"/>
    <cellStyle name="40% - Accent5 2 5 3 2 3 2" xfId="24854" xr:uid="{00000000-0005-0000-0000-0000D6560000}"/>
    <cellStyle name="40% - Accent5 2 5 3 2 3 3" xfId="33731" xr:uid="{00000000-0005-0000-0000-0000D7560000}"/>
    <cellStyle name="40% - Accent5 2 5 3 2 4" xfId="16030" xr:uid="{00000000-0005-0000-0000-0000D8560000}"/>
    <cellStyle name="40% - Accent5 2 5 3 2 4 2" xfId="27073" xr:uid="{00000000-0005-0000-0000-0000D9560000}"/>
    <cellStyle name="40% - Accent5 2 5 3 2 4 3" xfId="35950" xr:uid="{00000000-0005-0000-0000-0000DA560000}"/>
    <cellStyle name="40% - Accent5 2 5 3 2 5" xfId="20416" xr:uid="{00000000-0005-0000-0000-0000DB560000}"/>
    <cellStyle name="40% - Accent5 2 5 3 2 6" xfId="29293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2" xr:uid="{00000000-0005-0000-0000-0000DF560000}"/>
    <cellStyle name="40% - Accent5 2 5 3 3 2 3" xfId="30779" xr:uid="{00000000-0005-0000-0000-0000E0560000}"/>
    <cellStyle name="40% - Accent5 2 5 3 3 3" xfId="12847" xr:uid="{00000000-0005-0000-0000-0000E1560000}"/>
    <cellStyle name="40% - Accent5 2 5 3 3 3 2" xfId="24121" xr:uid="{00000000-0005-0000-0000-0000E2560000}"/>
    <cellStyle name="40% - Accent5 2 5 3 3 3 3" xfId="32998" xr:uid="{00000000-0005-0000-0000-0000E3560000}"/>
    <cellStyle name="40% - Accent5 2 5 3 3 4" xfId="15297" xr:uid="{00000000-0005-0000-0000-0000E4560000}"/>
    <cellStyle name="40% - Accent5 2 5 3 3 4 2" xfId="26340" xr:uid="{00000000-0005-0000-0000-0000E5560000}"/>
    <cellStyle name="40% - Accent5 2 5 3 3 4 3" xfId="35217" xr:uid="{00000000-0005-0000-0000-0000E6560000}"/>
    <cellStyle name="40% - Accent5 2 5 3 3 5" xfId="19683" xr:uid="{00000000-0005-0000-0000-0000E7560000}"/>
    <cellStyle name="40% - Accent5 2 5 3 3 6" xfId="28560" xr:uid="{00000000-0005-0000-0000-0000E8560000}"/>
    <cellStyle name="40% - Accent5 2 5 3 4" xfId="9656" xr:uid="{00000000-0005-0000-0000-0000E9560000}"/>
    <cellStyle name="40% - Accent5 2 5 3 4 2" xfId="21159" xr:uid="{00000000-0005-0000-0000-0000EA560000}"/>
    <cellStyle name="40% - Accent5 2 5 3 4 3" xfId="30036" xr:uid="{00000000-0005-0000-0000-0000EB560000}"/>
    <cellStyle name="40% - Accent5 2 5 3 5" xfId="12104" xr:uid="{00000000-0005-0000-0000-0000EC560000}"/>
    <cellStyle name="40% - Accent5 2 5 3 5 2" xfId="23378" xr:uid="{00000000-0005-0000-0000-0000ED560000}"/>
    <cellStyle name="40% - Accent5 2 5 3 5 3" xfId="32255" xr:uid="{00000000-0005-0000-0000-0000EE560000}"/>
    <cellStyle name="40% - Accent5 2 5 3 6" xfId="14325" xr:uid="{00000000-0005-0000-0000-0000EF560000}"/>
    <cellStyle name="40% - Accent5 2 5 3 6 2" xfId="25597" xr:uid="{00000000-0005-0000-0000-0000F0560000}"/>
    <cellStyle name="40% - Accent5 2 5 3 6 3" xfId="34474" xr:uid="{00000000-0005-0000-0000-0000F1560000}"/>
    <cellStyle name="40% - Accent5 2 5 3 7" xfId="18934" xr:uid="{00000000-0005-0000-0000-0000F2560000}"/>
    <cellStyle name="40% - Accent5 2 5 3 8" xfId="27815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6" xr:uid="{00000000-0005-0000-0000-0000F7560000}"/>
    <cellStyle name="40% - Accent5 2 5 4 2 2 3" xfId="31513" xr:uid="{00000000-0005-0000-0000-0000F8560000}"/>
    <cellStyle name="40% - Accent5 2 5 4 2 3" xfId="13581" xr:uid="{00000000-0005-0000-0000-0000F9560000}"/>
    <cellStyle name="40% - Accent5 2 5 4 2 3 2" xfId="24855" xr:uid="{00000000-0005-0000-0000-0000FA560000}"/>
    <cellStyle name="40% - Accent5 2 5 4 2 3 3" xfId="33732" xr:uid="{00000000-0005-0000-0000-0000FB560000}"/>
    <cellStyle name="40% - Accent5 2 5 4 2 4" xfId="16031" xr:uid="{00000000-0005-0000-0000-0000FC560000}"/>
    <cellStyle name="40% - Accent5 2 5 4 2 4 2" xfId="27074" xr:uid="{00000000-0005-0000-0000-0000FD560000}"/>
    <cellStyle name="40% - Accent5 2 5 4 2 4 3" xfId="35951" xr:uid="{00000000-0005-0000-0000-0000FE560000}"/>
    <cellStyle name="40% - Accent5 2 5 4 2 5" xfId="20417" xr:uid="{00000000-0005-0000-0000-0000FF560000}"/>
    <cellStyle name="40% - Accent5 2 5 4 2 6" xfId="29294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3" xr:uid="{00000000-0005-0000-0000-000003570000}"/>
    <cellStyle name="40% - Accent5 2 5 4 3 2 3" xfId="30780" xr:uid="{00000000-0005-0000-0000-000004570000}"/>
    <cellStyle name="40% - Accent5 2 5 4 3 3" xfId="12848" xr:uid="{00000000-0005-0000-0000-000005570000}"/>
    <cellStyle name="40% - Accent5 2 5 4 3 3 2" xfId="24122" xr:uid="{00000000-0005-0000-0000-000006570000}"/>
    <cellStyle name="40% - Accent5 2 5 4 3 3 3" xfId="32999" xr:uid="{00000000-0005-0000-0000-000007570000}"/>
    <cellStyle name="40% - Accent5 2 5 4 3 4" xfId="15298" xr:uid="{00000000-0005-0000-0000-000008570000}"/>
    <cellStyle name="40% - Accent5 2 5 4 3 4 2" xfId="26341" xr:uid="{00000000-0005-0000-0000-000009570000}"/>
    <cellStyle name="40% - Accent5 2 5 4 3 4 3" xfId="35218" xr:uid="{00000000-0005-0000-0000-00000A570000}"/>
    <cellStyle name="40% - Accent5 2 5 4 3 5" xfId="19684" xr:uid="{00000000-0005-0000-0000-00000B570000}"/>
    <cellStyle name="40% - Accent5 2 5 4 3 6" xfId="28561" xr:uid="{00000000-0005-0000-0000-00000C570000}"/>
    <cellStyle name="40% - Accent5 2 5 4 4" xfId="9657" xr:uid="{00000000-0005-0000-0000-00000D570000}"/>
    <cellStyle name="40% - Accent5 2 5 4 4 2" xfId="21160" xr:uid="{00000000-0005-0000-0000-00000E570000}"/>
    <cellStyle name="40% - Accent5 2 5 4 4 3" xfId="30037" xr:uid="{00000000-0005-0000-0000-00000F570000}"/>
    <cellStyle name="40% - Accent5 2 5 4 5" xfId="12105" xr:uid="{00000000-0005-0000-0000-000010570000}"/>
    <cellStyle name="40% - Accent5 2 5 4 5 2" xfId="23379" xr:uid="{00000000-0005-0000-0000-000011570000}"/>
    <cellStyle name="40% - Accent5 2 5 4 5 3" xfId="32256" xr:uid="{00000000-0005-0000-0000-000012570000}"/>
    <cellStyle name="40% - Accent5 2 5 4 6" xfId="14326" xr:uid="{00000000-0005-0000-0000-000013570000}"/>
    <cellStyle name="40% - Accent5 2 5 4 6 2" xfId="25598" xr:uid="{00000000-0005-0000-0000-000014570000}"/>
    <cellStyle name="40% - Accent5 2 5 4 6 3" xfId="34475" xr:uid="{00000000-0005-0000-0000-000015570000}"/>
    <cellStyle name="40% - Accent5 2 5 4 7" xfId="18935" xr:uid="{00000000-0005-0000-0000-000016570000}"/>
    <cellStyle name="40% - Accent5 2 5 4 8" xfId="27816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7" xr:uid="{00000000-0005-0000-0000-00001B570000}"/>
    <cellStyle name="40% - Accent5 2 5 5 2 2 3" xfId="31514" xr:uid="{00000000-0005-0000-0000-00001C570000}"/>
    <cellStyle name="40% - Accent5 2 5 5 2 3" xfId="13582" xr:uid="{00000000-0005-0000-0000-00001D570000}"/>
    <cellStyle name="40% - Accent5 2 5 5 2 3 2" xfId="24856" xr:uid="{00000000-0005-0000-0000-00001E570000}"/>
    <cellStyle name="40% - Accent5 2 5 5 2 3 3" xfId="33733" xr:uid="{00000000-0005-0000-0000-00001F570000}"/>
    <cellStyle name="40% - Accent5 2 5 5 2 4" xfId="16032" xr:uid="{00000000-0005-0000-0000-000020570000}"/>
    <cellStyle name="40% - Accent5 2 5 5 2 4 2" xfId="27075" xr:uid="{00000000-0005-0000-0000-000021570000}"/>
    <cellStyle name="40% - Accent5 2 5 5 2 4 3" xfId="35952" xr:uid="{00000000-0005-0000-0000-000022570000}"/>
    <cellStyle name="40% - Accent5 2 5 5 2 5" xfId="20418" xr:uid="{00000000-0005-0000-0000-000023570000}"/>
    <cellStyle name="40% - Accent5 2 5 5 2 6" xfId="29295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4" xr:uid="{00000000-0005-0000-0000-000027570000}"/>
    <cellStyle name="40% - Accent5 2 5 5 3 2 3" xfId="30781" xr:uid="{00000000-0005-0000-0000-000028570000}"/>
    <cellStyle name="40% - Accent5 2 5 5 3 3" xfId="12849" xr:uid="{00000000-0005-0000-0000-000029570000}"/>
    <cellStyle name="40% - Accent5 2 5 5 3 3 2" xfId="24123" xr:uid="{00000000-0005-0000-0000-00002A570000}"/>
    <cellStyle name="40% - Accent5 2 5 5 3 3 3" xfId="33000" xr:uid="{00000000-0005-0000-0000-00002B570000}"/>
    <cellStyle name="40% - Accent5 2 5 5 3 4" xfId="15299" xr:uid="{00000000-0005-0000-0000-00002C570000}"/>
    <cellStyle name="40% - Accent5 2 5 5 3 4 2" xfId="26342" xr:uid="{00000000-0005-0000-0000-00002D570000}"/>
    <cellStyle name="40% - Accent5 2 5 5 3 4 3" xfId="35219" xr:uid="{00000000-0005-0000-0000-00002E570000}"/>
    <cellStyle name="40% - Accent5 2 5 5 3 5" xfId="19685" xr:uid="{00000000-0005-0000-0000-00002F570000}"/>
    <cellStyle name="40% - Accent5 2 5 5 3 6" xfId="28562" xr:uid="{00000000-0005-0000-0000-000030570000}"/>
    <cellStyle name="40% - Accent5 2 5 5 4" xfId="9658" xr:uid="{00000000-0005-0000-0000-000031570000}"/>
    <cellStyle name="40% - Accent5 2 5 5 4 2" xfId="21161" xr:uid="{00000000-0005-0000-0000-000032570000}"/>
    <cellStyle name="40% - Accent5 2 5 5 4 3" xfId="30038" xr:uid="{00000000-0005-0000-0000-000033570000}"/>
    <cellStyle name="40% - Accent5 2 5 5 5" xfId="12106" xr:uid="{00000000-0005-0000-0000-000034570000}"/>
    <cellStyle name="40% - Accent5 2 5 5 5 2" xfId="23380" xr:uid="{00000000-0005-0000-0000-000035570000}"/>
    <cellStyle name="40% - Accent5 2 5 5 5 3" xfId="32257" xr:uid="{00000000-0005-0000-0000-000036570000}"/>
    <cellStyle name="40% - Accent5 2 5 5 6" xfId="14327" xr:uid="{00000000-0005-0000-0000-000037570000}"/>
    <cellStyle name="40% - Accent5 2 5 5 6 2" xfId="25599" xr:uid="{00000000-0005-0000-0000-000038570000}"/>
    <cellStyle name="40% - Accent5 2 5 5 6 3" xfId="34476" xr:uid="{00000000-0005-0000-0000-000039570000}"/>
    <cellStyle name="40% - Accent5 2 5 5 7" xfId="18936" xr:uid="{00000000-0005-0000-0000-00003A570000}"/>
    <cellStyle name="40% - Accent5 2 5 5 8" xfId="27817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8" xr:uid="{00000000-0005-0000-0000-00003F570000}"/>
    <cellStyle name="40% - Accent5 2 5 6 2 2 3" xfId="31515" xr:uid="{00000000-0005-0000-0000-000040570000}"/>
    <cellStyle name="40% - Accent5 2 5 6 2 3" xfId="13583" xr:uid="{00000000-0005-0000-0000-000041570000}"/>
    <cellStyle name="40% - Accent5 2 5 6 2 3 2" xfId="24857" xr:uid="{00000000-0005-0000-0000-000042570000}"/>
    <cellStyle name="40% - Accent5 2 5 6 2 3 3" xfId="33734" xr:uid="{00000000-0005-0000-0000-000043570000}"/>
    <cellStyle name="40% - Accent5 2 5 6 2 4" xfId="16033" xr:uid="{00000000-0005-0000-0000-000044570000}"/>
    <cellStyle name="40% - Accent5 2 5 6 2 4 2" xfId="27076" xr:uid="{00000000-0005-0000-0000-000045570000}"/>
    <cellStyle name="40% - Accent5 2 5 6 2 4 3" xfId="35953" xr:uid="{00000000-0005-0000-0000-000046570000}"/>
    <cellStyle name="40% - Accent5 2 5 6 2 5" xfId="20419" xr:uid="{00000000-0005-0000-0000-000047570000}"/>
    <cellStyle name="40% - Accent5 2 5 6 2 6" xfId="29296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5" xr:uid="{00000000-0005-0000-0000-00004B570000}"/>
    <cellStyle name="40% - Accent5 2 5 6 3 2 3" xfId="30782" xr:uid="{00000000-0005-0000-0000-00004C570000}"/>
    <cellStyle name="40% - Accent5 2 5 6 3 3" xfId="12850" xr:uid="{00000000-0005-0000-0000-00004D570000}"/>
    <cellStyle name="40% - Accent5 2 5 6 3 3 2" xfId="24124" xr:uid="{00000000-0005-0000-0000-00004E570000}"/>
    <cellStyle name="40% - Accent5 2 5 6 3 3 3" xfId="33001" xr:uid="{00000000-0005-0000-0000-00004F570000}"/>
    <cellStyle name="40% - Accent5 2 5 6 3 4" xfId="15300" xr:uid="{00000000-0005-0000-0000-000050570000}"/>
    <cellStyle name="40% - Accent5 2 5 6 3 4 2" xfId="26343" xr:uid="{00000000-0005-0000-0000-000051570000}"/>
    <cellStyle name="40% - Accent5 2 5 6 3 4 3" xfId="35220" xr:uid="{00000000-0005-0000-0000-000052570000}"/>
    <cellStyle name="40% - Accent5 2 5 6 3 5" xfId="19686" xr:uid="{00000000-0005-0000-0000-000053570000}"/>
    <cellStyle name="40% - Accent5 2 5 6 3 6" xfId="28563" xr:uid="{00000000-0005-0000-0000-000054570000}"/>
    <cellStyle name="40% - Accent5 2 5 6 4" xfId="9659" xr:uid="{00000000-0005-0000-0000-000055570000}"/>
    <cellStyle name="40% - Accent5 2 5 6 4 2" xfId="21162" xr:uid="{00000000-0005-0000-0000-000056570000}"/>
    <cellStyle name="40% - Accent5 2 5 6 4 3" xfId="30039" xr:uid="{00000000-0005-0000-0000-000057570000}"/>
    <cellStyle name="40% - Accent5 2 5 6 5" xfId="12107" xr:uid="{00000000-0005-0000-0000-000058570000}"/>
    <cellStyle name="40% - Accent5 2 5 6 5 2" xfId="23381" xr:uid="{00000000-0005-0000-0000-000059570000}"/>
    <cellStyle name="40% - Accent5 2 5 6 5 3" xfId="32258" xr:uid="{00000000-0005-0000-0000-00005A570000}"/>
    <cellStyle name="40% - Accent5 2 5 6 6" xfId="14328" xr:uid="{00000000-0005-0000-0000-00005B570000}"/>
    <cellStyle name="40% - Accent5 2 5 6 6 2" xfId="25600" xr:uid="{00000000-0005-0000-0000-00005C570000}"/>
    <cellStyle name="40% - Accent5 2 5 6 6 3" xfId="34477" xr:uid="{00000000-0005-0000-0000-00005D570000}"/>
    <cellStyle name="40% - Accent5 2 5 6 7" xfId="18937" xr:uid="{00000000-0005-0000-0000-00005E570000}"/>
    <cellStyle name="40% - Accent5 2 5 6 8" xfId="27818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39" xr:uid="{00000000-0005-0000-0000-000063570000}"/>
    <cellStyle name="40% - Accent5 2 5 7 2 2 3" xfId="31516" xr:uid="{00000000-0005-0000-0000-000064570000}"/>
    <cellStyle name="40% - Accent5 2 5 7 2 3" xfId="13584" xr:uid="{00000000-0005-0000-0000-000065570000}"/>
    <cellStyle name="40% - Accent5 2 5 7 2 3 2" xfId="24858" xr:uid="{00000000-0005-0000-0000-000066570000}"/>
    <cellStyle name="40% - Accent5 2 5 7 2 3 3" xfId="33735" xr:uid="{00000000-0005-0000-0000-000067570000}"/>
    <cellStyle name="40% - Accent5 2 5 7 2 4" xfId="16034" xr:uid="{00000000-0005-0000-0000-000068570000}"/>
    <cellStyle name="40% - Accent5 2 5 7 2 4 2" xfId="27077" xr:uid="{00000000-0005-0000-0000-000069570000}"/>
    <cellStyle name="40% - Accent5 2 5 7 2 4 3" xfId="35954" xr:uid="{00000000-0005-0000-0000-00006A570000}"/>
    <cellStyle name="40% - Accent5 2 5 7 2 5" xfId="20420" xr:uid="{00000000-0005-0000-0000-00006B570000}"/>
    <cellStyle name="40% - Accent5 2 5 7 2 6" xfId="29297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6" xr:uid="{00000000-0005-0000-0000-00006F570000}"/>
    <cellStyle name="40% - Accent5 2 5 7 3 2 3" xfId="30783" xr:uid="{00000000-0005-0000-0000-000070570000}"/>
    <cellStyle name="40% - Accent5 2 5 7 3 3" xfId="12851" xr:uid="{00000000-0005-0000-0000-000071570000}"/>
    <cellStyle name="40% - Accent5 2 5 7 3 3 2" xfId="24125" xr:uid="{00000000-0005-0000-0000-000072570000}"/>
    <cellStyle name="40% - Accent5 2 5 7 3 3 3" xfId="33002" xr:uid="{00000000-0005-0000-0000-000073570000}"/>
    <cellStyle name="40% - Accent5 2 5 7 3 4" xfId="15301" xr:uid="{00000000-0005-0000-0000-000074570000}"/>
    <cellStyle name="40% - Accent5 2 5 7 3 4 2" xfId="26344" xr:uid="{00000000-0005-0000-0000-000075570000}"/>
    <cellStyle name="40% - Accent5 2 5 7 3 4 3" xfId="35221" xr:uid="{00000000-0005-0000-0000-000076570000}"/>
    <cellStyle name="40% - Accent5 2 5 7 3 5" xfId="19687" xr:uid="{00000000-0005-0000-0000-000077570000}"/>
    <cellStyle name="40% - Accent5 2 5 7 3 6" xfId="28564" xr:uid="{00000000-0005-0000-0000-000078570000}"/>
    <cellStyle name="40% - Accent5 2 5 7 4" xfId="9660" xr:uid="{00000000-0005-0000-0000-000079570000}"/>
    <cellStyle name="40% - Accent5 2 5 7 4 2" xfId="21163" xr:uid="{00000000-0005-0000-0000-00007A570000}"/>
    <cellStyle name="40% - Accent5 2 5 7 4 3" xfId="30040" xr:uid="{00000000-0005-0000-0000-00007B570000}"/>
    <cellStyle name="40% - Accent5 2 5 7 5" xfId="12108" xr:uid="{00000000-0005-0000-0000-00007C570000}"/>
    <cellStyle name="40% - Accent5 2 5 7 5 2" xfId="23382" xr:uid="{00000000-0005-0000-0000-00007D570000}"/>
    <cellStyle name="40% - Accent5 2 5 7 5 3" xfId="32259" xr:uid="{00000000-0005-0000-0000-00007E570000}"/>
    <cellStyle name="40% - Accent5 2 5 7 6" xfId="14329" xr:uid="{00000000-0005-0000-0000-00007F570000}"/>
    <cellStyle name="40% - Accent5 2 5 7 6 2" xfId="25601" xr:uid="{00000000-0005-0000-0000-000080570000}"/>
    <cellStyle name="40% - Accent5 2 5 7 6 3" xfId="34478" xr:uid="{00000000-0005-0000-0000-000081570000}"/>
    <cellStyle name="40% - Accent5 2 5 7 7" xfId="18938" xr:uid="{00000000-0005-0000-0000-000082570000}"/>
    <cellStyle name="40% - Accent5 2 5 7 8" xfId="27819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0" xr:uid="{00000000-0005-0000-0000-000087570000}"/>
    <cellStyle name="40% - Accent5 2 5 8 2 2 3" xfId="31517" xr:uid="{00000000-0005-0000-0000-000088570000}"/>
    <cellStyle name="40% - Accent5 2 5 8 2 3" xfId="13585" xr:uid="{00000000-0005-0000-0000-000089570000}"/>
    <cellStyle name="40% - Accent5 2 5 8 2 3 2" xfId="24859" xr:uid="{00000000-0005-0000-0000-00008A570000}"/>
    <cellStyle name="40% - Accent5 2 5 8 2 3 3" xfId="33736" xr:uid="{00000000-0005-0000-0000-00008B570000}"/>
    <cellStyle name="40% - Accent5 2 5 8 2 4" xfId="16035" xr:uid="{00000000-0005-0000-0000-00008C570000}"/>
    <cellStyle name="40% - Accent5 2 5 8 2 4 2" xfId="27078" xr:uid="{00000000-0005-0000-0000-00008D570000}"/>
    <cellStyle name="40% - Accent5 2 5 8 2 4 3" xfId="35955" xr:uid="{00000000-0005-0000-0000-00008E570000}"/>
    <cellStyle name="40% - Accent5 2 5 8 2 5" xfId="20421" xr:uid="{00000000-0005-0000-0000-00008F570000}"/>
    <cellStyle name="40% - Accent5 2 5 8 2 6" xfId="29298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7" xr:uid="{00000000-0005-0000-0000-000093570000}"/>
    <cellStyle name="40% - Accent5 2 5 8 3 2 3" xfId="30784" xr:uid="{00000000-0005-0000-0000-000094570000}"/>
    <cellStyle name="40% - Accent5 2 5 8 3 3" xfId="12852" xr:uid="{00000000-0005-0000-0000-000095570000}"/>
    <cellStyle name="40% - Accent5 2 5 8 3 3 2" xfId="24126" xr:uid="{00000000-0005-0000-0000-000096570000}"/>
    <cellStyle name="40% - Accent5 2 5 8 3 3 3" xfId="33003" xr:uid="{00000000-0005-0000-0000-000097570000}"/>
    <cellStyle name="40% - Accent5 2 5 8 3 4" xfId="15302" xr:uid="{00000000-0005-0000-0000-000098570000}"/>
    <cellStyle name="40% - Accent5 2 5 8 3 4 2" xfId="26345" xr:uid="{00000000-0005-0000-0000-000099570000}"/>
    <cellStyle name="40% - Accent5 2 5 8 3 4 3" xfId="35222" xr:uid="{00000000-0005-0000-0000-00009A570000}"/>
    <cellStyle name="40% - Accent5 2 5 8 3 5" xfId="19688" xr:uid="{00000000-0005-0000-0000-00009B570000}"/>
    <cellStyle name="40% - Accent5 2 5 8 3 6" xfId="28565" xr:uid="{00000000-0005-0000-0000-00009C570000}"/>
    <cellStyle name="40% - Accent5 2 5 8 4" xfId="9661" xr:uid="{00000000-0005-0000-0000-00009D570000}"/>
    <cellStyle name="40% - Accent5 2 5 8 4 2" xfId="21164" xr:uid="{00000000-0005-0000-0000-00009E570000}"/>
    <cellStyle name="40% - Accent5 2 5 8 4 3" xfId="30041" xr:uid="{00000000-0005-0000-0000-00009F570000}"/>
    <cellStyle name="40% - Accent5 2 5 8 5" xfId="12109" xr:uid="{00000000-0005-0000-0000-0000A0570000}"/>
    <cellStyle name="40% - Accent5 2 5 8 5 2" xfId="23383" xr:uid="{00000000-0005-0000-0000-0000A1570000}"/>
    <cellStyle name="40% - Accent5 2 5 8 5 3" xfId="32260" xr:uid="{00000000-0005-0000-0000-0000A2570000}"/>
    <cellStyle name="40% - Accent5 2 5 8 6" xfId="14330" xr:uid="{00000000-0005-0000-0000-0000A3570000}"/>
    <cellStyle name="40% - Accent5 2 5 8 6 2" xfId="25602" xr:uid="{00000000-0005-0000-0000-0000A4570000}"/>
    <cellStyle name="40% - Accent5 2 5 8 6 3" xfId="34479" xr:uid="{00000000-0005-0000-0000-0000A5570000}"/>
    <cellStyle name="40% - Accent5 2 5 8 7" xfId="18939" xr:uid="{00000000-0005-0000-0000-0000A6570000}"/>
    <cellStyle name="40% - Accent5 2 5 8 8" xfId="27820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1" xr:uid="{00000000-0005-0000-0000-0000AB570000}"/>
    <cellStyle name="40% - Accent5 2 5 9 2 2 3" xfId="31518" xr:uid="{00000000-0005-0000-0000-0000AC570000}"/>
    <cellStyle name="40% - Accent5 2 5 9 2 3" xfId="13586" xr:uid="{00000000-0005-0000-0000-0000AD570000}"/>
    <cellStyle name="40% - Accent5 2 5 9 2 3 2" xfId="24860" xr:uid="{00000000-0005-0000-0000-0000AE570000}"/>
    <cellStyle name="40% - Accent5 2 5 9 2 3 3" xfId="33737" xr:uid="{00000000-0005-0000-0000-0000AF570000}"/>
    <cellStyle name="40% - Accent5 2 5 9 2 4" xfId="16036" xr:uid="{00000000-0005-0000-0000-0000B0570000}"/>
    <cellStyle name="40% - Accent5 2 5 9 2 4 2" xfId="27079" xr:uid="{00000000-0005-0000-0000-0000B1570000}"/>
    <cellStyle name="40% - Accent5 2 5 9 2 4 3" xfId="35956" xr:uid="{00000000-0005-0000-0000-0000B2570000}"/>
    <cellStyle name="40% - Accent5 2 5 9 2 5" xfId="20422" xr:uid="{00000000-0005-0000-0000-0000B3570000}"/>
    <cellStyle name="40% - Accent5 2 5 9 2 6" xfId="29299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8" xr:uid="{00000000-0005-0000-0000-0000B7570000}"/>
    <cellStyle name="40% - Accent5 2 5 9 3 2 3" xfId="30785" xr:uid="{00000000-0005-0000-0000-0000B8570000}"/>
    <cellStyle name="40% - Accent5 2 5 9 3 3" xfId="12853" xr:uid="{00000000-0005-0000-0000-0000B9570000}"/>
    <cellStyle name="40% - Accent5 2 5 9 3 3 2" xfId="24127" xr:uid="{00000000-0005-0000-0000-0000BA570000}"/>
    <cellStyle name="40% - Accent5 2 5 9 3 3 3" xfId="33004" xr:uid="{00000000-0005-0000-0000-0000BB570000}"/>
    <cellStyle name="40% - Accent5 2 5 9 3 4" xfId="15303" xr:uid="{00000000-0005-0000-0000-0000BC570000}"/>
    <cellStyle name="40% - Accent5 2 5 9 3 4 2" xfId="26346" xr:uid="{00000000-0005-0000-0000-0000BD570000}"/>
    <cellStyle name="40% - Accent5 2 5 9 3 4 3" xfId="35223" xr:uid="{00000000-0005-0000-0000-0000BE570000}"/>
    <cellStyle name="40% - Accent5 2 5 9 3 5" xfId="19689" xr:uid="{00000000-0005-0000-0000-0000BF570000}"/>
    <cellStyle name="40% - Accent5 2 5 9 3 6" xfId="28566" xr:uid="{00000000-0005-0000-0000-0000C0570000}"/>
    <cellStyle name="40% - Accent5 2 5 9 4" xfId="9662" xr:uid="{00000000-0005-0000-0000-0000C1570000}"/>
    <cellStyle name="40% - Accent5 2 5 9 4 2" xfId="21165" xr:uid="{00000000-0005-0000-0000-0000C2570000}"/>
    <cellStyle name="40% - Accent5 2 5 9 4 3" xfId="30042" xr:uid="{00000000-0005-0000-0000-0000C3570000}"/>
    <cellStyle name="40% - Accent5 2 5 9 5" xfId="12110" xr:uid="{00000000-0005-0000-0000-0000C4570000}"/>
    <cellStyle name="40% - Accent5 2 5 9 5 2" xfId="23384" xr:uid="{00000000-0005-0000-0000-0000C5570000}"/>
    <cellStyle name="40% - Accent5 2 5 9 5 3" xfId="32261" xr:uid="{00000000-0005-0000-0000-0000C6570000}"/>
    <cellStyle name="40% - Accent5 2 5 9 6" xfId="14331" xr:uid="{00000000-0005-0000-0000-0000C7570000}"/>
    <cellStyle name="40% - Accent5 2 5 9 6 2" xfId="25603" xr:uid="{00000000-0005-0000-0000-0000C8570000}"/>
    <cellStyle name="40% - Accent5 2 5 9 6 3" xfId="34480" xr:uid="{00000000-0005-0000-0000-0000C9570000}"/>
    <cellStyle name="40% - Accent5 2 5 9 7" xfId="18940" xr:uid="{00000000-0005-0000-0000-0000CA570000}"/>
    <cellStyle name="40% - Accent5 2 5 9 8" xfId="27821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4" xr:uid="{00000000-0005-0000-0000-0000CE570000}"/>
    <cellStyle name="40% - Accent5 2 6 10 3" xfId="34481" xr:uid="{00000000-0005-0000-0000-0000CF570000}"/>
    <cellStyle name="40% - Accent5 2 6 11" xfId="18941" xr:uid="{00000000-0005-0000-0000-0000D0570000}"/>
    <cellStyle name="40% - Accent5 2 6 12" xfId="27822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3" xr:uid="{00000000-0005-0000-0000-0000D5570000}"/>
    <cellStyle name="40% - Accent5 2 6 2 2 2 3" xfId="31520" xr:uid="{00000000-0005-0000-0000-0000D6570000}"/>
    <cellStyle name="40% - Accent5 2 6 2 2 3" xfId="13588" xr:uid="{00000000-0005-0000-0000-0000D7570000}"/>
    <cellStyle name="40% - Accent5 2 6 2 2 3 2" xfId="24862" xr:uid="{00000000-0005-0000-0000-0000D8570000}"/>
    <cellStyle name="40% - Accent5 2 6 2 2 3 3" xfId="33739" xr:uid="{00000000-0005-0000-0000-0000D9570000}"/>
    <cellStyle name="40% - Accent5 2 6 2 2 4" xfId="16038" xr:uid="{00000000-0005-0000-0000-0000DA570000}"/>
    <cellStyle name="40% - Accent5 2 6 2 2 4 2" xfId="27081" xr:uid="{00000000-0005-0000-0000-0000DB570000}"/>
    <cellStyle name="40% - Accent5 2 6 2 2 4 3" xfId="35958" xr:uid="{00000000-0005-0000-0000-0000DC570000}"/>
    <cellStyle name="40% - Accent5 2 6 2 2 5" xfId="20424" xr:uid="{00000000-0005-0000-0000-0000DD570000}"/>
    <cellStyle name="40% - Accent5 2 6 2 2 6" xfId="29301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0" xr:uid="{00000000-0005-0000-0000-0000E1570000}"/>
    <cellStyle name="40% - Accent5 2 6 2 3 2 3" xfId="30787" xr:uid="{00000000-0005-0000-0000-0000E2570000}"/>
    <cellStyle name="40% - Accent5 2 6 2 3 3" xfId="12855" xr:uid="{00000000-0005-0000-0000-0000E3570000}"/>
    <cellStyle name="40% - Accent5 2 6 2 3 3 2" xfId="24129" xr:uid="{00000000-0005-0000-0000-0000E4570000}"/>
    <cellStyle name="40% - Accent5 2 6 2 3 3 3" xfId="33006" xr:uid="{00000000-0005-0000-0000-0000E5570000}"/>
    <cellStyle name="40% - Accent5 2 6 2 3 4" xfId="15305" xr:uid="{00000000-0005-0000-0000-0000E6570000}"/>
    <cellStyle name="40% - Accent5 2 6 2 3 4 2" xfId="26348" xr:uid="{00000000-0005-0000-0000-0000E7570000}"/>
    <cellStyle name="40% - Accent5 2 6 2 3 4 3" xfId="35225" xr:uid="{00000000-0005-0000-0000-0000E8570000}"/>
    <cellStyle name="40% - Accent5 2 6 2 3 5" xfId="19691" xr:uid="{00000000-0005-0000-0000-0000E9570000}"/>
    <cellStyle name="40% - Accent5 2 6 2 3 6" xfId="28568" xr:uid="{00000000-0005-0000-0000-0000EA570000}"/>
    <cellStyle name="40% - Accent5 2 6 2 4" xfId="9664" xr:uid="{00000000-0005-0000-0000-0000EB570000}"/>
    <cellStyle name="40% - Accent5 2 6 2 4 2" xfId="21167" xr:uid="{00000000-0005-0000-0000-0000EC570000}"/>
    <cellStyle name="40% - Accent5 2 6 2 4 3" xfId="30044" xr:uid="{00000000-0005-0000-0000-0000ED570000}"/>
    <cellStyle name="40% - Accent5 2 6 2 5" xfId="12112" xr:uid="{00000000-0005-0000-0000-0000EE570000}"/>
    <cellStyle name="40% - Accent5 2 6 2 5 2" xfId="23386" xr:uid="{00000000-0005-0000-0000-0000EF570000}"/>
    <cellStyle name="40% - Accent5 2 6 2 5 3" xfId="32263" xr:uid="{00000000-0005-0000-0000-0000F0570000}"/>
    <cellStyle name="40% - Accent5 2 6 2 6" xfId="14333" xr:uid="{00000000-0005-0000-0000-0000F1570000}"/>
    <cellStyle name="40% - Accent5 2 6 2 6 2" xfId="25605" xr:uid="{00000000-0005-0000-0000-0000F2570000}"/>
    <cellStyle name="40% - Accent5 2 6 2 6 3" xfId="34482" xr:uid="{00000000-0005-0000-0000-0000F3570000}"/>
    <cellStyle name="40% - Accent5 2 6 2 7" xfId="18942" xr:uid="{00000000-0005-0000-0000-0000F4570000}"/>
    <cellStyle name="40% - Accent5 2 6 2 8" xfId="27823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4" xr:uid="{00000000-0005-0000-0000-0000F9570000}"/>
    <cellStyle name="40% - Accent5 2 6 3 2 2 3" xfId="31521" xr:uid="{00000000-0005-0000-0000-0000FA570000}"/>
    <cellStyle name="40% - Accent5 2 6 3 2 3" xfId="13589" xr:uid="{00000000-0005-0000-0000-0000FB570000}"/>
    <cellStyle name="40% - Accent5 2 6 3 2 3 2" xfId="24863" xr:uid="{00000000-0005-0000-0000-0000FC570000}"/>
    <cellStyle name="40% - Accent5 2 6 3 2 3 3" xfId="33740" xr:uid="{00000000-0005-0000-0000-0000FD570000}"/>
    <cellStyle name="40% - Accent5 2 6 3 2 4" xfId="16039" xr:uid="{00000000-0005-0000-0000-0000FE570000}"/>
    <cellStyle name="40% - Accent5 2 6 3 2 4 2" xfId="27082" xr:uid="{00000000-0005-0000-0000-0000FF570000}"/>
    <cellStyle name="40% - Accent5 2 6 3 2 4 3" xfId="35959" xr:uid="{00000000-0005-0000-0000-000000580000}"/>
    <cellStyle name="40% - Accent5 2 6 3 2 5" xfId="20425" xr:uid="{00000000-0005-0000-0000-000001580000}"/>
    <cellStyle name="40% - Accent5 2 6 3 2 6" xfId="29302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1" xr:uid="{00000000-0005-0000-0000-000005580000}"/>
    <cellStyle name="40% - Accent5 2 6 3 3 2 3" xfId="30788" xr:uid="{00000000-0005-0000-0000-000006580000}"/>
    <cellStyle name="40% - Accent5 2 6 3 3 3" xfId="12856" xr:uid="{00000000-0005-0000-0000-000007580000}"/>
    <cellStyle name="40% - Accent5 2 6 3 3 3 2" xfId="24130" xr:uid="{00000000-0005-0000-0000-000008580000}"/>
    <cellStyle name="40% - Accent5 2 6 3 3 3 3" xfId="33007" xr:uid="{00000000-0005-0000-0000-000009580000}"/>
    <cellStyle name="40% - Accent5 2 6 3 3 4" xfId="15306" xr:uid="{00000000-0005-0000-0000-00000A580000}"/>
    <cellStyle name="40% - Accent5 2 6 3 3 4 2" xfId="26349" xr:uid="{00000000-0005-0000-0000-00000B580000}"/>
    <cellStyle name="40% - Accent5 2 6 3 3 4 3" xfId="35226" xr:uid="{00000000-0005-0000-0000-00000C580000}"/>
    <cellStyle name="40% - Accent5 2 6 3 3 5" xfId="19692" xr:uid="{00000000-0005-0000-0000-00000D580000}"/>
    <cellStyle name="40% - Accent5 2 6 3 3 6" xfId="28569" xr:uid="{00000000-0005-0000-0000-00000E580000}"/>
    <cellStyle name="40% - Accent5 2 6 3 4" xfId="9665" xr:uid="{00000000-0005-0000-0000-00000F580000}"/>
    <cellStyle name="40% - Accent5 2 6 3 4 2" xfId="21168" xr:uid="{00000000-0005-0000-0000-000010580000}"/>
    <cellStyle name="40% - Accent5 2 6 3 4 3" xfId="30045" xr:uid="{00000000-0005-0000-0000-000011580000}"/>
    <cellStyle name="40% - Accent5 2 6 3 5" xfId="12113" xr:uid="{00000000-0005-0000-0000-000012580000}"/>
    <cellStyle name="40% - Accent5 2 6 3 5 2" xfId="23387" xr:uid="{00000000-0005-0000-0000-000013580000}"/>
    <cellStyle name="40% - Accent5 2 6 3 5 3" xfId="32264" xr:uid="{00000000-0005-0000-0000-000014580000}"/>
    <cellStyle name="40% - Accent5 2 6 3 6" xfId="14334" xr:uid="{00000000-0005-0000-0000-000015580000}"/>
    <cellStyle name="40% - Accent5 2 6 3 6 2" xfId="25606" xr:uid="{00000000-0005-0000-0000-000016580000}"/>
    <cellStyle name="40% - Accent5 2 6 3 6 3" xfId="34483" xr:uid="{00000000-0005-0000-0000-000017580000}"/>
    <cellStyle name="40% - Accent5 2 6 3 7" xfId="18943" xr:uid="{00000000-0005-0000-0000-000018580000}"/>
    <cellStyle name="40% - Accent5 2 6 3 8" xfId="27824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5" xr:uid="{00000000-0005-0000-0000-00001D580000}"/>
    <cellStyle name="40% - Accent5 2 6 4 2 2 3" xfId="31522" xr:uid="{00000000-0005-0000-0000-00001E580000}"/>
    <cellStyle name="40% - Accent5 2 6 4 2 3" xfId="13590" xr:uid="{00000000-0005-0000-0000-00001F580000}"/>
    <cellStyle name="40% - Accent5 2 6 4 2 3 2" xfId="24864" xr:uid="{00000000-0005-0000-0000-000020580000}"/>
    <cellStyle name="40% - Accent5 2 6 4 2 3 3" xfId="33741" xr:uid="{00000000-0005-0000-0000-000021580000}"/>
    <cellStyle name="40% - Accent5 2 6 4 2 4" xfId="16040" xr:uid="{00000000-0005-0000-0000-000022580000}"/>
    <cellStyle name="40% - Accent5 2 6 4 2 4 2" xfId="27083" xr:uid="{00000000-0005-0000-0000-000023580000}"/>
    <cellStyle name="40% - Accent5 2 6 4 2 4 3" xfId="35960" xr:uid="{00000000-0005-0000-0000-000024580000}"/>
    <cellStyle name="40% - Accent5 2 6 4 2 5" xfId="20426" xr:uid="{00000000-0005-0000-0000-000025580000}"/>
    <cellStyle name="40% - Accent5 2 6 4 2 6" xfId="29303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2" xr:uid="{00000000-0005-0000-0000-000029580000}"/>
    <cellStyle name="40% - Accent5 2 6 4 3 2 3" xfId="30789" xr:uid="{00000000-0005-0000-0000-00002A580000}"/>
    <cellStyle name="40% - Accent5 2 6 4 3 3" xfId="12857" xr:uid="{00000000-0005-0000-0000-00002B580000}"/>
    <cellStyle name="40% - Accent5 2 6 4 3 3 2" xfId="24131" xr:uid="{00000000-0005-0000-0000-00002C580000}"/>
    <cellStyle name="40% - Accent5 2 6 4 3 3 3" xfId="33008" xr:uid="{00000000-0005-0000-0000-00002D580000}"/>
    <cellStyle name="40% - Accent5 2 6 4 3 4" xfId="15307" xr:uid="{00000000-0005-0000-0000-00002E580000}"/>
    <cellStyle name="40% - Accent5 2 6 4 3 4 2" xfId="26350" xr:uid="{00000000-0005-0000-0000-00002F580000}"/>
    <cellStyle name="40% - Accent5 2 6 4 3 4 3" xfId="35227" xr:uid="{00000000-0005-0000-0000-000030580000}"/>
    <cellStyle name="40% - Accent5 2 6 4 3 5" xfId="19693" xr:uid="{00000000-0005-0000-0000-000031580000}"/>
    <cellStyle name="40% - Accent5 2 6 4 3 6" xfId="28570" xr:uid="{00000000-0005-0000-0000-000032580000}"/>
    <cellStyle name="40% - Accent5 2 6 4 4" xfId="9666" xr:uid="{00000000-0005-0000-0000-000033580000}"/>
    <cellStyle name="40% - Accent5 2 6 4 4 2" xfId="21169" xr:uid="{00000000-0005-0000-0000-000034580000}"/>
    <cellStyle name="40% - Accent5 2 6 4 4 3" xfId="30046" xr:uid="{00000000-0005-0000-0000-000035580000}"/>
    <cellStyle name="40% - Accent5 2 6 4 5" xfId="12114" xr:uid="{00000000-0005-0000-0000-000036580000}"/>
    <cellStyle name="40% - Accent5 2 6 4 5 2" xfId="23388" xr:uid="{00000000-0005-0000-0000-000037580000}"/>
    <cellStyle name="40% - Accent5 2 6 4 5 3" xfId="32265" xr:uid="{00000000-0005-0000-0000-000038580000}"/>
    <cellStyle name="40% - Accent5 2 6 4 6" xfId="14335" xr:uid="{00000000-0005-0000-0000-000039580000}"/>
    <cellStyle name="40% - Accent5 2 6 4 6 2" xfId="25607" xr:uid="{00000000-0005-0000-0000-00003A580000}"/>
    <cellStyle name="40% - Accent5 2 6 4 6 3" xfId="34484" xr:uid="{00000000-0005-0000-0000-00003B580000}"/>
    <cellStyle name="40% - Accent5 2 6 4 7" xfId="18944" xr:uid="{00000000-0005-0000-0000-00003C580000}"/>
    <cellStyle name="40% - Accent5 2 6 4 8" xfId="27825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6" xr:uid="{00000000-0005-0000-0000-000041580000}"/>
    <cellStyle name="40% - Accent5 2 6 5 2 2 3" xfId="31523" xr:uid="{00000000-0005-0000-0000-000042580000}"/>
    <cellStyle name="40% - Accent5 2 6 5 2 3" xfId="13591" xr:uid="{00000000-0005-0000-0000-000043580000}"/>
    <cellStyle name="40% - Accent5 2 6 5 2 3 2" xfId="24865" xr:uid="{00000000-0005-0000-0000-000044580000}"/>
    <cellStyle name="40% - Accent5 2 6 5 2 3 3" xfId="33742" xr:uid="{00000000-0005-0000-0000-000045580000}"/>
    <cellStyle name="40% - Accent5 2 6 5 2 4" xfId="16041" xr:uid="{00000000-0005-0000-0000-000046580000}"/>
    <cellStyle name="40% - Accent5 2 6 5 2 4 2" xfId="27084" xr:uid="{00000000-0005-0000-0000-000047580000}"/>
    <cellStyle name="40% - Accent5 2 6 5 2 4 3" xfId="35961" xr:uid="{00000000-0005-0000-0000-000048580000}"/>
    <cellStyle name="40% - Accent5 2 6 5 2 5" xfId="20427" xr:uid="{00000000-0005-0000-0000-000049580000}"/>
    <cellStyle name="40% - Accent5 2 6 5 2 6" xfId="29304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3" xr:uid="{00000000-0005-0000-0000-00004D580000}"/>
    <cellStyle name="40% - Accent5 2 6 5 3 2 3" xfId="30790" xr:uid="{00000000-0005-0000-0000-00004E580000}"/>
    <cellStyle name="40% - Accent5 2 6 5 3 3" xfId="12858" xr:uid="{00000000-0005-0000-0000-00004F580000}"/>
    <cellStyle name="40% - Accent5 2 6 5 3 3 2" xfId="24132" xr:uid="{00000000-0005-0000-0000-000050580000}"/>
    <cellStyle name="40% - Accent5 2 6 5 3 3 3" xfId="33009" xr:uid="{00000000-0005-0000-0000-000051580000}"/>
    <cellStyle name="40% - Accent5 2 6 5 3 4" xfId="15308" xr:uid="{00000000-0005-0000-0000-000052580000}"/>
    <cellStyle name="40% - Accent5 2 6 5 3 4 2" xfId="26351" xr:uid="{00000000-0005-0000-0000-000053580000}"/>
    <cellStyle name="40% - Accent5 2 6 5 3 4 3" xfId="35228" xr:uid="{00000000-0005-0000-0000-000054580000}"/>
    <cellStyle name="40% - Accent5 2 6 5 3 5" xfId="19694" xr:uid="{00000000-0005-0000-0000-000055580000}"/>
    <cellStyle name="40% - Accent5 2 6 5 3 6" xfId="28571" xr:uid="{00000000-0005-0000-0000-000056580000}"/>
    <cellStyle name="40% - Accent5 2 6 5 4" xfId="9667" xr:uid="{00000000-0005-0000-0000-000057580000}"/>
    <cellStyle name="40% - Accent5 2 6 5 4 2" xfId="21170" xr:uid="{00000000-0005-0000-0000-000058580000}"/>
    <cellStyle name="40% - Accent5 2 6 5 4 3" xfId="30047" xr:uid="{00000000-0005-0000-0000-000059580000}"/>
    <cellStyle name="40% - Accent5 2 6 5 5" xfId="12115" xr:uid="{00000000-0005-0000-0000-00005A580000}"/>
    <cellStyle name="40% - Accent5 2 6 5 5 2" xfId="23389" xr:uid="{00000000-0005-0000-0000-00005B580000}"/>
    <cellStyle name="40% - Accent5 2 6 5 5 3" xfId="32266" xr:uid="{00000000-0005-0000-0000-00005C580000}"/>
    <cellStyle name="40% - Accent5 2 6 5 6" xfId="14336" xr:uid="{00000000-0005-0000-0000-00005D580000}"/>
    <cellStyle name="40% - Accent5 2 6 5 6 2" xfId="25608" xr:uid="{00000000-0005-0000-0000-00005E580000}"/>
    <cellStyle name="40% - Accent5 2 6 5 6 3" xfId="34485" xr:uid="{00000000-0005-0000-0000-00005F580000}"/>
    <cellStyle name="40% - Accent5 2 6 5 7" xfId="18945" xr:uid="{00000000-0005-0000-0000-000060580000}"/>
    <cellStyle name="40% - Accent5 2 6 5 8" xfId="27826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2" xr:uid="{00000000-0005-0000-0000-000064580000}"/>
    <cellStyle name="40% - Accent5 2 6 6 2 3" xfId="31519" xr:uid="{00000000-0005-0000-0000-000065580000}"/>
    <cellStyle name="40% - Accent5 2 6 6 3" xfId="13587" xr:uid="{00000000-0005-0000-0000-000066580000}"/>
    <cellStyle name="40% - Accent5 2 6 6 3 2" xfId="24861" xr:uid="{00000000-0005-0000-0000-000067580000}"/>
    <cellStyle name="40% - Accent5 2 6 6 3 3" xfId="33738" xr:uid="{00000000-0005-0000-0000-000068580000}"/>
    <cellStyle name="40% - Accent5 2 6 6 4" xfId="16037" xr:uid="{00000000-0005-0000-0000-000069580000}"/>
    <cellStyle name="40% - Accent5 2 6 6 4 2" xfId="27080" xr:uid="{00000000-0005-0000-0000-00006A580000}"/>
    <cellStyle name="40% - Accent5 2 6 6 4 3" xfId="35957" xr:uid="{00000000-0005-0000-0000-00006B580000}"/>
    <cellStyle name="40% - Accent5 2 6 6 5" xfId="20423" xr:uid="{00000000-0005-0000-0000-00006C580000}"/>
    <cellStyle name="40% - Accent5 2 6 6 6" xfId="29300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09" xr:uid="{00000000-0005-0000-0000-000070580000}"/>
    <cellStyle name="40% - Accent5 2 6 7 2 3" xfId="30786" xr:uid="{00000000-0005-0000-0000-000071580000}"/>
    <cellStyle name="40% - Accent5 2 6 7 3" xfId="12854" xr:uid="{00000000-0005-0000-0000-000072580000}"/>
    <cellStyle name="40% - Accent5 2 6 7 3 2" xfId="24128" xr:uid="{00000000-0005-0000-0000-000073580000}"/>
    <cellStyle name="40% - Accent5 2 6 7 3 3" xfId="33005" xr:uid="{00000000-0005-0000-0000-000074580000}"/>
    <cellStyle name="40% - Accent5 2 6 7 4" xfId="15304" xr:uid="{00000000-0005-0000-0000-000075580000}"/>
    <cellStyle name="40% - Accent5 2 6 7 4 2" xfId="26347" xr:uid="{00000000-0005-0000-0000-000076580000}"/>
    <cellStyle name="40% - Accent5 2 6 7 4 3" xfId="35224" xr:uid="{00000000-0005-0000-0000-000077580000}"/>
    <cellStyle name="40% - Accent5 2 6 7 5" xfId="19690" xr:uid="{00000000-0005-0000-0000-000078580000}"/>
    <cellStyle name="40% - Accent5 2 6 7 6" xfId="28567" xr:uid="{00000000-0005-0000-0000-000079580000}"/>
    <cellStyle name="40% - Accent5 2 6 8" xfId="9663" xr:uid="{00000000-0005-0000-0000-00007A580000}"/>
    <cellStyle name="40% - Accent5 2 6 8 2" xfId="21166" xr:uid="{00000000-0005-0000-0000-00007B580000}"/>
    <cellStyle name="40% - Accent5 2 6 8 3" xfId="30043" xr:uid="{00000000-0005-0000-0000-00007C580000}"/>
    <cellStyle name="40% - Accent5 2 6 9" xfId="12111" xr:uid="{00000000-0005-0000-0000-00007D580000}"/>
    <cellStyle name="40% - Accent5 2 6 9 2" xfId="23385" xr:uid="{00000000-0005-0000-0000-00007E580000}"/>
    <cellStyle name="40% - Accent5 2 6 9 3" xfId="32262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7" xr:uid="{00000000-0005-0000-0000-000083580000}"/>
    <cellStyle name="40% - Accent5 2 7 2 2 3" xfId="31524" xr:uid="{00000000-0005-0000-0000-000084580000}"/>
    <cellStyle name="40% - Accent5 2 7 2 3" xfId="13592" xr:uid="{00000000-0005-0000-0000-000085580000}"/>
    <cellStyle name="40% - Accent5 2 7 2 3 2" xfId="24866" xr:uid="{00000000-0005-0000-0000-000086580000}"/>
    <cellStyle name="40% - Accent5 2 7 2 3 3" xfId="33743" xr:uid="{00000000-0005-0000-0000-000087580000}"/>
    <cellStyle name="40% - Accent5 2 7 2 4" xfId="16042" xr:uid="{00000000-0005-0000-0000-000088580000}"/>
    <cellStyle name="40% - Accent5 2 7 2 4 2" xfId="27085" xr:uid="{00000000-0005-0000-0000-000089580000}"/>
    <cellStyle name="40% - Accent5 2 7 2 4 3" xfId="35962" xr:uid="{00000000-0005-0000-0000-00008A580000}"/>
    <cellStyle name="40% - Accent5 2 7 2 5" xfId="20428" xr:uid="{00000000-0005-0000-0000-00008B580000}"/>
    <cellStyle name="40% - Accent5 2 7 2 6" xfId="29305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4" xr:uid="{00000000-0005-0000-0000-00008F580000}"/>
    <cellStyle name="40% - Accent5 2 7 3 2 3" xfId="30791" xr:uid="{00000000-0005-0000-0000-000090580000}"/>
    <cellStyle name="40% - Accent5 2 7 3 3" xfId="12859" xr:uid="{00000000-0005-0000-0000-000091580000}"/>
    <cellStyle name="40% - Accent5 2 7 3 3 2" xfId="24133" xr:uid="{00000000-0005-0000-0000-000092580000}"/>
    <cellStyle name="40% - Accent5 2 7 3 3 3" xfId="33010" xr:uid="{00000000-0005-0000-0000-000093580000}"/>
    <cellStyle name="40% - Accent5 2 7 3 4" xfId="15309" xr:uid="{00000000-0005-0000-0000-000094580000}"/>
    <cellStyle name="40% - Accent5 2 7 3 4 2" xfId="26352" xr:uid="{00000000-0005-0000-0000-000095580000}"/>
    <cellStyle name="40% - Accent5 2 7 3 4 3" xfId="35229" xr:uid="{00000000-0005-0000-0000-000096580000}"/>
    <cellStyle name="40% - Accent5 2 7 3 5" xfId="19695" xr:uid="{00000000-0005-0000-0000-000097580000}"/>
    <cellStyle name="40% - Accent5 2 7 3 6" xfId="28572" xr:uid="{00000000-0005-0000-0000-000098580000}"/>
    <cellStyle name="40% - Accent5 2 7 4" xfId="9668" xr:uid="{00000000-0005-0000-0000-000099580000}"/>
    <cellStyle name="40% - Accent5 2 7 4 2" xfId="21171" xr:uid="{00000000-0005-0000-0000-00009A580000}"/>
    <cellStyle name="40% - Accent5 2 7 4 3" xfId="30048" xr:uid="{00000000-0005-0000-0000-00009B580000}"/>
    <cellStyle name="40% - Accent5 2 7 5" xfId="12116" xr:uid="{00000000-0005-0000-0000-00009C580000}"/>
    <cellStyle name="40% - Accent5 2 7 5 2" xfId="23390" xr:uid="{00000000-0005-0000-0000-00009D580000}"/>
    <cellStyle name="40% - Accent5 2 7 5 3" xfId="32267" xr:uid="{00000000-0005-0000-0000-00009E580000}"/>
    <cellStyle name="40% - Accent5 2 7 6" xfId="14337" xr:uid="{00000000-0005-0000-0000-00009F580000}"/>
    <cellStyle name="40% - Accent5 2 7 6 2" xfId="25609" xr:uid="{00000000-0005-0000-0000-0000A0580000}"/>
    <cellStyle name="40% - Accent5 2 7 6 3" xfId="34486" xr:uid="{00000000-0005-0000-0000-0000A1580000}"/>
    <cellStyle name="40% - Accent5 2 7 7" xfId="18946" xr:uid="{00000000-0005-0000-0000-0000A2580000}"/>
    <cellStyle name="40% - Accent5 2 7 8" xfId="27827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8" xr:uid="{00000000-0005-0000-0000-0000A7580000}"/>
    <cellStyle name="40% - Accent5 2 8 2 2 3" xfId="31525" xr:uid="{00000000-0005-0000-0000-0000A8580000}"/>
    <cellStyle name="40% - Accent5 2 8 2 3" xfId="13593" xr:uid="{00000000-0005-0000-0000-0000A9580000}"/>
    <cellStyle name="40% - Accent5 2 8 2 3 2" xfId="24867" xr:uid="{00000000-0005-0000-0000-0000AA580000}"/>
    <cellStyle name="40% - Accent5 2 8 2 3 3" xfId="33744" xr:uid="{00000000-0005-0000-0000-0000AB580000}"/>
    <cellStyle name="40% - Accent5 2 8 2 4" xfId="16043" xr:uid="{00000000-0005-0000-0000-0000AC580000}"/>
    <cellStyle name="40% - Accent5 2 8 2 4 2" xfId="27086" xr:uid="{00000000-0005-0000-0000-0000AD580000}"/>
    <cellStyle name="40% - Accent5 2 8 2 4 3" xfId="35963" xr:uid="{00000000-0005-0000-0000-0000AE580000}"/>
    <cellStyle name="40% - Accent5 2 8 2 5" xfId="20429" xr:uid="{00000000-0005-0000-0000-0000AF580000}"/>
    <cellStyle name="40% - Accent5 2 8 2 6" xfId="29306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5" xr:uid="{00000000-0005-0000-0000-0000B3580000}"/>
    <cellStyle name="40% - Accent5 2 8 3 2 3" xfId="30792" xr:uid="{00000000-0005-0000-0000-0000B4580000}"/>
    <cellStyle name="40% - Accent5 2 8 3 3" xfId="12860" xr:uid="{00000000-0005-0000-0000-0000B5580000}"/>
    <cellStyle name="40% - Accent5 2 8 3 3 2" xfId="24134" xr:uid="{00000000-0005-0000-0000-0000B6580000}"/>
    <cellStyle name="40% - Accent5 2 8 3 3 3" xfId="33011" xr:uid="{00000000-0005-0000-0000-0000B7580000}"/>
    <cellStyle name="40% - Accent5 2 8 3 4" xfId="15310" xr:uid="{00000000-0005-0000-0000-0000B8580000}"/>
    <cellStyle name="40% - Accent5 2 8 3 4 2" xfId="26353" xr:uid="{00000000-0005-0000-0000-0000B9580000}"/>
    <cellStyle name="40% - Accent5 2 8 3 4 3" xfId="35230" xr:uid="{00000000-0005-0000-0000-0000BA580000}"/>
    <cellStyle name="40% - Accent5 2 8 3 5" xfId="19696" xr:uid="{00000000-0005-0000-0000-0000BB580000}"/>
    <cellStyle name="40% - Accent5 2 8 3 6" xfId="28573" xr:uid="{00000000-0005-0000-0000-0000BC580000}"/>
    <cellStyle name="40% - Accent5 2 8 4" xfId="9669" xr:uid="{00000000-0005-0000-0000-0000BD580000}"/>
    <cellStyle name="40% - Accent5 2 8 4 2" xfId="21172" xr:uid="{00000000-0005-0000-0000-0000BE580000}"/>
    <cellStyle name="40% - Accent5 2 8 4 3" xfId="30049" xr:uid="{00000000-0005-0000-0000-0000BF580000}"/>
    <cellStyle name="40% - Accent5 2 8 5" xfId="12117" xr:uid="{00000000-0005-0000-0000-0000C0580000}"/>
    <cellStyle name="40% - Accent5 2 8 5 2" xfId="23391" xr:uid="{00000000-0005-0000-0000-0000C1580000}"/>
    <cellStyle name="40% - Accent5 2 8 5 3" xfId="32268" xr:uid="{00000000-0005-0000-0000-0000C2580000}"/>
    <cellStyle name="40% - Accent5 2 8 6" xfId="14338" xr:uid="{00000000-0005-0000-0000-0000C3580000}"/>
    <cellStyle name="40% - Accent5 2 8 6 2" xfId="25610" xr:uid="{00000000-0005-0000-0000-0000C4580000}"/>
    <cellStyle name="40% - Accent5 2 8 6 3" xfId="34487" xr:uid="{00000000-0005-0000-0000-0000C5580000}"/>
    <cellStyle name="40% - Accent5 2 8 7" xfId="18947" xr:uid="{00000000-0005-0000-0000-0000C6580000}"/>
    <cellStyle name="40% - Accent5 2 8 8" xfId="27828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49" xr:uid="{00000000-0005-0000-0000-0000CB580000}"/>
    <cellStyle name="40% - Accent5 2 9 2 2 3" xfId="31526" xr:uid="{00000000-0005-0000-0000-0000CC580000}"/>
    <cellStyle name="40% - Accent5 2 9 2 3" xfId="13594" xr:uid="{00000000-0005-0000-0000-0000CD580000}"/>
    <cellStyle name="40% - Accent5 2 9 2 3 2" xfId="24868" xr:uid="{00000000-0005-0000-0000-0000CE580000}"/>
    <cellStyle name="40% - Accent5 2 9 2 3 3" xfId="33745" xr:uid="{00000000-0005-0000-0000-0000CF580000}"/>
    <cellStyle name="40% - Accent5 2 9 2 4" xfId="16044" xr:uid="{00000000-0005-0000-0000-0000D0580000}"/>
    <cellStyle name="40% - Accent5 2 9 2 4 2" xfId="27087" xr:uid="{00000000-0005-0000-0000-0000D1580000}"/>
    <cellStyle name="40% - Accent5 2 9 2 4 3" xfId="35964" xr:uid="{00000000-0005-0000-0000-0000D2580000}"/>
    <cellStyle name="40% - Accent5 2 9 2 5" xfId="20430" xr:uid="{00000000-0005-0000-0000-0000D3580000}"/>
    <cellStyle name="40% - Accent5 2 9 2 6" xfId="29307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6" xr:uid="{00000000-0005-0000-0000-0000D7580000}"/>
    <cellStyle name="40% - Accent5 2 9 3 2 3" xfId="30793" xr:uid="{00000000-0005-0000-0000-0000D8580000}"/>
    <cellStyle name="40% - Accent5 2 9 3 3" xfId="12861" xr:uid="{00000000-0005-0000-0000-0000D9580000}"/>
    <cellStyle name="40% - Accent5 2 9 3 3 2" xfId="24135" xr:uid="{00000000-0005-0000-0000-0000DA580000}"/>
    <cellStyle name="40% - Accent5 2 9 3 3 3" xfId="33012" xr:uid="{00000000-0005-0000-0000-0000DB580000}"/>
    <cellStyle name="40% - Accent5 2 9 3 4" xfId="15311" xr:uid="{00000000-0005-0000-0000-0000DC580000}"/>
    <cellStyle name="40% - Accent5 2 9 3 4 2" xfId="26354" xr:uid="{00000000-0005-0000-0000-0000DD580000}"/>
    <cellStyle name="40% - Accent5 2 9 3 4 3" xfId="35231" xr:uid="{00000000-0005-0000-0000-0000DE580000}"/>
    <cellStyle name="40% - Accent5 2 9 3 5" xfId="19697" xr:uid="{00000000-0005-0000-0000-0000DF580000}"/>
    <cellStyle name="40% - Accent5 2 9 3 6" xfId="28574" xr:uid="{00000000-0005-0000-0000-0000E0580000}"/>
    <cellStyle name="40% - Accent5 2 9 4" xfId="9670" xr:uid="{00000000-0005-0000-0000-0000E1580000}"/>
    <cellStyle name="40% - Accent5 2 9 4 2" xfId="21173" xr:uid="{00000000-0005-0000-0000-0000E2580000}"/>
    <cellStyle name="40% - Accent5 2 9 4 3" xfId="30050" xr:uid="{00000000-0005-0000-0000-0000E3580000}"/>
    <cellStyle name="40% - Accent5 2 9 5" xfId="12118" xr:uid="{00000000-0005-0000-0000-0000E4580000}"/>
    <cellStyle name="40% - Accent5 2 9 5 2" xfId="23392" xr:uid="{00000000-0005-0000-0000-0000E5580000}"/>
    <cellStyle name="40% - Accent5 2 9 5 3" xfId="32269" xr:uid="{00000000-0005-0000-0000-0000E6580000}"/>
    <cellStyle name="40% - Accent5 2 9 6" xfId="14339" xr:uid="{00000000-0005-0000-0000-0000E7580000}"/>
    <cellStyle name="40% - Accent5 2 9 6 2" xfId="25611" xr:uid="{00000000-0005-0000-0000-0000E8580000}"/>
    <cellStyle name="40% - Accent5 2 9 6 3" xfId="34488" xr:uid="{00000000-0005-0000-0000-0000E9580000}"/>
    <cellStyle name="40% - Accent5 2 9 7" xfId="18948" xr:uid="{00000000-0005-0000-0000-0000EA580000}"/>
    <cellStyle name="40% - Accent5 2 9 8" xfId="27829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0" xr:uid="{00000000-0005-0000-0000-0000F1580000}"/>
    <cellStyle name="40% - Accent5 3 2 2 2 3" xfId="31527" xr:uid="{00000000-0005-0000-0000-0000F2580000}"/>
    <cellStyle name="40% - Accent5 3 2 2 3" xfId="13595" xr:uid="{00000000-0005-0000-0000-0000F3580000}"/>
    <cellStyle name="40% - Accent5 3 2 2 3 2" xfId="24869" xr:uid="{00000000-0005-0000-0000-0000F4580000}"/>
    <cellStyle name="40% - Accent5 3 2 2 3 3" xfId="33746" xr:uid="{00000000-0005-0000-0000-0000F5580000}"/>
    <cellStyle name="40% - Accent5 3 2 2 4" xfId="16045" xr:uid="{00000000-0005-0000-0000-0000F6580000}"/>
    <cellStyle name="40% - Accent5 3 2 2 4 2" xfId="27088" xr:uid="{00000000-0005-0000-0000-0000F7580000}"/>
    <cellStyle name="40% - Accent5 3 2 2 4 3" xfId="35965" xr:uid="{00000000-0005-0000-0000-0000F8580000}"/>
    <cellStyle name="40% - Accent5 3 2 2 5" xfId="20431" xr:uid="{00000000-0005-0000-0000-0000F9580000}"/>
    <cellStyle name="40% - Accent5 3 2 2 6" xfId="29308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7" xr:uid="{00000000-0005-0000-0000-0000FD580000}"/>
    <cellStyle name="40% - Accent5 3 2 3 2 3" xfId="30794" xr:uid="{00000000-0005-0000-0000-0000FE580000}"/>
    <cellStyle name="40% - Accent5 3 2 3 3" xfId="12862" xr:uid="{00000000-0005-0000-0000-0000FF580000}"/>
    <cellStyle name="40% - Accent5 3 2 3 3 2" xfId="24136" xr:uid="{00000000-0005-0000-0000-000000590000}"/>
    <cellStyle name="40% - Accent5 3 2 3 3 3" xfId="33013" xr:uid="{00000000-0005-0000-0000-000001590000}"/>
    <cellStyle name="40% - Accent5 3 2 3 4" xfId="15312" xr:uid="{00000000-0005-0000-0000-000002590000}"/>
    <cellStyle name="40% - Accent5 3 2 3 4 2" xfId="26355" xr:uid="{00000000-0005-0000-0000-000003590000}"/>
    <cellStyle name="40% - Accent5 3 2 3 4 3" xfId="35232" xr:uid="{00000000-0005-0000-0000-000004590000}"/>
    <cellStyle name="40% - Accent5 3 2 3 5" xfId="19698" xr:uid="{00000000-0005-0000-0000-000005590000}"/>
    <cellStyle name="40% - Accent5 3 2 3 6" xfId="28575" xr:uid="{00000000-0005-0000-0000-000006590000}"/>
    <cellStyle name="40% - Accent5 3 2 4" xfId="9671" xr:uid="{00000000-0005-0000-0000-000007590000}"/>
    <cellStyle name="40% - Accent5 3 2 4 2" xfId="21174" xr:uid="{00000000-0005-0000-0000-000008590000}"/>
    <cellStyle name="40% - Accent5 3 2 4 3" xfId="30051" xr:uid="{00000000-0005-0000-0000-000009590000}"/>
    <cellStyle name="40% - Accent5 3 2 5" xfId="12119" xr:uid="{00000000-0005-0000-0000-00000A590000}"/>
    <cellStyle name="40% - Accent5 3 2 5 2" xfId="23393" xr:uid="{00000000-0005-0000-0000-00000B590000}"/>
    <cellStyle name="40% - Accent5 3 2 5 3" xfId="32270" xr:uid="{00000000-0005-0000-0000-00000C590000}"/>
    <cellStyle name="40% - Accent5 3 2 6" xfId="14340" xr:uid="{00000000-0005-0000-0000-00000D590000}"/>
    <cellStyle name="40% - Accent5 3 2 6 2" xfId="25612" xr:uid="{00000000-0005-0000-0000-00000E590000}"/>
    <cellStyle name="40% - Accent5 3 2 6 3" xfId="34489" xr:uid="{00000000-0005-0000-0000-00000F590000}"/>
    <cellStyle name="40% - Accent5 3 2 7" xfId="18949" xr:uid="{00000000-0005-0000-0000-000010590000}"/>
    <cellStyle name="40% - Accent5 3 2 8" xfId="27830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1" xr:uid="{00000000-0005-0000-0000-000015590000}"/>
    <cellStyle name="40% - Accent5 3 3 2 2 3" xfId="31528" xr:uid="{00000000-0005-0000-0000-000016590000}"/>
    <cellStyle name="40% - Accent5 3 3 2 3" xfId="13596" xr:uid="{00000000-0005-0000-0000-000017590000}"/>
    <cellStyle name="40% - Accent5 3 3 2 3 2" xfId="24870" xr:uid="{00000000-0005-0000-0000-000018590000}"/>
    <cellStyle name="40% - Accent5 3 3 2 3 3" xfId="33747" xr:uid="{00000000-0005-0000-0000-000019590000}"/>
    <cellStyle name="40% - Accent5 3 3 2 4" xfId="16046" xr:uid="{00000000-0005-0000-0000-00001A590000}"/>
    <cellStyle name="40% - Accent5 3 3 2 4 2" xfId="27089" xr:uid="{00000000-0005-0000-0000-00001B590000}"/>
    <cellStyle name="40% - Accent5 3 3 2 4 3" xfId="35966" xr:uid="{00000000-0005-0000-0000-00001C590000}"/>
    <cellStyle name="40% - Accent5 3 3 2 5" xfId="20432" xr:uid="{00000000-0005-0000-0000-00001D590000}"/>
    <cellStyle name="40% - Accent5 3 3 2 6" xfId="29309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8" xr:uid="{00000000-0005-0000-0000-000021590000}"/>
    <cellStyle name="40% - Accent5 3 3 3 2 3" xfId="30795" xr:uid="{00000000-0005-0000-0000-000022590000}"/>
    <cellStyle name="40% - Accent5 3 3 3 3" xfId="12863" xr:uid="{00000000-0005-0000-0000-000023590000}"/>
    <cellStyle name="40% - Accent5 3 3 3 3 2" xfId="24137" xr:uid="{00000000-0005-0000-0000-000024590000}"/>
    <cellStyle name="40% - Accent5 3 3 3 3 3" xfId="33014" xr:uid="{00000000-0005-0000-0000-000025590000}"/>
    <cellStyle name="40% - Accent5 3 3 3 4" xfId="15313" xr:uid="{00000000-0005-0000-0000-000026590000}"/>
    <cellStyle name="40% - Accent5 3 3 3 4 2" xfId="26356" xr:uid="{00000000-0005-0000-0000-000027590000}"/>
    <cellStyle name="40% - Accent5 3 3 3 4 3" xfId="35233" xr:uid="{00000000-0005-0000-0000-000028590000}"/>
    <cellStyle name="40% - Accent5 3 3 3 5" xfId="19699" xr:uid="{00000000-0005-0000-0000-000029590000}"/>
    <cellStyle name="40% - Accent5 3 3 3 6" xfId="28576" xr:uid="{00000000-0005-0000-0000-00002A590000}"/>
    <cellStyle name="40% - Accent5 3 3 4" xfId="9672" xr:uid="{00000000-0005-0000-0000-00002B590000}"/>
    <cellStyle name="40% - Accent5 3 3 4 2" xfId="21175" xr:uid="{00000000-0005-0000-0000-00002C590000}"/>
    <cellStyle name="40% - Accent5 3 3 4 3" xfId="30052" xr:uid="{00000000-0005-0000-0000-00002D590000}"/>
    <cellStyle name="40% - Accent5 3 3 5" xfId="12120" xr:uid="{00000000-0005-0000-0000-00002E590000}"/>
    <cellStyle name="40% - Accent5 3 3 5 2" xfId="23394" xr:uid="{00000000-0005-0000-0000-00002F590000}"/>
    <cellStyle name="40% - Accent5 3 3 5 3" xfId="32271" xr:uid="{00000000-0005-0000-0000-000030590000}"/>
    <cellStyle name="40% - Accent5 3 3 6" xfId="14341" xr:uid="{00000000-0005-0000-0000-000031590000}"/>
    <cellStyle name="40% - Accent5 3 3 6 2" xfId="25613" xr:uid="{00000000-0005-0000-0000-000032590000}"/>
    <cellStyle name="40% - Accent5 3 3 6 3" xfId="34490" xr:uid="{00000000-0005-0000-0000-000033590000}"/>
    <cellStyle name="40% - Accent5 3 3 7" xfId="18950" xr:uid="{00000000-0005-0000-0000-000034590000}"/>
    <cellStyle name="40% - Accent5 3 3 8" xfId="27831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2" xr:uid="{00000000-0005-0000-0000-000039590000}"/>
    <cellStyle name="40% - Accent5 3 4 2 2 3" xfId="31529" xr:uid="{00000000-0005-0000-0000-00003A590000}"/>
    <cellStyle name="40% - Accent5 3 4 2 3" xfId="13597" xr:uid="{00000000-0005-0000-0000-00003B590000}"/>
    <cellStyle name="40% - Accent5 3 4 2 3 2" xfId="24871" xr:uid="{00000000-0005-0000-0000-00003C590000}"/>
    <cellStyle name="40% - Accent5 3 4 2 3 3" xfId="33748" xr:uid="{00000000-0005-0000-0000-00003D590000}"/>
    <cellStyle name="40% - Accent5 3 4 2 4" xfId="16047" xr:uid="{00000000-0005-0000-0000-00003E590000}"/>
    <cellStyle name="40% - Accent5 3 4 2 4 2" xfId="27090" xr:uid="{00000000-0005-0000-0000-00003F590000}"/>
    <cellStyle name="40% - Accent5 3 4 2 4 3" xfId="35967" xr:uid="{00000000-0005-0000-0000-000040590000}"/>
    <cellStyle name="40% - Accent5 3 4 2 5" xfId="20433" xr:uid="{00000000-0005-0000-0000-000041590000}"/>
    <cellStyle name="40% - Accent5 3 4 2 6" xfId="29310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19" xr:uid="{00000000-0005-0000-0000-000045590000}"/>
    <cellStyle name="40% - Accent5 3 4 3 2 3" xfId="30796" xr:uid="{00000000-0005-0000-0000-000046590000}"/>
    <cellStyle name="40% - Accent5 3 4 3 3" xfId="12864" xr:uid="{00000000-0005-0000-0000-000047590000}"/>
    <cellStyle name="40% - Accent5 3 4 3 3 2" xfId="24138" xr:uid="{00000000-0005-0000-0000-000048590000}"/>
    <cellStyle name="40% - Accent5 3 4 3 3 3" xfId="33015" xr:uid="{00000000-0005-0000-0000-000049590000}"/>
    <cellStyle name="40% - Accent5 3 4 3 4" xfId="15314" xr:uid="{00000000-0005-0000-0000-00004A590000}"/>
    <cellStyle name="40% - Accent5 3 4 3 4 2" xfId="26357" xr:uid="{00000000-0005-0000-0000-00004B590000}"/>
    <cellStyle name="40% - Accent5 3 4 3 4 3" xfId="35234" xr:uid="{00000000-0005-0000-0000-00004C590000}"/>
    <cellStyle name="40% - Accent5 3 4 3 5" xfId="19700" xr:uid="{00000000-0005-0000-0000-00004D590000}"/>
    <cellStyle name="40% - Accent5 3 4 3 6" xfId="28577" xr:uid="{00000000-0005-0000-0000-00004E590000}"/>
    <cellStyle name="40% - Accent5 3 4 4" xfId="9673" xr:uid="{00000000-0005-0000-0000-00004F590000}"/>
    <cellStyle name="40% - Accent5 3 4 4 2" xfId="21176" xr:uid="{00000000-0005-0000-0000-000050590000}"/>
    <cellStyle name="40% - Accent5 3 4 4 3" xfId="30053" xr:uid="{00000000-0005-0000-0000-000051590000}"/>
    <cellStyle name="40% - Accent5 3 4 5" xfId="12121" xr:uid="{00000000-0005-0000-0000-000052590000}"/>
    <cellStyle name="40% - Accent5 3 4 5 2" xfId="23395" xr:uid="{00000000-0005-0000-0000-000053590000}"/>
    <cellStyle name="40% - Accent5 3 4 5 3" xfId="32272" xr:uid="{00000000-0005-0000-0000-000054590000}"/>
    <cellStyle name="40% - Accent5 3 4 6" xfId="14342" xr:uid="{00000000-0005-0000-0000-000055590000}"/>
    <cellStyle name="40% - Accent5 3 4 6 2" xfId="25614" xr:uid="{00000000-0005-0000-0000-000056590000}"/>
    <cellStyle name="40% - Accent5 3 4 6 3" xfId="34491" xr:uid="{00000000-0005-0000-0000-000057590000}"/>
    <cellStyle name="40% - Accent5 3 4 7" xfId="18951" xr:uid="{00000000-0005-0000-0000-000058590000}"/>
    <cellStyle name="40% - Accent5 3 4 8" xfId="27832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3" xr:uid="{00000000-0005-0000-0000-00005D590000}"/>
    <cellStyle name="40% - Accent5 3 5 2 2 3" xfId="31530" xr:uid="{00000000-0005-0000-0000-00005E590000}"/>
    <cellStyle name="40% - Accent5 3 5 2 3" xfId="13598" xr:uid="{00000000-0005-0000-0000-00005F590000}"/>
    <cellStyle name="40% - Accent5 3 5 2 3 2" xfId="24872" xr:uid="{00000000-0005-0000-0000-000060590000}"/>
    <cellStyle name="40% - Accent5 3 5 2 3 3" xfId="33749" xr:uid="{00000000-0005-0000-0000-000061590000}"/>
    <cellStyle name="40% - Accent5 3 5 2 4" xfId="16048" xr:uid="{00000000-0005-0000-0000-000062590000}"/>
    <cellStyle name="40% - Accent5 3 5 2 4 2" xfId="27091" xr:uid="{00000000-0005-0000-0000-000063590000}"/>
    <cellStyle name="40% - Accent5 3 5 2 4 3" xfId="35968" xr:uid="{00000000-0005-0000-0000-000064590000}"/>
    <cellStyle name="40% - Accent5 3 5 2 5" xfId="20434" xr:uid="{00000000-0005-0000-0000-000065590000}"/>
    <cellStyle name="40% - Accent5 3 5 2 6" xfId="29311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0" xr:uid="{00000000-0005-0000-0000-000069590000}"/>
    <cellStyle name="40% - Accent5 3 5 3 2 3" xfId="30797" xr:uid="{00000000-0005-0000-0000-00006A590000}"/>
    <cellStyle name="40% - Accent5 3 5 3 3" xfId="12865" xr:uid="{00000000-0005-0000-0000-00006B590000}"/>
    <cellStyle name="40% - Accent5 3 5 3 3 2" xfId="24139" xr:uid="{00000000-0005-0000-0000-00006C590000}"/>
    <cellStyle name="40% - Accent5 3 5 3 3 3" xfId="33016" xr:uid="{00000000-0005-0000-0000-00006D590000}"/>
    <cellStyle name="40% - Accent5 3 5 3 4" xfId="15315" xr:uid="{00000000-0005-0000-0000-00006E590000}"/>
    <cellStyle name="40% - Accent5 3 5 3 4 2" xfId="26358" xr:uid="{00000000-0005-0000-0000-00006F590000}"/>
    <cellStyle name="40% - Accent5 3 5 3 4 3" xfId="35235" xr:uid="{00000000-0005-0000-0000-000070590000}"/>
    <cellStyle name="40% - Accent5 3 5 3 5" xfId="19701" xr:uid="{00000000-0005-0000-0000-000071590000}"/>
    <cellStyle name="40% - Accent5 3 5 3 6" xfId="28578" xr:uid="{00000000-0005-0000-0000-000072590000}"/>
    <cellStyle name="40% - Accent5 3 5 4" xfId="9674" xr:uid="{00000000-0005-0000-0000-000073590000}"/>
    <cellStyle name="40% - Accent5 3 5 4 2" xfId="21177" xr:uid="{00000000-0005-0000-0000-000074590000}"/>
    <cellStyle name="40% - Accent5 3 5 4 3" xfId="30054" xr:uid="{00000000-0005-0000-0000-000075590000}"/>
    <cellStyle name="40% - Accent5 3 5 5" xfId="12122" xr:uid="{00000000-0005-0000-0000-000076590000}"/>
    <cellStyle name="40% - Accent5 3 5 5 2" xfId="23396" xr:uid="{00000000-0005-0000-0000-000077590000}"/>
    <cellStyle name="40% - Accent5 3 5 5 3" xfId="32273" xr:uid="{00000000-0005-0000-0000-000078590000}"/>
    <cellStyle name="40% - Accent5 3 5 6" xfId="14343" xr:uid="{00000000-0005-0000-0000-000079590000}"/>
    <cellStyle name="40% - Accent5 3 5 6 2" xfId="25615" xr:uid="{00000000-0005-0000-0000-00007A590000}"/>
    <cellStyle name="40% - Accent5 3 5 6 3" xfId="34492" xr:uid="{00000000-0005-0000-0000-00007B590000}"/>
    <cellStyle name="40% - Accent5 3 5 7" xfId="18952" xr:uid="{00000000-0005-0000-0000-00007C590000}"/>
    <cellStyle name="40% - Accent5 3 5 8" xfId="27833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7" xr:uid="{00000000-0005-0000-0000-000096590000}"/>
    <cellStyle name="40% - Accent5 7 10 3" xfId="32274" xr:uid="{00000000-0005-0000-0000-000097590000}"/>
    <cellStyle name="40% - Accent5 7 11" xfId="14344" xr:uid="{00000000-0005-0000-0000-000098590000}"/>
    <cellStyle name="40% - Accent5 7 11 2" xfId="25616" xr:uid="{00000000-0005-0000-0000-000099590000}"/>
    <cellStyle name="40% - Accent5 7 11 3" xfId="34493" xr:uid="{00000000-0005-0000-0000-00009A590000}"/>
    <cellStyle name="40% - Accent5 7 12" xfId="18953" xr:uid="{00000000-0005-0000-0000-00009B590000}"/>
    <cellStyle name="40% - Accent5 7 13" xfId="27834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4" xr:uid="{00000000-0005-0000-0000-0000A4590000}"/>
    <cellStyle name="40% - Accent5 7 7 2 3" xfId="31531" xr:uid="{00000000-0005-0000-0000-0000A5590000}"/>
    <cellStyle name="40% - Accent5 7 7 3" xfId="13599" xr:uid="{00000000-0005-0000-0000-0000A6590000}"/>
    <cellStyle name="40% - Accent5 7 7 3 2" xfId="24873" xr:uid="{00000000-0005-0000-0000-0000A7590000}"/>
    <cellStyle name="40% - Accent5 7 7 3 3" xfId="33750" xr:uid="{00000000-0005-0000-0000-0000A8590000}"/>
    <cellStyle name="40% - Accent5 7 7 4" xfId="16049" xr:uid="{00000000-0005-0000-0000-0000A9590000}"/>
    <cellStyle name="40% - Accent5 7 7 4 2" xfId="27092" xr:uid="{00000000-0005-0000-0000-0000AA590000}"/>
    <cellStyle name="40% - Accent5 7 7 4 3" xfId="35969" xr:uid="{00000000-0005-0000-0000-0000AB590000}"/>
    <cellStyle name="40% - Accent5 7 7 5" xfId="20435" xr:uid="{00000000-0005-0000-0000-0000AC590000}"/>
    <cellStyle name="40% - Accent5 7 7 6" xfId="29312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1" xr:uid="{00000000-0005-0000-0000-0000B0590000}"/>
    <cellStyle name="40% - Accent5 7 8 2 3" xfId="30798" xr:uid="{00000000-0005-0000-0000-0000B1590000}"/>
    <cellStyle name="40% - Accent5 7 8 3" xfId="12866" xr:uid="{00000000-0005-0000-0000-0000B2590000}"/>
    <cellStyle name="40% - Accent5 7 8 3 2" xfId="24140" xr:uid="{00000000-0005-0000-0000-0000B3590000}"/>
    <cellStyle name="40% - Accent5 7 8 3 3" xfId="33017" xr:uid="{00000000-0005-0000-0000-0000B4590000}"/>
    <cellStyle name="40% - Accent5 7 8 4" xfId="15316" xr:uid="{00000000-0005-0000-0000-0000B5590000}"/>
    <cellStyle name="40% - Accent5 7 8 4 2" xfId="26359" xr:uid="{00000000-0005-0000-0000-0000B6590000}"/>
    <cellStyle name="40% - Accent5 7 8 4 3" xfId="35236" xr:uid="{00000000-0005-0000-0000-0000B7590000}"/>
    <cellStyle name="40% - Accent5 7 8 5" xfId="19702" xr:uid="{00000000-0005-0000-0000-0000B8590000}"/>
    <cellStyle name="40% - Accent5 7 8 6" xfId="28579" xr:uid="{00000000-0005-0000-0000-0000B9590000}"/>
    <cellStyle name="40% - Accent5 7 9" xfId="9675" xr:uid="{00000000-0005-0000-0000-0000BA590000}"/>
    <cellStyle name="40% - Accent5 7 9 2" xfId="21178" xr:uid="{00000000-0005-0000-0000-0000BB590000}"/>
    <cellStyle name="40% - Accent5 7 9 3" xfId="30055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2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5" xr:uid="{00000000-0005-0000-0000-0000DB590000}"/>
    <cellStyle name="40% - Accent6 2 10 2 2 3" xfId="31532" xr:uid="{00000000-0005-0000-0000-0000DC590000}"/>
    <cellStyle name="40% - Accent6 2 10 2 3" xfId="13600" xr:uid="{00000000-0005-0000-0000-0000DD590000}"/>
    <cellStyle name="40% - Accent6 2 10 2 3 2" xfId="24874" xr:uid="{00000000-0005-0000-0000-0000DE590000}"/>
    <cellStyle name="40% - Accent6 2 10 2 3 3" xfId="33751" xr:uid="{00000000-0005-0000-0000-0000DF590000}"/>
    <cellStyle name="40% - Accent6 2 10 2 4" xfId="16050" xr:uid="{00000000-0005-0000-0000-0000E0590000}"/>
    <cellStyle name="40% - Accent6 2 10 2 4 2" xfId="27093" xr:uid="{00000000-0005-0000-0000-0000E1590000}"/>
    <cellStyle name="40% - Accent6 2 10 2 4 3" xfId="35970" xr:uid="{00000000-0005-0000-0000-0000E2590000}"/>
    <cellStyle name="40% - Accent6 2 10 2 5" xfId="20436" xr:uid="{00000000-0005-0000-0000-0000E3590000}"/>
    <cellStyle name="40% - Accent6 2 10 2 6" xfId="29313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2" xr:uid="{00000000-0005-0000-0000-0000E7590000}"/>
    <cellStyle name="40% - Accent6 2 10 3 2 3" xfId="30799" xr:uid="{00000000-0005-0000-0000-0000E8590000}"/>
    <cellStyle name="40% - Accent6 2 10 3 3" xfId="12867" xr:uid="{00000000-0005-0000-0000-0000E9590000}"/>
    <cellStyle name="40% - Accent6 2 10 3 3 2" xfId="24141" xr:uid="{00000000-0005-0000-0000-0000EA590000}"/>
    <cellStyle name="40% - Accent6 2 10 3 3 3" xfId="33018" xr:uid="{00000000-0005-0000-0000-0000EB590000}"/>
    <cellStyle name="40% - Accent6 2 10 3 4" xfId="15317" xr:uid="{00000000-0005-0000-0000-0000EC590000}"/>
    <cellStyle name="40% - Accent6 2 10 3 4 2" xfId="26360" xr:uid="{00000000-0005-0000-0000-0000ED590000}"/>
    <cellStyle name="40% - Accent6 2 10 3 4 3" xfId="35237" xr:uid="{00000000-0005-0000-0000-0000EE590000}"/>
    <cellStyle name="40% - Accent6 2 10 3 5" xfId="19703" xr:uid="{00000000-0005-0000-0000-0000EF590000}"/>
    <cellStyle name="40% - Accent6 2 10 3 6" xfId="28580" xr:uid="{00000000-0005-0000-0000-0000F0590000}"/>
    <cellStyle name="40% - Accent6 2 10 4" xfId="9676" xr:uid="{00000000-0005-0000-0000-0000F1590000}"/>
    <cellStyle name="40% - Accent6 2 10 4 2" xfId="21179" xr:uid="{00000000-0005-0000-0000-0000F2590000}"/>
    <cellStyle name="40% - Accent6 2 10 4 3" xfId="30056" xr:uid="{00000000-0005-0000-0000-0000F3590000}"/>
    <cellStyle name="40% - Accent6 2 10 5" xfId="12124" xr:uid="{00000000-0005-0000-0000-0000F4590000}"/>
    <cellStyle name="40% - Accent6 2 10 5 2" xfId="23398" xr:uid="{00000000-0005-0000-0000-0000F5590000}"/>
    <cellStyle name="40% - Accent6 2 10 5 3" xfId="32275" xr:uid="{00000000-0005-0000-0000-0000F6590000}"/>
    <cellStyle name="40% - Accent6 2 10 6" xfId="14345" xr:uid="{00000000-0005-0000-0000-0000F7590000}"/>
    <cellStyle name="40% - Accent6 2 10 6 2" xfId="25617" xr:uid="{00000000-0005-0000-0000-0000F8590000}"/>
    <cellStyle name="40% - Accent6 2 10 6 3" xfId="34494" xr:uid="{00000000-0005-0000-0000-0000F9590000}"/>
    <cellStyle name="40% - Accent6 2 10 7" xfId="18954" xr:uid="{00000000-0005-0000-0000-0000FA590000}"/>
    <cellStyle name="40% - Accent6 2 10 8" xfId="27835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6" xr:uid="{00000000-0005-0000-0000-0000005A0000}"/>
    <cellStyle name="40% - Accent6 2 11 2 2 2 3" xfId="31533" xr:uid="{00000000-0005-0000-0000-0000015A0000}"/>
    <cellStyle name="40% - Accent6 2 11 2 2 3" xfId="13601" xr:uid="{00000000-0005-0000-0000-0000025A0000}"/>
    <cellStyle name="40% - Accent6 2 11 2 2 3 2" xfId="24875" xr:uid="{00000000-0005-0000-0000-0000035A0000}"/>
    <cellStyle name="40% - Accent6 2 11 2 2 3 3" xfId="33752" xr:uid="{00000000-0005-0000-0000-0000045A0000}"/>
    <cellStyle name="40% - Accent6 2 11 2 2 4" xfId="16051" xr:uid="{00000000-0005-0000-0000-0000055A0000}"/>
    <cellStyle name="40% - Accent6 2 11 2 2 4 2" xfId="27094" xr:uid="{00000000-0005-0000-0000-0000065A0000}"/>
    <cellStyle name="40% - Accent6 2 11 2 2 4 3" xfId="35971" xr:uid="{00000000-0005-0000-0000-0000075A0000}"/>
    <cellStyle name="40% - Accent6 2 11 2 2 5" xfId="20437" xr:uid="{00000000-0005-0000-0000-0000085A0000}"/>
    <cellStyle name="40% - Accent6 2 11 2 2 6" xfId="29314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3" xr:uid="{00000000-0005-0000-0000-00000C5A0000}"/>
    <cellStyle name="40% - Accent6 2 11 2 3 2 3" xfId="30800" xr:uid="{00000000-0005-0000-0000-00000D5A0000}"/>
    <cellStyle name="40% - Accent6 2 11 2 3 3" xfId="12868" xr:uid="{00000000-0005-0000-0000-00000E5A0000}"/>
    <cellStyle name="40% - Accent6 2 11 2 3 3 2" xfId="24142" xr:uid="{00000000-0005-0000-0000-00000F5A0000}"/>
    <cellStyle name="40% - Accent6 2 11 2 3 3 3" xfId="33019" xr:uid="{00000000-0005-0000-0000-0000105A0000}"/>
    <cellStyle name="40% - Accent6 2 11 2 3 4" xfId="15318" xr:uid="{00000000-0005-0000-0000-0000115A0000}"/>
    <cellStyle name="40% - Accent6 2 11 2 3 4 2" xfId="26361" xr:uid="{00000000-0005-0000-0000-0000125A0000}"/>
    <cellStyle name="40% - Accent6 2 11 2 3 4 3" xfId="35238" xr:uid="{00000000-0005-0000-0000-0000135A0000}"/>
    <cellStyle name="40% - Accent6 2 11 2 3 5" xfId="19704" xr:uid="{00000000-0005-0000-0000-0000145A0000}"/>
    <cellStyle name="40% - Accent6 2 11 2 3 6" xfId="28581" xr:uid="{00000000-0005-0000-0000-0000155A0000}"/>
    <cellStyle name="40% - Accent6 2 11 2 4" xfId="9677" xr:uid="{00000000-0005-0000-0000-0000165A0000}"/>
    <cellStyle name="40% - Accent6 2 11 2 4 2" xfId="21180" xr:uid="{00000000-0005-0000-0000-0000175A0000}"/>
    <cellStyle name="40% - Accent6 2 11 2 4 3" xfId="30057" xr:uid="{00000000-0005-0000-0000-0000185A0000}"/>
    <cellStyle name="40% - Accent6 2 11 2 5" xfId="12125" xr:uid="{00000000-0005-0000-0000-0000195A0000}"/>
    <cellStyle name="40% - Accent6 2 11 2 5 2" xfId="23399" xr:uid="{00000000-0005-0000-0000-00001A5A0000}"/>
    <cellStyle name="40% - Accent6 2 11 2 5 3" xfId="32276" xr:uid="{00000000-0005-0000-0000-00001B5A0000}"/>
    <cellStyle name="40% - Accent6 2 11 2 6" xfId="14346" xr:uid="{00000000-0005-0000-0000-00001C5A0000}"/>
    <cellStyle name="40% - Accent6 2 11 2 6 2" xfId="25618" xr:uid="{00000000-0005-0000-0000-00001D5A0000}"/>
    <cellStyle name="40% - Accent6 2 11 2 6 3" xfId="34495" xr:uid="{00000000-0005-0000-0000-00001E5A0000}"/>
    <cellStyle name="40% - Accent6 2 11 2 7" xfId="18955" xr:uid="{00000000-0005-0000-0000-00001F5A0000}"/>
    <cellStyle name="40% - Accent6 2 11 2 8" xfId="27836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7" xr:uid="{00000000-0005-0000-0000-0000245A0000}"/>
    <cellStyle name="40% - Accent6 2 11 3 2 2 3" xfId="31534" xr:uid="{00000000-0005-0000-0000-0000255A0000}"/>
    <cellStyle name="40% - Accent6 2 11 3 2 3" xfId="13602" xr:uid="{00000000-0005-0000-0000-0000265A0000}"/>
    <cellStyle name="40% - Accent6 2 11 3 2 3 2" xfId="24876" xr:uid="{00000000-0005-0000-0000-0000275A0000}"/>
    <cellStyle name="40% - Accent6 2 11 3 2 3 3" xfId="33753" xr:uid="{00000000-0005-0000-0000-0000285A0000}"/>
    <cellStyle name="40% - Accent6 2 11 3 2 4" xfId="16052" xr:uid="{00000000-0005-0000-0000-0000295A0000}"/>
    <cellStyle name="40% - Accent6 2 11 3 2 4 2" xfId="27095" xr:uid="{00000000-0005-0000-0000-00002A5A0000}"/>
    <cellStyle name="40% - Accent6 2 11 3 2 4 3" xfId="35972" xr:uid="{00000000-0005-0000-0000-00002B5A0000}"/>
    <cellStyle name="40% - Accent6 2 11 3 2 5" xfId="20438" xr:uid="{00000000-0005-0000-0000-00002C5A0000}"/>
    <cellStyle name="40% - Accent6 2 11 3 2 6" xfId="29315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4" xr:uid="{00000000-0005-0000-0000-0000305A0000}"/>
    <cellStyle name="40% - Accent6 2 11 3 3 2 3" xfId="30801" xr:uid="{00000000-0005-0000-0000-0000315A0000}"/>
    <cellStyle name="40% - Accent6 2 11 3 3 3" xfId="12869" xr:uid="{00000000-0005-0000-0000-0000325A0000}"/>
    <cellStyle name="40% - Accent6 2 11 3 3 3 2" xfId="24143" xr:uid="{00000000-0005-0000-0000-0000335A0000}"/>
    <cellStyle name="40% - Accent6 2 11 3 3 3 3" xfId="33020" xr:uid="{00000000-0005-0000-0000-0000345A0000}"/>
    <cellStyle name="40% - Accent6 2 11 3 3 4" xfId="15319" xr:uid="{00000000-0005-0000-0000-0000355A0000}"/>
    <cellStyle name="40% - Accent6 2 11 3 3 4 2" xfId="26362" xr:uid="{00000000-0005-0000-0000-0000365A0000}"/>
    <cellStyle name="40% - Accent6 2 11 3 3 4 3" xfId="35239" xr:uid="{00000000-0005-0000-0000-0000375A0000}"/>
    <cellStyle name="40% - Accent6 2 11 3 3 5" xfId="19705" xr:uid="{00000000-0005-0000-0000-0000385A0000}"/>
    <cellStyle name="40% - Accent6 2 11 3 3 6" xfId="28582" xr:uid="{00000000-0005-0000-0000-0000395A0000}"/>
    <cellStyle name="40% - Accent6 2 11 3 4" xfId="9678" xr:uid="{00000000-0005-0000-0000-00003A5A0000}"/>
    <cellStyle name="40% - Accent6 2 11 3 4 2" xfId="21181" xr:uid="{00000000-0005-0000-0000-00003B5A0000}"/>
    <cellStyle name="40% - Accent6 2 11 3 4 3" xfId="30058" xr:uid="{00000000-0005-0000-0000-00003C5A0000}"/>
    <cellStyle name="40% - Accent6 2 11 3 5" xfId="12126" xr:uid="{00000000-0005-0000-0000-00003D5A0000}"/>
    <cellStyle name="40% - Accent6 2 11 3 5 2" xfId="23400" xr:uid="{00000000-0005-0000-0000-00003E5A0000}"/>
    <cellStyle name="40% - Accent6 2 11 3 5 3" xfId="32277" xr:uid="{00000000-0005-0000-0000-00003F5A0000}"/>
    <cellStyle name="40% - Accent6 2 11 3 6" xfId="14347" xr:uid="{00000000-0005-0000-0000-0000405A0000}"/>
    <cellStyle name="40% - Accent6 2 11 3 6 2" xfId="25619" xr:uid="{00000000-0005-0000-0000-0000415A0000}"/>
    <cellStyle name="40% - Accent6 2 11 3 6 3" xfId="34496" xr:uid="{00000000-0005-0000-0000-0000425A0000}"/>
    <cellStyle name="40% - Accent6 2 11 3 7" xfId="18956" xr:uid="{00000000-0005-0000-0000-0000435A0000}"/>
    <cellStyle name="40% - Accent6 2 11 3 8" xfId="27837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8" xr:uid="{00000000-0005-0000-0000-0000485A0000}"/>
    <cellStyle name="40% - Accent6 2 11 4 2 2 3" xfId="31535" xr:uid="{00000000-0005-0000-0000-0000495A0000}"/>
    <cellStyle name="40% - Accent6 2 11 4 2 3" xfId="13603" xr:uid="{00000000-0005-0000-0000-00004A5A0000}"/>
    <cellStyle name="40% - Accent6 2 11 4 2 3 2" xfId="24877" xr:uid="{00000000-0005-0000-0000-00004B5A0000}"/>
    <cellStyle name="40% - Accent6 2 11 4 2 3 3" xfId="33754" xr:uid="{00000000-0005-0000-0000-00004C5A0000}"/>
    <cellStyle name="40% - Accent6 2 11 4 2 4" xfId="16053" xr:uid="{00000000-0005-0000-0000-00004D5A0000}"/>
    <cellStyle name="40% - Accent6 2 11 4 2 4 2" xfId="27096" xr:uid="{00000000-0005-0000-0000-00004E5A0000}"/>
    <cellStyle name="40% - Accent6 2 11 4 2 4 3" xfId="35973" xr:uid="{00000000-0005-0000-0000-00004F5A0000}"/>
    <cellStyle name="40% - Accent6 2 11 4 2 5" xfId="20439" xr:uid="{00000000-0005-0000-0000-0000505A0000}"/>
    <cellStyle name="40% - Accent6 2 11 4 2 6" xfId="29316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5" xr:uid="{00000000-0005-0000-0000-0000545A0000}"/>
    <cellStyle name="40% - Accent6 2 11 4 3 2 3" xfId="30802" xr:uid="{00000000-0005-0000-0000-0000555A0000}"/>
    <cellStyle name="40% - Accent6 2 11 4 3 3" xfId="12870" xr:uid="{00000000-0005-0000-0000-0000565A0000}"/>
    <cellStyle name="40% - Accent6 2 11 4 3 3 2" xfId="24144" xr:uid="{00000000-0005-0000-0000-0000575A0000}"/>
    <cellStyle name="40% - Accent6 2 11 4 3 3 3" xfId="33021" xr:uid="{00000000-0005-0000-0000-0000585A0000}"/>
    <cellStyle name="40% - Accent6 2 11 4 3 4" xfId="15320" xr:uid="{00000000-0005-0000-0000-0000595A0000}"/>
    <cellStyle name="40% - Accent6 2 11 4 3 4 2" xfId="26363" xr:uid="{00000000-0005-0000-0000-00005A5A0000}"/>
    <cellStyle name="40% - Accent6 2 11 4 3 4 3" xfId="35240" xr:uid="{00000000-0005-0000-0000-00005B5A0000}"/>
    <cellStyle name="40% - Accent6 2 11 4 3 5" xfId="19706" xr:uid="{00000000-0005-0000-0000-00005C5A0000}"/>
    <cellStyle name="40% - Accent6 2 11 4 3 6" xfId="28583" xr:uid="{00000000-0005-0000-0000-00005D5A0000}"/>
    <cellStyle name="40% - Accent6 2 11 4 4" xfId="9679" xr:uid="{00000000-0005-0000-0000-00005E5A0000}"/>
    <cellStyle name="40% - Accent6 2 11 4 4 2" xfId="21182" xr:uid="{00000000-0005-0000-0000-00005F5A0000}"/>
    <cellStyle name="40% - Accent6 2 11 4 4 3" xfId="30059" xr:uid="{00000000-0005-0000-0000-0000605A0000}"/>
    <cellStyle name="40% - Accent6 2 11 4 5" xfId="12127" xr:uid="{00000000-0005-0000-0000-0000615A0000}"/>
    <cellStyle name="40% - Accent6 2 11 4 5 2" xfId="23401" xr:uid="{00000000-0005-0000-0000-0000625A0000}"/>
    <cellStyle name="40% - Accent6 2 11 4 5 3" xfId="32278" xr:uid="{00000000-0005-0000-0000-0000635A0000}"/>
    <cellStyle name="40% - Accent6 2 11 4 6" xfId="14348" xr:uid="{00000000-0005-0000-0000-0000645A0000}"/>
    <cellStyle name="40% - Accent6 2 11 4 6 2" xfId="25620" xr:uid="{00000000-0005-0000-0000-0000655A0000}"/>
    <cellStyle name="40% - Accent6 2 11 4 6 3" xfId="34497" xr:uid="{00000000-0005-0000-0000-0000665A0000}"/>
    <cellStyle name="40% - Accent6 2 11 4 7" xfId="18957" xr:uid="{00000000-0005-0000-0000-0000675A0000}"/>
    <cellStyle name="40% - Accent6 2 11 4 8" xfId="27838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59" xr:uid="{00000000-0005-0000-0000-00006C5A0000}"/>
    <cellStyle name="40% - Accent6 2 11 5 2 2 3" xfId="31536" xr:uid="{00000000-0005-0000-0000-00006D5A0000}"/>
    <cellStyle name="40% - Accent6 2 11 5 2 3" xfId="13604" xr:uid="{00000000-0005-0000-0000-00006E5A0000}"/>
    <cellStyle name="40% - Accent6 2 11 5 2 3 2" xfId="24878" xr:uid="{00000000-0005-0000-0000-00006F5A0000}"/>
    <cellStyle name="40% - Accent6 2 11 5 2 3 3" xfId="33755" xr:uid="{00000000-0005-0000-0000-0000705A0000}"/>
    <cellStyle name="40% - Accent6 2 11 5 2 4" xfId="16054" xr:uid="{00000000-0005-0000-0000-0000715A0000}"/>
    <cellStyle name="40% - Accent6 2 11 5 2 4 2" xfId="27097" xr:uid="{00000000-0005-0000-0000-0000725A0000}"/>
    <cellStyle name="40% - Accent6 2 11 5 2 4 3" xfId="35974" xr:uid="{00000000-0005-0000-0000-0000735A0000}"/>
    <cellStyle name="40% - Accent6 2 11 5 2 5" xfId="20440" xr:uid="{00000000-0005-0000-0000-0000745A0000}"/>
    <cellStyle name="40% - Accent6 2 11 5 2 6" xfId="29317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6" xr:uid="{00000000-0005-0000-0000-0000785A0000}"/>
    <cellStyle name="40% - Accent6 2 11 5 3 2 3" xfId="30803" xr:uid="{00000000-0005-0000-0000-0000795A0000}"/>
    <cellStyle name="40% - Accent6 2 11 5 3 3" xfId="12871" xr:uid="{00000000-0005-0000-0000-00007A5A0000}"/>
    <cellStyle name="40% - Accent6 2 11 5 3 3 2" xfId="24145" xr:uid="{00000000-0005-0000-0000-00007B5A0000}"/>
    <cellStyle name="40% - Accent6 2 11 5 3 3 3" xfId="33022" xr:uid="{00000000-0005-0000-0000-00007C5A0000}"/>
    <cellStyle name="40% - Accent6 2 11 5 3 4" xfId="15321" xr:uid="{00000000-0005-0000-0000-00007D5A0000}"/>
    <cellStyle name="40% - Accent6 2 11 5 3 4 2" xfId="26364" xr:uid="{00000000-0005-0000-0000-00007E5A0000}"/>
    <cellStyle name="40% - Accent6 2 11 5 3 4 3" xfId="35241" xr:uid="{00000000-0005-0000-0000-00007F5A0000}"/>
    <cellStyle name="40% - Accent6 2 11 5 3 5" xfId="19707" xr:uid="{00000000-0005-0000-0000-0000805A0000}"/>
    <cellStyle name="40% - Accent6 2 11 5 3 6" xfId="28584" xr:uid="{00000000-0005-0000-0000-0000815A0000}"/>
    <cellStyle name="40% - Accent6 2 11 5 4" xfId="9680" xr:uid="{00000000-0005-0000-0000-0000825A0000}"/>
    <cellStyle name="40% - Accent6 2 11 5 4 2" xfId="21183" xr:uid="{00000000-0005-0000-0000-0000835A0000}"/>
    <cellStyle name="40% - Accent6 2 11 5 4 3" xfId="30060" xr:uid="{00000000-0005-0000-0000-0000845A0000}"/>
    <cellStyle name="40% - Accent6 2 11 5 5" xfId="12128" xr:uid="{00000000-0005-0000-0000-0000855A0000}"/>
    <cellStyle name="40% - Accent6 2 11 5 5 2" xfId="23402" xr:uid="{00000000-0005-0000-0000-0000865A0000}"/>
    <cellStyle name="40% - Accent6 2 11 5 5 3" xfId="32279" xr:uid="{00000000-0005-0000-0000-0000875A0000}"/>
    <cellStyle name="40% - Accent6 2 11 5 6" xfId="14349" xr:uid="{00000000-0005-0000-0000-0000885A0000}"/>
    <cellStyle name="40% - Accent6 2 11 5 6 2" xfId="25621" xr:uid="{00000000-0005-0000-0000-0000895A0000}"/>
    <cellStyle name="40% - Accent6 2 11 5 6 3" xfId="34498" xr:uid="{00000000-0005-0000-0000-00008A5A0000}"/>
    <cellStyle name="40% - Accent6 2 11 5 7" xfId="18958" xr:uid="{00000000-0005-0000-0000-00008B5A0000}"/>
    <cellStyle name="40% - Accent6 2 11 5 8" xfId="27839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0" xr:uid="{00000000-0005-0000-0000-0000935A0000}"/>
    <cellStyle name="40% - Accent6 2 15 2 2 3" xfId="31537" xr:uid="{00000000-0005-0000-0000-0000945A0000}"/>
    <cellStyle name="40% - Accent6 2 15 2 3" xfId="13605" xr:uid="{00000000-0005-0000-0000-0000955A0000}"/>
    <cellStyle name="40% - Accent6 2 15 2 3 2" xfId="24879" xr:uid="{00000000-0005-0000-0000-0000965A0000}"/>
    <cellStyle name="40% - Accent6 2 15 2 3 3" xfId="33756" xr:uid="{00000000-0005-0000-0000-0000975A0000}"/>
    <cellStyle name="40% - Accent6 2 15 2 4" xfId="16055" xr:uid="{00000000-0005-0000-0000-0000985A0000}"/>
    <cellStyle name="40% - Accent6 2 15 2 4 2" xfId="27098" xr:uid="{00000000-0005-0000-0000-0000995A0000}"/>
    <cellStyle name="40% - Accent6 2 15 2 4 3" xfId="35975" xr:uid="{00000000-0005-0000-0000-00009A5A0000}"/>
    <cellStyle name="40% - Accent6 2 15 2 5" xfId="20441" xr:uid="{00000000-0005-0000-0000-00009B5A0000}"/>
    <cellStyle name="40% - Accent6 2 15 2 6" xfId="29318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7" xr:uid="{00000000-0005-0000-0000-00009F5A0000}"/>
    <cellStyle name="40% - Accent6 2 15 3 2 3" xfId="30804" xr:uid="{00000000-0005-0000-0000-0000A05A0000}"/>
    <cellStyle name="40% - Accent6 2 15 3 3" xfId="12872" xr:uid="{00000000-0005-0000-0000-0000A15A0000}"/>
    <cellStyle name="40% - Accent6 2 15 3 3 2" xfId="24146" xr:uid="{00000000-0005-0000-0000-0000A25A0000}"/>
    <cellStyle name="40% - Accent6 2 15 3 3 3" xfId="33023" xr:uid="{00000000-0005-0000-0000-0000A35A0000}"/>
    <cellStyle name="40% - Accent6 2 15 3 4" xfId="15322" xr:uid="{00000000-0005-0000-0000-0000A45A0000}"/>
    <cellStyle name="40% - Accent6 2 15 3 4 2" xfId="26365" xr:uid="{00000000-0005-0000-0000-0000A55A0000}"/>
    <cellStyle name="40% - Accent6 2 15 3 4 3" xfId="35242" xr:uid="{00000000-0005-0000-0000-0000A65A0000}"/>
    <cellStyle name="40% - Accent6 2 15 3 5" xfId="19708" xr:uid="{00000000-0005-0000-0000-0000A75A0000}"/>
    <cellStyle name="40% - Accent6 2 15 3 6" xfId="28585" xr:uid="{00000000-0005-0000-0000-0000A85A0000}"/>
    <cellStyle name="40% - Accent6 2 15 4" xfId="9681" xr:uid="{00000000-0005-0000-0000-0000A95A0000}"/>
    <cellStyle name="40% - Accent6 2 15 4 2" xfId="21184" xr:uid="{00000000-0005-0000-0000-0000AA5A0000}"/>
    <cellStyle name="40% - Accent6 2 15 4 3" xfId="30061" xr:uid="{00000000-0005-0000-0000-0000AB5A0000}"/>
    <cellStyle name="40% - Accent6 2 15 5" xfId="12129" xr:uid="{00000000-0005-0000-0000-0000AC5A0000}"/>
    <cellStyle name="40% - Accent6 2 15 5 2" xfId="23403" xr:uid="{00000000-0005-0000-0000-0000AD5A0000}"/>
    <cellStyle name="40% - Accent6 2 15 5 3" xfId="32280" xr:uid="{00000000-0005-0000-0000-0000AE5A0000}"/>
    <cellStyle name="40% - Accent6 2 15 6" xfId="14350" xr:uid="{00000000-0005-0000-0000-0000AF5A0000}"/>
    <cellStyle name="40% - Accent6 2 15 6 2" xfId="25622" xr:uid="{00000000-0005-0000-0000-0000B05A0000}"/>
    <cellStyle name="40% - Accent6 2 15 6 3" xfId="34499" xr:uid="{00000000-0005-0000-0000-0000B15A0000}"/>
    <cellStyle name="40% - Accent6 2 15 7" xfId="18959" xr:uid="{00000000-0005-0000-0000-0000B25A0000}"/>
    <cellStyle name="40% - Accent6 2 15 8" xfId="27840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1" xr:uid="{00000000-0005-0000-0000-0000B85A0000}"/>
    <cellStyle name="40% - Accent6 2 2 10 2 3" xfId="31538" xr:uid="{00000000-0005-0000-0000-0000B95A0000}"/>
    <cellStyle name="40% - Accent6 2 2 10 3" xfId="13606" xr:uid="{00000000-0005-0000-0000-0000BA5A0000}"/>
    <cellStyle name="40% - Accent6 2 2 10 3 2" xfId="24880" xr:uid="{00000000-0005-0000-0000-0000BB5A0000}"/>
    <cellStyle name="40% - Accent6 2 2 10 3 3" xfId="33757" xr:uid="{00000000-0005-0000-0000-0000BC5A0000}"/>
    <cellStyle name="40% - Accent6 2 2 10 4" xfId="16056" xr:uid="{00000000-0005-0000-0000-0000BD5A0000}"/>
    <cellStyle name="40% - Accent6 2 2 10 4 2" xfId="27099" xr:uid="{00000000-0005-0000-0000-0000BE5A0000}"/>
    <cellStyle name="40% - Accent6 2 2 10 4 3" xfId="35976" xr:uid="{00000000-0005-0000-0000-0000BF5A0000}"/>
    <cellStyle name="40% - Accent6 2 2 10 5" xfId="20442" xr:uid="{00000000-0005-0000-0000-0000C05A0000}"/>
    <cellStyle name="40% - Accent6 2 2 10 6" xfId="29319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8" xr:uid="{00000000-0005-0000-0000-0000C45A0000}"/>
    <cellStyle name="40% - Accent6 2 2 11 2 3" xfId="30805" xr:uid="{00000000-0005-0000-0000-0000C55A0000}"/>
    <cellStyle name="40% - Accent6 2 2 11 3" xfId="12873" xr:uid="{00000000-0005-0000-0000-0000C65A0000}"/>
    <cellStyle name="40% - Accent6 2 2 11 3 2" xfId="24147" xr:uid="{00000000-0005-0000-0000-0000C75A0000}"/>
    <cellStyle name="40% - Accent6 2 2 11 3 3" xfId="33024" xr:uid="{00000000-0005-0000-0000-0000C85A0000}"/>
    <cellStyle name="40% - Accent6 2 2 11 4" xfId="15323" xr:uid="{00000000-0005-0000-0000-0000C95A0000}"/>
    <cellStyle name="40% - Accent6 2 2 11 4 2" xfId="26366" xr:uid="{00000000-0005-0000-0000-0000CA5A0000}"/>
    <cellStyle name="40% - Accent6 2 2 11 4 3" xfId="35243" xr:uid="{00000000-0005-0000-0000-0000CB5A0000}"/>
    <cellStyle name="40% - Accent6 2 2 11 5" xfId="19709" xr:uid="{00000000-0005-0000-0000-0000CC5A0000}"/>
    <cellStyle name="40% - Accent6 2 2 11 6" xfId="28586" xr:uid="{00000000-0005-0000-0000-0000CD5A0000}"/>
    <cellStyle name="40% - Accent6 2 2 12" xfId="9682" xr:uid="{00000000-0005-0000-0000-0000CE5A0000}"/>
    <cellStyle name="40% - Accent6 2 2 12 2" xfId="21185" xr:uid="{00000000-0005-0000-0000-0000CF5A0000}"/>
    <cellStyle name="40% - Accent6 2 2 12 3" xfId="30062" xr:uid="{00000000-0005-0000-0000-0000D05A0000}"/>
    <cellStyle name="40% - Accent6 2 2 13" xfId="12130" xr:uid="{00000000-0005-0000-0000-0000D15A0000}"/>
    <cellStyle name="40% - Accent6 2 2 13 2" xfId="23404" xr:uid="{00000000-0005-0000-0000-0000D25A0000}"/>
    <cellStyle name="40% - Accent6 2 2 13 3" xfId="32281" xr:uid="{00000000-0005-0000-0000-0000D35A0000}"/>
    <cellStyle name="40% - Accent6 2 2 14" xfId="14351" xr:uid="{00000000-0005-0000-0000-0000D45A0000}"/>
    <cellStyle name="40% - Accent6 2 2 14 2" xfId="25623" xr:uid="{00000000-0005-0000-0000-0000D55A0000}"/>
    <cellStyle name="40% - Accent6 2 2 14 3" xfId="34500" xr:uid="{00000000-0005-0000-0000-0000D65A0000}"/>
    <cellStyle name="40% - Accent6 2 2 15" xfId="18960" xr:uid="{00000000-0005-0000-0000-0000D75A0000}"/>
    <cellStyle name="40% - Accent6 2 2 16" xfId="27841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2" xr:uid="{00000000-0005-0000-0000-0000DC5A0000}"/>
    <cellStyle name="40% - Accent6 2 2 2 2 2 3" xfId="31539" xr:uid="{00000000-0005-0000-0000-0000DD5A0000}"/>
    <cellStyle name="40% - Accent6 2 2 2 2 3" xfId="13607" xr:uid="{00000000-0005-0000-0000-0000DE5A0000}"/>
    <cellStyle name="40% - Accent6 2 2 2 2 3 2" xfId="24881" xr:uid="{00000000-0005-0000-0000-0000DF5A0000}"/>
    <cellStyle name="40% - Accent6 2 2 2 2 3 3" xfId="33758" xr:uid="{00000000-0005-0000-0000-0000E05A0000}"/>
    <cellStyle name="40% - Accent6 2 2 2 2 4" xfId="16057" xr:uid="{00000000-0005-0000-0000-0000E15A0000}"/>
    <cellStyle name="40% - Accent6 2 2 2 2 4 2" xfId="27100" xr:uid="{00000000-0005-0000-0000-0000E25A0000}"/>
    <cellStyle name="40% - Accent6 2 2 2 2 4 3" xfId="35977" xr:uid="{00000000-0005-0000-0000-0000E35A0000}"/>
    <cellStyle name="40% - Accent6 2 2 2 2 5" xfId="20443" xr:uid="{00000000-0005-0000-0000-0000E45A0000}"/>
    <cellStyle name="40% - Accent6 2 2 2 2 6" xfId="29320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29" xr:uid="{00000000-0005-0000-0000-0000E85A0000}"/>
    <cellStyle name="40% - Accent6 2 2 2 3 2 3" xfId="30806" xr:uid="{00000000-0005-0000-0000-0000E95A0000}"/>
    <cellStyle name="40% - Accent6 2 2 2 3 3" xfId="12874" xr:uid="{00000000-0005-0000-0000-0000EA5A0000}"/>
    <cellStyle name="40% - Accent6 2 2 2 3 3 2" xfId="24148" xr:uid="{00000000-0005-0000-0000-0000EB5A0000}"/>
    <cellStyle name="40% - Accent6 2 2 2 3 3 3" xfId="33025" xr:uid="{00000000-0005-0000-0000-0000EC5A0000}"/>
    <cellStyle name="40% - Accent6 2 2 2 3 4" xfId="15324" xr:uid="{00000000-0005-0000-0000-0000ED5A0000}"/>
    <cellStyle name="40% - Accent6 2 2 2 3 4 2" xfId="26367" xr:uid="{00000000-0005-0000-0000-0000EE5A0000}"/>
    <cellStyle name="40% - Accent6 2 2 2 3 4 3" xfId="35244" xr:uid="{00000000-0005-0000-0000-0000EF5A0000}"/>
    <cellStyle name="40% - Accent6 2 2 2 3 5" xfId="19710" xr:uid="{00000000-0005-0000-0000-0000F05A0000}"/>
    <cellStyle name="40% - Accent6 2 2 2 3 6" xfId="28587" xr:uid="{00000000-0005-0000-0000-0000F15A0000}"/>
    <cellStyle name="40% - Accent6 2 2 2 4" xfId="9683" xr:uid="{00000000-0005-0000-0000-0000F25A0000}"/>
    <cellStyle name="40% - Accent6 2 2 2 4 2" xfId="21186" xr:uid="{00000000-0005-0000-0000-0000F35A0000}"/>
    <cellStyle name="40% - Accent6 2 2 2 4 3" xfId="30063" xr:uid="{00000000-0005-0000-0000-0000F45A0000}"/>
    <cellStyle name="40% - Accent6 2 2 2 5" xfId="12131" xr:uid="{00000000-0005-0000-0000-0000F55A0000}"/>
    <cellStyle name="40% - Accent6 2 2 2 5 2" xfId="23405" xr:uid="{00000000-0005-0000-0000-0000F65A0000}"/>
    <cellStyle name="40% - Accent6 2 2 2 5 3" xfId="32282" xr:uid="{00000000-0005-0000-0000-0000F75A0000}"/>
    <cellStyle name="40% - Accent6 2 2 2 6" xfId="14352" xr:uid="{00000000-0005-0000-0000-0000F85A0000}"/>
    <cellStyle name="40% - Accent6 2 2 2 6 2" xfId="25624" xr:uid="{00000000-0005-0000-0000-0000F95A0000}"/>
    <cellStyle name="40% - Accent6 2 2 2 6 3" xfId="34501" xr:uid="{00000000-0005-0000-0000-0000FA5A0000}"/>
    <cellStyle name="40% - Accent6 2 2 2 7" xfId="18961" xr:uid="{00000000-0005-0000-0000-0000FB5A0000}"/>
    <cellStyle name="40% - Accent6 2 2 2 8" xfId="27842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3" xr:uid="{00000000-0005-0000-0000-0000005B0000}"/>
    <cellStyle name="40% - Accent6 2 2 3 2 2 3" xfId="31540" xr:uid="{00000000-0005-0000-0000-0000015B0000}"/>
    <cellStyle name="40% - Accent6 2 2 3 2 3" xfId="13608" xr:uid="{00000000-0005-0000-0000-0000025B0000}"/>
    <cellStyle name="40% - Accent6 2 2 3 2 3 2" xfId="24882" xr:uid="{00000000-0005-0000-0000-0000035B0000}"/>
    <cellStyle name="40% - Accent6 2 2 3 2 3 3" xfId="33759" xr:uid="{00000000-0005-0000-0000-0000045B0000}"/>
    <cellStyle name="40% - Accent6 2 2 3 2 4" xfId="16058" xr:uid="{00000000-0005-0000-0000-0000055B0000}"/>
    <cellStyle name="40% - Accent6 2 2 3 2 4 2" xfId="27101" xr:uid="{00000000-0005-0000-0000-0000065B0000}"/>
    <cellStyle name="40% - Accent6 2 2 3 2 4 3" xfId="35978" xr:uid="{00000000-0005-0000-0000-0000075B0000}"/>
    <cellStyle name="40% - Accent6 2 2 3 2 5" xfId="20444" xr:uid="{00000000-0005-0000-0000-0000085B0000}"/>
    <cellStyle name="40% - Accent6 2 2 3 2 6" xfId="29321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0" xr:uid="{00000000-0005-0000-0000-00000C5B0000}"/>
    <cellStyle name="40% - Accent6 2 2 3 3 2 3" xfId="30807" xr:uid="{00000000-0005-0000-0000-00000D5B0000}"/>
    <cellStyle name="40% - Accent6 2 2 3 3 3" xfId="12875" xr:uid="{00000000-0005-0000-0000-00000E5B0000}"/>
    <cellStyle name="40% - Accent6 2 2 3 3 3 2" xfId="24149" xr:uid="{00000000-0005-0000-0000-00000F5B0000}"/>
    <cellStyle name="40% - Accent6 2 2 3 3 3 3" xfId="33026" xr:uid="{00000000-0005-0000-0000-0000105B0000}"/>
    <cellStyle name="40% - Accent6 2 2 3 3 4" xfId="15325" xr:uid="{00000000-0005-0000-0000-0000115B0000}"/>
    <cellStyle name="40% - Accent6 2 2 3 3 4 2" xfId="26368" xr:uid="{00000000-0005-0000-0000-0000125B0000}"/>
    <cellStyle name="40% - Accent6 2 2 3 3 4 3" xfId="35245" xr:uid="{00000000-0005-0000-0000-0000135B0000}"/>
    <cellStyle name="40% - Accent6 2 2 3 3 5" xfId="19711" xr:uid="{00000000-0005-0000-0000-0000145B0000}"/>
    <cellStyle name="40% - Accent6 2 2 3 3 6" xfId="28588" xr:uid="{00000000-0005-0000-0000-0000155B0000}"/>
    <cellStyle name="40% - Accent6 2 2 3 4" xfId="9684" xr:uid="{00000000-0005-0000-0000-0000165B0000}"/>
    <cellStyle name="40% - Accent6 2 2 3 4 2" xfId="21187" xr:uid="{00000000-0005-0000-0000-0000175B0000}"/>
    <cellStyle name="40% - Accent6 2 2 3 4 3" xfId="30064" xr:uid="{00000000-0005-0000-0000-0000185B0000}"/>
    <cellStyle name="40% - Accent6 2 2 3 5" xfId="12132" xr:uid="{00000000-0005-0000-0000-0000195B0000}"/>
    <cellStyle name="40% - Accent6 2 2 3 5 2" xfId="23406" xr:uid="{00000000-0005-0000-0000-00001A5B0000}"/>
    <cellStyle name="40% - Accent6 2 2 3 5 3" xfId="32283" xr:uid="{00000000-0005-0000-0000-00001B5B0000}"/>
    <cellStyle name="40% - Accent6 2 2 3 6" xfId="14353" xr:uid="{00000000-0005-0000-0000-00001C5B0000}"/>
    <cellStyle name="40% - Accent6 2 2 3 6 2" xfId="25625" xr:uid="{00000000-0005-0000-0000-00001D5B0000}"/>
    <cellStyle name="40% - Accent6 2 2 3 6 3" xfId="34502" xr:uid="{00000000-0005-0000-0000-00001E5B0000}"/>
    <cellStyle name="40% - Accent6 2 2 3 7" xfId="18962" xr:uid="{00000000-0005-0000-0000-00001F5B0000}"/>
    <cellStyle name="40% - Accent6 2 2 3 8" xfId="27843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4" xr:uid="{00000000-0005-0000-0000-0000245B0000}"/>
    <cellStyle name="40% - Accent6 2 2 4 2 2 3" xfId="31541" xr:uid="{00000000-0005-0000-0000-0000255B0000}"/>
    <cellStyle name="40% - Accent6 2 2 4 2 3" xfId="13609" xr:uid="{00000000-0005-0000-0000-0000265B0000}"/>
    <cellStyle name="40% - Accent6 2 2 4 2 3 2" xfId="24883" xr:uid="{00000000-0005-0000-0000-0000275B0000}"/>
    <cellStyle name="40% - Accent6 2 2 4 2 3 3" xfId="33760" xr:uid="{00000000-0005-0000-0000-0000285B0000}"/>
    <cellStyle name="40% - Accent6 2 2 4 2 4" xfId="16059" xr:uid="{00000000-0005-0000-0000-0000295B0000}"/>
    <cellStyle name="40% - Accent6 2 2 4 2 4 2" xfId="27102" xr:uid="{00000000-0005-0000-0000-00002A5B0000}"/>
    <cellStyle name="40% - Accent6 2 2 4 2 4 3" xfId="35979" xr:uid="{00000000-0005-0000-0000-00002B5B0000}"/>
    <cellStyle name="40% - Accent6 2 2 4 2 5" xfId="20445" xr:uid="{00000000-0005-0000-0000-00002C5B0000}"/>
    <cellStyle name="40% - Accent6 2 2 4 2 6" xfId="29322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1" xr:uid="{00000000-0005-0000-0000-0000305B0000}"/>
    <cellStyle name="40% - Accent6 2 2 4 3 2 3" xfId="30808" xr:uid="{00000000-0005-0000-0000-0000315B0000}"/>
    <cellStyle name="40% - Accent6 2 2 4 3 3" xfId="12876" xr:uid="{00000000-0005-0000-0000-0000325B0000}"/>
    <cellStyle name="40% - Accent6 2 2 4 3 3 2" xfId="24150" xr:uid="{00000000-0005-0000-0000-0000335B0000}"/>
    <cellStyle name="40% - Accent6 2 2 4 3 3 3" xfId="33027" xr:uid="{00000000-0005-0000-0000-0000345B0000}"/>
    <cellStyle name="40% - Accent6 2 2 4 3 4" xfId="15326" xr:uid="{00000000-0005-0000-0000-0000355B0000}"/>
    <cellStyle name="40% - Accent6 2 2 4 3 4 2" xfId="26369" xr:uid="{00000000-0005-0000-0000-0000365B0000}"/>
    <cellStyle name="40% - Accent6 2 2 4 3 4 3" xfId="35246" xr:uid="{00000000-0005-0000-0000-0000375B0000}"/>
    <cellStyle name="40% - Accent6 2 2 4 3 5" xfId="19712" xr:uid="{00000000-0005-0000-0000-0000385B0000}"/>
    <cellStyle name="40% - Accent6 2 2 4 3 6" xfId="28589" xr:uid="{00000000-0005-0000-0000-0000395B0000}"/>
    <cellStyle name="40% - Accent6 2 2 4 4" xfId="9685" xr:uid="{00000000-0005-0000-0000-00003A5B0000}"/>
    <cellStyle name="40% - Accent6 2 2 4 4 2" xfId="21188" xr:uid="{00000000-0005-0000-0000-00003B5B0000}"/>
    <cellStyle name="40% - Accent6 2 2 4 4 3" xfId="30065" xr:uid="{00000000-0005-0000-0000-00003C5B0000}"/>
    <cellStyle name="40% - Accent6 2 2 4 5" xfId="12133" xr:uid="{00000000-0005-0000-0000-00003D5B0000}"/>
    <cellStyle name="40% - Accent6 2 2 4 5 2" xfId="23407" xr:uid="{00000000-0005-0000-0000-00003E5B0000}"/>
    <cellStyle name="40% - Accent6 2 2 4 5 3" xfId="32284" xr:uid="{00000000-0005-0000-0000-00003F5B0000}"/>
    <cellStyle name="40% - Accent6 2 2 4 6" xfId="14354" xr:uid="{00000000-0005-0000-0000-0000405B0000}"/>
    <cellStyle name="40% - Accent6 2 2 4 6 2" xfId="25626" xr:uid="{00000000-0005-0000-0000-0000415B0000}"/>
    <cellStyle name="40% - Accent6 2 2 4 6 3" xfId="34503" xr:uid="{00000000-0005-0000-0000-0000425B0000}"/>
    <cellStyle name="40% - Accent6 2 2 4 7" xfId="18963" xr:uid="{00000000-0005-0000-0000-0000435B0000}"/>
    <cellStyle name="40% - Accent6 2 2 4 8" xfId="27844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5" xr:uid="{00000000-0005-0000-0000-0000485B0000}"/>
    <cellStyle name="40% - Accent6 2 2 5 2 2 3" xfId="31542" xr:uid="{00000000-0005-0000-0000-0000495B0000}"/>
    <cellStyle name="40% - Accent6 2 2 5 2 3" xfId="13610" xr:uid="{00000000-0005-0000-0000-00004A5B0000}"/>
    <cellStyle name="40% - Accent6 2 2 5 2 3 2" xfId="24884" xr:uid="{00000000-0005-0000-0000-00004B5B0000}"/>
    <cellStyle name="40% - Accent6 2 2 5 2 3 3" xfId="33761" xr:uid="{00000000-0005-0000-0000-00004C5B0000}"/>
    <cellStyle name="40% - Accent6 2 2 5 2 4" xfId="16060" xr:uid="{00000000-0005-0000-0000-00004D5B0000}"/>
    <cellStyle name="40% - Accent6 2 2 5 2 4 2" xfId="27103" xr:uid="{00000000-0005-0000-0000-00004E5B0000}"/>
    <cellStyle name="40% - Accent6 2 2 5 2 4 3" xfId="35980" xr:uid="{00000000-0005-0000-0000-00004F5B0000}"/>
    <cellStyle name="40% - Accent6 2 2 5 2 5" xfId="20446" xr:uid="{00000000-0005-0000-0000-0000505B0000}"/>
    <cellStyle name="40% - Accent6 2 2 5 2 6" xfId="29323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2" xr:uid="{00000000-0005-0000-0000-0000545B0000}"/>
    <cellStyle name="40% - Accent6 2 2 5 3 2 3" xfId="30809" xr:uid="{00000000-0005-0000-0000-0000555B0000}"/>
    <cellStyle name="40% - Accent6 2 2 5 3 3" xfId="12877" xr:uid="{00000000-0005-0000-0000-0000565B0000}"/>
    <cellStyle name="40% - Accent6 2 2 5 3 3 2" xfId="24151" xr:uid="{00000000-0005-0000-0000-0000575B0000}"/>
    <cellStyle name="40% - Accent6 2 2 5 3 3 3" xfId="33028" xr:uid="{00000000-0005-0000-0000-0000585B0000}"/>
    <cellStyle name="40% - Accent6 2 2 5 3 4" xfId="15327" xr:uid="{00000000-0005-0000-0000-0000595B0000}"/>
    <cellStyle name="40% - Accent6 2 2 5 3 4 2" xfId="26370" xr:uid="{00000000-0005-0000-0000-00005A5B0000}"/>
    <cellStyle name="40% - Accent6 2 2 5 3 4 3" xfId="35247" xr:uid="{00000000-0005-0000-0000-00005B5B0000}"/>
    <cellStyle name="40% - Accent6 2 2 5 3 5" xfId="19713" xr:uid="{00000000-0005-0000-0000-00005C5B0000}"/>
    <cellStyle name="40% - Accent6 2 2 5 3 6" xfId="28590" xr:uid="{00000000-0005-0000-0000-00005D5B0000}"/>
    <cellStyle name="40% - Accent6 2 2 5 4" xfId="9686" xr:uid="{00000000-0005-0000-0000-00005E5B0000}"/>
    <cellStyle name="40% - Accent6 2 2 5 4 2" xfId="21189" xr:uid="{00000000-0005-0000-0000-00005F5B0000}"/>
    <cellStyle name="40% - Accent6 2 2 5 4 3" xfId="30066" xr:uid="{00000000-0005-0000-0000-0000605B0000}"/>
    <cellStyle name="40% - Accent6 2 2 5 5" xfId="12134" xr:uid="{00000000-0005-0000-0000-0000615B0000}"/>
    <cellStyle name="40% - Accent6 2 2 5 5 2" xfId="23408" xr:uid="{00000000-0005-0000-0000-0000625B0000}"/>
    <cellStyle name="40% - Accent6 2 2 5 5 3" xfId="32285" xr:uid="{00000000-0005-0000-0000-0000635B0000}"/>
    <cellStyle name="40% - Accent6 2 2 5 6" xfId="14355" xr:uid="{00000000-0005-0000-0000-0000645B0000}"/>
    <cellStyle name="40% - Accent6 2 2 5 6 2" xfId="25627" xr:uid="{00000000-0005-0000-0000-0000655B0000}"/>
    <cellStyle name="40% - Accent6 2 2 5 6 3" xfId="34504" xr:uid="{00000000-0005-0000-0000-0000665B0000}"/>
    <cellStyle name="40% - Accent6 2 2 5 7" xfId="18964" xr:uid="{00000000-0005-0000-0000-0000675B0000}"/>
    <cellStyle name="40% - Accent6 2 2 5 8" xfId="27845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6" xr:uid="{00000000-0005-0000-0000-00006C5B0000}"/>
    <cellStyle name="40% - Accent6 2 2 6 2 2 3" xfId="31543" xr:uid="{00000000-0005-0000-0000-00006D5B0000}"/>
    <cellStyle name="40% - Accent6 2 2 6 2 3" xfId="13611" xr:uid="{00000000-0005-0000-0000-00006E5B0000}"/>
    <cellStyle name="40% - Accent6 2 2 6 2 3 2" xfId="24885" xr:uid="{00000000-0005-0000-0000-00006F5B0000}"/>
    <cellStyle name="40% - Accent6 2 2 6 2 3 3" xfId="33762" xr:uid="{00000000-0005-0000-0000-0000705B0000}"/>
    <cellStyle name="40% - Accent6 2 2 6 2 4" xfId="16061" xr:uid="{00000000-0005-0000-0000-0000715B0000}"/>
    <cellStyle name="40% - Accent6 2 2 6 2 4 2" xfId="27104" xr:uid="{00000000-0005-0000-0000-0000725B0000}"/>
    <cellStyle name="40% - Accent6 2 2 6 2 4 3" xfId="35981" xr:uid="{00000000-0005-0000-0000-0000735B0000}"/>
    <cellStyle name="40% - Accent6 2 2 6 2 5" xfId="20447" xr:uid="{00000000-0005-0000-0000-0000745B0000}"/>
    <cellStyle name="40% - Accent6 2 2 6 2 6" xfId="29324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3" xr:uid="{00000000-0005-0000-0000-0000785B0000}"/>
    <cellStyle name="40% - Accent6 2 2 6 3 2 3" xfId="30810" xr:uid="{00000000-0005-0000-0000-0000795B0000}"/>
    <cellStyle name="40% - Accent6 2 2 6 3 3" xfId="12878" xr:uid="{00000000-0005-0000-0000-00007A5B0000}"/>
    <cellStyle name="40% - Accent6 2 2 6 3 3 2" xfId="24152" xr:uid="{00000000-0005-0000-0000-00007B5B0000}"/>
    <cellStyle name="40% - Accent6 2 2 6 3 3 3" xfId="33029" xr:uid="{00000000-0005-0000-0000-00007C5B0000}"/>
    <cellStyle name="40% - Accent6 2 2 6 3 4" xfId="15328" xr:uid="{00000000-0005-0000-0000-00007D5B0000}"/>
    <cellStyle name="40% - Accent6 2 2 6 3 4 2" xfId="26371" xr:uid="{00000000-0005-0000-0000-00007E5B0000}"/>
    <cellStyle name="40% - Accent6 2 2 6 3 4 3" xfId="35248" xr:uid="{00000000-0005-0000-0000-00007F5B0000}"/>
    <cellStyle name="40% - Accent6 2 2 6 3 5" xfId="19714" xr:uid="{00000000-0005-0000-0000-0000805B0000}"/>
    <cellStyle name="40% - Accent6 2 2 6 3 6" xfId="28591" xr:uid="{00000000-0005-0000-0000-0000815B0000}"/>
    <cellStyle name="40% - Accent6 2 2 6 4" xfId="9687" xr:uid="{00000000-0005-0000-0000-0000825B0000}"/>
    <cellStyle name="40% - Accent6 2 2 6 4 2" xfId="21190" xr:uid="{00000000-0005-0000-0000-0000835B0000}"/>
    <cellStyle name="40% - Accent6 2 2 6 4 3" xfId="30067" xr:uid="{00000000-0005-0000-0000-0000845B0000}"/>
    <cellStyle name="40% - Accent6 2 2 6 5" xfId="12135" xr:uid="{00000000-0005-0000-0000-0000855B0000}"/>
    <cellStyle name="40% - Accent6 2 2 6 5 2" xfId="23409" xr:uid="{00000000-0005-0000-0000-0000865B0000}"/>
    <cellStyle name="40% - Accent6 2 2 6 5 3" xfId="32286" xr:uid="{00000000-0005-0000-0000-0000875B0000}"/>
    <cellStyle name="40% - Accent6 2 2 6 6" xfId="14356" xr:uid="{00000000-0005-0000-0000-0000885B0000}"/>
    <cellStyle name="40% - Accent6 2 2 6 6 2" xfId="25628" xr:uid="{00000000-0005-0000-0000-0000895B0000}"/>
    <cellStyle name="40% - Accent6 2 2 6 6 3" xfId="34505" xr:uid="{00000000-0005-0000-0000-00008A5B0000}"/>
    <cellStyle name="40% - Accent6 2 2 6 7" xfId="18965" xr:uid="{00000000-0005-0000-0000-00008B5B0000}"/>
    <cellStyle name="40% - Accent6 2 2 6 8" xfId="27846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7" xr:uid="{00000000-0005-0000-0000-0000905B0000}"/>
    <cellStyle name="40% - Accent6 2 2 7 2 2 3" xfId="31544" xr:uid="{00000000-0005-0000-0000-0000915B0000}"/>
    <cellStyle name="40% - Accent6 2 2 7 2 3" xfId="13612" xr:uid="{00000000-0005-0000-0000-0000925B0000}"/>
    <cellStyle name="40% - Accent6 2 2 7 2 3 2" xfId="24886" xr:uid="{00000000-0005-0000-0000-0000935B0000}"/>
    <cellStyle name="40% - Accent6 2 2 7 2 3 3" xfId="33763" xr:uid="{00000000-0005-0000-0000-0000945B0000}"/>
    <cellStyle name="40% - Accent6 2 2 7 2 4" xfId="16062" xr:uid="{00000000-0005-0000-0000-0000955B0000}"/>
    <cellStyle name="40% - Accent6 2 2 7 2 4 2" xfId="27105" xr:uid="{00000000-0005-0000-0000-0000965B0000}"/>
    <cellStyle name="40% - Accent6 2 2 7 2 4 3" xfId="35982" xr:uid="{00000000-0005-0000-0000-0000975B0000}"/>
    <cellStyle name="40% - Accent6 2 2 7 2 5" xfId="20448" xr:uid="{00000000-0005-0000-0000-0000985B0000}"/>
    <cellStyle name="40% - Accent6 2 2 7 2 6" xfId="29325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4" xr:uid="{00000000-0005-0000-0000-00009C5B0000}"/>
    <cellStyle name="40% - Accent6 2 2 7 3 2 3" xfId="30811" xr:uid="{00000000-0005-0000-0000-00009D5B0000}"/>
    <cellStyle name="40% - Accent6 2 2 7 3 3" xfId="12879" xr:uid="{00000000-0005-0000-0000-00009E5B0000}"/>
    <cellStyle name="40% - Accent6 2 2 7 3 3 2" xfId="24153" xr:uid="{00000000-0005-0000-0000-00009F5B0000}"/>
    <cellStyle name="40% - Accent6 2 2 7 3 3 3" xfId="33030" xr:uid="{00000000-0005-0000-0000-0000A05B0000}"/>
    <cellStyle name="40% - Accent6 2 2 7 3 4" xfId="15329" xr:uid="{00000000-0005-0000-0000-0000A15B0000}"/>
    <cellStyle name="40% - Accent6 2 2 7 3 4 2" xfId="26372" xr:uid="{00000000-0005-0000-0000-0000A25B0000}"/>
    <cellStyle name="40% - Accent6 2 2 7 3 4 3" xfId="35249" xr:uid="{00000000-0005-0000-0000-0000A35B0000}"/>
    <cellStyle name="40% - Accent6 2 2 7 3 5" xfId="19715" xr:uid="{00000000-0005-0000-0000-0000A45B0000}"/>
    <cellStyle name="40% - Accent6 2 2 7 3 6" xfId="28592" xr:uid="{00000000-0005-0000-0000-0000A55B0000}"/>
    <cellStyle name="40% - Accent6 2 2 7 4" xfId="9688" xr:uid="{00000000-0005-0000-0000-0000A65B0000}"/>
    <cellStyle name="40% - Accent6 2 2 7 4 2" xfId="21191" xr:uid="{00000000-0005-0000-0000-0000A75B0000}"/>
    <cellStyle name="40% - Accent6 2 2 7 4 3" xfId="30068" xr:uid="{00000000-0005-0000-0000-0000A85B0000}"/>
    <cellStyle name="40% - Accent6 2 2 7 5" xfId="12136" xr:uid="{00000000-0005-0000-0000-0000A95B0000}"/>
    <cellStyle name="40% - Accent6 2 2 7 5 2" xfId="23410" xr:uid="{00000000-0005-0000-0000-0000AA5B0000}"/>
    <cellStyle name="40% - Accent6 2 2 7 5 3" xfId="32287" xr:uid="{00000000-0005-0000-0000-0000AB5B0000}"/>
    <cellStyle name="40% - Accent6 2 2 7 6" xfId="14357" xr:uid="{00000000-0005-0000-0000-0000AC5B0000}"/>
    <cellStyle name="40% - Accent6 2 2 7 6 2" xfId="25629" xr:uid="{00000000-0005-0000-0000-0000AD5B0000}"/>
    <cellStyle name="40% - Accent6 2 2 7 6 3" xfId="34506" xr:uid="{00000000-0005-0000-0000-0000AE5B0000}"/>
    <cellStyle name="40% - Accent6 2 2 7 7" xfId="18966" xr:uid="{00000000-0005-0000-0000-0000AF5B0000}"/>
    <cellStyle name="40% - Accent6 2 2 7 8" xfId="27847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8" xr:uid="{00000000-0005-0000-0000-0000B45B0000}"/>
    <cellStyle name="40% - Accent6 2 2 8 2 2 3" xfId="31545" xr:uid="{00000000-0005-0000-0000-0000B55B0000}"/>
    <cellStyle name="40% - Accent6 2 2 8 2 3" xfId="13613" xr:uid="{00000000-0005-0000-0000-0000B65B0000}"/>
    <cellStyle name="40% - Accent6 2 2 8 2 3 2" xfId="24887" xr:uid="{00000000-0005-0000-0000-0000B75B0000}"/>
    <cellStyle name="40% - Accent6 2 2 8 2 3 3" xfId="33764" xr:uid="{00000000-0005-0000-0000-0000B85B0000}"/>
    <cellStyle name="40% - Accent6 2 2 8 2 4" xfId="16063" xr:uid="{00000000-0005-0000-0000-0000B95B0000}"/>
    <cellStyle name="40% - Accent6 2 2 8 2 4 2" xfId="27106" xr:uid="{00000000-0005-0000-0000-0000BA5B0000}"/>
    <cellStyle name="40% - Accent6 2 2 8 2 4 3" xfId="35983" xr:uid="{00000000-0005-0000-0000-0000BB5B0000}"/>
    <cellStyle name="40% - Accent6 2 2 8 2 5" xfId="20449" xr:uid="{00000000-0005-0000-0000-0000BC5B0000}"/>
    <cellStyle name="40% - Accent6 2 2 8 2 6" xfId="29326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5" xr:uid="{00000000-0005-0000-0000-0000C05B0000}"/>
    <cellStyle name="40% - Accent6 2 2 8 3 2 3" xfId="30812" xr:uid="{00000000-0005-0000-0000-0000C15B0000}"/>
    <cellStyle name="40% - Accent6 2 2 8 3 3" xfId="12880" xr:uid="{00000000-0005-0000-0000-0000C25B0000}"/>
    <cellStyle name="40% - Accent6 2 2 8 3 3 2" xfId="24154" xr:uid="{00000000-0005-0000-0000-0000C35B0000}"/>
    <cellStyle name="40% - Accent6 2 2 8 3 3 3" xfId="33031" xr:uid="{00000000-0005-0000-0000-0000C45B0000}"/>
    <cellStyle name="40% - Accent6 2 2 8 3 4" xfId="15330" xr:uid="{00000000-0005-0000-0000-0000C55B0000}"/>
    <cellStyle name="40% - Accent6 2 2 8 3 4 2" xfId="26373" xr:uid="{00000000-0005-0000-0000-0000C65B0000}"/>
    <cellStyle name="40% - Accent6 2 2 8 3 4 3" xfId="35250" xr:uid="{00000000-0005-0000-0000-0000C75B0000}"/>
    <cellStyle name="40% - Accent6 2 2 8 3 5" xfId="19716" xr:uid="{00000000-0005-0000-0000-0000C85B0000}"/>
    <cellStyle name="40% - Accent6 2 2 8 3 6" xfId="28593" xr:uid="{00000000-0005-0000-0000-0000C95B0000}"/>
    <cellStyle name="40% - Accent6 2 2 8 4" xfId="9689" xr:uid="{00000000-0005-0000-0000-0000CA5B0000}"/>
    <cellStyle name="40% - Accent6 2 2 8 4 2" xfId="21192" xr:uid="{00000000-0005-0000-0000-0000CB5B0000}"/>
    <cellStyle name="40% - Accent6 2 2 8 4 3" xfId="30069" xr:uid="{00000000-0005-0000-0000-0000CC5B0000}"/>
    <cellStyle name="40% - Accent6 2 2 8 5" xfId="12137" xr:uid="{00000000-0005-0000-0000-0000CD5B0000}"/>
    <cellStyle name="40% - Accent6 2 2 8 5 2" xfId="23411" xr:uid="{00000000-0005-0000-0000-0000CE5B0000}"/>
    <cellStyle name="40% - Accent6 2 2 8 5 3" xfId="32288" xr:uid="{00000000-0005-0000-0000-0000CF5B0000}"/>
    <cellStyle name="40% - Accent6 2 2 8 6" xfId="14358" xr:uid="{00000000-0005-0000-0000-0000D05B0000}"/>
    <cellStyle name="40% - Accent6 2 2 8 6 2" xfId="25630" xr:uid="{00000000-0005-0000-0000-0000D15B0000}"/>
    <cellStyle name="40% - Accent6 2 2 8 6 3" xfId="34507" xr:uid="{00000000-0005-0000-0000-0000D25B0000}"/>
    <cellStyle name="40% - Accent6 2 2 8 7" xfId="18967" xr:uid="{00000000-0005-0000-0000-0000D35B0000}"/>
    <cellStyle name="40% - Accent6 2 2 8 8" xfId="27848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69" xr:uid="{00000000-0005-0000-0000-0000D85B0000}"/>
    <cellStyle name="40% - Accent6 2 2 9 2 2 3" xfId="31546" xr:uid="{00000000-0005-0000-0000-0000D95B0000}"/>
    <cellStyle name="40% - Accent6 2 2 9 2 3" xfId="13614" xr:uid="{00000000-0005-0000-0000-0000DA5B0000}"/>
    <cellStyle name="40% - Accent6 2 2 9 2 3 2" xfId="24888" xr:uid="{00000000-0005-0000-0000-0000DB5B0000}"/>
    <cellStyle name="40% - Accent6 2 2 9 2 3 3" xfId="33765" xr:uid="{00000000-0005-0000-0000-0000DC5B0000}"/>
    <cellStyle name="40% - Accent6 2 2 9 2 4" xfId="16064" xr:uid="{00000000-0005-0000-0000-0000DD5B0000}"/>
    <cellStyle name="40% - Accent6 2 2 9 2 4 2" xfId="27107" xr:uid="{00000000-0005-0000-0000-0000DE5B0000}"/>
    <cellStyle name="40% - Accent6 2 2 9 2 4 3" xfId="35984" xr:uid="{00000000-0005-0000-0000-0000DF5B0000}"/>
    <cellStyle name="40% - Accent6 2 2 9 2 5" xfId="20450" xr:uid="{00000000-0005-0000-0000-0000E05B0000}"/>
    <cellStyle name="40% - Accent6 2 2 9 2 6" xfId="29327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6" xr:uid="{00000000-0005-0000-0000-0000E45B0000}"/>
    <cellStyle name="40% - Accent6 2 2 9 3 2 3" xfId="30813" xr:uid="{00000000-0005-0000-0000-0000E55B0000}"/>
    <cellStyle name="40% - Accent6 2 2 9 3 3" xfId="12881" xr:uid="{00000000-0005-0000-0000-0000E65B0000}"/>
    <cellStyle name="40% - Accent6 2 2 9 3 3 2" xfId="24155" xr:uid="{00000000-0005-0000-0000-0000E75B0000}"/>
    <cellStyle name="40% - Accent6 2 2 9 3 3 3" xfId="33032" xr:uid="{00000000-0005-0000-0000-0000E85B0000}"/>
    <cellStyle name="40% - Accent6 2 2 9 3 4" xfId="15331" xr:uid="{00000000-0005-0000-0000-0000E95B0000}"/>
    <cellStyle name="40% - Accent6 2 2 9 3 4 2" xfId="26374" xr:uid="{00000000-0005-0000-0000-0000EA5B0000}"/>
    <cellStyle name="40% - Accent6 2 2 9 3 4 3" xfId="35251" xr:uid="{00000000-0005-0000-0000-0000EB5B0000}"/>
    <cellStyle name="40% - Accent6 2 2 9 3 5" xfId="19717" xr:uid="{00000000-0005-0000-0000-0000EC5B0000}"/>
    <cellStyle name="40% - Accent6 2 2 9 3 6" xfId="28594" xr:uid="{00000000-0005-0000-0000-0000ED5B0000}"/>
    <cellStyle name="40% - Accent6 2 2 9 4" xfId="9690" xr:uid="{00000000-0005-0000-0000-0000EE5B0000}"/>
    <cellStyle name="40% - Accent6 2 2 9 4 2" xfId="21193" xr:uid="{00000000-0005-0000-0000-0000EF5B0000}"/>
    <cellStyle name="40% - Accent6 2 2 9 4 3" xfId="30070" xr:uid="{00000000-0005-0000-0000-0000F05B0000}"/>
    <cellStyle name="40% - Accent6 2 2 9 5" xfId="12138" xr:uid="{00000000-0005-0000-0000-0000F15B0000}"/>
    <cellStyle name="40% - Accent6 2 2 9 5 2" xfId="23412" xr:uid="{00000000-0005-0000-0000-0000F25B0000}"/>
    <cellStyle name="40% - Accent6 2 2 9 5 3" xfId="32289" xr:uid="{00000000-0005-0000-0000-0000F35B0000}"/>
    <cellStyle name="40% - Accent6 2 2 9 6" xfId="14359" xr:uid="{00000000-0005-0000-0000-0000F45B0000}"/>
    <cellStyle name="40% - Accent6 2 2 9 6 2" xfId="25631" xr:uid="{00000000-0005-0000-0000-0000F55B0000}"/>
    <cellStyle name="40% - Accent6 2 2 9 6 3" xfId="34508" xr:uid="{00000000-0005-0000-0000-0000F65B0000}"/>
    <cellStyle name="40% - Accent6 2 2 9 7" xfId="18968" xr:uid="{00000000-0005-0000-0000-0000F75B0000}"/>
    <cellStyle name="40% - Accent6 2 2 9 8" xfId="27849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0" xr:uid="{00000000-0005-0000-0000-0000FC5B0000}"/>
    <cellStyle name="40% - Accent6 2 3 10 2 3" xfId="31547" xr:uid="{00000000-0005-0000-0000-0000FD5B0000}"/>
    <cellStyle name="40% - Accent6 2 3 10 3" xfId="13615" xr:uid="{00000000-0005-0000-0000-0000FE5B0000}"/>
    <cellStyle name="40% - Accent6 2 3 10 3 2" xfId="24889" xr:uid="{00000000-0005-0000-0000-0000FF5B0000}"/>
    <cellStyle name="40% - Accent6 2 3 10 3 3" xfId="33766" xr:uid="{00000000-0005-0000-0000-0000005C0000}"/>
    <cellStyle name="40% - Accent6 2 3 10 4" xfId="16065" xr:uid="{00000000-0005-0000-0000-0000015C0000}"/>
    <cellStyle name="40% - Accent6 2 3 10 4 2" xfId="27108" xr:uid="{00000000-0005-0000-0000-0000025C0000}"/>
    <cellStyle name="40% - Accent6 2 3 10 4 3" xfId="35985" xr:uid="{00000000-0005-0000-0000-0000035C0000}"/>
    <cellStyle name="40% - Accent6 2 3 10 5" xfId="20451" xr:uid="{00000000-0005-0000-0000-0000045C0000}"/>
    <cellStyle name="40% - Accent6 2 3 10 6" xfId="29328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7" xr:uid="{00000000-0005-0000-0000-0000085C0000}"/>
    <cellStyle name="40% - Accent6 2 3 11 2 3" xfId="30814" xr:uid="{00000000-0005-0000-0000-0000095C0000}"/>
    <cellStyle name="40% - Accent6 2 3 11 3" xfId="12882" xr:uid="{00000000-0005-0000-0000-00000A5C0000}"/>
    <cellStyle name="40% - Accent6 2 3 11 3 2" xfId="24156" xr:uid="{00000000-0005-0000-0000-00000B5C0000}"/>
    <cellStyle name="40% - Accent6 2 3 11 3 3" xfId="33033" xr:uid="{00000000-0005-0000-0000-00000C5C0000}"/>
    <cellStyle name="40% - Accent6 2 3 11 4" xfId="15332" xr:uid="{00000000-0005-0000-0000-00000D5C0000}"/>
    <cellStyle name="40% - Accent6 2 3 11 4 2" xfId="26375" xr:uid="{00000000-0005-0000-0000-00000E5C0000}"/>
    <cellStyle name="40% - Accent6 2 3 11 4 3" xfId="35252" xr:uid="{00000000-0005-0000-0000-00000F5C0000}"/>
    <cellStyle name="40% - Accent6 2 3 11 5" xfId="19718" xr:uid="{00000000-0005-0000-0000-0000105C0000}"/>
    <cellStyle name="40% - Accent6 2 3 11 6" xfId="28595" xr:uid="{00000000-0005-0000-0000-0000115C0000}"/>
    <cellStyle name="40% - Accent6 2 3 12" xfId="9691" xr:uid="{00000000-0005-0000-0000-0000125C0000}"/>
    <cellStyle name="40% - Accent6 2 3 12 2" xfId="21194" xr:uid="{00000000-0005-0000-0000-0000135C0000}"/>
    <cellStyle name="40% - Accent6 2 3 12 3" xfId="30071" xr:uid="{00000000-0005-0000-0000-0000145C0000}"/>
    <cellStyle name="40% - Accent6 2 3 13" xfId="12139" xr:uid="{00000000-0005-0000-0000-0000155C0000}"/>
    <cellStyle name="40% - Accent6 2 3 13 2" xfId="23413" xr:uid="{00000000-0005-0000-0000-0000165C0000}"/>
    <cellStyle name="40% - Accent6 2 3 13 3" xfId="32290" xr:uid="{00000000-0005-0000-0000-0000175C0000}"/>
    <cellStyle name="40% - Accent6 2 3 14" xfId="14360" xr:uid="{00000000-0005-0000-0000-0000185C0000}"/>
    <cellStyle name="40% - Accent6 2 3 14 2" xfId="25632" xr:uid="{00000000-0005-0000-0000-0000195C0000}"/>
    <cellStyle name="40% - Accent6 2 3 14 3" xfId="34509" xr:uid="{00000000-0005-0000-0000-00001A5C0000}"/>
    <cellStyle name="40% - Accent6 2 3 15" xfId="18969" xr:uid="{00000000-0005-0000-0000-00001B5C0000}"/>
    <cellStyle name="40% - Accent6 2 3 16" xfId="27850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1" xr:uid="{00000000-0005-0000-0000-0000205C0000}"/>
    <cellStyle name="40% - Accent6 2 3 2 2 2 3" xfId="31548" xr:uid="{00000000-0005-0000-0000-0000215C0000}"/>
    <cellStyle name="40% - Accent6 2 3 2 2 3" xfId="13616" xr:uid="{00000000-0005-0000-0000-0000225C0000}"/>
    <cellStyle name="40% - Accent6 2 3 2 2 3 2" xfId="24890" xr:uid="{00000000-0005-0000-0000-0000235C0000}"/>
    <cellStyle name="40% - Accent6 2 3 2 2 3 3" xfId="33767" xr:uid="{00000000-0005-0000-0000-0000245C0000}"/>
    <cellStyle name="40% - Accent6 2 3 2 2 4" xfId="16066" xr:uid="{00000000-0005-0000-0000-0000255C0000}"/>
    <cellStyle name="40% - Accent6 2 3 2 2 4 2" xfId="27109" xr:uid="{00000000-0005-0000-0000-0000265C0000}"/>
    <cellStyle name="40% - Accent6 2 3 2 2 4 3" xfId="35986" xr:uid="{00000000-0005-0000-0000-0000275C0000}"/>
    <cellStyle name="40% - Accent6 2 3 2 2 5" xfId="20452" xr:uid="{00000000-0005-0000-0000-0000285C0000}"/>
    <cellStyle name="40% - Accent6 2 3 2 2 6" xfId="29329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8" xr:uid="{00000000-0005-0000-0000-00002C5C0000}"/>
    <cellStyle name="40% - Accent6 2 3 2 3 2 3" xfId="30815" xr:uid="{00000000-0005-0000-0000-00002D5C0000}"/>
    <cellStyle name="40% - Accent6 2 3 2 3 3" xfId="12883" xr:uid="{00000000-0005-0000-0000-00002E5C0000}"/>
    <cellStyle name="40% - Accent6 2 3 2 3 3 2" xfId="24157" xr:uid="{00000000-0005-0000-0000-00002F5C0000}"/>
    <cellStyle name="40% - Accent6 2 3 2 3 3 3" xfId="33034" xr:uid="{00000000-0005-0000-0000-0000305C0000}"/>
    <cellStyle name="40% - Accent6 2 3 2 3 4" xfId="15333" xr:uid="{00000000-0005-0000-0000-0000315C0000}"/>
    <cellStyle name="40% - Accent6 2 3 2 3 4 2" xfId="26376" xr:uid="{00000000-0005-0000-0000-0000325C0000}"/>
    <cellStyle name="40% - Accent6 2 3 2 3 4 3" xfId="35253" xr:uid="{00000000-0005-0000-0000-0000335C0000}"/>
    <cellStyle name="40% - Accent6 2 3 2 3 5" xfId="19719" xr:uid="{00000000-0005-0000-0000-0000345C0000}"/>
    <cellStyle name="40% - Accent6 2 3 2 3 6" xfId="28596" xr:uid="{00000000-0005-0000-0000-0000355C0000}"/>
    <cellStyle name="40% - Accent6 2 3 2 4" xfId="9692" xr:uid="{00000000-0005-0000-0000-0000365C0000}"/>
    <cellStyle name="40% - Accent6 2 3 2 4 2" xfId="21195" xr:uid="{00000000-0005-0000-0000-0000375C0000}"/>
    <cellStyle name="40% - Accent6 2 3 2 4 3" xfId="30072" xr:uid="{00000000-0005-0000-0000-0000385C0000}"/>
    <cellStyle name="40% - Accent6 2 3 2 5" xfId="12140" xr:uid="{00000000-0005-0000-0000-0000395C0000}"/>
    <cellStyle name="40% - Accent6 2 3 2 5 2" xfId="23414" xr:uid="{00000000-0005-0000-0000-00003A5C0000}"/>
    <cellStyle name="40% - Accent6 2 3 2 5 3" xfId="32291" xr:uid="{00000000-0005-0000-0000-00003B5C0000}"/>
    <cellStyle name="40% - Accent6 2 3 2 6" xfId="14361" xr:uid="{00000000-0005-0000-0000-00003C5C0000}"/>
    <cellStyle name="40% - Accent6 2 3 2 6 2" xfId="25633" xr:uid="{00000000-0005-0000-0000-00003D5C0000}"/>
    <cellStyle name="40% - Accent6 2 3 2 6 3" xfId="34510" xr:uid="{00000000-0005-0000-0000-00003E5C0000}"/>
    <cellStyle name="40% - Accent6 2 3 2 7" xfId="18970" xr:uid="{00000000-0005-0000-0000-00003F5C0000}"/>
    <cellStyle name="40% - Accent6 2 3 2 8" xfId="27851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2" xr:uid="{00000000-0005-0000-0000-0000445C0000}"/>
    <cellStyle name="40% - Accent6 2 3 3 2 2 3" xfId="31549" xr:uid="{00000000-0005-0000-0000-0000455C0000}"/>
    <cellStyle name="40% - Accent6 2 3 3 2 3" xfId="13617" xr:uid="{00000000-0005-0000-0000-0000465C0000}"/>
    <cellStyle name="40% - Accent6 2 3 3 2 3 2" xfId="24891" xr:uid="{00000000-0005-0000-0000-0000475C0000}"/>
    <cellStyle name="40% - Accent6 2 3 3 2 3 3" xfId="33768" xr:uid="{00000000-0005-0000-0000-0000485C0000}"/>
    <cellStyle name="40% - Accent6 2 3 3 2 4" xfId="16067" xr:uid="{00000000-0005-0000-0000-0000495C0000}"/>
    <cellStyle name="40% - Accent6 2 3 3 2 4 2" xfId="27110" xr:uid="{00000000-0005-0000-0000-00004A5C0000}"/>
    <cellStyle name="40% - Accent6 2 3 3 2 4 3" xfId="35987" xr:uid="{00000000-0005-0000-0000-00004B5C0000}"/>
    <cellStyle name="40% - Accent6 2 3 3 2 5" xfId="20453" xr:uid="{00000000-0005-0000-0000-00004C5C0000}"/>
    <cellStyle name="40% - Accent6 2 3 3 2 6" xfId="29330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39" xr:uid="{00000000-0005-0000-0000-0000505C0000}"/>
    <cellStyle name="40% - Accent6 2 3 3 3 2 3" xfId="30816" xr:uid="{00000000-0005-0000-0000-0000515C0000}"/>
    <cellStyle name="40% - Accent6 2 3 3 3 3" xfId="12884" xr:uid="{00000000-0005-0000-0000-0000525C0000}"/>
    <cellStyle name="40% - Accent6 2 3 3 3 3 2" xfId="24158" xr:uid="{00000000-0005-0000-0000-0000535C0000}"/>
    <cellStyle name="40% - Accent6 2 3 3 3 3 3" xfId="33035" xr:uid="{00000000-0005-0000-0000-0000545C0000}"/>
    <cellStyle name="40% - Accent6 2 3 3 3 4" xfId="15334" xr:uid="{00000000-0005-0000-0000-0000555C0000}"/>
    <cellStyle name="40% - Accent6 2 3 3 3 4 2" xfId="26377" xr:uid="{00000000-0005-0000-0000-0000565C0000}"/>
    <cellStyle name="40% - Accent6 2 3 3 3 4 3" xfId="35254" xr:uid="{00000000-0005-0000-0000-0000575C0000}"/>
    <cellStyle name="40% - Accent6 2 3 3 3 5" xfId="19720" xr:uid="{00000000-0005-0000-0000-0000585C0000}"/>
    <cellStyle name="40% - Accent6 2 3 3 3 6" xfId="28597" xr:uid="{00000000-0005-0000-0000-0000595C0000}"/>
    <cellStyle name="40% - Accent6 2 3 3 4" xfId="9693" xr:uid="{00000000-0005-0000-0000-00005A5C0000}"/>
    <cellStyle name="40% - Accent6 2 3 3 4 2" xfId="21196" xr:uid="{00000000-0005-0000-0000-00005B5C0000}"/>
    <cellStyle name="40% - Accent6 2 3 3 4 3" xfId="30073" xr:uid="{00000000-0005-0000-0000-00005C5C0000}"/>
    <cellStyle name="40% - Accent6 2 3 3 5" xfId="12141" xr:uid="{00000000-0005-0000-0000-00005D5C0000}"/>
    <cellStyle name="40% - Accent6 2 3 3 5 2" xfId="23415" xr:uid="{00000000-0005-0000-0000-00005E5C0000}"/>
    <cellStyle name="40% - Accent6 2 3 3 5 3" xfId="32292" xr:uid="{00000000-0005-0000-0000-00005F5C0000}"/>
    <cellStyle name="40% - Accent6 2 3 3 6" xfId="14362" xr:uid="{00000000-0005-0000-0000-0000605C0000}"/>
    <cellStyle name="40% - Accent6 2 3 3 6 2" xfId="25634" xr:uid="{00000000-0005-0000-0000-0000615C0000}"/>
    <cellStyle name="40% - Accent6 2 3 3 6 3" xfId="34511" xr:uid="{00000000-0005-0000-0000-0000625C0000}"/>
    <cellStyle name="40% - Accent6 2 3 3 7" xfId="18971" xr:uid="{00000000-0005-0000-0000-0000635C0000}"/>
    <cellStyle name="40% - Accent6 2 3 3 8" xfId="27852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3" xr:uid="{00000000-0005-0000-0000-0000685C0000}"/>
    <cellStyle name="40% - Accent6 2 3 4 2 2 3" xfId="31550" xr:uid="{00000000-0005-0000-0000-0000695C0000}"/>
    <cellStyle name="40% - Accent6 2 3 4 2 3" xfId="13618" xr:uid="{00000000-0005-0000-0000-00006A5C0000}"/>
    <cellStyle name="40% - Accent6 2 3 4 2 3 2" xfId="24892" xr:uid="{00000000-0005-0000-0000-00006B5C0000}"/>
    <cellStyle name="40% - Accent6 2 3 4 2 3 3" xfId="33769" xr:uid="{00000000-0005-0000-0000-00006C5C0000}"/>
    <cellStyle name="40% - Accent6 2 3 4 2 4" xfId="16068" xr:uid="{00000000-0005-0000-0000-00006D5C0000}"/>
    <cellStyle name="40% - Accent6 2 3 4 2 4 2" xfId="27111" xr:uid="{00000000-0005-0000-0000-00006E5C0000}"/>
    <cellStyle name="40% - Accent6 2 3 4 2 4 3" xfId="35988" xr:uid="{00000000-0005-0000-0000-00006F5C0000}"/>
    <cellStyle name="40% - Accent6 2 3 4 2 5" xfId="20454" xr:uid="{00000000-0005-0000-0000-0000705C0000}"/>
    <cellStyle name="40% - Accent6 2 3 4 2 6" xfId="29331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0" xr:uid="{00000000-0005-0000-0000-0000745C0000}"/>
    <cellStyle name="40% - Accent6 2 3 4 3 2 3" xfId="30817" xr:uid="{00000000-0005-0000-0000-0000755C0000}"/>
    <cellStyle name="40% - Accent6 2 3 4 3 3" xfId="12885" xr:uid="{00000000-0005-0000-0000-0000765C0000}"/>
    <cellStyle name="40% - Accent6 2 3 4 3 3 2" xfId="24159" xr:uid="{00000000-0005-0000-0000-0000775C0000}"/>
    <cellStyle name="40% - Accent6 2 3 4 3 3 3" xfId="33036" xr:uid="{00000000-0005-0000-0000-0000785C0000}"/>
    <cellStyle name="40% - Accent6 2 3 4 3 4" xfId="15335" xr:uid="{00000000-0005-0000-0000-0000795C0000}"/>
    <cellStyle name="40% - Accent6 2 3 4 3 4 2" xfId="26378" xr:uid="{00000000-0005-0000-0000-00007A5C0000}"/>
    <cellStyle name="40% - Accent6 2 3 4 3 4 3" xfId="35255" xr:uid="{00000000-0005-0000-0000-00007B5C0000}"/>
    <cellStyle name="40% - Accent6 2 3 4 3 5" xfId="19721" xr:uid="{00000000-0005-0000-0000-00007C5C0000}"/>
    <cellStyle name="40% - Accent6 2 3 4 3 6" xfId="28598" xr:uid="{00000000-0005-0000-0000-00007D5C0000}"/>
    <cellStyle name="40% - Accent6 2 3 4 4" xfId="9694" xr:uid="{00000000-0005-0000-0000-00007E5C0000}"/>
    <cellStyle name="40% - Accent6 2 3 4 4 2" xfId="21197" xr:uid="{00000000-0005-0000-0000-00007F5C0000}"/>
    <cellStyle name="40% - Accent6 2 3 4 4 3" xfId="30074" xr:uid="{00000000-0005-0000-0000-0000805C0000}"/>
    <cellStyle name="40% - Accent6 2 3 4 5" xfId="12142" xr:uid="{00000000-0005-0000-0000-0000815C0000}"/>
    <cellStyle name="40% - Accent6 2 3 4 5 2" xfId="23416" xr:uid="{00000000-0005-0000-0000-0000825C0000}"/>
    <cellStyle name="40% - Accent6 2 3 4 5 3" xfId="32293" xr:uid="{00000000-0005-0000-0000-0000835C0000}"/>
    <cellStyle name="40% - Accent6 2 3 4 6" xfId="14363" xr:uid="{00000000-0005-0000-0000-0000845C0000}"/>
    <cellStyle name="40% - Accent6 2 3 4 6 2" xfId="25635" xr:uid="{00000000-0005-0000-0000-0000855C0000}"/>
    <cellStyle name="40% - Accent6 2 3 4 6 3" xfId="34512" xr:uid="{00000000-0005-0000-0000-0000865C0000}"/>
    <cellStyle name="40% - Accent6 2 3 4 7" xfId="18972" xr:uid="{00000000-0005-0000-0000-0000875C0000}"/>
    <cellStyle name="40% - Accent6 2 3 4 8" xfId="27853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4" xr:uid="{00000000-0005-0000-0000-00008C5C0000}"/>
    <cellStyle name="40% - Accent6 2 3 5 2 2 3" xfId="31551" xr:uid="{00000000-0005-0000-0000-00008D5C0000}"/>
    <cellStyle name="40% - Accent6 2 3 5 2 3" xfId="13619" xr:uid="{00000000-0005-0000-0000-00008E5C0000}"/>
    <cellStyle name="40% - Accent6 2 3 5 2 3 2" xfId="24893" xr:uid="{00000000-0005-0000-0000-00008F5C0000}"/>
    <cellStyle name="40% - Accent6 2 3 5 2 3 3" xfId="33770" xr:uid="{00000000-0005-0000-0000-0000905C0000}"/>
    <cellStyle name="40% - Accent6 2 3 5 2 4" xfId="16069" xr:uid="{00000000-0005-0000-0000-0000915C0000}"/>
    <cellStyle name="40% - Accent6 2 3 5 2 4 2" xfId="27112" xr:uid="{00000000-0005-0000-0000-0000925C0000}"/>
    <cellStyle name="40% - Accent6 2 3 5 2 4 3" xfId="35989" xr:uid="{00000000-0005-0000-0000-0000935C0000}"/>
    <cellStyle name="40% - Accent6 2 3 5 2 5" xfId="20455" xr:uid="{00000000-0005-0000-0000-0000945C0000}"/>
    <cellStyle name="40% - Accent6 2 3 5 2 6" xfId="29332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1" xr:uid="{00000000-0005-0000-0000-0000985C0000}"/>
    <cellStyle name="40% - Accent6 2 3 5 3 2 3" xfId="30818" xr:uid="{00000000-0005-0000-0000-0000995C0000}"/>
    <cellStyle name="40% - Accent6 2 3 5 3 3" xfId="12886" xr:uid="{00000000-0005-0000-0000-00009A5C0000}"/>
    <cellStyle name="40% - Accent6 2 3 5 3 3 2" xfId="24160" xr:uid="{00000000-0005-0000-0000-00009B5C0000}"/>
    <cellStyle name="40% - Accent6 2 3 5 3 3 3" xfId="33037" xr:uid="{00000000-0005-0000-0000-00009C5C0000}"/>
    <cellStyle name="40% - Accent6 2 3 5 3 4" xfId="15336" xr:uid="{00000000-0005-0000-0000-00009D5C0000}"/>
    <cellStyle name="40% - Accent6 2 3 5 3 4 2" xfId="26379" xr:uid="{00000000-0005-0000-0000-00009E5C0000}"/>
    <cellStyle name="40% - Accent6 2 3 5 3 4 3" xfId="35256" xr:uid="{00000000-0005-0000-0000-00009F5C0000}"/>
    <cellStyle name="40% - Accent6 2 3 5 3 5" xfId="19722" xr:uid="{00000000-0005-0000-0000-0000A05C0000}"/>
    <cellStyle name="40% - Accent6 2 3 5 3 6" xfId="28599" xr:uid="{00000000-0005-0000-0000-0000A15C0000}"/>
    <cellStyle name="40% - Accent6 2 3 5 4" xfId="9695" xr:uid="{00000000-0005-0000-0000-0000A25C0000}"/>
    <cellStyle name="40% - Accent6 2 3 5 4 2" xfId="21198" xr:uid="{00000000-0005-0000-0000-0000A35C0000}"/>
    <cellStyle name="40% - Accent6 2 3 5 4 3" xfId="30075" xr:uid="{00000000-0005-0000-0000-0000A45C0000}"/>
    <cellStyle name="40% - Accent6 2 3 5 5" xfId="12143" xr:uid="{00000000-0005-0000-0000-0000A55C0000}"/>
    <cellStyle name="40% - Accent6 2 3 5 5 2" xfId="23417" xr:uid="{00000000-0005-0000-0000-0000A65C0000}"/>
    <cellStyle name="40% - Accent6 2 3 5 5 3" xfId="32294" xr:uid="{00000000-0005-0000-0000-0000A75C0000}"/>
    <cellStyle name="40% - Accent6 2 3 5 6" xfId="14364" xr:uid="{00000000-0005-0000-0000-0000A85C0000}"/>
    <cellStyle name="40% - Accent6 2 3 5 6 2" xfId="25636" xr:uid="{00000000-0005-0000-0000-0000A95C0000}"/>
    <cellStyle name="40% - Accent6 2 3 5 6 3" xfId="34513" xr:uid="{00000000-0005-0000-0000-0000AA5C0000}"/>
    <cellStyle name="40% - Accent6 2 3 5 7" xfId="18973" xr:uid="{00000000-0005-0000-0000-0000AB5C0000}"/>
    <cellStyle name="40% - Accent6 2 3 5 8" xfId="27854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5" xr:uid="{00000000-0005-0000-0000-0000B05C0000}"/>
    <cellStyle name="40% - Accent6 2 3 6 2 2 3" xfId="31552" xr:uid="{00000000-0005-0000-0000-0000B15C0000}"/>
    <cellStyle name="40% - Accent6 2 3 6 2 3" xfId="13620" xr:uid="{00000000-0005-0000-0000-0000B25C0000}"/>
    <cellStyle name="40% - Accent6 2 3 6 2 3 2" xfId="24894" xr:uid="{00000000-0005-0000-0000-0000B35C0000}"/>
    <cellStyle name="40% - Accent6 2 3 6 2 3 3" xfId="33771" xr:uid="{00000000-0005-0000-0000-0000B45C0000}"/>
    <cellStyle name="40% - Accent6 2 3 6 2 4" xfId="16070" xr:uid="{00000000-0005-0000-0000-0000B55C0000}"/>
    <cellStyle name="40% - Accent6 2 3 6 2 4 2" xfId="27113" xr:uid="{00000000-0005-0000-0000-0000B65C0000}"/>
    <cellStyle name="40% - Accent6 2 3 6 2 4 3" xfId="35990" xr:uid="{00000000-0005-0000-0000-0000B75C0000}"/>
    <cellStyle name="40% - Accent6 2 3 6 2 5" xfId="20456" xr:uid="{00000000-0005-0000-0000-0000B85C0000}"/>
    <cellStyle name="40% - Accent6 2 3 6 2 6" xfId="29333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2" xr:uid="{00000000-0005-0000-0000-0000BC5C0000}"/>
    <cellStyle name="40% - Accent6 2 3 6 3 2 3" xfId="30819" xr:uid="{00000000-0005-0000-0000-0000BD5C0000}"/>
    <cellStyle name="40% - Accent6 2 3 6 3 3" xfId="12887" xr:uid="{00000000-0005-0000-0000-0000BE5C0000}"/>
    <cellStyle name="40% - Accent6 2 3 6 3 3 2" xfId="24161" xr:uid="{00000000-0005-0000-0000-0000BF5C0000}"/>
    <cellStyle name="40% - Accent6 2 3 6 3 3 3" xfId="33038" xr:uid="{00000000-0005-0000-0000-0000C05C0000}"/>
    <cellStyle name="40% - Accent6 2 3 6 3 4" xfId="15337" xr:uid="{00000000-0005-0000-0000-0000C15C0000}"/>
    <cellStyle name="40% - Accent6 2 3 6 3 4 2" xfId="26380" xr:uid="{00000000-0005-0000-0000-0000C25C0000}"/>
    <cellStyle name="40% - Accent6 2 3 6 3 4 3" xfId="35257" xr:uid="{00000000-0005-0000-0000-0000C35C0000}"/>
    <cellStyle name="40% - Accent6 2 3 6 3 5" xfId="19723" xr:uid="{00000000-0005-0000-0000-0000C45C0000}"/>
    <cellStyle name="40% - Accent6 2 3 6 3 6" xfId="28600" xr:uid="{00000000-0005-0000-0000-0000C55C0000}"/>
    <cellStyle name="40% - Accent6 2 3 6 4" xfId="9696" xr:uid="{00000000-0005-0000-0000-0000C65C0000}"/>
    <cellStyle name="40% - Accent6 2 3 6 4 2" xfId="21199" xr:uid="{00000000-0005-0000-0000-0000C75C0000}"/>
    <cellStyle name="40% - Accent6 2 3 6 4 3" xfId="30076" xr:uid="{00000000-0005-0000-0000-0000C85C0000}"/>
    <cellStyle name="40% - Accent6 2 3 6 5" xfId="12144" xr:uid="{00000000-0005-0000-0000-0000C95C0000}"/>
    <cellStyle name="40% - Accent6 2 3 6 5 2" xfId="23418" xr:uid="{00000000-0005-0000-0000-0000CA5C0000}"/>
    <cellStyle name="40% - Accent6 2 3 6 5 3" xfId="32295" xr:uid="{00000000-0005-0000-0000-0000CB5C0000}"/>
    <cellStyle name="40% - Accent6 2 3 6 6" xfId="14365" xr:uid="{00000000-0005-0000-0000-0000CC5C0000}"/>
    <cellStyle name="40% - Accent6 2 3 6 6 2" xfId="25637" xr:uid="{00000000-0005-0000-0000-0000CD5C0000}"/>
    <cellStyle name="40% - Accent6 2 3 6 6 3" xfId="34514" xr:uid="{00000000-0005-0000-0000-0000CE5C0000}"/>
    <cellStyle name="40% - Accent6 2 3 6 7" xfId="18974" xr:uid="{00000000-0005-0000-0000-0000CF5C0000}"/>
    <cellStyle name="40% - Accent6 2 3 6 8" xfId="27855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6" xr:uid="{00000000-0005-0000-0000-0000D45C0000}"/>
    <cellStyle name="40% - Accent6 2 3 7 2 2 3" xfId="31553" xr:uid="{00000000-0005-0000-0000-0000D55C0000}"/>
    <cellStyle name="40% - Accent6 2 3 7 2 3" xfId="13621" xr:uid="{00000000-0005-0000-0000-0000D65C0000}"/>
    <cellStyle name="40% - Accent6 2 3 7 2 3 2" xfId="24895" xr:uid="{00000000-0005-0000-0000-0000D75C0000}"/>
    <cellStyle name="40% - Accent6 2 3 7 2 3 3" xfId="33772" xr:uid="{00000000-0005-0000-0000-0000D85C0000}"/>
    <cellStyle name="40% - Accent6 2 3 7 2 4" xfId="16071" xr:uid="{00000000-0005-0000-0000-0000D95C0000}"/>
    <cellStyle name="40% - Accent6 2 3 7 2 4 2" xfId="27114" xr:uid="{00000000-0005-0000-0000-0000DA5C0000}"/>
    <cellStyle name="40% - Accent6 2 3 7 2 4 3" xfId="35991" xr:uid="{00000000-0005-0000-0000-0000DB5C0000}"/>
    <cellStyle name="40% - Accent6 2 3 7 2 5" xfId="20457" xr:uid="{00000000-0005-0000-0000-0000DC5C0000}"/>
    <cellStyle name="40% - Accent6 2 3 7 2 6" xfId="29334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3" xr:uid="{00000000-0005-0000-0000-0000E05C0000}"/>
    <cellStyle name="40% - Accent6 2 3 7 3 2 3" xfId="30820" xr:uid="{00000000-0005-0000-0000-0000E15C0000}"/>
    <cellStyle name="40% - Accent6 2 3 7 3 3" xfId="12888" xr:uid="{00000000-0005-0000-0000-0000E25C0000}"/>
    <cellStyle name="40% - Accent6 2 3 7 3 3 2" xfId="24162" xr:uid="{00000000-0005-0000-0000-0000E35C0000}"/>
    <cellStyle name="40% - Accent6 2 3 7 3 3 3" xfId="33039" xr:uid="{00000000-0005-0000-0000-0000E45C0000}"/>
    <cellStyle name="40% - Accent6 2 3 7 3 4" xfId="15338" xr:uid="{00000000-0005-0000-0000-0000E55C0000}"/>
    <cellStyle name="40% - Accent6 2 3 7 3 4 2" xfId="26381" xr:uid="{00000000-0005-0000-0000-0000E65C0000}"/>
    <cellStyle name="40% - Accent6 2 3 7 3 4 3" xfId="35258" xr:uid="{00000000-0005-0000-0000-0000E75C0000}"/>
    <cellStyle name="40% - Accent6 2 3 7 3 5" xfId="19724" xr:uid="{00000000-0005-0000-0000-0000E85C0000}"/>
    <cellStyle name="40% - Accent6 2 3 7 3 6" xfId="28601" xr:uid="{00000000-0005-0000-0000-0000E95C0000}"/>
    <cellStyle name="40% - Accent6 2 3 7 4" xfId="9697" xr:uid="{00000000-0005-0000-0000-0000EA5C0000}"/>
    <cellStyle name="40% - Accent6 2 3 7 4 2" xfId="21200" xr:uid="{00000000-0005-0000-0000-0000EB5C0000}"/>
    <cellStyle name="40% - Accent6 2 3 7 4 3" xfId="30077" xr:uid="{00000000-0005-0000-0000-0000EC5C0000}"/>
    <cellStyle name="40% - Accent6 2 3 7 5" xfId="12145" xr:uid="{00000000-0005-0000-0000-0000ED5C0000}"/>
    <cellStyle name="40% - Accent6 2 3 7 5 2" xfId="23419" xr:uid="{00000000-0005-0000-0000-0000EE5C0000}"/>
    <cellStyle name="40% - Accent6 2 3 7 5 3" xfId="32296" xr:uid="{00000000-0005-0000-0000-0000EF5C0000}"/>
    <cellStyle name="40% - Accent6 2 3 7 6" xfId="14366" xr:uid="{00000000-0005-0000-0000-0000F05C0000}"/>
    <cellStyle name="40% - Accent6 2 3 7 6 2" xfId="25638" xr:uid="{00000000-0005-0000-0000-0000F15C0000}"/>
    <cellStyle name="40% - Accent6 2 3 7 6 3" xfId="34515" xr:uid="{00000000-0005-0000-0000-0000F25C0000}"/>
    <cellStyle name="40% - Accent6 2 3 7 7" xfId="18975" xr:uid="{00000000-0005-0000-0000-0000F35C0000}"/>
    <cellStyle name="40% - Accent6 2 3 7 8" xfId="27856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7" xr:uid="{00000000-0005-0000-0000-0000F85C0000}"/>
    <cellStyle name="40% - Accent6 2 3 8 2 2 3" xfId="31554" xr:uid="{00000000-0005-0000-0000-0000F95C0000}"/>
    <cellStyle name="40% - Accent6 2 3 8 2 3" xfId="13622" xr:uid="{00000000-0005-0000-0000-0000FA5C0000}"/>
    <cellStyle name="40% - Accent6 2 3 8 2 3 2" xfId="24896" xr:uid="{00000000-0005-0000-0000-0000FB5C0000}"/>
    <cellStyle name="40% - Accent6 2 3 8 2 3 3" xfId="33773" xr:uid="{00000000-0005-0000-0000-0000FC5C0000}"/>
    <cellStyle name="40% - Accent6 2 3 8 2 4" xfId="16072" xr:uid="{00000000-0005-0000-0000-0000FD5C0000}"/>
    <cellStyle name="40% - Accent6 2 3 8 2 4 2" xfId="27115" xr:uid="{00000000-0005-0000-0000-0000FE5C0000}"/>
    <cellStyle name="40% - Accent6 2 3 8 2 4 3" xfId="35992" xr:uid="{00000000-0005-0000-0000-0000FF5C0000}"/>
    <cellStyle name="40% - Accent6 2 3 8 2 5" xfId="20458" xr:uid="{00000000-0005-0000-0000-0000005D0000}"/>
    <cellStyle name="40% - Accent6 2 3 8 2 6" xfId="29335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4" xr:uid="{00000000-0005-0000-0000-0000045D0000}"/>
    <cellStyle name="40% - Accent6 2 3 8 3 2 3" xfId="30821" xr:uid="{00000000-0005-0000-0000-0000055D0000}"/>
    <cellStyle name="40% - Accent6 2 3 8 3 3" xfId="12889" xr:uid="{00000000-0005-0000-0000-0000065D0000}"/>
    <cellStyle name="40% - Accent6 2 3 8 3 3 2" xfId="24163" xr:uid="{00000000-0005-0000-0000-0000075D0000}"/>
    <cellStyle name="40% - Accent6 2 3 8 3 3 3" xfId="33040" xr:uid="{00000000-0005-0000-0000-0000085D0000}"/>
    <cellStyle name="40% - Accent6 2 3 8 3 4" xfId="15339" xr:uid="{00000000-0005-0000-0000-0000095D0000}"/>
    <cellStyle name="40% - Accent6 2 3 8 3 4 2" xfId="26382" xr:uid="{00000000-0005-0000-0000-00000A5D0000}"/>
    <cellStyle name="40% - Accent6 2 3 8 3 4 3" xfId="35259" xr:uid="{00000000-0005-0000-0000-00000B5D0000}"/>
    <cellStyle name="40% - Accent6 2 3 8 3 5" xfId="19725" xr:uid="{00000000-0005-0000-0000-00000C5D0000}"/>
    <cellStyle name="40% - Accent6 2 3 8 3 6" xfId="28602" xr:uid="{00000000-0005-0000-0000-00000D5D0000}"/>
    <cellStyle name="40% - Accent6 2 3 8 4" xfId="9698" xr:uid="{00000000-0005-0000-0000-00000E5D0000}"/>
    <cellStyle name="40% - Accent6 2 3 8 4 2" xfId="21201" xr:uid="{00000000-0005-0000-0000-00000F5D0000}"/>
    <cellStyle name="40% - Accent6 2 3 8 4 3" xfId="30078" xr:uid="{00000000-0005-0000-0000-0000105D0000}"/>
    <cellStyle name="40% - Accent6 2 3 8 5" xfId="12146" xr:uid="{00000000-0005-0000-0000-0000115D0000}"/>
    <cellStyle name="40% - Accent6 2 3 8 5 2" xfId="23420" xr:uid="{00000000-0005-0000-0000-0000125D0000}"/>
    <cellStyle name="40% - Accent6 2 3 8 5 3" xfId="32297" xr:uid="{00000000-0005-0000-0000-0000135D0000}"/>
    <cellStyle name="40% - Accent6 2 3 8 6" xfId="14367" xr:uid="{00000000-0005-0000-0000-0000145D0000}"/>
    <cellStyle name="40% - Accent6 2 3 8 6 2" xfId="25639" xr:uid="{00000000-0005-0000-0000-0000155D0000}"/>
    <cellStyle name="40% - Accent6 2 3 8 6 3" xfId="34516" xr:uid="{00000000-0005-0000-0000-0000165D0000}"/>
    <cellStyle name="40% - Accent6 2 3 8 7" xfId="18976" xr:uid="{00000000-0005-0000-0000-0000175D0000}"/>
    <cellStyle name="40% - Accent6 2 3 8 8" xfId="27857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8" xr:uid="{00000000-0005-0000-0000-00001C5D0000}"/>
    <cellStyle name="40% - Accent6 2 3 9 2 2 3" xfId="31555" xr:uid="{00000000-0005-0000-0000-00001D5D0000}"/>
    <cellStyle name="40% - Accent6 2 3 9 2 3" xfId="13623" xr:uid="{00000000-0005-0000-0000-00001E5D0000}"/>
    <cellStyle name="40% - Accent6 2 3 9 2 3 2" xfId="24897" xr:uid="{00000000-0005-0000-0000-00001F5D0000}"/>
    <cellStyle name="40% - Accent6 2 3 9 2 3 3" xfId="33774" xr:uid="{00000000-0005-0000-0000-0000205D0000}"/>
    <cellStyle name="40% - Accent6 2 3 9 2 4" xfId="16073" xr:uid="{00000000-0005-0000-0000-0000215D0000}"/>
    <cellStyle name="40% - Accent6 2 3 9 2 4 2" xfId="27116" xr:uid="{00000000-0005-0000-0000-0000225D0000}"/>
    <cellStyle name="40% - Accent6 2 3 9 2 4 3" xfId="35993" xr:uid="{00000000-0005-0000-0000-0000235D0000}"/>
    <cellStyle name="40% - Accent6 2 3 9 2 5" xfId="20459" xr:uid="{00000000-0005-0000-0000-0000245D0000}"/>
    <cellStyle name="40% - Accent6 2 3 9 2 6" xfId="29336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5" xr:uid="{00000000-0005-0000-0000-0000285D0000}"/>
    <cellStyle name="40% - Accent6 2 3 9 3 2 3" xfId="30822" xr:uid="{00000000-0005-0000-0000-0000295D0000}"/>
    <cellStyle name="40% - Accent6 2 3 9 3 3" xfId="12890" xr:uid="{00000000-0005-0000-0000-00002A5D0000}"/>
    <cellStyle name="40% - Accent6 2 3 9 3 3 2" xfId="24164" xr:uid="{00000000-0005-0000-0000-00002B5D0000}"/>
    <cellStyle name="40% - Accent6 2 3 9 3 3 3" xfId="33041" xr:uid="{00000000-0005-0000-0000-00002C5D0000}"/>
    <cellStyle name="40% - Accent6 2 3 9 3 4" xfId="15340" xr:uid="{00000000-0005-0000-0000-00002D5D0000}"/>
    <cellStyle name="40% - Accent6 2 3 9 3 4 2" xfId="26383" xr:uid="{00000000-0005-0000-0000-00002E5D0000}"/>
    <cellStyle name="40% - Accent6 2 3 9 3 4 3" xfId="35260" xr:uid="{00000000-0005-0000-0000-00002F5D0000}"/>
    <cellStyle name="40% - Accent6 2 3 9 3 5" xfId="19726" xr:uid="{00000000-0005-0000-0000-0000305D0000}"/>
    <cellStyle name="40% - Accent6 2 3 9 3 6" xfId="28603" xr:uid="{00000000-0005-0000-0000-0000315D0000}"/>
    <cellStyle name="40% - Accent6 2 3 9 4" xfId="9699" xr:uid="{00000000-0005-0000-0000-0000325D0000}"/>
    <cellStyle name="40% - Accent6 2 3 9 4 2" xfId="21202" xr:uid="{00000000-0005-0000-0000-0000335D0000}"/>
    <cellStyle name="40% - Accent6 2 3 9 4 3" xfId="30079" xr:uid="{00000000-0005-0000-0000-0000345D0000}"/>
    <cellStyle name="40% - Accent6 2 3 9 5" xfId="12147" xr:uid="{00000000-0005-0000-0000-0000355D0000}"/>
    <cellStyle name="40% - Accent6 2 3 9 5 2" xfId="23421" xr:uid="{00000000-0005-0000-0000-0000365D0000}"/>
    <cellStyle name="40% - Accent6 2 3 9 5 3" xfId="32298" xr:uid="{00000000-0005-0000-0000-0000375D0000}"/>
    <cellStyle name="40% - Accent6 2 3 9 6" xfId="14368" xr:uid="{00000000-0005-0000-0000-0000385D0000}"/>
    <cellStyle name="40% - Accent6 2 3 9 6 2" xfId="25640" xr:uid="{00000000-0005-0000-0000-0000395D0000}"/>
    <cellStyle name="40% - Accent6 2 3 9 6 3" xfId="34517" xr:uid="{00000000-0005-0000-0000-00003A5D0000}"/>
    <cellStyle name="40% - Accent6 2 3 9 7" xfId="18977" xr:uid="{00000000-0005-0000-0000-00003B5D0000}"/>
    <cellStyle name="40% - Accent6 2 3 9 8" xfId="27858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79" xr:uid="{00000000-0005-0000-0000-0000405D0000}"/>
    <cellStyle name="40% - Accent6 2 4 10 2 3" xfId="31556" xr:uid="{00000000-0005-0000-0000-0000415D0000}"/>
    <cellStyle name="40% - Accent6 2 4 10 3" xfId="13624" xr:uid="{00000000-0005-0000-0000-0000425D0000}"/>
    <cellStyle name="40% - Accent6 2 4 10 3 2" xfId="24898" xr:uid="{00000000-0005-0000-0000-0000435D0000}"/>
    <cellStyle name="40% - Accent6 2 4 10 3 3" xfId="33775" xr:uid="{00000000-0005-0000-0000-0000445D0000}"/>
    <cellStyle name="40% - Accent6 2 4 10 4" xfId="16074" xr:uid="{00000000-0005-0000-0000-0000455D0000}"/>
    <cellStyle name="40% - Accent6 2 4 10 4 2" xfId="27117" xr:uid="{00000000-0005-0000-0000-0000465D0000}"/>
    <cellStyle name="40% - Accent6 2 4 10 4 3" xfId="35994" xr:uid="{00000000-0005-0000-0000-0000475D0000}"/>
    <cellStyle name="40% - Accent6 2 4 10 5" xfId="20460" xr:uid="{00000000-0005-0000-0000-0000485D0000}"/>
    <cellStyle name="40% - Accent6 2 4 10 6" xfId="29337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6" xr:uid="{00000000-0005-0000-0000-00004C5D0000}"/>
    <cellStyle name="40% - Accent6 2 4 11 2 3" xfId="30823" xr:uid="{00000000-0005-0000-0000-00004D5D0000}"/>
    <cellStyle name="40% - Accent6 2 4 11 3" xfId="12891" xr:uid="{00000000-0005-0000-0000-00004E5D0000}"/>
    <cellStyle name="40% - Accent6 2 4 11 3 2" xfId="24165" xr:uid="{00000000-0005-0000-0000-00004F5D0000}"/>
    <cellStyle name="40% - Accent6 2 4 11 3 3" xfId="33042" xr:uid="{00000000-0005-0000-0000-0000505D0000}"/>
    <cellStyle name="40% - Accent6 2 4 11 4" xfId="15341" xr:uid="{00000000-0005-0000-0000-0000515D0000}"/>
    <cellStyle name="40% - Accent6 2 4 11 4 2" xfId="26384" xr:uid="{00000000-0005-0000-0000-0000525D0000}"/>
    <cellStyle name="40% - Accent6 2 4 11 4 3" xfId="35261" xr:uid="{00000000-0005-0000-0000-0000535D0000}"/>
    <cellStyle name="40% - Accent6 2 4 11 5" xfId="19727" xr:uid="{00000000-0005-0000-0000-0000545D0000}"/>
    <cellStyle name="40% - Accent6 2 4 11 6" xfId="28604" xr:uid="{00000000-0005-0000-0000-0000555D0000}"/>
    <cellStyle name="40% - Accent6 2 4 12" xfId="9700" xr:uid="{00000000-0005-0000-0000-0000565D0000}"/>
    <cellStyle name="40% - Accent6 2 4 12 2" xfId="21203" xr:uid="{00000000-0005-0000-0000-0000575D0000}"/>
    <cellStyle name="40% - Accent6 2 4 12 3" xfId="30080" xr:uid="{00000000-0005-0000-0000-0000585D0000}"/>
    <cellStyle name="40% - Accent6 2 4 13" xfId="12148" xr:uid="{00000000-0005-0000-0000-0000595D0000}"/>
    <cellStyle name="40% - Accent6 2 4 13 2" xfId="23422" xr:uid="{00000000-0005-0000-0000-00005A5D0000}"/>
    <cellStyle name="40% - Accent6 2 4 13 3" xfId="32299" xr:uid="{00000000-0005-0000-0000-00005B5D0000}"/>
    <cellStyle name="40% - Accent6 2 4 14" xfId="14369" xr:uid="{00000000-0005-0000-0000-00005C5D0000}"/>
    <cellStyle name="40% - Accent6 2 4 14 2" xfId="25641" xr:uid="{00000000-0005-0000-0000-00005D5D0000}"/>
    <cellStyle name="40% - Accent6 2 4 14 3" xfId="34518" xr:uid="{00000000-0005-0000-0000-00005E5D0000}"/>
    <cellStyle name="40% - Accent6 2 4 15" xfId="18978" xr:uid="{00000000-0005-0000-0000-00005F5D0000}"/>
    <cellStyle name="40% - Accent6 2 4 16" xfId="27859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0" xr:uid="{00000000-0005-0000-0000-0000645D0000}"/>
    <cellStyle name="40% - Accent6 2 4 2 2 2 3" xfId="31557" xr:uid="{00000000-0005-0000-0000-0000655D0000}"/>
    <cellStyle name="40% - Accent6 2 4 2 2 3" xfId="13625" xr:uid="{00000000-0005-0000-0000-0000665D0000}"/>
    <cellStyle name="40% - Accent6 2 4 2 2 3 2" xfId="24899" xr:uid="{00000000-0005-0000-0000-0000675D0000}"/>
    <cellStyle name="40% - Accent6 2 4 2 2 3 3" xfId="33776" xr:uid="{00000000-0005-0000-0000-0000685D0000}"/>
    <cellStyle name="40% - Accent6 2 4 2 2 4" xfId="16075" xr:uid="{00000000-0005-0000-0000-0000695D0000}"/>
    <cellStyle name="40% - Accent6 2 4 2 2 4 2" xfId="27118" xr:uid="{00000000-0005-0000-0000-00006A5D0000}"/>
    <cellStyle name="40% - Accent6 2 4 2 2 4 3" xfId="35995" xr:uid="{00000000-0005-0000-0000-00006B5D0000}"/>
    <cellStyle name="40% - Accent6 2 4 2 2 5" xfId="20461" xr:uid="{00000000-0005-0000-0000-00006C5D0000}"/>
    <cellStyle name="40% - Accent6 2 4 2 2 6" xfId="29338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7" xr:uid="{00000000-0005-0000-0000-0000705D0000}"/>
    <cellStyle name="40% - Accent6 2 4 2 3 2 3" xfId="30824" xr:uid="{00000000-0005-0000-0000-0000715D0000}"/>
    <cellStyle name="40% - Accent6 2 4 2 3 3" xfId="12892" xr:uid="{00000000-0005-0000-0000-0000725D0000}"/>
    <cellStyle name="40% - Accent6 2 4 2 3 3 2" xfId="24166" xr:uid="{00000000-0005-0000-0000-0000735D0000}"/>
    <cellStyle name="40% - Accent6 2 4 2 3 3 3" xfId="33043" xr:uid="{00000000-0005-0000-0000-0000745D0000}"/>
    <cellStyle name="40% - Accent6 2 4 2 3 4" xfId="15342" xr:uid="{00000000-0005-0000-0000-0000755D0000}"/>
    <cellStyle name="40% - Accent6 2 4 2 3 4 2" xfId="26385" xr:uid="{00000000-0005-0000-0000-0000765D0000}"/>
    <cellStyle name="40% - Accent6 2 4 2 3 4 3" xfId="35262" xr:uid="{00000000-0005-0000-0000-0000775D0000}"/>
    <cellStyle name="40% - Accent6 2 4 2 3 5" xfId="19728" xr:uid="{00000000-0005-0000-0000-0000785D0000}"/>
    <cellStyle name="40% - Accent6 2 4 2 3 6" xfId="28605" xr:uid="{00000000-0005-0000-0000-0000795D0000}"/>
    <cellStyle name="40% - Accent6 2 4 2 4" xfId="9701" xr:uid="{00000000-0005-0000-0000-00007A5D0000}"/>
    <cellStyle name="40% - Accent6 2 4 2 4 2" xfId="21204" xr:uid="{00000000-0005-0000-0000-00007B5D0000}"/>
    <cellStyle name="40% - Accent6 2 4 2 4 3" xfId="30081" xr:uid="{00000000-0005-0000-0000-00007C5D0000}"/>
    <cellStyle name="40% - Accent6 2 4 2 5" xfId="12149" xr:uid="{00000000-0005-0000-0000-00007D5D0000}"/>
    <cellStyle name="40% - Accent6 2 4 2 5 2" xfId="23423" xr:uid="{00000000-0005-0000-0000-00007E5D0000}"/>
    <cellStyle name="40% - Accent6 2 4 2 5 3" xfId="32300" xr:uid="{00000000-0005-0000-0000-00007F5D0000}"/>
    <cellStyle name="40% - Accent6 2 4 2 6" xfId="14370" xr:uid="{00000000-0005-0000-0000-0000805D0000}"/>
    <cellStyle name="40% - Accent6 2 4 2 6 2" xfId="25642" xr:uid="{00000000-0005-0000-0000-0000815D0000}"/>
    <cellStyle name="40% - Accent6 2 4 2 6 3" xfId="34519" xr:uid="{00000000-0005-0000-0000-0000825D0000}"/>
    <cellStyle name="40% - Accent6 2 4 2 7" xfId="18979" xr:uid="{00000000-0005-0000-0000-0000835D0000}"/>
    <cellStyle name="40% - Accent6 2 4 2 8" xfId="27860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1" xr:uid="{00000000-0005-0000-0000-0000885D0000}"/>
    <cellStyle name="40% - Accent6 2 4 3 2 2 3" xfId="31558" xr:uid="{00000000-0005-0000-0000-0000895D0000}"/>
    <cellStyle name="40% - Accent6 2 4 3 2 3" xfId="13626" xr:uid="{00000000-0005-0000-0000-00008A5D0000}"/>
    <cellStyle name="40% - Accent6 2 4 3 2 3 2" xfId="24900" xr:uid="{00000000-0005-0000-0000-00008B5D0000}"/>
    <cellStyle name="40% - Accent6 2 4 3 2 3 3" xfId="33777" xr:uid="{00000000-0005-0000-0000-00008C5D0000}"/>
    <cellStyle name="40% - Accent6 2 4 3 2 4" xfId="16076" xr:uid="{00000000-0005-0000-0000-00008D5D0000}"/>
    <cellStyle name="40% - Accent6 2 4 3 2 4 2" xfId="27119" xr:uid="{00000000-0005-0000-0000-00008E5D0000}"/>
    <cellStyle name="40% - Accent6 2 4 3 2 4 3" xfId="35996" xr:uid="{00000000-0005-0000-0000-00008F5D0000}"/>
    <cellStyle name="40% - Accent6 2 4 3 2 5" xfId="20462" xr:uid="{00000000-0005-0000-0000-0000905D0000}"/>
    <cellStyle name="40% - Accent6 2 4 3 2 6" xfId="29339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8" xr:uid="{00000000-0005-0000-0000-0000945D0000}"/>
    <cellStyle name="40% - Accent6 2 4 3 3 2 3" xfId="30825" xr:uid="{00000000-0005-0000-0000-0000955D0000}"/>
    <cellStyle name="40% - Accent6 2 4 3 3 3" xfId="12893" xr:uid="{00000000-0005-0000-0000-0000965D0000}"/>
    <cellStyle name="40% - Accent6 2 4 3 3 3 2" xfId="24167" xr:uid="{00000000-0005-0000-0000-0000975D0000}"/>
    <cellStyle name="40% - Accent6 2 4 3 3 3 3" xfId="33044" xr:uid="{00000000-0005-0000-0000-0000985D0000}"/>
    <cellStyle name="40% - Accent6 2 4 3 3 4" xfId="15343" xr:uid="{00000000-0005-0000-0000-0000995D0000}"/>
    <cellStyle name="40% - Accent6 2 4 3 3 4 2" xfId="26386" xr:uid="{00000000-0005-0000-0000-00009A5D0000}"/>
    <cellStyle name="40% - Accent6 2 4 3 3 4 3" xfId="35263" xr:uid="{00000000-0005-0000-0000-00009B5D0000}"/>
    <cellStyle name="40% - Accent6 2 4 3 3 5" xfId="19729" xr:uid="{00000000-0005-0000-0000-00009C5D0000}"/>
    <cellStyle name="40% - Accent6 2 4 3 3 6" xfId="28606" xr:uid="{00000000-0005-0000-0000-00009D5D0000}"/>
    <cellStyle name="40% - Accent6 2 4 3 4" xfId="9702" xr:uid="{00000000-0005-0000-0000-00009E5D0000}"/>
    <cellStyle name="40% - Accent6 2 4 3 4 2" xfId="21205" xr:uid="{00000000-0005-0000-0000-00009F5D0000}"/>
    <cellStyle name="40% - Accent6 2 4 3 4 3" xfId="30082" xr:uid="{00000000-0005-0000-0000-0000A05D0000}"/>
    <cellStyle name="40% - Accent6 2 4 3 5" xfId="12150" xr:uid="{00000000-0005-0000-0000-0000A15D0000}"/>
    <cellStyle name="40% - Accent6 2 4 3 5 2" xfId="23424" xr:uid="{00000000-0005-0000-0000-0000A25D0000}"/>
    <cellStyle name="40% - Accent6 2 4 3 5 3" xfId="32301" xr:uid="{00000000-0005-0000-0000-0000A35D0000}"/>
    <cellStyle name="40% - Accent6 2 4 3 6" xfId="14371" xr:uid="{00000000-0005-0000-0000-0000A45D0000}"/>
    <cellStyle name="40% - Accent6 2 4 3 6 2" xfId="25643" xr:uid="{00000000-0005-0000-0000-0000A55D0000}"/>
    <cellStyle name="40% - Accent6 2 4 3 6 3" xfId="34520" xr:uid="{00000000-0005-0000-0000-0000A65D0000}"/>
    <cellStyle name="40% - Accent6 2 4 3 7" xfId="18980" xr:uid="{00000000-0005-0000-0000-0000A75D0000}"/>
    <cellStyle name="40% - Accent6 2 4 3 8" xfId="27861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2" xr:uid="{00000000-0005-0000-0000-0000AC5D0000}"/>
    <cellStyle name="40% - Accent6 2 4 4 2 2 3" xfId="31559" xr:uid="{00000000-0005-0000-0000-0000AD5D0000}"/>
    <cellStyle name="40% - Accent6 2 4 4 2 3" xfId="13627" xr:uid="{00000000-0005-0000-0000-0000AE5D0000}"/>
    <cellStyle name="40% - Accent6 2 4 4 2 3 2" xfId="24901" xr:uid="{00000000-0005-0000-0000-0000AF5D0000}"/>
    <cellStyle name="40% - Accent6 2 4 4 2 3 3" xfId="33778" xr:uid="{00000000-0005-0000-0000-0000B05D0000}"/>
    <cellStyle name="40% - Accent6 2 4 4 2 4" xfId="16077" xr:uid="{00000000-0005-0000-0000-0000B15D0000}"/>
    <cellStyle name="40% - Accent6 2 4 4 2 4 2" xfId="27120" xr:uid="{00000000-0005-0000-0000-0000B25D0000}"/>
    <cellStyle name="40% - Accent6 2 4 4 2 4 3" xfId="35997" xr:uid="{00000000-0005-0000-0000-0000B35D0000}"/>
    <cellStyle name="40% - Accent6 2 4 4 2 5" xfId="20463" xr:uid="{00000000-0005-0000-0000-0000B45D0000}"/>
    <cellStyle name="40% - Accent6 2 4 4 2 6" xfId="29340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49" xr:uid="{00000000-0005-0000-0000-0000B85D0000}"/>
    <cellStyle name="40% - Accent6 2 4 4 3 2 3" xfId="30826" xr:uid="{00000000-0005-0000-0000-0000B95D0000}"/>
    <cellStyle name="40% - Accent6 2 4 4 3 3" xfId="12894" xr:uid="{00000000-0005-0000-0000-0000BA5D0000}"/>
    <cellStyle name="40% - Accent6 2 4 4 3 3 2" xfId="24168" xr:uid="{00000000-0005-0000-0000-0000BB5D0000}"/>
    <cellStyle name="40% - Accent6 2 4 4 3 3 3" xfId="33045" xr:uid="{00000000-0005-0000-0000-0000BC5D0000}"/>
    <cellStyle name="40% - Accent6 2 4 4 3 4" xfId="15344" xr:uid="{00000000-0005-0000-0000-0000BD5D0000}"/>
    <cellStyle name="40% - Accent6 2 4 4 3 4 2" xfId="26387" xr:uid="{00000000-0005-0000-0000-0000BE5D0000}"/>
    <cellStyle name="40% - Accent6 2 4 4 3 4 3" xfId="35264" xr:uid="{00000000-0005-0000-0000-0000BF5D0000}"/>
    <cellStyle name="40% - Accent6 2 4 4 3 5" xfId="19730" xr:uid="{00000000-0005-0000-0000-0000C05D0000}"/>
    <cellStyle name="40% - Accent6 2 4 4 3 6" xfId="28607" xr:uid="{00000000-0005-0000-0000-0000C15D0000}"/>
    <cellStyle name="40% - Accent6 2 4 4 4" xfId="9703" xr:uid="{00000000-0005-0000-0000-0000C25D0000}"/>
    <cellStyle name="40% - Accent6 2 4 4 4 2" xfId="21206" xr:uid="{00000000-0005-0000-0000-0000C35D0000}"/>
    <cellStyle name="40% - Accent6 2 4 4 4 3" xfId="30083" xr:uid="{00000000-0005-0000-0000-0000C45D0000}"/>
    <cellStyle name="40% - Accent6 2 4 4 5" xfId="12151" xr:uid="{00000000-0005-0000-0000-0000C55D0000}"/>
    <cellStyle name="40% - Accent6 2 4 4 5 2" xfId="23425" xr:uid="{00000000-0005-0000-0000-0000C65D0000}"/>
    <cellStyle name="40% - Accent6 2 4 4 5 3" xfId="32302" xr:uid="{00000000-0005-0000-0000-0000C75D0000}"/>
    <cellStyle name="40% - Accent6 2 4 4 6" xfId="14372" xr:uid="{00000000-0005-0000-0000-0000C85D0000}"/>
    <cellStyle name="40% - Accent6 2 4 4 6 2" xfId="25644" xr:uid="{00000000-0005-0000-0000-0000C95D0000}"/>
    <cellStyle name="40% - Accent6 2 4 4 6 3" xfId="34521" xr:uid="{00000000-0005-0000-0000-0000CA5D0000}"/>
    <cellStyle name="40% - Accent6 2 4 4 7" xfId="18981" xr:uid="{00000000-0005-0000-0000-0000CB5D0000}"/>
    <cellStyle name="40% - Accent6 2 4 4 8" xfId="27862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3" xr:uid="{00000000-0005-0000-0000-0000D05D0000}"/>
    <cellStyle name="40% - Accent6 2 4 5 2 2 3" xfId="31560" xr:uid="{00000000-0005-0000-0000-0000D15D0000}"/>
    <cellStyle name="40% - Accent6 2 4 5 2 3" xfId="13628" xr:uid="{00000000-0005-0000-0000-0000D25D0000}"/>
    <cellStyle name="40% - Accent6 2 4 5 2 3 2" xfId="24902" xr:uid="{00000000-0005-0000-0000-0000D35D0000}"/>
    <cellStyle name="40% - Accent6 2 4 5 2 3 3" xfId="33779" xr:uid="{00000000-0005-0000-0000-0000D45D0000}"/>
    <cellStyle name="40% - Accent6 2 4 5 2 4" xfId="16078" xr:uid="{00000000-0005-0000-0000-0000D55D0000}"/>
    <cellStyle name="40% - Accent6 2 4 5 2 4 2" xfId="27121" xr:uid="{00000000-0005-0000-0000-0000D65D0000}"/>
    <cellStyle name="40% - Accent6 2 4 5 2 4 3" xfId="35998" xr:uid="{00000000-0005-0000-0000-0000D75D0000}"/>
    <cellStyle name="40% - Accent6 2 4 5 2 5" xfId="20464" xr:uid="{00000000-0005-0000-0000-0000D85D0000}"/>
    <cellStyle name="40% - Accent6 2 4 5 2 6" xfId="29341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0" xr:uid="{00000000-0005-0000-0000-0000DC5D0000}"/>
    <cellStyle name="40% - Accent6 2 4 5 3 2 3" xfId="30827" xr:uid="{00000000-0005-0000-0000-0000DD5D0000}"/>
    <cellStyle name="40% - Accent6 2 4 5 3 3" xfId="12895" xr:uid="{00000000-0005-0000-0000-0000DE5D0000}"/>
    <cellStyle name="40% - Accent6 2 4 5 3 3 2" xfId="24169" xr:uid="{00000000-0005-0000-0000-0000DF5D0000}"/>
    <cellStyle name="40% - Accent6 2 4 5 3 3 3" xfId="33046" xr:uid="{00000000-0005-0000-0000-0000E05D0000}"/>
    <cellStyle name="40% - Accent6 2 4 5 3 4" xfId="15345" xr:uid="{00000000-0005-0000-0000-0000E15D0000}"/>
    <cellStyle name="40% - Accent6 2 4 5 3 4 2" xfId="26388" xr:uid="{00000000-0005-0000-0000-0000E25D0000}"/>
    <cellStyle name="40% - Accent6 2 4 5 3 4 3" xfId="35265" xr:uid="{00000000-0005-0000-0000-0000E35D0000}"/>
    <cellStyle name="40% - Accent6 2 4 5 3 5" xfId="19731" xr:uid="{00000000-0005-0000-0000-0000E45D0000}"/>
    <cellStyle name="40% - Accent6 2 4 5 3 6" xfId="28608" xr:uid="{00000000-0005-0000-0000-0000E55D0000}"/>
    <cellStyle name="40% - Accent6 2 4 5 4" xfId="9704" xr:uid="{00000000-0005-0000-0000-0000E65D0000}"/>
    <cellStyle name="40% - Accent6 2 4 5 4 2" xfId="21207" xr:uid="{00000000-0005-0000-0000-0000E75D0000}"/>
    <cellStyle name="40% - Accent6 2 4 5 4 3" xfId="30084" xr:uid="{00000000-0005-0000-0000-0000E85D0000}"/>
    <cellStyle name="40% - Accent6 2 4 5 5" xfId="12152" xr:uid="{00000000-0005-0000-0000-0000E95D0000}"/>
    <cellStyle name="40% - Accent6 2 4 5 5 2" xfId="23426" xr:uid="{00000000-0005-0000-0000-0000EA5D0000}"/>
    <cellStyle name="40% - Accent6 2 4 5 5 3" xfId="32303" xr:uid="{00000000-0005-0000-0000-0000EB5D0000}"/>
    <cellStyle name="40% - Accent6 2 4 5 6" xfId="14373" xr:uid="{00000000-0005-0000-0000-0000EC5D0000}"/>
    <cellStyle name="40% - Accent6 2 4 5 6 2" xfId="25645" xr:uid="{00000000-0005-0000-0000-0000ED5D0000}"/>
    <cellStyle name="40% - Accent6 2 4 5 6 3" xfId="34522" xr:uid="{00000000-0005-0000-0000-0000EE5D0000}"/>
    <cellStyle name="40% - Accent6 2 4 5 7" xfId="18982" xr:uid="{00000000-0005-0000-0000-0000EF5D0000}"/>
    <cellStyle name="40% - Accent6 2 4 5 8" xfId="27863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4" xr:uid="{00000000-0005-0000-0000-0000F45D0000}"/>
    <cellStyle name="40% - Accent6 2 4 6 2 2 3" xfId="31561" xr:uid="{00000000-0005-0000-0000-0000F55D0000}"/>
    <cellStyle name="40% - Accent6 2 4 6 2 3" xfId="13629" xr:uid="{00000000-0005-0000-0000-0000F65D0000}"/>
    <cellStyle name="40% - Accent6 2 4 6 2 3 2" xfId="24903" xr:uid="{00000000-0005-0000-0000-0000F75D0000}"/>
    <cellStyle name="40% - Accent6 2 4 6 2 3 3" xfId="33780" xr:uid="{00000000-0005-0000-0000-0000F85D0000}"/>
    <cellStyle name="40% - Accent6 2 4 6 2 4" xfId="16079" xr:uid="{00000000-0005-0000-0000-0000F95D0000}"/>
    <cellStyle name="40% - Accent6 2 4 6 2 4 2" xfId="27122" xr:uid="{00000000-0005-0000-0000-0000FA5D0000}"/>
    <cellStyle name="40% - Accent6 2 4 6 2 4 3" xfId="35999" xr:uid="{00000000-0005-0000-0000-0000FB5D0000}"/>
    <cellStyle name="40% - Accent6 2 4 6 2 5" xfId="20465" xr:uid="{00000000-0005-0000-0000-0000FC5D0000}"/>
    <cellStyle name="40% - Accent6 2 4 6 2 6" xfId="29342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1" xr:uid="{00000000-0005-0000-0000-0000005E0000}"/>
    <cellStyle name="40% - Accent6 2 4 6 3 2 3" xfId="30828" xr:uid="{00000000-0005-0000-0000-0000015E0000}"/>
    <cellStyle name="40% - Accent6 2 4 6 3 3" xfId="12896" xr:uid="{00000000-0005-0000-0000-0000025E0000}"/>
    <cellStyle name="40% - Accent6 2 4 6 3 3 2" xfId="24170" xr:uid="{00000000-0005-0000-0000-0000035E0000}"/>
    <cellStyle name="40% - Accent6 2 4 6 3 3 3" xfId="33047" xr:uid="{00000000-0005-0000-0000-0000045E0000}"/>
    <cellStyle name="40% - Accent6 2 4 6 3 4" xfId="15346" xr:uid="{00000000-0005-0000-0000-0000055E0000}"/>
    <cellStyle name="40% - Accent6 2 4 6 3 4 2" xfId="26389" xr:uid="{00000000-0005-0000-0000-0000065E0000}"/>
    <cellStyle name="40% - Accent6 2 4 6 3 4 3" xfId="35266" xr:uid="{00000000-0005-0000-0000-0000075E0000}"/>
    <cellStyle name="40% - Accent6 2 4 6 3 5" xfId="19732" xr:uid="{00000000-0005-0000-0000-0000085E0000}"/>
    <cellStyle name="40% - Accent6 2 4 6 3 6" xfId="28609" xr:uid="{00000000-0005-0000-0000-0000095E0000}"/>
    <cellStyle name="40% - Accent6 2 4 6 4" xfId="9705" xr:uid="{00000000-0005-0000-0000-00000A5E0000}"/>
    <cellStyle name="40% - Accent6 2 4 6 4 2" xfId="21208" xr:uid="{00000000-0005-0000-0000-00000B5E0000}"/>
    <cellStyle name="40% - Accent6 2 4 6 4 3" xfId="30085" xr:uid="{00000000-0005-0000-0000-00000C5E0000}"/>
    <cellStyle name="40% - Accent6 2 4 6 5" xfId="12153" xr:uid="{00000000-0005-0000-0000-00000D5E0000}"/>
    <cellStyle name="40% - Accent6 2 4 6 5 2" xfId="23427" xr:uid="{00000000-0005-0000-0000-00000E5E0000}"/>
    <cellStyle name="40% - Accent6 2 4 6 5 3" xfId="32304" xr:uid="{00000000-0005-0000-0000-00000F5E0000}"/>
    <cellStyle name="40% - Accent6 2 4 6 6" xfId="14374" xr:uid="{00000000-0005-0000-0000-0000105E0000}"/>
    <cellStyle name="40% - Accent6 2 4 6 6 2" xfId="25646" xr:uid="{00000000-0005-0000-0000-0000115E0000}"/>
    <cellStyle name="40% - Accent6 2 4 6 6 3" xfId="34523" xr:uid="{00000000-0005-0000-0000-0000125E0000}"/>
    <cellStyle name="40% - Accent6 2 4 6 7" xfId="18983" xr:uid="{00000000-0005-0000-0000-0000135E0000}"/>
    <cellStyle name="40% - Accent6 2 4 6 8" xfId="27864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5" xr:uid="{00000000-0005-0000-0000-0000185E0000}"/>
    <cellStyle name="40% - Accent6 2 4 7 2 2 3" xfId="31562" xr:uid="{00000000-0005-0000-0000-0000195E0000}"/>
    <cellStyle name="40% - Accent6 2 4 7 2 3" xfId="13630" xr:uid="{00000000-0005-0000-0000-00001A5E0000}"/>
    <cellStyle name="40% - Accent6 2 4 7 2 3 2" xfId="24904" xr:uid="{00000000-0005-0000-0000-00001B5E0000}"/>
    <cellStyle name="40% - Accent6 2 4 7 2 3 3" xfId="33781" xr:uid="{00000000-0005-0000-0000-00001C5E0000}"/>
    <cellStyle name="40% - Accent6 2 4 7 2 4" xfId="16080" xr:uid="{00000000-0005-0000-0000-00001D5E0000}"/>
    <cellStyle name="40% - Accent6 2 4 7 2 4 2" xfId="27123" xr:uid="{00000000-0005-0000-0000-00001E5E0000}"/>
    <cellStyle name="40% - Accent6 2 4 7 2 4 3" xfId="36000" xr:uid="{00000000-0005-0000-0000-00001F5E0000}"/>
    <cellStyle name="40% - Accent6 2 4 7 2 5" xfId="20466" xr:uid="{00000000-0005-0000-0000-0000205E0000}"/>
    <cellStyle name="40% - Accent6 2 4 7 2 6" xfId="29343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2" xr:uid="{00000000-0005-0000-0000-0000245E0000}"/>
    <cellStyle name="40% - Accent6 2 4 7 3 2 3" xfId="30829" xr:uid="{00000000-0005-0000-0000-0000255E0000}"/>
    <cellStyle name="40% - Accent6 2 4 7 3 3" xfId="12897" xr:uid="{00000000-0005-0000-0000-0000265E0000}"/>
    <cellStyle name="40% - Accent6 2 4 7 3 3 2" xfId="24171" xr:uid="{00000000-0005-0000-0000-0000275E0000}"/>
    <cellStyle name="40% - Accent6 2 4 7 3 3 3" xfId="33048" xr:uid="{00000000-0005-0000-0000-0000285E0000}"/>
    <cellStyle name="40% - Accent6 2 4 7 3 4" xfId="15347" xr:uid="{00000000-0005-0000-0000-0000295E0000}"/>
    <cellStyle name="40% - Accent6 2 4 7 3 4 2" xfId="26390" xr:uid="{00000000-0005-0000-0000-00002A5E0000}"/>
    <cellStyle name="40% - Accent6 2 4 7 3 4 3" xfId="35267" xr:uid="{00000000-0005-0000-0000-00002B5E0000}"/>
    <cellStyle name="40% - Accent6 2 4 7 3 5" xfId="19733" xr:uid="{00000000-0005-0000-0000-00002C5E0000}"/>
    <cellStyle name="40% - Accent6 2 4 7 3 6" xfId="28610" xr:uid="{00000000-0005-0000-0000-00002D5E0000}"/>
    <cellStyle name="40% - Accent6 2 4 7 4" xfId="9706" xr:uid="{00000000-0005-0000-0000-00002E5E0000}"/>
    <cellStyle name="40% - Accent6 2 4 7 4 2" xfId="21209" xr:uid="{00000000-0005-0000-0000-00002F5E0000}"/>
    <cellStyle name="40% - Accent6 2 4 7 4 3" xfId="30086" xr:uid="{00000000-0005-0000-0000-0000305E0000}"/>
    <cellStyle name="40% - Accent6 2 4 7 5" xfId="12154" xr:uid="{00000000-0005-0000-0000-0000315E0000}"/>
    <cellStyle name="40% - Accent6 2 4 7 5 2" xfId="23428" xr:uid="{00000000-0005-0000-0000-0000325E0000}"/>
    <cellStyle name="40% - Accent6 2 4 7 5 3" xfId="32305" xr:uid="{00000000-0005-0000-0000-0000335E0000}"/>
    <cellStyle name="40% - Accent6 2 4 7 6" xfId="14375" xr:uid="{00000000-0005-0000-0000-0000345E0000}"/>
    <cellStyle name="40% - Accent6 2 4 7 6 2" xfId="25647" xr:uid="{00000000-0005-0000-0000-0000355E0000}"/>
    <cellStyle name="40% - Accent6 2 4 7 6 3" xfId="34524" xr:uid="{00000000-0005-0000-0000-0000365E0000}"/>
    <cellStyle name="40% - Accent6 2 4 7 7" xfId="18984" xr:uid="{00000000-0005-0000-0000-0000375E0000}"/>
    <cellStyle name="40% - Accent6 2 4 7 8" xfId="27865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6" xr:uid="{00000000-0005-0000-0000-00003C5E0000}"/>
    <cellStyle name="40% - Accent6 2 4 8 2 2 3" xfId="31563" xr:uid="{00000000-0005-0000-0000-00003D5E0000}"/>
    <cellStyle name="40% - Accent6 2 4 8 2 3" xfId="13631" xr:uid="{00000000-0005-0000-0000-00003E5E0000}"/>
    <cellStyle name="40% - Accent6 2 4 8 2 3 2" xfId="24905" xr:uid="{00000000-0005-0000-0000-00003F5E0000}"/>
    <cellStyle name="40% - Accent6 2 4 8 2 3 3" xfId="33782" xr:uid="{00000000-0005-0000-0000-0000405E0000}"/>
    <cellStyle name="40% - Accent6 2 4 8 2 4" xfId="16081" xr:uid="{00000000-0005-0000-0000-0000415E0000}"/>
    <cellStyle name="40% - Accent6 2 4 8 2 4 2" xfId="27124" xr:uid="{00000000-0005-0000-0000-0000425E0000}"/>
    <cellStyle name="40% - Accent6 2 4 8 2 4 3" xfId="36001" xr:uid="{00000000-0005-0000-0000-0000435E0000}"/>
    <cellStyle name="40% - Accent6 2 4 8 2 5" xfId="20467" xr:uid="{00000000-0005-0000-0000-0000445E0000}"/>
    <cellStyle name="40% - Accent6 2 4 8 2 6" xfId="29344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3" xr:uid="{00000000-0005-0000-0000-0000485E0000}"/>
    <cellStyle name="40% - Accent6 2 4 8 3 2 3" xfId="30830" xr:uid="{00000000-0005-0000-0000-0000495E0000}"/>
    <cellStyle name="40% - Accent6 2 4 8 3 3" xfId="12898" xr:uid="{00000000-0005-0000-0000-00004A5E0000}"/>
    <cellStyle name="40% - Accent6 2 4 8 3 3 2" xfId="24172" xr:uid="{00000000-0005-0000-0000-00004B5E0000}"/>
    <cellStyle name="40% - Accent6 2 4 8 3 3 3" xfId="33049" xr:uid="{00000000-0005-0000-0000-00004C5E0000}"/>
    <cellStyle name="40% - Accent6 2 4 8 3 4" xfId="15348" xr:uid="{00000000-0005-0000-0000-00004D5E0000}"/>
    <cellStyle name="40% - Accent6 2 4 8 3 4 2" xfId="26391" xr:uid="{00000000-0005-0000-0000-00004E5E0000}"/>
    <cellStyle name="40% - Accent6 2 4 8 3 4 3" xfId="35268" xr:uid="{00000000-0005-0000-0000-00004F5E0000}"/>
    <cellStyle name="40% - Accent6 2 4 8 3 5" xfId="19734" xr:uid="{00000000-0005-0000-0000-0000505E0000}"/>
    <cellStyle name="40% - Accent6 2 4 8 3 6" xfId="28611" xr:uid="{00000000-0005-0000-0000-0000515E0000}"/>
    <cellStyle name="40% - Accent6 2 4 8 4" xfId="9707" xr:uid="{00000000-0005-0000-0000-0000525E0000}"/>
    <cellStyle name="40% - Accent6 2 4 8 4 2" xfId="21210" xr:uid="{00000000-0005-0000-0000-0000535E0000}"/>
    <cellStyle name="40% - Accent6 2 4 8 4 3" xfId="30087" xr:uid="{00000000-0005-0000-0000-0000545E0000}"/>
    <cellStyle name="40% - Accent6 2 4 8 5" xfId="12155" xr:uid="{00000000-0005-0000-0000-0000555E0000}"/>
    <cellStyle name="40% - Accent6 2 4 8 5 2" xfId="23429" xr:uid="{00000000-0005-0000-0000-0000565E0000}"/>
    <cellStyle name="40% - Accent6 2 4 8 5 3" xfId="32306" xr:uid="{00000000-0005-0000-0000-0000575E0000}"/>
    <cellStyle name="40% - Accent6 2 4 8 6" xfId="14376" xr:uid="{00000000-0005-0000-0000-0000585E0000}"/>
    <cellStyle name="40% - Accent6 2 4 8 6 2" xfId="25648" xr:uid="{00000000-0005-0000-0000-0000595E0000}"/>
    <cellStyle name="40% - Accent6 2 4 8 6 3" xfId="34525" xr:uid="{00000000-0005-0000-0000-00005A5E0000}"/>
    <cellStyle name="40% - Accent6 2 4 8 7" xfId="18985" xr:uid="{00000000-0005-0000-0000-00005B5E0000}"/>
    <cellStyle name="40% - Accent6 2 4 8 8" xfId="27866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7" xr:uid="{00000000-0005-0000-0000-0000605E0000}"/>
    <cellStyle name="40% - Accent6 2 4 9 2 2 3" xfId="31564" xr:uid="{00000000-0005-0000-0000-0000615E0000}"/>
    <cellStyle name="40% - Accent6 2 4 9 2 3" xfId="13632" xr:uid="{00000000-0005-0000-0000-0000625E0000}"/>
    <cellStyle name="40% - Accent6 2 4 9 2 3 2" xfId="24906" xr:uid="{00000000-0005-0000-0000-0000635E0000}"/>
    <cellStyle name="40% - Accent6 2 4 9 2 3 3" xfId="33783" xr:uid="{00000000-0005-0000-0000-0000645E0000}"/>
    <cellStyle name="40% - Accent6 2 4 9 2 4" xfId="16082" xr:uid="{00000000-0005-0000-0000-0000655E0000}"/>
    <cellStyle name="40% - Accent6 2 4 9 2 4 2" xfId="27125" xr:uid="{00000000-0005-0000-0000-0000665E0000}"/>
    <cellStyle name="40% - Accent6 2 4 9 2 4 3" xfId="36002" xr:uid="{00000000-0005-0000-0000-0000675E0000}"/>
    <cellStyle name="40% - Accent6 2 4 9 2 5" xfId="20468" xr:uid="{00000000-0005-0000-0000-0000685E0000}"/>
    <cellStyle name="40% - Accent6 2 4 9 2 6" xfId="29345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4" xr:uid="{00000000-0005-0000-0000-00006C5E0000}"/>
    <cellStyle name="40% - Accent6 2 4 9 3 2 3" xfId="30831" xr:uid="{00000000-0005-0000-0000-00006D5E0000}"/>
    <cellStyle name="40% - Accent6 2 4 9 3 3" xfId="12899" xr:uid="{00000000-0005-0000-0000-00006E5E0000}"/>
    <cellStyle name="40% - Accent6 2 4 9 3 3 2" xfId="24173" xr:uid="{00000000-0005-0000-0000-00006F5E0000}"/>
    <cellStyle name="40% - Accent6 2 4 9 3 3 3" xfId="33050" xr:uid="{00000000-0005-0000-0000-0000705E0000}"/>
    <cellStyle name="40% - Accent6 2 4 9 3 4" xfId="15349" xr:uid="{00000000-0005-0000-0000-0000715E0000}"/>
    <cellStyle name="40% - Accent6 2 4 9 3 4 2" xfId="26392" xr:uid="{00000000-0005-0000-0000-0000725E0000}"/>
    <cellStyle name="40% - Accent6 2 4 9 3 4 3" xfId="35269" xr:uid="{00000000-0005-0000-0000-0000735E0000}"/>
    <cellStyle name="40% - Accent6 2 4 9 3 5" xfId="19735" xr:uid="{00000000-0005-0000-0000-0000745E0000}"/>
    <cellStyle name="40% - Accent6 2 4 9 3 6" xfId="28612" xr:uid="{00000000-0005-0000-0000-0000755E0000}"/>
    <cellStyle name="40% - Accent6 2 4 9 4" xfId="9708" xr:uid="{00000000-0005-0000-0000-0000765E0000}"/>
    <cellStyle name="40% - Accent6 2 4 9 4 2" xfId="21211" xr:uid="{00000000-0005-0000-0000-0000775E0000}"/>
    <cellStyle name="40% - Accent6 2 4 9 4 3" xfId="30088" xr:uid="{00000000-0005-0000-0000-0000785E0000}"/>
    <cellStyle name="40% - Accent6 2 4 9 5" xfId="12156" xr:uid="{00000000-0005-0000-0000-0000795E0000}"/>
    <cellStyle name="40% - Accent6 2 4 9 5 2" xfId="23430" xr:uid="{00000000-0005-0000-0000-00007A5E0000}"/>
    <cellStyle name="40% - Accent6 2 4 9 5 3" xfId="32307" xr:uid="{00000000-0005-0000-0000-00007B5E0000}"/>
    <cellStyle name="40% - Accent6 2 4 9 6" xfId="14377" xr:uid="{00000000-0005-0000-0000-00007C5E0000}"/>
    <cellStyle name="40% - Accent6 2 4 9 6 2" xfId="25649" xr:uid="{00000000-0005-0000-0000-00007D5E0000}"/>
    <cellStyle name="40% - Accent6 2 4 9 6 3" xfId="34526" xr:uid="{00000000-0005-0000-0000-00007E5E0000}"/>
    <cellStyle name="40% - Accent6 2 4 9 7" xfId="18986" xr:uid="{00000000-0005-0000-0000-00007F5E0000}"/>
    <cellStyle name="40% - Accent6 2 4 9 8" xfId="27867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8" xr:uid="{00000000-0005-0000-0000-0000845E0000}"/>
    <cellStyle name="40% - Accent6 2 5 10 2 3" xfId="31565" xr:uid="{00000000-0005-0000-0000-0000855E0000}"/>
    <cellStyle name="40% - Accent6 2 5 10 3" xfId="13633" xr:uid="{00000000-0005-0000-0000-0000865E0000}"/>
    <cellStyle name="40% - Accent6 2 5 10 3 2" xfId="24907" xr:uid="{00000000-0005-0000-0000-0000875E0000}"/>
    <cellStyle name="40% - Accent6 2 5 10 3 3" xfId="33784" xr:uid="{00000000-0005-0000-0000-0000885E0000}"/>
    <cellStyle name="40% - Accent6 2 5 10 4" xfId="16083" xr:uid="{00000000-0005-0000-0000-0000895E0000}"/>
    <cellStyle name="40% - Accent6 2 5 10 4 2" xfId="27126" xr:uid="{00000000-0005-0000-0000-00008A5E0000}"/>
    <cellStyle name="40% - Accent6 2 5 10 4 3" xfId="36003" xr:uid="{00000000-0005-0000-0000-00008B5E0000}"/>
    <cellStyle name="40% - Accent6 2 5 10 5" xfId="20469" xr:uid="{00000000-0005-0000-0000-00008C5E0000}"/>
    <cellStyle name="40% - Accent6 2 5 10 6" xfId="29346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5" xr:uid="{00000000-0005-0000-0000-0000905E0000}"/>
    <cellStyle name="40% - Accent6 2 5 11 2 3" xfId="30832" xr:uid="{00000000-0005-0000-0000-0000915E0000}"/>
    <cellStyle name="40% - Accent6 2 5 11 3" xfId="12900" xr:uid="{00000000-0005-0000-0000-0000925E0000}"/>
    <cellStyle name="40% - Accent6 2 5 11 3 2" xfId="24174" xr:uid="{00000000-0005-0000-0000-0000935E0000}"/>
    <cellStyle name="40% - Accent6 2 5 11 3 3" xfId="33051" xr:uid="{00000000-0005-0000-0000-0000945E0000}"/>
    <cellStyle name="40% - Accent6 2 5 11 4" xfId="15350" xr:uid="{00000000-0005-0000-0000-0000955E0000}"/>
    <cellStyle name="40% - Accent6 2 5 11 4 2" xfId="26393" xr:uid="{00000000-0005-0000-0000-0000965E0000}"/>
    <cellStyle name="40% - Accent6 2 5 11 4 3" xfId="35270" xr:uid="{00000000-0005-0000-0000-0000975E0000}"/>
    <cellStyle name="40% - Accent6 2 5 11 5" xfId="19736" xr:uid="{00000000-0005-0000-0000-0000985E0000}"/>
    <cellStyle name="40% - Accent6 2 5 11 6" xfId="28613" xr:uid="{00000000-0005-0000-0000-0000995E0000}"/>
    <cellStyle name="40% - Accent6 2 5 12" xfId="9709" xr:uid="{00000000-0005-0000-0000-00009A5E0000}"/>
    <cellStyle name="40% - Accent6 2 5 12 2" xfId="21212" xr:uid="{00000000-0005-0000-0000-00009B5E0000}"/>
    <cellStyle name="40% - Accent6 2 5 12 3" xfId="30089" xr:uid="{00000000-0005-0000-0000-00009C5E0000}"/>
    <cellStyle name="40% - Accent6 2 5 13" xfId="12157" xr:uid="{00000000-0005-0000-0000-00009D5E0000}"/>
    <cellStyle name="40% - Accent6 2 5 13 2" xfId="23431" xr:uid="{00000000-0005-0000-0000-00009E5E0000}"/>
    <cellStyle name="40% - Accent6 2 5 13 3" xfId="32308" xr:uid="{00000000-0005-0000-0000-00009F5E0000}"/>
    <cellStyle name="40% - Accent6 2 5 14" xfId="14378" xr:uid="{00000000-0005-0000-0000-0000A05E0000}"/>
    <cellStyle name="40% - Accent6 2 5 14 2" xfId="25650" xr:uid="{00000000-0005-0000-0000-0000A15E0000}"/>
    <cellStyle name="40% - Accent6 2 5 14 3" xfId="34527" xr:uid="{00000000-0005-0000-0000-0000A25E0000}"/>
    <cellStyle name="40% - Accent6 2 5 15" xfId="18987" xr:uid="{00000000-0005-0000-0000-0000A35E0000}"/>
    <cellStyle name="40% - Accent6 2 5 16" xfId="27868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89" xr:uid="{00000000-0005-0000-0000-0000A85E0000}"/>
    <cellStyle name="40% - Accent6 2 5 2 2 2 3" xfId="31566" xr:uid="{00000000-0005-0000-0000-0000A95E0000}"/>
    <cellStyle name="40% - Accent6 2 5 2 2 3" xfId="13634" xr:uid="{00000000-0005-0000-0000-0000AA5E0000}"/>
    <cellStyle name="40% - Accent6 2 5 2 2 3 2" xfId="24908" xr:uid="{00000000-0005-0000-0000-0000AB5E0000}"/>
    <cellStyle name="40% - Accent6 2 5 2 2 3 3" xfId="33785" xr:uid="{00000000-0005-0000-0000-0000AC5E0000}"/>
    <cellStyle name="40% - Accent6 2 5 2 2 4" xfId="16084" xr:uid="{00000000-0005-0000-0000-0000AD5E0000}"/>
    <cellStyle name="40% - Accent6 2 5 2 2 4 2" xfId="27127" xr:uid="{00000000-0005-0000-0000-0000AE5E0000}"/>
    <cellStyle name="40% - Accent6 2 5 2 2 4 3" xfId="36004" xr:uid="{00000000-0005-0000-0000-0000AF5E0000}"/>
    <cellStyle name="40% - Accent6 2 5 2 2 5" xfId="20470" xr:uid="{00000000-0005-0000-0000-0000B05E0000}"/>
    <cellStyle name="40% - Accent6 2 5 2 2 6" xfId="29347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6" xr:uid="{00000000-0005-0000-0000-0000B45E0000}"/>
    <cellStyle name="40% - Accent6 2 5 2 3 2 3" xfId="30833" xr:uid="{00000000-0005-0000-0000-0000B55E0000}"/>
    <cellStyle name="40% - Accent6 2 5 2 3 3" xfId="12901" xr:uid="{00000000-0005-0000-0000-0000B65E0000}"/>
    <cellStyle name="40% - Accent6 2 5 2 3 3 2" xfId="24175" xr:uid="{00000000-0005-0000-0000-0000B75E0000}"/>
    <cellStyle name="40% - Accent6 2 5 2 3 3 3" xfId="33052" xr:uid="{00000000-0005-0000-0000-0000B85E0000}"/>
    <cellStyle name="40% - Accent6 2 5 2 3 4" xfId="15351" xr:uid="{00000000-0005-0000-0000-0000B95E0000}"/>
    <cellStyle name="40% - Accent6 2 5 2 3 4 2" xfId="26394" xr:uid="{00000000-0005-0000-0000-0000BA5E0000}"/>
    <cellStyle name="40% - Accent6 2 5 2 3 4 3" xfId="35271" xr:uid="{00000000-0005-0000-0000-0000BB5E0000}"/>
    <cellStyle name="40% - Accent6 2 5 2 3 5" xfId="19737" xr:uid="{00000000-0005-0000-0000-0000BC5E0000}"/>
    <cellStyle name="40% - Accent6 2 5 2 3 6" xfId="28614" xr:uid="{00000000-0005-0000-0000-0000BD5E0000}"/>
    <cellStyle name="40% - Accent6 2 5 2 4" xfId="9710" xr:uid="{00000000-0005-0000-0000-0000BE5E0000}"/>
    <cellStyle name="40% - Accent6 2 5 2 4 2" xfId="21213" xr:uid="{00000000-0005-0000-0000-0000BF5E0000}"/>
    <cellStyle name="40% - Accent6 2 5 2 4 3" xfId="30090" xr:uid="{00000000-0005-0000-0000-0000C05E0000}"/>
    <cellStyle name="40% - Accent6 2 5 2 5" xfId="12158" xr:uid="{00000000-0005-0000-0000-0000C15E0000}"/>
    <cellStyle name="40% - Accent6 2 5 2 5 2" xfId="23432" xr:uid="{00000000-0005-0000-0000-0000C25E0000}"/>
    <cellStyle name="40% - Accent6 2 5 2 5 3" xfId="32309" xr:uid="{00000000-0005-0000-0000-0000C35E0000}"/>
    <cellStyle name="40% - Accent6 2 5 2 6" xfId="14379" xr:uid="{00000000-0005-0000-0000-0000C45E0000}"/>
    <cellStyle name="40% - Accent6 2 5 2 6 2" xfId="25651" xr:uid="{00000000-0005-0000-0000-0000C55E0000}"/>
    <cellStyle name="40% - Accent6 2 5 2 6 3" xfId="34528" xr:uid="{00000000-0005-0000-0000-0000C65E0000}"/>
    <cellStyle name="40% - Accent6 2 5 2 7" xfId="18988" xr:uid="{00000000-0005-0000-0000-0000C75E0000}"/>
    <cellStyle name="40% - Accent6 2 5 2 8" xfId="27869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0" xr:uid="{00000000-0005-0000-0000-0000CC5E0000}"/>
    <cellStyle name="40% - Accent6 2 5 3 2 2 3" xfId="31567" xr:uid="{00000000-0005-0000-0000-0000CD5E0000}"/>
    <cellStyle name="40% - Accent6 2 5 3 2 3" xfId="13635" xr:uid="{00000000-0005-0000-0000-0000CE5E0000}"/>
    <cellStyle name="40% - Accent6 2 5 3 2 3 2" xfId="24909" xr:uid="{00000000-0005-0000-0000-0000CF5E0000}"/>
    <cellStyle name="40% - Accent6 2 5 3 2 3 3" xfId="33786" xr:uid="{00000000-0005-0000-0000-0000D05E0000}"/>
    <cellStyle name="40% - Accent6 2 5 3 2 4" xfId="16085" xr:uid="{00000000-0005-0000-0000-0000D15E0000}"/>
    <cellStyle name="40% - Accent6 2 5 3 2 4 2" xfId="27128" xr:uid="{00000000-0005-0000-0000-0000D25E0000}"/>
    <cellStyle name="40% - Accent6 2 5 3 2 4 3" xfId="36005" xr:uid="{00000000-0005-0000-0000-0000D35E0000}"/>
    <cellStyle name="40% - Accent6 2 5 3 2 5" xfId="20471" xr:uid="{00000000-0005-0000-0000-0000D45E0000}"/>
    <cellStyle name="40% - Accent6 2 5 3 2 6" xfId="29348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7" xr:uid="{00000000-0005-0000-0000-0000D85E0000}"/>
    <cellStyle name="40% - Accent6 2 5 3 3 2 3" xfId="30834" xr:uid="{00000000-0005-0000-0000-0000D95E0000}"/>
    <cellStyle name="40% - Accent6 2 5 3 3 3" xfId="12902" xr:uid="{00000000-0005-0000-0000-0000DA5E0000}"/>
    <cellStyle name="40% - Accent6 2 5 3 3 3 2" xfId="24176" xr:uid="{00000000-0005-0000-0000-0000DB5E0000}"/>
    <cellStyle name="40% - Accent6 2 5 3 3 3 3" xfId="33053" xr:uid="{00000000-0005-0000-0000-0000DC5E0000}"/>
    <cellStyle name="40% - Accent6 2 5 3 3 4" xfId="15352" xr:uid="{00000000-0005-0000-0000-0000DD5E0000}"/>
    <cellStyle name="40% - Accent6 2 5 3 3 4 2" xfId="26395" xr:uid="{00000000-0005-0000-0000-0000DE5E0000}"/>
    <cellStyle name="40% - Accent6 2 5 3 3 4 3" xfId="35272" xr:uid="{00000000-0005-0000-0000-0000DF5E0000}"/>
    <cellStyle name="40% - Accent6 2 5 3 3 5" xfId="19738" xr:uid="{00000000-0005-0000-0000-0000E05E0000}"/>
    <cellStyle name="40% - Accent6 2 5 3 3 6" xfId="28615" xr:uid="{00000000-0005-0000-0000-0000E15E0000}"/>
    <cellStyle name="40% - Accent6 2 5 3 4" xfId="9711" xr:uid="{00000000-0005-0000-0000-0000E25E0000}"/>
    <cellStyle name="40% - Accent6 2 5 3 4 2" xfId="21214" xr:uid="{00000000-0005-0000-0000-0000E35E0000}"/>
    <cellStyle name="40% - Accent6 2 5 3 4 3" xfId="30091" xr:uid="{00000000-0005-0000-0000-0000E45E0000}"/>
    <cellStyle name="40% - Accent6 2 5 3 5" xfId="12159" xr:uid="{00000000-0005-0000-0000-0000E55E0000}"/>
    <cellStyle name="40% - Accent6 2 5 3 5 2" xfId="23433" xr:uid="{00000000-0005-0000-0000-0000E65E0000}"/>
    <cellStyle name="40% - Accent6 2 5 3 5 3" xfId="32310" xr:uid="{00000000-0005-0000-0000-0000E75E0000}"/>
    <cellStyle name="40% - Accent6 2 5 3 6" xfId="14380" xr:uid="{00000000-0005-0000-0000-0000E85E0000}"/>
    <cellStyle name="40% - Accent6 2 5 3 6 2" xfId="25652" xr:uid="{00000000-0005-0000-0000-0000E95E0000}"/>
    <cellStyle name="40% - Accent6 2 5 3 6 3" xfId="34529" xr:uid="{00000000-0005-0000-0000-0000EA5E0000}"/>
    <cellStyle name="40% - Accent6 2 5 3 7" xfId="18989" xr:uid="{00000000-0005-0000-0000-0000EB5E0000}"/>
    <cellStyle name="40% - Accent6 2 5 3 8" xfId="27870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1" xr:uid="{00000000-0005-0000-0000-0000F05E0000}"/>
    <cellStyle name="40% - Accent6 2 5 4 2 2 3" xfId="31568" xr:uid="{00000000-0005-0000-0000-0000F15E0000}"/>
    <cellStyle name="40% - Accent6 2 5 4 2 3" xfId="13636" xr:uid="{00000000-0005-0000-0000-0000F25E0000}"/>
    <cellStyle name="40% - Accent6 2 5 4 2 3 2" xfId="24910" xr:uid="{00000000-0005-0000-0000-0000F35E0000}"/>
    <cellStyle name="40% - Accent6 2 5 4 2 3 3" xfId="33787" xr:uid="{00000000-0005-0000-0000-0000F45E0000}"/>
    <cellStyle name="40% - Accent6 2 5 4 2 4" xfId="16086" xr:uid="{00000000-0005-0000-0000-0000F55E0000}"/>
    <cellStyle name="40% - Accent6 2 5 4 2 4 2" xfId="27129" xr:uid="{00000000-0005-0000-0000-0000F65E0000}"/>
    <cellStyle name="40% - Accent6 2 5 4 2 4 3" xfId="36006" xr:uid="{00000000-0005-0000-0000-0000F75E0000}"/>
    <cellStyle name="40% - Accent6 2 5 4 2 5" xfId="20472" xr:uid="{00000000-0005-0000-0000-0000F85E0000}"/>
    <cellStyle name="40% - Accent6 2 5 4 2 6" xfId="29349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8" xr:uid="{00000000-0005-0000-0000-0000FC5E0000}"/>
    <cellStyle name="40% - Accent6 2 5 4 3 2 3" xfId="30835" xr:uid="{00000000-0005-0000-0000-0000FD5E0000}"/>
    <cellStyle name="40% - Accent6 2 5 4 3 3" xfId="12903" xr:uid="{00000000-0005-0000-0000-0000FE5E0000}"/>
    <cellStyle name="40% - Accent6 2 5 4 3 3 2" xfId="24177" xr:uid="{00000000-0005-0000-0000-0000FF5E0000}"/>
    <cellStyle name="40% - Accent6 2 5 4 3 3 3" xfId="33054" xr:uid="{00000000-0005-0000-0000-0000005F0000}"/>
    <cellStyle name="40% - Accent6 2 5 4 3 4" xfId="15353" xr:uid="{00000000-0005-0000-0000-0000015F0000}"/>
    <cellStyle name="40% - Accent6 2 5 4 3 4 2" xfId="26396" xr:uid="{00000000-0005-0000-0000-0000025F0000}"/>
    <cellStyle name="40% - Accent6 2 5 4 3 4 3" xfId="35273" xr:uid="{00000000-0005-0000-0000-0000035F0000}"/>
    <cellStyle name="40% - Accent6 2 5 4 3 5" xfId="19739" xr:uid="{00000000-0005-0000-0000-0000045F0000}"/>
    <cellStyle name="40% - Accent6 2 5 4 3 6" xfId="28616" xr:uid="{00000000-0005-0000-0000-0000055F0000}"/>
    <cellStyle name="40% - Accent6 2 5 4 4" xfId="9712" xr:uid="{00000000-0005-0000-0000-0000065F0000}"/>
    <cellStyle name="40% - Accent6 2 5 4 4 2" xfId="21215" xr:uid="{00000000-0005-0000-0000-0000075F0000}"/>
    <cellStyle name="40% - Accent6 2 5 4 4 3" xfId="30092" xr:uid="{00000000-0005-0000-0000-0000085F0000}"/>
    <cellStyle name="40% - Accent6 2 5 4 5" xfId="12160" xr:uid="{00000000-0005-0000-0000-0000095F0000}"/>
    <cellStyle name="40% - Accent6 2 5 4 5 2" xfId="23434" xr:uid="{00000000-0005-0000-0000-00000A5F0000}"/>
    <cellStyle name="40% - Accent6 2 5 4 5 3" xfId="32311" xr:uid="{00000000-0005-0000-0000-00000B5F0000}"/>
    <cellStyle name="40% - Accent6 2 5 4 6" xfId="14381" xr:uid="{00000000-0005-0000-0000-00000C5F0000}"/>
    <cellStyle name="40% - Accent6 2 5 4 6 2" xfId="25653" xr:uid="{00000000-0005-0000-0000-00000D5F0000}"/>
    <cellStyle name="40% - Accent6 2 5 4 6 3" xfId="34530" xr:uid="{00000000-0005-0000-0000-00000E5F0000}"/>
    <cellStyle name="40% - Accent6 2 5 4 7" xfId="18990" xr:uid="{00000000-0005-0000-0000-00000F5F0000}"/>
    <cellStyle name="40% - Accent6 2 5 4 8" xfId="27871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2" xr:uid="{00000000-0005-0000-0000-0000145F0000}"/>
    <cellStyle name="40% - Accent6 2 5 5 2 2 3" xfId="31569" xr:uid="{00000000-0005-0000-0000-0000155F0000}"/>
    <cellStyle name="40% - Accent6 2 5 5 2 3" xfId="13637" xr:uid="{00000000-0005-0000-0000-0000165F0000}"/>
    <cellStyle name="40% - Accent6 2 5 5 2 3 2" xfId="24911" xr:uid="{00000000-0005-0000-0000-0000175F0000}"/>
    <cellStyle name="40% - Accent6 2 5 5 2 3 3" xfId="33788" xr:uid="{00000000-0005-0000-0000-0000185F0000}"/>
    <cellStyle name="40% - Accent6 2 5 5 2 4" xfId="16087" xr:uid="{00000000-0005-0000-0000-0000195F0000}"/>
    <cellStyle name="40% - Accent6 2 5 5 2 4 2" xfId="27130" xr:uid="{00000000-0005-0000-0000-00001A5F0000}"/>
    <cellStyle name="40% - Accent6 2 5 5 2 4 3" xfId="36007" xr:uid="{00000000-0005-0000-0000-00001B5F0000}"/>
    <cellStyle name="40% - Accent6 2 5 5 2 5" xfId="20473" xr:uid="{00000000-0005-0000-0000-00001C5F0000}"/>
    <cellStyle name="40% - Accent6 2 5 5 2 6" xfId="29350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59" xr:uid="{00000000-0005-0000-0000-0000205F0000}"/>
    <cellStyle name="40% - Accent6 2 5 5 3 2 3" xfId="30836" xr:uid="{00000000-0005-0000-0000-0000215F0000}"/>
    <cellStyle name="40% - Accent6 2 5 5 3 3" xfId="12904" xr:uid="{00000000-0005-0000-0000-0000225F0000}"/>
    <cellStyle name="40% - Accent6 2 5 5 3 3 2" xfId="24178" xr:uid="{00000000-0005-0000-0000-0000235F0000}"/>
    <cellStyle name="40% - Accent6 2 5 5 3 3 3" xfId="33055" xr:uid="{00000000-0005-0000-0000-0000245F0000}"/>
    <cellStyle name="40% - Accent6 2 5 5 3 4" xfId="15354" xr:uid="{00000000-0005-0000-0000-0000255F0000}"/>
    <cellStyle name="40% - Accent6 2 5 5 3 4 2" xfId="26397" xr:uid="{00000000-0005-0000-0000-0000265F0000}"/>
    <cellStyle name="40% - Accent6 2 5 5 3 4 3" xfId="35274" xr:uid="{00000000-0005-0000-0000-0000275F0000}"/>
    <cellStyle name="40% - Accent6 2 5 5 3 5" xfId="19740" xr:uid="{00000000-0005-0000-0000-0000285F0000}"/>
    <cellStyle name="40% - Accent6 2 5 5 3 6" xfId="28617" xr:uid="{00000000-0005-0000-0000-0000295F0000}"/>
    <cellStyle name="40% - Accent6 2 5 5 4" xfId="9713" xr:uid="{00000000-0005-0000-0000-00002A5F0000}"/>
    <cellStyle name="40% - Accent6 2 5 5 4 2" xfId="21216" xr:uid="{00000000-0005-0000-0000-00002B5F0000}"/>
    <cellStyle name="40% - Accent6 2 5 5 4 3" xfId="30093" xr:uid="{00000000-0005-0000-0000-00002C5F0000}"/>
    <cellStyle name="40% - Accent6 2 5 5 5" xfId="12161" xr:uid="{00000000-0005-0000-0000-00002D5F0000}"/>
    <cellStyle name="40% - Accent6 2 5 5 5 2" xfId="23435" xr:uid="{00000000-0005-0000-0000-00002E5F0000}"/>
    <cellStyle name="40% - Accent6 2 5 5 5 3" xfId="32312" xr:uid="{00000000-0005-0000-0000-00002F5F0000}"/>
    <cellStyle name="40% - Accent6 2 5 5 6" xfId="14382" xr:uid="{00000000-0005-0000-0000-0000305F0000}"/>
    <cellStyle name="40% - Accent6 2 5 5 6 2" xfId="25654" xr:uid="{00000000-0005-0000-0000-0000315F0000}"/>
    <cellStyle name="40% - Accent6 2 5 5 6 3" xfId="34531" xr:uid="{00000000-0005-0000-0000-0000325F0000}"/>
    <cellStyle name="40% - Accent6 2 5 5 7" xfId="18991" xr:uid="{00000000-0005-0000-0000-0000335F0000}"/>
    <cellStyle name="40% - Accent6 2 5 5 8" xfId="27872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3" xr:uid="{00000000-0005-0000-0000-0000385F0000}"/>
    <cellStyle name="40% - Accent6 2 5 6 2 2 3" xfId="31570" xr:uid="{00000000-0005-0000-0000-0000395F0000}"/>
    <cellStyle name="40% - Accent6 2 5 6 2 3" xfId="13638" xr:uid="{00000000-0005-0000-0000-00003A5F0000}"/>
    <cellStyle name="40% - Accent6 2 5 6 2 3 2" xfId="24912" xr:uid="{00000000-0005-0000-0000-00003B5F0000}"/>
    <cellStyle name="40% - Accent6 2 5 6 2 3 3" xfId="33789" xr:uid="{00000000-0005-0000-0000-00003C5F0000}"/>
    <cellStyle name="40% - Accent6 2 5 6 2 4" xfId="16088" xr:uid="{00000000-0005-0000-0000-00003D5F0000}"/>
    <cellStyle name="40% - Accent6 2 5 6 2 4 2" xfId="27131" xr:uid="{00000000-0005-0000-0000-00003E5F0000}"/>
    <cellStyle name="40% - Accent6 2 5 6 2 4 3" xfId="36008" xr:uid="{00000000-0005-0000-0000-00003F5F0000}"/>
    <cellStyle name="40% - Accent6 2 5 6 2 5" xfId="20474" xr:uid="{00000000-0005-0000-0000-0000405F0000}"/>
    <cellStyle name="40% - Accent6 2 5 6 2 6" xfId="29351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0" xr:uid="{00000000-0005-0000-0000-0000445F0000}"/>
    <cellStyle name="40% - Accent6 2 5 6 3 2 3" xfId="30837" xr:uid="{00000000-0005-0000-0000-0000455F0000}"/>
    <cellStyle name="40% - Accent6 2 5 6 3 3" xfId="12905" xr:uid="{00000000-0005-0000-0000-0000465F0000}"/>
    <cellStyle name="40% - Accent6 2 5 6 3 3 2" xfId="24179" xr:uid="{00000000-0005-0000-0000-0000475F0000}"/>
    <cellStyle name="40% - Accent6 2 5 6 3 3 3" xfId="33056" xr:uid="{00000000-0005-0000-0000-0000485F0000}"/>
    <cellStyle name="40% - Accent6 2 5 6 3 4" xfId="15355" xr:uid="{00000000-0005-0000-0000-0000495F0000}"/>
    <cellStyle name="40% - Accent6 2 5 6 3 4 2" xfId="26398" xr:uid="{00000000-0005-0000-0000-00004A5F0000}"/>
    <cellStyle name="40% - Accent6 2 5 6 3 4 3" xfId="35275" xr:uid="{00000000-0005-0000-0000-00004B5F0000}"/>
    <cellStyle name="40% - Accent6 2 5 6 3 5" xfId="19741" xr:uid="{00000000-0005-0000-0000-00004C5F0000}"/>
    <cellStyle name="40% - Accent6 2 5 6 3 6" xfId="28618" xr:uid="{00000000-0005-0000-0000-00004D5F0000}"/>
    <cellStyle name="40% - Accent6 2 5 6 4" xfId="9714" xr:uid="{00000000-0005-0000-0000-00004E5F0000}"/>
    <cellStyle name="40% - Accent6 2 5 6 4 2" xfId="21217" xr:uid="{00000000-0005-0000-0000-00004F5F0000}"/>
    <cellStyle name="40% - Accent6 2 5 6 4 3" xfId="30094" xr:uid="{00000000-0005-0000-0000-0000505F0000}"/>
    <cellStyle name="40% - Accent6 2 5 6 5" xfId="12162" xr:uid="{00000000-0005-0000-0000-0000515F0000}"/>
    <cellStyle name="40% - Accent6 2 5 6 5 2" xfId="23436" xr:uid="{00000000-0005-0000-0000-0000525F0000}"/>
    <cellStyle name="40% - Accent6 2 5 6 5 3" xfId="32313" xr:uid="{00000000-0005-0000-0000-0000535F0000}"/>
    <cellStyle name="40% - Accent6 2 5 6 6" xfId="14383" xr:uid="{00000000-0005-0000-0000-0000545F0000}"/>
    <cellStyle name="40% - Accent6 2 5 6 6 2" xfId="25655" xr:uid="{00000000-0005-0000-0000-0000555F0000}"/>
    <cellStyle name="40% - Accent6 2 5 6 6 3" xfId="34532" xr:uid="{00000000-0005-0000-0000-0000565F0000}"/>
    <cellStyle name="40% - Accent6 2 5 6 7" xfId="18992" xr:uid="{00000000-0005-0000-0000-0000575F0000}"/>
    <cellStyle name="40% - Accent6 2 5 6 8" xfId="27873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4" xr:uid="{00000000-0005-0000-0000-00005C5F0000}"/>
    <cellStyle name="40% - Accent6 2 5 7 2 2 3" xfId="31571" xr:uid="{00000000-0005-0000-0000-00005D5F0000}"/>
    <cellStyle name="40% - Accent6 2 5 7 2 3" xfId="13639" xr:uid="{00000000-0005-0000-0000-00005E5F0000}"/>
    <cellStyle name="40% - Accent6 2 5 7 2 3 2" xfId="24913" xr:uid="{00000000-0005-0000-0000-00005F5F0000}"/>
    <cellStyle name="40% - Accent6 2 5 7 2 3 3" xfId="33790" xr:uid="{00000000-0005-0000-0000-0000605F0000}"/>
    <cellStyle name="40% - Accent6 2 5 7 2 4" xfId="16089" xr:uid="{00000000-0005-0000-0000-0000615F0000}"/>
    <cellStyle name="40% - Accent6 2 5 7 2 4 2" xfId="27132" xr:uid="{00000000-0005-0000-0000-0000625F0000}"/>
    <cellStyle name="40% - Accent6 2 5 7 2 4 3" xfId="36009" xr:uid="{00000000-0005-0000-0000-0000635F0000}"/>
    <cellStyle name="40% - Accent6 2 5 7 2 5" xfId="20475" xr:uid="{00000000-0005-0000-0000-0000645F0000}"/>
    <cellStyle name="40% - Accent6 2 5 7 2 6" xfId="29352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1" xr:uid="{00000000-0005-0000-0000-0000685F0000}"/>
    <cellStyle name="40% - Accent6 2 5 7 3 2 3" xfId="30838" xr:uid="{00000000-0005-0000-0000-0000695F0000}"/>
    <cellStyle name="40% - Accent6 2 5 7 3 3" xfId="12906" xr:uid="{00000000-0005-0000-0000-00006A5F0000}"/>
    <cellStyle name="40% - Accent6 2 5 7 3 3 2" xfId="24180" xr:uid="{00000000-0005-0000-0000-00006B5F0000}"/>
    <cellStyle name="40% - Accent6 2 5 7 3 3 3" xfId="33057" xr:uid="{00000000-0005-0000-0000-00006C5F0000}"/>
    <cellStyle name="40% - Accent6 2 5 7 3 4" xfId="15356" xr:uid="{00000000-0005-0000-0000-00006D5F0000}"/>
    <cellStyle name="40% - Accent6 2 5 7 3 4 2" xfId="26399" xr:uid="{00000000-0005-0000-0000-00006E5F0000}"/>
    <cellStyle name="40% - Accent6 2 5 7 3 4 3" xfId="35276" xr:uid="{00000000-0005-0000-0000-00006F5F0000}"/>
    <cellStyle name="40% - Accent6 2 5 7 3 5" xfId="19742" xr:uid="{00000000-0005-0000-0000-0000705F0000}"/>
    <cellStyle name="40% - Accent6 2 5 7 3 6" xfId="28619" xr:uid="{00000000-0005-0000-0000-0000715F0000}"/>
    <cellStyle name="40% - Accent6 2 5 7 4" xfId="9715" xr:uid="{00000000-0005-0000-0000-0000725F0000}"/>
    <cellStyle name="40% - Accent6 2 5 7 4 2" xfId="21218" xr:uid="{00000000-0005-0000-0000-0000735F0000}"/>
    <cellStyle name="40% - Accent6 2 5 7 4 3" xfId="30095" xr:uid="{00000000-0005-0000-0000-0000745F0000}"/>
    <cellStyle name="40% - Accent6 2 5 7 5" xfId="12163" xr:uid="{00000000-0005-0000-0000-0000755F0000}"/>
    <cellStyle name="40% - Accent6 2 5 7 5 2" xfId="23437" xr:uid="{00000000-0005-0000-0000-0000765F0000}"/>
    <cellStyle name="40% - Accent6 2 5 7 5 3" xfId="32314" xr:uid="{00000000-0005-0000-0000-0000775F0000}"/>
    <cellStyle name="40% - Accent6 2 5 7 6" xfId="14384" xr:uid="{00000000-0005-0000-0000-0000785F0000}"/>
    <cellStyle name="40% - Accent6 2 5 7 6 2" xfId="25656" xr:uid="{00000000-0005-0000-0000-0000795F0000}"/>
    <cellStyle name="40% - Accent6 2 5 7 6 3" xfId="34533" xr:uid="{00000000-0005-0000-0000-00007A5F0000}"/>
    <cellStyle name="40% - Accent6 2 5 7 7" xfId="18993" xr:uid="{00000000-0005-0000-0000-00007B5F0000}"/>
    <cellStyle name="40% - Accent6 2 5 7 8" xfId="27874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5" xr:uid="{00000000-0005-0000-0000-0000805F0000}"/>
    <cellStyle name="40% - Accent6 2 5 8 2 2 3" xfId="31572" xr:uid="{00000000-0005-0000-0000-0000815F0000}"/>
    <cellStyle name="40% - Accent6 2 5 8 2 3" xfId="13640" xr:uid="{00000000-0005-0000-0000-0000825F0000}"/>
    <cellStyle name="40% - Accent6 2 5 8 2 3 2" xfId="24914" xr:uid="{00000000-0005-0000-0000-0000835F0000}"/>
    <cellStyle name="40% - Accent6 2 5 8 2 3 3" xfId="33791" xr:uid="{00000000-0005-0000-0000-0000845F0000}"/>
    <cellStyle name="40% - Accent6 2 5 8 2 4" xfId="16090" xr:uid="{00000000-0005-0000-0000-0000855F0000}"/>
    <cellStyle name="40% - Accent6 2 5 8 2 4 2" xfId="27133" xr:uid="{00000000-0005-0000-0000-0000865F0000}"/>
    <cellStyle name="40% - Accent6 2 5 8 2 4 3" xfId="36010" xr:uid="{00000000-0005-0000-0000-0000875F0000}"/>
    <cellStyle name="40% - Accent6 2 5 8 2 5" xfId="20476" xr:uid="{00000000-0005-0000-0000-0000885F0000}"/>
    <cellStyle name="40% - Accent6 2 5 8 2 6" xfId="29353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2" xr:uid="{00000000-0005-0000-0000-00008C5F0000}"/>
    <cellStyle name="40% - Accent6 2 5 8 3 2 3" xfId="30839" xr:uid="{00000000-0005-0000-0000-00008D5F0000}"/>
    <cellStyle name="40% - Accent6 2 5 8 3 3" xfId="12907" xr:uid="{00000000-0005-0000-0000-00008E5F0000}"/>
    <cellStyle name="40% - Accent6 2 5 8 3 3 2" xfId="24181" xr:uid="{00000000-0005-0000-0000-00008F5F0000}"/>
    <cellStyle name="40% - Accent6 2 5 8 3 3 3" xfId="33058" xr:uid="{00000000-0005-0000-0000-0000905F0000}"/>
    <cellStyle name="40% - Accent6 2 5 8 3 4" xfId="15357" xr:uid="{00000000-0005-0000-0000-0000915F0000}"/>
    <cellStyle name="40% - Accent6 2 5 8 3 4 2" xfId="26400" xr:uid="{00000000-0005-0000-0000-0000925F0000}"/>
    <cellStyle name="40% - Accent6 2 5 8 3 4 3" xfId="35277" xr:uid="{00000000-0005-0000-0000-0000935F0000}"/>
    <cellStyle name="40% - Accent6 2 5 8 3 5" xfId="19743" xr:uid="{00000000-0005-0000-0000-0000945F0000}"/>
    <cellStyle name="40% - Accent6 2 5 8 3 6" xfId="28620" xr:uid="{00000000-0005-0000-0000-0000955F0000}"/>
    <cellStyle name="40% - Accent6 2 5 8 4" xfId="9716" xr:uid="{00000000-0005-0000-0000-0000965F0000}"/>
    <cellStyle name="40% - Accent6 2 5 8 4 2" xfId="21219" xr:uid="{00000000-0005-0000-0000-0000975F0000}"/>
    <cellStyle name="40% - Accent6 2 5 8 4 3" xfId="30096" xr:uid="{00000000-0005-0000-0000-0000985F0000}"/>
    <cellStyle name="40% - Accent6 2 5 8 5" xfId="12164" xr:uid="{00000000-0005-0000-0000-0000995F0000}"/>
    <cellStyle name="40% - Accent6 2 5 8 5 2" xfId="23438" xr:uid="{00000000-0005-0000-0000-00009A5F0000}"/>
    <cellStyle name="40% - Accent6 2 5 8 5 3" xfId="32315" xr:uid="{00000000-0005-0000-0000-00009B5F0000}"/>
    <cellStyle name="40% - Accent6 2 5 8 6" xfId="14385" xr:uid="{00000000-0005-0000-0000-00009C5F0000}"/>
    <cellStyle name="40% - Accent6 2 5 8 6 2" xfId="25657" xr:uid="{00000000-0005-0000-0000-00009D5F0000}"/>
    <cellStyle name="40% - Accent6 2 5 8 6 3" xfId="34534" xr:uid="{00000000-0005-0000-0000-00009E5F0000}"/>
    <cellStyle name="40% - Accent6 2 5 8 7" xfId="18994" xr:uid="{00000000-0005-0000-0000-00009F5F0000}"/>
    <cellStyle name="40% - Accent6 2 5 8 8" xfId="27875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6" xr:uid="{00000000-0005-0000-0000-0000A45F0000}"/>
    <cellStyle name="40% - Accent6 2 5 9 2 2 3" xfId="31573" xr:uid="{00000000-0005-0000-0000-0000A55F0000}"/>
    <cellStyle name="40% - Accent6 2 5 9 2 3" xfId="13641" xr:uid="{00000000-0005-0000-0000-0000A65F0000}"/>
    <cellStyle name="40% - Accent6 2 5 9 2 3 2" xfId="24915" xr:uid="{00000000-0005-0000-0000-0000A75F0000}"/>
    <cellStyle name="40% - Accent6 2 5 9 2 3 3" xfId="33792" xr:uid="{00000000-0005-0000-0000-0000A85F0000}"/>
    <cellStyle name="40% - Accent6 2 5 9 2 4" xfId="16091" xr:uid="{00000000-0005-0000-0000-0000A95F0000}"/>
    <cellStyle name="40% - Accent6 2 5 9 2 4 2" xfId="27134" xr:uid="{00000000-0005-0000-0000-0000AA5F0000}"/>
    <cellStyle name="40% - Accent6 2 5 9 2 4 3" xfId="36011" xr:uid="{00000000-0005-0000-0000-0000AB5F0000}"/>
    <cellStyle name="40% - Accent6 2 5 9 2 5" xfId="20477" xr:uid="{00000000-0005-0000-0000-0000AC5F0000}"/>
    <cellStyle name="40% - Accent6 2 5 9 2 6" xfId="29354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3" xr:uid="{00000000-0005-0000-0000-0000B05F0000}"/>
    <cellStyle name="40% - Accent6 2 5 9 3 2 3" xfId="30840" xr:uid="{00000000-0005-0000-0000-0000B15F0000}"/>
    <cellStyle name="40% - Accent6 2 5 9 3 3" xfId="12908" xr:uid="{00000000-0005-0000-0000-0000B25F0000}"/>
    <cellStyle name="40% - Accent6 2 5 9 3 3 2" xfId="24182" xr:uid="{00000000-0005-0000-0000-0000B35F0000}"/>
    <cellStyle name="40% - Accent6 2 5 9 3 3 3" xfId="33059" xr:uid="{00000000-0005-0000-0000-0000B45F0000}"/>
    <cellStyle name="40% - Accent6 2 5 9 3 4" xfId="15358" xr:uid="{00000000-0005-0000-0000-0000B55F0000}"/>
    <cellStyle name="40% - Accent6 2 5 9 3 4 2" xfId="26401" xr:uid="{00000000-0005-0000-0000-0000B65F0000}"/>
    <cellStyle name="40% - Accent6 2 5 9 3 4 3" xfId="35278" xr:uid="{00000000-0005-0000-0000-0000B75F0000}"/>
    <cellStyle name="40% - Accent6 2 5 9 3 5" xfId="19744" xr:uid="{00000000-0005-0000-0000-0000B85F0000}"/>
    <cellStyle name="40% - Accent6 2 5 9 3 6" xfId="28621" xr:uid="{00000000-0005-0000-0000-0000B95F0000}"/>
    <cellStyle name="40% - Accent6 2 5 9 4" xfId="9717" xr:uid="{00000000-0005-0000-0000-0000BA5F0000}"/>
    <cellStyle name="40% - Accent6 2 5 9 4 2" xfId="21220" xr:uid="{00000000-0005-0000-0000-0000BB5F0000}"/>
    <cellStyle name="40% - Accent6 2 5 9 4 3" xfId="30097" xr:uid="{00000000-0005-0000-0000-0000BC5F0000}"/>
    <cellStyle name="40% - Accent6 2 5 9 5" xfId="12165" xr:uid="{00000000-0005-0000-0000-0000BD5F0000}"/>
    <cellStyle name="40% - Accent6 2 5 9 5 2" xfId="23439" xr:uid="{00000000-0005-0000-0000-0000BE5F0000}"/>
    <cellStyle name="40% - Accent6 2 5 9 5 3" xfId="32316" xr:uid="{00000000-0005-0000-0000-0000BF5F0000}"/>
    <cellStyle name="40% - Accent6 2 5 9 6" xfId="14386" xr:uid="{00000000-0005-0000-0000-0000C05F0000}"/>
    <cellStyle name="40% - Accent6 2 5 9 6 2" xfId="25658" xr:uid="{00000000-0005-0000-0000-0000C15F0000}"/>
    <cellStyle name="40% - Accent6 2 5 9 6 3" xfId="34535" xr:uid="{00000000-0005-0000-0000-0000C25F0000}"/>
    <cellStyle name="40% - Accent6 2 5 9 7" xfId="18995" xr:uid="{00000000-0005-0000-0000-0000C35F0000}"/>
    <cellStyle name="40% - Accent6 2 5 9 8" xfId="27876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59" xr:uid="{00000000-0005-0000-0000-0000C75F0000}"/>
    <cellStyle name="40% - Accent6 2 6 10 3" xfId="34536" xr:uid="{00000000-0005-0000-0000-0000C85F0000}"/>
    <cellStyle name="40% - Accent6 2 6 11" xfId="18996" xr:uid="{00000000-0005-0000-0000-0000C95F0000}"/>
    <cellStyle name="40% - Accent6 2 6 12" xfId="27877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8" xr:uid="{00000000-0005-0000-0000-0000CE5F0000}"/>
    <cellStyle name="40% - Accent6 2 6 2 2 2 3" xfId="31575" xr:uid="{00000000-0005-0000-0000-0000CF5F0000}"/>
    <cellStyle name="40% - Accent6 2 6 2 2 3" xfId="13643" xr:uid="{00000000-0005-0000-0000-0000D05F0000}"/>
    <cellStyle name="40% - Accent6 2 6 2 2 3 2" xfId="24917" xr:uid="{00000000-0005-0000-0000-0000D15F0000}"/>
    <cellStyle name="40% - Accent6 2 6 2 2 3 3" xfId="33794" xr:uid="{00000000-0005-0000-0000-0000D25F0000}"/>
    <cellStyle name="40% - Accent6 2 6 2 2 4" xfId="16093" xr:uid="{00000000-0005-0000-0000-0000D35F0000}"/>
    <cellStyle name="40% - Accent6 2 6 2 2 4 2" xfId="27136" xr:uid="{00000000-0005-0000-0000-0000D45F0000}"/>
    <cellStyle name="40% - Accent6 2 6 2 2 4 3" xfId="36013" xr:uid="{00000000-0005-0000-0000-0000D55F0000}"/>
    <cellStyle name="40% - Accent6 2 6 2 2 5" xfId="20479" xr:uid="{00000000-0005-0000-0000-0000D65F0000}"/>
    <cellStyle name="40% - Accent6 2 6 2 2 6" xfId="29356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5" xr:uid="{00000000-0005-0000-0000-0000DA5F0000}"/>
    <cellStyle name="40% - Accent6 2 6 2 3 2 3" xfId="30842" xr:uid="{00000000-0005-0000-0000-0000DB5F0000}"/>
    <cellStyle name="40% - Accent6 2 6 2 3 3" xfId="12910" xr:uid="{00000000-0005-0000-0000-0000DC5F0000}"/>
    <cellStyle name="40% - Accent6 2 6 2 3 3 2" xfId="24184" xr:uid="{00000000-0005-0000-0000-0000DD5F0000}"/>
    <cellStyle name="40% - Accent6 2 6 2 3 3 3" xfId="33061" xr:uid="{00000000-0005-0000-0000-0000DE5F0000}"/>
    <cellStyle name="40% - Accent6 2 6 2 3 4" xfId="15360" xr:uid="{00000000-0005-0000-0000-0000DF5F0000}"/>
    <cellStyle name="40% - Accent6 2 6 2 3 4 2" xfId="26403" xr:uid="{00000000-0005-0000-0000-0000E05F0000}"/>
    <cellStyle name="40% - Accent6 2 6 2 3 4 3" xfId="35280" xr:uid="{00000000-0005-0000-0000-0000E15F0000}"/>
    <cellStyle name="40% - Accent6 2 6 2 3 5" xfId="19746" xr:uid="{00000000-0005-0000-0000-0000E25F0000}"/>
    <cellStyle name="40% - Accent6 2 6 2 3 6" xfId="28623" xr:uid="{00000000-0005-0000-0000-0000E35F0000}"/>
    <cellStyle name="40% - Accent6 2 6 2 4" xfId="9719" xr:uid="{00000000-0005-0000-0000-0000E45F0000}"/>
    <cellStyle name="40% - Accent6 2 6 2 4 2" xfId="21222" xr:uid="{00000000-0005-0000-0000-0000E55F0000}"/>
    <cellStyle name="40% - Accent6 2 6 2 4 3" xfId="30099" xr:uid="{00000000-0005-0000-0000-0000E65F0000}"/>
    <cellStyle name="40% - Accent6 2 6 2 5" xfId="12167" xr:uid="{00000000-0005-0000-0000-0000E75F0000}"/>
    <cellStyle name="40% - Accent6 2 6 2 5 2" xfId="23441" xr:uid="{00000000-0005-0000-0000-0000E85F0000}"/>
    <cellStyle name="40% - Accent6 2 6 2 5 3" xfId="32318" xr:uid="{00000000-0005-0000-0000-0000E95F0000}"/>
    <cellStyle name="40% - Accent6 2 6 2 6" xfId="14388" xr:uid="{00000000-0005-0000-0000-0000EA5F0000}"/>
    <cellStyle name="40% - Accent6 2 6 2 6 2" xfId="25660" xr:uid="{00000000-0005-0000-0000-0000EB5F0000}"/>
    <cellStyle name="40% - Accent6 2 6 2 6 3" xfId="34537" xr:uid="{00000000-0005-0000-0000-0000EC5F0000}"/>
    <cellStyle name="40% - Accent6 2 6 2 7" xfId="18997" xr:uid="{00000000-0005-0000-0000-0000ED5F0000}"/>
    <cellStyle name="40% - Accent6 2 6 2 8" xfId="27878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699" xr:uid="{00000000-0005-0000-0000-0000F25F0000}"/>
    <cellStyle name="40% - Accent6 2 6 3 2 2 3" xfId="31576" xr:uid="{00000000-0005-0000-0000-0000F35F0000}"/>
    <cellStyle name="40% - Accent6 2 6 3 2 3" xfId="13644" xr:uid="{00000000-0005-0000-0000-0000F45F0000}"/>
    <cellStyle name="40% - Accent6 2 6 3 2 3 2" xfId="24918" xr:uid="{00000000-0005-0000-0000-0000F55F0000}"/>
    <cellStyle name="40% - Accent6 2 6 3 2 3 3" xfId="33795" xr:uid="{00000000-0005-0000-0000-0000F65F0000}"/>
    <cellStyle name="40% - Accent6 2 6 3 2 4" xfId="16094" xr:uid="{00000000-0005-0000-0000-0000F75F0000}"/>
    <cellStyle name="40% - Accent6 2 6 3 2 4 2" xfId="27137" xr:uid="{00000000-0005-0000-0000-0000F85F0000}"/>
    <cellStyle name="40% - Accent6 2 6 3 2 4 3" xfId="36014" xr:uid="{00000000-0005-0000-0000-0000F95F0000}"/>
    <cellStyle name="40% - Accent6 2 6 3 2 5" xfId="20480" xr:uid="{00000000-0005-0000-0000-0000FA5F0000}"/>
    <cellStyle name="40% - Accent6 2 6 3 2 6" xfId="29357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6" xr:uid="{00000000-0005-0000-0000-0000FE5F0000}"/>
    <cellStyle name="40% - Accent6 2 6 3 3 2 3" xfId="30843" xr:uid="{00000000-0005-0000-0000-0000FF5F0000}"/>
    <cellStyle name="40% - Accent6 2 6 3 3 3" xfId="12911" xr:uid="{00000000-0005-0000-0000-000000600000}"/>
    <cellStyle name="40% - Accent6 2 6 3 3 3 2" xfId="24185" xr:uid="{00000000-0005-0000-0000-000001600000}"/>
    <cellStyle name="40% - Accent6 2 6 3 3 3 3" xfId="33062" xr:uid="{00000000-0005-0000-0000-000002600000}"/>
    <cellStyle name="40% - Accent6 2 6 3 3 4" xfId="15361" xr:uid="{00000000-0005-0000-0000-000003600000}"/>
    <cellStyle name="40% - Accent6 2 6 3 3 4 2" xfId="26404" xr:uid="{00000000-0005-0000-0000-000004600000}"/>
    <cellStyle name="40% - Accent6 2 6 3 3 4 3" xfId="35281" xr:uid="{00000000-0005-0000-0000-000005600000}"/>
    <cellStyle name="40% - Accent6 2 6 3 3 5" xfId="19747" xr:uid="{00000000-0005-0000-0000-000006600000}"/>
    <cellStyle name="40% - Accent6 2 6 3 3 6" xfId="28624" xr:uid="{00000000-0005-0000-0000-000007600000}"/>
    <cellStyle name="40% - Accent6 2 6 3 4" xfId="9720" xr:uid="{00000000-0005-0000-0000-000008600000}"/>
    <cellStyle name="40% - Accent6 2 6 3 4 2" xfId="21223" xr:uid="{00000000-0005-0000-0000-000009600000}"/>
    <cellStyle name="40% - Accent6 2 6 3 4 3" xfId="30100" xr:uid="{00000000-0005-0000-0000-00000A600000}"/>
    <cellStyle name="40% - Accent6 2 6 3 5" xfId="12168" xr:uid="{00000000-0005-0000-0000-00000B600000}"/>
    <cellStyle name="40% - Accent6 2 6 3 5 2" xfId="23442" xr:uid="{00000000-0005-0000-0000-00000C600000}"/>
    <cellStyle name="40% - Accent6 2 6 3 5 3" xfId="32319" xr:uid="{00000000-0005-0000-0000-00000D600000}"/>
    <cellStyle name="40% - Accent6 2 6 3 6" xfId="14389" xr:uid="{00000000-0005-0000-0000-00000E600000}"/>
    <cellStyle name="40% - Accent6 2 6 3 6 2" xfId="25661" xr:uid="{00000000-0005-0000-0000-00000F600000}"/>
    <cellStyle name="40% - Accent6 2 6 3 6 3" xfId="34538" xr:uid="{00000000-0005-0000-0000-000010600000}"/>
    <cellStyle name="40% - Accent6 2 6 3 7" xfId="18998" xr:uid="{00000000-0005-0000-0000-000011600000}"/>
    <cellStyle name="40% - Accent6 2 6 3 8" xfId="27879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0" xr:uid="{00000000-0005-0000-0000-000016600000}"/>
    <cellStyle name="40% - Accent6 2 6 4 2 2 3" xfId="31577" xr:uid="{00000000-0005-0000-0000-000017600000}"/>
    <cellStyle name="40% - Accent6 2 6 4 2 3" xfId="13645" xr:uid="{00000000-0005-0000-0000-000018600000}"/>
    <cellStyle name="40% - Accent6 2 6 4 2 3 2" xfId="24919" xr:uid="{00000000-0005-0000-0000-000019600000}"/>
    <cellStyle name="40% - Accent6 2 6 4 2 3 3" xfId="33796" xr:uid="{00000000-0005-0000-0000-00001A600000}"/>
    <cellStyle name="40% - Accent6 2 6 4 2 4" xfId="16095" xr:uid="{00000000-0005-0000-0000-00001B600000}"/>
    <cellStyle name="40% - Accent6 2 6 4 2 4 2" xfId="27138" xr:uid="{00000000-0005-0000-0000-00001C600000}"/>
    <cellStyle name="40% - Accent6 2 6 4 2 4 3" xfId="36015" xr:uid="{00000000-0005-0000-0000-00001D600000}"/>
    <cellStyle name="40% - Accent6 2 6 4 2 5" xfId="20481" xr:uid="{00000000-0005-0000-0000-00001E600000}"/>
    <cellStyle name="40% - Accent6 2 6 4 2 6" xfId="29358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7" xr:uid="{00000000-0005-0000-0000-000022600000}"/>
    <cellStyle name="40% - Accent6 2 6 4 3 2 3" xfId="30844" xr:uid="{00000000-0005-0000-0000-000023600000}"/>
    <cellStyle name="40% - Accent6 2 6 4 3 3" xfId="12912" xr:uid="{00000000-0005-0000-0000-000024600000}"/>
    <cellStyle name="40% - Accent6 2 6 4 3 3 2" xfId="24186" xr:uid="{00000000-0005-0000-0000-000025600000}"/>
    <cellStyle name="40% - Accent6 2 6 4 3 3 3" xfId="33063" xr:uid="{00000000-0005-0000-0000-000026600000}"/>
    <cellStyle name="40% - Accent6 2 6 4 3 4" xfId="15362" xr:uid="{00000000-0005-0000-0000-000027600000}"/>
    <cellStyle name="40% - Accent6 2 6 4 3 4 2" xfId="26405" xr:uid="{00000000-0005-0000-0000-000028600000}"/>
    <cellStyle name="40% - Accent6 2 6 4 3 4 3" xfId="35282" xr:uid="{00000000-0005-0000-0000-000029600000}"/>
    <cellStyle name="40% - Accent6 2 6 4 3 5" xfId="19748" xr:uid="{00000000-0005-0000-0000-00002A600000}"/>
    <cellStyle name="40% - Accent6 2 6 4 3 6" xfId="28625" xr:uid="{00000000-0005-0000-0000-00002B600000}"/>
    <cellStyle name="40% - Accent6 2 6 4 4" xfId="9721" xr:uid="{00000000-0005-0000-0000-00002C600000}"/>
    <cellStyle name="40% - Accent6 2 6 4 4 2" xfId="21224" xr:uid="{00000000-0005-0000-0000-00002D600000}"/>
    <cellStyle name="40% - Accent6 2 6 4 4 3" xfId="30101" xr:uid="{00000000-0005-0000-0000-00002E600000}"/>
    <cellStyle name="40% - Accent6 2 6 4 5" xfId="12169" xr:uid="{00000000-0005-0000-0000-00002F600000}"/>
    <cellStyle name="40% - Accent6 2 6 4 5 2" xfId="23443" xr:uid="{00000000-0005-0000-0000-000030600000}"/>
    <cellStyle name="40% - Accent6 2 6 4 5 3" xfId="32320" xr:uid="{00000000-0005-0000-0000-000031600000}"/>
    <cellStyle name="40% - Accent6 2 6 4 6" xfId="14390" xr:uid="{00000000-0005-0000-0000-000032600000}"/>
    <cellStyle name="40% - Accent6 2 6 4 6 2" xfId="25662" xr:uid="{00000000-0005-0000-0000-000033600000}"/>
    <cellStyle name="40% - Accent6 2 6 4 6 3" xfId="34539" xr:uid="{00000000-0005-0000-0000-000034600000}"/>
    <cellStyle name="40% - Accent6 2 6 4 7" xfId="18999" xr:uid="{00000000-0005-0000-0000-000035600000}"/>
    <cellStyle name="40% - Accent6 2 6 4 8" xfId="27880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1" xr:uid="{00000000-0005-0000-0000-00003A600000}"/>
    <cellStyle name="40% - Accent6 2 6 5 2 2 3" xfId="31578" xr:uid="{00000000-0005-0000-0000-00003B600000}"/>
    <cellStyle name="40% - Accent6 2 6 5 2 3" xfId="13646" xr:uid="{00000000-0005-0000-0000-00003C600000}"/>
    <cellStyle name="40% - Accent6 2 6 5 2 3 2" xfId="24920" xr:uid="{00000000-0005-0000-0000-00003D600000}"/>
    <cellStyle name="40% - Accent6 2 6 5 2 3 3" xfId="33797" xr:uid="{00000000-0005-0000-0000-00003E600000}"/>
    <cellStyle name="40% - Accent6 2 6 5 2 4" xfId="16096" xr:uid="{00000000-0005-0000-0000-00003F600000}"/>
    <cellStyle name="40% - Accent6 2 6 5 2 4 2" xfId="27139" xr:uid="{00000000-0005-0000-0000-000040600000}"/>
    <cellStyle name="40% - Accent6 2 6 5 2 4 3" xfId="36016" xr:uid="{00000000-0005-0000-0000-000041600000}"/>
    <cellStyle name="40% - Accent6 2 6 5 2 5" xfId="20482" xr:uid="{00000000-0005-0000-0000-000042600000}"/>
    <cellStyle name="40% - Accent6 2 6 5 2 6" xfId="29359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8" xr:uid="{00000000-0005-0000-0000-000046600000}"/>
    <cellStyle name="40% - Accent6 2 6 5 3 2 3" xfId="30845" xr:uid="{00000000-0005-0000-0000-000047600000}"/>
    <cellStyle name="40% - Accent6 2 6 5 3 3" xfId="12913" xr:uid="{00000000-0005-0000-0000-000048600000}"/>
    <cellStyle name="40% - Accent6 2 6 5 3 3 2" xfId="24187" xr:uid="{00000000-0005-0000-0000-000049600000}"/>
    <cellStyle name="40% - Accent6 2 6 5 3 3 3" xfId="33064" xr:uid="{00000000-0005-0000-0000-00004A600000}"/>
    <cellStyle name="40% - Accent6 2 6 5 3 4" xfId="15363" xr:uid="{00000000-0005-0000-0000-00004B600000}"/>
    <cellStyle name="40% - Accent6 2 6 5 3 4 2" xfId="26406" xr:uid="{00000000-0005-0000-0000-00004C600000}"/>
    <cellStyle name="40% - Accent6 2 6 5 3 4 3" xfId="35283" xr:uid="{00000000-0005-0000-0000-00004D600000}"/>
    <cellStyle name="40% - Accent6 2 6 5 3 5" xfId="19749" xr:uid="{00000000-0005-0000-0000-00004E600000}"/>
    <cellStyle name="40% - Accent6 2 6 5 3 6" xfId="28626" xr:uid="{00000000-0005-0000-0000-00004F600000}"/>
    <cellStyle name="40% - Accent6 2 6 5 4" xfId="9722" xr:uid="{00000000-0005-0000-0000-000050600000}"/>
    <cellStyle name="40% - Accent6 2 6 5 4 2" xfId="21225" xr:uid="{00000000-0005-0000-0000-000051600000}"/>
    <cellStyle name="40% - Accent6 2 6 5 4 3" xfId="30102" xr:uid="{00000000-0005-0000-0000-000052600000}"/>
    <cellStyle name="40% - Accent6 2 6 5 5" xfId="12170" xr:uid="{00000000-0005-0000-0000-000053600000}"/>
    <cellStyle name="40% - Accent6 2 6 5 5 2" xfId="23444" xr:uid="{00000000-0005-0000-0000-000054600000}"/>
    <cellStyle name="40% - Accent6 2 6 5 5 3" xfId="32321" xr:uid="{00000000-0005-0000-0000-000055600000}"/>
    <cellStyle name="40% - Accent6 2 6 5 6" xfId="14391" xr:uid="{00000000-0005-0000-0000-000056600000}"/>
    <cellStyle name="40% - Accent6 2 6 5 6 2" xfId="25663" xr:uid="{00000000-0005-0000-0000-000057600000}"/>
    <cellStyle name="40% - Accent6 2 6 5 6 3" xfId="34540" xr:uid="{00000000-0005-0000-0000-000058600000}"/>
    <cellStyle name="40% - Accent6 2 6 5 7" xfId="19000" xr:uid="{00000000-0005-0000-0000-000059600000}"/>
    <cellStyle name="40% - Accent6 2 6 5 8" xfId="27881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7" xr:uid="{00000000-0005-0000-0000-00005D600000}"/>
    <cellStyle name="40% - Accent6 2 6 6 2 3" xfId="31574" xr:uid="{00000000-0005-0000-0000-00005E600000}"/>
    <cellStyle name="40% - Accent6 2 6 6 3" xfId="13642" xr:uid="{00000000-0005-0000-0000-00005F600000}"/>
    <cellStyle name="40% - Accent6 2 6 6 3 2" xfId="24916" xr:uid="{00000000-0005-0000-0000-000060600000}"/>
    <cellStyle name="40% - Accent6 2 6 6 3 3" xfId="33793" xr:uid="{00000000-0005-0000-0000-000061600000}"/>
    <cellStyle name="40% - Accent6 2 6 6 4" xfId="16092" xr:uid="{00000000-0005-0000-0000-000062600000}"/>
    <cellStyle name="40% - Accent6 2 6 6 4 2" xfId="27135" xr:uid="{00000000-0005-0000-0000-000063600000}"/>
    <cellStyle name="40% - Accent6 2 6 6 4 3" xfId="36012" xr:uid="{00000000-0005-0000-0000-000064600000}"/>
    <cellStyle name="40% - Accent6 2 6 6 5" xfId="20478" xr:uid="{00000000-0005-0000-0000-000065600000}"/>
    <cellStyle name="40% - Accent6 2 6 6 6" xfId="29355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4" xr:uid="{00000000-0005-0000-0000-000069600000}"/>
    <cellStyle name="40% - Accent6 2 6 7 2 3" xfId="30841" xr:uid="{00000000-0005-0000-0000-00006A600000}"/>
    <cellStyle name="40% - Accent6 2 6 7 3" xfId="12909" xr:uid="{00000000-0005-0000-0000-00006B600000}"/>
    <cellStyle name="40% - Accent6 2 6 7 3 2" xfId="24183" xr:uid="{00000000-0005-0000-0000-00006C600000}"/>
    <cellStyle name="40% - Accent6 2 6 7 3 3" xfId="33060" xr:uid="{00000000-0005-0000-0000-00006D600000}"/>
    <cellStyle name="40% - Accent6 2 6 7 4" xfId="15359" xr:uid="{00000000-0005-0000-0000-00006E600000}"/>
    <cellStyle name="40% - Accent6 2 6 7 4 2" xfId="26402" xr:uid="{00000000-0005-0000-0000-00006F600000}"/>
    <cellStyle name="40% - Accent6 2 6 7 4 3" xfId="35279" xr:uid="{00000000-0005-0000-0000-000070600000}"/>
    <cellStyle name="40% - Accent6 2 6 7 5" xfId="19745" xr:uid="{00000000-0005-0000-0000-000071600000}"/>
    <cellStyle name="40% - Accent6 2 6 7 6" xfId="28622" xr:uid="{00000000-0005-0000-0000-000072600000}"/>
    <cellStyle name="40% - Accent6 2 6 8" xfId="9718" xr:uid="{00000000-0005-0000-0000-000073600000}"/>
    <cellStyle name="40% - Accent6 2 6 8 2" xfId="21221" xr:uid="{00000000-0005-0000-0000-000074600000}"/>
    <cellStyle name="40% - Accent6 2 6 8 3" xfId="30098" xr:uid="{00000000-0005-0000-0000-000075600000}"/>
    <cellStyle name="40% - Accent6 2 6 9" xfId="12166" xr:uid="{00000000-0005-0000-0000-000076600000}"/>
    <cellStyle name="40% - Accent6 2 6 9 2" xfId="23440" xr:uid="{00000000-0005-0000-0000-000077600000}"/>
    <cellStyle name="40% - Accent6 2 6 9 3" xfId="32317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2" xr:uid="{00000000-0005-0000-0000-00007C600000}"/>
    <cellStyle name="40% - Accent6 2 7 2 2 3" xfId="31579" xr:uid="{00000000-0005-0000-0000-00007D600000}"/>
    <cellStyle name="40% - Accent6 2 7 2 3" xfId="13647" xr:uid="{00000000-0005-0000-0000-00007E600000}"/>
    <cellStyle name="40% - Accent6 2 7 2 3 2" xfId="24921" xr:uid="{00000000-0005-0000-0000-00007F600000}"/>
    <cellStyle name="40% - Accent6 2 7 2 3 3" xfId="33798" xr:uid="{00000000-0005-0000-0000-000080600000}"/>
    <cellStyle name="40% - Accent6 2 7 2 4" xfId="16097" xr:uid="{00000000-0005-0000-0000-000081600000}"/>
    <cellStyle name="40% - Accent6 2 7 2 4 2" xfId="27140" xr:uid="{00000000-0005-0000-0000-000082600000}"/>
    <cellStyle name="40% - Accent6 2 7 2 4 3" xfId="36017" xr:uid="{00000000-0005-0000-0000-000083600000}"/>
    <cellStyle name="40% - Accent6 2 7 2 5" xfId="20483" xr:uid="{00000000-0005-0000-0000-000084600000}"/>
    <cellStyle name="40% - Accent6 2 7 2 6" xfId="29360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69" xr:uid="{00000000-0005-0000-0000-000088600000}"/>
    <cellStyle name="40% - Accent6 2 7 3 2 3" xfId="30846" xr:uid="{00000000-0005-0000-0000-000089600000}"/>
    <cellStyle name="40% - Accent6 2 7 3 3" xfId="12914" xr:uid="{00000000-0005-0000-0000-00008A600000}"/>
    <cellStyle name="40% - Accent6 2 7 3 3 2" xfId="24188" xr:uid="{00000000-0005-0000-0000-00008B600000}"/>
    <cellStyle name="40% - Accent6 2 7 3 3 3" xfId="33065" xr:uid="{00000000-0005-0000-0000-00008C600000}"/>
    <cellStyle name="40% - Accent6 2 7 3 4" xfId="15364" xr:uid="{00000000-0005-0000-0000-00008D600000}"/>
    <cellStyle name="40% - Accent6 2 7 3 4 2" xfId="26407" xr:uid="{00000000-0005-0000-0000-00008E600000}"/>
    <cellStyle name="40% - Accent6 2 7 3 4 3" xfId="35284" xr:uid="{00000000-0005-0000-0000-00008F600000}"/>
    <cellStyle name="40% - Accent6 2 7 3 5" xfId="19750" xr:uid="{00000000-0005-0000-0000-000090600000}"/>
    <cellStyle name="40% - Accent6 2 7 3 6" xfId="28627" xr:uid="{00000000-0005-0000-0000-000091600000}"/>
    <cellStyle name="40% - Accent6 2 7 4" xfId="9723" xr:uid="{00000000-0005-0000-0000-000092600000}"/>
    <cellStyle name="40% - Accent6 2 7 4 2" xfId="21226" xr:uid="{00000000-0005-0000-0000-000093600000}"/>
    <cellStyle name="40% - Accent6 2 7 4 3" xfId="30103" xr:uid="{00000000-0005-0000-0000-000094600000}"/>
    <cellStyle name="40% - Accent6 2 7 5" xfId="12171" xr:uid="{00000000-0005-0000-0000-000095600000}"/>
    <cellStyle name="40% - Accent6 2 7 5 2" xfId="23445" xr:uid="{00000000-0005-0000-0000-000096600000}"/>
    <cellStyle name="40% - Accent6 2 7 5 3" xfId="32322" xr:uid="{00000000-0005-0000-0000-000097600000}"/>
    <cellStyle name="40% - Accent6 2 7 6" xfId="14392" xr:uid="{00000000-0005-0000-0000-000098600000}"/>
    <cellStyle name="40% - Accent6 2 7 6 2" xfId="25664" xr:uid="{00000000-0005-0000-0000-000099600000}"/>
    <cellStyle name="40% - Accent6 2 7 6 3" xfId="34541" xr:uid="{00000000-0005-0000-0000-00009A600000}"/>
    <cellStyle name="40% - Accent6 2 7 7" xfId="19001" xr:uid="{00000000-0005-0000-0000-00009B600000}"/>
    <cellStyle name="40% - Accent6 2 7 8" xfId="27882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3" xr:uid="{00000000-0005-0000-0000-0000A0600000}"/>
    <cellStyle name="40% - Accent6 2 8 2 2 3" xfId="31580" xr:uid="{00000000-0005-0000-0000-0000A1600000}"/>
    <cellStyle name="40% - Accent6 2 8 2 3" xfId="13648" xr:uid="{00000000-0005-0000-0000-0000A2600000}"/>
    <cellStyle name="40% - Accent6 2 8 2 3 2" xfId="24922" xr:uid="{00000000-0005-0000-0000-0000A3600000}"/>
    <cellStyle name="40% - Accent6 2 8 2 3 3" xfId="33799" xr:uid="{00000000-0005-0000-0000-0000A4600000}"/>
    <cellStyle name="40% - Accent6 2 8 2 4" xfId="16098" xr:uid="{00000000-0005-0000-0000-0000A5600000}"/>
    <cellStyle name="40% - Accent6 2 8 2 4 2" xfId="27141" xr:uid="{00000000-0005-0000-0000-0000A6600000}"/>
    <cellStyle name="40% - Accent6 2 8 2 4 3" xfId="36018" xr:uid="{00000000-0005-0000-0000-0000A7600000}"/>
    <cellStyle name="40% - Accent6 2 8 2 5" xfId="20484" xr:uid="{00000000-0005-0000-0000-0000A8600000}"/>
    <cellStyle name="40% - Accent6 2 8 2 6" xfId="29361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0" xr:uid="{00000000-0005-0000-0000-0000AC600000}"/>
    <cellStyle name="40% - Accent6 2 8 3 2 3" xfId="30847" xr:uid="{00000000-0005-0000-0000-0000AD600000}"/>
    <cellStyle name="40% - Accent6 2 8 3 3" xfId="12915" xr:uid="{00000000-0005-0000-0000-0000AE600000}"/>
    <cellStyle name="40% - Accent6 2 8 3 3 2" xfId="24189" xr:uid="{00000000-0005-0000-0000-0000AF600000}"/>
    <cellStyle name="40% - Accent6 2 8 3 3 3" xfId="33066" xr:uid="{00000000-0005-0000-0000-0000B0600000}"/>
    <cellStyle name="40% - Accent6 2 8 3 4" xfId="15365" xr:uid="{00000000-0005-0000-0000-0000B1600000}"/>
    <cellStyle name="40% - Accent6 2 8 3 4 2" xfId="26408" xr:uid="{00000000-0005-0000-0000-0000B2600000}"/>
    <cellStyle name="40% - Accent6 2 8 3 4 3" xfId="35285" xr:uid="{00000000-0005-0000-0000-0000B3600000}"/>
    <cellStyle name="40% - Accent6 2 8 3 5" xfId="19751" xr:uid="{00000000-0005-0000-0000-0000B4600000}"/>
    <cellStyle name="40% - Accent6 2 8 3 6" xfId="28628" xr:uid="{00000000-0005-0000-0000-0000B5600000}"/>
    <cellStyle name="40% - Accent6 2 8 4" xfId="9724" xr:uid="{00000000-0005-0000-0000-0000B6600000}"/>
    <cellStyle name="40% - Accent6 2 8 4 2" xfId="21227" xr:uid="{00000000-0005-0000-0000-0000B7600000}"/>
    <cellStyle name="40% - Accent6 2 8 4 3" xfId="30104" xr:uid="{00000000-0005-0000-0000-0000B8600000}"/>
    <cellStyle name="40% - Accent6 2 8 5" xfId="12172" xr:uid="{00000000-0005-0000-0000-0000B9600000}"/>
    <cellStyle name="40% - Accent6 2 8 5 2" xfId="23446" xr:uid="{00000000-0005-0000-0000-0000BA600000}"/>
    <cellStyle name="40% - Accent6 2 8 5 3" xfId="32323" xr:uid="{00000000-0005-0000-0000-0000BB600000}"/>
    <cellStyle name="40% - Accent6 2 8 6" xfId="14393" xr:uid="{00000000-0005-0000-0000-0000BC600000}"/>
    <cellStyle name="40% - Accent6 2 8 6 2" xfId="25665" xr:uid="{00000000-0005-0000-0000-0000BD600000}"/>
    <cellStyle name="40% - Accent6 2 8 6 3" xfId="34542" xr:uid="{00000000-0005-0000-0000-0000BE600000}"/>
    <cellStyle name="40% - Accent6 2 8 7" xfId="19002" xr:uid="{00000000-0005-0000-0000-0000BF600000}"/>
    <cellStyle name="40% - Accent6 2 8 8" xfId="27883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4" xr:uid="{00000000-0005-0000-0000-0000C4600000}"/>
    <cellStyle name="40% - Accent6 2 9 2 2 3" xfId="31581" xr:uid="{00000000-0005-0000-0000-0000C5600000}"/>
    <cellStyle name="40% - Accent6 2 9 2 3" xfId="13649" xr:uid="{00000000-0005-0000-0000-0000C6600000}"/>
    <cellStyle name="40% - Accent6 2 9 2 3 2" xfId="24923" xr:uid="{00000000-0005-0000-0000-0000C7600000}"/>
    <cellStyle name="40% - Accent6 2 9 2 3 3" xfId="33800" xr:uid="{00000000-0005-0000-0000-0000C8600000}"/>
    <cellStyle name="40% - Accent6 2 9 2 4" xfId="16099" xr:uid="{00000000-0005-0000-0000-0000C9600000}"/>
    <cellStyle name="40% - Accent6 2 9 2 4 2" xfId="27142" xr:uid="{00000000-0005-0000-0000-0000CA600000}"/>
    <cellStyle name="40% - Accent6 2 9 2 4 3" xfId="36019" xr:uid="{00000000-0005-0000-0000-0000CB600000}"/>
    <cellStyle name="40% - Accent6 2 9 2 5" xfId="20485" xr:uid="{00000000-0005-0000-0000-0000CC600000}"/>
    <cellStyle name="40% - Accent6 2 9 2 6" xfId="29362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1" xr:uid="{00000000-0005-0000-0000-0000D0600000}"/>
    <cellStyle name="40% - Accent6 2 9 3 2 3" xfId="30848" xr:uid="{00000000-0005-0000-0000-0000D1600000}"/>
    <cellStyle name="40% - Accent6 2 9 3 3" xfId="12916" xr:uid="{00000000-0005-0000-0000-0000D2600000}"/>
    <cellStyle name="40% - Accent6 2 9 3 3 2" xfId="24190" xr:uid="{00000000-0005-0000-0000-0000D3600000}"/>
    <cellStyle name="40% - Accent6 2 9 3 3 3" xfId="33067" xr:uid="{00000000-0005-0000-0000-0000D4600000}"/>
    <cellStyle name="40% - Accent6 2 9 3 4" xfId="15366" xr:uid="{00000000-0005-0000-0000-0000D5600000}"/>
    <cellStyle name="40% - Accent6 2 9 3 4 2" xfId="26409" xr:uid="{00000000-0005-0000-0000-0000D6600000}"/>
    <cellStyle name="40% - Accent6 2 9 3 4 3" xfId="35286" xr:uid="{00000000-0005-0000-0000-0000D7600000}"/>
    <cellStyle name="40% - Accent6 2 9 3 5" xfId="19752" xr:uid="{00000000-0005-0000-0000-0000D8600000}"/>
    <cellStyle name="40% - Accent6 2 9 3 6" xfId="28629" xr:uid="{00000000-0005-0000-0000-0000D9600000}"/>
    <cellStyle name="40% - Accent6 2 9 4" xfId="9725" xr:uid="{00000000-0005-0000-0000-0000DA600000}"/>
    <cellStyle name="40% - Accent6 2 9 4 2" xfId="21228" xr:uid="{00000000-0005-0000-0000-0000DB600000}"/>
    <cellStyle name="40% - Accent6 2 9 4 3" xfId="30105" xr:uid="{00000000-0005-0000-0000-0000DC600000}"/>
    <cellStyle name="40% - Accent6 2 9 5" xfId="12173" xr:uid="{00000000-0005-0000-0000-0000DD600000}"/>
    <cellStyle name="40% - Accent6 2 9 5 2" xfId="23447" xr:uid="{00000000-0005-0000-0000-0000DE600000}"/>
    <cellStyle name="40% - Accent6 2 9 5 3" xfId="32324" xr:uid="{00000000-0005-0000-0000-0000DF600000}"/>
    <cellStyle name="40% - Accent6 2 9 6" xfId="14394" xr:uid="{00000000-0005-0000-0000-0000E0600000}"/>
    <cellStyle name="40% - Accent6 2 9 6 2" xfId="25666" xr:uid="{00000000-0005-0000-0000-0000E1600000}"/>
    <cellStyle name="40% - Accent6 2 9 6 3" xfId="34543" xr:uid="{00000000-0005-0000-0000-0000E2600000}"/>
    <cellStyle name="40% - Accent6 2 9 7" xfId="19003" xr:uid="{00000000-0005-0000-0000-0000E3600000}"/>
    <cellStyle name="40% - Accent6 2 9 8" xfId="27884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5" xr:uid="{00000000-0005-0000-0000-0000F1600000}"/>
    <cellStyle name="40% - Accent6 3 2 2 2 3" xfId="31582" xr:uid="{00000000-0005-0000-0000-0000F2600000}"/>
    <cellStyle name="40% - Accent6 3 2 2 3" xfId="13650" xr:uid="{00000000-0005-0000-0000-0000F3600000}"/>
    <cellStyle name="40% - Accent6 3 2 2 3 2" xfId="24924" xr:uid="{00000000-0005-0000-0000-0000F4600000}"/>
    <cellStyle name="40% - Accent6 3 2 2 3 3" xfId="33801" xr:uid="{00000000-0005-0000-0000-0000F5600000}"/>
    <cellStyle name="40% - Accent6 3 2 2 4" xfId="16100" xr:uid="{00000000-0005-0000-0000-0000F6600000}"/>
    <cellStyle name="40% - Accent6 3 2 2 4 2" xfId="27143" xr:uid="{00000000-0005-0000-0000-0000F7600000}"/>
    <cellStyle name="40% - Accent6 3 2 2 4 3" xfId="36020" xr:uid="{00000000-0005-0000-0000-0000F8600000}"/>
    <cellStyle name="40% - Accent6 3 2 2 5" xfId="20486" xr:uid="{00000000-0005-0000-0000-0000F9600000}"/>
    <cellStyle name="40% - Accent6 3 2 2 6" xfId="29363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2" xr:uid="{00000000-0005-0000-0000-0000FD600000}"/>
    <cellStyle name="40% - Accent6 3 2 3 2 3" xfId="30849" xr:uid="{00000000-0005-0000-0000-0000FE600000}"/>
    <cellStyle name="40% - Accent6 3 2 3 3" xfId="12917" xr:uid="{00000000-0005-0000-0000-0000FF600000}"/>
    <cellStyle name="40% - Accent6 3 2 3 3 2" xfId="24191" xr:uid="{00000000-0005-0000-0000-000000610000}"/>
    <cellStyle name="40% - Accent6 3 2 3 3 3" xfId="33068" xr:uid="{00000000-0005-0000-0000-000001610000}"/>
    <cellStyle name="40% - Accent6 3 2 3 4" xfId="15367" xr:uid="{00000000-0005-0000-0000-000002610000}"/>
    <cellStyle name="40% - Accent6 3 2 3 4 2" xfId="26410" xr:uid="{00000000-0005-0000-0000-000003610000}"/>
    <cellStyle name="40% - Accent6 3 2 3 4 3" xfId="35287" xr:uid="{00000000-0005-0000-0000-000004610000}"/>
    <cellStyle name="40% - Accent6 3 2 3 5" xfId="19753" xr:uid="{00000000-0005-0000-0000-000005610000}"/>
    <cellStyle name="40% - Accent6 3 2 3 6" xfId="28630" xr:uid="{00000000-0005-0000-0000-000006610000}"/>
    <cellStyle name="40% - Accent6 3 2 4" xfId="9726" xr:uid="{00000000-0005-0000-0000-000007610000}"/>
    <cellStyle name="40% - Accent6 3 2 4 2" xfId="21229" xr:uid="{00000000-0005-0000-0000-000008610000}"/>
    <cellStyle name="40% - Accent6 3 2 4 3" xfId="30106" xr:uid="{00000000-0005-0000-0000-000009610000}"/>
    <cellStyle name="40% - Accent6 3 2 5" xfId="12174" xr:uid="{00000000-0005-0000-0000-00000A610000}"/>
    <cellStyle name="40% - Accent6 3 2 5 2" xfId="23448" xr:uid="{00000000-0005-0000-0000-00000B610000}"/>
    <cellStyle name="40% - Accent6 3 2 5 3" xfId="32325" xr:uid="{00000000-0005-0000-0000-00000C610000}"/>
    <cellStyle name="40% - Accent6 3 2 6" xfId="14395" xr:uid="{00000000-0005-0000-0000-00000D610000}"/>
    <cellStyle name="40% - Accent6 3 2 6 2" xfId="25667" xr:uid="{00000000-0005-0000-0000-00000E610000}"/>
    <cellStyle name="40% - Accent6 3 2 6 3" xfId="34544" xr:uid="{00000000-0005-0000-0000-00000F610000}"/>
    <cellStyle name="40% - Accent6 3 2 7" xfId="19004" xr:uid="{00000000-0005-0000-0000-000010610000}"/>
    <cellStyle name="40% - Accent6 3 2 8" xfId="27885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6" xr:uid="{00000000-0005-0000-0000-000015610000}"/>
    <cellStyle name="40% - Accent6 3 3 2 2 3" xfId="31583" xr:uid="{00000000-0005-0000-0000-000016610000}"/>
    <cellStyle name="40% - Accent6 3 3 2 3" xfId="13651" xr:uid="{00000000-0005-0000-0000-000017610000}"/>
    <cellStyle name="40% - Accent6 3 3 2 3 2" xfId="24925" xr:uid="{00000000-0005-0000-0000-000018610000}"/>
    <cellStyle name="40% - Accent6 3 3 2 3 3" xfId="33802" xr:uid="{00000000-0005-0000-0000-000019610000}"/>
    <cellStyle name="40% - Accent6 3 3 2 4" xfId="16101" xr:uid="{00000000-0005-0000-0000-00001A610000}"/>
    <cellStyle name="40% - Accent6 3 3 2 4 2" xfId="27144" xr:uid="{00000000-0005-0000-0000-00001B610000}"/>
    <cellStyle name="40% - Accent6 3 3 2 4 3" xfId="36021" xr:uid="{00000000-0005-0000-0000-00001C610000}"/>
    <cellStyle name="40% - Accent6 3 3 2 5" xfId="20487" xr:uid="{00000000-0005-0000-0000-00001D610000}"/>
    <cellStyle name="40% - Accent6 3 3 2 6" xfId="29364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3" xr:uid="{00000000-0005-0000-0000-000021610000}"/>
    <cellStyle name="40% - Accent6 3 3 3 2 3" xfId="30850" xr:uid="{00000000-0005-0000-0000-000022610000}"/>
    <cellStyle name="40% - Accent6 3 3 3 3" xfId="12918" xr:uid="{00000000-0005-0000-0000-000023610000}"/>
    <cellStyle name="40% - Accent6 3 3 3 3 2" xfId="24192" xr:uid="{00000000-0005-0000-0000-000024610000}"/>
    <cellStyle name="40% - Accent6 3 3 3 3 3" xfId="33069" xr:uid="{00000000-0005-0000-0000-000025610000}"/>
    <cellStyle name="40% - Accent6 3 3 3 4" xfId="15368" xr:uid="{00000000-0005-0000-0000-000026610000}"/>
    <cellStyle name="40% - Accent6 3 3 3 4 2" xfId="26411" xr:uid="{00000000-0005-0000-0000-000027610000}"/>
    <cellStyle name="40% - Accent6 3 3 3 4 3" xfId="35288" xr:uid="{00000000-0005-0000-0000-000028610000}"/>
    <cellStyle name="40% - Accent6 3 3 3 5" xfId="19754" xr:uid="{00000000-0005-0000-0000-000029610000}"/>
    <cellStyle name="40% - Accent6 3 3 3 6" xfId="28631" xr:uid="{00000000-0005-0000-0000-00002A610000}"/>
    <cellStyle name="40% - Accent6 3 3 4" xfId="9727" xr:uid="{00000000-0005-0000-0000-00002B610000}"/>
    <cellStyle name="40% - Accent6 3 3 4 2" xfId="21230" xr:uid="{00000000-0005-0000-0000-00002C610000}"/>
    <cellStyle name="40% - Accent6 3 3 4 3" xfId="30107" xr:uid="{00000000-0005-0000-0000-00002D610000}"/>
    <cellStyle name="40% - Accent6 3 3 5" xfId="12175" xr:uid="{00000000-0005-0000-0000-00002E610000}"/>
    <cellStyle name="40% - Accent6 3 3 5 2" xfId="23449" xr:uid="{00000000-0005-0000-0000-00002F610000}"/>
    <cellStyle name="40% - Accent6 3 3 5 3" xfId="32326" xr:uid="{00000000-0005-0000-0000-000030610000}"/>
    <cellStyle name="40% - Accent6 3 3 6" xfId="14396" xr:uid="{00000000-0005-0000-0000-000031610000}"/>
    <cellStyle name="40% - Accent6 3 3 6 2" xfId="25668" xr:uid="{00000000-0005-0000-0000-000032610000}"/>
    <cellStyle name="40% - Accent6 3 3 6 3" xfId="34545" xr:uid="{00000000-0005-0000-0000-000033610000}"/>
    <cellStyle name="40% - Accent6 3 3 7" xfId="19005" xr:uid="{00000000-0005-0000-0000-000034610000}"/>
    <cellStyle name="40% - Accent6 3 3 8" xfId="27886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7" xr:uid="{00000000-0005-0000-0000-000039610000}"/>
    <cellStyle name="40% - Accent6 3 4 2 2 3" xfId="31584" xr:uid="{00000000-0005-0000-0000-00003A610000}"/>
    <cellStyle name="40% - Accent6 3 4 2 3" xfId="13652" xr:uid="{00000000-0005-0000-0000-00003B610000}"/>
    <cellStyle name="40% - Accent6 3 4 2 3 2" xfId="24926" xr:uid="{00000000-0005-0000-0000-00003C610000}"/>
    <cellStyle name="40% - Accent6 3 4 2 3 3" xfId="33803" xr:uid="{00000000-0005-0000-0000-00003D610000}"/>
    <cellStyle name="40% - Accent6 3 4 2 4" xfId="16102" xr:uid="{00000000-0005-0000-0000-00003E610000}"/>
    <cellStyle name="40% - Accent6 3 4 2 4 2" xfId="27145" xr:uid="{00000000-0005-0000-0000-00003F610000}"/>
    <cellStyle name="40% - Accent6 3 4 2 4 3" xfId="36022" xr:uid="{00000000-0005-0000-0000-000040610000}"/>
    <cellStyle name="40% - Accent6 3 4 2 5" xfId="20488" xr:uid="{00000000-0005-0000-0000-000041610000}"/>
    <cellStyle name="40% - Accent6 3 4 2 6" xfId="29365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4" xr:uid="{00000000-0005-0000-0000-000045610000}"/>
    <cellStyle name="40% - Accent6 3 4 3 2 3" xfId="30851" xr:uid="{00000000-0005-0000-0000-000046610000}"/>
    <cellStyle name="40% - Accent6 3 4 3 3" xfId="12919" xr:uid="{00000000-0005-0000-0000-000047610000}"/>
    <cellStyle name="40% - Accent6 3 4 3 3 2" xfId="24193" xr:uid="{00000000-0005-0000-0000-000048610000}"/>
    <cellStyle name="40% - Accent6 3 4 3 3 3" xfId="33070" xr:uid="{00000000-0005-0000-0000-000049610000}"/>
    <cellStyle name="40% - Accent6 3 4 3 4" xfId="15369" xr:uid="{00000000-0005-0000-0000-00004A610000}"/>
    <cellStyle name="40% - Accent6 3 4 3 4 2" xfId="26412" xr:uid="{00000000-0005-0000-0000-00004B610000}"/>
    <cellStyle name="40% - Accent6 3 4 3 4 3" xfId="35289" xr:uid="{00000000-0005-0000-0000-00004C610000}"/>
    <cellStyle name="40% - Accent6 3 4 3 5" xfId="19755" xr:uid="{00000000-0005-0000-0000-00004D610000}"/>
    <cellStyle name="40% - Accent6 3 4 3 6" xfId="28632" xr:uid="{00000000-0005-0000-0000-00004E610000}"/>
    <cellStyle name="40% - Accent6 3 4 4" xfId="9728" xr:uid="{00000000-0005-0000-0000-00004F610000}"/>
    <cellStyle name="40% - Accent6 3 4 4 2" xfId="21231" xr:uid="{00000000-0005-0000-0000-000050610000}"/>
    <cellStyle name="40% - Accent6 3 4 4 3" xfId="30108" xr:uid="{00000000-0005-0000-0000-000051610000}"/>
    <cellStyle name="40% - Accent6 3 4 5" xfId="12176" xr:uid="{00000000-0005-0000-0000-000052610000}"/>
    <cellStyle name="40% - Accent6 3 4 5 2" xfId="23450" xr:uid="{00000000-0005-0000-0000-000053610000}"/>
    <cellStyle name="40% - Accent6 3 4 5 3" xfId="32327" xr:uid="{00000000-0005-0000-0000-000054610000}"/>
    <cellStyle name="40% - Accent6 3 4 6" xfId="14397" xr:uid="{00000000-0005-0000-0000-000055610000}"/>
    <cellStyle name="40% - Accent6 3 4 6 2" xfId="25669" xr:uid="{00000000-0005-0000-0000-000056610000}"/>
    <cellStyle name="40% - Accent6 3 4 6 3" xfId="34546" xr:uid="{00000000-0005-0000-0000-000057610000}"/>
    <cellStyle name="40% - Accent6 3 4 7" xfId="19006" xr:uid="{00000000-0005-0000-0000-000058610000}"/>
    <cellStyle name="40% - Accent6 3 4 8" xfId="27887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8" xr:uid="{00000000-0005-0000-0000-00005D610000}"/>
    <cellStyle name="40% - Accent6 3 5 2 2 3" xfId="31585" xr:uid="{00000000-0005-0000-0000-00005E610000}"/>
    <cellStyle name="40% - Accent6 3 5 2 3" xfId="13653" xr:uid="{00000000-0005-0000-0000-00005F610000}"/>
    <cellStyle name="40% - Accent6 3 5 2 3 2" xfId="24927" xr:uid="{00000000-0005-0000-0000-000060610000}"/>
    <cellStyle name="40% - Accent6 3 5 2 3 3" xfId="33804" xr:uid="{00000000-0005-0000-0000-000061610000}"/>
    <cellStyle name="40% - Accent6 3 5 2 4" xfId="16103" xr:uid="{00000000-0005-0000-0000-000062610000}"/>
    <cellStyle name="40% - Accent6 3 5 2 4 2" xfId="27146" xr:uid="{00000000-0005-0000-0000-000063610000}"/>
    <cellStyle name="40% - Accent6 3 5 2 4 3" xfId="36023" xr:uid="{00000000-0005-0000-0000-000064610000}"/>
    <cellStyle name="40% - Accent6 3 5 2 5" xfId="20489" xr:uid="{00000000-0005-0000-0000-000065610000}"/>
    <cellStyle name="40% - Accent6 3 5 2 6" xfId="29366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5" xr:uid="{00000000-0005-0000-0000-000069610000}"/>
    <cellStyle name="40% - Accent6 3 5 3 2 3" xfId="30852" xr:uid="{00000000-0005-0000-0000-00006A610000}"/>
    <cellStyle name="40% - Accent6 3 5 3 3" xfId="12920" xr:uid="{00000000-0005-0000-0000-00006B610000}"/>
    <cellStyle name="40% - Accent6 3 5 3 3 2" xfId="24194" xr:uid="{00000000-0005-0000-0000-00006C610000}"/>
    <cellStyle name="40% - Accent6 3 5 3 3 3" xfId="33071" xr:uid="{00000000-0005-0000-0000-00006D610000}"/>
    <cellStyle name="40% - Accent6 3 5 3 4" xfId="15370" xr:uid="{00000000-0005-0000-0000-00006E610000}"/>
    <cellStyle name="40% - Accent6 3 5 3 4 2" xfId="26413" xr:uid="{00000000-0005-0000-0000-00006F610000}"/>
    <cellStyle name="40% - Accent6 3 5 3 4 3" xfId="35290" xr:uid="{00000000-0005-0000-0000-000070610000}"/>
    <cellStyle name="40% - Accent6 3 5 3 5" xfId="19756" xr:uid="{00000000-0005-0000-0000-000071610000}"/>
    <cellStyle name="40% - Accent6 3 5 3 6" xfId="28633" xr:uid="{00000000-0005-0000-0000-000072610000}"/>
    <cellStyle name="40% - Accent6 3 5 4" xfId="9729" xr:uid="{00000000-0005-0000-0000-000073610000}"/>
    <cellStyle name="40% - Accent6 3 5 4 2" xfId="21232" xr:uid="{00000000-0005-0000-0000-000074610000}"/>
    <cellStyle name="40% - Accent6 3 5 4 3" xfId="30109" xr:uid="{00000000-0005-0000-0000-000075610000}"/>
    <cellStyle name="40% - Accent6 3 5 5" xfId="12177" xr:uid="{00000000-0005-0000-0000-000076610000}"/>
    <cellStyle name="40% - Accent6 3 5 5 2" xfId="23451" xr:uid="{00000000-0005-0000-0000-000077610000}"/>
    <cellStyle name="40% - Accent6 3 5 5 3" xfId="32328" xr:uid="{00000000-0005-0000-0000-000078610000}"/>
    <cellStyle name="40% - Accent6 3 5 6" xfId="14398" xr:uid="{00000000-0005-0000-0000-000079610000}"/>
    <cellStyle name="40% - Accent6 3 5 6 2" xfId="25670" xr:uid="{00000000-0005-0000-0000-00007A610000}"/>
    <cellStyle name="40% - Accent6 3 5 6 3" xfId="34547" xr:uid="{00000000-0005-0000-0000-00007B610000}"/>
    <cellStyle name="40% - Accent6 3 5 7" xfId="19007" xr:uid="{00000000-0005-0000-0000-00007C610000}"/>
    <cellStyle name="40% - Accent6 3 5 8" xfId="27888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2" xr:uid="{00000000-0005-0000-0000-000096610000}"/>
    <cellStyle name="40% - Accent6 7 10 3" xfId="32329" xr:uid="{00000000-0005-0000-0000-000097610000}"/>
    <cellStyle name="40% - Accent6 7 11" xfId="14399" xr:uid="{00000000-0005-0000-0000-000098610000}"/>
    <cellStyle name="40% - Accent6 7 11 2" xfId="25671" xr:uid="{00000000-0005-0000-0000-000099610000}"/>
    <cellStyle name="40% - Accent6 7 11 3" xfId="34548" xr:uid="{00000000-0005-0000-0000-00009A610000}"/>
    <cellStyle name="40% - Accent6 7 12" xfId="19008" xr:uid="{00000000-0005-0000-0000-00009B610000}"/>
    <cellStyle name="40% - Accent6 7 13" xfId="27889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09" xr:uid="{00000000-0005-0000-0000-0000A4610000}"/>
    <cellStyle name="40% - Accent6 7 7 2 3" xfId="31586" xr:uid="{00000000-0005-0000-0000-0000A5610000}"/>
    <cellStyle name="40% - Accent6 7 7 3" xfId="13654" xr:uid="{00000000-0005-0000-0000-0000A6610000}"/>
    <cellStyle name="40% - Accent6 7 7 3 2" xfId="24928" xr:uid="{00000000-0005-0000-0000-0000A7610000}"/>
    <cellStyle name="40% - Accent6 7 7 3 3" xfId="33805" xr:uid="{00000000-0005-0000-0000-0000A8610000}"/>
    <cellStyle name="40% - Accent6 7 7 4" xfId="16104" xr:uid="{00000000-0005-0000-0000-0000A9610000}"/>
    <cellStyle name="40% - Accent6 7 7 4 2" xfId="27147" xr:uid="{00000000-0005-0000-0000-0000AA610000}"/>
    <cellStyle name="40% - Accent6 7 7 4 3" xfId="36024" xr:uid="{00000000-0005-0000-0000-0000AB610000}"/>
    <cellStyle name="40% - Accent6 7 7 5" xfId="20490" xr:uid="{00000000-0005-0000-0000-0000AC610000}"/>
    <cellStyle name="40% - Accent6 7 7 6" xfId="29367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6" xr:uid="{00000000-0005-0000-0000-0000B0610000}"/>
    <cellStyle name="40% - Accent6 7 8 2 3" xfId="30853" xr:uid="{00000000-0005-0000-0000-0000B1610000}"/>
    <cellStyle name="40% - Accent6 7 8 3" xfId="12921" xr:uid="{00000000-0005-0000-0000-0000B2610000}"/>
    <cellStyle name="40% - Accent6 7 8 3 2" xfId="24195" xr:uid="{00000000-0005-0000-0000-0000B3610000}"/>
    <cellStyle name="40% - Accent6 7 8 3 3" xfId="33072" xr:uid="{00000000-0005-0000-0000-0000B4610000}"/>
    <cellStyle name="40% - Accent6 7 8 4" xfId="15371" xr:uid="{00000000-0005-0000-0000-0000B5610000}"/>
    <cellStyle name="40% - Accent6 7 8 4 2" xfId="26414" xr:uid="{00000000-0005-0000-0000-0000B6610000}"/>
    <cellStyle name="40% - Accent6 7 8 4 3" xfId="35291" xr:uid="{00000000-0005-0000-0000-0000B7610000}"/>
    <cellStyle name="40% - Accent6 7 8 5" xfId="19757" xr:uid="{00000000-0005-0000-0000-0000B8610000}"/>
    <cellStyle name="40% - Accent6 7 8 6" xfId="28634" xr:uid="{00000000-0005-0000-0000-0000B9610000}"/>
    <cellStyle name="40% - Accent6 7 9" xfId="9730" xr:uid="{00000000-0005-0000-0000-0000BA610000}"/>
    <cellStyle name="40% - Accent6 7 9 2" xfId="21233" xr:uid="{00000000-0005-0000-0000-0000BB610000}"/>
    <cellStyle name="40% - Accent6 7 9 3" xfId="30110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5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49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2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6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59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3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2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6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0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3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57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0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4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37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7" xr:uid="{00000000-0005-0000-0000-00007F640000}"/>
    <cellStyle name="Calculation 3 11" xfId="17453" xr:uid="{00000000-0005-0000-0000-000080640000}"/>
    <cellStyle name="Calculation 3 12" xfId="18226" xr:uid="{00000000-0005-0000-0000-000081640000}"/>
    <cellStyle name="Calculation 3 13" xfId="17789" xr:uid="{00000000-0005-0000-0000-000082640000}"/>
    <cellStyle name="Calculation 3 14" xfId="17454" xr:uid="{00000000-0005-0000-0000-000083640000}"/>
    <cellStyle name="Calculation 3 15" xfId="18113" xr:uid="{00000000-0005-0000-0000-000084640000}"/>
    <cellStyle name="Calculation 3 2" xfId="2223" xr:uid="{00000000-0005-0000-0000-000085640000}"/>
    <cellStyle name="Calculation 3 2 2" xfId="17909" xr:uid="{00000000-0005-0000-0000-000086640000}"/>
    <cellStyle name="Calculation 3 3" xfId="2224" xr:uid="{00000000-0005-0000-0000-000087640000}"/>
    <cellStyle name="Calculation 3 3 2" xfId="17570" xr:uid="{00000000-0005-0000-0000-000088640000}"/>
    <cellStyle name="Calculation 3 4" xfId="2225" xr:uid="{00000000-0005-0000-0000-000089640000}"/>
    <cellStyle name="Calculation 3 4 2" xfId="17229" xr:uid="{00000000-0005-0000-0000-00008A640000}"/>
    <cellStyle name="Calculation 3 5" xfId="2226" xr:uid="{00000000-0005-0000-0000-00008B640000}"/>
    <cellStyle name="Calculation 3 5 2" xfId="18324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4" xr:uid="{00000000-0005-0000-0000-000090640000}"/>
    <cellStyle name="Calculation 3 8" xfId="2229" xr:uid="{00000000-0005-0000-0000-000091640000}"/>
    <cellStyle name="Calculation 3 8 2" xfId="17668" xr:uid="{00000000-0005-0000-0000-000092640000}"/>
    <cellStyle name="Calculation 3 9" xfId="17333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4" xr:uid="{00000000-0005-0000-0000-0000AC640000}"/>
    <cellStyle name="Check Cell" xfId="36139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5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3" xr:uid="{00000000-0005-0000-0000-0000FB640000}"/>
    <cellStyle name="Comma 17 2 2 3" xfId="31640" xr:uid="{00000000-0005-0000-0000-0000FC640000}"/>
    <cellStyle name="Comma 17 2 3" xfId="13708" xr:uid="{00000000-0005-0000-0000-0000FD640000}"/>
    <cellStyle name="Comma 17 2 3 2" xfId="24982" xr:uid="{00000000-0005-0000-0000-0000FE640000}"/>
    <cellStyle name="Comma 17 2 3 3" xfId="33859" xr:uid="{00000000-0005-0000-0000-0000FF640000}"/>
    <cellStyle name="Comma 17 2 4" xfId="16158" xr:uid="{00000000-0005-0000-0000-000000650000}"/>
    <cellStyle name="Comma 17 2 4 2" xfId="27201" xr:uid="{00000000-0005-0000-0000-000001650000}"/>
    <cellStyle name="Comma 17 2 4 3" xfId="36078" xr:uid="{00000000-0005-0000-0000-000002650000}"/>
    <cellStyle name="Comma 17 2 5" xfId="20544" xr:uid="{00000000-0005-0000-0000-000003650000}"/>
    <cellStyle name="Comma 17 2 6" xfId="29421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0" xr:uid="{00000000-0005-0000-0000-000007650000}"/>
    <cellStyle name="Comma 17 3 2 3" xfId="30907" xr:uid="{00000000-0005-0000-0000-000008650000}"/>
    <cellStyle name="Comma 17 3 3" xfId="12975" xr:uid="{00000000-0005-0000-0000-000009650000}"/>
    <cellStyle name="Comma 17 3 3 2" xfId="24249" xr:uid="{00000000-0005-0000-0000-00000A650000}"/>
    <cellStyle name="Comma 17 3 3 3" xfId="33126" xr:uid="{00000000-0005-0000-0000-00000B650000}"/>
    <cellStyle name="Comma 17 3 4" xfId="15425" xr:uid="{00000000-0005-0000-0000-00000C650000}"/>
    <cellStyle name="Comma 17 3 4 2" xfId="26468" xr:uid="{00000000-0005-0000-0000-00000D650000}"/>
    <cellStyle name="Comma 17 3 4 3" xfId="35345" xr:uid="{00000000-0005-0000-0000-00000E650000}"/>
    <cellStyle name="Comma 17 3 5" xfId="19811" xr:uid="{00000000-0005-0000-0000-00000F650000}"/>
    <cellStyle name="Comma 17 3 6" xfId="28688" xr:uid="{00000000-0005-0000-0000-000010650000}"/>
    <cellStyle name="Comma 17 4" xfId="9932" xr:uid="{00000000-0005-0000-0000-000011650000}"/>
    <cellStyle name="Comma 17 4 2" xfId="21287" xr:uid="{00000000-0005-0000-0000-000012650000}"/>
    <cellStyle name="Comma 17 4 3" xfId="30164" xr:uid="{00000000-0005-0000-0000-000013650000}"/>
    <cellStyle name="Comma 17 5" xfId="12232" xr:uid="{00000000-0005-0000-0000-000014650000}"/>
    <cellStyle name="Comma 17 5 2" xfId="23506" xr:uid="{00000000-0005-0000-0000-000015650000}"/>
    <cellStyle name="Comma 17 5 3" xfId="32383" xr:uid="{00000000-0005-0000-0000-000016650000}"/>
    <cellStyle name="Comma 17 6" xfId="14601" xr:uid="{00000000-0005-0000-0000-000017650000}"/>
    <cellStyle name="Comma 17 6 2" xfId="25725" xr:uid="{00000000-0005-0000-0000-000018650000}"/>
    <cellStyle name="Comma 17 6 3" xfId="34602" xr:uid="{00000000-0005-0000-0000-000019650000}"/>
    <cellStyle name="Comma 17 7" xfId="19062" xr:uid="{00000000-0005-0000-0000-00001A650000}"/>
    <cellStyle name="Comma 17 8" xfId="27944" xr:uid="{00000000-0005-0000-0000-00001B650000}"/>
    <cellStyle name="Comma 18" xfId="36095" xr:uid="{00000000-0005-0000-0000-00001C650000}"/>
    <cellStyle name="Comma 19" xfId="36106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3" xr:uid="{00000000-0005-0000-0000-000040650000}"/>
    <cellStyle name="Comma 2 2 2" xfId="46" xr:uid="{00000000-0005-0000-0000-000041650000}"/>
    <cellStyle name="Comma 2 2 2 2" xfId="17455" xr:uid="{00000000-0005-0000-0000-000042650000}"/>
    <cellStyle name="Comma 2 2 2 2 2" xfId="18160" xr:uid="{00000000-0005-0000-0000-000043650000}"/>
    <cellStyle name="Comma 2 2 2 3" xfId="17184" xr:uid="{00000000-0005-0000-0000-000044650000}"/>
    <cellStyle name="Comma 2 2 2 3 2" xfId="16204" xr:uid="{00000000-0005-0000-0000-000045650000}"/>
    <cellStyle name="Comma 2 2 2 4" xfId="17396" xr:uid="{00000000-0005-0000-0000-000046650000}"/>
    <cellStyle name="Comma 2 2 2 5" xfId="17106" xr:uid="{00000000-0005-0000-0000-000047650000}"/>
    <cellStyle name="Comma 2 2 2 6" xfId="18225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8" xr:uid="{00000000-0005-0000-0000-000055650000}"/>
    <cellStyle name="Comma 2 2 7 2" xfId="17261" xr:uid="{00000000-0005-0000-0000-000056650000}"/>
    <cellStyle name="Comma 2 2 8" xfId="17515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7" xr:uid="{00000000-0005-0000-0000-000061650000}"/>
    <cellStyle name="Comma 2 23 2 3" xfId="30914" xr:uid="{00000000-0005-0000-0000-000062650000}"/>
    <cellStyle name="Comma 2 23 3" xfId="12982" xr:uid="{00000000-0005-0000-0000-000063650000}"/>
    <cellStyle name="Comma 2 23 3 2" xfId="24256" xr:uid="{00000000-0005-0000-0000-000064650000}"/>
    <cellStyle name="Comma 2 23 3 3" xfId="33133" xr:uid="{00000000-0005-0000-0000-000065650000}"/>
    <cellStyle name="Comma 2 23 4" xfId="15432" xr:uid="{00000000-0005-0000-0000-000066650000}"/>
    <cellStyle name="Comma 2 23 4 2" xfId="26475" xr:uid="{00000000-0005-0000-0000-000067650000}"/>
    <cellStyle name="Comma 2 23 4 3" xfId="35352" xr:uid="{00000000-0005-0000-0000-000068650000}"/>
    <cellStyle name="Comma 2 23 5" xfId="19818" xr:uid="{00000000-0005-0000-0000-000069650000}"/>
    <cellStyle name="Comma 2 23 6" xfId="28695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4" xr:uid="{00000000-0005-0000-0000-00006D650000}"/>
    <cellStyle name="Comma 2 24 2 3" xfId="30181" xr:uid="{00000000-0005-0000-0000-00006E650000}"/>
    <cellStyle name="Comma 2 24 3" xfId="12249" xr:uid="{00000000-0005-0000-0000-00006F650000}"/>
    <cellStyle name="Comma 2 24 3 2" xfId="23523" xr:uid="{00000000-0005-0000-0000-000070650000}"/>
    <cellStyle name="Comma 2 24 3 3" xfId="32400" xr:uid="{00000000-0005-0000-0000-000071650000}"/>
    <cellStyle name="Comma 2 24 4" xfId="14699" xr:uid="{00000000-0005-0000-0000-000072650000}"/>
    <cellStyle name="Comma 2 24 4 2" xfId="25742" xr:uid="{00000000-0005-0000-0000-000073650000}"/>
    <cellStyle name="Comma 2 24 4 3" xfId="34619" xr:uid="{00000000-0005-0000-0000-000074650000}"/>
    <cellStyle name="Comma 2 24 5" xfId="19085" xr:uid="{00000000-0005-0000-0000-000075650000}"/>
    <cellStyle name="Comma 2 24 6" xfId="27962" xr:uid="{00000000-0005-0000-0000-000076650000}"/>
    <cellStyle name="Comma 2 25" xfId="9056" xr:uid="{00000000-0005-0000-0000-000077650000}"/>
    <cellStyle name="Comma 2 25 2" xfId="20561" xr:uid="{00000000-0005-0000-0000-000078650000}"/>
    <cellStyle name="Comma 2 25 3" xfId="29438" xr:uid="{00000000-0005-0000-0000-000079650000}"/>
    <cellStyle name="Comma 2 26" xfId="11506" xr:uid="{00000000-0005-0000-0000-00007A650000}"/>
    <cellStyle name="Comma 2 26 2" xfId="22780" xr:uid="{00000000-0005-0000-0000-00007B650000}"/>
    <cellStyle name="Comma 2 26 3" xfId="31657" xr:uid="{00000000-0005-0000-0000-00007C650000}"/>
    <cellStyle name="Comma 2 27" xfId="13725" xr:uid="{00000000-0005-0000-0000-00007D650000}"/>
    <cellStyle name="Comma 2 27 2" xfId="24999" xr:uid="{00000000-0005-0000-0000-00007E650000}"/>
    <cellStyle name="Comma 2 27 3" xfId="33876" xr:uid="{00000000-0005-0000-0000-00007F650000}"/>
    <cellStyle name="Comma 2 28" xfId="18336" xr:uid="{00000000-0005-0000-0000-000080650000}"/>
    <cellStyle name="Comma 2 29" xfId="27217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2" xr:uid="{00000000-0005-0000-0000-000085650000}"/>
    <cellStyle name="Comma 2 3 2 3" xfId="14420" xr:uid="{00000000-0005-0000-0000-000086650000}"/>
    <cellStyle name="Comma 2 3 2 3 2" xfId="17911" xr:uid="{00000000-0005-0000-0000-000087650000}"/>
    <cellStyle name="Comma 2 3 2 4" xfId="17870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1" xr:uid="{00000000-0005-0000-0000-000096650000}"/>
    <cellStyle name="Comma 2 3 7 2" xfId="18150" xr:uid="{00000000-0005-0000-0000-000097650000}"/>
    <cellStyle name="Comma 2 3 8" xfId="17265" xr:uid="{00000000-0005-0000-0000-000098650000}"/>
    <cellStyle name="Comma 2 3 9" xfId="17348" xr:uid="{00000000-0005-0000-0000-000099650000}"/>
    <cellStyle name="Comma 2 30" xfId="27942" xr:uid="{00000000-0005-0000-0000-00009A650000}"/>
    <cellStyle name="Comma 2 31" xfId="27958" xr:uid="{00000000-0005-0000-0000-00009B650000}"/>
    <cellStyle name="Comma 2 32" xfId="36096" xr:uid="{00000000-0005-0000-0000-00009C650000}"/>
    <cellStyle name="Comma 2 33" xfId="36099" xr:uid="{00000000-0005-0000-0000-00009D650000}"/>
    <cellStyle name="Comma 2 34" xfId="36102" xr:uid="{00000000-0005-0000-0000-00009E650000}"/>
    <cellStyle name="Comma 2 35" xfId="36169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8" xr:uid="{00000000-0005-0000-0000-0000A2650000}"/>
    <cellStyle name="Comma 2 4 3" xfId="16243" xr:uid="{00000000-0005-0000-0000-0000A3650000}"/>
    <cellStyle name="Comma 2 4 3 2" xfId="17955" xr:uid="{00000000-0005-0000-0000-0000A4650000}"/>
    <cellStyle name="Comma 2 4 4" xfId="17670" xr:uid="{00000000-0005-0000-0000-0000A5650000}"/>
    <cellStyle name="Comma 2 4 5" xfId="17579" xr:uid="{00000000-0005-0000-0000-0000A6650000}"/>
    <cellStyle name="Comma 2 5" xfId="49" xr:uid="{00000000-0005-0000-0000-0000A7650000}"/>
    <cellStyle name="Comma 2 5 2" xfId="17301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2" xr:uid="{00000000-0005-0000-0000-0000AB650000}"/>
    <cellStyle name="Comma 2 6 3" xfId="17881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68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3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1" xr:uid="{00000000-0005-0000-0000-0000DF650000}"/>
    <cellStyle name="Comma 3 2 2 5" xfId="14437" xr:uid="{00000000-0005-0000-0000-0000E0650000}"/>
    <cellStyle name="Comma 3 2 2 6" xfId="17475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6" xr:uid="{00000000-0005-0000-0000-0000EB650000}"/>
    <cellStyle name="Comma 3 2 3 2 6" xfId="17367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3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6" xr:uid="{00000000-0005-0000-0000-0000FD650000}"/>
    <cellStyle name="Comma 3 2 3 4 4" xfId="14613" xr:uid="{00000000-0005-0000-0000-0000FE650000}"/>
    <cellStyle name="Comma 3 2 3 4 5" xfId="17425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7" xr:uid="{00000000-0005-0000-0000-000004660000}"/>
    <cellStyle name="Comma 3 2 3 7" xfId="14438" xr:uid="{00000000-0005-0000-0000-000005660000}"/>
    <cellStyle name="Comma 3 2 3 7 2" xfId="17542" xr:uid="{00000000-0005-0000-0000-000006660000}"/>
    <cellStyle name="Comma 3 2 3 8" xfId="17200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1" xr:uid="{00000000-0005-0000-0000-00000B660000}"/>
    <cellStyle name="Comma 3 2 4 3" xfId="14439" xr:uid="{00000000-0005-0000-0000-00000C660000}"/>
    <cellStyle name="Comma 3 2 4 3 2" xfId="17977" xr:uid="{00000000-0005-0000-0000-00000D660000}"/>
    <cellStyle name="Comma 3 2 4 4" xfId="17641" xr:uid="{00000000-0005-0000-0000-00000E660000}"/>
    <cellStyle name="Comma 3 2 4 4 2" xfId="17305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4" xr:uid="{00000000-0005-0000-0000-000014660000}"/>
    <cellStyle name="Comma 3 2 6 2" xfId="18196" xr:uid="{00000000-0005-0000-0000-000015660000}"/>
    <cellStyle name="Comma 3 2 7" xfId="17880" xr:uid="{00000000-0005-0000-0000-000016660000}"/>
    <cellStyle name="Comma 3 2 7 2" xfId="17541" xr:uid="{00000000-0005-0000-0000-000017660000}"/>
    <cellStyle name="Comma 3 2 8" xfId="17199" xr:uid="{00000000-0005-0000-0000-000018660000}"/>
    <cellStyle name="Comma 3 2 9" xfId="18297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7" xr:uid="{00000000-0005-0000-0000-00001D660000}"/>
    <cellStyle name="Comma 3 23" xfId="36100" xr:uid="{00000000-0005-0000-0000-00001E660000}"/>
    <cellStyle name="Comma 3 24" xfId="36103" xr:uid="{00000000-0005-0000-0000-00001F660000}"/>
    <cellStyle name="Comma 3 25" xfId="36173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0" xr:uid="{00000000-0005-0000-0000-00002A660000}"/>
    <cellStyle name="Comma 3 3 2 5" xfId="14616" xr:uid="{00000000-0005-0000-0000-00002B660000}"/>
    <cellStyle name="Comma 3 3 2 6" xfId="17630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8" xr:uid="{00000000-0005-0000-0000-000033660000}"/>
    <cellStyle name="Comma 3 3 3 2 4" xfId="14620" xr:uid="{00000000-0005-0000-0000-000034660000}"/>
    <cellStyle name="Comma 3 3 3 2 4 2" xfId="17976" xr:uid="{00000000-0005-0000-0000-000035660000}"/>
    <cellStyle name="Comma 3 3 3 2 5" xfId="17640" xr:uid="{00000000-0005-0000-0000-000036660000}"/>
    <cellStyle name="Comma 3 3 3 2 6" xfId="17097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5" xr:uid="{00000000-0005-0000-0000-000040660000}"/>
    <cellStyle name="Comma 3 3 3 3 5" xfId="14622" xr:uid="{00000000-0005-0000-0000-000041660000}"/>
    <cellStyle name="Comma 3 3 3 3 6" xfId="17172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5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6" xr:uid="{00000000-0005-0000-0000-00004F660000}"/>
    <cellStyle name="Comma 3 3 3 7" xfId="14619" xr:uid="{00000000-0005-0000-0000-000050660000}"/>
    <cellStyle name="Comma 3 3 3 7 2" xfId="17814" xr:uid="{00000000-0005-0000-0000-000051660000}"/>
    <cellStyle name="Comma 3 3 3 8" xfId="17639" xr:uid="{00000000-0005-0000-0000-000052660000}"/>
    <cellStyle name="Comma 3 3 3 9" xfId="17934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5" xr:uid="{00000000-0005-0000-0000-00005A660000}"/>
    <cellStyle name="Comma 3 3 4 5" xfId="17759" xr:uid="{00000000-0005-0000-0000-00005B660000}"/>
    <cellStyle name="Comma 3 3 5" xfId="17423" xr:uid="{00000000-0005-0000-0000-00005C660000}"/>
    <cellStyle name="Comma 3 3 5 2" xfId="18194" xr:uid="{00000000-0005-0000-0000-00005D660000}"/>
    <cellStyle name="Comma 3 3 6" xfId="16731" xr:uid="{00000000-0005-0000-0000-00005E660000}"/>
    <cellStyle name="Comma 3 3 6 2" xfId="17879" xr:uid="{00000000-0005-0000-0000-00005F660000}"/>
    <cellStyle name="Comma 3 3 7" xfId="17540" xr:uid="{00000000-0005-0000-0000-000060660000}"/>
    <cellStyle name="Comma 3 3 7 2" xfId="18177" xr:uid="{00000000-0005-0000-0000-000061660000}"/>
    <cellStyle name="Comma 3 3 8" xfId="17197" xr:uid="{00000000-0005-0000-0000-000062660000}"/>
    <cellStyle name="Comma 3 3 9" xfId="17604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4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0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6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6" xr:uid="{00000000-0005-0000-0000-000082660000}"/>
    <cellStyle name="Comma 3 4 2 7" xfId="14629" xr:uid="{00000000-0005-0000-0000-000083660000}"/>
    <cellStyle name="Comma 3 4 2 8" xfId="17404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3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7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4" xr:uid="{00000000-0005-0000-0000-000093660000}"/>
    <cellStyle name="Comma 3 4 4 4" xfId="17758" xr:uid="{00000000-0005-0000-0000-000094660000}"/>
    <cellStyle name="Comma 3 4 4 5" xfId="18129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3" xr:uid="{00000000-0005-0000-0000-000099660000}"/>
    <cellStyle name="Comma 3 4 6 2" xfId="17878" xr:uid="{00000000-0005-0000-0000-00009A660000}"/>
    <cellStyle name="Comma 3 4 7" xfId="17539" xr:uid="{00000000-0005-0000-0000-00009B660000}"/>
    <cellStyle name="Comma 3 4 7 2" xfId="17195" xr:uid="{00000000-0005-0000-0000-00009C660000}"/>
    <cellStyle name="Comma 3 4 8" xfId="18296" xr:uid="{00000000-0005-0000-0000-00009D660000}"/>
    <cellStyle name="Comma 3 4 9" xfId="17625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7" xr:uid="{00000000-0005-0000-0000-0000A7660000}"/>
    <cellStyle name="Comma 3 5 2 5" xfId="17422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5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3" xr:uid="{00000000-0005-0000-0000-0000BA660000}"/>
    <cellStyle name="Comma 3 5 4 4" xfId="14646" xr:uid="{00000000-0005-0000-0000-0000BB660000}"/>
    <cellStyle name="Comma 3 5 4 5" xfId="17096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7" xr:uid="{00000000-0005-0000-0000-0000C0660000}"/>
    <cellStyle name="Comma 3 5 6 2" xfId="16747" xr:uid="{00000000-0005-0000-0000-0000C1660000}"/>
    <cellStyle name="Comma 3 5 7" xfId="17538" xr:uid="{00000000-0005-0000-0000-0000C2660000}"/>
    <cellStyle name="Comma 3 5 7 2" xfId="17194" xr:uid="{00000000-0005-0000-0000-0000C3660000}"/>
    <cellStyle name="Comma 3 5 8" xfId="18294" xr:uid="{00000000-0005-0000-0000-0000C4660000}"/>
    <cellStyle name="Comma 3 5 9" xfId="17813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5" xr:uid="{00000000-0005-0000-0000-0000F9660000}"/>
    <cellStyle name="Comma 4 2 11" xfId="17686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2" xr:uid="{00000000-0005-0000-0000-0000FE660000}"/>
    <cellStyle name="Comma 4 2 2 2 3" xfId="14651" xr:uid="{00000000-0005-0000-0000-0000FF660000}"/>
    <cellStyle name="Comma 4 2 2 2 3 2" xfId="17677" xr:uid="{00000000-0005-0000-0000-000000670000}"/>
    <cellStyle name="Comma 4 2 2 2 4" xfId="17343" xr:uid="{00000000-0005-0000-0000-000001670000}"/>
    <cellStyle name="Comma 4 2 2 2 5" xfId="17535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1" xr:uid="{00000000-0005-0000-0000-000006670000}"/>
    <cellStyle name="Comma 4 2 2 5" xfId="17794" xr:uid="{00000000-0005-0000-0000-000007670000}"/>
    <cellStyle name="Comma 4 2 2 5 2" xfId="17459" xr:uid="{00000000-0005-0000-0000-000008670000}"/>
    <cellStyle name="Comma 4 2 2 6" xfId="18331" xr:uid="{00000000-0005-0000-0000-000009670000}"/>
    <cellStyle name="Comma 4 2 2 6 2" xfId="18009" xr:uid="{00000000-0005-0000-0000-00000A670000}"/>
    <cellStyle name="Comma 4 2 2 7" xfId="17676" xr:uid="{00000000-0005-0000-0000-00000B670000}"/>
    <cellStyle name="Comma 4 2 2 7 2" xfId="17342" xr:uid="{00000000-0005-0000-0000-00000C670000}"/>
    <cellStyle name="Comma 4 2 2 8" xfId="16712" xr:uid="{00000000-0005-0000-0000-00000D670000}"/>
    <cellStyle name="Comma 4 2 2 9" xfId="17632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0" xr:uid="{00000000-0005-0000-0000-000016670000}"/>
    <cellStyle name="Comma 4 2 3 3" xfId="9787" xr:uid="{00000000-0005-0000-0000-000017670000}"/>
    <cellStyle name="Comma 4 2 3 3 2" xfId="18119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8" xr:uid="{00000000-0005-0000-0000-00001B670000}"/>
    <cellStyle name="Comma 4 2 3 4 3" xfId="17792" xr:uid="{00000000-0005-0000-0000-00001C670000}"/>
    <cellStyle name="Comma 4 2 3 5" xfId="18329" xr:uid="{00000000-0005-0000-0000-00001D670000}"/>
    <cellStyle name="Comma 4 2 3 5 2" xfId="18008" xr:uid="{00000000-0005-0000-0000-00001E670000}"/>
    <cellStyle name="Comma 4 2 3 6" xfId="17674" xr:uid="{00000000-0005-0000-0000-00001F670000}"/>
    <cellStyle name="Comma 4 2 3 6 2" xfId="16730" xr:uid="{00000000-0005-0000-0000-000020670000}"/>
    <cellStyle name="Comma 4 2 3 7" xfId="17340" xr:uid="{00000000-0005-0000-0000-000021670000}"/>
    <cellStyle name="Comma 4 2 3 7 2" xfId="18120" xr:uid="{00000000-0005-0000-0000-000022670000}"/>
    <cellStyle name="Comma 4 2 3 8" xfId="17793" xr:uid="{00000000-0005-0000-0000-000023670000}"/>
    <cellStyle name="Comma 4 2 3 9" xfId="17831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0" xr:uid="{00000000-0005-0000-0000-000027670000}"/>
    <cellStyle name="Comma 4 2 4 3" xfId="14457" xr:uid="{00000000-0005-0000-0000-000028670000}"/>
    <cellStyle name="Comma 4 2 4 3 2" xfId="17675" xr:uid="{00000000-0005-0000-0000-000029670000}"/>
    <cellStyle name="Comma 4 2 4 4" xfId="17341" xr:uid="{00000000-0005-0000-0000-00002A670000}"/>
    <cellStyle name="Comma 4 2 4 5" xfId="17747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2" xr:uid="{00000000-0005-0000-0000-000030670000}"/>
    <cellStyle name="Comma 4 2 7" xfId="14454" xr:uid="{00000000-0005-0000-0000-000031670000}"/>
    <cellStyle name="Comma 4 2 7 2" xfId="17421" xr:uid="{00000000-0005-0000-0000-000032670000}"/>
    <cellStyle name="Comma 4 2 8" xfId="18192" xr:uid="{00000000-0005-0000-0000-000033670000}"/>
    <cellStyle name="Comma 4 2 8 2" xfId="17876" xr:uid="{00000000-0005-0000-0000-000034670000}"/>
    <cellStyle name="Comma 4 2 9" xfId="17537" xr:uid="{00000000-0005-0000-0000-000035670000}"/>
    <cellStyle name="Comma 4 2 9 2" xfId="17193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4" xr:uid="{00000000-0005-0000-0000-00003B670000}"/>
    <cellStyle name="Comma 4 3 2 3" xfId="14653" xr:uid="{00000000-0005-0000-0000-00003C670000}"/>
    <cellStyle name="Comma 4 3 2 3 2" xfId="17302" xr:uid="{00000000-0005-0000-0000-00003D670000}"/>
    <cellStyle name="Comma 4 3 2 4" xfId="16707" xr:uid="{00000000-0005-0000-0000-00003E670000}"/>
    <cellStyle name="Comma 4 3 2 5" xfId="17858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8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7" xr:uid="{00000000-0005-0000-0000-000049670000}"/>
    <cellStyle name="Comma 4 3 5 3" xfId="18328" xr:uid="{00000000-0005-0000-0000-00004A670000}"/>
    <cellStyle name="Comma 4 3 6" xfId="14459" xr:uid="{00000000-0005-0000-0000-00004B670000}"/>
    <cellStyle name="Comma 4 3 6 2" xfId="17339" xr:uid="{00000000-0005-0000-0000-00004C670000}"/>
    <cellStyle name="Comma 4 3 6 3" xfId="17673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2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59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1" xr:uid="{00000000-0005-0000-0000-00005A670000}"/>
    <cellStyle name="Comma 4 4 2 2 3" xfId="14657" xr:uid="{00000000-0005-0000-0000-00005B670000}"/>
    <cellStyle name="Comma 4 4 2 2 3 2" xfId="18125" xr:uid="{00000000-0005-0000-0000-00005C670000}"/>
    <cellStyle name="Comma 4 4 2 2 4" xfId="17799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3" xr:uid="{00000000-0005-0000-0000-000060670000}"/>
    <cellStyle name="Comma 4 4 2 4" xfId="14656" xr:uid="{00000000-0005-0000-0000-000061670000}"/>
    <cellStyle name="Comma 4 4 2 4 2" xfId="17913" xr:uid="{00000000-0005-0000-0000-000062670000}"/>
    <cellStyle name="Comma 4 4 2 5" xfId="17572" xr:uid="{00000000-0005-0000-0000-000063670000}"/>
    <cellStyle name="Comma 4 4 2 5 2" xfId="16502" xr:uid="{00000000-0005-0000-0000-000064670000}"/>
    <cellStyle name="Comma 4 4 2 6" xfId="17236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2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4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5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3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89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0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3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79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2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6" xr:uid="{00000000-0005-0000-0000-000005680000}"/>
    <cellStyle name="Comma 5 3 2 7 2" xfId="17456" xr:uid="{00000000-0005-0000-0000-000006680000}"/>
    <cellStyle name="Comma 5 3 2 8" xfId="18117" xr:uid="{00000000-0005-0000-0000-000007680000}"/>
    <cellStyle name="Comma 5 3 2 9" xfId="17091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7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2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69" xr:uid="{00000000-0005-0000-0000-00001E680000}"/>
    <cellStyle name="Comma 5 3 3 8" xfId="16385" xr:uid="{00000000-0005-0000-0000-00001F680000}"/>
    <cellStyle name="Comma 5 3 3 9" xfId="17593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3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5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69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0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8" xr:uid="{00000000-0005-0000-0000-000057680000}"/>
    <cellStyle name="Comma 5 5 2 5" xfId="18326" xr:uid="{00000000-0005-0000-0000-000058680000}"/>
    <cellStyle name="Comma 5 5 2 6" xfId="18070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1" xr:uid="{00000000-0005-0000-0000-00005C680000}"/>
    <cellStyle name="Comma 5 5 4 3" xfId="17335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3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1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7" xr:uid="{00000000-0005-0000-0000-00006C680000}"/>
    <cellStyle name="Comma 5 6 2 6" xfId="18247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4" xr:uid="{00000000-0005-0000-0000-000071680000}"/>
    <cellStyle name="Comma 5 6 4" xfId="9815" xr:uid="{00000000-0005-0000-0000-000072680000}"/>
    <cellStyle name="Comma 5 6 4 2" xfId="18006" xr:uid="{00000000-0005-0000-0000-000073680000}"/>
    <cellStyle name="Comma 5 6 5" xfId="14484" xr:uid="{00000000-0005-0000-0000-000074680000}"/>
    <cellStyle name="Comma 5 6 5 2" xfId="17336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1" xr:uid="{00000000-0005-0000-0000-000078680000}"/>
    <cellStyle name="Comma 5 6 7 2" xfId="17160" xr:uid="{00000000-0005-0000-0000-000079680000}"/>
    <cellStyle name="Comma 5 6 8" xfId="18011" xr:uid="{00000000-0005-0000-0000-00007A680000}"/>
    <cellStyle name="Comma 5 6 9" xfId="17364" xr:uid="{00000000-0005-0000-0000-00007B680000}"/>
    <cellStyle name="Comma 5 7" xfId="2402" xr:uid="{00000000-0005-0000-0000-00007C680000}"/>
    <cellStyle name="Comma 5 7 10" xfId="17345" xr:uid="{00000000-0005-0000-0000-00007D680000}"/>
    <cellStyle name="Comma 5 7 11" xfId="16729" xr:uid="{00000000-0005-0000-0000-00007E680000}"/>
    <cellStyle name="Comma 5 7 12" xfId="17679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2" xr:uid="{00000000-0005-0000-0000-000082680000}"/>
    <cellStyle name="Comma 5 7 2 3" xfId="16695" xr:uid="{00000000-0005-0000-0000-000083680000}"/>
    <cellStyle name="Comma 5 7 2 4" xfId="17796" xr:uid="{00000000-0005-0000-0000-000084680000}"/>
    <cellStyle name="Comma 5 7 2 5" xfId="17460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0" xr:uid="{00000000-0005-0000-0000-000088680000}"/>
    <cellStyle name="Comma 5 7 3 2 2" xfId="17678" xr:uid="{00000000-0005-0000-0000-000089680000}"/>
    <cellStyle name="Comma 5 7 3 3" xfId="18273" xr:uid="{00000000-0005-0000-0000-00008A680000}"/>
    <cellStyle name="Comma 5 7 3 4" xfId="17344" xr:uid="{00000000-0005-0000-0000-00008B680000}"/>
    <cellStyle name="Comma 5 7 3 5" xfId="18333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6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1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2" xr:uid="{00000000-0005-0000-0000-00009B680000}"/>
    <cellStyle name="Comma 5 7 7" xfId="17017" xr:uid="{00000000-0005-0000-0000-00009C680000}"/>
    <cellStyle name="Comma 5 7 7 2" xfId="17016" xr:uid="{00000000-0005-0000-0000-00009D680000}"/>
    <cellStyle name="Comma 5 7 8" xfId="16670" xr:uid="{00000000-0005-0000-0000-00009E680000}"/>
    <cellStyle name="Comma 5 7 8 2" xfId="17015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3" xr:uid="{00000000-0005-0000-0000-0000A3680000}"/>
    <cellStyle name="Comma 5 8 3" xfId="14486" xr:uid="{00000000-0005-0000-0000-0000A4680000}"/>
    <cellStyle name="Comma 5 8 3 2" xfId="18142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0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2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2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0" xr:uid="{00000000-0005-0000-0000-0000CF680000}"/>
    <cellStyle name="Comma 6 2 2 2 3" xfId="17607" xr:uid="{00000000-0005-0000-0000-0000D0680000}"/>
    <cellStyle name="Comma 6 2 2 3" xfId="14498" xr:uid="{00000000-0005-0000-0000-0000D1680000}"/>
    <cellStyle name="Comma 6 2 2 3 2" xfId="17634" xr:uid="{00000000-0005-0000-0000-0000D2680000}"/>
    <cellStyle name="Comma 6 2 2 3 3" xfId="16197" xr:uid="{00000000-0005-0000-0000-0000D3680000}"/>
    <cellStyle name="Comma 6 2 2 4" xfId="17952" xr:uid="{00000000-0005-0000-0000-0000D4680000}"/>
    <cellStyle name="Comma 6 2 2 5" xfId="17825" xr:uid="{00000000-0005-0000-0000-0000D5680000}"/>
    <cellStyle name="Comma 6 2 2 6" xfId="17827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8" xr:uid="{00000000-0005-0000-0000-0000D9680000}"/>
    <cellStyle name="Comma 6 2 3 3" xfId="14499" xr:uid="{00000000-0005-0000-0000-0000DA680000}"/>
    <cellStyle name="Comma 6 2 3 4" xfId="17371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6" xr:uid="{00000000-0005-0000-0000-0000DE680000}"/>
    <cellStyle name="Comma 6 2 4 3" xfId="14500" xr:uid="{00000000-0005-0000-0000-0000DF680000}"/>
    <cellStyle name="Comma 6 2 4 4" xfId="17738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39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6" xr:uid="{00000000-0005-0000-0000-0000EA680000}"/>
    <cellStyle name="Comma 6 2 7 3" xfId="17291" xr:uid="{00000000-0005-0000-0000-0000EB680000}"/>
    <cellStyle name="Comma 6 2 8" xfId="17479" xr:uid="{00000000-0005-0000-0000-0000EC680000}"/>
    <cellStyle name="Comma 6 2 9" xfId="17247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4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6" xr:uid="{00000000-0005-0000-0000-0000F6680000}"/>
    <cellStyle name="Comma 6 3 2 4" xfId="14676" xr:uid="{00000000-0005-0000-0000-0000F7680000}"/>
    <cellStyle name="Comma 6 3 2 4 2" xfId="17820" xr:uid="{00000000-0005-0000-0000-0000F8680000}"/>
    <cellStyle name="Comma 6 3 2 5" xfId="16693" xr:uid="{00000000-0005-0000-0000-0000F9680000}"/>
    <cellStyle name="Comma 6 3 2 5 2" xfId="17619" xr:uid="{00000000-0005-0000-0000-0000FA680000}"/>
    <cellStyle name="Comma 6 3 2 6" xfId="18154" xr:uid="{00000000-0005-0000-0000-0000FB680000}"/>
    <cellStyle name="Comma 6 3 2 7" xfId="16193" xr:uid="{00000000-0005-0000-0000-0000FC680000}"/>
    <cellStyle name="Comma 6 3 2 8" xfId="17957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0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2" xr:uid="{00000000-0005-0000-0000-000019690000}"/>
    <cellStyle name="Comma 6 4 7" xfId="17065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3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8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2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8" xr:uid="{00000000-0005-0000-0000-000076690000}"/>
    <cellStyle name="Comma 7 3 5" xfId="14523" xr:uid="{00000000-0005-0000-0000-000077690000}"/>
    <cellStyle name="Comma 7 3 5 2" xfId="18227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599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3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8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7" xr:uid="{00000000-0005-0000-0000-0000FA690000}"/>
    <cellStyle name="Comma2" xfId="36108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09" xr:uid="{00000000-0005-0000-0000-0000256A0000}"/>
    <cellStyle name="Currency2" xfId="36110" xr:uid="{00000000-0005-0000-0000-0000266A0000}"/>
    <cellStyle name="CustomizationCells" xfId="4198" xr:uid="{00000000-0005-0000-0000-0000276A0000}"/>
    <cellStyle name="Date" xfId="36111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4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3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2" xr:uid="{00000000-0005-0000-0000-00004E6A0000}"/>
    <cellStyle name="Euro 3 5" xfId="17011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0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09" xr:uid="{00000000-0005-0000-0000-00006B6A0000}"/>
    <cellStyle name="Euro 7 3" xfId="17008" xr:uid="{00000000-0005-0000-0000-00006C6A0000}"/>
    <cellStyle name="Euro 7 4" xfId="17007" xr:uid="{00000000-0005-0000-0000-00006D6A0000}"/>
    <cellStyle name="Euro 7 5" xfId="17180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1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2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6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5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4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3" xr:uid="{00000000-0005-0000-0000-0000E66A0000}"/>
    <cellStyle name="Float 8 3" xfId="17002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3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3" xr:uid="{00000000-0005-0000-0000-0000166B0000}"/>
    <cellStyle name="Gut" xfId="3975" xr:uid="{00000000-0005-0000-0000-0000176B0000}"/>
    <cellStyle name="Heading" xfId="36114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5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4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6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5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1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2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1" xr:uid="{00000000-0005-0000-0000-0000E46B0000}"/>
    <cellStyle name="Hyperlink 3" xfId="43" xr:uid="{00000000-0005-0000-0000-0000E56B0000}"/>
    <cellStyle name="Hyperlink 3 2" xfId="17170" xr:uid="{00000000-0005-0000-0000-0000E66B0000}"/>
    <cellStyle name="Hyperlink 3 3" xfId="36176" xr:uid="{00000000-0005-0000-0000-0000E76B0000}"/>
    <cellStyle name="Hyperlink 4" xfId="18035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5" builtinId="20" customBuiltin="1"/>
    <cellStyle name="Input 10" xfId="2812" xr:uid="{00000000-0005-0000-0000-0000F36B0000}"/>
    <cellStyle name="Input 10 2" xfId="17245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8" xr:uid="{00000000-0005-0000-0000-00001C6C0000}"/>
    <cellStyle name="Input 3 11" xfId="17064" xr:uid="{00000000-0005-0000-0000-00001D6C0000}"/>
    <cellStyle name="Input 3 12" xfId="17629" xr:uid="{00000000-0005-0000-0000-00001E6C0000}"/>
    <cellStyle name="Input 3 13" xfId="17946" xr:uid="{00000000-0005-0000-0000-00001F6C0000}"/>
    <cellStyle name="Input 3 14" xfId="17821" xr:uid="{00000000-0005-0000-0000-0000206C0000}"/>
    <cellStyle name="Input 3 15" xfId="17001" xr:uid="{00000000-0005-0000-0000-0000216C0000}"/>
    <cellStyle name="Input 3 16" xfId="17000" xr:uid="{00000000-0005-0000-0000-0000226C0000}"/>
    <cellStyle name="Input 3 17" xfId="17380" xr:uid="{00000000-0005-0000-0000-0000236C0000}"/>
    <cellStyle name="Input 3 2" xfId="2851" xr:uid="{00000000-0005-0000-0000-0000246C0000}"/>
    <cellStyle name="Input 3 2 10" xfId="17971" xr:uid="{00000000-0005-0000-0000-0000256C0000}"/>
    <cellStyle name="Input 3 2 11" xfId="18271" xr:uid="{00000000-0005-0000-0000-0000266C0000}"/>
    <cellStyle name="Input 3 2 12" xfId="17712" xr:uid="{00000000-0005-0000-0000-0000276C0000}"/>
    <cellStyle name="Input 3 2 13" xfId="16999" xr:uid="{00000000-0005-0000-0000-0000286C0000}"/>
    <cellStyle name="Input 3 2 14" xfId="16998" xr:uid="{00000000-0005-0000-0000-0000296C0000}"/>
    <cellStyle name="Input 3 2 15" xfId="17801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59" xr:uid="{00000000-0005-0000-0000-00002D6C0000}"/>
    <cellStyle name="Input 3 2 4" xfId="18156" xr:uid="{00000000-0005-0000-0000-00002E6C0000}"/>
    <cellStyle name="Input 3 2 5" xfId="17360" xr:uid="{00000000-0005-0000-0000-00002F6C0000}"/>
    <cellStyle name="Input 3 2 6" xfId="16685" xr:uid="{00000000-0005-0000-0000-0000306C0000}"/>
    <cellStyle name="Input 3 2 7" xfId="17294" xr:uid="{00000000-0005-0000-0000-0000316C0000}"/>
    <cellStyle name="Input 3 2 8" xfId="17608" xr:uid="{00000000-0005-0000-0000-0000326C0000}"/>
    <cellStyle name="Input 3 2 9" xfId="17483" xr:uid="{00000000-0005-0000-0000-0000336C0000}"/>
    <cellStyle name="Input 3 3" xfId="2852" xr:uid="{00000000-0005-0000-0000-0000346C0000}"/>
    <cellStyle name="Input 3 3 10" xfId="17636" xr:uid="{00000000-0005-0000-0000-0000356C0000}"/>
    <cellStyle name="Input 3 3 11" xfId="17954" xr:uid="{00000000-0005-0000-0000-0000366C0000}"/>
    <cellStyle name="Input 3 3 12" xfId="17373" xr:uid="{00000000-0005-0000-0000-0000376C0000}"/>
    <cellStyle name="Input 3 3 13" xfId="16997" xr:uid="{00000000-0005-0000-0000-0000386C0000}"/>
    <cellStyle name="Input 3 3 14" xfId="16996" xr:uid="{00000000-0005-0000-0000-0000396C0000}"/>
    <cellStyle name="Input 3 3 15" xfId="17465" xr:uid="{00000000-0005-0000-0000-00003A6C0000}"/>
    <cellStyle name="Input 3 3 2" xfId="16214" xr:uid="{00000000-0005-0000-0000-00003B6C0000}"/>
    <cellStyle name="Input 3 3 3" xfId="17622" xr:uid="{00000000-0005-0000-0000-00003C6C0000}"/>
    <cellStyle name="Input 3 3 4" xfId="17839" xr:uid="{00000000-0005-0000-0000-00003D6C0000}"/>
    <cellStyle name="Input 3 3 5" xfId="18137" xr:uid="{00000000-0005-0000-0000-00003E6C0000}"/>
    <cellStyle name="Input 3 3 6" xfId="17063" xr:uid="{00000000-0005-0000-0000-00003F6C0000}"/>
    <cellStyle name="Input 3 3 7" xfId="17062" xr:uid="{00000000-0005-0000-0000-0000406C0000}"/>
    <cellStyle name="Input 3 3 8" xfId="17061" xr:uid="{00000000-0005-0000-0000-0000416C0000}"/>
    <cellStyle name="Input 3 3 9" xfId="17060" xr:uid="{00000000-0005-0000-0000-0000426C0000}"/>
    <cellStyle name="Input 3 4" xfId="2853" xr:uid="{00000000-0005-0000-0000-0000436C0000}"/>
    <cellStyle name="Input 3 4 2" xfId="17059" xr:uid="{00000000-0005-0000-0000-0000446C0000}"/>
    <cellStyle name="Input 3 5" xfId="2854" xr:uid="{00000000-0005-0000-0000-0000456C0000}"/>
    <cellStyle name="Input 3 5 2" xfId="17058" xr:uid="{00000000-0005-0000-0000-0000466C0000}"/>
    <cellStyle name="Input 3 6" xfId="2855" xr:uid="{00000000-0005-0000-0000-0000476C0000}"/>
    <cellStyle name="Input 3 6 2" xfId="17057" xr:uid="{00000000-0005-0000-0000-0000486C0000}"/>
    <cellStyle name="Input 3 7" xfId="2856" xr:uid="{00000000-0005-0000-0000-0000496C0000}"/>
    <cellStyle name="Input 3 7 2" xfId="17056" xr:uid="{00000000-0005-0000-0000-00004A6C0000}"/>
    <cellStyle name="Input 3 8" xfId="2857" xr:uid="{00000000-0005-0000-0000-00004B6C0000}"/>
    <cellStyle name="Input 3 8 2" xfId="17055" xr:uid="{00000000-0005-0000-0000-00004C6C0000}"/>
    <cellStyle name="Input 3 9" xfId="17054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4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2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5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8" xr:uid="{00000000-0005-0000-0000-0000616C0000}"/>
    <cellStyle name="Input 9" xfId="2873" xr:uid="{00000000-0005-0000-0000-0000626C0000}"/>
    <cellStyle name="Input 9 2" xfId="17613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38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7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3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39" xr:uid="{00000000-0005-0000-0000-0000D96C0000}"/>
    <cellStyle name="Normal 10 2 2 2 3" xfId="30916" xr:uid="{00000000-0005-0000-0000-0000DA6C0000}"/>
    <cellStyle name="Normal 10 2 2 3" xfId="12984" xr:uid="{00000000-0005-0000-0000-0000DC6C0000}"/>
    <cellStyle name="Normal 10 2 2 3 2" xfId="24258" xr:uid="{00000000-0005-0000-0000-0000DD6C0000}"/>
    <cellStyle name="Normal 10 2 2 3 3" xfId="33135" xr:uid="{00000000-0005-0000-0000-0000DE6C0000}"/>
    <cellStyle name="Normal 10 2 2 4" xfId="15434" xr:uid="{00000000-0005-0000-0000-0000DF6C0000}"/>
    <cellStyle name="Normal 10 2 2 4 2" xfId="26477" xr:uid="{00000000-0005-0000-0000-0000E06C0000}"/>
    <cellStyle name="Normal 10 2 2 4 3" xfId="35354" xr:uid="{00000000-0005-0000-0000-0000E16C0000}"/>
    <cellStyle name="Normal 10 2 2 5" xfId="19820" xr:uid="{00000000-0005-0000-0000-0000E26C0000}"/>
    <cellStyle name="Normal 10 2 2 6" xfId="28697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6" xr:uid="{00000000-0005-0000-0000-0000E66C0000}"/>
    <cellStyle name="Normal 10 2 3 2 3" xfId="30183" xr:uid="{00000000-0005-0000-0000-0000E76C0000}"/>
    <cellStyle name="Normal 10 2 3 3" xfId="12251" xr:uid="{00000000-0005-0000-0000-0000E86C0000}"/>
    <cellStyle name="Normal 10 2 3 3 2" xfId="23525" xr:uid="{00000000-0005-0000-0000-0000E96C0000}"/>
    <cellStyle name="Normal 10 2 3 3 3" xfId="32402" xr:uid="{00000000-0005-0000-0000-0000EA6C0000}"/>
    <cellStyle name="Normal 10 2 3 4" xfId="14701" xr:uid="{00000000-0005-0000-0000-0000EB6C0000}"/>
    <cellStyle name="Normal 10 2 3 4 2" xfId="25744" xr:uid="{00000000-0005-0000-0000-0000EC6C0000}"/>
    <cellStyle name="Normal 10 2 3 4 3" xfId="34621" xr:uid="{00000000-0005-0000-0000-0000ED6C0000}"/>
    <cellStyle name="Normal 10 2 3 5" xfId="19087" xr:uid="{00000000-0005-0000-0000-0000EE6C0000}"/>
    <cellStyle name="Normal 10 2 3 6" xfId="27964" xr:uid="{00000000-0005-0000-0000-0000EF6C0000}"/>
    <cellStyle name="Normal 10 2 4" xfId="9060" xr:uid="{00000000-0005-0000-0000-0000F06C0000}"/>
    <cellStyle name="Normal 10 2 4 2" xfId="20563" xr:uid="{00000000-0005-0000-0000-0000F16C0000}"/>
    <cellStyle name="Normal 10 2 4 3" xfId="29440" xr:uid="{00000000-0005-0000-0000-0000F26C0000}"/>
    <cellStyle name="Normal 10 2 5" xfId="11508" xr:uid="{00000000-0005-0000-0000-0000F36C0000}"/>
    <cellStyle name="Normal 10 2 5 2" xfId="22782" xr:uid="{00000000-0005-0000-0000-0000F46C0000}"/>
    <cellStyle name="Normal 10 2 5 3" xfId="31659" xr:uid="{00000000-0005-0000-0000-0000F56C0000}"/>
    <cellStyle name="Normal 10 2 6" xfId="13729" xr:uid="{00000000-0005-0000-0000-0000F66C0000}"/>
    <cellStyle name="Normal 10 2 6 2" xfId="25001" xr:uid="{00000000-0005-0000-0000-0000F76C0000}"/>
    <cellStyle name="Normal 10 2 6 3" xfId="33878" xr:uid="{00000000-0005-0000-0000-0000F86C0000}"/>
    <cellStyle name="Normal 10 2 7" xfId="16995" xr:uid="{00000000-0005-0000-0000-0000F96C0000}"/>
    <cellStyle name="Normal 10 2 8" xfId="18338" xr:uid="{00000000-0005-0000-0000-0000FA6C0000}"/>
    <cellStyle name="Normal 10 2 9" xfId="27219" xr:uid="{00000000-0005-0000-0000-0000FB6C0000}"/>
    <cellStyle name="Normal 10 3" xfId="16994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3" xr:uid="{00000000-0005-0000-0000-0000FF6C0000}"/>
    <cellStyle name="Normal 11 10 2 2" xfId="16992" xr:uid="{00000000-0005-0000-0000-0000006D0000}"/>
    <cellStyle name="Normal 11 10 3" xfId="16991" xr:uid="{00000000-0005-0000-0000-0000016D0000}"/>
    <cellStyle name="Normal 11 10 3 2" xfId="16990" xr:uid="{00000000-0005-0000-0000-0000026D0000}"/>
    <cellStyle name="Normal 11 10 4" xfId="16989" xr:uid="{00000000-0005-0000-0000-0000036D0000}"/>
    <cellStyle name="Normal 11 10 4 2" xfId="16988" xr:uid="{00000000-0005-0000-0000-0000046D0000}"/>
    <cellStyle name="Normal 11 10 5" xfId="16987" xr:uid="{00000000-0005-0000-0000-0000056D0000}"/>
    <cellStyle name="Normal 11 10 5 2" xfId="16986" xr:uid="{00000000-0005-0000-0000-0000066D0000}"/>
    <cellStyle name="Normal 11 10 6" xfId="16985" xr:uid="{00000000-0005-0000-0000-0000076D0000}"/>
    <cellStyle name="Normal 11 2" xfId="2967" xr:uid="{00000000-0005-0000-0000-0000086D0000}"/>
    <cellStyle name="Normal 11 2 10" xfId="19009" xr:uid="{00000000-0005-0000-0000-0000096D0000}"/>
    <cellStyle name="Normal 11 2 11" xfId="27890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4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8" xr:uid="{00000000-0005-0000-0000-0000126D0000}"/>
    <cellStyle name="Normal 11 2 3 3 2 3" xfId="31645" xr:uid="{00000000-0005-0000-0000-0000136D0000}"/>
    <cellStyle name="Normal 11 2 3 3 3" xfId="13713" xr:uid="{00000000-0005-0000-0000-0000146D0000}"/>
    <cellStyle name="Normal 11 2 3 3 3 2" xfId="24987" xr:uid="{00000000-0005-0000-0000-0000156D0000}"/>
    <cellStyle name="Normal 11 2 3 3 3 3" xfId="33864" xr:uid="{00000000-0005-0000-0000-0000166D0000}"/>
    <cellStyle name="Normal 11 2 3 3 4" xfId="16163" xr:uid="{00000000-0005-0000-0000-0000176D0000}"/>
    <cellStyle name="Normal 11 2 3 3 4 2" xfId="27206" xr:uid="{00000000-0005-0000-0000-0000186D0000}"/>
    <cellStyle name="Normal 11 2 3 3 4 3" xfId="36083" xr:uid="{00000000-0005-0000-0000-0000196D0000}"/>
    <cellStyle name="Normal 11 2 3 3 5" xfId="20549" xr:uid="{00000000-0005-0000-0000-00001A6D0000}"/>
    <cellStyle name="Normal 11 2 3 3 6" xfId="29426" xr:uid="{00000000-0005-0000-0000-00001B6D0000}"/>
    <cellStyle name="Normal 11 2 3 4" xfId="10018" xr:uid="{00000000-0005-0000-0000-00001C6D0000}"/>
    <cellStyle name="Normal 11 2 3 4 2" xfId="21292" xr:uid="{00000000-0005-0000-0000-00001D6D0000}"/>
    <cellStyle name="Normal 11 2 3 4 3" xfId="30169" xr:uid="{00000000-0005-0000-0000-00001E6D0000}"/>
    <cellStyle name="Normal 11 2 3 5" xfId="12237" xr:uid="{00000000-0005-0000-0000-00001F6D0000}"/>
    <cellStyle name="Normal 11 2 3 5 2" xfId="23511" xr:uid="{00000000-0005-0000-0000-0000206D0000}"/>
    <cellStyle name="Normal 11 2 3 5 3" xfId="32388" xr:uid="{00000000-0005-0000-0000-0000216D0000}"/>
    <cellStyle name="Normal 11 2 3 6" xfId="14687" xr:uid="{00000000-0005-0000-0000-0000226D0000}"/>
    <cellStyle name="Normal 11 2 3 6 2" xfId="25730" xr:uid="{00000000-0005-0000-0000-0000236D0000}"/>
    <cellStyle name="Normal 11 2 3 6 3" xfId="34607" xr:uid="{00000000-0005-0000-0000-0000246D0000}"/>
    <cellStyle name="Normal 11 2 3 7" xfId="19067" xr:uid="{00000000-0005-0000-0000-0000256D0000}"/>
    <cellStyle name="Normal 11 2 3 8" xfId="27949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0" xr:uid="{00000000-0005-0000-0000-00002A6D0000}"/>
    <cellStyle name="Normal 11 2 5 2 3" xfId="31587" xr:uid="{00000000-0005-0000-0000-00002B6D0000}"/>
    <cellStyle name="Normal 11 2 5 3" xfId="13655" xr:uid="{00000000-0005-0000-0000-00002C6D0000}"/>
    <cellStyle name="Normal 11 2 5 3 2" xfId="24929" xr:uid="{00000000-0005-0000-0000-00002D6D0000}"/>
    <cellStyle name="Normal 11 2 5 3 3" xfId="33806" xr:uid="{00000000-0005-0000-0000-00002E6D0000}"/>
    <cellStyle name="Normal 11 2 5 4" xfId="16105" xr:uid="{00000000-0005-0000-0000-00002F6D0000}"/>
    <cellStyle name="Normal 11 2 5 4 2" xfId="27148" xr:uid="{00000000-0005-0000-0000-0000306D0000}"/>
    <cellStyle name="Normal 11 2 5 4 3" xfId="36025" xr:uid="{00000000-0005-0000-0000-0000316D0000}"/>
    <cellStyle name="Normal 11 2 5 5" xfId="20491" xr:uid="{00000000-0005-0000-0000-0000326D0000}"/>
    <cellStyle name="Normal 11 2 5 6" xfId="29368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7" xr:uid="{00000000-0005-0000-0000-0000366D0000}"/>
    <cellStyle name="Normal 11 2 6 2 3" xfId="30854" xr:uid="{00000000-0005-0000-0000-0000376D0000}"/>
    <cellStyle name="Normal 11 2 6 3" xfId="12922" xr:uid="{00000000-0005-0000-0000-0000386D0000}"/>
    <cellStyle name="Normal 11 2 6 3 2" xfId="24196" xr:uid="{00000000-0005-0000-0000-0000396D0000}"/>
    <cellStyle name="Normal 11 2 6 3 3" xfId="33073" xr:uid="{00000000-0005-0000-0000-00003A6D0000}"/>
    <cellStyle name="Normal 11 2 6 4" xfId="15372" xr:uid="{00000000-0005-0000-0000-00003B6D0000}"/>
    <cellStyle name="Normal 11 2 6 4 2" xfId="26415" xr:uid="{00000000-0005-0000-0000-00003C6D0000}"/>
    <cellStyle name="Normal 11 2 6 4 3" xfId="35292" xr:uid="{00000000-0005-0000-0000-00003D6D0000}"/>
    <cellStyle name="Normal 11 2 6 5" xfId="19758" xr:uid="{00000000-0005-0000-0000-00003E6D0000}"/>
    <cellStyle name="Normal 11 2 6 6" xfId="28635" xr:uid="{00000000-0005-0000-0000-00003F6D0000}"/>
    <cellStyle name="Normal 11 2 7" xfId="9879" xr:uid="{00000000-0005-0000-0000-0000406D0000}"/>
    <cellStyle name="Normal 11 2 7 2" xfId="21234" xr:uid="{00000000-0005-0000-0000-0000416D0000}"/>
    <cellStyle name="Normal 11 2 7 3" xfId="30111" xr:uid="{00000000-0005-0000-0000-0000426D0000}"/>
    <cellStyle name="Normal 11 2 8" xfId="12179" xr:uid="{00000000-0005-0000-0000-0000436D0000}"/>
    <cellStyle name="Normal 11 2 8 2" xfId="23453" xr:uid="{00000000-0005-0000-0000-0000446D0000}"/>
    <cellStyle name="Normal 11 2 8 3" xfId="32330" xr:uid="{00000000-0005-0000-0000-0000456D0000}"/>
    <cellStyle name="Normal 11 2 9" xfId="14548" xr:uid="{00000000-0005-0000-0000-0000466D0000}"/>
    <cellStyle name="Normal 11 2 9 2" xfId="25672" xr:uid="{00000000-0005-0000-0000-0000476D0000}"/>
    <cellStyle name="Normal 11 2 9 3" xfId="34549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0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0" xr:uid="{00000000-0005-0000-0000-00004F6D0000}"/>
    <cellStyle name="Normal 11 3 2 2 2 2 3" xfId="31647" xr:uid="{00000000-0005-0000-0000-0000506D0000}"/>
    <cellStyle name="Normal 11 3 2 2 2 3" xfId="13715" xr:uid="{00000000-0005-0000-0000-0000516D0000}"/>
    <cellStyle name="Normal 11 3 2 2 2 3 2" xfId="24989" xr:uid="{00000000-0005-0000-0000-0000526D0000}"/>
    <cellStyle name="Normal 11 3 2 2 2 3 3" xfId="33866" xr:uid="{00000000-0005-0000-0000-0000536D0000}"/>
    <cellStyle name="Normal 11 3 2 2 2 4" xfId="16165" xr:uid="{00000000-0005-0000-0000-0000546D0000}"/>
    <cellStyle name="Normal 11 3 2 2 2 4 2" xfId="27208" xr:uid="{00000000-0005-0000-0000-0000556D0000}"/>
    <cellStyle name="Normal 11 3 2 2 2 4 3" xfId="36085" xr:uid="{00000000-0005-0000-0000-0000566D0000}"/>
    <cellStyle name="Normal 11 3 2 2 2 5" xfId="20551" xr:uid="{00000000-0005-0000-0000-0000576D0000}"/>
    <cellStyle name="Normal 11 3 2 2 2 6" xfId="29428" xr:uid="{00000000-0005-0000-0000-0000586D0000}"/>
    <cellStyle name="Normal 11 3 2 2 3" xfId="10020" xr:uid="{00000000-0005-0000-0000-0000596D0000}"/>
    <cellStyle name="Normal 11 3 2 2 3 2" xfId="21294" xr:uid="{00000000-0005-0000-0000-00005A6D0000}"/>
    <cellStyle name="Normal 11 3 2 2 3 3" xfId="30171" xr:uid="{00000000-0005-0000-0000-00005B6D0000}"/>
    <cellStyle name="Normal 11 3 2 2 4" xfId="12239" xr:uid="{00000000-0005-0000-0000-00005C6D0000}"/>
    <cellStyle name="Normal 11 3 2 2 4 2" xfId="23513" xr:uid="{00000000-0005-0000-0000-00005D6D0000}"/>
    <cellStyle name="Normal 11 3 2 2 4 3" xfId="32390" xr:uid="{00000000-0005-0000-0000-00005E6D0000}"/>
    <cellStyle name="Normal 11 3 2 2 5" xfId="14689" xr:uid="{00000000-0005-0000-0000-00005F6D0000}"/>
    <cellStyle name="Normal 11 3 2 2 5 2" xfId="25732" xr:uid="{00000000-0005-0000-0000-0000606D0000}"/>
    <cellStyle name="Normal 11 3 2 2 5 3" xfId="34609" xr:uid="{00000000-0005-0000-0000-0000616D0000}"/>
    <cellStyle name="Normal 11 3 2 2 6" xfId="19069" xr:uid="{00000000-0005-0000-0000-0000626D0000}"/>
    <cellStyle name="Normal 11 3 2 2 7" xfId="27951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69" xr:uid="{00000000-0005-0000-0000-0000666D0000}"/>
    <cellStyle name="Normal 11 3 2 3 2 3" xfId="31646" xr:uid="{00000000-0005-0000-0000-0000676D0000}"/>
    <cellStyle name="Normal 11 3 2 3 3" xfId="13714" xr:uid="{00000000-0005-0000-0000-0000686D0000}"/>
    <cellStyle name="Normal 11 3 2 3 3 2" xfId="24988" xr:uid="{00000000-0005-0000-0000-0000696D0000}"/>
    <cellStyle name="Normal 11 3 2 3 3 3" xfId="33865" xr:uid="{00000000-0005-0000-0000-00006A6D0000}"/>
    <cellStyle name="Normal 11 3 2 3 4" xfId="16164" xr:uid="{00000000-0005-0000-0000-00006B6D0000}"/>
    <cellStyle name="Normal 11 3 2 3 4 2" xfId="27207" xr:uid="{00000000-0005-0000-0000-00006C6D0000}"/>
    <cellStyle name="Normal 11 3 2 3 4 3" xfId="36084" xr:uid="{00000000-0005-0000-0000-00006D6D0000}"/>
    <cellStyle name="Normal 11 3 2 3 5" xfId="20550" xr:uid="{00000000-0005-0000-0000-00006E6D0000}"/>
    <cellStyle name="Normal 11 3 2 3 6" xfId="29427" xr:uid="{00000000-0005-0000-0000-00006F6D0000}"/>
    <cellStyle name="Normal 11 3 2 4" xfId="10019" xr:uid="{00000000-0005-0000-0000-0000706D0000}"/>
    <cellStyle name="Normal 11 3 2 4 2" xfId="16983" xr:uid="{00000000-0005-0000-0000-0000716D0000}"/>
    <cellStyle name="Normal 11 3 2 4 3" xfId="21293" xr:uid="{00000000-0005-0000-0000-0000726D0000}"/>
    <cellStyle name="Normal 11 3 2 4 4" xfId="30170" xr:uid="{00000000-0005-0000-0000-0000736D0000}"/>
    <cellStyle name="Normal 11 3 2 5" xfId="12238" xr:uid="{00000000-0005-0000-0000-0000746D0000}"/>
    <cellStyle name="Normal 11 3 2 5 2" xfId="16982" xr:uid="{00000000-0005-0000-0000-0000756D0000}"/>
    <cellStyle name="Normal 11 3 2 5 3" xfId="23512" xr:uid="{00000000-0005-0000-0000-0000766D0000}"/>
    <cellStyle name="Normal 11 3 2 5 4" xfId="32389" xr:uid="{00000000-0005-0000-0000-0000776D0000}"/>
    <cellStyle name="Normal 11 3 2 6" xfId="14688" xr:uid="{00000000-0005-0000-0000-0000786D0000}"/>
    <cellStyle name="Normal 11 3 2 6 2" xfId="16981" xr:uid="{00000000-0005-0000-0000-0000796D0000}"/>
    <cellStyle name="Normal 11 3 2 6 3" xfId="25731" xr:uid="{00000000-0005-0000-0000-00007A6D0000}"/>
    <cellStyle name="Normal 11 3 2 6 4" xfId="34608" xr:uid="{00000000-0005-0000-0000-00007B6D0000}"/>
    <cellStyle name="Normal 11 3 2 7" xfId="16980" xr:uid="{00000000-0005-0000-0000-00007C6D0000}"/>
    <cellStyle name="Normal 11 3 2 8" xfId="16682" xr:uid="{00000000-0005-0000-0000-00007D6D0000}"/>
    <cellStyle name="Normal 11 3 2 9" xfId="19068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1" xr:uid="{00000000-0005-0000-0000-0000886D0000}"/>
    <cellStyle name="Normal 11 5 2 2 2 3" xfId="31648" xr:uid="{00000000-0005-0000-0000-0000896D0000}"/>
    <cellStyle name="Normal 11 5 2 2 3" xfId="13716" xr:uid="{00000000-0005-0000-0000-00008A6D0000}"/>
    <cellStyle name="Normal 11 5 2 2 3 2" xfId="24990" xr:uid="{00000000-0005-0000-0000-00008B6D0000}"/>
    <cellStyle name="Normal 11 5 2 2 3 3" xfId="33867" xr:uid="{00000000-0005-0000-0000-00008C6D0000}"/>
    <cellStyle name="Normal 11 5 2 2 4" xfId="16166" xr:uid="{00000000-0005-0000-0000-00008D6D0000}"/>
    <cellStyle name="Normal 11 5 2 2 4 2" xfId="27209" xr:uid="{00000000-0005-0000-0000-00008E6D0000}"/>
    <cellStyle name="Normal 11 5 2 2 4 3" xfId="36086" xr:uid="{00000000-0005-0000-0000-00008F6D0000}"/>
    <cellStyle name="Normal 11 5 2 2 5" xfId="20552" xr:uid="{00000000-0005-0000-0000-0000906D0000}"/>
    <cellStyle name="Normal 11 5 2 2 6" xfId="29429" xr:uid="{00000000-0005-0000-0000-0000916D0000}"/>
    <cellStyle name="Normal 11 5 2 3" xfId="10021" xr:uid="{00000000-0005-0000-0000-0000926D0000}"/>
    <cellStyle name="Normal 11 5 2 3 2" xfId="16978" xr:uid="{00000000-0005-0000-0000-0000936D0000}"/>
    <cellStyle name="Normal 11 5 2 3 3" xfId="21295" xr:uid="{00000000-0005-0000-0000-0000946D0000}"/>
    <cellStyle name="Normal 11 5 2 3 4" xfId="30172" xr:uid="{00000000-0005-0000-0000-0000956D0000}"/>
    <cellStyle name="Normal 11 5 2 4" xfId="12240" xr:uid="{00000000-0005-0000-0000-0000966D0000}"/>
    <cellStyle name="Normal 11 5 2 4 2" xfId="23514" xr:uid="{00000000-0005-0000-0000-0000976D0000}"/>
    <cellStyle name="Normal 11 5 2 4 3" xfId="32391" xr:uid="{00000000-0005-0000-0000-0000986D0000}"/>
    <cellStyle name="Normal 11 5 2 5" xfId="14690" xr:uid="{00000000-0005-0000-0000-0000996D0000}"/>
    <cellStyle name="Normal 11 5 2 5 2" xfId="25733" xr:uid="{00000000-0005-0000-0000-00009A6D0000}"/>
    <cellStyle name="Normal 11 5 2 5 3" xfId="34610" xr:uid="{00000000-0005-0000-0000-00009B6D0000}"/>
    <cellStyle name="Normal 11 5 2 6" xfId="19070" xr:uid="{00000000-0005-0000-0000-00009C6D0000}"/>
    <cellStyle name="Normal 11 5 2 7" xfId="27952" xr:uid="{00000000-0005-0000-0000-00009D6D0000}"/>
    <cellStyle name="Normal 11 5 3" xfId="16977" xr:uid="{00000000-0005-0000-0000-00009E6D0000}"/>
    <cellStyle name="Normal 11 5 3 2" xfId="16771" xr:uid="{00000000-0005-0000-0000-00009F6D0000}"/>
    <cellStyle name="Normal 11 5 4" xfId="16976" xr:uid="{00000000-0005-0000-0000-0000A06D0000}"/>
    <cellStyle name="Normal 11 5 4 2" xfId="16975" xr:uid="{00000000-0005-0000-0000-0000A16D0000}"/>
    <cellStyle name="Normal 11 5 5" xfId="16974" xr:uid="{00000000-0005-0000-0000-0000A26D0000}"/>
    <cellStyle name="Normal 11 5 5 2" xfId="16973" xr:uid="{00000000-0005-0000-0000-0000A36D0000}"/>
    <cellStyle name="Normal 11 5 6" xfId="16972" xr:uid="{00000000-0005-0000-0000-0000A46D0000}"/>
    <cellStyle name="Normal 11 5 7" xfId="16971" xr:uid="{00000000-0005-0000-0000-0000A56D0000}"/>
    <cellStyle name="Normal 11 5 8" xfId="16979" xr:uid="{00000000-0005-0000-0000-0000A66D0000}"/>
    <cellStyle name="Normal 11 6" xfId="4340" xr:uid="{00000000-0005-0000-0000-0000A76D0000}"/>
    <cellStyle name="Normal 11 7" xfId="16970" xr:uid="{00000000-0005-0000-0000-0000A86D0000}"/>
    <cellStyle name="Normal 12" xfId="2968" xr:uid="{00000000-0005-0000-0000-0000A96D0000}"/>
    <cellStyle name="Normal 12 10" xfId="27891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2" xr:uid="{00000000-0005-0000-0000-0000AE6D0000}"/>
    <cellStyle name="Normal 12 2 2 2 3" xfId="31649" xr:uid="{00000000-0005-0000-0000-0000AF6D0000}"/>
    <cellStyle name="Normal 12 2 2 3" xfId="13717" xr:uid="{00000000-0005-0000-0000-0000B06D0000}"/>
    <cellStyle name="Normal 12 2 2 3 2" xfId="24991" xr:uid="{00000000-0005-0000-0000-0000B16D0000}"/>
    <cellStyle name="Normal 12 2 2 3 3" xfId="33868" xr:uid="{00000000-0005-0000-0000-0000B26D0000}"/>
    <cellStyle name="Normal 12 2 2 4" xfId="16167" xr:uid="{00000000-0005-0000-0000-0000B36D0000}"/>
    <cellStyle name="Normal 12 2 2 4 2" xfId="27210" xr:uid="{00000000-0005-0000-0000-0000B46D0000}"/>
    <cellStyle name="Normal 12 2 2 4 3" xfId="36087" xr:uid="{00000000-0005-0000-0000-0000B56D0000}"/>
    <cellStyle name="Normal 12 2 2 5" xfId="20553" xr:uid="{00000000-0005-0000-0000-0000B66D0000}"/>
    <cellStyle name="Normal 12 2 2 6" xfId="29430" xr:uid="{00000000-0005-0000-0000-0000B76D0000}"/>
    <cellStyle name="Normal 12 2 3" xfId="10022" xr:uid="{00000000-0005-0000-0000-0000B86D0000}"/>
    <cellStyle name="Normal 12 2 3 2" xfId="21296" xr:uid="{00000000-0005-0000-0000-0000B96D0000}"/>
    <cellStyle name="Normal 12 2 3 3" xfId="30173" xr:uid="{00000000-0005-0000-0000-0000BA6D0000}"/>
    <cellStyle name="Normal 12 2 4" xfId="12241" xr:uid="{00000000-0005-0000-0000-0000BB6D0000}"/>
    <cellStyle name="Normal 12 2 4 2" xfId="23515" xr:uid="{00000000-0005-0000-0000-0000BC6D0000}"/>
    <cellStyle name="Normal 12 2 4 3" xfId="32392" xr:uid="{00000000-0005-0000-0000-0000BD6D0000}"/>
    <cellStyle name="Normal 12 2 5" xfId="14691" xr:uid="{00000000-0005-0000-0000-0000BE6D0000}"/>
    <cellStyle name="Normal 12 2 5 2" xfId="25734" xr:uid="{00000000-0005-0000-0000-0000BF6D0000}"/>
    <cellStyle name="Normal 12 2 5 3" xfId="34611" xr:uid="{00000000-0005-0000-0000-0000C06D0000}"/>
    <cellStyle name="Normal 12 2 6" xfId="19071" xr:uid="{00000000-0005-0000-0000-0000C16D0000}"/>
    <cellStyle name="Normal 12 2 7" xfId="27953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7" xr:uid="{00000000-0005-0000-0000-0000C56D0000}"/>
    <cellStyle name="Normal 12 3 2 3" xfId="22711" xr:uid="{00000000-0005-0000-0000-0000C66D0000}"/>
    <cellStyle name="Normal 12 3 2 4" xfId="31588" xr:uid="{00000000-0005-0000-0000-0000C76D0000}"/>
    <cellStyle name="Normal 12 3 3" xfId="13656" xr:uid="{00000000-0005-0000-0000-0000C86D0000}"/>
    <cellStyle name="Normal 12 3 3 2" xfId="24930" xr:uid="{00000000-0005-0000-0000-0000C96D0000}"/>
    <cellStyle name="Normal 12 3 3 3" xfId="33807" xr:uid="{00000000-0005-0000-0000-0000CA6D0000}"/>
    <cellStyle name="Normal 12 3 4" xfId="16106" xr:uid="{00000000-0005-0000-0000-0000CB6D0000}"/>
    <cellStyle name="Normal 12 3 4 2" xfId="27149" xr:uid="{00000000-0005-0000-0000-0000CC6D0000}"/>
    <cellStyle name="Normal 12 3 4 3" xfId="36026" xr:uid="{00000000-0005-0000-0000-0000CD6D0000}"/>
    <cellStyle name="Normal 12 3 5" xfId="16968" xr:uid="{00000000-0005-0000-0000-0000CE6D0000}"/>
    <cellStyle name="Normal 12 3 6" xfId="20492" xr:uid="{00000000-0005-0000-0000-0000CF6D0000}"/>
    <cellStyle name="Normal 12 3 7" xfId="29369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5" xr:uid="{00000000-0005-0000-0000-0000D36D0000}"/>
    <cellStyle name="Normal 12 4 2 3" xfId="21978" xr:uid="{00000000-0005-0000-0000-0000D46D0000}"/>
    <cellStyle name="Normal 12 4 2 4" xfId="30855" xr:uid="{00000000-0005-0000-0000-0000D56D0000}"/>
    <cellStyle name="Normal 12 4 3" xfId="12923" xr:uid="{00000000-0005-0000-0000-0000D66D0000}"/>
    <cellStyle name="Normal 12 4 3 2" xfId="24197" xr:uid="{00000000-0005-0000-0000-0000D76D0000}"/>
    <cellStyle name="Normal 12 4 3 3" xfId="33074" xr:uid="{00000000-0005-0000-0000-0000D86D0000}"/>
    <cellStyle name="Normal 12 4 4" xfId="15373" xr:uid="{00000000-0005-0000-0000-0000D96D0000}"/>
    <cellStyle name="Normal 12 4 4 2" xfId="26416" xr:uid="{00000000-0005-0000-0000-0000DA6D0000}"/>
    <cellStyle name="Normal 12 4 4 3" xfId="35293" xr:uid="{00000000-0005-0000-0000-0000DB6D0000}"/>
    <cellStyle name="Normal 12 4 5" xfId="16966" xr:uid="{00000000-0005-0000-0000-0000DC6D0000}"/>
    <cellStyle name="Normal 12 4 6" xfId="19759" xr:uid="{00000000-0005-0000-0000-0000DD6D0000}"/>
    <cellStyle name="Normal 12 4 7" xfId="28636" xr:uid="{00000000-0005-0000-0000-0000DE6D0000}"/>
    <cellStyle name="Normal 12 5" xfId="9880" xr:uid="{00000000-0005-0000-0000-0000DF6D0000}"/>
    <cellStyle name="Normal 12 5 2" xfId="16963" xr:uid="{00000000-0005-0000-0000-0000E06D0000}"/>
    <cellStyle name="Normal 12 5 3" xfId="16964" xr:uid="{00000000-0005-0000-0000-0000E16D0000}"/>
    <cellStyle name="Normal 12 5 4" xfId="21235" xr:uid="{00000000-0005-0000-0000-0000E26D0000}"/>
    <cellStyle name="Normal 12 5 5" xfId="30112" xr:uid="{00000000-0005-0000-0000-0000E36D0000}"/>
    <cellStyle name="Normal 12 6" xfId="12180" xr:uid="{00000000-0005-0000-0000-0000E46D0000}"/>
    <cellStyle name="Normal 12 6 2" xfId="16961" xr:uid="{00000000-0005-0000-0000-0000E56D0000}"/>
    <cellStyle name="Normal 12 6 3" xfId="16962" xr:uid="{00000000-0005-0000-0000-0000E66D0000}"/>
    <cellStyle name="Normal 12 6 4" xfId="23454" xr:uid="{00000000-0005-0000-0000-0000E76D0000}"/>
    <cellStyle name="Normal 12 6 5" xfId="32331" xr:uid="{00000000-0005-0000-0000-0000E86D0000}"/>
    <cellStyle name="Normal 12 7" xfId="14549" xr:uid="{00000000-0005-0000-0000-0000E96D0000}"/>
    <cellStyle name="Normal 12 7 2" xfId="16960" xr:uid="{00000000-0005-0000-0000-0000EA6D0000}"/>
    <cellStyle name="Normal 12 7 3" xfId="25673" xr:uid="{00000000-0005-0000-0000-0000EB6D0000}"/>
    <cellStyle name="Normal 12 7 4" xfId="34550" xr:uid="{00000000-0005-0000-0000-0000EC6D0000}"/>
    <cellStyle name="Normal 12 8" xfId="16969" xr:uid="{00000000-0005-0000-0000-0000ED6D0000}"/>
    <cellStyle name="Normal 12 9" xfId="19010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2" xr:uid="{00000000-0005-0000-0000-0000F26D0000}"/>
    <cellStyle name="Normal 13 2 2 3" xfId="31589" xr:uid="{00000000-0005-0000-0000-0000F36D0000}"/>
    <cellStyle name="Normal 13 2 3" xfId="13657" xr:uid="{00000000-0005-0000-0000-0000F46D0000}"/>
    <cellStyle name="Normal 13 2 3 2" xfId="24931" xr:uid="{00000000-0005-0000-0000-0000F56D0000}"/>
    <cellStyle name="Normal 13 2 3 3" xfId="33808" xr:uid="{00000000-0005-0000-0000-0000F66D0000}"/>
    <cellStyle name="Normal 13 2 4" xfId="16107" xr:uid="{00000000-0005-0000-0000-0000F76D0000}"/>
    <cellStyle name="Normal 13 2 4 2" xfId="27150" xr:uid="{00000000-0005-0000-0000-0000F86D0000}"/>
    <cellStyle name="Normal 13 2 4 3" xfId="36027" xr:uid="{00000000-0005-0000-0000-0000F96D0000}"/>
    <cellStyle name="Normal 13 2 5" xfId="16959" xr:uid="{00000000-0005-0000-0000-0000FA6D0000}"/>
    <cellStyle name="Normal 13 2 6" xfId="20493" xr:uid="{00000000-0005-0000-0000-0000FB6D0000}"/>
    <cellStyle name="Normal 13 2 7" xfId="29370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79" xr:uid="{00000000-0005-0000-0000-0000FF6D0000}"/>
    <cellStyle name="Normal 13 3 2 3" xfId="30856" xr:uid="{00000000-0005-0000-0000-0000006E0000}"/>
    <cellStyle name="Normal 13 3 3" xfId="12924" xr:uid="{00000000-0005-0000-0000-0000016E0000}"/>
    <cellStyle name="Normal 13 3 3 2" xfId="24198" xr:uid="{00000000-0005-0000-0000-0000026E0000}"/>
    <cellStyle name="Normal 13 3 3 3" xfId="33075" xr:uid="{00000000-0005-0000-0000-0000036E0000}"/>
    <cellStyle name="Normal 13 3 4" xfId="15374" xr:uid="{00000000-0005-0000-0000-0000046E0000}"/>
    <cellStyle name="Normal 13 3 4 2" xfId="26417" xr:uid="{00000000-0005-0000-0000-0000056E0000}"/>
    <cellStyle name="Normal 13 3 4 3" xfId="35294" xr:uid="{00000000-0005-0000-0000-0000066E0000}"/>
    <cellStyle name="Normal 13 3 5" xfId="16958" xr:uid="{00000000-0005-0000-0000-0000076E0000}"/>
    <cellStyle name="Normal 13 3 6" xfId="19760" xr:uid="{00000000-0005-0000-0000-0000086E0000}"/>
    <cellStyle name="Normal 13 3 7" xfId="28637" xr:uid="{00000000-0005-0000-0000-0000096E0000}"/>
    <cellStyle name="Normal 13 4" xfId="9881" xr:uid="{00000000-0005-0000-0000-00000A6E0000}"/>
    <cellStyle name="Normal 13 4 2" xfId="16957" xr:uid="{00000000-0005-0000-0000-00000B6E0000}"/>
    <cellStyle name="Normal 13 4 3" xfId="21236" xr:uid="{00000000-0005-0000-0000-00000C6E0000}"/>
    <cellStyle name="Normal 13 4 4" xfId="30113" xr:uid="{00000000-0005-0000-0000-00000D6E0000}"/>
    <cellStyle name="Normal 13 5" xfId="12181" xr:uid="{00000000-0005-0000-0000-00000E6E0000}"/>
    <cellStyle name="Normal 13 5 2" xfId="23455" xr:uid="{00000000-0005-0000-0000-00000F6E0000}"/>
    <cellStyle name="Normal 13 5 3" xfId="32332" xr:uid="{00000000-0005-0000-0000-0000106E0000}"/>
    <cellStyle name="Normal 13 6" xfId="14550" xr:uid="{00000000-0005-0000-0000-0000116E0000}"/>
    <cellStyle name="Normal 13 6 2" xfId="25674" xr:uid="{00000000-0005-0000-0000-0000126E0000}"/>
    <cellStyle name="Normal 13 6 3" xfId="34551" xr:uid="{00000000-0005-0000-0000-0000136E0000}"/>
    <cellStyle name="Normal 13 7" xfId="17745" xr:uid="{00000000-0005-0000-0000-0000146E0000}"/>
    <cellStyle name="Normal 13 8" xfId="19011" xr:uid="{00000000-0005-0000-0000-0000156E0000}"/>
    <cellStyle name="Normal 13 9" xfId="27892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3" xr:uid="{00000000-0005-0000-0000-00001A6E0000}"/>
    <cellStyle name="Normal 14 2 2 3" xfId="31590" xr:uid="{00000000-0005-0000-0000-00001B6E0000}"/>
    <cellStyle name="Normal 14 2 3" xfId="13658" xr:uid="{00000000-0005-0000-0000-00001C6E0000}"/>
    <cellStyle name="Normal 14 2 3 2" xfId="24932" xr:uid="{00000000-0005-0000-0000-00001D6E0000}"/>
    <cellStyle name="Normal 14 2 3 3" xfId="33809" xr:uid="{00000000-0005-0000-0000-00001E6E0000}"/>
    <cellStyle name="Normal 14 2 4" xfId="16108" xr:uid="{00000000-0005-0000-0000-00001F6E0000}"/>
    <cellStyle name="Normal 14 2 4 2" xfId="27151" xr:uid="{00000000-0005-0000-0000-0000206E0000}"/>
    <cellStyle name="Normal 14 2 4 3" xfId="36028" xr:uid="{00000000-0005-0000-0000-0000216E0000}"/>
    <cellStyle name="Normal 14 2 5" xfId="16956" xr:uid="{00000000-0005-0000-0000-0000226E0000}"/>
    <cellStyle name="Normal 14 2 6" xfId="20494" xr:uid="{00000000-0005-0000-0000-0000236E0000}"/>
    <cellStyle name="Normal 14 2 7" xfId="29371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0" xr:uid="{00000000-0005-0000-0000-0000276E0000}"/>
    <cellStyle name="Normal 14 3 2 3" xfId="30857" xr:uid="{00000000-0005-0000-0000-0000286E0000}"/>
    <cellStyle name="Normal 14 3 3" xfId="12925" xr:uid="{00000000-0005-0000-0000-0000296E0000}"/>
    <cellStyle name="Normal 14 3 3 2" xfId="24199" xr:uid="{00000000-0005-0000-0000-00002A6E0000}"/>
    <cellStyle name="Normal 14 3 3 3" xfId="33076" xr:uid="{00000000-0005-0000-0000-00002B6E0000}"/>
    <cellStyle name="Normal 14 3 4" xfId="15375" xr:uid="{00000000-0005-0000-0000-00002C6E0000}"/>
    <cellStyle name="Normal 14 3 4 2" xfId="26418" xr:uid="{00000000-0005-0000-0000-00002D6E0000}"/>
    <cellStyle name="Normal 14 3 4 3" xfId="35295" xr:uid="{00000000-0005-0000-0000-00002E6E0000}"/>
    <cellStyle name="Normal 14 3 5" xfId="16955" xr:uid="{00000000-0005-0000-0000-00002F6E0000}"/>
    <cellStyle name="Normal 14 3 6" xfId="19761" xr:uid="{00000000-0005-0000-0000-0000306E0000}"/>
    <cellStyle name="Normal 14 3 7" xfId="28638" xr:uid="{00000000-0005-0000-0000-0000316E0000}"/>
    <cellStyle name="Normal 14 4" xfId="9882" xr:uid="{00000000-0005-0000-0000-0000326E0000}"/>
    <cellStyle name="Normal 14 4 2" xfId="21237" xr:uid="{00000000-0005-0000-0000-0000336E0000}"/>
    <cellStyle name="Normal 14 4 3" xfId="30114" xr:uid="{00000000-0005-0000-0000-0000346E0000}"/>
    <cellStyle name="Normal 14 5" xfId="12182" xr:uid="{00000000-0005-0000-0000-0000356E0000}"/>
    <cellStyle name="Normal 14 5 2" xfId="23456" xr:uid="{00000000-0005-0000-0000-0000366E0000}"/>
    <cellStyle name="Normal 14 5 3" xfId="32333" xr:uid="{00000000-0005-0000-0000-0000376E0000}"/>
    <cellStyle name="Normal 14 6" xfId="14551" xr:uid="{00000000-0005-0000-0000-0000386E0000}"/>
    <cellStyle name="Normal 14 6 2" xfId="25675" xr:uid="{00000000-0005-0000-0000-0000396E0000}"/>
    <cellStyle name="Normal 14 6 3" xfId="34552" xr:uid="{00000000-0005-0000-0000-00003A6E0000}"/>
    <cellStyle name="Normal 14 7" xfId="16770" xr:uid="{00000000-0005-0000-0000-00003B6E0000}"/>
    <cellStyle name="Normal 14 8" xfId="19012" xr:uid="{00000000-0005-0000-0000-00003C6E0000}"/>
    <cellStyle name="Normal 14 9" xfId="27893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4" xr:uid="{00000000-0005-0000-0000-0000416E0000}"/>
    <cellStyle name="Normal 15 2 2 3" xfId="31591" xr:uid="{00000000-0005-0000-0000-0000426E0000}"/>
    <cellStyle name="Normal 15 2 3" xfId="13659" xr:uid="{00000000-0005-0000-0000-0000436E0000}"/>
    <cellStyle name="Normal 15 2 3 2" xfId="24933" xr:uid="{00000000-0005-0000-0000-0000446E0000}"/>
    <cellStyle name="Normal 15 2 3 3" xfId="33810" xr:uid="{00000000-0005-0000-0000-0000456E0000}"/>
    <cellStyle name="Normal 15 2 4" xfId="16109" xr:uid="{00000000-0005-0000-0000-0000466E0000}"/>
    <cellStyle name="Normal 15 2 4 2" xfId="27152" xr:uid="{00000000-0005-0000-0000-0000476E0000}"/>
    <cellStyle name="Normal 15 2 4 3" xfId="36029" xr:uid="{00000000-0005-0000-0000-0000486E0000}"/>
    <cellStyle name="Normal 15 2 5" xfId="20495" xr:uid="{00000000-0005-0000-0000-0000496E0000}"/>
    <cellStyle name="Normal 15 2 6" xfId="29372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1" xr:uid="{00000000-0005-0000-0000-00004D6E0000}"/>
    <cellStyle name="Normal 15 3 2 3" xfId="30858" xr:uid="{00000000-0005-0000-0000-00004E6E0000}"/>
    <cellStyle name="Normal 15 3 3" xfId="12926" xr:uid="{00000000-0005-0000-0000-00004F6E0000}"/>
    <cellStyle name="Normal 15 3 3 2" xfId="24200" xr:uid="{00000000-0005-0000-0000-0000506E0000}"/>
    <cellStyle name="Normal 15 3 3 3" xfId="33077" xr:uid="{00000000-0005-0000-0000-0000516E0000}"/>
    <cellStyle name="Normal 15 3 4" xfId="15376" xr:uid="{00000000-0005-0000-0000-0000526E0000}"/>
    <cellStyle name="Normal 15 3 4 2" xfId="26419" xr:uid="{00000000-0005-0000-0000-0000536E0000}"/>
    <cellStyle name="Normal 15 3 4 3" xfId="35296" xr:uid="{00000000-0005-0000-0000-0000546E0000}"/>
    <cellStyle name="Normal 15 3 5" xfId="19762" xr:uid="{00000000-0005-0000-0000-0000556E0000}"/>
    <cellStyle name="Normal 15 3 6" xfId="28639" xr:uid="{00000000-0005-0000-0000-0000566E0000}"/>
    <cellStyle name="Normal 15 4" xfId="9883" xr:uid="{00000000-0005-0000-0000-0000576E0000}"/>
    <cellStyle name="Normal 15 4 2" xfId="21238" xr:uid="{00000000-0005-0000-0000-0000586E0000}"/>
    <cellStyle name="Normal 15 4 3" xfId="30115" xr:uid="{00000000-0005-0000-0000-0000596E0000}"/>
    <cellStyle name="Normal 15 5" xfId="12183" xr:uid="{00000000-0005-0000-0000-00005A6E0000}"/>
    <cellStyle name="Normal 15 5 2" xfId="23457" xr:uid="{00000000-0005-0000-0000-00005B6E0000}"/>
    <cellStyle name="Normal 15 5 3" xfId="32334" xr:uid="{00000000-0005-0000-0000-00005C6E0000}"/>
    <cellStyle name="Normal 15 6" xfId="14552" xr:uid="{00000000-0005-0000-0000-00005D6E0000}"/>
    <cellStyle name="Normal 15 6 2" xfId="25676" xr:uid="{00000000-0005-0000-0000-00005E6E0000}"/>
    <cellStyle name="Normal 15 6 3" xfId="34553" xr:uid="{00000000-0005-0000-0000-00005F6E0000}"/>
    <cellStyle name="Normal 15 7" xfId="19013" xr:uid="{00000000-0005-0000-0000-0000606E0000}"/>
    <cellStyle name="Normal 15 8" xfId="27894" xr:uid="{00000000-0005-0000-0000-0000616E0000}"/>
    <cellStyle name="Normal 16" xfId="2972" xr:uid="{00000000-0005-0000-0000-0000626E0000}"/>
    <cellStyle name="Normal 16 2" xfId="16953" xr:uid="{00000000-0005-0000-0000-0000636E0000}"/>
    <cellStyle name="Normal 16 3" xfId="16954" xr:uid="{00000000-0005-0000-0000-0000646E0000}"/>
    <cellStyle name="Normal 17" xfId="2973" xr:uid="{00000000-0005-0000-0000-0000656E0000}"/>
    <cellStyle name="Normal 17 2" xfId="16951" xr:uid="{00000000-0005-0000-0000-0000666E0000}"/>
    <cellStyle name="Normal 17 3" xfId="16952" xr:uid="{00000000-0005-0000-0000-0000676E0000}"/>
    <cellStyle name="Normal 18" xfId="2974" xr:uid="{00000000-0005-0000-0000-0000686E0000}"/>
    <cellStyle name="Normal 18 2" xfId="16949" xr:uid="{00000000-0005-0000-0000-0000696E0000}"/>
    <cellStyle name="Normal 18 3" xfId="16950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5" xr:uid="{00000000-0005-0000-0000-0000706E0000}"/>
    <cellStyle name="Normal 2 10 2 2 3" xfId="31592" xr:uid="{00000000-0005-0000-0000-0000716E0000}"/>
    <cellStyle name="Normal 2 10 2 3" xfId="13660" xr:uid="{00000000-0005-0000-0000-0000726E0000}"/>
    <cellStyle name="Normal 2 10 2 3 2" xfId="24934" xr:uid="{00000000-0005-0000-0000-0000736E0000}"/>
    <cellStyle name="Normal 2 10 2 3 3" xfId="33811" xr:uid="{00000000-0005-0000-0000-0000746E0000}"/>
    <cellStyle name="Normal 2 10 2 4" xfId="16110" xr:uid="{00000000-0005-0000-0000-0000756E0000}"/>
    <cellStyle name="Normal 2 10 2 4 2" xfId="27153" xr:uid="{00000000-0005-0000-0000-0000766E0000}"/>
    <cellStyle name="Normal 2 10 2 4 3" xfId="36030" xr:uid="{00000000-0005-0000-0000-0000776E0000}"/>
    <cellStyle name="Normal 2 10 2 5" xfId="20496" xr:uid="{00000000-0005-0000-0000-0000786E0000}"/>
    <cellStyle name="Normal 2 10 2 6" xfId="29373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2" xr:uid="{00000000-0005-0000-0000-00007C6E0000}"/>
    <cellStyle name="Normal 2 10 3 2 3" xfId="30859" xr:uid="{00000000-0005-0000-0000-00007D6E0000}"/>
    <cellStyle name="Normal 2 10 3 3" xfId="12927" xr:uid="{00000000-0005-0000-0000-00007E6E0000}"/>
    <cellStyle name="Normal 2 10 3 3 2" xfId="24201" xr:uid="{00000000-0005-0000-0000-00007F6E0000}"/>
    <cellStyle name="Normal 2 10 3 3 3" xfId="33078" xr:uid="{00000000-0005-0000-0000-0000806E0000}"/>
    <cellStyle name="Normal 2 10 3 4" xfId="15377" xr:uid="{00000000-0005-0000-0000-0000816E0000}"/>
    <cellStyle name="Normal 2 10 3 4 2" xfId="26420" xr:uid="{00000000-0005-0000-0000-0000826E0000}"/>
    <cellStyle name="Normal 2 10 3 4 3" xfId="35297" xr:uid="{00000000-0005-0000-0000-0000836E0000}"/>
    <cellStyle name="Normal 2 10 3 5" xfId="19763" xr:uid="{00000000-0005-0000-0000-0000846E0000}"/>
    <cellStyle name="Normal 2 10 3 6" xfId="28640" xr:uid="{00000000-0005-0000-0000-0000856E0000}"/>
    <cellStyle name="Normal 2 10 4" xfId="9884" xr:uid="{00000000-0005-0000-0000-0000866E0000}"/>
    <cellStyle name="Normal 2 10 4 2" xfId="21239" xr:uid="{00000000-0005-0000-0000-0000876E0000}"/>
    <cellStyle name="Normal 2 10 4 3" xfId="30116" xr:uid="{00000000-0005-0000-0000-0000886E0000}"/>
    <cellStyle name="Normal 2 10 5" xfId="12184" xr:uid="{00000000-0005-0000-0000-0000896E0000}"/>
    <cellStyle name="Normal 2 10 5 2" xfId="23458" xr:uid="{00000000-0005-0000-0000-00008A6E0000}"/>
    <cellStyle name="Normal 2 10 5 3" xfId="32335" xr:uid="{00000000-0005-0000-0000-00008B6E0000}"/>
    <cellStyle name="Normal 2 10 6" xfId="14553" xr:uid="{00000000-0005-0000-0000-00008C6E0000}"/>
    <cellStyle name="Normal 2 10 6 2" xfId="25677" xr:uid="{00000000-0005-0000-0000-00008D6E0000}"/>
    <cellStyle name="Normal 2 10 6 3" xfId="34554" xr:uid="{00000000-0005-0000-0000-00008E6E0000}"/>
    <cellStyle name="Normal 2 10 7" xfId="19014" xr:uid="{00000000-0005-0000-0000-00008F6E0000}"/>
    <cellStyle name="Normal 2 10 8" xfId="27895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8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6" xr:uid="{00000000-0005-0000-0000-00009C6E0000}"/>
    <cellStyle name="Normal 2 2 10 2 2 3" xfId="31593" xr:uid="{00000000-0005-0000-0000-00009D6E0000}"/>
    <cellStyle name="Normal 2 2 10 2 3" xfId="13661" xr:uid="{00000000-0005-0000-0000-00009E6E0000}"/>
    <cellStyle name="Normal 2 2 10 2 3 2" xfId="24935" xr:uid="{00000000-0005-0000-0000-00009F6E0000}"/>
    <cellStyle name="Normal 2 2 10 2 3 3" xfId="33812" xr:uid="{00000000-0005-0000-0000-0000A06E0000}"/>
    <cellStyle name="Normal 2 2 10 2 4" xfId="16111" xr:uid="{00000000-0005-0000-0000-0000A16E0000}"/>
    <cellStyle name="Normal 2 2 10 2 4 2" xfId="27154" xr:uid="{00000000-0005-0000-0000-0000A26E0000}"/>
    <cellStyle name="Normal 2 2 10 2 4 3" xfId="36031" xr:uid="{00000000-0005-0000-0000-0000A36E0000}"/>
    <cellStyle name="Normal 2 2 10 2 5" xfId="20497" xr:uid="{00000000-0005-0000-0000-0000A46E0000}"/>
    <cellStyle name="Normal 2 2 10 2 6" xfId="29374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3" xr:uid="{00000000-0005-0000-0000-0000A86E0000}"/>
    <cellStyle name="Normal 2 2 10 3 2 3" xfId="30860" xr:uid="{00000000-0005-0000-0000-0000A96E0000}"/>
    <cellStyle name="Normal 2 2 10 3 3" xfId="12928" xr:uid="{00000000-0005-0000-0000-0000AA6E0000}"/>
    <cellStyle name="Normal 2 2 10 3 3 2" xfId="24202" xr:uid="{00000000-0005-0000-0000-0000AB6E0000}"/>
    <cellStyle name="Normal 2 2 10 3 3 3" xfId="33079" xr:uid="{00000000-0005-0000-0000-0000AC6E0000}"/>
    <cellStyle name="Normal 2 2 10 3 4" xfId="15378" xr:uid="{00000000-0005-0000-0000-0000AD6E0000}"/>
    <cellStyle name="Normal 2 2 10 3 4 2" xfId="26421" xr:uid="{00000000-0005-0000-0000-0000AE6E0000}"/>
    <cellStyle name="Normal 2 2 10 3 4 3" xfId="35298" xr:uid="{00000000-0005-0000-0000-0000AF6E0000}"/>
    <cellStyle name="Normal 2 2 10 3 5" xfId="19764" xr:uid="{00000000-0005-0000-0000-0000B06E0000}"/>
    <cellStyle name="Normal 2 2 10 3 6" xfId="28641" xr:uid="{00000000-0005-0000-0000-0000B16E0000}"/>
    <cellStyle name="Normal 2 2 10 4" xfId="9885" xr:uid="{00000000-0005-0000-0000-0000B26E0000}"/>
    <cellStyle name="Normal 2 2 10 4 2" xfId="21240" xr:uid="{00000000-0005-0000-0000-0000B36E0000}"/>
    <cellStyle name="Normal 2 2 10 4 3" xfId="30117" xr:uid="{00000000-0005-0000-0000-0000B46E0000}"/>
    <cellStyle name="Normal 2 2 10 5" xfId="12185" xr:uid="{00000000-0005-0000-0000-0000B56E0000}"/>
    <cellStyle name="Normal 2 2 10 5 2" xfId="23459" xr:uid="{00000000-0005-0000-0000-0000B66E0000}"/>
    <cellStyle name="Normal 2 2 10 5 3" xfId="32336" xr:uid="{00000000-0005-0000-0000-0000B76E0000}"/>
    <cellStyle name="Normal 2 2 10 6" xfId="14554" xr:uid="{00000000-0005-0000-0000-0000B86E0000}"/>
    <cellStyle name="Normal 2 2 10 6 2" xfId="25678" xr:uid="{00000000-0005-0000-0000-0000B96E0000}"/>
    <cellStyle name="Normal 2 2 10 6 3" xfId="34555" xr:uid="{00000000-0005-0000-0000-0000BA6E0000}"/>
    <cellStyle name="Normal 2 2 10 7" xfId="19015" xr:uid="{00000000-0005-0000-0000-0000BB6E0000}"/>
    <cellStyle name="Normal 2 2 10 8" xfId="27896" xr:uid="{00000000-0005-0000-0000-0000BC6E0000}"/>
    <cellStyle name="Normal 2 2 11" xfId="18048" xr:uid="{00000000-0005-0000-0000-0000BD6E0000}"/>
    <cellStyle name="Normal 2 2 12" xfId="36182" xr:uid="{00000000-0005-0000-0000-0000BE6E0000}"/>
    <cellStyle name="Normal 2 2 2" xfId="60" xr:uid="{00000000-0005-0000-0000-0000BF6E0000}"/>
    <cellStyle name="Normal 2 2 2 2" xfId="16948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7" xr:uid="{00000000-0005-0000-0000-0000C66E0000}"/>
    <cellStyle name="Normal 2 2 5 2 2 3" xfId="31594" xr:uid="{00000000-0005-0000-0000-0000C76E0000}"/>
    <cellStyle name="Normal 2 2 5 2 3" xfId="13662" xr:uid="{00000000-0005-0000-0000-0000C86E0000}"/>
    <cellStyle name="Normal 2 2 5 2 3 2" xfId="24936" xr:uid="{00000000-0005-0000-0000-0000C96E0000}"/>
    <cellStyle name="Normal 2 2 5 2 3 3" xfId="33813" xr:uid="{00000000-0005-0000-0000-0000CA6E0000}"/>
    <cellStyle name="Normal 2 2 5 2 4" xfId="16112" xr:uid="{00000000-0005-0000-0000-0000CB6E0000}"/>
    <cellStyle name="Normal 2 2 5 2 4 2" xfId="27155" xr:uid="{00000000-0005-0000-0000-0000CC6E0000}"/>
    <cellStyle name="Normal 2 2 5 2 4 3" xfId="36032" xr:uid="{00000000-0005-0000-0000-0000CD6E0000}"/>
    <cellStyle name="Normal 2 2 5 2 5" xfId="20498" xr:uid="{00000000-0005-0000-0000-0000CE6E0000}"/>
    <cellStyle name="Normal 2 2 5 2 6" xfId="29375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4" xr:uid="{00000000-0005-0000-0000-0000D26E0000}"/>
    <cellStyle name="Normal 2 2 5 3 2 3" xfId="30861" xr:uid="{00000000-0005-0000-0000-0000D36E0000}"/>
    <cellStyle name="Normal 2 2 5 3 3" xfId="12929" xr:uid="{00000000-0005-0000-0000-0000D46E0000}"/>
    <cellStyle name="Normal 2 2 5 3 3 2" xfId="24203" xr:uid="{00000000-0005-0000-0000-0000D56E0000}"/>
    <cellStyle name="Normal 2 2 5 3 3 3" xfId="33080" xr:uid="{00000000-0005-0000-0000-0000D66E0000}"/>
    <cellStyle name="Normal 2 2 5 3 4" xfId="15379" xr:uid="{00000000-0005-0000-0000-0000D76E0000}"/>
    <cellStyle name="Normal 2 2 5 3 4 2" xfId="26422" xr:uid="{00000000-0005-0000-0000-0000D86E0000}"/>
    <cellStyle name="Normal 2 2 5 3 4 3" xfId="35299" xr:uid="{00000000-0005-0000-0000-0000D96E0000}"/>
    <cellStyle name="Normal 2 2 5 3 5" xfId="19765" xr:uid="{00000000-0005-0000-0000-0000DA6E0000}"/>
    <cellStyle name="Normal 2 2 5 3 6" xfId="28642" xr:uid="{00000000-0005-0000-0000-0000DB6E0000}"/>
    <cellStyle name="Normal 2 2 5 4" xfId="9886" xr:uid="{00000000-0005-0000-0000-0000DC6E0000}"/>
    <cellStyle name="Normal 2 2 5 4 2" xfId="21241" xr:uid="{00000000-0005-0000-0000-0000DD6E0000}"/>
    <cellStyle name="Normal 2 2 5 4 3" xfId="30118" xr:uid="{00000000-0005-0000-0000-0000DE6E0000}"/>
    <cellStyle name="Normal 2 2 5 5" xfId="12186" xr:uid="{00000000-0005-0000-0000-0000DF6E0000}"/>
    <cellStyle name="Normal 2 2 5 5 2" xfId="23460" xr:uid="{00000000-0005-0000-0000-0000E06E0000}"/>
    <cellStyle name="Normal 2 2 5 5 3" xfId="32337" xr:uid="{00000000-0005-0000-0000-0000E16E0000}"/>
    <cellStyle name="Normal 2 2 5 6" xfId="14555" xr:uid="{00000000-0005-0000-0000-0000E26E0000}"/>
    <cellStyle name="Normal 2 2 5 6 2" xfId="25679" xr:uid="{00000000-0005-0000-0000-0000E36E0000}"/>
    <cellStyle name="Normal 2 2 5 6 3" xfId="34556" xr:uid="{00000000-0005-0000-0000-0000E46E0000}"/>
    <cellStyle name="Normal 2 2 5 7" xfId="19016" xr:uid="{00000000-0005-0000-0000-0000E56E0000}"/>
    <cellStyle name="Normal 2 2 5 8" xfId="27897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8" xr:uid="{00000000-0005-0000-0000-0000EA6E0000}"/>
    <cellStyle name="Normal 2 2 6 2 2 3" xfId="31595" xr:uid="{00000000-0005-0000-0000-0000EB6E0000}"/>
    <cellStyle name="Normal 2 2 6 2 3" xfId="13663" xr:uid="{00000000-0005-0000-0000-0000EC6E0000}"/>
    <cellStyle name="Normal 2 2 6 2 3 2" xfId="24937" xr:uid="{00000000-0005-0000-0000-0000ED6E0000}"/>
    <cellStyle name="Normal 2 2 6 2 3 3" xfId="33814" xr:uid="{00000000-0005-0000-0000-0000EE6E0000}"/>
    <cellStyle name="Normal 2 2 6 2 4" xfId="16113" xr:uid="{00000000-0005-0000-0000-0000EF6E0000}"/>
    <cellStyle name="Normal 2 2 6 2 4 2" xfId="27156" xr:uid="{00000000-0005-0000-0000-0000F06E0000}"/>
    <cellStyle name="Normal 2 2 6 2 4 3" xfId="36033" xr:uid="{00000000-0005-0000-0000-0000F16E0000}"/>
    <cellStyle name="Normal 2 2 6 2 5" xfId="20499" xr:uid="{00000000-0005-0000-0000-0000F26E0000}"/>
    <cellStyle name="Normal 2 2 6 2 6" xfId="29376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5" xr:uid="{00000000-0005-0000-0000-0000F66E0000}"/>
    <cellStyle name="Normal 2 2 6 3 2 3" xfId="30862" xr:uid="{00000000-0005-0000-0000-0000F76E0000}"/>
    <cellStyle name="Normal 2 2 6 3 3" xfId="12930" xr:uid="{00000000-0005-0000-0000-0000F86E0000}"/>
    <cellStyle name="Normal 2 2 6 3 3 2" xfId="24204" xr:uid="{00000000-0005-0000-0000-0000F96E0000}"/>
    <cellStyle name="Normal 2 2 6 3 3 3" xfId="33081" xr:uid="{00000000-0005-0000-0000-0000FA6E0000}"/>
    <cellStyle name="Normal 2 2 6 3 4" xfId="15380" xr:uid="{00000000-0005-0000-0000-0000FB6E0000}"/>
    <cellStyle name="Normal 2 2 6 3 4 2" xfId="26423" xr:uid="{00000000-0005-0000-0000-0000FC6E0000}"/>
    <cellStyle name="Normal 2 2 6 3 4 3" xfId="35300" xr:uid="{00000000-0005-0000-0000-0000FD6E0000}"/>
    <cellStyle name="Normal 2 2 6 3 5" xfId="19766" xr:uid="{00000000-0005-0000-0000-0000FE6E0000}"/>
    <cellStyle name="Normal 2 2 6 3 6" xfId="28643" xr:uid="{00000000-0005-0000-0000-0000FF6E0000}"/>
    <cellStyle name="Normal 2 2 6 4" xfId="9887" xr:uid="{00000000-0005-0000-0000-0000006F0000}"/>
    <cellStyle name="Normal 2 2 6 4 2" xfId="21242" xr:uid="{00000000-0005-0000-0000-0000016F0000}"/>
    <cellStyle name="Normal 2 2 6 4 3" xfId="30119" xr:uid="{00000000-0005-0000-0000-0000026F0000}"/>
    <cellStyle name="Normal 2 2 6 5" xfId="12187" xr:uid="{00000000-0005-0000-0000-0000036F0000}"/>
    <cellStyle name="Normal 2 2 6 5 2" xfId="23461" xr:uid="{00000000-0005-0000-0000-0000046F0000}"/>
    <cellStyle name="Normal 2 2 6 5 3" xfId="32338" xr:uid="{00000000-0005-0000-0000-0000056F0000}"/>
    <cellStyle name="Normal 2 2 6 6" xfId="14556" xr:uid="{00000000-0005-0000-0000-0000066F0000}"/>
    <cellStyle name="Normal 2 2 6 6 2" xfId="25680" xr:uid="{00000000-0005-0000-0000-0000076F0000}"/>
    <cellStyle name="Normal 2 2 6 6 3" xfId="34557" xr:uid="{00000000-0005-0000-0000-0000086F0000}"/>
    <cellStyle name="Normal 2 2 6 7" xfId="19017" xr:uid="{00000000-0005-0000-0000-0000096F0000}"/>
    <cellStyle name="Normal 2 2 6 8" xfId="27898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19" xr:uid="{00000000-0005-0000-0000-00000E6F0000}"/>
    <cellStyle name="Normal 2 2 7 2 2 3" xfId="31596" xr:uid="{00000000-0005-0000-0000-00000F6F0000}"/>
    <cellStyle name="Normal 2 2 7 2 3" xfId="13664" xr:uid="{00000000-0005-0000-0000-0000106F0000}"/>
    <cellStyle name="Normal 2 2 7 2 3 2" xfId="24938" xr:uid="{00000000-0005-0000-0000-0000116F0000}"/>
    <cellStyle name="Normal 2 2 7 2 3 3" xfId="33815" xr:uid="{00000000-0005-0000-0000-0000126F0000}"/>
    <cellStyle name="Normal 2 2 7 2 4" xfId="16114" xr:uid="{00000000-0005-0000-0000-0000136F0000}"/>
    <cellStyle name="Normal 2 2 7 2 4 2" xfId="27157" xr:uid="{00000000-0005-0000-0000-0000146F0000}"/>
    <cellStyle name="Normal 2 2 7 2 4 3" xfId="36034" xr:uid="{00000000-0005-0000-0000-0000156F0000}"/>
    <cellStyle name="Normal 2 2 7 2 5" xfId="20500" xr:uid="{00000000-0005-0000-0000-0000166F0000}"/>
    <cellStyle name="Normal 2 2 7 2 6" xfId="29377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6" xr:uid="{00000000-0005-0000-0000-00001A6F0000}"/>
    <cellStyle name="Normal 2 2 7 3 2 3" xfId="30863" xr:uid="{00000000-0005-0000-0000-00001B6F0000}"/>
    <cellStyle name="Normal 2 2 7 3 3" xfId="12931" xr:uid="{00000000-0005-0000-0000-00001C6F0000}"/>
    <cellStyle name="Normal 2 2 7 3 3 2" xfId="24205" xr:uid="{00000000-0005-0000-0000-00001D6F0000}"/>
    <cellStyle name="Normal 2 2 7 3 3 3" xfId="33082" xr:uid="{00000000-0005-0000-0000-00001E6F0000}"/>
    <cellStyle name="Normal 2 2 7 3 4" xfId="15381" xr:uid="{00000000-0005-0000-0000-00001F6F0000}"/>
    <cellStyle name="Normal 2 2 7 3 4 2" xfId="26424" xr:uid="{00000000-0005-0000-0000-0000206F0000}"/>
    <cellStyle name="Normal 2 2 7 3 4 3" xfId="35301" xr:uid="{00000000-0005-0000-0000-0000216F0000}"/>
    <cellStyle name="Normal 2 2 7 3 5" xfId="19767" xr:uid="{00000000-0005-0000-0000-0000226F0000}"/>
    <cellStyle name="Normal 2 2 7 3 6" xfId="28644" xr:uid="{00000000-0005-0000-0000-0000236F0000}"/>
    <cellStyle name="Normal 2 2 7 4" xfId="9888" xr:uid="{00000000-0005-0000-0000-0000246F0000}"/>
    <cellStyle name="Normal 2 2 7 4 2" xfId="21243" xr:uid="{00000000-0005-0000-0000-0000256F0000}"/>
    <cellStyle name="Normal 2 2 7 4 3" xfId="30120" xr:uid="{00000000-0005-0000-0000-0000266F0000}"/>
    <cellStyle name="Normal 2 2 7 5" xfId="12188" xr:uid="{00000000-0005-0000-0000-0000276F0000}"/>
    <cellStyle name="Normal 2 2 7 5 2" xfId="23462" xr:uid="{00000000-0005-0000-0000-0000286F0000}"/>
    <cellStyle name="Normal 2 2 7 5 3" xfId="32339" xr:uid="{00000000-0005-0000-0000-0000296F0000}"/>
    <cellStyle name="Normal 2 2 7 6" xfId="14557" xr:uid="{00000000-0005-0000-0000-00002A6F0000}"/>
    <cellStyle name="Normal 2 2 7 6 2" xfId="25681" xr:uid="{00000000-0005-0000-0000-00002B6F0000}"/>
    <cellStyle name="Normal 2 2 7 6 3" xfId="34558" xr:uid="{00000000-0005-0000-0000-00002C6F0000}"/>
    <cellStyle name="Normal 2 2 7 7" xfId="19018" xr:uid="{00000000-0005-0000-0000-00002D6F0000}"/>
    <cellStyle name="Normal 2 2 7 8" xfId="27899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0" xr:uid="{00000000-0005-0000-0000-0000326F0000}"/>
    <cellStyle name="Normal 2 2 8 2 2 3" xfId="31597" xr:uid="{00000000-0005-0000-0000-0000336F0000}"/>
    <cellStyle name="Normal 2 2 8 2 3" xfId="13665" xr:uid="{00000000-0005-0000-0000-0000346F0000}"/>
    <cellStyle name="Normal 2 2 8 2 3 2" xfId="24939" xr:uid="{00000000-0005-0000-0000-0000356F0000}"/>
    <cellStyle name="Normal 2 2 8 2 3 3" xfId="33816" xr:uid="{00000000-0005-0000-0000-0000366F0000}"/>
    <cellStyle name="Normal 2 2 8 2 4" xfId="16115" xr:uid="{00000000-0005-0000-0000-0000376F0000}"/>
    <cellStyle name="Normal 2 2 8 2 4 2" xfId="27158" xr:uid="{00000000-0005-0000-0000-0000386F0000}"/>
    <cellStyle name="Normal 2 2 8 2 4 3" xfId="36035" xr:uid="{00000000-0005-0000-0000-0000396F0000}"/>
    <cellStyle name="Normal 2 2 8 2 5" xfId="20501" xr:uid="{00000000-0005-0000-0000-00003A6F0000}"/>
    <cellStyle name="Normal 2 2 8 2 6" xfId="29378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7" xr:uid="{00000000-0005-0000-0000-00003E6F0000}"/>
    <cellStyle name="Normal 2 2 8 3 2 3" xfId="30864" xr:uid="{00000000-0005-0000-0000-00003F6F0000}"/>
    <cellStyle name="Normal 2 2 8 3 3" xfId="12932" xr:uid="{00000000-0005-0000-0000-0000406F0000}"/>
    <cellStyle name="Normal 2 2 8 3 3 2" xfId="24206" xr:uid="{00000000-0005-0000-0000-0000416F0000}"/>
    <cellStyle name="Normal 2 2 8 3 3 3" xfId="33083" xr:uid="{00000000-0005-0000-0000-0000426F0000}"/>
    <cellStyle name="Normal 2 2 8 3 4" xfId="15382" xr:uid="{00000000-0005-0000-0000-0000436F0000}"/>
    <cellStyle name="Normal 2 2 8 3 4 2" xfId="26425" xr:uid="{00000000-0005-0000-0000-0000446F0000}"/>
    <cellStyle name="Normal 2 2 8 3 4 3" xfId="35302" xr:uid="{00000000-0005-0000-0000-0000456F0000}"/>
    <cellStyle name="Normal 2 2 8 3 5" xfId="19768" xr:uid="{00000000-0005-0000-0000-0000466F0000}"/>
    <cellStyle name="Normal 2 2 8 3 6" xfId="28645" xr:uid="{00000000-0005-0000-0000-0000476F0000}"/>
    <cellStyle name="Normal 2 2 8 4" xfId="9889" xr:uid="{00000000-0005-0000-0000-0000486F0000}"/>
    <cellStyle name="Normal 2 2 8 4 2" xfId="21244" xr:uid="{00000000-0005-0000-0000-0000496F0000}"/>
    <cellStyle name="Normal 2 2 8 4 3" xfId="30121" xr:uid="{00000000-0005-0000-0000-00004A6F0000}"/>
    <cellStyle name="Normal 2 2 8 5" xfId="12189" xr:uid="{00000000-0005-0000-0000-00004B6F0000}"/>
    <cellStyle name="Normal 2 2 8 5 2" xfId="23463" xr:uid="{00000000-0005-0000-0000-00004C6F0000}"/>
    <cellStyle name="Normal 2 2 8 5 3" xfId="32340" xr:uid="{00000000-0005-0000-0000-00004D6F0000}"/>
    <cellStyle name="Normal 2 2 8 6" xfId="14558" xr:uid="{00000000-0005-0000-0000-00004E6F0000}"/>
    <cellStyle name="Normal 2 2 8 6 2" xfId="25682" xr:uid="{00000000-0005-0000-0000-00004F6F0000}"/>
    <cellStyle name="Normal 2 2 8 6 3" xfId="34559" xr:uid="{00000000-0005-0000-0000-0000506F0000}"/>
    <cellStyle name="Normal 2 2 8 7" xfId="19019" xr:uid="{00000000-0005-0000-0000-0000516F0000}"/>
    <cellStyle name="Normal 2 2 8 8" xfId="27900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1" xr:uid="{00000000-0005-0000-0000-0000566F0000}"/>
    <cellStyle name="Normal 2 2 9 2 2 3" xfId="31598" xr:uid="{00000000-0005-0000-0000-0000576F0000}"/>
    <cellStyle name="Normal 2 2 9 2 3" xfId="13666" xr:uid="{00000000-0005-0000-0000-0000586F0000}"/>
    <cellStyle name="Normal 2 2 9 2 3 2" xfId="24940" xr:uid="{00000000-0005-0000-0000-0000596F0000}"/>
    <cellStyle name="Normal 2 2 9 2 3 3" xfId="33817" xr:uid="{00000000-0005-0000-0000-00005A6F0000}"/>
    <cellStyle name="Normal 2 2 9 2 4" xfId="16116" xr:uid="{00000000-0005-0000-0000-00005B6F0000}"/>
    <cellStyle name="Normal 2 2 9 2 4 2" xfId="27159" xr:uid="{00000000-0005-0000-0000-00005C6F0000}"/>
    <cellStyle name="Normal 2 2 9 2 4 3" xfId="36036" xr:uid="{00000000-0005-0000-0000-00005D6F0000}"/>
    <cellStyle name="Normal 2 2 9 2 5" xfId="20502" xr:uid="{00000000-0005-0000-0000-00005E6F0000}"/>
    <cellStyle name="Normal 2 2 9 2 6" xfId="29379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8" xr:uid="{00000000-0005-0000-0000-0000626F0000}"/>
    <cellStyle name="Normal 2 2 9 3 2 3" xfId="30865" xr:uid="{00000000-0005-0000-0000-0000636F0000}"/>
    <cellStyle name="Normal 2 2 9 3 3" xfId="12933" xr:uid="{00000000-0005-0000-0000-0000646F0000}"/>
    <cellStyle name="Normal 2 2 9 3 3 2" xfId="24207" xr:uid="{00000000-0005-0000-0000-0000656F0000}"/>
    <cellStyle name="Normal 2 2 9 3 3 3" xfId="33084" xr:uid="{00000000-0005-0000-0000-0000666F0000}"/>
    <cellStyle name="Normal 2 2 9 3 4" xfId="15383" xr:uid="{00000000-0005-0000-0000-0000676F0000}"/>
    <cellStyle name="Normal 2 2 9 3 4 2" xfId="26426" xr:uid="{00000000-0005-0000-0000-0000686F0000}"/>
    <cellStyle name="Normal 2 2 9 3 4 3" xfId="35303" xr:uid="{00000000-0005-0000-0000-0000696F0000}"/>
    <cellStyle name="Normal 2 2 9 3 5" xfId="19769" xr:uid="{00000000-0005-0000-0000-00006A6F0000}"/>
    <cellStyle name="Normal 2 2 9 3 6" xfId="28646" xr:uid="{00000000-0005-0000-0000-00006B6F0000}"/>
    <cellStyle name="Normal 2 2 9 4" xfId="9890" xr:uid="{00000000-0005-0000-0000-00006C6F0000}"/>
    <cellStyle name="Normal 2 2 9 4 2" xfId="21245" xr:uid="{00000000-0005-0000-0000-00006D6F0000}"/>
    <cellStyle name="Normal 2 2 9 4 3" xfId="30122" xr:uid="{00000000-0005-0000-0000-00006E6F0000}"/>
    <cellStyle name="Normal 2 2 9 5" xfId="12190" xr:uid="{00000000-0005-0000-0000-00006F6F0000}"/>
    <cellStyle name="Normal 2 2 9 5 2" xfId="23464" xr:uid="{00000000-0005-0000-0000-0000706F0000}"/>
    <cellStyle name="Normal 2 2 9 5 3" xfId="32341" xr:uid="{00000000-0005-0000-0000-0000716F0000}"/>
    <cellStyle name="Normal 2 2 9 6" xfId="14559" xr:uid="{00000000-0005-0000-0000-0000726F0000}"/>
    <cellStyle name="Normal 2 2 9 6 2" xfId="25683" xr:uid="{00000000-0005-0000-0000-0000736F0000}"/>
    <cellStyle name="Normal 2 2 9 6 3" xfId="34560" xr:uid="{00000000-0005-0000-0000-0000746F0000}"/>
    <cellStyle name="Normal 2 2 9 7" xfId="19020" xr:uid="{00000000-0005-0000-0000-0000756F0000}"/>
    <cellStyle name="Normal 2 2 9 8" xfId="27901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2" xr:uid="{00000000-0005-0000-0000-00007D6F0000}"/>
    <cellStyle name="Normal 2 3 2 2 2 3" xfId="31599" xr:uid="{00000000-0005-0000-0000-00007E6F0000}"/>
    <cellStyle name="Normal 2 3 2 2 3" xfId="13667" xr:uid="{00000000-0005-0000-0000-00007F6F0000}"/>
    <cellStyle name="Normal 2 3 2 2 3 2" xfId="24941" xr:uid="{00000000-0005-0000-0000-0000806F0000}"/>
    <cellStyle name="Normal 2 3 2 2 3 3" xfId="33818" xr:uid="{00000000-0005-0000-0000-0000816F0000}"/>
    <cellStyle name="Normal 2 3 2 2 4" xfId="16117" xr:uid="{00000000-0005-0000-0000-0000826F0000}"/>
    <cellStyle name="Normal 2 3 2 2 4 2" xfId="27160" xr:uid="{00000000-0005-0000-0000-0000836F0000}"/>
    <cellStyle name="Normal 2 3 2 2 4 3" xfId="36037" xr:uid="{00000000-0005-0000-0000-0000846F0000}"/>
    <cellStyle name="Normal 2 3 2 2 5" xfId="20503" xr:uid="{00000000-0005-0000-0000-0000856F0000}"/>
    <cellStyle name="Normal 2 3 2 2 6" xfId="29380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89" xr:uid="{00000000-0005-0000-0000-0000896F0000}"/>
    <cellStyle name="Normal 2 3 2 3 2 3" xfId="30866" xr:uid="{00000000-0005-0000-0000-00008A6F0000}"/>
    <cellStyle name="Normal 2 3 2 3 3" xfId="12934" xr:uid="{00000000-0005-0000-0000-00008B6F0000}"/>
    <cellStyle name="Normal 2 3 2 3 3 2" xfId="24208" xr:uid="{00000000-0005-0000-0000-00008C6F0000}"/>
    <cellStyle name="Normal 2 3 2 3 3 3" xfId="33085" xr:uid="{00000000-0005-0000-0000-00008D6F0000}"/>
    <cellStyle name="Normal 2 3 2 3 4" xfId="15384" xr:uid="{00000000-0005-0000-0000-00008E6F0000}"/>
    <cellStyle name="Normal 2 3 2 3 4 2" xfId="26427" xr:uid="{00000000-0005-0000-0000-00008F6F0000}"/>
    <cellStyle name="Normal 2 3 2 3 4 3" xfId="35304" xr:uid="{00000000-0005-0000-0000-0000906F0000}"/>
    <cellStyle name="Normal 2 3 2 3 5" xfId="19770" xr:uid="{00000000-0005-0000-0000-0000916F0000}"/>
    <cellStyle name="Normal 2 3 2 3 6" xfId="28647" xr:uid="{00000000-0005-0000-0000-0000926F0000}"/>
    <cellStyle name="Normal 2 3 2 4" xfId="9891" xr:uid="{00000000-0005-0000-0000-0000936F0000}"/>
    <cellStyle name="Normal 2 3 2 4 2" xfId="21246" xr:uid="{00000000-0005-0000-0000-0000946F0000}"/>
    <cellStyle name="Normal 2 3 2 4 3" xfId="30123" xr:uid="{00000000-0005-0000-0000-0000956F0000}"/>
    <cellStyle name="Normal 2 3 2 5" xfId="12191" xr:uid="{00000000-0005-0000-0000-0000966F0000}"/>
    <cellStyle name="Normal 2 3 2 5 2" xfId="23465" xr:uid="{00000000-0005-0000-0000-0000976F0000}"/>
    <cellStyle name="Normal 2 3 2 5 3" xfId="32342" xr:uid="{00000000-0005-0000-0000-0000986F0000}"/>
    <cellStyle name="Normal 2 3 2 6" xfId="14560" xr:uid="{00000000-0005-0000-0000-0000996F0000}"/>
    <cellStyle name="Normal 2 3 2 6 2" xfId="25684" xr:uid="{00000000-0005-0000-0000-00009A6F0000}"/>
    <cellStyle name="Normal 2 3 2 6 3" xfId="34561" xr:uid="{00000000-0005-0000-0000-00009B6F0000}"/>
    <cellStyle name="Normal 2 3 2 7" xfId="19021" xr:uid="{00000000-0005-0000-0000-00009C6F0000}"/>
    <cellStyle name="Normal 2 3 2 8" xfId="27902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3" xr:uid="{00000000-0005-0000-0000-0000A16F0000}"/>
    <cellStyle name="Normal 2 3 3 2 2 3" xfId="31600" xr:uid="{00000000-0005-0000-0000-0000A26F0000}"/>
    <cellStyle name="Normal 2 3 3 2 3" xfId="13668" xr:uid="{00000000-0005-0000-0000-0000A36F0000}"/>
    <cellStyle name="Normal 2 3 3 2 3 2" xfId="24942" xr:uid="{00000000-0005-0000-0000-0000A46F0000}"/>
    <cellStyle name="Normal 2 3 3 2 3 3" xfId="33819" xr:uid="{00000000-0005-0000-0000-0000A56F0000}"/>
    <cellStyle name="Normal 2 3 3 2 4" xfId="16118" xr:uid="{00000000-0005-0000-0000-0000A66F0000}"/>
    <cellStyle name="Normal 2 3 3 2 4 2" xfId="27161" xr:uid="{00000000-0005-0000-0000-0000A76F0000}"/>
    <cellStyle name="Normal 2 3 3 2 4 3" xfId="36038" xr:uid="{00000000-0005-0000-0000-0000A86F0000}"/>
    <cellStyle name="Normal 2 3 3 2 5" xfId="20504" xr:uid="{00000000-0005-0000-0000-0000A96F0000}"/>
    <cellStyle name="Normal 2 3 3 2 6" xfId="29381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0" xr:uid="{00000000-0005-0000-0000-0000AD6F0000}"/>
    <cellStyle name="Normal 2 3 3 3 2 3" xfId="30867" xr:uid="{00000000-0005-0000-0000-0000AE6F0000}"/>
    <cellStyle name="Normal 2 3 3 3 3" xfId="12935" xr:uid="{00000000-0005-0000-0000-0000AF6F0000}"/>
    <cellStyle name="Normal 2 3 3 3 3 2" xfId="24209" xr:uid="{00000000-0005-0000-0000-0000B06F0000}"/>
    <cellStyle name="Normal 2 3 3 3 3 3" xfId="33086" xr:uid="{00000000-0005-0000-0000-0000B16F0000}"/>
    <cellStyle name="Normal 2 3 3 3 4" xfId="15385" xr:uid="{00000000-0005-0000-0000-0000B26F0000}"/>
    <cellStyle name="Normal 2 3 3 3 4 2" xfId="26428" xr:uid="{00000000-0005-0000-0000-0000B36F0000}"/>
    <cellStyle name="Normal 2 3 3 3 4 3" xfId="35305" xr:uid="{00000000-0005-0000-0000-0000B46F0000}"/>
    <cellStyle name="Normal 2 3 3 3 5" xfId="19771" xr:uid="{00000000-0005-0000-0000-0000B56F0000}"/>
    <cellStyle name="Normal 2 3 3 3 6" xfId="28648" xr:uid="{00000000-0005-0000-0000-0000B66F0000}"/>
    <cellStyle name="Normal 2 3 3 4" xfId="9892" xr:uid="{00000000-0005-0000-0000-0000B76F0000}"/>
    <cellStyle name="Normal 2 3 3 4 2" xfId="21247" xr:uid="{00000000-0005-0000-0000-0000B86F0000}"/>
    <cellStyle name="Normal 2 3 3 4 3" xfId="30124" xr:uid="{00000000-0005-0000-0000-0000B96F0000}"/>
    <cellStyle name="Normal 2 3 3 5" xfId="12192" xr:uid="{00000000-0005-0000-0000-0000BA6F0000}"/>
    <cellStyle name="Normal 2 3 3 5 2" xfId="23466" xr:uid="{00000000-0005-0000-0000-0000BB6F0000}"/>
    <cellStyle name="Normal 2 3 3 5 3" xfId="32343" xr:uid="{00000000-0005-0000-0000-0000BC6F0000}"/>
    <cellStyle name="Normal 2 3 3 6" xfId="14561" xr:uid="{00000000-0005-0000-0000-0000BD6F0000}"/>
    <cellStyle name="Normal 2 3 3 6 2" xfId="25685" xr:uid="{00000000-0005-0000-0000-0000BE6F0000}"/>
    <cellStyle name="Normal 2 3 3 6 3" xfId="34562" xr:uid="{00000000-0005-0000-0000-0000BF6F0000}"/>
    <cellStyle name="Normal 2 3 3 7" xfId="19022" xr:uid="{00000000-0005-0000-0000-0000C06F0000}"/>
    <cellStyle name="Normal 2 3 3 8" xfId="27903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4" xr:uid="{00000000-0005-0000-0000-0000C56F0000}"/>
    <cellStyle name="Normal 2 3 4 2 2 3" xfId="31601" xr:uid="{00000000-0005-0000-0000-0000C66F0000}"/>
    <cellStyle name="Normal 2 3 4 2 3" xfId="13669" xr:uid="{00000000-0005-0000-0000-0000C76F0000}"/>
    <cellStyle name="Normal 2 3 4 2 3 2" xfId="24943" xr:uid="{00000000-0005-0000-0000-0000C86F0000}"/>
    <cellStyle name="Normal 2 3 4 2 3 3" xfId="33820" xr:uid="{00000000-0005-0000-0000-0000C96F0000}"/>
    <cellStyle name="Normal 2 3 4 2 4" xfId="16119" xr:uid="{00000000-0005-0000-0000-0000CA6F0000}"/>
    <cellStyle name="Normal 2 3 4 2 4 2" xfId="27162" xr:uid="{00000000-0005-0000-0000-0000CB6F0000}"/>
    <cellStyle name="Normal 2 3 4 2 4 3" xfId="36039" xr:uid="{00000000-0005-0000-0000-0000CC6F0000}"/>
    <cellStyle name="Normal 2 3 4 2 5" xfId="20505" xr:uid="{00000000-0005-0000-0000-0000CD6F0000}"/>
    <cellStyle name="Normal 2 3 4 2 6" xfId="29382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1" xr:uid="{00000000-0005-0000-0000-0000D16F0000}"/>
    <cellStyle name="Normal 2 3 4 3 2 3" xfId="30868" xr:uid="{00000000-0005-0000-0000-0000D26F0000}"/>
    <cellStyle name="Normal 2 3 4 3 3" xfId="12936" xr:uid="{00000000-0005-0000-0000-0000D36F0000}"/>
    <cellStyle name="Normal 2 3 4 3 3 2" xfId="24210" xr:uid="{00000000-0005-0000-0000-0000D46F0000}"/>
    <cellStyle name="Normal 2 3 4 3 3 3" xfId="33087" xr:uid="{00000000-0005-0000-0000-0000D56F0000}"/>
    <cellStyle name="Normal 2 3 4 3 4" xfId="15386" xr:uid="{00000000-0005-0000-0000-0000D66F0000}"/>
    <cellStyle name="Normal 2 3 4 3 4 2" xfId="26429" xr:uid="{00000000-0005-0000-0000-0000D76F0000}"/>
    <cellStyle name="Normal 2 3 4 3 4 3" xfId="35306" xr:uid="{00000000-0005-0000-0000-0000D86F0000}"/>
    <cellStyle name="Normal 2 3 4 3 5" xfId="19772" xr:uid="{00000000-0005-0000-0000-0000D96F0000}"/>
    <cellStyle name="Normal 2 3 4 3 6" xfId="28649" xr:uid="{00000000-0005-0000-0000-0000DA6F0000}"/>
    <cellStyle name="Normal 2 3 4 4" xfId="9893" xr:uid="{00000000-0005-0000-0000-0000DB6F0000}"/>
    <cellStyle name="Normal 2 3 4 4 2" xfId="21248" xr:uid="{00000000-0005-0000-0000-0000DC6F0000}"/>
    <cellStyle name="Normal 2 3 4 4 3" xfId="30125" xr:uid="{00000000-0005-0000-0000-0000DD6F0000}"/>
    <cellStyle name="Normal 2 3 4 5" xfId="12193" xr:uid="{00000000-0005-0000-0000-0000DE6F0000}"/>
    <cellStyle name="Normal 2 3 4 5 2" xfId="23467" xr:uid="{00000000-0005-0000-0000-0000DF6F0000}"/>
    <cellStyle name="Normal 2 3 4 5 3" xfId="32344" xr:uid="{00000000-0005-0000-0000-0000E06F0000}"/>
    <cellStyle name="Normal 2 3 4 6" xfId="14562" xr:uid="{00000000-0005-0000-0000-0000E16F0000}"/>
    <cellStyle name="Normal 2 3 4 6 2" xfId="25686" xr:uid="{00000000-0005-0000-0000-0000E26F0000}"/>
    <cellStyle name="Normal 2 3 4 6 3" xfId="34563" xr:uid="{00000000-0005-0000-0000-0000E36F0000}"/>
    <cellStyle name="Normal 2 3 4 7" xfId="19023" xr:uid="{00000000-0005-0000-0000-0000E46F0000}"/>
    <cellStyle name="Normal 2 3 4 8" xfId="27904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5" xr:uid="{00000000-0005-0000-0000-0000E96F0000}"/>
    <cellStyle name="Normal 2 3 5 2 2 3" xfId="31602" xr:uid="{00000000-0005-0000-0000-0000EA6F0000}"/>
    <cellStyle name="Normal 2 3 5 2 3" xfId="13670" xr:uid="{00000000-0005-0000-0000-0000EB6F0000}"/>
    <cellStyle name="Normal 2 3 5 2 3 2" xfId="24944" xr:uid="{00000000-0005-0000-0000-0000EC6F0000}"/>
    <cellStyle name="Normal 2 3 5 2 3 3" xfId="33821" xr:uid="{00000000-0005-0000-0000-0000ED6F0000}"/>
    <cellStyle name="Normal 2 3 5 2 4" xfId="16120" xr:uid="{00000000-0005-0000-0000-0000EE6F0000}"/>
    <cellStyle name="Normal 2 3 5 2 4 2" xfId="27163" xr:uid="{00000000-0005-0000-0000-0000EF6F0000}"/>
    <cellStyle name="Normal 2 3 5 2 4 3" xfId="36040" xr:uid="{00000000-0005-0000-0000-0000F06F0000}"/>
    <cellStyle name="Normal 2 3 5 2 5" xfId="20506" xr:uid="{00000000-0005-0000-0000-0000F16F0000}"/>
    <cellStyle name="Normal 2 3 5 2 6" xfId="29383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2" xr:uid="{00000000-0005-0000-0000-0000F56F0000}"/>
    <cellStyle name="Normal 2 3 5 3 2 3" xfId="30869" xr:uid="{00000000-0005-0000-0000-0000F66F0000}"/>
    <cellStyle name="Normal 2 3 5 3 3" xfId="12937" xr:uid="{00000000-0005-0000-0000-0000F76F0000}"/>
    <cellStyle name="Normal 2 3 5 3 3 2" xfId="24211" xr:uid="{00000000-0005-0000-0000-0000F86F0000}"/>
    <cellStyle name="Normal 2 3 5 3 3 3" xfId="33088" xr:uid="{00000000-0005-0000-0000-0000F96F0000}"/>
    <cellStyle name="Normal 2 3 5 3 4" xfId="15387" xr:uid="{00000000-0005-0000-0000-0000FA6F0000}"/>
    <cellStyle name="Normal 2 3 5 3 4 2" xfId="26430" xr:uid="{00000000-0005-0000-0000-0000FB6F0000}"/>
    <cellStyle name="Normal 2 3 5 3 4 3" xfId="35307" xr:uid="{00000000-0005-0000-0000-0000FC6F0000}"/>
    <cellStyle name="Normal 2 3 5 3 5" xfId="19773" xr:uid="{00000000-0005-0000-0000-0000FD6F0000}"/>
    <cellStyle name="Normal 2 3 5 3 6" xfId="28650" xr:uid="{00000000-0005-0000-0000-0000FE6F0000}"/>
    <cellStyle name="Normal 2 3 5 4" xfId="9894" xr:uid="{00000000-0005-0000-0000-0000FF6F0000}"/>
    <cellStyle name="Normal 2 3 5 4 2" xfId="21249" xr:uid="{00000000-0005-0000-0000-000000700000}"/>
    <cellStyle name="Normal 2 3 5 4 3" xfId="30126" xr:uid="{00000000-0005-0000-0000-000001700000}"/>
    <cellStyle name="Normal 2 3 5 5" xfId="12194" xr:uid="{00000000-0005-0000-0000-000002700000}"/>
    <cellStyle name="Normal 2 3 5 5 2" xfId="23468" xr:uid="{00000000-0005-0000-0000-000003700000}"/>
    <cellStyle name="Normal 2 3 5 5 3" xfId="32345" xr:uid="{00000000-0005-0000-0000-000004700000}"/>
    <cellStyle name="Normal 2 3 5 6" xfId="14563" xr:uid="{00000000-0005-0000-0000-000005700000}"/>
    <cellStyle name="Normal 2 3 5 6 2" xfId="25687" xr:uid="{00000000-0005-0000-0000-000006700000}"/>
    <cellStyle name="Normal 2 3 5 6 3" xfId="34564" xr:uid="{00000000-0005-0000-0000-000007700000}"/>
    <cellStyle name="Normal 2 3 5 7" xfId="19024" xr:uid="{00000000-0005-0000-0000-000008700000}"/>
    <cellStyle name="Normal 2 3 5 8" xfId="27905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6" xr:uid="{00000000-0005-0000-0000-00000D700000}"/>
    <cellStyle name="Normal 2 3 6 2 2 3" xfId="31603" xr:uid="{00000000-0005-0000-0000-00000E700000}"/>
    <cellStyle name="Normal 2 3 6 2 3" xfId="13671" xr:uid="{00000000-0005-0000-0000-00000F700000}"/>
    <cellStyle name="Normal 2 3 6 2 3 2" xfId="24945" xr:uid="{00000000-0005-0000-0000-000010700000}"/>
    <cellStyle name="Normal 2 3 6 2 3 3" xfId="33822" xr:uid="{00000000-0005-0000-0000-000011700000}"/>
    <cellStyle name="Normal 2 3 6 2 4" xfId="16121" xr:uid="{00000000-0005-0000-0000-000012700000}"/>
    <cellStyle name="Normal 2 3 6 2 4 2" xfId="27164" xr:uid="{00000000-0005-0000-0000-000013700000}"/>
    <cellStyle name="Normal 2 3 6 2 4 3" xfId="36041" xr:uid="{00000000-0005-0000-0000-000014700000}"/>
    <cellStyle name="Normal 2 3 6 2 5" xfId="20507" xr:uid="{00000000-0005-0000-0000-000015700000}"/>
    <cellStyle name="Normal 2 3 6 2 6" xfId="29384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3" xr:uid="{00000000-0005-0000-0000-000019700000}"/>
    <cellStyle name="Normal 2 3 6 3 2 3" xfId="30870" xr:uid="{00000000-0005-0000-0000-00001A700000}"/>
    <cellStyle name="Normal 2 3 6 3 3" xfId="12938" xr:uid="{00000000-0005-0000-0000-00001B700000}"/>
    <cellStyle name="Normal 2 3 6 3 3 2" xfId="24212" xr:uid="{00000000-0005-0000-0000-00001C700000}"/>
    <cellStyle name="Normal 2 3 6 3 3 3" xfId="33089" xr:uid="{00000000-0005-0000-0000-00001D700000}"/>
    <cellStyle name="Normal 2 3 6 3 4" xfId="15388" xr:uid="{00000000-0005-0000-0000-00001E700000}"/>
    <cellStyle name="Normal 2 3 6 3 4 2" xfId="26431" xr:uid="{00000000-0005-0000-0000-00001F700000}"/>
    <cellStyle name="Normal 2 3 6 3 4 3" xfId="35308" xr:uid="{00000000-0005-0000-0000-000020700000}"/>
    <cellStyle name="Normal 2 3 6 3 5" xfId="19774" xr:uid="{00000000-0005-0000-0000-000021700000}"/>
    <cellStyle name="Normal 2 3 6 3 6" xfId="28651" xr:uid="{00000000-0005-0000-0000-000022700000}"/>
    <cellStyle name="Normal 2 3 6 4" xfId="9895" xr:uid="{00000000-0005-0000-0000-000023700000}"/>
    <cellStyle name="Normal 2 3 6 4 2" xfId="21250" xr:uid="{00000000-0005-0000-0000-000024700000}"/>
    <cellStyle name="Normal 2 3 6 4 3" xfId="30127" xr:uid="{00000000-0005-0000-0000-000025700000}"/>
    <cellStyle name="Normal 2 3 6 5" xfId="12195" xr:uid="{00000000-0005-0000-0000-000026700000}"/>
    <cellStyle name="Normal 2 3 6 5 2" xfId="23469" xr:uid="{00000000-0005-0000-0000-000027700000}"/>
    <cellStyle name="Normal 2 3 6 5 3" xfId="32346" xr:uid="{00000000-0005-0000-0000-000028700000}"/>
    <cellStyle name="Normal 2 3 6 6" xfId="14564" xr:uid="{00000000-0005-0000-0000-000029700000}"/>
    <cellStyle name="Normal 2 3 6 6 2" xfId="25688" xr:uid="{00000000-0005-0000-0000-00002A700000}"/>
    <cellStyle name="Normal 2 3 6 6 3" xfId="34565" xr:uid="{00000000-0005-0000-0000-00002B700000}"/>
    <cellStyle name="Normal 2 3 6 7" xfId="19025" xr:uid="{00000000-0005-0000-0000-00002C700000}"/>
    <cellStyle name="Normal 2 3 6 8" xfId="27906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7" xr:uid="{00000000-0005-0000-0000-000031700000}"/>
    <cellStyle name="Normal 2 3 7 2 2 3" xfId="31604" xr:uid="{00000000-0005-0000-0000-000032700000}"/>
    <cellStyle name="Normal 2 3 7 2 3" xfId="13672" xr:uid="{00000000-0005-0000-0000-000033700000}"/>
    <cellStyle name="Normal 2 3 7 2 3 2" xfId="24946" xr:uid="{00000000-0005-0000-0000-000034700000}"/>
    <cellStyle name="Normal 2 3 7 2 3 3" xfId="33823" xr:uid="{00000000-0005-0000-0000-000035700000}"/>
    <cellStyle name="Normal 2 3 7 2 4" xfId="16122" xr:uid="{00000000-0005-0000-0000-000036700000}"/>
    <cellStyle name="Normal 2 3 7 2 4 2" xfId="27165" xr:uid="{00000000-0005-0000-0000-000037700000}"/>
    <cellStyle name="Normal 2 3 7 2 4 3" xfId="36042" xr:uid="{00000000-0005-0000-0000-000038700000}"/>
    <cellStyle name="Normal 2 3 7 2 5" xfId="20508" xr:uid="{00000000-0005-0000-0000-000039700000}"/>
    <cellStyle name="Normal 2 3 7 2 6" xfId="29385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4" xr:uid="{00000000-0005-0000-0000-00003D700000}"/>
    <cellStyle name="Normal 2 3 7 3 2 3" xfId="30871" xr:uid="{00000000-0005-0000-0000-00003E700000}"/>
    <cellStyle name="Normal 2 3 7 3 3" xfId="12939" xr:uid="{00000000-0005-0000-0000-00003F700000}"/>
    <cellStyle name="Normal 2 3 7 3 3 2" xfId="24213" xr:uid="{00000000-0005-0000-0000-000040700000}"/>
    <cellStyle name="Normal 2 3 7 3 3 3" xfId="33090" xr:uid="{00000000-0005-0000-0000-000041700000}"/>
    <cellStyle name="Normal 2 3 7 3 4" xfId="15389" xr:uid="{00000000-0005-0000-0000-000042700000}"/>
    <cellStyle name="Normal 2 3 7 3 4 2" xfId="26432" xr:uid="{00000000-0005-0000-0000-000043700000}"/>
    <cellStyle name="Normal 2 3 7 3 4 3" xfId="35309" xr:uid="{00000000-0005-0000-0000-000044700000}"/>
    <cellStyle name="Normal 2 3 7 3 5" xfId="19775" xr:uid="{00000000-0005-0000-0000-000045700000}"/>
    <cellStyle name="Normal 2 3 7 3 6" xfId="28652" xr:uid="{00000000-0005-0000-0000-000046700000}"/>
    <cellStyle name="Normal 2 3 7 4" xfId="9896" xr:uid="{00000000-0005-0000-0000-000047700000}"/>
    <cellStyle name="Normal 2 3 7 4 2" xfId="21251" xr:uid="{00000000-0005-0000-0000-000048700000}"/>
    <cellStyle name="Normal 2 3 7 4 3" xfId="30128" xr:uid="{00000000-0005-0000-0000-000049700000}"/>
    <cellStyle name="Normal 2 3 7 5" xfId="12196" xr:uid="{00000000-0005-0000-0000-00004A700000}"/>
    <cellStyle name="Normal 2 3 7 5 2" xfId="23470" xr:uid="{00000000-0005-0000-0000-00004B700000}"/>
    <cellStyle name="Normal 2 3 7 5 3" xfId="32347" xr:uid="{00000000-0005-0000-0000-00004C700000}"/>
    <cellStyle name="Normal 2 3 7 6" xfId="14565" xr:uid="{00000000-0005-0000-0000-00004D700000}"/>
    <cellStyle name="Normal 2 3 7 6 2" xfId="25689" xr:uid="{00000000-0005-0000-0000-00004E700000}"/>
    <cellStyle name="Normal 2 3 7 6 3" xfId="34566" xr:uid="{00000000-0005-0000-0000-00004F700000}"/>
    <cellStyle name="Normal 2 3 7 7" xfId="19026" xr:uid="{00000000-0005-0000-0000-000050700000}"/>
    <cellStyle name="Normal 2 3 7 8" xfId="27907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8" xr:uid="{00000000-0005-0000-0000-000055700000}"/>
    <cellStyle name="Normal 2 3 8 2 2 3" xfId="31605" xr:uid="{00000000-0005-0000-0000-000056700000}"/>
    <cellStyle name="Normal 2 3 8 2 3" xfId="13673" xr:uid="{00000000-0005-0000-0000-000057700000}"/>
    <cellStyle name="Normal 2 3 8 2 3 2" xfId="24947" xr:uid="{00000000-0005-0000-0000-000058700000}"/>
    <cellStyle name="Normal 2 3 8 2 3 3" xfId="33824" xr:uid="{00000000-0005-0000-0000-000059700000}"/>
    <cellStyle name="Normal 2 3 8 2 4" xfId="16123" xr:uid="{00000000-0005-0000-0000-00005A700000}"/>
    <cellStyle name="Normal 2 3 8 2 4 2" xfId="27166" xr:uid="{00000000-0005-0000-0000-00005B700000}"/>
    <cellStyle name="Normal 2 3 8 2 4 3" xfId="36043" xr:uid="{00000000-0005-0000-0000-00005C700000}"/>
    <cellStyle name="Normal 2 3 8 2 5" xfId="20509" xr:uid="{00000000-0005-0000-0000-00005D700000}"/>
    <cellStyle name="Normal 2 3 8 2 6" xfId="29386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5" xr:uid="{00000000-0005-0000-0000-000061700000}"/>
    <cellStyle name="Normal 2 3 8 3 2 3" xfId="30872" xr:uid="{00000000-0005-0000-0000-000062700000}"/>
    <cellStyle name="Normal 2 3 8 3 3" xfId="12940" xr:uid="{00000000-0005-0000-0000-000063700000}"/>
    <cellStyle name="Normal 2 3 8 3 3 2" xfId="24214" xr:uid="{00000000-0005-0000-0000-000064700000}"/>
    <cellStyle name="Normal 2 3 8 3 3 3" xfId="33091" xr:uid="{00000000-0005-0000-0000-000065700000}"/>
    <cellStyle name="Normal 2 3 8 3 4" xfId="15390" xr:uid="{00000000-0005-0000-0000-000066700000}"/>
    <cellStyle name="Normal 2 3 8 3 4 2" xfId="26433" xr:uid="{00000000-0005-0000-0000-000067700000}"/>
    <cellStyle name="Normal 2 3 8 3 4 3" xfId="35310" xr:uid="{00000000-0005-0000-0000-000068700000}"/>
    <cellStyle name="Normal 2 3 8 3 5" xfId="19776" xr:uid="{00000000-0005-0000-0000-000069700000}"/>
    <cellStyle name="Normal 2 3 8 3 6" xfId="28653" xr:uid="{00000000-0005-0000-0000-00006A700000}"/>
    <cellStyle name="Normal 2 3 8 4" xfId="9897" xr:uid="{00000000-0005-0000-0000-00006B700000}"/>
    <cellStyle name="Normal 2 3 8 4 2" xfId="21252" xr:uid="{00000000-0005-0000-0000-00006C700000}"/>
    <cellStyle name="Normal 2 3 8 4 3" xfId="30129" xr:uid="{00000000-0005-0000-0000-00006D700000}"/>
    <cellStyle name="Normal 2 3 8 5" xfId="12197" xr:uid="{00000000-0005-0000-0000-00006E700000}"/>
    <cellStyle name="Normal 2 3 8 5 2" xfId="23471" xr:uid="{00000000-0005-0000-0000-00006F700000}"/>
    <cellStyle name="Normal 2 3 8 5 3" xfId="32348" xr:uid="{00000000-0005-0000-0000-000070700000}"/>
    <cellStyle name="Normal 2 3 8 6" xfId="14566" xr:uid="{00000000-0005-0000-0000-000071700000}"/>
    <cellStyle name="Normal 2 3 8 6 2" xfId="25690" xr:uid="{00000000-0005-0000-0000-000072700000}"/>
    <cellStyle name="Normal 2 3 8 6 3" xfId="34567" xr:uid="{00000000-0005-0000-0000-000073700000}"/>
    <cellStyle name="Normal 2 3 8 7" xfId="19027" xr:uid="{00000000-0005-0000-0000-000074700000}"/>
    <cellStyle name="Normal 2 3 8 8" xfId="27908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29" xr:uid="{00000000-0005-0000-0000-000079700000}"/>
    <cellStyle name="Normal 2 3 9 2 2 3" xfId="31606" xr:uid="{00000000-0005-0000-0000-00007A700000}"/>
    <cellStyle name="Normal 2 3 9 2 3" xfId="13674" xr:uid="{00000000-0005-0000-0000-00007B700000}"/>
    <cellStyle name="Normal 2 3 9 2 3 2" xfId="24948" xr:uid="{00000000-0005-0000-0000-00007C700000}"/>
    <cellStyle name="Normal 2 3 9 2 3 3" xfId="33825" xr:uid="{00000000-0005-0000-0000-00007D700000}"/>
    <cellStyle name="Normal 2 3 9 2 4" xfId="16124" xr:uid="{00000000-0005-0000-0000-00007E700000}"/>
    <cellStyle name="Normal 2 3 9 2 4 2" xfId="27167" xr:uid="{00000000-0005-0000-0000-00007F700000}"/>
    <cellStyle name="Normal 2 3 9 2 4 3" xfId="36044" xr:uid="{00000000-0005-0000-0000-000080700000}"/>
    <cellStyle name="Normal 2 3 9 2 5" xfId="20510" xr:uid="{00000000-0005-0000-0000-000081700000}"/>
    <cellStyle name="Normal 2 3 9 2 6" xfId="29387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6" xr:uid="{00000000-0005-0000-0000-000085700000}"/>
    <cellStyle name="Normal 2 3 9 3 2 3" xfId="30873" xr:uid="{00000000-0005-0000-0000-000086700000}"/>
    <cellStyle name="Normal 2 3 9 3 3" xfId="12941" xr:uid="{00000000-0005-0000-0000-000087700000}"/>
    <cellStyle name="Normal 2 3 9 3 3 2" xfId="24215" xr:uid="{00000000-0005-0000-0000-000088700000}"/>
    <cellStyle name="Normal 2 3 9 3 3 3" xfId="33092" xr:uid="{00000000-0005-0000-0000-000089700000}"/>
    <cellStyle name="Normal 2 3 9 3 4" xfId="15391" xr:uid="{00000000-0005-0000-0000-00008A700000}"/>
    <cellStyle name="Normal 2 3 9 3 4 2" xfId="26434" xr:uid="{00000000-0005-0000-0000-00008B700000}"/>
    <cellStyle name="Normal 2 3 9 3 4 3" xfId="35311" xr:uid="{00000000-0005-0000-0000-00008C700000}"/>
    <cellStyle name="Normal 2 3 9 3 5" xfId="19777" xr:uid="{00000000-0005-0000-0000-00008D700000}"/>
    <cellStyle name="Normal 2 3 9 3 6" xfId="28654" xr:uid="{00000000-0005-0000-0000-00008E700000}"/>
    <cellStyle name="Normal 2 3 9 4" xfId="9898" xr:uid="{00000000-0005-0000-0000-00008F700000}"/>
    <cellStyle name="Normal 2 3 9 4 2" xfId="21253" xr:uid="{00000000-0005-0000-0000-000090700000}"/>
    <cellStyle name="Normal 2 3 9 4 3" xfId="30130" xr:uid="{00000000-0005-0000-0000-000091700000}"/>
    <cellStyle name="Normal 2 3 9 5" xfId="12198" xr:uid="{00000000-0005-0000-0000-000092700000}"/>
    <cellStyle name="Normal 2 3 9 5 2" xfId="23472" xr:uid="{00000000-0005-0000-0000-000093700000}"/>
    <cellStyle name="Normal 2 3 9 5 3" xfId="32349" xr:uid="{00000000-0005-0000-0000-000094700000}"/>
    <cellStyle name="Normal 2 3 9 6" xfId="14567" xr:uid="{00000000-0005-0000-0000-000095700000}"/>
    <cellStyle name="Normal 2 3 9 6 2" xfId="25691" xr:uid="{00000000-0005-0000-0000-000096700000}"/>
    <cellStyle name="Normal 2 3 9 6 3" xfId="34568" xr:uid="{00000000-0005-0000-0000-000097700000}"/>
    <cellStyle name="Normal 2 3 9 7" xfId="19028" xr:uid="{00000000-0005-0000-0000-000098700000}"/>
    <cellStyle name="Normal 2 3 9 8" xfId="27909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0" xr:uid="{00000000-0005-0000-0000-00009E700000}"/>
    <cellStyle name="Normal 2 4 2 2 2 3" xfId="31607" xr:uid="{00000000-0005-0000-0000-00009F700000}"/>
    <cellStyle name="Normal 2 4 2 2 3" xfId="13675" xr:uid="{00000000-0005-0000-0000-0000A0700000}"/>
    <cellStyle name="Normal 2 4 2 2 3 2" xfId="24949" xr:uid="{00000000-0005-0000-0000-0000A1700000}"/>
    <cellStyle name="Normal 2 4 2 2 3 3" xfId="33826" xr:uid="{00000000-0005-0000-0000-0000A2700000}"/>
    <cellStyle name="Normal 2 4 2 2 4" xfId="16125" xr:uid="{00000000-0005-0000-0000-0000A3700000}"/>
    <cellStyle name="Normal 2 4 2 2 4 2" xfId="27168" xr:uid="{00000000-0005-0000-0000-0000A4700000}"/>
    <cellStyle name="Normal 2 4 2 2 4 3" xfId="36045" xr:uid="{00000000-0005-0000-0000-0000A5700000}"/>
    <cellStyle name="Normal 2 4 2 2 5" xfId="20511" xr:uid="{00000000-0005-0000-0000-0000A6700000}"/>
    <cellStyle name="Normal 2 4 2 2 6" xfId="29388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7" xr:uid="{00000000-0005-0000-0000-0000AA700000}"/>
    <cellStyle name="Normal 2 4 2 3 2 3" xfId="30874" xr:uid="{00000000-0005-0000-0000-0000AB700000}"/>
    <cellStyle name="Normal 2 4 2 3 3" xfId="12942" xr:uid="{00000000-0005-0000-0000-0000AC700000}"/>
    <cellStyle name="Normal 2 4 2 3 3 2" xfId="24216" xr:uid="{00000000-0005-0000-0000-0000AD700000}"/>
    <cellStyle name="Normal 2 4 2 3 3 3" xfId="33093" xr:uid="{00000000-0005-0000-0000-0000AE700000}"/>
    <cellStyle name="Normal 2 4 2 3 4" xfId="15392" xr:uid="{00000000-0005-0000-0000-0000AF700000}"/>
    <cellStyle name="Normal 2 4 2 3 4 2" xfId="26435" xr:uid="{00000000-0005-0000-0000-0000B0700000}"/>
    <cellStyle name="Normal 2 4 2 3 4 3" xfId="35312" xr:uid="{00000000-0005-0000-0000-0000B1700000}"/>
    <cellStyle name="Normal 2 4 2 3 5" xfId="19778" xr:uid="{00000000-0005-0000-0000-0000B2700000}"/>
    <cellStyle name="Normal 2 4 2 3 6" xfId="28655" xr:uid="{00000000-0005-0000-0000-0000B3700000}"/>
    <cellStyle name="Normal 2 4 2 4" xfId="9899" xr:uid="{00000000-0005-0000-0000-0000B4700000}"/>
    <cellStyle name="Normal 2 4 2 4 2" xfId="21254" xr:uid="{00000000-0005-0000-0000-0000B5700000}"/>
    <cellStyle name="Normal 2 4 2 4 3" xfId="30131" xr:uid="{00000000-0005-0000-0000-0000B6700000}"/>
    <cellStyle name="Normal 2 4 2 5" xfId="12199" xr:uid="{00000000-0005-0000-0000-0000B7700000}"/>
    <cellStyle name="Normal 2 4 2 5 2" xfId="23473" xr:uid="{00000000-0005-0000-0000-0000B8700000}"/>
    <cellStyle name="Normal 2 4 2 5 3" xfId="32350" xr:uid="{00000000-0005-0000-0000-0000B9700000}"/>
    <cellStyle name="Normal 2 4 2 6" xfId="14568" xr:uid="{00000000-0005-0000-0000-0000BA700000}"/>
    <cellStyle name="Normal 2 4 2 6 2" xfId="25692" xr:uid="{00000000-0005-0000-0000-0000BB700000}"/>
    <cellStyle name="Normal 2 4 2 6 3" xfId="34569" xr:uid="{00000000-0005-0000-0000-0000BC700000}"/>
    <cellStyle name="Normal 2 4 2 7" xfId="19029" xr:uid="{00000000-0005-0000-0000-0000BD700000}"/>
    <cellStyle name="Normal 2 4 2 8" xfId="27910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1" xr:uid="{00000000-0005-0000-0000-0000C2700000}"/>
    <cellStyle name="Normal 2 4 3 2 2 3" xfId="31608" xr:uid="{00000000-0005-0000-0000-0000C3700000}"/>
    <cellStyle name="Normal 2 4 3 2 3" xfId="13676" xr:uid="{00000000-0005-0000-0000-0000C4700000}"/>
    <cellStyle name="Normal 2 4 3 2 3 2" xfId="24950" xr:uid="{00000000-0005-0000-0000-0000C5700000}"/>
    <cellStyle name="Normal 2 4 3 2 3 3" xfId="33827" xr:uid="{00000000-0005-0000-0000-0000C6700000}"/>
    <cellStyle name="Normal 2 4 3 2 4" xfId="16126" xr:uid="{00000000-0005-0000-0000-0000C7700000}"/>
    <cellStyle name="Normal 2 4 3 2 4 2" xfId="27169" xr:uid="{00000000-0005-0000-0000-0000C8700000}"/>
    <cellStyle name="Normal 2 4 3 2 4 3" xfId="36046" xr:uid="{00000000-0005-0000-0000-0000C9700000}"/>
    <cellStyle name="Normal 2 4 3 2 5" xfId="20512" xr:uid="{00000000-0005-0000-0000-0000CA700000}"/>
    <cellStyle name="Normal 2 4 3 2 6" xfId="29389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8" xr:uid="{00000000-0005-0000-0000-0000CE700000}"/>
    <cellStyle name="Normal 2 4 3 3 2 3" xfId="30875" xr:uid="{00000000-0005-0000-0000-0000CF700000}"/>
    <cellStyle name="Normal 2 4 3 3 3" xfId="12943" xr:uid="{00000000-0005-0000-0000-0000D0700000}"/>
    <cellStyle name="Normal 2 4 3 3 3 2" xfId="24217" xr:uid="{00000000-0005-0000-0000-0000D1700000}"/>
    <cellStyle name="Normal 2 4 3 3 3 3" xfId="33094" xr:uid="{00000000-0005-0000-0000-0000D2700000}"/>
    <cellStyle name="Normal 2 4 3 3 4" xfId="15393" xr:uid="{00000000-0005-0000-0000-0000D3700000}"/>
    <cellStyle name="Normal 2 4 3 3 4 2" xfId="26436" xr:uid="{00000000-0005-0000-0000-0000D4700000}"/>
    <cellStyle name="Normal 2 4 3 3 4 3" xfId="35313" xr:uid="{00000000-0005-0000-0000-0000D5700000}"/>
    <cellStyle name="Normal 2 4 3 3 5" xfId="19779" xr:uid="{00000000-0005-0000-0000-0000D6700000}"/>
    <cellStyle name="Normal 2 4 3 3 6" xfId="28656" xr:uid="{00000000-0005-0000-0000-0000D7700000}"/>
    <cellStyle name="Normal 2 4 3 4" xfId="9900" xr:uid="{00000000-0005-0000-0000-0000D8700000}"/>
    <cellStyle name="Normal 2 4 3 4 2" xfId="21255" xr:uid="{00000000-0005-0000-0000-0000D9700000}"/>
    <cellStyle name="Normal 2 4 3 4 3" xfId="30132" xr:uid="{00000000-0005-0000-0000-0000DA700000}"/>
    <cellStyle name="Normal 2 4 3 5" xfId="12200" xr:uid="{00000000-0005-0000-0000-0000DB700000}"/>
    <cellStyle name="Normal 2 4 3 5 2" xfId="23474" xr:uid="{00000000-0005-0000-0000-0000DC700000}"/>
    <cellStyle name="Normal 2 4 3 5 3" xfId="32351" xr:uid="{00000000-0005-0000-0000-0000DD700000}"/>
    <cellStyle name="Normal 2 4 3 6" xfId="14569" xr:uid="{00000000-0005-0000-0000-0000DE700000}"/>
    <cellStyle name="Normal 2 4 3 6 2" xfId="25693" xr:uid="{00000000-0005-0000-0000-0000DF700000}"/>
    <cellStyle name="Normal 2 4 3 6 3" xfId="34570" xr:uid="{00000000-0005-0000-0000-0000E0700000}"/>
    <cellStyle name="Normal 2 4 3 7" xfId="19030" xr:uid="{00000000-0005-0000-0000-0000E1700000}"/>
    <cellStyle name="Normal 2 4 3 8" xfId="27911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2" xr:uid="{00000000-0005-0000-0000-0000E6700000}"/>
    <cellStyle name="Normal 2 4 4 2 2 3" xfId="31609" xr:uid="{00000000-0005-0000-0000-0000E7700000}"/>
    <cellStyle name="Normal 2 4 4 2 3" xfId="13677" xr:uid="{00000000-0005-0000-0000-0000E8700000}"/>
    <cellStyle name="Normal 2 4 4 2 3 2" xfId="24951" xr:uid="{00000000-0005-0000-0000-0000E9700000}"/>
    <cellStyle name="Normal 2 4 4 2 3 3" xfId="33828" xr:uid="{00000000-0005-0000-0000-0000EA700000}"/>
    <cellStyle name="Normal 2 4 4 2 4" xfId="16127" xr:uid="{00000000-0005-0000-0000-0000EB700000}"/>
    <cellStyle name="Normal 2 4 4 2 4 2" xfId="27170" xr:uid="{00000000-0005-0000-0000-0000EC700000}"/>
    <cellStyle name="Normal 2 4 4 2 4 3" xfId="36047" xr:uid="{00000000-0005-0000-0000-0000ED700000}"/>
    <cellStyle name="Normal 2 4 4 2 5" xfId="20513" xr:uid="{00000000-0005-0000-0000-0000EE700000}"/>
    <cellStyle name="Normal 2 4 4 2 6" xfId="29390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1999" xr:uid="{00000000-0005-0000-0000-0000F2700000}"/>
    <cellStyle name="Normal 2 4 4 3 2 3" xfId="30876" xr:uid="{00000000-0005-0000-0000-0000F3700000}"/>
    <cellStyle name="Normal 2 4 4 3 3" xfId="12944" xr:uid="{00000000-0005-0000-0000-0000F4700000}"/>
    <cellStyle name="Normal 2 4 4 3 3 2" xfId="24218" xr:uid="{00000000-0005-0000-0000-0000F5700000}"/>
    <cellStyle name="Normal 2 4 4 3 3 3" xfId="33095" xr:uid="{00000000-0005-0000-0000-0000F6700000}"/>
    <cellStyle name="Normal 2 4 4 3 4" xfId="15394" xr:uid="{00000000-0005-0000-0000-0000F7700000}"/>
    <cellStyle name="Normal 2 4 4 3 4 2" xfId="26437" xr:uid="{00000000-0005-0000-0000-0000F8700000}"/>
    <cellStyle name="Normal 2 4 4 3 4 3" xfId="35314" xr:uid="{00000000-0005-0000-0000-0000F9700000}"/>
    <cellStyle name="Normal 2 4 4 3 5" xfId="19780" xr:uid="{00000000-0005-0000-0000-0000FA700000}"/>
    <cellStyle name="Normal 2 4 4 3 6" xfId="28657" xr:uid="{00000000-0005-0000-0000-0000FB700000}"/>
    <cellStyle name="Normal 2 4 4 4" xfId="9901" xr:uid="{00000000-0005-0000-0000-0000FC700000}"/>
    <cellStyle name="Normal 2 4 4 4 2" xfId="21256" xr:uid="{00000000-0005-0000-0000-0000FD700000}"/>
    <cellStyle name="Normal 2 4 4 4 3" xfId="30133" xr:uid="{00000000-0005-0000-0000-0000FE700000}"/>
    <cellStyle name="Normal 2 4 4 5" xfId="12201" xr:uid="{00000000-0005-0000-0000-0000FF700000}"/>
    <cellStyle name="Normal 2 4 4 5 2" xfId="23475" xr:uid="{00000000-0005-0000-0000-000000710000}"/>
    <cellStyle name="Normal 2 4 4 5 3" xfId="32352" xr:uid="{00000000-0005-0000-0000-000001710000}"/>
    <cellStyle name="Normal 2 4 4 6" xfId="14570" xr:uid="{00000000-0005-0000-0000-000002710000}"/>
    <cellStyle name="Normal 2 4 4 6 2" xfId="25694" xr:uid="{00000000-0005-0000-0000-000003710000}"/>
    <cellStyle name="Normal 2 4 4 6 3" xfId="34571" xr:uid="{00000000-0005-0000-0000-000004710000}"/>
    <cellStyle name="Normal 2 4 4 7" xfId="19031" xr:uid="{00000000-0005-0000-0000-000005710000}"/>
    <cellStyle name="Normal 2 4 4 8" xfId="27912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3" xr:uid="{00000000-0005-0000-0000-00000A710000}"/>
    <cellStyle name="Normal 2 4 5 2 2 3" xfId="31610" xr:uid="{00000000-0005-0000-0000-00000B710000}"/>
    <cellStyle name="Normal 2 4 5 2 3" xfId="13678" xr:uid="{00000000-0005-0000-0000-00000C710000}"/>
    <cellStyle name="Normal 2 4 5 2 3 2" xfId="24952" xr:uid="{00000000-0005-0000-0000-00000D710000}"/>
    <cellStyle name="Normal 2 4 5 2 3 3" xfId="33829" xr:uid="{00000000-0005-0000-0000-00000E710000}"/>
    <cellStyle name="Normal 2 4 5 2 4" xfId="16128" xr:uid="{00000000-0005-0000-0000-00000F710000}"/>
    <cellStyle name="Normal 2 4 5 2 4 2" xfId="27171" xr:uid="{00000000-0005-0000-0000-000010710000}"/>
    <cellStyle name="Normal 2 4 5 2 4 3" xfId="36048" xr:uid="{00000000-0005-0000-0000-000011710000}"/>
    <cellStyle name="Normal 2 4 5 2 5" xfId="20514" xr:uid="{00000000-0005-0000-0000-000012710000}"/>
    <cellStyle name="Normal 2 4 5 2 6" xfId="29391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0" xr:uid="{00000000-0005-0000-0000-000016710000}"/>
    <cellStyle name="Normal 2 4 5 3 2 3" xfId="30877" xr:uid="{00000000-0005-0000-0000-000017710000}"/>
    <cellStyle name="Normal 2 4 5 3 3" xfId="12945" xr:uid="{00000000-0005-0000-0000-000018710000}"/>
    <cellStyle name="Normal 2 4 5 3 3 2" xfId="24219" xr:uid="{00000000-0005-0000-0000-000019710000}"/>
    <cellStyle name="Normal 2 4 5 3 3 3" xfId="33096" xr:uid="{00000000-0005-0000-0000-00001A710000}"/>
    <cellStyle name="Normal 2 4 5 3 4" xfId="15395" xr:uid="{00000000-0005-0000-0000-00001B710000}"/>
    <cellStyle name="Normal 2 4 5 3 4 2" xfId="26438" xr:uid="{00000000-0005-0000-0000-00001C710000}"/>
    <cellStyle name="Normal 2 4 5 3 4 3" xfId="35315" xr:uid="{00000000-0005-0000-0000-00001D710000}"/>
    <cellStyle name="Normal 2 4 5 3 5" xfId="19781" xr:uid="{00000000-0005-0000-0000-00001E710000}"/>
    <cellStyle name="Normal 2 4 5 3 6" xfId="28658" xr:uid="{00000000-0005-0000-0000-00001F710000}"/>
    <cellStyle name="Normal 2 4 5 4" xfId="9902" xr:uid="{00000000-0005-0000-0000-000020710000}"/>
    <cellStyle name="Normal 2 4 5 4 2" xfId="21257" xr:uid="{00000000-0005-0000-0000-000021710000}"/>
    <cellStyle name="Normal 2 4 5 4 3" xfId="30134" xr:uid="{00000000-0005-0000-0000-000022710000}"/>
    <cellStyle name="Normal 2 4 5 5" xfId="12202" xr:uid="{00000000-0005-0000-0000-000023710000}"/>
    <cellStyle name="Normal 2 4 5 5 2" xfId="23476" xr:uid="{00000000-0005-0000-0000-000024710000}"/>
    <cellStyle name="Normal 2 4 5 5 3" xfId="32353" xr:uid="{00000000-0005-0000-0000-000025710000}"/>
    <cellStyle name="Normal 2 4 5 6" xfId="14571" xr:uid="{00000000-0005-0000-0000-000026710000}"/>
    <cellStyle name="Normal 2 4 5 6 2" xfId="25695" xr:uid="{00000000-0005-0000-0000-000027710000}"/>
    <cellStyle name="Normal 2 4 5 6 3" xfId="34572" xr:uid="{00000000-0005-0000-0000-000028710000}"/>
    <cellStyle name="Normal 2 4 5 7" xfId="19032" xr:uid="{00000000-0005-0000-0000-000029710000}"/>
    <cellStyle name="Normal 2 4 5 8" xfId="27913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4" xr:uid="{00000000-0005-0000-0000-00002E710000}"/>
    <cellStyle name="Normal 2 4 6 2 2 3" xfId="31611" xr:uid="{00000000-0005-0000-0000-00002F710000}"/>
    <cellStyle name="Normal 2 4 6 2 3" xfId="13679" xr:uid="{00000000-0005-0000-0000-000030710000}"/>
    <cellStyle name="Normal 2 4 6 2 3 2" xfId="24953" xr:uid="{00000000-0005-0000-0000-000031710000}"/>
    <cellStyle name="Normal 2 4 6 2 3 3" xfId="33830" xr:uid="{00000000-0005-0000-0000-000032710000}"/>
    <cellStyle name="Normal 2 4 6 2 4" xfId="16129" xr:uid="{00000000-0005-0000-0000-000033710000}"/>
    <cellStyle name="Normal 2 4 6 2 4 2" xfId="27172" xr:uid="{00000000-0005-0000-0000-000034710000}"/>
    <cellStyle name="Normal 2 4 6 2 4 3" xfId="36049" xr:uid="{00000000-0005-0000-0000-000035710000}"/>
    <cellStyle name="Normal 2 4 6 2 5" xfId="20515" xr:uid="{00000000-0005-0000-0000-000036710000}"/>
    <cellStyle name="Normal 2 4 6 2 6" xfId="29392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1" xr:uid="{00000000-0005-0000-0000-00003A710000}"/>
    <cellStyle name="Normal 2 4 6 3 2 3" xfId="30878" xr:uid="{00000000-0005-0000-0000-00003B710000}"/>
    <cellStyle name="Normal 2 4 6 3 3" xfId="12946" xr:uid="{00000000-0005-0000-0000-00003C710000}"/>
    <cellStyle name="Normal 2 4 6 3 3 2" xfId="24220" xr:uid="{00000000-0005-0000-0000-00003D710000}"/>
    <cellStyle name="Normal 2 4 6 3 3 3" xfId="33097" xr:uid="{00000000-0005-0000-0000-00003E710000}"/>
    <cellStyle name="Normal 2 4 6 3 4" xfId="15396" xr:uid="{00000000-0005-0000-0000-00003F710000}"/>
    <cellStyle name="Normal 2 4 6 3 4 2" xfId="26439" xr:uid="{00000000-0005-0000-0000-000040710000}"/>
    <cellStyle name="Normal 2 4 6 3 4 3" xfId="35316" xr:uid="{00000000-0005-0000-0000-000041710000}"/>
    <cellStyle name="Normal 2 4 6 3 5" xfId="19782" xr:uid="{00000000-0005-0000-0000-000042710000}"/>
    <cellStyle name="Normal 2 4 6 3 6" xfId="28659" xr:uid="{00000000-0005-0000-0000-000043710000}"/>
    <cellStyle name="Normal 2 4 6 4" xfId="9903" xr:uid="{00000000-0005-0000-0000-000044710000}"/>
    <cellStyle name="Normal 2 4 6 4 2" xfId="21258" xr:uid="{00000000-0005-0000-0000-000045710000}"/>
    <cellStyle name="Normal 2 4 6 4 3" xfId="30135" xr:uid="{00000000-0005-0000-0000-000046710000}"/>
    <cellStyle name="Normal 2 4 6 5" xfId="12203" xr:uid="{00000000-0005-0000-0000-000047710000}"/>
    <cellStyle name="Normal 2 4 6 5 2" xfId="23477" xr:uid="{00000000-0005-0000-0000-000048710000}"/>
    <cellStyle name="Normal 2 4 6 5 3" xfId="32354" xr:uid="{00000000-0005-0000-0000-000049710000}"/>
    <cellStyle name="Normal 2 4 6 6" xfId="14572" xr:uid="{00000000-0005-0000-0000-00004A710000}"/>
    <cellStyle name="Normal 2 4 6 6 2" xfId="25696" xr:uid="{00000000-0005-0000-0000-00004B710000}"/>
    <cellStyle name="Normal 2 4 6 6 3" xfId="34573" xr:uid="{00000000-0005-0000-0000-00004C710000}"/>
    <cellStyle name="Normal 2 4 6 7" xfId="19033" xr:uid="{00000000-0005-0000-0000-00004D710000}"/>
    <cellStyle name="Normal 2 4 6 8" xfId="27914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5" xr:uid="{00000000-0005-0000-0000-000052710000}"/>
    <cellStyle name="Normal 2 4 7 2 2 3" xfId="31612" xr:uid="{00000000-0005-0000-0000-000053710000}"/>
    <cellStyle name="Normal 2 4 7 2 3" xfId="13680" xr:uid="{00000000-0005-0000-0000-000054710000}"/>
    <cellStyle name="Normal 2 4 7 2 3 2" xfId="24954" xr:uid="{00000000-0005-0000-0000-000055710000}"/>
    <cellStyle name="Normal 2 4 7 2 3 3" xfId="33831" xr:uid="{00000000-0005-0000-0000-000056710000}"/>
    <cellStyle name="Normal 2 4 7 2 4" xfId="16130" xr:uid="{00000000-0005-0000-0000-000057710000}"/>
    <cellStyle name="Normal 2 4 7 2 4 2" xfId="27173" xr:uid="{00000000-0005-0000-0000-000058710000}"/>
    <cellStyle name="Normal 2 4 7 2 4 3" xfId="36050" xr:uid="{00000000-0005-0000-0000-000059710000}"/>
    <cellStyle name="Normal 2 4 7 2 5" xfId="20516" xr:uid="{00000000-0005-0000-0000-00005A710000}"/>
    <cellStyle name="Normal 2 4 7 2 6" xfId="29393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2" xr:uid="{00000000-0005-0000-0000-00005E710000}"/>
    <cellStyle name="Normal 2 4 7 3 2 3" xfId="30879" xr:uid="{00000000-0005-0000-0000-00005F710000}"/>
    <cellStyle name="Normal 2 4 7 3 3" xfId="12947" xr:uid="{00000000-0005-0000-0000-000060710000}"/>
    <cellStyle name="Normal 2 4 7 3 3 2" xfId="24221" xr:uid="{00000000-0005-0000-0000-000061710000}"/>
    <cellStyle name="Normal 2 4 7 3 3 3" xfId="33098" xr:uid="{00000000-0005-0000-0000-000062710000}"/>
    <cellStyle name="Normal 2 4 7 3 4" xfId="15397" xr:uid="{00000000-0005-0000-0000-000063710000}"/>
    <cellStyle name="Normal 2 4 7 3 4 2" xfId="26440" xr:uid="{00000000-0005-0000-0000-000064710000}"/>
    <cellStyle name="Normal 2 4 7 3 4 3" xfId="35317" xr:uid="{00000000-0005-0000-0000-000065710000}"/>
    <cellStyle name="Normal 2 4 7 3 5" xfId="19783" xr:uid="{00000000-0005-0000-0000-000066710000}"/>
    <cellStyle name="Normal 2 4 7 3 6" xfId="28660" xr:uid="{00000000-0005-0000-0000-000067710000}"/>
    <cellStyle name="Normal 2 4 7 4" xfId="9904" xr:uid="{00000000-0005-0000-0000-000068710000}"/>
    <cellStyle name="Normal 2 4 7 4 2" xfId="21259" xr:uid="{00000000-0005-0000-0000-000069710000}"/>
    <cellStyle name="Normal 2 4 7 4 3" xfId="30136" xr:uid="{00000000-0005-0000-0000-00006A710000}"/>
    <cellStyle name="Normal 2 4 7 5" xfId="12204" xr:uid="{00000000-0005-0000-0000-00006B710000}"/>
    <cellStyle name="Normal 2 4 7 5 2" xfId="23478" xr:uid="{00000000-0005-0000-0000-00006C710000}"/>
    <cellStyle name="Normal 2 4 7 5 3" xfId="32355" xr:uid="{00000000-0005-0000-0000-00006D710000}"/>
    <cellStyle name="Normal 2 4 7 6" xfId="14573" xr:uid="{00000000-0005-0000-0000-00006E710000}"/>
    <cellStyle name="Normal 2 4 7 6 2" xfId="25697" xr:uid="{00000000-0005-0000-0000-00006F710000}"/>
    <cellStyle name="Normal 2 4 7 6 3" xfId="34574" xr:uid="{00000000-0005-0000-0000-000070710000}"/>
    <cellStyle name="Normal 2 4 7 7" xfId="19034" xr:uid="{00000000-0005-0000-0000-000071710000}"/>
    <cellStyle name="Normal 2 4 7 8" xfId="27915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6" xr:uid="{00000000-0005-0000-0000-000076710000}"/>
    <cellStyle name="Normal 2 4 8 2 2 3" xfId="31613" xr:uid="{00000000-0005-0000-0000-000077710000}"/>
    <cellStyle name="Normal 2 4 8 2 3" xfId="13681" xr:uid="{00000000-0005-0000-0000-000078710000}"/>
    <cellStyle name="Normal 2 4 8 2 3 2" xfId="24955" xr:uid="{00000000-0005-0000-0000-000079710000}"/>
    <cellStyle name="Normal 2 4 8 2 3 3" xfId="33832" xr:uid="{00000000-0005-0000-0000-00007A710000}"/>
    <cellStyle name="Normal 2 4 8 2 4" xfId="16131" xr:uid="{00000000-0005-0000-0000-00007B710000}"/>
    <cellStyle name="Normal 2 4 8 2 4 2" xfId="27174" xr:uid="{00000000-0005-0000-0000-00007C710000}"/>
    <cellStyle name="Normal 2 4 8 2 4 3" xfId="36051" xr:uid="{00000000-0005-0000-0000-00007D710000}"/>
    <cellStyle name="Normal 2 4 8 2 5" xfId="20517" xr:uid="{00000000-0005-0000-0000-00007E710000}"/>
    <cellStyle name="Normal 2 4 8 2 6" xfId="29394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3" xr:uid="{00000000-0005-0000-0000-000082710000}"/>
    <cellStyle name="Normal 2 4 8 3 2 3" xfId="30880" xr:uid="{00000000-0005-0000-0000-000083710000}"/>
    <cellStyle name="Normal 2 4 8 3 3" xfId="12948" xr:uid="{00000000-0005-0000-0000-000084710000}"/>
    <cellStyle name="Normal 2 4 8 3 3 2" xfId="24222" xr:uid="{00000000-0005-0000-0000-000085710000}"/>
    <cellStyle name="Normal 2 4 8 3 3 3" xfId="33099" xr:uid="{00000000-0005-0000-0000-000086710000}"/>
    <cellStyle name="Normal 2 4 8 3 4" xfId="15398" xr:uid="{00000000-0005-0000-0000-000087710000}"/>
    <cellStyle name="Normal 2 4 8 3 4 2" xfId="26441" xr:uid="{00000000-0005-0000-0000-000088710000}"/>
    <cellStyle name="Normal 2 4 8 3 4 3" xfId="35318" xr:uid="{00000000-0005-0000-0000-000089710000}"/>
    <cellStyle name="Normal 2 4 8 3 5" xfId="19784" xr:uid="{00000000-0005-0000-0000-00008A710000}"/>
    <cellStyle name="Normal 2 4 8 3 6" xfId="28661" xr:uid="{00000000-0005-0000-0000-00008B710000}"/>
    <cellStyle name="Normal 2 4 8 4" xfId="9905" xr:uid="{00000000-0005-0000-0000-00008C710000}"/>
    <cellStyle name="Normal 2 4 8 4 2" xfId="21260" xr:uid="{00000000-0005-0000-0000-00008D710000}"/>
    <cellStyle name="Normal 2 4 8 4 3" xfId="30137" xr:uid="{00000000-0005-0000-0000-00008E710000}"/>
    <cellStyle name="Normal 2 4 8 5" xfId="12205" xr:uid="{00000000-0005-0000-0000-00008F710000}"/>
    <cellStyle name="Normal 2 4 8 5 2" xfId="23479" xr:uid="{00000000-0005-0000-0000-000090710000}"/>
    <cellStyle name="Normal 2 4 8 5 3" xfId="32356" xr:uid="{00000000-0005-0000-0000-000091710000}"/>
    <cellStyle name="Normal 2 4 8 6" xfId="14574" xr:uid="{00000000-0005-0000-0000-000092710000}"/>
    <cellStyle name="Normal 2 4 8 6 2" xfId="25698" xr:uid="{00000000-0005-0000-0000-000093710000}"/>
    <cellStyle name="Normal 2 4 8 6 3" xfId="34575" xr:uid="{00000000-0005-0000-0000-000094710000}"/>
    <cellStyle name="Normal 2 4 8 7" xfId="19035" xr:uid="{00000000-0005-0000-0000-000095710000}"/>
    <cellStyle name="Normal 2 4 8 8" xfId="27916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7" xr:uid="{00000000-0005-0000-0000-00009A710000}"/>
    <cellStyle name="Normal 2 4 9 2 2 3" xfId="31614" xr:uid="{00000000-0005-0000-0000-00009B710000}"/>
    <cellStyle name="Normal 2 4 9 2 3" xfId="13682" xr:uid="{00000000-0005-0000-0000-00009C710000}"/>
    <cellStyle name="Normal 2 4 9 2 3 2" xfId="24956" xr:uid="{00000000-0005-0000-0000-00009D710000}"/>
    <cellStyle name="Normal 2 4 9 2 3 3" xfId="33833" xr:uid="{00000000-0005-0000-0000-00009E710000}"/>
    <cellStyle name="Normal 2 4 9 2 4" xfId="16132" xr:uid="{00000000-0005-0000-0000-00009F710000}"/>
    <cellStyle name="Normal 2 4 9 2 4 2" xfId="27175" xr:uid="{00000000-0005-0000-0000-0000A0710000}"/>
    <cellStyle name="Normal 2 4 9 2 4 3" xfId="36052" xr:uid="{00000000-0005-0000-0000-0000A1710000}"/>
    <cellStyle name="Normal 2 4 9 2 5" xfId="20518" xr:uid="{00000000-0005-0000-0000-0000A2710000}"/>
    <cellStyle name="Normal 2 4 9 2 6" xfId="29395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4" xr:uid="{00000000-0005-0000-0000-0000A6710000}"/>
    <cellStyle name="Normal 2 4 9 3 2 3" xfId="30881" xr:uid="{00000000-0005-0000-0000-0000A7710000}"/>
    <cellStyle name="Normal 2 4 9 3 3" xfId="12949" xr:uid="{00000000-0005-0000-0000-0000A8710000}"/>
    <cellStyle name="Normal 2 4 9 3 3 2" xfId="24223" xr:uid="{00000000-0005-0000-0000-0000A9710000}"/>
    <cellStyle name="Normal 2 4 9 3 3 3" xfId="33100" xr:uid="{00000000-0005-0000-0000-0000AA710000}"/>
    <cellStyle name="Normal 2 4 9 3 4" xfId="15399" xr:uid="{00000000-0005-0000-0000-0000AB710000}"/>
    <cellStyle name="Normal 2 4 9 3 4 2" xfId="26442" xr:uid="{00000000-0005-0000-0000-0000AC710000}"/>
    <cellStyle name="Normal 2 4 9 3 4 3" xfId="35319" xr:uid="{00000000-0005-0000-0000-0000AD710000}"/>
    <cellStyle name="Normal 2 4 9 3 5" xfId="19785" xr:uid="{00000000-0005-0000-0000-0000AE710000}"/>
    <cellStyle name="Normal 2 4 9 3 6" xfId="28662" xr:uid="{00000000-0005-0000-0000-0000AF710000}"/>
    <cellStyle name="Normal 2 4 9 4" xfId="9906" xr:uid="{00000000-0005-0000-0000-0000B0710000}"/>
    <cellStyle name="Normal 2 4 9 4 2" xfId="21261" xr:uid="{00000000-0005-0000-0000-0000B1710000}"/>
    <cellStyle name="Normal 2 4 9 4 3" xfId="30138" xr:uid="{00000000-0005-0000-0000-0000B2710000}"/>
    <cellStyle name="Normal 2 4 9 5" xfId="12206" xr:uid="{00000000-0005-0000-0000-0000B3710000}"/>
    <cellStyle name="Normal 2 4 9 5 2" xfId="23480" xr:uid="{00000000-0005-0000-0000-0000B4710000}"/>
    <cellStyle name="Normal 2 4 9 5 3" xfId="32357" xr:uid="{00000000-0005-0000-0000-0000B5710000}"/>
    <cellStyle name="Normal 2 4 9 6" xfId="14575" xr:uid="{00000000-0005-0000-0000-0000B6710000}"/>
    <cellStyle name="Normal 2 4 9 6 2" xfId="25699" xr:uid="{00000000-0005-0000-0000-0000B7710000}"/>
    <cellStyle name="Normal 2 4 9 6 3" xfId="34576" xr:uid="{00000000-0005-0000-0000-0000B8710000}"/>
    <cellStyle name="Normal 2 4 9 7" xfId="19036" xr:uid="{00000000-0005-0000-0000-0000B9710000}"/>
    <cellStyle name="Normal 2 4 9 8" xfId="27917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8" xr:uid="{00000000-0005-0000-0000-0000BF710000}"/>
    <cellStyle name="Normal 2 5 2 2 2 3" xfId="31615" xr:uid="{00000000-0005-0000-0000-0000C0710000}"/>
    <cellStyle name="Normal 2 5 2 2 3" xfId="13683" xr:uid="{00000000-0005-0000-0000-0000C1710000}"/>
    <cellStyle name="Normal 2 5 2 2 3 2" xfId="24957" xr:uid="{00000000-0005-0000-0000-0000C2710000}"/>
    <cellStyle name="Normal 2 5 2 2 3 3" xfId="33834" xr:uid="{00000000-0005-0000-0000-0000C3710000}"/>
    <cellStyle name="Normal 2 5 2 2 4" xfId="16133" xr:uid="{00000000-0005-0000-0000-0000C4710000}"/>
    <cellStyle name="Normal 2 5 2 2 4 2" xfId="27176" xr:uid="{00000000-0005-0000-0000-0000C5710000}"/>
    <cellStyle name="Normal 2 5 2 2 4 3" xfId="36053" xr:uid="{00000000-0005-0000-0000-0000C6710000}"/>
    <cellStyle name="Normal 2 5 2 2 5" xfId="20519" xr:uid="{00000000-0005-0000-0000-0000C7710000}"/>
    <cellStyle name="Normal 2 5 2 2 6" xfId="29396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5" xr:uid="{00000000-0005-0000-0000-0000CB710000}"/>
    <cellStyle name="Normal 2 5 2 3 2 3" xfId="30882" xr:uid="{00000000-0005-0000-0000-0000CC710000}"/>
    <cellStyle name="Normal 2 5 2 3 3" xfId="12950" xr:uid="{00000000-0005-0000-0000-0000CD710000}"/>
    <cellStyle name="Normal 2 5 2 3 3 2" xfId="24224" xr:uid="{00000000-0005-0000-0000-0000CE710000}"/>
    <cellStyle name="Normal 2 5 2 3 3 3" xfId="33101" xr:uid="{00000000-0005-0000-0000-0000CF710000}"/>
    <cellStyle name="Normal 2 5 2 3 4" xfId="15400" xr:uid="{00000000-0005-0000-0000-0000D0710000}"/>
    <cellStyle name="Normal 2 5 2 3 4 2" xfId="26443" xr:uid="{00000000-0005-0000-0000-0000D1710000}"/>
    <cellStyle name="Normal 2 5 2 3 4 3" xfId="35320" xr:uid="{00000000-0005-0000-0000-0000D2710000}"/>
    <cellStyle name="Normal 2 5 2 3 5" xfId="19786" xr:uid="{00000000-0005-0000-0000-0000D3710000}"/>
    <cellStyle name="Normal 2 5 2 3 6" xfId="28663" xr:uid="{00000000-0005-0000-0000-0000D4710000}"/>
    <cellStyle name="Normal 2 5 2 4" xfId="9907" xr:uid="{00000000-0005-0000-0000-0000D5710000}"/>
    <cellStyle name="Normal 2 5 2 4 2" xfId="21262" xr:uid="{00000000-0005-0000-0000-0000D6710000}"/>
    <cellStyle name="Normal 2 5 2 4 3" xfId="30139" xr:uid="{00000000-0005-0000-0000-0000D7710000}"/>
    <cellStyle name="Normal 2 5 2 5" xfId="12207" xr:uid="{00000000-0005-0000-0000-0000D8710000}"/>
    <cellStyle name="Normal 2 5 2 5 2" xfId="23481" xr:uid="{00000000-0005-0000-0000-0000D9710000}"/>
    <cellStyle name="Normal 2 5 2 5 3" xfId="32358" xr:uid="{00000000-0005-0000-0000-0000DA710000}"/>
    <cellStyle name="Normal 2 5 2 6" xfId="14576" xr:uid="{00000000-0005-0000-0000-0000DB710000}"/>
    <cellStyle name="Normal 2 5 2 6 2" xfId="25700" xr:uid="{00000000-0005-0000-0000-0000DC710000}"/>
    <cellStyle name="Normal 2 5 2 6 3" xfId="34577" xr:uid="{00000000-0005-0000-0000-0000DD710000}"/>
    <cellStyle name="Normal 2 5 2 7" xfId="19037" xr:uid="{00000000-0005-0000-0000-0000DE710000}"/>
    <cellStyle name="Normal 2 5 2 8" xfId="27918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39" xr:uid="{00000000-0005-0000-0000-0000E3710000}"/>
    <cellStyle name="Normal 2 5 3 2 2 3" xfId="31616" xr:uid="{00000000-0005-0000-0000-0000E4710000}"/>
    <cellStyle name="Normal 2 5 3 2 3" xfId="13684" xr:uid="{00000000-0005-0000-0000-0000E5710000}"/>
    <cellStyle name="Normal 2 5 3 2 3 2" xfId="24958" xr:uid="{00000000-0005-0000-0000-0000E6710000}"/>
    <cellStyle name="Normal 2 5 3 2 3 3" xfId="33835" xr:uid="{00000000-0005-0000-0000-0000E7710000}"/>
    <cellStyle name="Normal 2 5 3 2 4" xfId="16134" xr:uid="{00000000-0005-0000-0000-0000E8710000}"/>
    <cellStyle name="Normal 2 5 3 2 4 2" xfId="27177" xr:uid="{00000000-0005-0000-0000-0000E9710000}"/>
    <cellStyle name="Normal 2 5 3 2 4 3" xfId="36054" xr:uid="{00000000-0005-0000-0000-0000EA710000}"/>
    <cellStyle name="Normal 2 5 3 2 5" xfId="20520" xr:uid="{00000000-0005-0000-0000-0000EB710000}"/>
    <cellStyle name="Normal 2 5 3 2 6" xfId="29397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6" xr:uid="{00000000-0005-0000-0000-0000EF710000}"/>
    <cellStyle name="Normal 2 5 3 3 2 3" xfId="30883" xr:uid="{00000000-0005-0000-0000-0000F0710000}"/>
    <cellStyle name="Normal 2 5 3 3 3" xfId="12951" xr:uid="{00000000-0005-0000-0000-0000F1710000}"/>
    <cellStyle name="Normal 2 5 3 3 3 2" xfId="24225" xr:uid="{00000000-0005-0000-0000-0000F2710000}"/>
    <cellStyle name="Normal 2 5 3 3 3 3" xfId="33102" xr:uid="{00000000-0005-0000-0000-0000F3710000}"/>
    <cellStyle name="Normal 2 5 3 3 4" xfId="15401" xr:uid="{00000000-0005-0000-0000-0000F4710000}"/>
    <cellStyle name="Normal 2 5 3 3 4 2" xfId="26444" xr:uid="{00000000-0005-0000-0000-0000F5710000}"/>
    <cellStyle name="Normal 2 5 3 3 4 3" xfId="35321" xr:uid="{00000000-0005-0000-0000-0000F6710000}"/>
    <cellStyle name="Normal 2 5 3 3 5" xfId="19787" xr:uid="{00000000-0005-0000-0000-0000F7710000}"/>
    <cellStyle name="Normal 2 5 3 3 6" xfId="28664" xr:uid="{00000000-0005-0000-0000-0000F8710000}"/>
    <cellStyle name="Normal 2 5 3 4" xfId="9908" xr:uid="{00000000-0005-0000-0000-0000F9710000}"/>
    <cellStyle name="Normal 2 5 3 4 2" xfId="21263" xr:uid="{00000000-0005-0000-0000-0000FA710000}"/>
    <cellStyle name="Normal 2 5 3 4 3" xfId="30140" xr:uid="{00000000-0005-0000-0000-0000FB710000}"/>
    <cellStyle name="Normal 2 5 3 5" xfId="12208" xr:uid="{00000000-0005-0000-0000-0000FC710000}"/>
    <cellStyle name="Normal 2 5 3 5 2" xfId="23482" xr:uid="{00000000-0005-0000-0000-0000FD710000}"/>
    <cellStyle name="Normal 2 5 3 5 3" xfId="32359" xr:uid="{00000000-0005-0000-0000-0000FE710000}"/>
    <cellStyle name="Normal 2 5 3 6" xfId="14577" xr:uid="{00000000-0005-0000-0000-0000FF710000}"/>
    <cellStyle name="Normal 2 5 3 6 2" xfId="25701" xr:uid="{00000000-0005-0000-0000-000000720000}"/>
    <cellStyle name="Normal 2 5 3 6 3" xfId="34578" xr:uid="{00000000-0005-0000-0000-000001720000}"/>
    <cellStyle name="Normal 2 5 3 7" xfId="19038" xr:uid="{00000000-0005-0000-0000-000002720000}"/>
    <cellStyle name="Normal 2 5 3 8" xfId="27919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0" xr:uid="{00000000-0005-0000-0000-000007720000}"/>
    <cellStyle name="Normal 2 5 4 2 2 3" xfId="31617" xr:uid="{00000000-0005-0000-0000-000008720000}"/>
    <cellStyle name="Normal 2 5 4 2 3" xfId="13685" xr:uid="{00000000-0005-0000-0000-000009720000}"/>
    <cellStyle name="Normal 2 5 4 2 3 2" xfId="24959" xr:uid="{00000000-0005-0000-0000-00000A720000}"/>
    <cellStyle name="Normal 2 5 4 2 3 3" xfId="33836" xr:uid="{00000000-0005-0000-0000-00000B720000}"/>
    <cellStyle name="Normal 2 5 4 2 4" xfId="16135" xr:uid="{00000000-0005-0000-0000-00000C720000}"/>
    <cellStyle name="Normal 2 5 4 2 4 2" xfId="27178" xr:uid="{00000000-0005-0000-0000-00000D720000}"/>
    <cellStyle name="Normal 2 5 4 2 4 3" xfId="36055" xr:uid="{00000000-0005-0000-0000-00000E720000}"/>
    <cellStyle name="Normal 2 5 4 2 5" xfId="20521" xr:uid="{00000000-0005-0000-0000-00000F720000}"/>
    <cellStyle name="Normal 2 5 4 2 6" xfId="29398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7" xr:uid="{00000000-0005-0000-0000-000013720000}"/>
    <cellStyle name="Normal 2 5 4 3 2 3" xfId="30884" xr:uid="{00000000-0005-0000-0000-000014720000}"/>
    <cellStyle name="Normal 2 5 4 3 3" xfId="12952" xr:uid="{00000000-0005-0000-0000-000015720000}"/>
    <cellStyle name="Normal 2 5 4 3 3 2" xfId="24226" xr:uid="{00000000-0005-0000-0000-000016720000}"/>
    <cellStyle name="Normal 2 5 4 3 3 3" xfId="33103" xr:uid="{00000000-0005-0000-0000-000017720000}"/>
    <cellStyle name="Normal 2 5 4 3 4" xfId="15402" xr:uid="{00000000-0005-0000-0000-000018720000}"/>
    <cellStyle name="Normal 2 5 4 3 4 2" xfId="26445" xr:uid="{00000000-0005-0000-0000-000019720000}"/>
    <cellStyle name="Normal 2 5 4 3 4 3" xfId="35322" xr:uid="{00000000-0005-0000-0000-00001A720000}"/>
    <cellStyle name="Normal 2 5 4 3 5" xfId="19788" xr:uid="{00000000-0005-0000-0000-00001B720000}"/>
    <cellStyle name="Normal 2 5 4 3 6" xfId="28665" xr:uid="{00000000-0005-0000-0000-00001C720000}"/>
    <cellStyle name="Normal 2 5 4 4" xfId="9909" xr:uid="{00000000-0005-0000-0000-00001D720000}"/>
    <cellStyle name="Normal 2 5 4 4 2" xfId="21264" xr:uid="{00000000-0005-0000-0000-00001E720000}"/>
    <cellStyle name="Normal 2 5 4 4 3" xfId="30141" xr:uid="{00000000-0005-0000-0000-00001F720000}"/>
    <cellStyle name="Normal 2 5 4 5" xfId="12209" xr:uid="{00000000-0005-0000-0000-000020720000}"/>
    <cellStyle name="Normal 2 5 4 5 2" xfId="23483" xr:uid="{00000000-0005-0000-0000-000021720000}"/>
    <cellStyle name="Normal 2 5 4 5 3" xfId="32360" xr:uid="{00000000-0005-0000-0000-000022720000}"/>
    <cellStyle name="Normal 2 5 4 6" xfId="14578" xr:uid="{00000000-0005-0000-0000-000023720000}"/>
    <cellStyle name="Normal 2 5 4 6 2" xfId="25702" xr:uid="{00000000-0005-0000-0000-000024720000}"/>
    <cellStyle name="Normal 2 5 4 6 3" xfId="34579" xr:uid="{00000000-0005-0000-0000-000025720000}"/>
    <cellStyle name="Normal 2 5 4 7" xfId="19039" xr:uid="{00000000-0005-0000-0000-000026720000}"/>
    <cellStyle name="Normal 2 5 4 8" xfId="27920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1" xr:uid="{00000000-0005-0000-0000-00002B720000}"/>
    <cellStyle name="Normal 2 5 5 2 2 3" xfId="31618" xr:uid="{00000000-0005-0000-0000-00002C720000}"/>
    <cellStyle name="Normal 2 5 5 2 3" xfId="13686" xr:uid="{00000000-0005-0000-0000-00002D720000}"/>
    <cellStyle name="Normal 2 5 5 2 3 2" xfId="24960" xr:uid="{00000000-0005-0000-0000-00002E720000}"/>
    <cellStyle name="Normal 2 5 5 2 3 3" xfId="33837" xr:uid="{00000000-0005-0000-0000-00002F720000}"/>
    <cellStyle name="Normal 2 5 5 2 4" xfId="16136" xr:uid="{00000000-0005-0000-0000-000030720000}"/>
    <cellStyle name="Normal 2 5 5 2 4 2" xfId="27179" xr:uid="{00000000-0005-0000-0000-000031720000}"/>
    <cellStyle name="Normal 2 5 5 2 4 3" xfId="36056" xr:uid="{00000000-0005-0000-0000-000032720000}"/>
    <cellStyle name="Normal 2 5 5 2 5" xfId="20522" xr:uid="{00000000-0005-0000-0000-000033720000}"/>
    <cellStyle name="Normal 2 5 5 2 6" xfId="29399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8" xr:uid="{00000000-0005-0000-0000-000037720000}"/>
    <cellStyle name="Normal 2 5 5 3 2 3" xfId="30885" xr:uid="{00000000-0005-0000-0000-000038720000}"/>
    <cellStyle name="Normal 2 5 5 3 3" xfId="12953" xr:uid="{00000000-0005-0000-0000-000039720000}"/>
    <cellStyle name="Normal 2 5 5 3 3 2" xfId="24227" xr:uid="{00000000-0005-0000-0000-00003A720000}"/>
    <cellStyle name="Normal 2 5 5 3 3 3" xfId="33104" xr:uid="{00000000-0005-0000-0000-00003B720000}"/>
    <cellStyle name="Normal 2 5 5 3 4" xfId="15403" xr:uid="{00000000-0005-0000-0000-00003C720000}"/>
    <cellStyle name="Normal 2 5 5 3 4 2" xfId="26446" xr:uid="{00000000-0005-0000-0000-00003D720000}"/>
    <cellStyle name="Normal 2 5 5 3 4 3" xfId="35323" xr:uid="{00000000-0005-0000-0000-00003E720000}"/>
    <cellStyle name="Normal 2 5 5 3 5" xfId="19789" xr:uid="{00000000-0005-0000-0000-00003F720000}"/>
    <cellStyle name="Normal 2 5 5 3 6" xfId="28666" xr:uid="{00000000-0005-0000-0000-000040720000}"/>
    <cellStyle name="Normal 2 5 5 4" xfId="9910" xr:uid="{00000000-0005-0000-0000-000041720000}"/>
    <cellStyle name="Normal 2 5 5 4 2" xfId="21265" xr:uid="{00000000-0005-0000-0000-000042720000}"/>
    <cellStyle name="Normal 2 5 5 4 3" xfId="30142" xr:uid="{00000000-0005-0000-0000-000043720000}"/>
    <cellStyle name="Normal 2 5 5 5" xfId="12210" xr:uid="{00000000-0005-0000-0000-000044720000}"/>
    <cellStyle name="Normal 2 5 5 5 2" xfId="23484" xr:uid="{00000000-0005-0000-0000-000045720000}"/>
    <cellStyle name="Normal 2 5 5 5 3" xfId="32361" xr:uid="{00000000-0005-0000-0000-000046720000}"/>
    <cellStyle name="Normal 2 5 5 6" xfId="14579" xr:uid="{00000000-0005-0000-0000-000047720000}"/>
    <cellStyle name="Normal 2 5 5 6 2" xfId="25703" xr:uid="{00000000-0005-0000-0000-000048720000}"/>
    <cellStyle name="Normal 2 5 5 6 3" xfId="34580" xr:uid="{00000000-0005-0000-0000-000049720000}"/>
    <cellStyle name="Normal 2 5 5 7" xfId="19040" xr:uid="{00000000-0005-0000-0000-00004A720000}"/>
    <cellStyle name="Normal 2 5 5 8" xfId="27921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2" xr:uid="{00000000-0005-0000-0000-000050720000}"/>
    <cellStyle name="Normal 2 6 2 2 2 3" xfId="31619" xr:uid="{00000000-0005-0000-0000-000051720000}"/>
    <cellStyle name="Normal 2 6 2 2 3" xfId="13687" xr:uid="{00000000-0005-0000-0000-000052720000}"/>
    <cellStyle name="Normal 2 6 2 2 3 2" xfId="24961" xr:uid="{00000000-0005-0000-0000-000053720000}"/>
    <cellStyle name="Normal 2 6 2 2 3 3" xfId="33838" xr:uid="{00000000-0005-0000-0000-000054720000}"/>
    <cellStyle name="Normal 2 6 2 2 4" xfId="16137" xr:uid="{00000000-0005-0000-0000-000055720000}"/>
    <cellStyle name="Normal 2 6 2 2 4 2" xfId="27180" xr:uid="{00000000-0005-0000-0000-000056720000}"/>
    <cellStyle name="Normal 2 6 2 2 4 3" xfId="36057" xr:uid="{00000000-0005-0000-0000-000057720000}"/>
    <cellStyle name="Normal 2 6 2 2 5" xfId="20523" xr:uid="{00000000-0005-0000-0000-000058720000}"/>
    <cellStyle name="Normal 2 6 2 2 6" xfId="29400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09" xr:uid="{00000000-0005-0000-0000-00005C720000}"/>
    <cellStyle name="Normal 2 6 2 3 2 3" xfId="30886" xr:uid="{00000000-0005-0000-0000-00005D720000}"/>
    <cellStyle name="Normal 2 6 2 3 3" xfId="12954" xr:uid="{00000000-0005-0000-0000-00005E720000}"/>
    <cellStyle name="Normal 2 6 2 3 3 2" xfId="24228" xr:uid="{00000000-0005-0000-0000-00005F720000}"/>
    <cellStyle name="Normal 2 6 2 3 3 3" xfId="33105" xr:uid="{00000000-0005-0000-0000-000060720000}"/>
    <cellStyle name="Normal 2 6 2 3 4" xfId="15404" xr:uid="{00000000-0005-0000-0000-000061720000}"/>
    <cellStyle name="Normal 2 6 2 3 4 2" xfId="26447" xr:uid="{00000000-0005-0000-0000-000062720000}"/>
    <cellStyle name="Normal 2 6 2 3 4 3" xfId="35324" xr:uid="{00000000-0005-0000-0000-000063720000}"/>
    <cellStyle name="Normal 2 6 2 3 5" xfId="19790" xr:uid="{00000000-0005-0000-0000-000064720000}"/>
    <cellStyle name="Normal 2 6 2 3 6" xfId="28667" xr:uid="{00000000-0005-0000-0000-000065720000}"/>
    <cellStyle name="Normal 2 6 2 4" xfId="9911" xr:uid="{00000000-0005-0000-0000-000066720000}"/>
    <cellStyle name="Normal 2 6 2 4 2" xfId="21266" xr:uid="{00000000-0005-0000-0000-000067720000}"/>
    <cellStyle name="Normal 2 6 2 4 3" xfId="30143" xr:uid="{00000000-0005-0000-0000-000068720000}"/>
    <cellStyle name="Normal 2 6 2 5" xfId="12211" xr:uid="{00000000-0005-0000-0000-000069720000}"/>
    <cellStyle name="Normal 2 6 2 5 2" xfId="23485" xr:uid="{00000000-0005-0000-0000-00006A720000}"/>
    <cellStyle name="Normal 2 6 2 5 3" xfId="32362" xr:uid="{00000000-0005-0000-0000-00006B720000}"/>
    <cellStyle name="Normal 2 6 2 6" xfId="14580" xr:uid="{00000000-0005-0000-0000-00006C720000}"/>
    <cellStyle name="Normal 2 6 2 6 2" xfId="25704" xr:uid="{00000000-0005-0000-0000-00006D720000}"/>
    <cellStyle name="Normal 2 6 2 6 3" xfId="34581" xr:uid="{00000000-0005-0000-0000-00006E720000}"/>
    <cellStyle name="Normal 2 6 2 7" xfId="19041" xr:uid="{00000000-0005-0000-0000-00006F720000}"/>
    <cellStyle name="Normal 2 6 2 8" xfId="27922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3" xr:uid="{00000000-0005-0000-0000-000074720000}"/>
    <cellStyle name="Normal 2 6 3 2 2 3" xfId="31620" xr:uid="{00000000-0005-0000-0000-000075720000}"/>
    <cellStyle name="Normal 2 6 3 2 3" xfId="13688" xr:uid="{00000000-0005-0000-0000-000076720000}"/>
    <cellStyle name="Normal 2 6 3 2 3 2" xfId="24962" xr:uid="{00000000-0005-0000-0000-000077720000}"/>
    <cellStyle name="Normal 2 6 3 2 3 3" xfId="33839" xr:uid="{00000000-0005-0000-0000-000078720000}"/>
    <cellStyle name="Normal 2 6 3 2 4" xfId="16138" xr:uid="{00000000-0005-0000-0000-000079720000}"/>
    <cellStyle name="Normal 2 6 3 2 4 2" xfId="27181" xr:uid="{00000000-0005-0000-0000-00007A720000}"/>
    <cellStyle name="Normal 2 6 3 2 4 3" xfId="36058" xr:uid="{00000000-0005-0000-0000-00007B720000}"/>
    <cellStyle name="Normal 2 6 3 2 5" xfId="20524" xr:uid="{00000000-0005-0000-0000-00007C720000}"/>
    <cellStyle name="Normal 2 6 3 2 6" xfId="29401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0" xr:uid="{00000000-0005-0000-0000-000080720000}"/>
    <cellStyle name="Normal 2 6 3 3 2 3" xfId="30887" xr:uid="{00000000-0005-0000-0000-000081720000}"/>
    <cellStyle name="Normal 2 6 3 3 3" xfId="12955" xr:uid="{00000000-0005-0000-0000-000082720000}"/>
    <cellStyle name="Normal 2 6 3 3 3 2" xfId="24229" xr:uid="{00000000-0005-0000-0000-000083720000}"/>
    <cellStyle name="Normal 2 6 3 3 3 3" xfId="33106" xr:uid="{00000000-0005-0000-0000-000084720000}"/>
    <cellStyle name="Normal 2 6 3 3 4" xfId="15405" xr:uid="{00000000-0005-0000-0000-000085720000}"/>
    <cellStyle name="Normal 2 6 3 3 4 2" xfId="26448" xr:uid="{00000000-0005-0000-0000-000086720000}"/>
    <cellStyle name="Normal 2 6 3 3 4 3" xfId="35325" xr:uid="{00000000-0005-0000-0000-000087720000}"/>
    <cellStyle name="Normal 2 6 3 3 5" xfId="19791" xr:uid="{00000000-0005-0000-0000-000088720000}"/>
    <cellStyle name="Normal 2 6 3 3 6" xfId="28668" xr:uid="{00000000-0005-0000-0000-000089720000}"/>
    <cellStyle name="Normal 2 6 3 4" xfId="9912" xr:uid="{00000000-0005-0000-0000-00008A720000}"/>
    <cellStyle name="Normal 2 6 3 4 2" xfId="21267" xr:uid="{00000000-0005-0000-0000-00008B720000}"/>
    <cellStyle name="Normal 2 6 3 4 3" xfId="30144" xr:uid="{00000000-0005-0000-0000-00008C720000}"/>
    <cellStyle name="Normal 2 6 3 5" xfId="12212" xr:uid="{00000000-0005-0000-0000-00008D720000}"/>
    <cellStyle name="Normal 2 6 3 5 2" xfId="23486" xr:uid="{00000000-0005-0000-0000-00008E720000}"/>
    <cellStyle name="Normal 2 6 3 5 3" xfId="32363" xr:uid="{00000000-0005-0000-0000-00008F720000}"/>
    <cellStyle name="Normal 2 6 3 6" xfId="14581" xr:uid="{00000000-0005-0000-0000-000090720000}"/>
    <cellStyle name="Normal 2 6 3 6 2" xfId="25705" xr:uid="{00000000-0005-0000-0000-000091720000}"/>
    <cellStyle name="Normal 2 6 3 6 3" xfId="34582" xr:uid="{00000000-0005-0000-0000-000092720000}"/>
    <cellStyle name="Normal 2 6 3 7" xfId="19042" xr:uid="{00000000-0005-0000-0000-000093720000}"/>
    <cellStyle name="Normal 2 6 3 8" xfId="27923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4" xr:uid="{00000000-0005-0000-0000-000098720000}"/>
    <cellStyle name="Normal 2 6 4 2 2 3" xfId="31621" xr:uid="{00000000-0005-0000-0000-000099720000}"/>
    <cellStyle name="Normal 2 6 4 2 3" xfId="13689" xr:uid="{00000000-0005-0000-0000-00009A720000}"/>
    <cellStyle name="Normal 2 6 4 2 3 2" xfId="24963" xr:uid="{00000000-0005-0000-0000-00009B720000}"/>
    <cellStyle name="Normal 2 6 4 2 3 3" xfId="33840" xr:uid="{00000000-0005-0000-0000-00009C720000}"/>
    <cellStyle name="Normal 2 6 4 2 4" xfId="16139" xr:uid="{00000000-0005-0000-0000-00009D720000}"/>
    <cellStyle name="Normal 2 6 4 2 4 2" xfId="27182" xr:uid="{00000000-0005-0000-0000-00009E720000}"/>
    <cellStyle name="Normal 2 6 4 2 4 3" xfId="36059" xr:uid="{00000000-0005-0000-0000-00009F720000}"/>
    <cellStyle name="Normal 2 6 4 2 5" xfId="20525" xr:uid="{00000000-0005-0000-0000-0000A0720000}"/>
    <cellStyle name="Normal 2 6 4 2 6" xfId="29402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1" xr:uid="{00000000-0005-0000-0000-0000A4720000}"/>
    <cellStyle name="Normal 2 6 4 3 2 3" xfId="30888" xr:uid="{00000000-0005-0000-0000-0000A5720000}"/>
    <cellStyle name="Normal 2 6 4 3 3" xfId="12956" xr:uid="{00000000-0005-0000-0000-0000A6720000}"/>
    <cellStyle name="Normal 2 6 4 3 3 2" xfId="24230" xr:uid="{00000000-0005-0000-0000-0000A7720000}"/>
    <cellStyle name="Normal 2 6 4 3 3 3" xfId="33107" xr:uid="{00000000-0005-0000-0000-0000A8720000}"/>
    <cellStyle name="Normal 2 6 4 3 4" xfId="15406" xr:uid="{00000000-0005-0000-0000-0000A9720000}"/>
    <cellStyle name="Normal 2 6 4 3 4 2" xfId="26449" xr:uid="{00000000-0005-0000-0000-0000AA720000}"/>
    <cellStyle name="Normal 2 6 4 3 4 3" xfId="35326" xr:uid="{00000000-0005-0000-0000-0000AB720000}"/>
    <cellStyle name="Normal 2 6 4 3 5" xfId="19792" xr:uid="{00000000-0005-0000-0000-0000AC720000}"/>
    <cellStyle name="Normal 2 6 4 3 6" xfId="28669" xr:uid="{00000000-0005-0000-0000-0000AD720000}"/>
    <cellStyle name="Normal 2 6 4 4" xfId="9913" xr:uid="{00000000-0005-0000-0000-0000AE720000}"/>
    <cellStyle name="Normal 2 6 4 4 2" xfId="21268" xr:uid="{00000000-0005-0000-0000-0000AF720000}"/>
    <cellStyle name="Normal 2 6 4 4 3" xfId="30145" xr:uid="{00000000-0005-0000-0000-0000B0720000}"/>
    <cellStyle name="Normal 2 6 4 5" xfId="12213" xr:uid="{00000000-0005-0000-0000-0000B1720000}"/>
    <cellStyle name="Normal 2 6 4 5 2" xfId="23487" xr:uid="{00000000-0005-0000-0000-0000B2720000}"/>
    <cellStyle name="Normal 2 6 4 5 3" xfId="32364" xr:uid="{00000000-0005-0000-0000-0000B3720000}"/>
    <cellStyle name="Normal 2 6 4 6" xfId="14582" xr:uid="{00000000-0005-0000-0000-0000B4720000}"/>
    <cellStyle name="Normal 2 6 4 6 2" xfId="25706" xr:uid="{00000000-0005-0000-0000-0000B5720000}"/>
    <cellStyle name="Normal 2 6 4 6 3" xfId="34583" xr:uid="{00000000-0005-0000-0000-0000B6720000}"/>
    <cellStyle name="Normal 2 6 4 7" xfId="19043" xr:uid="{00000000-0005-0000-0000-0000B7720000}"/>
    <cellStyle name="Normal 2 6 4 8" xfId="27924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5" xr:uid="{00000000-0005-0000-0000-0000BC720000}"/>
    <cellStyle name="Normal 2 6 5 2 2 3" xfId="31622" xr:uid="{00000000-0005-0000-0000-0000BD720000}"/>
    <cellStyle name="Normal 2 6 5 2 3" xfId="13690" xr:uid="{00000000-0005-0000-0000-0000BE720000}"/>
    <cellStyle name="Normal 2 6 5 2 3 2" xfId="24964" xr:uid="{00000000-0005-0000-0000-0000BF720000}"/>
    <cellStyle name="Normal 2 6 5 2 3 3" xfId="33841" xr:uid="{00000000-0005-0000-0000-0000C0720000}"/>
    <cellStyle name="Normal 2 6 5 2 4" xfId="16140" xr:uid="{00000000-0005-0000-0000-0000C1720000}"/>
    <cellStyle name="Normal 2 6 5 2 4 2" xfId="27183" xr:uid="{00000000-0005-0000-0000-0000C2720000}"/>
    <cellStyle name="Normal 2 6 5 2 4 3" xfId="36060" xr:uid="{00000000-0005-0000-0000-0000C3720000}"/>
    <cellStyle name="Normal 2 6 5 2 5" xfId="20526" xr:uid="{00000000-0005-0000-0000-0000C4720000}"/>
    <cellStyle name="Normal 2 6 5 2 6" xfId="29403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2" xr:uid="{00000000-0005-0000-0000-0000C8720000}"/>
    <cellStyle name="Normal 2 6 5 3 2 3" xfId="30889" xr:uid="{00000000-0005-0000-0000-0000C9720000}"/>
    <cellStyle name="Normal 2 6 5 3 3" xfId="12957" xr:uid="{00000000-0005-0000-0000-0000CA720000}"/>
    <cellStyle name="Normal 2 6 5 3 3 2" xfId="24231" xr:uid="{00000000-0005-0000-0000-0000CB720000}"/>
    <cellStyle name="Normal 2 6 5 3 3 3" xfId="33108" xr:uid="{00000000-0005-0000-0000-0000CC720000}"/>
    <cellStyle name="Normal 2 6 5 3 4" xfId="15407" xr:uid="{00000000-0005-0000-0000-0000CD720000}"/>
    <cellStyle name="Normal 2 6 5 3 4 2" xfId="26450" xr:uid="{00000000-0005-0000-0000-0000CE720000}"/>
    <cellStyle name="Normal 2 6 5 3 4 3" xfId="35327" xr:uid="{00000000-0005-0000-0000-0000CF720000}"/>
    <cellStyle name="Normal 2 6 5 3 5" xfId="19793" xr:uid="{00000000-0005-0000-0000-0000D0720000}"/>
    <cellStyle name="Normal 2 6 5 3 6" xfId="28670" xr:uid="{00000000-0005-0000-0000-0000D1720000}"/>
    <cellStyle name="Normal 2 6 5 4" xfId="9914" xr:uid="{00000000-0005-0000-0000-0000D2720000}"/>
    <cellStyle name="Normal 2 6 5 4 2" xfId="21269" xr:uid="{00000000-0005-0000-0000-0000D3720000}"/>
    <cellStyle name="Normal 2 6 5 4 3" xfId="30146" xr:uid="{00000000-0005-0000-0000-0000D4720000}"/>
    <cellStyle name="Normal 2 6 5 5" xfId="12214" xr:uid="{00000000-0005-0000-0000-0000D5720000}"/>
    <cellStyle name="Normal 2 6 5 5 2" xfId="23488" xr:uid="{00000000-0005-0000-0000-0000D6720000}"/>
    <cellStyle name="Normal 2 6 5 5 3" xfId="32365" xr:uid="{00000000-0005-0000-0000-0000D7720000}"/>
    <cellStyle name="Normal 2 6 5 6" xfId="14583" xr:uid="{00000000-0005-0000-0000-0000D8720000}"/>
    <cellStyle name="Normal 2 6 5 6 2" xfId="25707" xr:uid="{00000000-0005-0000-0000-0000D9720000}"/>
    <cellStyle name="Normal 2 6 5 6 3" xfId="34584" xr:uid="{00000000-0005-0000-0000-0000DA720000}"/>
    <cellStyle name="Normal 2 6 5 7" xfId="19044" xr:uid="{00000000-0005-0000-0000-0000DB720000}"/>
    <cellStyle name="Normal 2 6 5 8" xfId="27925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6" xr:uid="{00000000-0005-0000-0000-0000E0720000}"/>
    <cellStyle name="Normal 2 7 2 2 3" xfId="31623" xr:uid="{00000000-0005-0000-0000-0000E1720000}"/>
    <cellStyle name="Normal 2 7 2 3" xfId="13691" xr:uid="{00000000-0005-0000-0000-0000E2720000}"/>
    <cellStyle name="Normal 2 7 2 3 2" xfId="24965" xr:uid="{00000000-0005-0000-0000-0000E3720000}"/>
    <cellStyle name="Normal 2 7 2 3 3" xfId="33842" xr:uid="{00000000-0005-0000-0000-0000E4720000}"/>
    <cellStyle name="Normal 2 7 2 4" xfId="16141" xr:uid="{00000000-0005-0000-0000-0000E5720000}"/>
    <cellStyle name="Normal 2 7 2 4 2" xfId="27184" xr:uid="{00000000-0005-0000-0000-0000E6720000}"/>
    <cellStyle name="Normal 2 7 2 4 3" xfId="36061" xr:uid="{00000000-0005-0000-0000-0000E7720000}"/>
    <cellStyle name="Normal 2 7 2 5" xfId="20527" xr:uid="{00000000-0005-0000-0000-0000E8720000}"/>
    <cellStyle name="Normal 2 7 2 6" xfId="29404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3" xr:uid="{00000000-0005-0000-0000-0000EC720000}"/>
    <cellStyle name="Normal 2 7 3 2 3" xfId="30890" xr:uid="{00000000-0005-0000-0000-0000ED720000}"/>
    <cellStyle name="Normal 2 7 3 3" xfId="12958" xr:uid="{00000000-0005-0000-0000-0000EE720000}"/>
    <cellStyle name="Normal 2 7 3 3 2" xfId="24232" xr:uid="{00000000-0005-0000-0000-0000EF720000}"/>
    <cellStyle name="Normal 2 7 3 3 3" xfId="33109" xr:uid="{00000000-0005-0000-0000-0000F0720000}"/>
    <cellStyle name="Normal 2 7 3 4" xfId="15408" xr:uid="{00000000-0005-0000-0000-0000F1720000}"/>
    <cellStyle name="Normal 2 7 3 4 2" xfId="26451" xr:uid="{00000000-0005-0000-0000-0000F2720000}"/>
    <cellStyle name="Normal 2 7 3 4 3" xfId="35328" xr:uid="{00000000-0005-0000-0000-0000F3720000}"/>
    <cellStyle name="Normal 2 7 3 5" xfId="19794" xr:uid="{00000000-0005-0000-0000-0000F4720000}"/>
    <cellStyle name="Normal 2 7 3 6" xfId="28671" xr:uid="{00000000-0005-0000-0000-0000F5720000}"/>
    <cellStyle name="Normal 2 7 4" xfId="9915" xr:uid="{00000000-0005-0000-0000-0000F6720000}"/>
    <cellStyle name="Normal 2 7 4 2" xfId="21270" xr:uid="{00000000-0005-0000-0000-0000F7720000}"/>
    <cellStyle name="Normal 2 7 4 3" xfId="30147" xr:uid="{00000000-0005-0000-0000-0000F8720000}"/>
    <cellStyle name="Normal 2 7 5" xfId="12215" xr:uid="{00000000-0005-0000-0000-0000F9720000}"/>
    <cellStyle name="Normal 2 7 5 2" xfId="23489" xr:uid="{00000000-0005-0000-0000-0000FA720000}"/>
    <cellStyle name="Normal 2 7 5 3" xfId="32366" xr:uid="{00000000-0005-0000-0000-0000FB720000}"/>
    <cellStyle name="Normal 2 7 6" xfId="14584" xr:uid="{00000000-0005-0000-0000-0000FC720000}"/>
    <cellStyle name="Normal 2 7 6 2" xfId="25708" xr:uid="{00000000-0005-0000-0000-0000FD720000}"/>
    <cellStyle name="Normal 2 7 6 3" xfId="34585" xr:uid="{00000000-0005-0000-0000-0000FE720000}"/>
    <cellStyle name="Normal 2 7 7" xfId="19045" xr:uid="{00000000-0005-0000-0000-0000FF720000}"/>
    <cellStyle name="Normal 2 7 8" xfId="27926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7" xr:uid="{00000000-0005-0000-0000-000004730000}"/>
    <cellStyle name="Normal 2 8 2 2 3" xfId="31624" xr:uid="{00000000-0005-0000-0000-000005730000}"/>
    <cellStyle name="Normal 2 8 2 3" xfId="13692" xr:uid="{00000000-0005-0000-0000-000006730000}"/>
    <cellStyle name="Normal 2 8 2 3 2" xfId="24966" xr:uid="{00000000-0005-0000-0000-000007730000}"/>
    <cellStyle name="Normal 2 8 2 3 3" xfId="33843" xr:uid="{00000000-0005-0000-0000-000008730000}"/>
    <cellStyle name="Normal 2 8 2 4" xfId="16142" xr:uid="{00000000-0005-0000-0000-000009730000}"/>
    <cellStyle name="Normal 2 8 2 4 2" xfId="27185" xr:uid="{00000000-0005-0000-0000-00000A730000}"/>
    <cellStyle name="Normal 2 8 2 4 3" xfId="36062" xr:uid="{00000000-0005-0000-0000-00000B730000}"/>
    <cellStyle name="Normal 2 8 2 5" xfId="20528" xr:uid="{00000000-0005-0000-0000-00000C730000}"/>
    <cellStyle name="Normal 2 8 2 6" xfId="29405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4" xr:uid="{00000000-0005-0000-0000-000010730000}"/>
    <cellStyle name="Normal 2 8 3 2 3" xfId="30891" xr:uid="{00000000-0005-0000-0000-000011730000}"/>
    <cellStyle name="Normal 2 8 3 3" xfId="12959" xr:uid="{00000000-0005-0000-0000-000012730000}"/>
    <cellStyle name="Normal 2 8 3 3 2" xfId="24233" xr:uid="{00000000-0005-0000-0000-000013730000}"/>
    <cellStyle name="Normal 2 8 3 3 3" xfId="33110" xr:uid="{00000000-0005-0000-0000-000014730000}"/>
    <cellStyle name="Normal 2 8 3 4" xfId="15409" xr:uid="{00000000-0005-0000-0000-000015730000}"/>
    <cellStyle name="Normal 2 8 3 4 2" xfId="26452" xr:uid="{00000000-0005-0000-0000-000016730000}"/>
    <cellStyle name="Normal 2 8 3 4 3" xfId="35329" xr:uid="{00000000-0005-0000-0000-000017730000}"/>
    <cellStyle name="Normal 2 8 3 5" xfId="19795" xr:uid="{00000000-0005-0000-0000-000018730000}"/>
    <cellStyle name="Normal 2 8 3 6" xfId="28672" xr:uid="{00000000-0005-0000-0000-000019730000}"/>
    <cellStyle name="Normal 2 8 4" xfId="9916" xr:uid="{00000000-0005-0000-0000-00001A730000}"/>
    <cellStyle name="Normal 2 8 4 2" xfId="21271" xr:uid="{00000000-0005-0000-0000-00001B730000}"/>
    <cellStyle name="Normal 2 8 4 3" xfId="30148" xr:uid="{00000000-0005-0000-0000-00001C730000}"/>
    <cellStyle name="Normal 2 8 5" xfId="12216" xr:uid="{00000000-0005-0000-0000-00001D730000}"/>
    <cellStyle name="Normal 2 8 5 2" xfId="23490" xr:uid="{00000000-0005-0000-0000-00001E730000}"/>
    <cellStyle name="Normal 2 8 5 3" xfId="32367" xr:uid="{00000000-0005-0000-0000-00001F730000}"/>
    <cellStyle name="Normal 2 8 6" xfId="14585" xr:uid="{00000000-0005-0000-0000-000020730000}"/>
    <cellStyle name="Normal 2 8 6 2" xfId="25709" xr:uid="{00000000-0005-0000-0000-000021730000}"/>
    <cellStyle name="Normal 2 8 6 3" xfId="34586" xr:uid="{00000000-0005-0000-0000-000022730000}"/>
    <cellStyle name="Normal 2 8 7" xfId="19046" xr:uid="{00000000-0005-0000-0000-000023730000}"/>
    <cellStyle name="Normal 2 8 8" xfId="27927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8" xr:uid="{00000000-0005-0000-0000-000028730000}"/>
    <cellStyle name="Normal 2 9 2 2 3" xfId="31625" xr:uid="{00000000-0005-0000-0000-000029730000}"/>
    <cellStyle name="Normal 2 9 2 3" xfId="13693" xr:uid="{00000000-0005-0000-0000-00002A730000}"/>
    <cellStyle name="Normal 2 9 2 3 2" xfId="24967" xr:uid="{00000000-0005-0000-0000-00002B730000}"/>
    <cellStyle name="Normal 2 9 2 3 3" xfId="33844" xr:uid="{00000000-0005-0000-0000-00002C730000}"/>
    <cellStyle name="Normal 2 9 2 4" xfId="16143" xr:uid="{00000000-0005-0000-0000-00002D730000}"/>
    <cellStyle name="Normal 2 9 2 4 2" xfId="27186" xr:uid="{00000000-0005-0000-0000-00002E730000}"/>
    <cellStyle name="Normal 2 9 2 4 3" xfId="36063" xr:uid="{00000000-0005-0000-0000-00002F730000}"/>
    <cellStyle name="Normal 2 9 2 5" xfId="20529" xr:uid="{00000000-0005-0000-0000-000030730000}"/>
    <cellStyle name="Normal 2 9 2 6" xfId="29406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5" xr:uid="{00000000-0005-0000-0000-000034730000}"/>
    <cellStyle name="Normal 2 9 3 2 3" xfId="30892" xr:uid="{00000000-0005-0000-0000-000035730000}"/>
    <cellStyle name="Normal 2 9 3 3" xfId="12960" xr:uid="{00000000-0005-0000-0000-000036730000}"/>
    <cellStyle name="Normal 2 9 3 3 2" xfId="24234" xr:uid="{00000000-0005-0000-0000-000037730000}"/>
    <cellStyle name="Normal 2 9 3 3 3" xfId="33111" xr:uid="{00000000-0005-0000-0000-000038730000}"/>
    <cellStyle name="Normal 2 9 3 4" xfId="15410" xr:uid="{00000000-0005-0000-0000-000039730000}"/>
    <cellStyle name="Normal 2 9 3 4 2" xfId="26453" xr:uid="{00000000-0005-0000-0000-00003A730000}"/>
    <cellStyle name="Normal 2 9 3 4 3" xfId="35330" xr:uid="{00000000-0005-0000-0000-00003B730000}"/>
    <cellStyle name="Normal 2 9 3 5" xfId="19796" xr:uid="{00000000-0005-0000-0000-00003C730000}"/>
    <cellStyle name="Normal 2 9 3 6" xfId="28673" xr:uid="{00000000-0005-0000-0000-00003D730000}"/>
    <cellStyle name="Normal 2 9 4" xfId="9917" xr:uid="{00000000-0005-0000-0000-00003E730000}"/>
    <cellStyle name="Normal 2 9 4 2" xfId="21272" xr:uid="{00000000-0005-0000-0000-00003F730000}"/>
    <cellStyle name="Normal 2 9 4 3" xfId="30149" xr:uid="{00000000-0005-0000-0000-000040730000}"/>
    <cellStyle name="Normal 2 9 5" xfId="12217" xr:uid="{00000000-0005-0000-0000-000041730000}"/>
    <cellStyle name="Normal 2 9 5 2" xfId="23491" xr:uid="{00000000-0005-0000-0000-000042730000}"/>
    <cellStyle name="Normal 2 9 5 3" xfId="32368" xr:uid="{00000000-0005-0000-0000-000043730000}"/>
    <cellStyle name="Normal 2 9 6" xfId="14586" xr:uid="{00000000-0005-0000-0000-000044730000}"/>
    <cellStyle name="Normal 2 9 6 2" xfId="25710" xr:uid="{00000000-0005-0000-0000-000045730000}"/>
    <cellStyle name="Normal 2 9 6 3" xfId="34587" xr:uid="{00000000-0005-0000-0000-000046730000}"/>
    <cellStyle name="Normal 2 9 7" xfId="19047" xr:uid="{00000000-0005-0000-0000-000047730000}"/>
    <cellStyle name="Normal 2 9 8" xfId="27928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49" xr:uid="{00000000-0005-0000-0000-00004D730000}"/>
    <cellStyle name="Normal 20 2 2 3" xfId="31626" xr:uid="{00000000-0005-0000-0000-00004E730000}"/>
    <cellStyle name="Normal 20 2 3" xfId="13694" xr:uid="{00000000-0005-0000-0000-00004F730000}"/>
    <cellStyle name="Normal 20 2 3 2" xfId="24968" xr:uid="{00000000-0005-0000-0000-000050730000}"/>
    <cellStyle name="Normal 20 2 3 3" xfId="33845" xr:uid="{00000000-0005-0000-0000-000051730000}"/>
    <cellStyle name="Normal 20 2 4" xfId="16144" xr:uid="{00000000-0005-0000-0000-000052730000}"/>
    <cellStyle name="Normal 20 2 4 2" xfId="27187" xr:uid="{00000000-0005-0000-0000-000053730000}"/>
    <cellStyle name="Normal 20 2 4 3" xfId="36064" xr:uid="{00000000-0005-0000-0000-000054730000}"/>
    <cellStyle name="Normal 20 2 5" xfId="20530" xr:uid="{00000000-0005-0000-0000-000055730000}"/>
    <cellStyle name="Normal 20 2 6" xfId="29407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6" xr:uid="{00000000-0005-0000-0000-000059730000}"/>
    <cellStyle name="Normal 20 3 2 3" xfId="30893" xr:uid="{00000000-0005-0000-0000-00005A730000}"/>
    <cellStyle name="Normal 20 3 3" xfId="12961" xr:uid="{00000000-0005-0000-0000-00005B730000}"/>
    <cellStyle name="Normal 20 3 3 2" xfId="24235" xr:uid="{00000000-0005-0000-0000-00005C730000}"/>
    <cellStyle name="Normal 20 3 3 3" xfId="33112" xr:uid="{00000000-0005-0000-0000-00005D730000}"/>
    <cellStyle name="Normal 20 3 4" xfId="15411" xr:uid="{00000000-0005-0000-0000-00005E730000}"/>
    <cellStyle name="Normal 20 3 4 2" xfId="26454" xr:uid="{00000000-0005-0000-0000-00005F730000}"/>
    <cellStyle name="Normal 20 3 4 3" xfId="35331" xr:uid="{00000000-0005-0000-0000-000060730000}"/>
    <cellStyle name="Normal 20 3 5" xfId="19797" xr:uid="{00000000-0005-0000-0000-000061730000}"/>
    <cellStyle name="Normal 20 3 6" xfId="28674" xr:uid="{00000000-0005-0000-0000-000062730000}"/>
    <cellStyle name="Normal 20 4" xfId="9918" xr:uid="{00000000-0005-0000-0000-000063730000}"/>
    <cellStyle name="Normal 20 4 2" xfId="21273" xr:uid="{00000000-0005-0000-0000-000064730000}"/>
    <cellStyle name="Normal 20 4 3" xfId="30150" xr:uid="{00000000-0005-0000-0000-000065730000}"/>
    <cellStyle name="Normal 20 5" xfId="12218" xr:uid="{00000000-0005-0000-0000-000066730000}"/>
    <cellStyle name="Normal 20 5 2" xfId="23492" xr:uid="{00000000-0005-0000-0000-000067730000}"/>
    <cellStyle name="Normal 20 5 3" xfId="32369" xr:uid="{00000000-0005-0000-0000-000068730000}"/>
    <cellStyle name="Normal 20 6" xfId="14587" xr:uid="{00000000-0005-0000-0000-000069730000}"/>
    <cellStyle name="Normal 20 6 2" xfId="25711" xr:uid="{00000000-0005-0000-0000-00006A730000}"/>
    <cellStyle name="Normal 20 6 3" xfId="34588" xr:uid="{00000000-0005-0000-0000-00006B730000}"/>
    <cellStyle name="Normal 20 7" xfId="19048" xr:uid="{00000000-0005-0000-0000-00006C730000}"/>
    <cellStyle name="Normal 20 8" xfId="27929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0" xr:uid="{00000000-0005-0000-0000-000071730000}"/>
    <cellStyle name="Normal 21 2 2 3" xfId="31627" xr:uid="{00000000-0005-0000-0000-000072730000}"/>
    <cellStyle name="Normal 21 2 3" xfId="13695" xr:uid="{00000000-0005-0000-0000-000073730000}"/>
    <cellStyle name="Normal 21 2 3 2" xfId="24969" xr:uid="{00000000-0005-0000-0000-000074730000}"/>
    <cellStyle name="Normal 21 2 3 3" xfId="33846" xr:uid="{00000000-0005-0000-0000-000075730000}"/>
    <cellStyle name="Normal 21 2 4" xfId="16145" xr:uid="{00000000-0005-0000-0000-000076730000}"/>
    <cellStyle name="Normal 21 2 4 2" xfId="27188" xr:uid="{00000000-0005-0000-0000-000077730000}"/>
    <cellStyle name="Normal 21 2 4 3" xfId="36065" xr:uid="{00000000-0005-0000-0000-000078730000}"/>
    <cellStyle name="Normal 21 2 5" xfId="20531" xr:uid="{00000000-0005-0000-0000-000079730000}"/>
    <cellStyle name="Normal 21 2 6" xfId="29408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7" xr:uid="{00000000-0005-0000-0000-00007D730000}"/>
    <cellStyle name="Normal 21 3 2 3" xfId="30894" xr:uid="{00000000-0005-0000-0000-00007E730000}"/>
    <cellStyle name="Normal 21 3 3" xfId="12962" xr:uid="{00000000-0005-0000-0000-00007F730000}"/>
    <cellStyle name="Normal 21 3 3 2" xfId="24236" xr:uid="{00000000-0005-0000-0000-000080730000}"/>
    <cellStyle name="Normal 21 3 3 3" xfId="33113" xr:uid="{00000000-0005-0000-0000-000081730000}"/>
    <cellStyle name="Normal 21 3 4" xfId="15412" xr:uid="{00000000-0005-0000-0000-000082730000}"/>
    <cellStyle name="Normal 21 3 4 2" xfId="26455" xr:uid="{00000000-0005-0000-0000-000083730000}"/>
    <cellStyle name="Normal 21 3 4 3" xfId="35332" xr:uid="{00000000-0005-0000-0000-000084730000}"/>
    <cellStyle name="Normal 21 3 5" xfId="19798" xr:uid="{00000000-0005-0000-0000-000085730000}"/>
    <cellStyle name="Normal 21 3 6" xfId="28675" xr:uid="{00000000-0005-0000-0000-000086730000}"/>
    <cellStyle name="Normal 21 4" xfId="9919" xr:uid="{00000000-0005-0000-0000-000087730000}"/>
    <cellStyle name="Normal 21 4 2" xfId="21274" xr:uid="{00000000-0005-0000-0000-000088730000}"/>
    <cellStyle name="Normal 21 4 3" xfId="30151" xr:uid="{00000000-0005-0000-0000-000089730000}"/>
    <cellStyle name="Normal 21 5" xfId="12219" xr:uid="{00000000-0005-0000-0000-00008A730000}"/>
    <cellStyle name="Normal 21 5 2" xfId="23493" xr:uid="{00000000-0005-0000-0000-00008B730000}"/>
    <cellStyle name="Normal 21 5 3" xfId="32370" xr:uid="{00000000-0005-0000-0000-00008C730000}"/>
    <cellStyle name="Normal 21 6" xfId="14588" xr:uid="{00000000-0005-0000-0000-00008D730000}"/>
    <cellStyle name="Normal 21 6 2" xfId="25712" xr:uid="{00000000-0005-0000-0000-00008E730000}"/>
    <cellStyle name="Normal 21 6 3" xfId="34589" xr:uid="{00000000-0005-0000-0000-00008F730000}"/>
    <cellStyle name="Normal 21 7" xfId="19049" xr:uid="{00000000-0005-0000-0000-000090730000}"/>
    <cellStyle name="Normal 21 8" xfId="27930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4" xr:uid="{00000000-0005-0000-0000-000095730000}"/>
    <cellStyle name="Normal 26" xfId="36098" xr:uid="{00000000-0005-0000-0000-000096730000}"/>
    <cellStyle name="Normal 27" xfId="36101" xr:uid="{00000000-0005-0000-0000-000097730000}"/>
    <cellStyle name="Normal 28" xfId="36124" xr:uid="{00000000-0005-0000-0000-000098730000}"/>
    <cellStyle name="Normal 29" xfId="36126" xr:uid="{00000000-0005-0000-0000-000099730000}"/>
    <cellStyle name="Normal 29 2" xfId="36127" xr:uid="{00000000-0005-0000-0000-00009A730000}"/>
    <cellStyle name="Normal 3" xfId="19066" xr:uid="{00000000-0005-0000-0000-00009B730000}"/>
    <cellStyle name="Normal 3 10" xfId="9936" xr:uid="{00000000-0005-0000-0000-00009C730000}"/>
    <cellStyle name="Normal 3 10 2" xfId="21291" xr:uid="{00000000-0005-0000-0000-00009D730000}"/>
    <cellStyle name="Normal 3 10 3" xfId="30168" xr:uid="{00000000-0005-0000-0000-00009E730000}"/>
    <cellStyle name="Normal 3 11" xfId="12236" xr:uid="{00000000-0005-0000-0000-00009F730000}"/>
    <cellStyle name="Normal 3 11 2" xfId="23510" xr:uid="{00000000-0005-0000-0000-0000A0730000}"/>
    <cellStyle name="Normal 3 11 3" xfId="32387" xr:uid="{00000000-0005-0000-0000-0000A1730000}"/>
    <cellStyle name="Normal 3 12" xfId="14605" xr:uid="{00000000-0005-0000-0000-0000A2730000}"/>
    <cellStyle name="Normal 3 12 2" xfId="25729" xr:uid="{00000000-0005-0000-0000-0000A3730000}"/>
    <cellStyle name="Normal 3 12 3" xfId="34606" xr:uid="{00000000-0005-0000-0000-0000A4730000}"/>
    <cellStyle name="Normal 3 13" xfId="4086" xr:uid="{00000000-0005-0000-0000-0000A5730000}"/>
    <cellStyle name="Normal 3 14" xfId="27948" xr:uid="{00000000-0005-0000-0000-0000A6730000}"/>
    <cellStyle name="Normal 3 15" xfId="36170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78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7" xr:uid="{00000000-0005-0000-0000-0000B5730000}"/>
    <cellStyle name="Normal 3 8 2 3" xfId="31644" xr:uid="{00000000-0005-0000-0000-0000B6730000}"/>
    <cellStyle name="Normal 3 8 3" xfId="13712" xr:uid="{00000000-0005-0000-0000-0000B7730000}"/>
    <cellStyle name="Normal 3 8 3 2" xfId="24986" xr:uid="{00000000-0005-0000-0000-0000B8730000}"/>
    <cellStyle name="Normal 3 8 3 3" xfId="33863" xr:uid="{00000000-0005-0000-0000-0000B9730000}"/>
    <cellStyle name="Normal 3 8 4" xfId="16162" xr:uid="{00000000-0005-0000-0000-0000BA730000}"/>
    <cellStyle name="Normal 3 8 4 2" xfId="27205" xr:uid="{00000000-0005-0000-0000-0000BB730000}"/>
    <cellStyle name="Normal 3 8 4 3" xfId="36082" xr:uid="{00000000-0005-0000-0000-0000BC730000}"/>
    <cellStyle name="Normal 3 8 5" xfId="20548" xr:uid="{00000000-0005-0000-0000-0000BD730000}"/>
    <cellStyle name="Normal 3 8 6" xfId="29425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4" xr:uid="{00000000-0005-0000-0000-0000C1730000}"/>
    <cellStyle name="Normal 3 9 2 3" xfId="30911" xr:uid="{00000000-0005-0000-0000-0000C2730000}"/>
    <cellStyle name="Normal 3 9 3" xfId="12979" xr:uid="{00000000-0005-0000-0000-0000C3730000}"/>
    <cellStyle name="Normal 3 9 3 2" xfId="24253" xr:uid="{00000000-0005-0000-0000-0000C4730000}"/>
    <cellStyle name="Normal 3 9 3 3" xfId="33130" xr:uid="{00000000-0005-0000-0000-0000C5730000}"/>
    <cellStyle name="Normal 3 9 4" xfId="15429" xr:uid="{00000000-0005-0000-0000-0000C6730000}"/>
    <cellStyle name="Normal 3 9 4 2" xfId="26472" xr:uid="{00000000-0005-0000-0000-0000C7730000}"/>
    <cellStyle name="Normal 3 9 4 3" xfId="35349" xr:uid="{00000000-0005-0000-0000-0000C8730000}"/>
    <cellStyle name="Normal 3 9 5" xfId="19815" xr:uid="{00000000-0005-0000-0000-0000C9730000}"/>
    <cellStyle name="Normal 3 9 6" xfId="28692" xr:uid="{00000000-0005-0000-0000-0000CA730000}"/>
    <cellStyle name="Normal 3_Car cost for GMM" xfId="19072" xr:uid="{00000000-0005-0000-0000-0000CB730000}"/>
    <cellStyle name="Normal 30" xfId="36128" xr:uid="{00000000-0005-0000-0000-0000CC730000}"/>
    <cellStyle name="Normal 31" xfId="36164" xr:uid="{00000000-0005-0000-0000-0000CD730000}"/>
    <cellStyle name="Normal 32" xfId="36129" xr:uid="{00000000-0005-0000-0000-0000CE730000}"/>
    <cellStyle name="Normal 33 2" xfId="36185" xr:uid="{0F4E2CA9-B8E3-49BE-91C1-D7A81D1D2D29}"/>
    <cellStyle name="Normal 34 2" xfId="36186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7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1" xr:uid="{00000000-0005-0000-0000-0000D8730000}"/>
    <cellStyle name="Normal 4 3 3 2 3" xfId="31628" xr:uid="{00000000-0005-0000-0000-0000D9730000}"/>
    <cellStyle name="Normal 4 3 3 3" xfId="13696" xr:uid="{00000000-0005-0000-0000-0000DA730000}"/>
    <cellStyle name="Normal 4 3 3 3 2" xfId="24970" xr:uid="{00000000-0005-0000-0000-0000DB730000}"/>
    <cellStyle name="Normal 4 3 3 3 3" xfId="33847" xr:uid="{00000000-0005-0000-0000-0000DC730000}"/>
    <cellStyle name="Normal 4 3 3 4" xfId="16146" xr:uid="{00000000-0005-0000-0000-0000DD730000}"/>
    <cellStyle name="Normal 4 3 3 4 2" xfId="27189" xr:uid="{00000000-0005-0000-0000-0000DE730000}"/>
    <cellStyle name="Normal 4 3 3 4 3" xfId="36066" xr:uid="{00000000-0005-0000-0000-0000DF730000}"/>
    <cellStyle name="Normal 4 3 3 5" xfId="20532" xr:uid="{00000000-0005-0000-0000-0000E0730000}"/>
    <cellStyle name="Normal 4 3 3 6" xfId="29409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8" xr:uid="{00000000-0005-0000-0000-0000E4730000}"/>
    <cellStyle name="Normal 4 3 4 2 3" xfId="30895" xr:uid="{00000000-0005-0000-0000-0000E5730000}"/>
    <cellStyle name="Normal 4 3 4 3" xfId="12963" xr:uid="{00000000-0005-0000-0000-0000E6730000}"/>
    <cellStyle name="Normal 4 3 4 3 2" xfId="24237" xr:uid="{00000000-0005-0000-0000-0000E7730000}"/>
    <cellStyle name="Normal 4 3 4 3 3" xfId="33114" xr:uid="{00000000-0005-0000-0000-0000E8730000}"/>
    <cellStyle name="Normal 4 3 4 4" xfId="15413" xr:uid="{00000000-0005-0000-0000-0000E9730000}"/>
    <cellStyle name="Normal 4 3 4 4 2" xfId="26456" xr:uid="{00000000-0005-0000-0000-0000EA730000}"/>
    <cellStyle name="Normal 4 3 4 4 3" xfId="35333" xr:uid="{00000000-0005-0000-0000-0000EB730000}"/>
    <cellStyle name="Normal 4 3 4 5" xfId="19799" xr:uid="{00000000-0005-0000-0000-0000EC730000}"/>
    <cellStyle name="Normal 4 3 4 6" xfId="28676" xr:uid="{00000000-0005-0000-0000-0000ED730000}"/>
    <cellStyle name="Normal 4 3 5" xfId="9920" xr:uid="{00000000-0005-0000-0000-0000EE730000}"/>
    <cellStyle name="Normal 4 3 5 2" xfId="21275" xr:uid="{00000000-0005-0000-0000-0000EF730000}"/>
    <cellStyle name="Normal 4 3 5 3" xfId="30152" xr:uid="{00000000-0005-0000-0000-0000F0730000}"/>
    <cellStyle name="Normal 4 3 6" xfId="12220" xr:uid="{00000000-0005-0000-0000-0000F1730000}"/>
    <cellStyle name="Normal 4 3 6 2" xfId="23494" xr:uid="{00000000-0005-0000-0000-0000F2730000}"/>
    <cellStyle name="Normal 4 3 6 3" xfId="32371" xr:uid="{00000000-0005-0000-0000-0000F3730000}"/>
    <cellStyle name="Normal 4 3 7" xfId="14589" xr:uid="{00000000-0005-0000-0000-0000F4730000}"/>
    <cellStyle name="Normal 4 3 7 2" xfId="25713" xr:uid="{00000000-0005-0000-0000-0000F5730000}"/>
    <cellStyle name="Normal 4 3 7 3" xfId="34590" xr:uid="{00000000-0005-0000-0000-0000F6730000}"/>
    <cellStyle name="Normal 4 3 8" xfId="19050" xr:uid="{00000000-0005-0000-0000-0000F7730000}"/>
    <cellStyle name="Normal 4 3 9" xfId="27931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2" xr:uid="{00000000-0005-0000-0000-0000FD730000}"/>
    <cellStyle name="Normal 4 4 3 2 3" xfId="31629" xr:uid="{00000000-0005-0000-0000-0000FE730000}"/>
    <cellStyle name="Normal 4 4 3 3" xfId="13697" xr:uid="{00000000-0005-0000-0000-0000FF730000}"/>
    <cellStyle name="Normal 4 4 3 3 2" xfId="24971" xr:uid="{00000000-0005-0000-0000-000000740000}"/>
    <cellStyle name="Normal 4 4 3 3 3" xfId="33848" xr:uid="{00000000-0005-0000-0000-000001740000}"/>
    <cellStyle name="Normal 4 4 3 4" xfId="16147" xr:uid="{00000000-0005-0000-0000-000002740000}"/>
    <cellStyle name="Normal 4 4 3 4 2" xfId="27190" xr:uid="{00000000-0005-0000-0000-000003740000}"/>
    <cellStyle name="Normal 4 4 3 4 3" xfId="36067" xr:uid="{00000000-0005-0000-0000-000004740000}"/>
    <cellStyle name="Normal 4 4 3 5" xfId="20533" xr:uid="{00000000-0005-0000-0000-000005740000}"/>
    <cellStyle name="Normal 4 4 3 6" xfId="29410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19" xr:uid="{00000000-0005-0000-0000-000009740000}"/>
    <cellStyle name="Normal 4 4 4 2 3" xfId="30896" xr:uid="{00000000-0005-0000-0000-00000A740000}"/>
    <cellStyle name="Normal 4 4 4 3" xfId="12964" xr:uid="{00000000-0005-0000-0000-00000B740000}"/>
    <cellStyle name="Normal 4 4 4 3 2" xfId="24238" xr:uid="{00000000-0005-0000-0000-00000C740000}"/>
    <cellStyle name="Normal 4 4 4 3 3" xfId="33115" xr:uid="{00000000-0005-0000-0000-00000D740000}"/>
    <cellStyle name="Normal 4 4 4 4" xfId="15414" xr:uid="{00000000-0005-0000-0000-00000E740000}"/>
    <cellStyle name="Normal 4 4 4 4 2" xfId="26457" xr:uid="{00000000-0005-0000-0000-00000F740000}"/>
    <cellStyle name="Normal 4 4 4 4 3" xfId="35334" xr:uid="{00000000-0005-0000-0000-000010740000}"/>
    <cellStyle name="Normal 4 4 4 5" xfId="19800" xr:uid="{00000000-0005-0000-0000-000011740000}"/>
    <cellStyle name="Normal 4 4 4 6" xfId="28677" xr:uid="{00000000-0005-0000-0000-000012740000}"/>
    <cellStyle name="Normal 4 4 5" xfId="9921" xr:uid="{00000000-0005-0000-0000-000013740000}"/>
    <cellStyle name="Normal 4 4 5 2" xfId="21276" xr:uid="{00000000-0005-0000-0000-000014740000}"/>
    <cellStyle name="Normal 4 4 5 3" xfId="30153" xr:uid="{00000000-0005-0000-0000-000015740000}"/>
    <cellStyle name="Normal 4 4 6" xfId="12221" xr:uid="{00000000-0005-0000-0000-000016740000}"/>
    <cellStyle name="Normal 4 4 6 2" xfId="23495" xr:uid="{00000000-0005-0000-0000-000017740000}"/>
    <cellStyle name="Normal 4 4 6 3" xfId="32372" xr:uid="{00000000-0005-0000-0000-000018740000}"/>
    <cellStyle name="Normal 4 4 7" xfId="14590" xr:uid="{00000000-0005-0000-0000-000019740000}"/>
    <cellStyle name="Normal 4 4 7 2" xfId="25714" xr:uid="{00000000-0005-0000-0000-00001A740000}"/>
    <cellStyle name="Normal 4 4 7 3" xfId="34591" xr:uid="{00000000-0005-0000-0000-00001B740000}"/>
    <cellStyle name="Normal 4 4 8" xfId="19051" xr:uid="{00000000-0005-0000-0000-00001C740000}"/>
    <cellStyle name="Normal 4 4 9" xfId="27932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3" xr:uid="{00000000-0005-0000-0000-000021740000}"/>
    <cellStyle name="Normal 4 5 2 2 3" xfId="31630" xr:uid="{00000000-0005-0000-0000-000022740000}"/>
    <cellStyle name="Normal 4 5 2 3" xfId="13698" xr:uid="{00000000-0005-0000-0000-000023740000}"/>
    <cellStyle name="Normal 4 5 2 3 2" xfId="24972" xr:uid="{00000000-0005-0000-0000-000024740000}"/>
    <cellStyle name="Normal 4 5 2 3 3" xfId="33849" xr:uid="{00000000-0005-0000-0000-000025740000}"/>
    <cellStyle name="Normal 4 5 2 4" xfId="16148" xr:uid="{00000000-0005-0000-0000-000026740000}"/>
    <cellStyle name="Normal 4 5 2 4 2" xfId="27191" xr:uid="{00000000-0005-0000-0000-000027740000}"/>
    <cellStyle name="Normal 4 5 2 4 3" xfId="36068" xr:uid="{00000000-0005-0000-0000-000028740000}"/>
    <cellStyle name="Normal 4 5 2 5" xfId="20534" xr:uid="{00000000-0005-0000-0000-000029740000}"/>
    <cellStyle name="Normal 4 5 2 6" xfId="29411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0" xr:uid="{00000000-0005-0000-0000-00002D740000}"/>
    <cellStyle name="Normal 4 5 3 2 3" xfId="30897" xr:uid="{00000000-0005-0000-0000-00002E740000}"/>
    <cellStyle name="Normal 4 5 3 3" xfId="12965" xr:uid="{00000000-0005-0000-0000-00002F740000}"/>
    <cellStyle name="Normal 4 5 3 3 2" xfId="24239" xr:uid="{00000000-0005-0000-0000-000030740000}"/>
    <cellStyle name="Normal 4 5 3 3 3" xfId="33116" xr:uid="{00000000-0005-0000-0000-000031740000}"/>
    <cellStyle name="Normal 4 5 3 4" xfId="15415" xr:uid="{00000000-0005-0000-0000-000032740000}"/>
    <cellStyle name="Normal 4 5 3 4 2" xfId="26458" xr:uid="{00000000-0005-0000-0000-000033740000}"/>
    <cellStyle name="Normal 4 5 3 4 3" xfId="35335" xr:uid="{00000000-0005-0000-0000-000034740000}"/>
    <cellStyle name="Normal 4 5 3 5" xfId="19801" xr:uid="{00000000-0005-0000-0000-000035740000}"/>
    <cellStyle name="Normal 4 5 3 6" xfId="28678" xr:uid="{00000000-0005-0000-0000-000036740000}"/>
    <cellStyle name="Normal 4 5 4" xfId="9922" xr:uid="{00000000-0005-0000-0000-000037740000}"/>
    <cellStyle name="Normal 4 5 4 2" xfId="21277" xr:uid="{00000000-0005-0000-0000-000038740000}"/>
    <cellStyle name="Normal 4 5 4 3" xfId="30154" xr:uid="{00000000-0005-0000-0000-000039740000}"/>
    <cellStyle name="Normal 4 5 5" xfId="12222" xr:uid="{00000000-0005-0000-0000-00003A740000}"/>
    <cellStyle name="Normal 4 5 5 2" xfId="23496" xr:uid="{00000000-0005-0000-0000-00003B740000}"/>
    <cellStyle name="Normal 4 5 5 3" xfId="32373" xr:uid="{00000000-0005-0000-0000-00003C740000}"/>
    <cellStyle name="Normal 4 5 6" xfId="14591" xr:uid="{00000000-0005-0000-0000-00003D740000}"/>
    <cellStyle name="Normal 4 5 6 2" xfId="25715" xr:uid="{00000000-0005-0000-0000-00003E740000}"/>
    <cellStyle name="Normal 4 5 6 3" xfId="34592" xr:uid="{00000000-0005-0000-0000-00003F740000}"/>
    <cellStyle name="Normal 4 5 7" xfId="16946" xr:uid="{00000000-0005-0000-0000-000040740000}"/>
    <cellStyle name="Normal 4 5 8" xfId="19052" xr:uid="{00000000-0005-0000-0000-000041740000}"/>
    <cellStyle name="Normal 4 5 9" xfId="27933" xr:uid="{00000000-0005-0000-0000-000042740000}"/>
    <cellStyle name="Normal 4 6" xfId="72" xr:uid="{00000000-0005-0000-0000-000043740000}"/>
    <cellStyle name="Normal 4_AFs" xfId="19073" xr:uid="{00000000-0005-0000-0000-000044740000}"/>
    <cellStyle name="Normal 41" xfId="36166" xr:uid="{00000000-0005-0000-0000-000045740000}"/>
    <cellStyle name="Normal 42" xfId="36165" xr:uid="{00000000-0005-0000-0000-000046740000}"/>
    <cellStyle name="Normal 43" xfId="36167" xr:uid="{00000000-0005-0000-0000-000047740000}"/>
    <cellStyle name="Normal 5" xfId="19074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4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4" xr:uid="{00000000-0005-0000-0000-000050740000}"/>
    <cellStyle name="Normal 5 2 2 2 2 3" xfId="31631" xr:uid="{00000000-0005-0000-0000-000051740000}"/>
    <cellStyle name="Normal 5 2 2 2 3" xfId="13699" xr:uid="{00000000-0005-0000-0000-000052740000}"/>
    <cellStyle name="Normal 5 2 2 2 3 2" xfId="24973" xr:uid="{00000000-0005-0000-0000-000053740000}"/>
    <cellStyle name="Normal 5 2 2 2 3 3" xfId="33850" xr:uid="{00000000-0005-0000-0000-000054740000}"/>
    <cellStyle name="Normal 5 2 2 2 4" xfId="16149" xr:uid="{00000000-0005-0000-0000-000055740000}"/>
    <cellStyle name="Normal 5 2 2 2 4 2" xfId="27192" xr:uid="{00000000-0005-0000-0000-000056740000}"/>
    <cellStyle name="Normal 5 2 2 2 4 3" xfId="36069" xr:uid="{00000000-0005-0000-0000-000057740000}"/>
    <cellStyle name="Normal 5 2 2 2 5" xfId="20535" xr:uid="{00000000-0005-0000-0000-000058740000}"/>
    <cellStyle name="Normal 5 2 2 2 6" xfId="29412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1" xr:uid="{00000000-0005-0000-0000-00005C740000}"/>
    <cellStyle name="Normal 5 2 2 3 2 3" xfId="30898" xr:uid="{00000000-0005-0000-0000-00005D740000}"/>
    <cellStyle name="Normal 5 2 2 3 3" xfId="12966" xr:uid="{00000000-0005-0000-0000-00005E740000}"/>
    <cellStyle name="Normal 5 2 2 3 3 2" xfId="24240" xr:uid="{00000000-0005-0000-0000-00005F740000}"/>
    <cellStyle name="Normal 5 2 2 3 3 3" xfId="33117" xr:uid="{00000000-0005-0000-0000-000060740000}"/>
    <cellStyle name="Normal 5 2 2 3 4" xfId="15416" xr:uid="{00000000-0005-0000-0000-000061740000}"/>
    <cellStyle name="Normal 5 2 2 3 4 2" xfId="26459" xr:uid="{00000000-0005-0000-0000-000062740000}"/>
    <cellStyle name="Normal 5 2 2 3 4 3" xfId="35336" xr:uid="{00000000-0005-0000-0000-000063740000}"/>
    <cellStyle name="Normal 5 2 2 3 5" xfId="19802" xr:uid="{00000000-0005-0000-0000-000064740000}"/>
    <cellStyle name="Normal 5 2 2 3 6" xfId="28679" xr:uid="{00000000-0005-0000-0000-000065740000}"/>
    <cellStyle name="Normal 5 2 2 4" xfId="9923" xr:uid="{00000000-0005-0000-0000-000066740000}"/>
    <cellStyle name="Normal 5 2 2 4 2" xfId="21278" xr:uid="{00000000-0005-0000-0000-000067740000}"/>
    <cellStyle name="Normal 5 2 2 4 3" xfId="30155" xr:uid="{00000000-0005-0000-0000-000068740000}"/>
    <cellStyle name="Normal 5 2 2 5" xfId="12223" xr:uid="{00000000-0005-0000-0000-000069740000}"/>
    <cellStyle name="Normal 5 2 2 5 2" xfId="23497" xr:uid="{00000000-0005-0000-0000-00006A740000}"/>
    <cellStyle name="Normal 5 2 2 5 3" xfId="32374" xr:uid="{00000000-0005-0000-0000-00006B740000}"/>
    <cellStyle name="Normal 5 2 2 6" xfId="14592" xr:uid="{00000000-0005-0000-0000-00006C740000}"/>
    <cellStyle name="Normal 5 2 2 6 2" xfId="25716" xr:uid="{00000000-0005-0000-0000-00006D740000}"/>
    <cellStyle name="Normal 5 2 2 6 3" xfId="34593" xr:uid="{00000000-0005-0000-0000-00006E740000}"/>
    <cellStyle name="Normal 5 2 2 7" xfId="16945" xr:uid="{00000000-0005-0000-0000-00006F740000}"/>
    <cellStyle name="Normal 5 2 2 8" xfId="19053" xr:uid="{00000000-0005-0000-0000-000070740000}"/>
    <cellStyle name="Normal 5 2 2 9" xfId="27934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5" xr:uid="{00000000-0005-0000-0000-000075740000}"/>
    <cellStyle name="Normal 5 2 3 2 2 3" xfId="31632" xr:uid="{00000000-0005-0000-0000-000076740000}"/>
    <cellStyle name="Normal 5 2 3 2 3" xfId="13700" xr:uid="{00000000-0005-0000-0000-000077740000}"/>
    <cellStyle name="Normal 5 2 3 2 3 2" xfId="24974" xr:uid="{00000000-0005-0000-0000-000078740000}"/>
    <cellStyle name="Normal 5 2 3 2 3 3" xfId="33851" xr:uid="{00000000-0005-0000-0000-000079740000}"/>
    <cellStyle name="Normal 5 2 3 2 4" xfId="16150" xr:uid="{00000000-0005-0000-0000-00007A740000}"/>
    <cellStyle name="Normal 5 2 3 2 4 2" xfId="27193" xr:uid="{00000000-0005-0000-0000-00007B740000}"/>
    <cellStyle name="Normal 5 2 3 2 4 3" xfId="36070" xr:uid="{00000000-0005-0000-0000-00007C740000}"/>
    <cellStyle name="Normal 5 2 3 2 5" xfId="20536" xr:uid="{00000000-0005-0000-0000-00007D740000}"/>
    <cellStyle name="Normal 5 2 3 2 6" xfId="29413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2" xr:uid="{00000000-0005-0000-0000-000081740000}"/>
    <cellStyle name="Normal 5 2 3 3 2 3" xfId="30899" xr:uid="{00000000-0005-0000-0000-000082740000}"/>
    <cellStyle name="Normal 5 2 3 3 3" xfId="12967" xr:uid="{00000000-0005-0000-0000-000083740000}"/>
    <cellStyle name="Normal 5 2 3 3 3 2" xfId="24241" xr:uid="{00000000-0005-0000-0000-000084740000}"/>
    <cellStyle name="Normal 5 2 3 3 3 3" xfId="33118" xr:uid="{00000000-0005-0000-0000-000085740000}"/>
    <cellStyle name="Normal 5 2 3 3 4" xfId="15417" xr:uid="{00000000-0005-0000-0000-000086740000}"/>
    <cellStyle name="Normal 5 2 3 3 4 2" xfId="26460" xr:uid="{00000000-0005-0000-0000-000087740000}"/>
    <cellStyle name="Normal 5 2 3 3 4 3" xfId="35337" xr:uid="{00000000-0005-0000-0000-000088740000}"/>
    <cellStyle name="Normal 5 2 3 3 5" xfId="19803" xr:uid="{00000000-0005-0000-0000-000089740000}"/>
    <cellStyle name="Normal 5 2 3 3 6" xfId="28680" xr:uid="{00000000-0005-0000-0000-00008A740000}"/>
    <cellStyle name="Normal 5 2 3 4" xfId="9924" xr:uid="{00000000-0005-0000-0000-00008B740000}"/>
    <cellStyle name="Normal 5 2 3 4 2" xfId="21279" xr:uid="{00000000-0005-0000-0000-00008C740000}"/>
    <cellStyle name="Normal 5 2 3 4 3" xfId="30156" xr:uid="{00000000-0005-0000-0000-00008D740000}"/>
    <cellStyle name="Normal 5 2 3 5" xfId="12224" xr:uid="{00000000-0005-0000-0000-00008E740000}"/>
    <cellStyle name="Normal 5 2 3 5 2" xfId="23498" xr:uid="{00000000-0005-0000-0000-00008F740000}"/>
    <cellStyle name="Normal 5 2 3 5 3" xfId="32375" xr:uid="{00000000-0005-0000-0000-000090740000}"/>
    <cellStyle name="Normal 5 2 3 6" xfId="14593" xr:uid="{00000000-0005-0000-0000-000091740000}"/>
    <cellStyle name="Normal 5 2 3 6 2" xfId="25717" xr:uid="{00000000-0005-0000-0000-000092740000}"/>
    <cellStyle name="Normal 5 2 3 6 3" xfId="34594" xr:uid="{00000000-0005-0000-0000-000093740000}"/>
    <cellStyle name="Normal 5 2 3 7" xfId="19054" xr:uid="{00000000-0005-0000-0000-000094740000}"/>
    <cellStyle name="Normal 5 2 3 8" xfId="27935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6" xr:uid="{00000000-0005-0000-0000-000099740000}"/>
    <cellStyle name="Normal 5 2 4 2 2 3" xfId="31633" xr:uid="{00000000-0005-0000-0000-00009A740000}"/>
    <cellStyle name="Normal 5 2 4 2 3" xfId="13701" xr:uid="{00000000-0005-0000-0000-00009B740000}"/>
    <cellStyle name="Normal 5 2 4 2 3 2" xfId="24975" xr:uid="{00000000-0005-0000-0000-00009C740000}"/>
    <cellStyle name="Normal 5 2 4 2 3 3" xfId="33852" xr:uid="{00000000-0005-0000-0000-00009D740000}"/>
    <cellStyle name="Normal 5 2 4 2 4" xfId="16151" xr:uid="{00000000-0005-0000-0000-00009E740000}"/>
    <cellStyle name="Normal 5 2 4 2 4 2" xfId="27194" xr:uid="{00000000-0005-0000-0000-00009F740000}"/>
    <cellStyle name="Normal 5 2 4 2 4 3" xfId="36071" xr:uid="{00000000-0005-0000-0000-0000A0740000}"/>
    <cellStyle name="Normal 5 2 4 2 5" xfId="20537" xr:uid="{00000000-0005-0000-0000-0000A1740000}"/>
    <cellStyle name="Normal 5 2 4 2 6" xfId="29414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3" xr:uid="{00000000-0005-0000-0000-0000A5740000}"/>
    <cellStyle name="Normal 5 2 4 3 2 3" xfId="30900" xr:uid="{00000000-0005-0000-0000-0000A6740000}"/>
    <cellStyle name="Normal 5 2 4 3 3" xfId="12968" xr:uid="{00000000-0005-0000-0000-0000A7740000}"/>
    <cellStyle name="Normal 5 2 4 3 3 2" xfId="24242" xr:uid="{00000000-0005-0000-0000-0000A8740000}"/>
    <cellStyle name="Normal 5 2 4 3 3 3" xfId="33119" xr:uid="{00000000-0005-0000-0000-0000A9740000}"/>
    <cellStyle name="Normal 5 2 4 3 4" xfId="15418" xr:uid="{00000000-0005-0000-0000-0000AA740000}"/>
    <cellStyle name="Normal 5 2 4 3 4 2" xfId="26461" xr:uid="{00000000-0005-0000-0000-0000AB740000}"/>
    <cellStyle name="Normal 5 2 4 3 4 3" xfId="35338" xr:uid="{00000000-0005-0000-0000-0000AC740000}"/>
    <cellStyle name="Normal 5 2 4 3 5" xfId="19804" xr:uid="{00000000-0005-0000-0000-0000AD740000}"/>
    <cellStyle name="Normal 5 2 4 3 6" xfId="28681" xr:uid="{00000000-0005-0000-0000-0000AE740000}"/>
    <cellStyle name="Normal 5 2 4 4" xfId="9925" xr:uid="{00000000-0005-0000-0000-0000AF740000}"/>
    <cellStyle name="Normal 5 2 4 4 2" xfId="21280" xr:uid="{00000000-0005-0000-0000-0000B0740000}"/>
    <cellStyle name="Normal 5 2 4 4 3" xfId="30157" xr:uid="{00000000-0005-0000-0000-0000B1740000}"/>
    <cellStyle name="Normal 5 2 4 5" xfId="12225" xr:uid="{00000000-0005-0000-0000-0000B2740000}"/>
    <cellStyle name="Normal 5 2 4 5 2" xfId="23499" xr:uid="{00000000-0005-0000-0000-0000B3740000}"/>
    <cellStyle name="Normal 5 2 4 5 3" xfId="32376" xr:uid="{00000000-0005-0000-0000-0000B4740000}"/>
    <cellStyle name="Normal 5 2 4 6" xfId="14594" xr:uid="{00000000-0005-0000-0000-0000B5740000}"/>
    <cellStyle name="Normal 5 2 4 6 2" xfId="25718" xr:uid="{00000000-0005-0000-0000-0000B6740000}"/>
    <cellStyle name="Normal 5 2 4 6 3" xfId="34595" xr:uid="{00000000-0005-0000-0000-0000B7740000}"/>
    <cellStyle name="Normal 5 2 4 7" xfId="19055" xr:uid="{00000000-0005-0000-0000-0000B8740000}"/>
    <cellStyle name="Normal 5 2 4 8" xfId="27936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7" xr:uid="{00000000-0005-0000-0000-0000BD740000}"/>
    <cellStyle name="Normal 5 2 5 2 2 3" xfId="31634" xr:uid="{00000000-0005-0000-0000-0000BE740000}"/>
    <cellStyle name="Normal 5 2 5 2 3" xfId="13702" xr:uid="{00000000-0005-0000-0000-0000BF740000}"/>
    <cellStyle name="Normal 5 2 5 2 3 2" xfId="24976" xr:uid="{00000000-0005-0000-0000-0000C0740000}"/>
    <cellStyle name="Normal 5 2 5 2 3 3" xfId="33853" xr:uid="{00000000-0005-0000-0000-0000C1740000}"/>
    <cellStyle name="Normal 5 2 5 2 4" xfId="16152" xr:uid="{00000000-0005-0000-0000-0000C2740000}"/>
    <cellStyle name="Normal 5 2 5 2 4 2" xfId="27195" xr:uid="{00000000-0005-0000-0000-0000C3740000}"/>
    <cellStyle name="Normal 5 2 5 2 4 3" xfId="36072" xr:uid="{00000000-0005-0000-0000-0000C4740000}"/>
    <cellStyle name="Normal 5 2 5 2 5" xfId="20538" xr:uid="{00000000-0005-0000-0000-0000C5740000}"/>
    <cellStyle name="Normal 5 2 5 2 6" xfId="29415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4" xr:uid="{00000000-0005-0000-0000-0000C9740000}"/>
    <cellStyle name="Normal 5 2 5 3 2 3" xfId="30901" xr:uid="{00000000-0005-0000-0000-0000CA740000}"/>
    <cellStyle name="Normal 5 2 5 3 3" xfId="12969" xr:uid="{00000000-0005-0000-0000-0000CB740000}"/>
    <cellStyle name="Normal 5 2 5 3 3 2" xfId="24243" xr:uid="{00000000-0005-0000-0000-0000CC740000}"/>
    <cellStyle name="Normal 5 2 5 3 3 3" xfId="33120" xr:uid="{00000000-0005-0000-0000-0000CD740000}"/>
    <cellStyle name="Normal 5 2 5 3 4" xfId="15419" xr:uid="{00000000-0005-0000-0000-0000CE740000}"/>
    <cellStyle name="Normal 5 2 5 3 4 2" xfId="26462" xr:uid="{00000000-0005-0000-0000-0000CF740000}"/>
    <cellStyle name="Normal 5 2 5 3 4 3" xfId="35339" xr:uid="{00000000-0005-0000-0000-0000D0740000}"/>
    <cellStyle name="Normal 5 2 5 3 5" xfId="19805" xr:uid="{00000000-0005-0000-0000-0000D1740000}"/>
    <cellStyle name="Normal 5 2 5 3 6" xfId="28682" xr:uid="{00000000-0005-0000-0000-0000D2740000}"/>
    <cellStyle name="Normal 5 2 5 4" xfId="9926" xr:uid="{00000000-0005-0000-0000-0000D3740000}"/>
    <cellStyle name="Normal 5 2 5 4 2" xfId="21281" xr:uid="{00000000-0005-0000-0000-0000D4740000}"/>
    <cellStyle name="Normal 5 2 5 4 3" xfId="30158" xr:uid="{00000000-0005-0000-0000-0000D5740000}"/>
    <cellStyle name="Normal 5 2 5 5" xfId="12226" xr:uid="{00000000-0005-0000-0000-0000D6740000}"/>
    <cellStyle name="Normal 5 2 5 5 2" xfId="23500" xr:uid="{00000000-0005-0000-0000-0000D7740000}"/>
    <cellStyle name="Normal 5 2 5 5 3" xfId="32377" xr:uid="{00000000-0005-0000-0000-0000D8740000}"/>
    <cellStyle name="Normal 5 2 5 6" xfId="14595" xr:uid="{00000000-0005-0000-0000-0000D9740000}"/>
    <cellStyle name="Normal 5 2 5 6 2" xfId="25719" xr:uid="{00000000-0005-0000-0000-0000DA740000}"/>
    <cellStyle name="Normal 5 2 5 6 3" xfId="34596" xr:uid="{00000000-0005-0000-0000-0000DB740000}"/>
    <cellStyle name="Normal 5 2 5 7" xfId="19056" xr:uid="{00000000-0005-0000-0000-0000DC740000}"/>
    <cellStyle name="Normal 5 2 5 8" xfId="27937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8" xr:uid="{00000000-0005-0000-0000-0000E1740000}"/>
    <cellStyle name="Normal 5 3 2 2 3" xfId="31635" xr:uid="{00000000-0005-0000-0000-0000E2740000}"/>
    <cellStyle name="Normal 5 3 2 3" xfId="13703" xr:uid="{00000000-0005-0000-0000-0000E3740000}"/>
    <cellStyle name="Normal 5 3 2 3 2" xfId="24977" xr:uid="{00000000-0005-0000-0000-0000E4740000}"/>
    <cellStyle name="Normal 5 3 2 3 3" xfId="33854" xr:uid="{00000000-0005-0000-0000-0000E5740000}"/>
    <cellStyle name="Normal 5 3 2 4" xfId="16153" xr:uid="{00000000-0005-0000-0000-0000E6740000}"/>
    <cellStyle name="Normal 5 3 2 4 2" xfId="27196" xr:uid="{00000000-0005-0000-0000-0000E7740000}"/>
    <cellStyle name="Normal 5 3 2 4 3" xfId="36073" xr:uid="{00000000-0005-0000-0000-0000E8740000}"/>
    <cellStyle name="Normal 5 3 2 5" xfId="20539" xr:uid="{00000000-0005-0000-0000-0000E9740000}"/>
    <cellStyle name="Normal 5 3 2 6" xfId="29416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5" xr:uid="{00000000-0005-0000-0000-0000ED740000}"/>
    <cellStyle name="Normal 5 3 3 2 3" xfId="30902" xr:uid="{00000000-0005-0000-0000-0000EE740000}"/>
    <cellStyle name="Normal 5 3 3 3" xfId="12970" xr:uid="{00000000-0005-0000-0000-0000EF740000}"/>
    <cellStyle name="Normal 5 3 3 3 2" xfId="24244" xr:uid="{00000000-0005-0000-0000-0000F0740000}"/>
    <cellStyle name="Normal 5 3 3 3 3" xfId="33121" xr:uid="{00000000-0005-0000-0000-0000F1740000}"/>
    <cellStyle name="Normal 5 3 3 4" xfId="15420" xr:uid="{00000000-0005-0000-0000-0000F2740000}"/>
    <cellStyle name="Normal 5 3 3 4 2" xfId="26463" xr:uid="{00000000-0005-0000-0000-0000F3740000}"/>
    <cellStyle name="Normal 5 3 3 4 3" xfId="35340" xr:uid="{00000000-0005-0000-0000-0000F4740000}"/>
    <cellStyle name="Normal 5 3 3 5" xfId="19806" xr:uid="{00000000-0005-0000-0000-0000F5740000}"/>
    <cellStyle name="Normal 5 3 3 6" xfId="28683" xr:uid="{00000000-0005-0000-0000-0000F6740000}"/>
    <cellStyle name="Normal 5 3 4" xfId="9927" xr:uid="{00000000-0005-0000-0000-0000F7740000}"/>
    <cellStyle name="Normal 5 3 4 2" xfId="21282" xr:uid="{00000000-0005-0000-0000-0000F8740000}"/>
    <cellStyle name="Normal 5 3 4 3" xfId="30159" xr:uid="{00000000-0005-0000-0000-0000F9740000}"/>
    <cellStyle name="Normal 5 3 5" xfId="12227" xr:uid="{00000000-0005-0000-0000-0000FA740000}"/>
    <cellStyle name="Normal 5 3 5 2" xfId="23501" xr:uid="{00000000-0005-0000-0000-0000FB740000}"/>
    <cellStyle name="Normal 5 3 5 3" xfId="32378" xr:uid="{00000000-0005-0000-0000-0000FC740000}"/>
    <cellStyle name="Normal 5 3 6" xfId="14596" xr:uid="{00000000-0005-0000-0000-0000FD740000}"/>
    <cellStyle name="Normal 5 3 6 2" xfId="25720" xr:uid="{00000000-0005-0000-0000-0000FE740000}"/>
    <cellStyle name="Normal 5 3 6 3" xfId="34597" xr:uid="{00000000-0005-0000-0000-0000FF740000}"/>
    <cellStyle name="Normal 5 3 7" xfId="16944" xr:uid="{00000000-0005-0000-0000-000000750000}"/>
    <cellStyle name="Normal 5 3 8" xfId="19057" xr:uid="{00000000-0005-0000-0000-000001750000}"/>
    <cellStyle name="Normal 5 3 9" xfId="27938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59" xr:uid="{00000000-0005-0000-0000-000006750000}"/>
    <cellStyle name="Normal 5 4 2 2 3" xfId="31636" xr:uid="{00000000-0005-0000-0000-000007750000}"/>
    <cellStyle name="Normal 5 4 2 3" xfId="13704" xr:uid="{00000000-0005-0000-0000-000008750000}"/>
    <cellStyle name="Normal 5 4 2 3 2" xfId="24978" xr:uid="{00000000-0005-0000-0000-000009750000}"/>
    <cellStyle name="Normal 5 4 2 3 3" xfId="33855" xr:uid="{00000000-0005-0000-0000-00000A750000}"/>
    <cellStyle name="Normal 5 4 2 4" xfId="16154" xr:uid="{00000000-0005-0000-0000-00000B750000}"/>
    <cellStyle name="Normal 5 4 2 4 2" xfId="27197" xr:uid="{00000000-0005-0000-0000-00000C750000}"/>
    <cellStyle name="Normal 5 4 2 4 3" xfId="36074" xr:uid="{00000000-0005-0000-0000-00000D750000}"/>
    <cellStyle name="Normal 5 4 2 5" xfId="20540" xr:uid="{00000000-0005-0000-0000-00000E750000}"/>
    <cellStyle name="Normal 5 4 2 6" xfId="29417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6" xr:uid="{00000000-0005-0000-0000-000012750000}"/>
    <cellStyle name="Normal 5 4 3 2 3" xfId="30903" xr:uid="{00000000-0005-0000-0000-000013750000}"/>
    <cellStyle name="Normal 5 4 3 3" xfId="12971" xr:uid="{00000000-0005-0000-0000-000014750000}"/>
    <cellStyle name="Normal 5 4 3 3 2" xfId="24245" xr:uid="{00000000-0005-0000-0000-000015750000}"/>
    <cellStyle name="Normal 5 4 3 3 3" xfId="33122" xr:uid="{00000000-0005-0000-0000-000016750000}"/>
    <cellStyle name="Normal 5 4 3 4" xfId="15421" xr:uid="{00000000-0005-0000-0000-000017750000}"/>
    <cellStyle name="Normal 5 4 3 4 2" xfId="26464" xr:uid="{00000000-0005-0000-0000-000018750000}"/>
    <cellStyle name="Normal 5 4 3 4 3" xfId="35341" xr:uid="{00000000-0005-0000-0000-000019750000}"/>
    <cellStyle name="Normal 5 4 3 5" xfId="19807" xr:uid="{00000000-0005-0000-0000-00001A750000}"/>
    <cellStyle name="Normal 5 4 3 6" xfId="28684" xr:uid="{00000000-0005-0000-0000-00001B750000}"/>
    <cellStyle name="Normal 5 4 4" xfId="9928" xr:uid="{00000000-0005-0000-0000-00001C750000}"/>
    <cellStyle name="Normal 5 4 4 2" xfId="21283" xr:uid="{00000000-0005-0000-0000-00001D750000}"/>
    <cellStyle name="Normal 5 4 4 3" xfId="30160" xr:uid="{00000000-0005-0000-0000-00001E750000}"/>
    <cellStyle name="Normal 5 4 5" xfId="12228" xr:uid="{00000000-0005-0000-0000-00001F750000}"/>
    <cellStyle name="Normal 5 4 5 2" xfId="23502" xr:uid="{00000000-0005-0000-0000-000020750000}"/>
    <cellStyle name="Normal 5 4 5 3" xfId="32379" xr:uid="{00000000-0005-0000-0000-000021750000}"/>
    <cellStyle name="Normal 5 4 6" xfId="14597" xr:uid="{00000000-0005-0000-0000-000022750000}"/>
    <cellStyle name="Normal 5 4 6 2" xfId="25721" xr:uid="{00000000-0005-0000-0000-000023750000}"/>
    <cellStyle name="Normal 5 4 6 3" xfId="34598" xr:uid="{00000000-0005-0000-0000-000024750000}"/>
    <cellStyle name="Normal 5 4 7" xfId="19058" xr:uid="{00000000-0005-0000-0000-000025750000}"/>
    <cellStyle name="Normal 5 4 8" xfId="27939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0" xr:uid="{00000000-0005-0000-0000-00002A750000}"/>
    <cellStyle name="Normal 5 5 2 2 3" xfId="31637" xr:uid="{00000000-0005-0000-0000-00002B750000}"/>
    <cellStyle name="Normal 5 5 2 3" xfId="13705" xr:uid="{00000000-0005-0000-0000-00002C750000}"/>
    <cellStyle name="Normal 5 5 2 3 2" xfId="24979" xr:uid="{00000000-0005-0000-0000-00002D750000}"/>
    <cellStyle name="Normal 5 5 2 3 3" xfId="33856" xr:uid="{00000000-0005-0000-0000-00002E750000}"/>
    <cellStyle name="Normal 5 5 2 4" xfId="16155" xr:uid="{00000000-0005-0000-0000-00002F750000}"/>
    <cellStyle name="Normal 5 5 2 4 2" xfId="27198" xr:uid="{00000000-0005-0000-0000-000030750000}"/>
    <cellStyle name="Normal 5 5 2 4 3" xfId="36075" xr:uid="{00000000-0005-0000-0000-000031750000}"/>
    <cellStyle name="Normal 5 5 2 5" xfId="20541" xr:uid="{00000000-0005-0000-0000-000032750000}"/>
    <cellStyle name="Normal 5 5 2 6" xfId="29418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7" xr:uid="{00000000-0005-0000-0000-000036750000}"/>
    <cellStyle name="Normal 5 5 3 2 3" xfId="30904" xr:uid="{00000000-0005-0000-0000-000037750000}"/>
    <cellStyle name="Normal 5 5 3 3" xfId="12972" xr:uid="{00000000-0005-0000-0000-000038750000}"/>
    <cellStyle name="Normal 5 5 3 3 2" xfId="24246" xr:uid="{00000000-0005-0000-0000-000039750000}"/>
    <cellStyle name="Normal 5 5 3 3 3" xfId="33123" xr:uid="{00000000-0005-0000-0000-00003A750000}"/>
    <cellStyle name="Normal 5 5 3 4" xfId="15422" xr:uid="{00000000-0005-0000-0000-00003B750000}"/>
    <cellStyle name="Normal 5 5 3 4 2" xfId="26465" xr:uid="{00000000-0005-0000-0000-00003C750000}"/>
    <cellStyle name="Normal 5 5 3 4 3" xfId="35342" xr:uid="{00000000-0005-0000-0000-00003D750000}"/>
    <cellStyle name="Normal 5 5 3 5" xfId="19808" xr:uid="{00000000-0005-0000-0000-00003E750000}"/>
    <cellStyle name="Normal 5 5 3 6" xfId="28685" xr:uid="{00000000-0005-0000-0000-00003F750000}"/>
    <cellStyle name="Normal 5 5 4" xfId="9929" xr:uid="{00000000-0005-0000-0000-000040750000}"/>
    <cellStyle name="Normal 5 5 4 2" xfId="21284" xr:uid="{00000000-0005-0000-0000-000041750000}"/>
    <cellStyle name="Normal 5 5 4 3" xfId="30161" xr:uid="{00000000-0005-0000-0000-000042750000}"/>
    <cellStyle name="Normal 5 5 5" xfId="12229" xr:uid="{00000000-0005-0000-0000-000043750000}"/>
    <cellStyle name="Normal 5 5 5 2" xfId="23503" xr:uid="{00000000-0005-0000-0000-000044750000}"/>
    <cellStyle name="Normal 5 5 5 3" xfId="32380" xr:uid="{00000000-0005-0000-0000-000045750000}"/>
    <cellStyle name="Normal 5 5 6" xfId="14598" xr:uid="{00000000-0005-0000-0000-000046750000}"/>
    <cellStyle name="Normal 5 5 6 2" xfId="25722" xr:uid="{00000000-0005-0000-0000-000047750000}"/>
    <cellStyle name="Normal 5 5 6 3" xfId="34599" xr:uid="{00000000-0005-0000-0000-000048750000}"/>
    <cellStyle name="Normal 5 5 7" xfId="19059" xr:uid="{00000000-0005-0000-0000-000049750000}"/>
    <cellStyle name="Normal 5 5 8" xfId="27940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1" xr:uid="{00000000-0005-0000-0000-00004E750000}"/>
    <cellStyle name="Normal 5 6 2 2 3" xfId="31638" xr:uid="{00000000-0005-0000-0000-00004F750000}"/>
    <cellStyle name="Normal 5 6 2 3" xfId="13706" xr:uid="{00000000-0005-0000-0000-000050750000}"/>
    <cellStyle name="Normal 5 6 2 3 2" xfId="24980" xr:uid="{00000000-0005-0000-0000-000051750000}"/>
    <cellStyle name="Normal 5 6 2 3 3" xfId="33857" xr:uid="{00000000-0005-0000-0000-000052750000}"/>
    <cellStyle name="Normal 5 6 2 4" xfId="16156" xr:uid="{00000000-0005-0000-0000-000053750000}"/>
    <cellStyle name="Normal 5 6 2 4 2" xfId="27199" xr:uid="{00000000-0005-0000-0000-000054750000}"/>
    <cellStyle name="Normal 5 6 2 4 3" xfId="36076" xr:uid="{00000000-0005-0000-0000-000055750000}"/>
    <cellStyle name="Normal 5 6 2 5" xfId="20542" xr:uid="{00000000-0005-0000-0000-000056750000}"/>
    <cellStyle name="Normal 5 6 2 6" xfId="29419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8" xr:uid="{00000000-0005-0000-0000-00005A750000}"/>
    <cellStyle name="Normal 5 6 3 2 3" xfId="30905" xr:uid="{00000000-0005-0000-0000-00005B750000}"/>
    <cellStyle name="Normal 5 6 3 3" xfId="12973" xr:uid="{00000000-0005-0000-0000-00005C750000}"/>
    <cellStyle name="Normal 5 6 3 3 2" xfId="24247" xr:uid="{00000000-0005-0000-0000-00005D750000}"/>
    <cellStyle name="Normal 5 6 3 3 3" xfId="33124" xr:uid="{00000000-0005-0000-0000-00005E750000}"/>
    <cellStyle name="Normal 5 6 3 4" xfId="15423" xr:uid="{00000000-0005-0000-0000-00005F750000}"/>
    <cellStyle name="Normal 5 6 3 4 2" xfId="26466" xr:uid="{00000000-0005-0000-0000-000060750000}"/>
    <cellStyle name="Normal 5 6 3 4 3" xfId="35343" xr:uid="{00000000-0005-0000-0000-000061750000}"/>
    <cellStyle name="Normal 5 6 3 5" xfId="19809" xr:uid="{00000000-0005-0000-0000-000062750000}"/>
    <cellStyle name="Normal 5 6 3 6" xfId="28686" xr:uid="{00000000-0005-0000-0000-000063750000}"/>
    <cellStyle name="Normal 5 6 4" xfId="9930" xr:uid="{00000000-0005-0000-0000-000064750000}"/>
    <cellStyle name="Normal 5 6 4 2" xfId="21285" xr:uid="{00000000-0005-0000-0000-000065750000}"/>
    <cellStyle name="Normal 5 6 4 3" xfId="30162" xr:uid="{00000000-0005-0000-0000-000066750000}"/>
    <cellStyle name="Normal 5 6 5" xfId="12230" xr:uid="{00000000-0005-0000-0000-000067750000}"/>
    <cellStyle name="Normal 5 6 5 2" xfId="23504" xr:uid="{00000000-0005-0000-0000-000068750000}"/>
    <cellStyle name="Normal 5 6 5 3" xfId="32381" xr:uid="{00000000-0005-0000-0000-000069750000}"/>
    <cellStyle name="Normal 5 6 6" xfId="14599" xr:uid="{00000000-0005-0000-0000-00006A750000}"/>
    <cellStyle name="Normal 5 6 6 2" xfId="25723" xr:uid="{00000000-0005-0000-0000-00006B750000}"/>
    <cellStyle name="Normal 5 6 6 3" xfId="34600" xr:uid="{00000000-0005-0000-0000-00006C750000}"/>
    <cellStyle name="Normal 5 6 7" xfId="19060" xr:uid="{00000000-0005-0000-0000-00006D750000}"/>
    <cellStyle name="Normal 5 6 8" xfId="27941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5" xr:uid="{00000000-0005-0000-0000-000072750000}"/>
    <cellStyle name="Normal 6" xfId="19076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5" xr:uid="{00000000-0005-0000-0000-00007F750000}"/>
    <cellStyle name="Normal 6 8 2 2 3" xfId="31642" xr:uid="{00000000-0005-0000-0000-000080750000}"/>
    <cellStyle name="Normal 6 8 2 3" xfId="13710" xr:uid="{00000000-0005-0000-0000-000081750000}"/>
    <cellStyle name="Normal 6 8 2 3 2" xfId="24984" xr:uid="{00000000-0005-0000-0000-000082750000}"/>
    <cellStyle name="Normal 6 8 2 3 3" xfId="33861" xr:uid="{00000000-0005-0000-0000-000083750000}"/>
    <cellStyle name="Normal 6 8 2 4" xfId="16160" xr:uid="{00000000-0005-0000-0000-000084750000}"/>
    <cellStyle name="Normal 6 8 2 4 2" xfId="27203" xr:uid="{00000000-0005-0000-0000-000085750000}"/>
    <cellStyle name="Normal 6 8 2 4 3" xfId="36080" xr:uid="{00000000-0005-0000-0000-000086750000}"/>
    <cellStyle name="Normal 6 8 2 5" xfId="20546" xr:uid="{00000000-0005-0000-0000-000087750000}"/>
    <cellStyle name="Normal 6 8 2 6" xfId="29423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2" xr:uid="{00000000-0005-0000-0000-00008B750000}"/>
    <cellStyle name="Normal 6 8 3 2 3" xfId="30909" xr:uid="{00000000-0005-0000-0000-00008C750000}"/>
    <cellStyle name="Normal 6 8 3 3" xfId="12977" xr:uid="{00000000-0005-0000-0000-00008D750000}"/>
    <cellStyle name="Normal 6 8 3 3 2" xfId="24251" xr:uid="{00000000-0005-0000-0000-00008E750000}"/>
    <cellStyle name="Normal 6 8 3 3 3" xfId="33128" xr:uid="{00000000-0005-0000-0000-00008F750000}"/>
    <cellStyle name="Normal 6 8 3 4" xfId="15427" xr:uid="{00000000-0005-0000-0000-000090750000}"/>
    <cellStyle name="Normal 6 8 3 4 2" xfId="26470" xr:uid="{00000000-0005-0000-0000-000091750000}"/>
    <cellStyle name="Normal 6 8 3 4 3" xfId="35347" xr:uid="{00000000-0005-0000-0000-000092750000}"/>
    <cellStyle name="Normal 6 8 3 5" xfId="19813" xr:uid="{00000000-0005-0000-0000-000093750000}"/>
    <cellStyle name="Normal 6 8 3 6" xfId="28690" xr:uid="{00000000-0005-0000-0000-000094750000}"/>
    <cellStyle name="Normal 6 8 4" xfId="9934" xr:uid="{00000000-0005-0000-0000-000095750000}"/>
    <cellStyle name="Normal 6 8 4 2" xfId="21289" xr:uid="{00000000-0005-0000-0000-000096750000}"/>
    <cellStyle name="Normal 6 8 4 3" xfId="30166" xr:uid="{00000000-0005-0000-0000-000097750000}"/>
    <cellStyle name="Normal 6 8 5" xfId="12234" xr:uid="{00000000-0005-0000-0000-000098750000}"/>
    <cellStyle name="Normal 6 8 5 2" xfId="23508" xr:uid="{00000000-0005-0000-0000-000099750000}"/>
    <cellStyle name="Normal 6 8 5 3" xfId="32385" xr:uid="{00000000-0005-0000-0000-00009A750000}"/>
    <cellStyle name="Normal 6 8 6" xfId="14603" xr:uid="{00000000-0005-0000-0000-00009B750000}"/>
    <cellStyle name="Normal 6 8 6 2" xfId="25727" xr:uid="{00000000-0005-0000-0000-00009C750000}"/>
    <cellStyle name="Normal 6 8 6 3" xfId="34604" xr:uid="{00000000-0005-0000-0000-00009D750000}"/>
    <cellStyle name="Normal 6 8 7" xfId="19064" xr:uid="{00000000-0005-0000-0000-00009E750000}"/>
    <cellStyle name="Normal 6 8 8" xfId="27946" xr:uid="{00000000-0005-0000-0000-00009F750000}"/>
    <cellStyle name="Normal 6 9" xfId="4346" xr:uid="{00000000-0005-0000-0000-0000A0750000}"/>
    <cellStyle name="Normal 7" xfId="19077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3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6" xr:uid="{00000000-0005-0000-0000-0000AD750000}"/>
    <cellStyle name="Normal 7 7 2 2 3" xfId="31643" xr:uid="{00000000-0005-0000-0000-0000AE750000}"/>
    <cellStyle name="Normal 7 7 2 3" xfId="13711" xr:uid="{00000000-0005-0000-0000-0000AF750000}"/>
    <cellStyle name="Normal 7 7 2 3 2" xfId="24985" xr:uid="{00000000-0005-0000-0000-0000B0750000}"/>
    <cellStyle name="Normal 7 7 2 3 3" xfId="33862" xr:uid="{00000000-0005-0000-0000-0000B1750000}"/>
    <cellStyle name="Normal 7 7 2 4" xfId="16161" xr:uid="{00000000-0005-0000-0000-0000B2750000}"/>
    <cellStyle name="Normal 7 7 2 4 2" xfId="27204" xr:uid="{00000000-0005-0000-0000-0000B3750000}"/>
    <cellStyle name="Normal 7 7 2 4 3" xfId="36081" xr:uid="{00000000-0005-0000-0000-0000B4750000}"/>
    <cellStyle name="Normal 7 7 2 5" xfId="20547" xr:uid="{00000000-0005-0000-0000-0000B5750000}"/>
    <cellStyle name="Normal 7 7 2 6" xfId="29424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3" xr:uid="{00000000-0005-0000-0000-0000B9750000}"/>
    <cellStyle name="Normal 7 7 3 2 3" xfId="30910" xr:uid="{00000000-0005-0000-0000-0000BA750000}"/>
    <cellStyle name="Normal 7 7 3 3" xfId="12978" xr:uid="{00000000-0005-0000-0000-0000BB750000}"/>
    <cellStyle name="Normal 7 7 3 3 2" xfId="24252" xr:uid="{00000000-0005-0000-0000-0000BC750000}"/>
    <cellStyle name="Normal 7 7 3 3 3" xfId="33129" xr:uid="{00000000-0005-0000-0000-0000BD750000}"/>
    <cellStyle name="Normal 7 7 3 4" xfId="15428" xr:uid="{00000000-0005-0000-0000-0000BE750000}"/>
    <cellStyle name="Normal 7 7 3 4 2" xfId="26471" xr:uid="{00000000-0005-0000-0000-0000BF750000}"/>
    <cellStyle name="Normal 7 7 3 4 3" xfId="35348" xr:uid="{00000000-0005-0000-0000-0000C0750000}"/>
    <cellStyle name="Normal 7 7 3 5" xfId="19814" xr:uid="{00000000-0005-0000-0000-0000C1750000}"/>
    <cellStyle name="Normal 7 7 3 6" xfId="28691" xr:uid="{00000000-0005-0000-0000-0000C2750000}"/>
    <cellStyle name="Normal 7 7 4" xfId="9935" xr:uid="{00000000-0005-0000-0000-0000C3750000}"/>
    <cellStyle name="Normal 7 7 4 2" xfId="21290" xr:uid="{00000000-0005-0000-0000-0000C4750000}"/>
    <cellStyle name="Normal 7 7 4 3" xfId="30167" xr:uid="{00000000-0005-0000-0000-0000C5750000}"/>
    <cellStyle name="Normal 7 7 5" xfId="12235" xr:uid="{00000000-0005-0000-0000-0000C6750000}"/>
    <cellStyle name="Normal 7 7 5 2" xfId="23509" xr:uid="{00000000-0005-0000-0000-0000C7750000}"/>
    <cellStyle name="Normal 7 7 5 3" xfId="32386" xr:uid="{00000000-0005-0000-0000-0000C8750000}"/>
    <cellStyle name="Normal 7 7 6" xfId="14604" xr:uid="{00000000-0005-0000-0000-0000C9750000}"/>
    <cellStyle name="Normal 7 7 6 2" xfId="25728" xr:uid="{00000000-0005-0000-0000-0000CA750000}"/>
    <cellStyle name="Normal 7 7 6 3" xfId="34605" xr:uid="{00000000-0005-0000-0000-0000CB750000}"/>
    <cellStyle name="Normal 7 7 7" xfId="19065" xr:uid="{00000000-0005-0000-0000-0000CC750000}"/>
    <cellStyle name="Normal 7 7 8" xfId="27947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8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8" xr:uid="{00000000-0005-0000-0000-0000D7750000}"/>
    <cellStyle name="Normal 8 4 2 3" xfId="30915" xr:uid="{00000000-0005-0000-0000-0000D8750000}"/>
    <cellStyle name="Normal 8 4 3" xfId="12983" xr:uid="{00000000-0005-0000-0000-0000D9750000}"/>
    <cellStyle name="Normal 8 4 3 2" xfId="24257" xr:uid="{00000000-0005-0000-0000-0000DA750000}"/>
    <cellStyle name="Normal 8 4 3 3" xfId="33134" xr:uid="{00000000-0005-0000-0000-0000DB750000}"/>
    <cellStyle name="Normal 8 4 4" xfId="15433" xr:uid="{00000000-0005-0000-0000-0000DC750000}"/>
    <cellStyle name="Normal 8 4 4 2" xfId="26476" xr:uid="{00000000-0005-0000-0000-0000DD750000}"/>
    <cellStyle name="Normal 8 4 4 3" xfId="35353" xr:uid="{00000000-0005-0000-0000-0000DE750000}"/>
    <cellStyle name="Normal 8 4 5" xfId="16942" xr:uid="{00000000-0005-0000-0000-0000DF750000}"/>
    <cellStyle name="Normal 8 4 6" xfId="19819" xr:uid="{00000000-0005-0000-0000-0000E0750000}"/>
    <cellStyle name="Normal 8 4 7" xfId="28696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5" xr:uid="{00000000-0005-0000-0000-0000E4750000}"/>
    <cellStyle name="Normal 8 5 2 3" xfId="30182" xr:uid="{00000000-0005-0000-0000-0000E5750000}"/>
    <cellStyle name="Normal 8 5 3" xfId="12250" xr:uid="{00000000-0005-0000-0000-0000E6750000}"/>
    <cellStyle name="Normal 8 5 3 2" xfId="23524" xr:uid="{00000000-0005-0000-0000-0000E7750000}"/>
    <cellStyle name="Normal 8 5 3 3" xfId="32401" xr:uid="{00000000-0005-0000-0000-0000E8750000}"/>
    <cellStyle name="Normal 8 5 4" xfId="14700" xr:uid="{00000000-0005-0000-0000-0000E9750000}"/>
    <cellStyle name="Normal 8 5 4 2" xfId="25743" xr:uid="{00000000-0005-0000-0000-0000EA750000}"/>
    <cellStyle name="Normal 8 5 4 3" xfId="34620" xr:uid="{00000000-0005-0000-0000-0000EB750000}"/>
    <cellStyle name="Normal 8 5 5" xfId="19086" xr:uid="{00000000-0005-0000-0000-0000EC750000}"/>
    <cellStyle name="Normal 8 5 6" xfId="27963" xr:uid="{00000000-0005-0000-0000-0000ED750000}"/>
    <cellStyle name="Normal 8 6" xfId="9057" xr:uid="{00000000-0005-0000-0000-0000EE750000}"/>
    <cellStyle name="Normal 8 6 2" xfId="20562" xr:uid="{00000000-0005-0000-0000-0000EF750000}"/>
    <cellStyle name="Normal 8 6 3" xfId="29439" xr:uid="{00000000-0005-0000-0000-0000F0750000}"/>
    <cellStyle name="Normal 8 7" xfId="11507" xr:uid="{00000000-0005-0000-0000-0000F1750000}"/>
    <cellStyle name="Normal 8 7 2" xfId="22781" xr:uid="{00000000-0005-0000-0000-0000F2750000}"/>
    <cellStyle name="Normal 8 7 3" xfId="31658" xr:uid="{00000000-0005-0000-0000-0000F3750000}"/>
    <cellStyle name="Normal 8 8" xfId="13726" xr:uid="{00000000-0005-0000-0000-0000F4750000}"/>
    <cellStyle name="Normal 8 8 2" xfId="25000" xr:uid="{00000000-0005-0000-0000-0000F5750000}"/>
    <cellStyle name="Normal 8 8 3" xfId="33877" xr:uid="{00000000-0005-0000-0000-0000F6750000}"/>
    <cellStyle name="Normal 8 9" xfId="18337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1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3" xr:uid="{00000000-0005-0000-0000-000005760000}"/>
    <cellStyle name="Normal 9 2 4 3 2 3" xfId="31650" xr:uid="{00000000-0005-0000-0000-000006760000}"/>
    <cellStyle name="Normal 9 2 4 3 3" xfId="13718" xr:uid="{00000000-0005-0000-0000-000007760000}"/>
    <cellStyle name="Normal 9 2 4 3 3 2" xfId="24992" xr:uid="{00000000-0005-0000-0000-000008760000}"/>
    <cellStyle name="Normal 9 2 4 3 3 3" xfId="33869" xr:uid="{00000000-0005-0000-0000-000009760000}"/>
    <cellStyle name="Normal 9 2 4 3 4" xfId="16168" xr:uid="{00000000-0005-0000-0000-00000A760000}"/>
    <cellStyle name="Normal 9 2 4 3 4 2" xfId="27211" xr:uid="{00000000-0005-0000-0000-00000B760000}"/>
    <cellStyle name="Normal 9 2 4 3 4 3" xfId="36088" xr:uid="{00000000-0005-0000-0000-00000C760000}"/>
    <cellStyle name="Normal 9 2 4 3 5" xfId="20554" xr:uid="{00000000-0005-0000-0000-00000D760000}"/>
    <cellStyle name="Normal 9 2 4 3 6" xfId="29431" xr:uid="{00000000-0005-0000-0000-00000E760000}"/>
    <cellStyle name="Normal 9 2 4 4" xfId="10023" xr:uid="{00000000-0005-0000-0000-00000F760000}"/>
    <cellStyle name="Normal 9 2 4 4 2" xfId="21297" xr:uid="{00000000-0005-0000-0000-000010760000}"/>
    <cellStyle name="Normal 9 2 4 4 3" xfId="30174" xr:uid="{00000000-0005-0000-0000-000011760000}"/>
    <cellStyle name="Normal 9 2 4 5" xfId="12242" xr:uid="{00000000-0005-0000-0000-000012760000}"/>
    <cellStyle name="Normal 9 2 4 5 2" xfId="23516" xr:uid="{00000000-0005-0000-0000-000013760000}"/>
    <cellStyle name="Normal 9 2 4 5 3" xfId="32393" xr:uid="{00000000-0005-0000-0000-000014760000}"/>
    <cellStyle name="Normal 9 2 4 6" xfId="14692" xr:uid="{00000000-0005-0000-0000-000015760000}"/>
    <cellStyle name="Normal 9 2 4 6 2" xfId="25735" xr:uid="{00000000-0005-0000-0000-000016760000}"/>
    <cellStyle name="Normal 9 2 4 6 3" xfId="34612" xr:uid="{00000000-0005-0000-0000-000017760000}"/>
    <cellStyle name="Normal 9 2 4 7" xfId="19078" xr:uid="{00000000-0005-0000-0000-000018760000}"/>
    <cellStyle name="Normal 9 2 4 8" xfId="27954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5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4" xr:uid="{00000000-0005-0000-0000-000020760000}"/>
    <cellStyle name="Normal 9 3 2 2 2 3" xfId="31651" xr:uid="{00000000-0005-0000-0000-000021760000}"/>
    <cellStyle name="Normal 9 3 2 2 3" xfId="13719" xr:uid="{00000000-0005-0000-0000-000022760000}"/>
    <cellStyle name="Normal 9 3 2 2 3 2" xfId="24993" xr:uid="{00000000-0005-0000-0000-000023760000}"/>
    <cellStyle name="Normal 9 3 2 2 3 3" xfId="33870" xr:uid="{00000000-0005-0000-0000-000024760000}"/>
    <cellStyle name="Normal 9 3 2 2 4" xfId="16169" xr:uid="{00000000-0005-0000-0000-000025760000}"/>
    <cellStyle name="Normal 9 3 2 2 4 2" xfId="27212" xr:uid="{00000000-0005-0000-0000-000026760000}"/>
    <cellStyle name="Normal 9 3 2 2 4 3" xfId="36089" xr:uid="{00000000-0005-0000-0000-000027760000}"/>
    <cellStyle name="Normal 9 3 2 2 5" xfId="20555" xr:uid="{00000000-0005-0000-0000-000028760000}"/>
    <cellStyle name="Normal 9 3 2 2 6" xfId="29432" xr:uid="{00000000-0005-0000-0000-000029760000}"/>
    <cellStyle name="Normal 9 3 2 3" xfId="10024" xr:uid="{00000000-0005-0000-0000-00002A760000}"/>
    <cellStyle name="Normal 9 3 2 3 2" xfId="21298" xr:uid="{00000000-0005-0000-0000-00002B760000}"/>
    <cellStyle name="Normal 9 3 2 3 3" xfId="30175" xr:uid="{00000000-0005-0000-0000-00002C760000}"/>
    <cellStyle name="Normal 9 3 2 4" xfId="12243" xr:uid="{00000000-0005-0000-0000-00002D760000}"/>
    <cellStyle name="Normal 9 3 2 4 2" xfId="23517" xr:uid="{00000000-0005-0000-0000-00002E760000}"/>
    <cellStyle name="Normal 9 3 2 4 3" xfId="32394" xr:uid="{00000000-0005-0000-0000-00002F760000}"/>
    <cellStyle name="Normal 9 3 2 5" xfId="14693" xr:uid="{00000000-0005-0000-0000-000030760000}"/>
    <cellStyle name="Normal 9 3 2 5 2" xfId="25736" xr:uid="{00000000-0005-0000-0000-000031760000}"/>
    <cellStyle name="Normal 9 3 2 5 3" xfId="34613" xr:uid="{00000000-0005-0000-0000-000032760000}"/>
    <cellStyle name="Normal 9 3 2 6" xfId="19079" xr:uid="{00000000-0005-0000-0000-000033760000}"/>
    <cellStyle name="Normal 9 3 2 7" xfId="27955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4" xr:uid="{00000000-0005-0000-0000-000037760000}"/>
    <cellStyle name="Normal 9 3 3 2 3" xfId="31641" xr:uid="{00000000-0005-0000-0000-000038760000}"/>
    <cellStyle name="Normal 9 3 3 3" xfId="13709" xr:uid="{00000000-0005-0000-0000-000039760000}"/>
    <cellStyle name="Normal 9 3 3 3 2" xfId="24983" xr:uid="{00000000-0005-0000-0000-00003A760000}"/>
    <cellStyle name="Normal 9 3 3 3 3" xfId="33860" xr:uid="{00000000-0005-0000-0000-00003B760000}"/>
    <cellStyle name="Normal 9 3 3 4" xfId="16159" xr:uid="{00000000-0005-0000-0000-00003C760000}"/>
    <cellStyle name="Normal 9 3 3 4 2" xfId="27202" xr:uid="{00000000-0005-0000-0000-00003D760000}"/>
    <cellStyle name="Normal 9 3 3 4 3" xfId="36079" xr:uid="{00000000-0005-0000-0000-00003E760000}"/>
    <cellStyle name="Normal 9 3 3 5" xfId="20545" xr:uid="{00000000-0005-0000-0000-00003F760000}"/>
    <cellStyle name="Normal 9 3 3 6" xfId="29422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1" xr:uid="{00000000-0005-0000-0000-000043760000}"/>
    <cellStyle name="Normal 9 3 4 2 3" xfId="30908" xr:uid="{00000000-0005-0000-0000-000044760000}"/>
    <cellStyle name="Normal 9 3 4 3" xfId="12976" xr:uid="{00000000-0005-0000-0000-000045760000}"/>
    <cellStyle name="Normal 9 3 4 3 2" xfId="24250" xr:uid="{00000000-0005-0000-0000-000046760000}"/>
    <cellStyle name="Normal 9 3 4 3 3" xfId="33127" xr:uid="{00000000-0005-0000-0000-000047760000}"/>
    <cellStyle name="Normal 9 3 4 4" xfId="15426" xr:uid="{00000000-0005-0000-0000-000048760000}"/>
    <cellStyle name="Normal 9 3 4 4 2" xfId="26469" xr:uid="{00000000-0005-0000-0000-000049760000}"/>
    <cellStyle name="Normal 9 3 4 4 3" xfId="35346" xr:uid="{00000000-0005-0000-0000-00004A760000}"/>
    <cellStyle name="Normal 9 3 4 5" xfId="19812" xr:uid="{00000000-0005-0000-0000-00004B760000}"/>
    <cellStyle name="Normal 9 3 4 6" xfId="28689" xr:uid="{00000000-0005-0000-0000-00004C760000}"/>
    <cellStyle name="Normal 9 3 5" xfId="9933" xr:uid="{00000000-0005-0000-0000-00004D760000}"/>
    <cellStyle name="Normal 9 3 5 2" xfId="16940" xr:uid="{00000000-0005-0000-0000-00004E760000}"/>
    <cellStyle name="Normal 9 3 5 3" xfId="21288" xr:uid="{00000000-0005-0000-0000-00004F760000}"/>
    <cellStyle name="Normal 9 3 5 4" xfId="30165" xr:uid="{00000000-0005-0000-0000-000050760000}"/>
    <cellStyle name="Normal 9 3 6" xfId="12233" xr:uid="{00000000-0005-0000-0000-000051760000}"/>
    <cellStyle name="Normal 9 3 6 2" xfId="16939" xr:uid="{00000000-0005-0000-0000-000052760000}"/>
    <cellStyle name="Normal 9 3 6 3" xfId="23507" xr:uid="{00000000-0005-0000-0000-000053760000}"/>
    <cellStyle name="Normal 9 3 6 4" xfId="32384" xr:uid="{00000000-0005-0000-0000-000054760000}"/>
    <cellStyle name="Normal 9 3 7" xfId="14602" xr:uid="{00000000-0005-0000-0000-000055760000}"/>
    <cellStyle name="Normal 9 3 7 2" xfId="25726" xr:uid="{00000000-0005-0000-0000-000056760000}"/>
    <cellStyle name="Normal 9 3 7 3" xfId="34603" xr:uid="{00000000-0005-0000-0000-000057760000}"/>
    <cellStyle name="Normal 9 3 8" xfId="16681" xr:uid="{00000000-0005-0000-0000-000058760000}"/>
    <cellStyle name="Normal 9 3 9" xfId="19063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6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6" xr:uid="{00000000-0005-0000-0000-000060760000}"/>
    <cellStyle name="Normal 9 4 2 2 2 2 3" xfId="31653" xr:uid="{00000000-0005-0000-0000-000061760000}"/>
    <cellStyle name="Normal 9 4 2 2 2 3" xfId="13721" xr:uid="{00000000-0005-0000-0000-000062760000}"/>
    <cellStyle name="Normal 9 4 2 2 2 3 2" xfId="24995" xr:uid="{00000000-0005-0000-0000-000063760000}"/>
    <cellStyle name="Normal 9 4 2 2 2 3 3" xfId="33872" xr:uid="{00000000-0005-0000-0000-000064760000}"/>
    <cellStyle name="Normal 9 4 2 2 2 4" xfId="16171" xr:uid="{00000000-0005-0000-0000-000065760000}"/>
    <cellStyle name="Normal 9 4 2 2 2 4 2" xfId="27214" xr:uid="{00000000-0005-0000-0000-000066760000}"/>
    <cellStyle name="Normal 9 4 2 2 2 4 3" xfId="36091" xr:uid="{00000000-0005-0000-0000-000067760000}"/>
    <cellStyle name="Normal 9 4 2 2 2 5" xfId="20557" xr:uid="{00000000-0005-0000-0000-000068760000}"/>
    <cellStyle name="Normal 9 4 2 2 2 6" xfId="29434" xr:uid="{00000000-0005-0000-0000-000069760000}"/>
    <cellStyle name="Normal 9 4 2 2 3" xfId="10026" xr:uid="{00000000-0005-0000-0000-00006A760000}"/>
    <cellStyle name="Normal 9 4 2 2 3 2" xfId="21300" xr:uid="{00000000-0005-0000-0000-00006B760000}"/>
    <cellStyle name="Normal 9 4 2 2 3 3" xfId="30177" xr:uid="{00000000-0005-0000-0000-00006C760000}"/>
    <cellStyle name="Normal 9 4 2 2 4" xfId="12245" xr:uid="{00000000-0005-0000-0000-00006D760000}"/>
    <cellStyle name="Normal 9 4 2 2 4 2" xfId="23519" xr:uid="{00000000-0005-0000-0000-00006E760000}"/>
    <cellStyle name="Normal 9 4 2 2 4 3" xfId="32396" xr:uid="{00000000-0005-0000-0000-00006F760000}"/>
    <cellStyle name="Normal 9 4 2 2 5" xfId="14695" xr:uid="{00000000-0005-0000-0000-000070760000}"/>
    <cellStyle name="Normal 9 4 2 2 5 2" xfId="25738" xr:uid="{00000000-0005-0000-0000-000071760000}"/>
    <cellStyle name="Normal 9 4 2 2 5 3" xfId="34615" xr:uid="{00000000-0005-0000-0000-000072760000}"/>
    <cellStyle name="Normal 9 4 2 2 6" xfId="19081" xr:uid="{00000000-0005-0000-0000-000073760000}"/>
    <cellStyle name="Normal 9 4 2 2 7" xfId="27957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5" xr:uid="{00000000-0005-0000-0000-000077760000}"/>
    <cellStyle name="Normal 9 4 2 3 2 3" xfId="31652" xr:uid="{00000000-0005-0000-0000-000078760000}"/>
    <cellStyle name="Normal 9 4 2 3 3" xfId="13720" xr:uid="{00000000-0005-0000-0000-000079760000}"/>
    <cellStyle name="Normal 9 4 2 3 3 2" xfId="24994" xr:uid="{00000000-0005-0000-0000-00007A760000}"/>
    <cellStyle name="Normal 9 4 2 3 3 3" xfId="33871" xr:uid="{00000000-0005-0000-0000-00007B760000}"/>
    <cellStyle name="Normal 9 4 2 3 4" xfId="16170" xr:uid="{00000000-0005-0000-0000-00007C760000}"/>
    <cellStyle name="Normal 9 4 2 3 4 2" xfId="27213" xr:uid="{00000000-0005-0000-0000-00007D760000}"/>
    <cellStyle name="Normal 9 4 2 3 4 3" xfId="36090" xr:uid="{00000000-0005-0000-0000-00007E760000}"/>
    <cellStyle name="Normal 9 4 2 3 5" xfId="20556" xr:uid="{00000000-0005-0000-0000-00007F760000}"/>
    <cellStyle name="Normal 9 4 2 3 6" xfId="29433" xr:uid="{00000000-0005-0000-0000-000080760000}"/>
    <cellStyle name="Normal 9 4 2 4" xfId="10025" xr:uid="{00000000-0005-0000-0000-000081760000}"/>
    <cellStyle name="Normal 9 4 2 4 2" xfId="16937" xr:uid="{00000000-0005-0000-0000-000082760000}"/>
    <cellStyle name="Normal 9 4 2 4 3" xfId="21299" xr:uid="{00000000-0005-0000-0000-000083760000}"/>
    <cellStyle name="Normal 9 4 2 4 4" xfId="30176" xr:uid="{00000000-0005-0000-0000-000084760000}"/>
    <cellStyle name="Normal 9 4 2 5" xfId="12244" xr:uid="{00000000-0005-0000-0000-000085760000}"/>
    <cellStyle name="Normal 9 4 2 5 2" xfId="16936" xr:uid="{00000000-0005-0000-0000-000086760000}"/>
    <cellStyle name="Normal 9 4 2 5 3" xfId="23518" xr:uid="{00000000-0005-0000-0000-000087760000}"/>
    <cellStyle name="Normal 9 4 2 5 4" xfId="32395" xr:uid="{00000000-0005-0000-0000-000088760000}"/>
    <cellStyle name="Normal 9 4 2 6" xfId="14694" xr:uid="{00000000-0005-0000-0000-000089760000}"/>
    <cellStyle name="Normal 9 4 2 6 2" xfId="16935" xr:uid="{00000000-0005-0000-0000-00008A760000}"/>
    <cellStyle name="Normal 9 4 2 6 3" xfId="25737" xr:uid="{00000000-0005-0000-0000-00008B760000}"/>
    <cellStyle name="Normal 9 4 2 6 4" xfId="34614" xr:uid="{00000000-0005-0000-0000-00008C760000}"/>
    <cellStyle name="Normal 9 4 2 7" xfId="16934" xr:uid="{00000000-0005-0000-0000-00008D760000}"/>
    <cellStyle name="Normal 9 4 2 8" xfId="16938" xr:uid="{00000000-0005-0000-0000-00008E760000}"/>
    <cellStyle name="Normal 9 4 2 9" xfId="19080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3" xr:uid="{00000000-0005-0000-0000-000097760000}"/>
    <cellStyle name="Normal 9 7" xfId="4375" xr:uid="{00000000-0005-0000-0000-000098760000}"/>
    <cellStyle name="Normal 9 7 2" xfId="16932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79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1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0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29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8" xr:uid="{00000000-0005-0000-0000-0000DE770000}"/>
    <cellStyle name="Notiz 8 3" xfId="16927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6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3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2" xr:uid="{00000000-0005-0000-0000-000025780000}"/>
    <cellStyle name="Percent 10 2 2 3" xfId="31639" xr:uid="{00000000-0005-0000-0000-000026780000}"/>
    <cellStyle name="Percent 10 2 3" xfId="13707" xr:uid="{00000000-0005-0000-0000-000027780000}"/>
    <cellStyle name="Percent 10 2 3 2" xfId="24981" xr:uid="{00000000-0005-0000-0000-000028780000}"/>
    <cellStyle name="Percent 10 2 3 3" xfId="33858" xr:uid="{00000000-0005-0000-0000-000029780000}"/>
    <cellStyle name="Percent 10 2 4" xfId="16157" xr:uid="{00000000-0005-0000-0000-00002A780000}"/>
    <cellStyle name="Percent 10 2 4 2" xfId="27200" xr:uid="{00000000-0005-0000-0000-00002B780000}"/>
    <cellStyle name="Percent 10 2 4 3" xfId="36077" xr:uid="{00000000-0005-0000-0000-00002C780000}"/>
    <cellStyle name="Percent 10 2 5" xfId="16925" xr:uid="{00000000-0005-0000-0000-00002D780000}"/>
    <cellStyle name="Percent 10 2 6" xfId="20543" xr:uid="{00000000-0005-0000-0000-00002E780000}"/>
    <cellStyle name="Percent 10 2 7" xfId="29420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29" xr:uid="{00000000-0005-0000-0000-000032780000}"/>
    <cellStyle name="Percent 10 3 2 3" xfId="30906" xr:uid="{00000000-0005-0000-0000-000033780000}"/>
    <cellStyle name="Percent 10 3 3" xfId="12974" xr:uid="{00000000-0005-0000-0000-000034780000}"/>
    <cellStyle name="Percent 10 3 3 2" xfId="24248" xr:uid="{00000000-0005-0000-0000-000035780000}"/>
    <cellStyle name="Percent 10 3 3 3" xfId="33125" xr:uid="{00000000-0005-0000-0000-000036780000}"/>
    <cellStyle name="Percent 10 3 4" xfId="15424" xr:uid="{00000000-0005-0000-0000-000037780000}"/>
    <cellStyle name="Percent 10 3 4 2" xfId="26467" xr:uid="{00000000-0005-0000-0000-000038780000}"/>
    <cellStyle name="Percent 10 3 4 3" xfId="35344" xr:uid="{00000000-0005-0000-0000-000039780000}"/>
    <cellStyle name="Percent 10 3 5" xfId="16924" xr:uid="{00000000-0005-0000-0000-00003A780000}"/>
    <cellStyle name="Percent 10 3 6" xfId="19810" xr:uid="{00000000-0005-0000-0000-00003B780000}"/>
    <cellStyle name="Percent 10 3 7" xfId="28687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6" xr:uid="{00000000-0005-0000-0000-00003F780000}"/>
    <cellStyle name="Percent 10 4 4" xfId="30163" xr:uid="{00000000-0005-0000-0000-000040780000}"/>
    <cellStyle name="Percent 10 5" xfId="12231" xr:uid="{00000000-0005-0000-0000-000041780000}"/>
    <cellStyle name="Percent 10 5 2" xfId="16926" xr:uid="{00000000-0005-0000-0000-000042780000}"/>
    <cellStyle name="Percent 10 5 3" xfId="23505" xr:uid="{00000000-0005-0000-0000-000043780000}"/>
    <cellStyle name="Percent 10 5 4" xfId="32382" xr:uid="{00000000-0005-0000-0000-000044780000}"/>
    <cellStyle name="Percent 10 6" xfId="14600" xr:uid="{00000000-0005-0000-0000-000045780000}"/>
    <cellStyle name="Percent 10 6 2" xfId="25724" xr:uid="{00000000-0005-0000-0000-000046780000}"/>
    <cellStyle name="Percent 10 6 3" xfId="34601" xr:uid="{00000000-0005-0000-0000-000047780000}"/>
    <cellStyle name="Percent 10 7" xfId="17052" xr:uid="{00000000-0005-0000-0000-000048780000}"/>
    <cellStyle name="Percent 10 8" xfId="19061" xr:uid="{00000000-0005-0000-0000-000049780000}"/>
    <cellStyle name="Percent 10 9" xfId="27943" xr:uid="{00000000-0005-0000-0000-00004A780000}"/>
    <cellStyle name="Percent 11" xfId="3944" xr:uid="{00000000-0005-0000-0000-00004B780000}"/>
    <cellStyle name="Percent 11 3" xfId="16922" xr:uid="{00000000-0005-0000-0000-00004D780000}"/>
    <cellStyle name="Percent 11 4" xfId="16923" xr:uid="{00000000-0005-0000-0000-00004E780000}"/>
    <cellStyle name="Percent 11 5" xfId="17051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0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49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5" xr:uid="{00000000-0005-0000-0000-000070780000}"/>
    <cellStyle name="Percent 21" xfId="36171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0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7" xr:uid="{00000000-0005-0000-0000-0000D5780000}"/>
    <cellStyle name="Percent 5 5 10 2" xfId="16903" xr:uid="{00000000-0005-0000-0000-0000D6780000}"/>
    <cellStyle name="Percent 5 5 11" xfId="17046" xr:uid="{00000000-0005-0000-0000-0000D7780000}"/>
    <cellStyle name="Percent 5 5 11 2" xfId="16902" xr:uid="{00000000-0005-0000-0000-0000D8780000}"/>
    <cellStyle name="Percent 5 5 12" xfId="17045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6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8" xr:uid="{00000000-0005-0000-0000-0000E2780000}"/>
    <cellStyle name="Percent 5 5 19" xfId="19082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7" xr:uid="{00000000-0005-0000-0000-0000E8780000}"/>
    <cellStyle name="Percent 5 5 2 2 5" xfId="31654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6" xr:uid="{00000000-0005-0000-0000-0000ED780000}"/>
    <cellStyle name="Percent 5 5 2 3 5" xfId="33873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5" xr:uid="{00000000-0005-0000-0000-0000F1780000}"/>
    <cellStyle name="Percent 5 5 2 4 4" xfId="36092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4" xr:uid="{00000000-0005-0000-0000-0000F5780000}"/>
    <cellStyle name="Percent 5 5 2 8" xfId="20558" xr:uid="{00000000-0005-0000-0000-0000F6780000}"/>
    <cellStyle name="Percent 5 5 2 9" xfId="29435" xr:uid="{00000000-0005-0000-0000-0000F7780000}"/>
    <cellStyle name="Percent 5 5 20" xfId="27959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4" xr:uid="{00000000-0005-0000-0000-0000FC780000}"/>
    <cellStyle name="Percent 5 5 3 3 2" xfId="17798" xr:uid="{00000000-0005-0000-0000-0000FD780000}"/>
    <cellStyle name="Percent 5 5 3 4" xfId="17737" xr:uid="{00000000-0005-0000-0000-0000FE780000}"/>
    <cellStyle name="Percent 5 5 3 5" xfId="18134" xr:uid="{00000000-0005-0000-0000-0000FF780000}"/>
    <cellStyle name="Percent 5 5 3 6" xfId="16891" xr:uid="{00000000-0005-0000-0000-000000790000}"/>
    <cellStyle name="Percent 5 5 3 7" xfId="17043" xr:uid="{00000000-0005-0000-0000-000001790000}"/>
    <cellStyle name="Percent 5 5 3 8" xfId="21301" xr:uid="{00000000-0005-0000-0000-000002790000}"/>
    <cellStyle name="Percent 5 5 3 9" xfId="30178" xr:uid="{00000000-0005-0000-0000-000003790000}"/>
    <cellStyle name="Percent 5 5 4" xfId="12246" xr:uid="{00000000-0005-0000-0000-000004790000}"/>
    <cellStyle name="Percent 5 5 4 2" xfId="17358" xr:uid="{00000000-0005-0000-0000-000005790000}"/>
    <cellStyle name="Percent 5 5 4 2 2" xfId="17463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0" xr:uid="{00000000-0005-0000-0000-00000B790000}"/>
    <cellStyle name="Percent 5 5 4 7" xfId="17042" xr:uid="{00000000-0005-0000-0000-00000C790000}"/>
    <cellStyle name="Percent 5 5 4 8" xfId="23520" xr:uid="{00000000-0005-0000-0000-00000D790000}"/>
    <cellStyle name="Percent 5 5 4 9" xfId="32397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1" xr:uid="{00000000-0005-0000-0000-000017790000}"/>
    <cellStyle name="Percent 5 5 5 8" xfId="25739" xr:uid="{00000000-0005-0000-0000-000018790000}"/>
    <cellStyle name="Percent 5 5 5 9" xfId="34616" xr:uid="{00000000-0005-0000-0000-000019790000}"/>
    <cellStyle name="Percent 5 5 6" xfId="17040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39" xr:uid="{00000000-0005-0000-0000-000022790000}"/>
    <cellStyle name="Percent 5 5 7 2" xfId="16871" xr:uid="{00000000-0005-0000-0000-000023790000}"/>
    <cellStyle name="Percent 5 5 8" xfId="17038" xr:uid="{00000000-0005-0000-0000-000024790000}"/>
    <cellStyle name="Percent 5 5 8 2" xfId="16870" xr:uid="{00000000-0005-0000-0000-000025790000}"/>
    <cellStyle name="Percent 5 5 9" xfId="17037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6" xr:uid="{00000000-0005-0000-0000-00003E790000}"/>
    <cellStyle name="Percent 7 11 2" xfId="16866" xr:uid="{00000000-0005-0000-0000-00003F790000}"/>
    <cellStyle name="Percent 7 12" xfId="17035" xr:uid="{00000000-0005-0000-0000-000040790000}"/>
    <cellStyle name="Percent 7 12 2" xfId="16865" xr:uid="{00000000-0005-0000-0000-000041790000}"/>
    <cellStyle name="Percent 7 13" xfId="17034" xr:uid="{00000000-0005-0000-0000-000042790000}"/>
    <cellStyle name="Percent 7 13 2" xfId="16864" xr:uid="{00000000-0005-0000-0000-000043790000}"/>
    <cellStyle name="Percent 7 14" xfId="17033" xr:uid="{00000000-0005-0000-0000-000044790000}"/>
    <cellStyle name="Percent 7 14 2" xfId="16863" xr:uid="{00000000-0005-0000-0000-000045790000}"/>
    <cellStyle name="Percent 7 15" xfId="17032" xr:uid="{00000000-0005-0000-0000-000046790000}"/>
    <cellStyle name="Percent 7 15 2" xfId="16862" xr:uid="{00000000-0005-0000-0000-000047790000}"/>
    <cellStyle name="Percent 7 16" xfId="17031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0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29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8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7" xr:uid="{00000000-0005-0000-0000-000069790000}"/>
    <cellStyle name="Percent 7 3 4 2" xfId="16845" xr:uid="{00000000-0005-0000-0000-00006A790000}"/>
    <cellStyle name="Percent 7 3 5" xfId="17026" xr:uid="{00000000-0005-0000-0000-00006B790000}"/>
    <cellStyle name="Percent 7 3 5 2" xfId="16678" xr:uid="{00000000-0005-0000-0000-00006C790000}"/>
    <cellStyle name="Percent 7 3 6" xfId="17025" xr:uid="{00000000-0005-0000-0000-00006D790000}"/>
    <cellStyle name="Percent 7 3 6 2" xfId="16844" xr:uid="{00000000-0005-0000-0000-00006E790000}"/>
    <cellStyle name="Percent 7 3 7" xfId="17024" xr:uid="{00000000-0005-0000-0000-00006F790000}"/>
    <cellStyle name="Percent 7 3 7 2" xfId="16843" xr:uid="{00000000-0005-0000-0000-000070790000}"/>
    <cellStyle name="Percent 7 3 8" xfId="17023" xr:uid="{00000000-0005-0000-0000-000071790000}"/>
    <cellStyle name="Percent 7 3 8 2" xfId="16842" xr:uid="{00000000-0005-0000-0000-000072790000}"/>
    <cellStyle name="Percent 7 3 9" xfId="17022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1" xr:uid="{00000000-0005-0000-0000-00007B790000}"/>
    <cellStyle name="Percent 7 7" xfId="17020" xr:uid="{00000000-0005-0000-0000-00007C790000}"/>
    <cellStyle name="Percent 7 7 2" xfId="16838" xr:uid="{00000000-0005-0000-0000-00007D790000}"/>
    <cellStyle name="Percent 7 8" xfId="17019" xr:uid="{00000000-0005-0000-0000-00007E790000}"/>
    <cellStyle name="Percent 7 8 2" xfId="16837" xr:uid="{00000000-0005-0000-0000-00007F790000}"/>
    <cellStyle name="Percent 7 9" xfId="17018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19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2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1" xr:uid="{00000000-0005-0000-0000-00006C7B0000}"/>
    <cellStyle name="Style 103 8 3" xfId="17235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1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6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0" xr:uid="{00000000-0005-0000-0000-0000B07B0000}"/>
    <cellStyle name="Style 104 8 3" xfId="17385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8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1" xr:uid="{00000000-0005-0000-0000-0000BF7B0000}"/>
    <cellStyle name="Style 105 5" xfId="4694" xr:uid="{00000000-0005-0000-0000-0000C07B0000}"/>
    <cellStyle name="Style 105 5 2" xfId="18115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2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1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3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8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4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4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39" xr:uid="{00000000-0005-0000-0000-0000EE7B0000}"/>
    <cellStyle name="Style 107 5" xfId="4729" xr:uid="{00000000-0005-0000-0000-0000EF7B0000}"/>
    <cellStyle name="Style 107 5 2" xfId="17523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2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1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4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19" xr:uid="{00000000-0005-0000-0000-0000347C0000}"/>
    <cellStyle name="Style 108 8 3" xfId="17816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4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89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2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79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8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0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4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5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2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1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69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4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8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1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8" xr:uid="{00000000-0005-0000-0000-0000027D0000}"/>
    <cellStyle name="Style 116 3 4" xfId="4970" xr:uid="{00000000-0005-0000-0000-0000037D0000}"/>
    <cellStyle name="Style 116 3 4 2" xfId="17388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59" xr:uid="{00000000-0005-0000-0000-0000077D0000}"/>
    <cellStyle name="Style 116 5" xfId="4973" xr:uid="{00000000-0005-0000-0000-0000087D0000}"/>
    <cellStyle name="Style 116 5 2" xfId="17414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89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6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3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5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5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8" xr:uid="{00000000-0005-0000-0000-0000317D0000}"/>
    <cellStyle name="Style 118 3 4" xfId="5005" xr:uid="{00000000-0005-0000-0000-0000327D0000}"/>
    <cellStyle name="Style 118 3 4 2" xfId="17697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5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6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2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6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5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6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4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8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5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0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2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6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2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5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3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8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399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6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6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4" xr:uid="{00000000-0005-0000-0000-0000FC7D0000}"/>
    <cellStyle name="Style 126 8 3" xfId="18076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8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4" xr:uid="{00000000-0005-0000-0000-00000B7E0000}"/>
    <cellStyle name="Style 127 5" xfId="5190" xr:uid="{00000000-0005-0000-0000-00000C7E0000}"/>
    <cellStyle name="Style 127 5 2" xfId="17251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0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3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0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7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1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3" xr:uid="{00000000-0005-0000-0000-0000357E0000}"/>
    <cellStyle name="Style 129 3 4" xfId="5222" xr:uid="{00000000-0005-0000-0000-0000367E0000}"/>
    <cellStyle name="Style 129 3 4 2" xfId="17688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5" xr:uid="{00000000-0005-0000-0000-00003A7E0000}"/>
    <cellStyle name="Style 129 5" xfId="5225" xr:uid="{00000000-0005-0000-0000-00003B7E0000}"/>
    <cellStyle name="Style 129 5 2" xfId="18025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4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59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4" xr:uid="{00000000-0005-0000-0000-0000807E0000}"/>
    <cellStyle name="Style 130 8 3" xfId="17808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6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3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09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1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8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4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3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8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6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7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1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7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0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5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3" xr:uid="{00000000-0005-0000-0000-00000F7F0000}"/>
    <cellStyle name="Style 138 5" xfId="5407" xr:uid="{00000000-0005-0000-0000-0000107F0000}"/>
    <cellStyle name="Style 138 5 2" xfId="17281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4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3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5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7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3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7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4" xr:uid="{00000000-0005-0000-0000-0000397F0000}"/>
    <cellStyle name="Style 140 3 4" xfId="5439" xr:uid="{00000000-0005-0000-0000-00003A7F0000}"/>
    <cellStyle name="Style 140 3 4 2" xfId="17589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7" xr:uid="{00000000-0005-0000-0000-00003E7F0000}"/>
    <cellStyle name="Style 140 5" xfId="5442" xr:uid="{00000000-0005-0000-0000-00003F7F0000}"/>
    <cellStyle name="Style 140 5 2" xfId="17751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0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2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2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0" xr:uid="{00000000-0005-0000-0000-0000847F0000}"/>
    <cellStyle name="Style 141 8 3" xfId="17464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7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1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4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49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1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2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1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6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5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2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4" xr:uid="{00000000-0005-0000-0000-000004800000}"/>
    <cellStyle name="Style 148 8 3" xfId="18327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2" xr:uid="{00000000-0005-0000-0000-00000E800000}"/>
    <cellStyle name="Style 149 3 4" xfId="5621" xr:uid="{00000000-0005-0000-0000-00000F800000}"/>
    <cellStyle name="Style 149 3 4 2" xfId="17338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1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2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4" xr:uid="{00000000-0005-0000-0000-00003D800000}"/>
    <cellStyle name="Style 151 3 4" xfId="5656" xr:uid="{00000000-0005-0000-0000-00003E800000}"/>
    <cellStyle name="Style 151 3 4 2" xfId="17908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8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3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4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7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4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3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0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2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7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1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3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7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0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39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7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8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5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8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3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3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29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3" xr:uid="{00000000-0005-0000-0000-000014840000}"/>
    <cellStyle name="Style 46 8 3" xfId="17299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4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0" xr:uid="{00000000-0005-0000-0000-000023840000}"/>
    <cellStyle name="Style 47 5" xfId="6492" xr:uid="{00000000-0005-0000-0000-000024840000}"/>
    <cellStyle name="Style 47 5 2" xfId="17230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2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1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19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6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7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2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1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4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5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4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2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5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1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8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7" xr:uid="{00000000-0005-0000-0000-0000FE840000}"/>
    <cellStyle name="Style 58 4 3 3" xfId="17263" xr:uid="{00000000-0005-0000-0000-0000FF840000}"/>
    <cellStyle name="Style 58 4 4" xfId="6671" xr:uid="{00000000-0005-0000-0000-000000850000}"/>
    <cellStyle name="Style 58 4 4 2" xfId="18040" xr:uid="{00000000-0005-0000-0000-000001850000}"/>
    <cellStyle name="Style 58 4 4 3" xfId="17620" xr:uid="{00000000-0005-0000-0000-000002850000}"/>
    <cellStyle name="Style 58 4 5" xfId="6672" xr:uid="{00000000-0005-0000-0000-000003850000}"/>
    <cellStyle name="Style 58 4 5 2" xfId="18135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5" xr:uid="{00000000-0005-0000-0000-000009850000}"/>
    <cellStyle name="Style 58 5 2 2 3" xfId="17161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8" xr:uid="{00000000-0005-0000-0000-00000D850000}"/>
    <cellStyle name="Style 58 5 2 3 3" xfId="6679" xr:uid="{00000000-0005-0000-0000-00000E850000}"/>
    <cellStyle name="Style 58 5 2 3 3 2" xfId="17508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5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2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3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7" xr:uid="{00000000-0005-0000-0000-00001B850000}"/>
    <cellStyle name="Style 58 5 5" xfId="6685" xr:uid="{00000000-0005-0000-0000-00001C850000}"/>
    <cellStyle name="Style 58 5 5 2" xfId="17569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7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3" xr:uid="{00000000-0005-0000-0000-00002C850000}"/>
    <cellStyle name="Style 58 6 4 3" xfId="18323" xr:uid="{00000000-0005-0000-0000-00002D850000}"/>
    <cellStyle name="Style 58 6 5" xfId="6694" xr:uid="{00000000-0005-0000-0000-00002E850000}"/>
    <cellStyle name="Style 58 6 5 2" xfId="17667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2" xr:uid="{00000000-0005-0000-0000-000036850000}"/>
    <cellStyle name="Style 58 8" xfId="6698" xr:uid="{00000000-0005-0000-0000-000037850000}"/>
    <cellStyle name="Style 58 8 2" xfId="17785" xr:uid="{00000000-0005-0000-0000-000038850000}"/>
    <cellStyle name="Style 58 8 3" xfId="17450" xr:uid="{00000000-0005-0000-0000-000039850000}"/>
    <cellStyle name="Style 58 8 4" xfId="18112" xr:uid="{00000000-0005-0000-0000-00003A850000}"/>
    <cellStyle name="Style 58 9" xfId="6699" xr:uid="{00000000-0005-0000-0000-00003B850000}"/>
    <cellStyle name="Style 58 9 2" xfId="18222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8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2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6" xr:uid="{00000000-0005-0000-0000-000046850000}"/>
    <cellStyle name="Style 59 3 3 3" xfId="17331" xr:uid="{00000000-0005-0000-0000-000047850000}"/>
    <cellStyle name="Style 59 3 3 4" xfId="18002" xr:uid="{00000000-0005-0000-0000-000048850000}"/>
    <cellStyle name="Style 59 3 4" xfId="6706" xr:uid="{00000000-0005-0000-0000-000049850000}"/>
    <cellStyle name="Style 59 3 4 2" xfId="18111" xr:uid="{00000000-0005-0000-0000-00004A850000}"/>
    <cellStyle name="Style 59 3 4 3" xfId="16474" xr:uid="{00000000-0005-0000-0000-00004B850000}"/>
    <cellStyle name="Style 59 3 5" xfId="17226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49" xr:uid="{00000000-0005-0000-0000-00004F850000}"/>
    <cellStyle name="Style 59 4 3" xfId="18221" xr:uid="{00000000-0005-0000-0000-000050850000}"/>
    <cellStyle name="Style 59 4 4" xfId="17784" xr:uid="{00000000-0005-0000-0000-000051850000}"/>
    <cellStyle name="Style 59 5" xfId="6709" xr:uid="{00000000-0005-0000-0000-000052850000}"/>
    <cellStyle name="Style 59 5 2" xfId="17567" xr:uid="{00000000-0005-0000-0000-000053850000}"/>
    <cellStyle name="Style 59 5 3" xfId="17905" xr:uid="{00000000-0005-0000-0000-000054850000}"/>
    <cellStyle name="Style 59 6" xfId="6710" xr:uid="{00000000-0005-0000-0000-000055850000}"/>
    <cellStyle name="Style 59 6 2" xfId="17225" xr:uid="{00000000-0005-0000-0000-000056850000}"/>
    <cellStyle name="Style 59 7" xfId="6711" xr:uid="{00000000-0005-0000-0000-000057850000}"/>
    <cellStyle name="Style 59 7 2" xfId="18321" xr:uid="{00000000-0005-0000-0000-000058850000}"/>
    <cellStyle name="Style 59 8" xfId="17906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0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3" xr:uid="{00000000-0005-0000-0000-000062850000}"/>
    <cellStyle name="Style 60 2 2 4" xfId="17330" xr:uid="{00000000-0005-0000-0000-000063850000}"/>
    <cellStyle name="Style 60 2 3" xfId="6717" xr:uid="{00000000-0005-0000-0000-000064850000}"/>
    <cellStyle name="Style 60 2 3 2" xfId="18220" xr:uid="{00000000-0005-0000-0000-000065850000}"/>
    <cellStyle name="Style 60 2 3 3" xfId="17448" xr:uid="{00000000-0005-0000-0000-000066850000}"/>
    <cellStyle name="Style 60 2 4" xfId="6718" xr:uid="{00000000-0005-0000-0000-000067850000}"/>
    <cellStyle name="Style 60 2 4 2" xfId="17904" xr:uid="{00000000-0005-0000-0000-000068850000}"/>
    <cellStyle name="Style 60 2 5" xfId="6719" xr:uid="{00000000-0005-0000-0000-000069850000}"/>
    <cellStyle name="Style 60 2 5 2" xfId="17566" xr:uid="{00000000-0005-0000-0000-00006A850000}"/>
    <cellStyle name="Style 60 2 6" xfId="17665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4" xr:uid="{00000000-0005-0000-0000-00006F850000}"/>
    <cellStyle name="Style 60 3 2 2 3" xfId="18000" xr:uid="{00000000-0005-0000-0000-000070850000}"/>
    <cellStyle name="Style 60 3 2 3" xfId="6723" xr:uid="{00000000-0005-0000-0000-000071850000}"/>
    <cellStyle name="Style 60 3 2 3 2" xfId="17329" xr:uid="{00000000-0005-0000-0000-000072850000}"/>
    <cellStyle name="Style 60 3 2 4" xfId="18320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2" xr:uid="{00000000-0005-0000-0000-000076850000}"/>
    <cellStyle name="Style 60 3 3 2 3" xfId="18109" xr:uid="{00000000-0005-0000-0000-000077850000}"/>
    <cellStyle name="Style 60 3 3 3" xfId="6726" xr:uid="{00000000-0005-0000-0000-000078850000}"/>
    <cellStyle name="Style 60 3 3 3 2" xfId="17447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19" xr:uid="{00000000-0005-0000-0000-00007D850000}"/>
    <cellStyle name="Style 60 3 5" xfId="6729" xr:uid="{00000000-0005-0000-0000-00007E850000}"/>
    <cellStyle name="Style 60 3 5 2" xfId="17224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3" xr:uid="{00000000-0005-0000-0000-000082850000}"/>
    <cellStyle name="Style 60 4 2 3" xfId="17565" xr:uid="{00000000-0005-0000-0000-000083850000}"/>
    <cellStyle name="Style 60 4 3" xfId="6732" xr:uid="{00000000-0005-0000-0000-000084850000}"/>
    <cellStyle name="Style 60 4 3 2" xfId="18319" xr:uid="{00000000-0005-0000-0000-000085850000}"/>
    <cellStyle name="Style 60 4 4" xfId="17903" xr:uid="{00000000-0005-0000-0000-000086850000}"/>
    <cellStyle name="Style 60 5" xfId="6733" xr:uid="{00000000-0005-0000-0000-000087850000}"/>
    <cellStyle name="Style 60 5 2" xfId="17999" xr:uid="{00000000-0005-0000-0000-000088850000}"/>
    <cellStyle name="Style 60 6" xfId="6734" xr:uid="{00000000-0005-0000-0000-000089850000}"/>
    <cellStyle name="Style 60 6 2" xfId="17663" xr:uid="{00000000-0005-0000-0000-00008A850000}"/>
    <cellStyle name="Style 60 7" xfId="17328" xr:uid="{00000000-0005-0000-0000-00008B850000}"/>
    <cellStyle name="Style 60 8" xfId="18001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8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6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2" xr:uid="{00000000-0005-0000-0000-000096850000}"/>
    <cellStyle name="Style 61 3 3 3" xfId="17564" xr:uid="{00000000-0005-0000-0000-000097850000}"/>
    <cellStyle name="Style 61 3 3 4" xfId="18218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2" xr:uid="{00000000-0005-0000-0000-00009B850000}"/>
    <cellStyle name="Style 61 3 5" xfId="17781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8" xr:uid="{00000000-0005-0000-0000-00009F850000}"/>
    <cellStyle name="Style 61 4 3" xfId="17662" xr:uid="{00000000-0005-0000-0000-0000A0850000}"/>
    <cellStyle name="Style 61 4 4" xfId="18318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7" xr:uid="{00000000-0005-0000-0000-0000A4850000}"/>
    <cellStyle name="Style 61 6" xfId="6745" xr:uid="{00000000-0005-0000-0000-0000A5850000}"/>
    <cellStyle name="Style 61 6 2" xfId="18107" xr:uid="{00000000-0005-0000-0000-0000A6850000}"/>
    <cellStyle name="Style 61 7" xfId="6746" xr:uid="{00000000-0005-0000-0000-0000A7850000}"/>
    <cellStyle name="Style 61 7 2" xfId="17780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7" xr:uid="{00000000-0005-0000-0000-0000AD850000}"/>
    <cellStyle name="Style 62 11" xfId="6749" xr:uid="{00000000-0005-0000-0000-0000AE850000}"/>
    <cellStyle name="Style 62 11 2" xfId="17901" xr:uid="{00000000-0005-0000-0000-0000AF850000}"/>
    <cellStyle name="Style 62 12" xfId="6750" xr:uid="{00000000-0005-0000-0000-0000B0850000}"/>
    <cellStyle name="Style 62 12 2" xfId="17563" xr:uid="{00000000-0005-0000-0000-0000B1850000}"/>
    <cellStyle name="Style 62 13" xfId="17445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7" xr:uid="{00000000-0005-0000-0000-0000B5850000}"/>
    <cellStyle name="Style 62 2 3" xfId="17221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6" xr:uid="{00000000-0005-0000-0000-0000BA850000}"/>
    <cellStyle name="Style 62 3 2 3" xfId="6756" xr:uid="{00000000-0005-0000-0000-0000BB850000}"/>
    <cellStyle name="Style 62 3 2 3 2" xfId="17661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79" xr:uid="{00000000-0005-0000-0000-0000C0850000}"/>
    <cellStyle name="Style 62 3 3 2 3" xfId="18106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6" xr:uid="{00000000-0005-0000-0000-0000C4850000}"/>
    <cellStyle name="Style 62 3 3 3 3" xfId="6762" xr:uid="{00000000-0005-0000-0000-0000C5850000}"/>
    <cellStyle name="Style 62 3 3 3 3 2" xfId="17900" xr:uid="{00000000-0005-0000-0000-0000C6850000}"/>
    <cellStyle name="Style 62 3 3 3 4" xfId="17444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0" xr:uid="{00000000-0005-0000-0000-0000CA850000}"/>
    <cellStyle name="Style 62 3 3 4 3" xfId="17562" xr:uid="{00000000-0005-0000-0000-0000CB850000}"/>
    <cellStyle name="Style 62 3 3 5" xfId="6765" xr:uid="{00000000-0005-0000-0000-0000CC850000}"/>
    <cellStyle name="Style 62 3 3 5 2" xfId="18316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0" xr:uid="{00000000-0005-0000-0000-0000D0850000}"/>
    <cellStyle name="Style 62 3 4 3" xfId="17996" xr:uid="{00000000-0005-0000-0000-0000D1850000}"/>
    <cellStyle name="Style 62 3 5" xfId="6767" xr:uid="{00000000-0005-0000-0000-0000D2850000}"/>
    <cellStyle name="Style 62 3 5 2" xfId="17325" xr:uid="{00000000-0005-0000-0000-0000D3850000}"/>
    <cellStyle name="Style 62 3 6" xfId="17997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8" xr:uid="{00000000-0005-0000-0000-0000D9850000}"/>
    <cellStyle name="Style 62 4 2 2 3" xfId="18105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5" xr:uid="{00000000-0005-0000-0000-0000DD850000}"/>
    <cellStyle name="Style 62 4 2 3 3" xfId="6774" xr:uid="{00000000-0005-0000-0000-0000DE850000}"/>
    <cellStyle name="Style 62 4 2 3 3 2" xfId="17899" xr:uid="{00000000-0005-0000-0000-0000DF850000}"/>
    <cellStyle name="Style 62 4 2 3 4" xfId="17443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19" xr:uid="{00000000-0005-0000-0000-0000E3850000}"/>
    <cellStyle name="Style 62 4 2 4 3" xfId="17561" xr:uid="{00000000-0005-0000-0000-0000E4850000}"/>
    <cellStyle name="Style 62 4 2 5" xfId="6777" xr:uid="{00000000-0005-0000-0000-0000E5850000}"/>
    <cellStyle name="Style 62 4 2 5 2" xfId="18315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59" xr:uid="{00000000-0005-0000-0000-0000EA850000}"/>
    <cellStyle name="Style 62 4 3 3" xfId="17995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4" xr:uid="{00000000-0005-0000-0000-0000EE850000}"/>
    <cellStyle name="Style 62 4 5" xfId="6781" xr:uid="{00000000-0005-0000-0000-0000EF850000}"/>
    <cellStyle name="Style 62 4 5 2" xfId="18104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8" xr:uid="{00000000-0005-0000-0000-0000F6850000}"/>
    <cellStyle name="Style 62 5 2 2 3" xfId="18214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8" xr:uid="{00000000-0005-0000-0000-0000FA850000}"/>
    <cellStyle name="Style 62 5 2 3 3" xfId="6788" xr:uid="{00000000-0005-0000-0000-0000FB850000}"/>
    <cellStyle name="Style 62 5 2 3 3 2" xfId="18314" xr:uid="{00000000-0005-0000-0000-0000FC850000}"/>
    <cellStyle name="Style 62 5 2 3 4" xfId="17560" xr:uid="{00000000-0005-0000-0000-0000FD850000}"/>
    <cellStyle name="Style 62 5 2 4" xfId="6789" xr:uid="{00000000-0005-0000-0000-0000FE850000}"/>
    <cellStyle name="Style 62 5 2 4 2" xfId="17658" xr:uid="{00000000-0005-0000-0000-0000FF850000}"/>
    <cellStyle name="Style 62 5 2 4 3" xfId="17994" xr:uid="{00000000-0005-0000-0000-000000860000}"/>
    <cellStyle name="Style 62 5 2 5" xfId="6790" xr:uid="{00000000-0005-0000-0000-000001860000}"/>
    <cellStyle name="Style 62 5 2 5 2" xfId="17442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3" xr:uid="{00000000-0005-0000-0000-000006860000}"/>
    <cellStyle name="Style 62 5 4" xfId="6793" xr:uid="{00000000-0005-0000-0000-000007860000}"/>
    <cellStyle name="Style 62 5 4 2" xfId="18103" xr:uid="{00000000-0005-0000-0000-000008860000}"/>
    <cellStyle name="Style 62 5 5" xfId="6794" xr:uid="{00000000-0005-0000-0000-000009860000}"/>
    <cellStyle name="Style 62 5 5 2" xfId="17776" xr:uid="{00000000-0005-0000-0000-00000A860000}"/>
    <cellStyle name="Style 62 5 6" xfId="17777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7" xr:uid="{00000000-0005-0000-0000-00000F860000}"/>
    <cellStyle name="Style 62 6 2 3" xfId="18213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7" xr:uid="{00000000-0005-0000-0000-000013860000}"/>
    <cellStyle name="Style 62 6 3 3" xfId="6800" xr:uid="{00000000-0005-0000-0000-000014860000}"/>
    <cellStyle name="Style 62 6 3 3 2" xfId="18313" xr:uid="{00000000-0005-0000-0000-000015860000}"/>
    <cellStyle name="Style 62 6 3 4" xfId="17559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3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7" xr:uid="{00000000-0005-0000-0000-00001C860000}"/>
    <cellStyle name="Style 62 6 6" xfId="17441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2" xr:uid="{00000000-0005-0000-0000-000022860000}"/>
    <cellStyle name="Style 62 7 4" xfId="17322" xr:uid="{00000000-0005-0000-0000-000023860000}"/>
    <cellStyle name="Style 62 8" xfId="6807" xr:uid="{00000000-0005-0000-0000-000024860000}"/>
    <cellStyle name="Style 62 8 2" xfId="17440" xr:uid="{00000000-0005-0000-0000-000025860000}"/>
    <cellStyle name="Style 62 8 3" xfId="18212" xr:uid="{00000000-0005-0000-0000-000026860000}"/>
    <cellStyle name="Style 62 8 4" xfId="17775" xr:uid="{00000000-0005-0000-0000-000027860000}"/>
    <cellStyle name="Style 62 9" xfId="6808" xr:uid="{00000000-0005-0000-0000-000028860000}"/>
    <cellStyle name="Style 62 9 2" xfId="17896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2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6" xr:uid="{00000000-0005-0000-0000-000032860000}"/>
    <cellStyle name="Style 63 2 2 4" xfId="18312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1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1" xr:uid="{00000000-0005-0000-0000-00003A860000}"/>
    <cellStyle name="Style 63 2 6" xfId="17216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5" xr:uid="{00000000-0005-0000-0000-00003F860000}"/>
    <cellStyle name="Style 63 3 2 2 3" xfId="18211" xr:uid="{00000000-0005-0000-0000-000040860000}"/>
    <cellStyle name="Style 63 3 2 3" xfId="6820" xr:uid="{00000000-0005-0000-0000-000041860000}"/>
    <cellStyle name="Style 63 3 2 3 2" xfId="17557" xr:uid="{00000000-0005-0000-0000-000042860000}"/>
    <cellStyle name="Style 63 3 2 4" xfId="17439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1" xr:uid="{00000000-0005-0000-0000-000046860000}"/>
    <cellStyle name="Style 63 3 3 2 3" xfId="18311" xr:uid="{00000000-0005-0000-0000-000047860000}"/>
    <cellStyle name="Style 63 3 3 3" xfId="6823" xr:uid="{00000000-0005-0000-0000-000048860000}"/>
    <cellStyle name="Style 63 3 3 3 2" xfId="17655" xr:uid="{00000000-0005-0000-0000-000049860000}"/>
    <cellStyle name="Style 63 3 3 4" xfId="17215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0" xr:uid="{00000000-0005-0000-0000-00004D860000}"/>
    <cellStyle name="Style 63 3 5" xfId="6826" xr:uid="{00000000-0005-0000-0000-00004E860000}"/>
    <cellStyle name="Style 63 3 5 2" xfId="17774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3" xr:uid="{00000000-0005-0000-0000-000052860000}"/>
    <cellStyle name="Style 63 4 2 3" xfId="18100" xr:uid="{00000000-0005-0000-0000-000053860000}"/>
    <cellStyle name="Style 63 4 3" xfId="6829" xr:uid="{00000000-0005-0000-0000-000054860000}"/>
    <cellStyle name="Style 63 4 3 2" xfId="17438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0" xr:uid="{00000000-0005-0000-0000-000058860000}"/>
    <cellStyle name="Style 63 6" xfId="6831" xr:uid="{00000000-0005-0000-0000-000059860000}"/>
    <cellStyle name="Style 63 6 2" xfId="17894" xr:uid="{00000000-0005-0000-0000-00005A860000}"/>
    <cellStyle name="Style 63 7" xfId="17556" xr:uid="{00000000-0005-0000-0000-00005B860000}"/>
    <cellStyle name="Style 63 8" xfId="17558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4" xr:uid="{00000000-0005-0000-0000-000062860000}"/>
    <cellStyle name="Style 64 2 2 2 3" xfId="17990" xr:uid="{00000000-0005-0000-0000-000063860000}"/>
    <cellStyle name="Style 64 2 2 3" xfId="6836" xr:uid="{00000000-0005-0000-0000-000064860000}"/>
    <cellStyle name="Style 64 2 2 3 2" xfId="17319" xr:uid="{00000000-0005-0000-0000-000065860000}"/>
    <cellStyle name="Style 64 2 2 4" xfId="18310" xr:uid="{00000000-0005-0000-0000-000066860000}"/>
    <cellStyle name="Style 64 2 3" xfId="6837" xr:uid="{00000000-0005-0000-0000-000067860000}"/>
    <cellStyle name="Style 64 2 3 2" xfId="18099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2" xr:uid="{00000000-0005-0000-0000-00006B860000}"/>
    <cellStyle name="Style 64 2 5" xfId="6839" xr:uid="{00000000-0005-0000-0000-00006C860000}"/>
    <cellStyle name="Style 64 2 5 2" xfId="17437" xr:uid="{00000000-0005-0000-0000-00006D860000}"/>
    <cellStyle name="Style 64 2 6" xfId="17214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5" xr:uid="{00000000-0005-0000-0000-000073860000}"/>
    <cellStyle name="Style 64 3 2 3" xfId="6843" xr:uid="{00000000-0005-0000-0000-000074860000}"/>
    <cellStyle name="Style 64 3 2 3 2" xfId="17213" xr:uid="{00000000-0005-0000-0000-000075860000}"/>
    <cellStyle name="Style 64 3 2 4" xfId="17893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3" xr:uid="{00000000-0005-0000-0000-000079860000}"/>
    <cellStyle name="Style 64 3 3 2 3" xfId="17989" xr:uid="{00000000-0005-0000-0000-00007A860000}"/>
    <cellStyle name="Style 64 3 3 3" xfId="6846" xr:uid="{00000000-0005-0000-0000-00007B860000}"/>
    <cellStyle name="Style 64 3 3 3 2" xfId="17318" xr:uid="{00000000-0005-0000-0000-00007C860000}"/>
    <cellStyle name="Style 64 3 3 4" xfId="18309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09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6" xr:uid="{00000000-0005-0000-0000-000085860000}"/>
    <cellStyle name="Style 64 4 2 3" xfId="17771" xr:uid="{00000000-0005-0000-0000-000086860000}"/>
    <cellStyle name="Style 64 4 3" xfId="6852" xr:uid="{00000000-0005-0000-0000-000087860000}"/>
    <cellStyle name="Style 64 4 3 2" xfId="18208" xr:uid="{00000000-0005-0000-0000-000088860000}"/>
    <cellStyle name="Style 64 4 4" xfId="18098" xr:uid="{00000000-0005-0000-0000-000089860000}"/>
    <cellStyle name="Style 64 5" xfId="6853" xr:uid="{00000000-0005-0000-0000-00008A860000}"/>
    <cellStyle name="Style 64 5 2" xfId="17892" xr:uid="{00000000-0005-0000-0000-00008B860000}"/>
    <cellStyle name="Style 64 6" xfId="6854" xr:uid="{00000000-0005-0000-0000-00008C860000}"/>
    <cellStyle name="Style 64 6 2" xfId="17554" xr:uid="{00000000-0005-0000-0000-00008D860000}"/>
    <cellStyle name="Style 64 7" xfId="17212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8" xr:uid="{00000000-0005-0000-0000-000093860000}"/>
    <cellStyle name="Style 69 11" xfId="6857" xr:uid="{00000000-0005-0000-0000-000094860000}"/>
    <cellStyle name="Style 69 11 2" xfId="17652" xr:uid="{00000000-0005-0000-0000-000095860000}"/>
    <cellStyle name="Style 69 12" xfId="6858" xr:uid="{00000000-0005-0000-0000-000096860000}"/>
    <cellStyle name="Style 69 12 2" xfId="17317" xr:uid="{00000000-0005-0000-0000-000097860000}"/>
    <cellStyle name="Style 69 13" xfId="18308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7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7" xr:uid="{00000000-0005-0000-0000-0000A0860000}"/>
    <cellStyle name="Style 69 3 2 3" xfId="6864" xr:uid="{00000000-0005-0000-0000-0000A1860000}"/>
    <cellStyle name="Style 69 3 2 3 2" xfId="17435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1" xr:uid="{00000000-0005-0000-0000-0000A6860000}"/>
    <cellStyle name="Style 69 3 3 2 3" xfId="17553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7" xr:uid="{00000000-0005-0000-0000-0000AA860000}"/>
    <cellStyle name="Style 69 3 3 3 3" xfId="6870" xr:uid="{00000000-0005-0000-0000-0000AB860000}"/>
    <cellStyle name="Style 69 3 3 3 3 2" xfId="17651" xr:uid="{00000000-0005-0000-0000-0000AC860000}"/>
    <cellStyle name="Style 69 3 3 3 4" xfId="18307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6" xr:uid="{00000000-0005-0000-0000-0000B1860000}"/>
    <cellStyle name="Style 69 3 3 5" xfId="6873" xr:uid="{00000000-0005-0000-0000-0000B2860000}"/>
    <cellStyle name="Style 69 3 3 5 2" xfId="18096" xr:uid="{00000000-0005-0000-0000-0000B3860000}"/>
    <cellStyle name="Style 69 3 3 6" xfId="17891" xr:uid="{00000000-0005-0000-0000-0000B4860000}"/>
    <cellStyle name="Style 69 3 4" xfId="6874" xr:uid="{00000000-0005-0000-0000-0000B5860000}"/>
    <cellStyle name="Style 69 3 4 2" xfId="17434" xr:uid="{00000000-0005-0000-0000-0000B6860000}"/>
    <cellStyle name="Style 69 3 4 3" xfId="17769" xr:uid="{00000000-0005-0000-0000-0000B7860000}"/>
    <cellStyle name="Style 69 3 5" xfId="6875" xr:uid="{00000000-0005-0000-0000-0000B8860000}"/>
    <cellStyle name="Style 69 3 5 2" xfId="18206" xr:uid="{00000000-0005-0000-0000-0000B9860000}"/>
    <cellStyle name="Style 69 3 6" xfId="17770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6" xr:uid="{00000000-0005-0000-0000-0000BF860000}"/>
    <cellStyle name="Style 69 4 2 2 3" xfId="17210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0" xr:uid="{00000000-0005-0000-0000-0000C3860000}"/>
    <cellStyle name="Style 69 4 2 3 3" xfId="6882" xr:uid="{00000000-0005-0000-0000-0000C4860000}"/>
    <cellStyle name="Style 69 4 2 3 3 2" xfId="17315" xr:uid="{00000000-0005-0000-0000-0000C5860000}"/>
    <cellStyle name="Style 69 4 2 3 4" xfId="17986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5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8" xr:uid="{00000000-0005-0000-0000-0000CC860000}"/>
    <cellStyle name="Style 69 4 2 6" xfId="17552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5" xr:uid="{00000000-0005-0000-0000-0000D0860000}"/>
    <cellStyle name="Style 69 4 3 3" xfId="17433" xr:uid="{00000000-0005-0000-0000-0000D1860000}"/>
    <cellStyle name="Style 69 4 4" xfId="6888" xr:uid="{00000000-0005-0000-0000-0000D2860000}"/>
    <cellStyle name="Style 69 4 4 2" xfId="17551" xr:uid="{00000000-0005-0000-0000-0000D3860000}"/>
    <cellStyle name="Style 69 4 4 3" xfId="17889" xr:uid="{00000000-0005-0000-0000-0000D4860000}"/>
    <cellStyle name="Style 69 4 5" xfId="6889" xr:uid="{00000000-0005-0000-0000-0000D5860000}"/>
    <cellStyle name="Style 69 4 5 2" xfId="17209" xr:uid="{00000000-0005-0000-0000-0000D6860000}"/>
    <cellStyle name="Style 69 4 6" xfId="17890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4" xr:uid="{00000000-0005-0000-0000-0000DC860000}"/>
    <cellStyle name="Style 69 5 2 2 3" xfId="17649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4" xr:uid="{00000000-0005-0000-0000-0000E0860000}"/>
    <cellStyle name="Style 69 5 2 3 3" xfId="6896" xr:uid="{00000000-0005-0000-0000-0000E1860000}"/>
    <cellStyle name="Style 69 5 2 3 3 2" xfId="17767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4" xr:uid="{00000000-0005-0000-0000-0000E5860000}"/>
    <cellStyle name="Style 69 5 2 4 3" xfId="17432" xr:uid="{00000000-0005-0000-0000-0000E6860000}"/>
    <cellStyle name="Style 69 5 2 5" xfId="6898" xr:uid="{00000000-0005-0000-0000-0000E7860000}"/>
    <cellStyle name="Style 69 5 2 5 2" xfId="17985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0" xr:uid="{00000000-0005-0000-0000-0000EB860000}"/>
    <cellStyle name="Style 69 5 3 3" xfId="17888" xr:uid="{00000000-0005-0000-0000-0000EC860000}"/>
    <cellStyle name="Style 69 5 4" xfId="6901" xr:uid="{00000000-0005-0000-0000-0000ED860000}"/>
    <cellStyle name="Style 69 5 4 2" xfId="17208" xr:uid="{00000000-0005-0000-0000-0000EE860000}"/>
    <cellStyle name="Style 69 5 5" xfId="6902" xr:uid="{00000000-0005-0000-0000-0000EF860000}"/>
    <cellStyle name="Style 69 5 5 2" xfId="18304" xr:uid="{00000000-0005-0000-0000-0000F0860000}"/>
    <cellStyle name="Style 69 5 6" xfId="18305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8" xr:uid="{00000000-0005-0000-0000-0000F5860000}"/>
    <cellStyle name="Style 69 6 2 3" xfId="17984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3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6" xr:uid="{00000000-0005-0000-0000-0000FF860000}"/>
    <cellStyle name="Style 69 6 4 3" xfId="18093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0" xr:uid="{00000000-0005-0000-0000-000006870000}"/>
    <cellStyle name="Style 69 7 3" xfId="6914" xr:uid="{00000000-0005-0000-0000-000007870000}"/>
    <cellStyle name="Style 69 7 3 2" xfId="17289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5" xr:uid="{00000000-0005-0000-0000-00000B870000}"/>
    <cellStyle name="Style 69 8 3" xfId="16815" xr:uid="{00000000-0005-0000-0000-00000C870000}"/>
    <cellStyle name="Style 69 8 4" xfId="17717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1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1" xr:uid="{00000000-0005-0000-0000-000019870000}"/>
    <cellStyle name="Style 70 3 3 3" xfId="17355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6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2" xr:uid="{00000000-0005-0000-0000-000026870000}"/>
    <cellStyle name="Style 70 5 3" xfId="17112" xr:uid="{00000000-0005-0000-0000-000027870000}"/>
    <cellStyle name="Style 70 6" xfId="6927" xr:uid="{00000000-0005-0000-0000-000028870000}"/>
    <cellStyle name="Style 70 6 2" xfId="17631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0" xr:uid="{00000000-0005-0000-0000-000036870000}"/>
    <cellStyle name="Style 71 2 3" xfId="6934" xr:uid="{00000000-0005-0000-0000-000037870000}"/>
    <cellStyle name="Style 71 2 3 2" xfId="17833" xr:uid="{00000000-0005-0000-0000-000038870000}"/>
    <cellStyle name="Style 71 2 3 3" xfId="17241" xr:uid="{00000000-0005-0000-0000-000039870000}"/>
    <cellStyle name="Style 71 2 4" xfId="6935" xr:uid="{00000000-0005-0000-0000-00003A870000}"/>
    <cellStyle name="Style 71 2 4 2" xfId="17720" xr:uid="{00000000-0005-0000-0000-00003B870000}"/>
    <cellStyle name="Style 71 2 5" xfId="6936" xr:uid="{00000000-0005-0000-0000-00003C870000}"/>
    <cellStyle name="Style 71 2 5 2" xfId="17824" xr:uid="{00000000-0005-0000-0000-00003D870000}"/>
    <cellStyle name="Style 71 2 6" xfId="17167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5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6" xr:uid="{00000000-0005-0000-0000-000049870000}"/>
    <cellStyle name="Style 71 3 3 2 3" xfId="18180" xr:uid="{00000000-0005-0000-0000-00004A870000}"/>
    <cellStyle name="Style 71 3 3 3" xfId="6943" xr:uid="{00000000-0005-0000-0000-00004B870000}"/>
    <cellStyle name="Style 71 3 3 3 2" xfId="18064" xr:uid="{00000000-0005-0000-0000-00004C870000}"/>
    <cellStyle name="Style 71 3 3 4" xfId="18267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4" xr:uid="{00000000-0005-0000-0000-000050870000}"/>
    <cellStyle name="Style 71 3 5" xfId="6946" xr:uid="{00000000-0005-0000-0000-000051870000}"/>
    <cellStyle name="Style 71 3 5 2" xfId="17519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8" xr:uid="{00000000-0005-0000-0000-000055870000}"/>
    <cellStyle name="Style 71 4 2 3" xfId="18022" xr:uid="{00000000-0005-0000-0000-000056870000}"/>
    <cellStyle name="Style 71 4 3" xfId="6949" xr:uid="{00000000-0005-0000-0000-000057870000}"/>
    <cellStyle name="Style 71 4 3 2" xfId="17592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2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7" xr:uid="{00000000-0005-0000-0000-000069870000}"/>
    <cellStyle name="Style 72 3 3 3" xfId="17683" xr:uid="{00000000-0005-0000-0000-00006A870000}"/>
    <cellStyle name="Style 72 3 3 4" xfId="17624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2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3" xr:uid="{00000000-0005-0000-0000-000072870000}"/>
    <cellStyle name="Style 72 4 3" xfId="17138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6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2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6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69" xr:uid="{00000000-0005-0000-0000-000080870000}"/>
    <cellStyle name="Style 73 11" xfId="6966" xr:uid="{00000000-0005-0000-0000-000081870000}"/>
    <cellStyle name="Style 73 11 2" xfId="18173" xr:uid="{00000000-0005-0000-0000-000082870000}"/>
    <cellStyle name="Style 73 12" xfId="6967" xr:uid="{00000000-0005-0000-0000-000083870000}"/>
    <cellStyle name="Style 73 12 2" xfId="18131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0" xr:uid="{00000000-0005-0000-0000-000088870000}"/>
    <cellStyle name="Style 73 2 3" xfId="17150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19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4" xr:uid="{00000000-0005-0000-0000-000093870000}"/>
    <cellStyle name="Style 73 3 3 2 3" xfId="17473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6" xr:uid="{00000000-0005-0000-0000-000097870000}"/>
    <cellStyle name="Style 73 3 3 3 3" xfId="6979" xr:uid="{00000000-0005-0000-0000-000098870000}"/>
    <cellStyle name="Style 73 3 3 3 3 2" xfId="17397" xr:uid="{00000000-0005-0000-0000-000099870000}"/>
    <cellStyle name="Style 73 3 3 3 4" xfId="18147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1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7" xr:uid="{00000000-0005-0000-0000-0000A3870000}"/>
    <cellStyle name="Style 73 3 4 3" xfId="18079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2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0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0" xr:uid="{00000000-0005-0000-0000-0000B0870000}"/>
    <cellStyle name="Style 73 4 2 3 3" xfId="6991" xr:uid="{00000000-0005-0000-0000-0000B1870000}"/>
    <cellStyle name="Style 73 4 2 3 3 2" xfId="18242" xr:uid="{00000000-0005-0000-0000-0000B2870000}"/>
    <cellStyle name="Style 73 4 2 3 4" xfId="17917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1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4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4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7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3" xr:uid="{00000000-0005-0000-0000-0000C9870000}"/>
    <cellStyle name="Style 73 5 2 2 3" xfId="17958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4" xr:uid="{00000000-0005-0000-0000-0000CD870000}"/>
    <cellStyle name="Style 73 5 2 3 3" xfId="7005" xr:uid="{00000000-0005-0000-0000-0000CE870000}"/>
    <cellStyle name="Style 73 5 2 3 3 2" xfId="17504" xr:uid="{00000000-0005-0000-0000-0000CF870000}"/>
    <cellStyle name="Style 73 5 2 3 4" xfId="17279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6" xr:uid="{00000000-0005-0000-0000-0000D3870000}"/>
    <cellStyle name="Style 73 5 2 5" xfId="7007" xr:uid="{00000000-0005-0000-0000-0000D4870000}"/>
    <cellStyle name="Style 73 5 2 5 2" xfId="17145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6" xr:uid="{00000000-0005-0000-0000-0000D8870000}"/>
    <cellStyle name="Style 73 5 3 3" xfId="17972" xr:uid="{00000000-0005-0000-0000-0000D9870000}"/>
    <cellStyle name="Style 73 5 4" xfId="7010" xr:uid="{00000000-0005-0000-0000-0000DA870000}"/>
    <cellStyle name="Style 73 5 4 2" xfId="17075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7" xr:uid="{00000000-0005-0000-0000-0000E2870000}"/>
    <cellStyle name="Style 73 6 2 3" xfId="18203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7" xr:uid="{00000000-0005-0000-0000-0000E8870000}"/>
    <cellStyle name="Style 73 6 3 4" xfId="17549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3" xr:uid="{00000000-0005-0000-0000-0000EC870000}"/>
    <cellStyle name="Style 73 6 4 3" xfId="18114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8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3" xr:uid="{00000000-0005-0000-0000-0000F3870000}"/>
    <cellStyle name="Style 73 7 3" xfId="7023" xr:uid="{00000000-0005-0000-0000-0000F4870000}"/>
    <cellStyle name="Style 73 7 3 2" xfId="17983" xr:uid="{00000000-0005-0000-0000-0000F5870000}"/>
    <cellStyle name="Style 73 7 4" xfId="17790" xr:uid="{00000000-0005-0000-0000-0000F6870000}"/>
    <cellStyle name="Style 73 8" xfId="7024" xr:uid="{00000000-0005-0000-0000-0000F7870000}"/>
    <cellStyle name="Style 73 8 2" xfId="17377" xr:uid="{00000000-0005-0000-0000-0000F8870000}"/>
    <cellStyle name="Style 73 8 3" xfId="17498" xr:uid="{00000000-0005-0000-0000-0000F9870000}"/>
    <cellStyle name="Style 73 8 4" xfId="17647" xr:uid="{00000000-0005-0000-0000-0000FA870000}"/>
    <cellStyle name="Style 73 9" xfId="7025" xr:uid="{00000000-0005-0000-0000-0000FB870000}"/>
    <cellStyle name="Style 73 9 2" xfId="17526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7" xr:uid="{00000000-0005-0000-0000-000003880000}"/>
    <cellStyle name="Style 74 2 2 3" xfId="7030" xr:uid="{00000000-0005-0000-0000-000004880000}"/>
    <cellStyle name="Style 74 2 2 3 2" xfId="17290" xr:uid="{00000000-0005-0000-0000-000005880000}"/>
    <cellStyle name="Style 74 2 2 4" xfId="17394" xr:uid="{00000000-0005-0000-0000-000006880000}"/>
    <cellStyle name="Style 74 2 3" xfId="7031" xr:uid="{00000000-0005-0000-0000-000007880000}"/>
    <cellStyle name="Style 74 2 3 2" xfId="17349" xr:uid="{00000000-0005-0000-0000-000008880000}"/>
    <cellStyle name="Style 74 2 3 3" xfId="18188" xr:uid="{00000000-0005-0000-0000-000009880000}"/>
    <cellStyle name="Style 74 2 4" xfId="7032" xr:uid="{00000000-0005-0000-0000-00000A880000}"/>
    <cellStyle name="Style 74 2 4 2" xfId="17312" xr:uid="{00000000-0005-0000-0000-00000B880000}"/>
    <cellStyle name="Style 74 2 5" xfId="7033" xr:uid="{00000000-0005-0000-0000-00000C880000}"/>
    <cellStyle name="Style 74 2 5 2" xfId="18023" xr:uid="{00000000-0005-0000-0000-00000D880000}"/>
    <cellStyle name="Style 74 2 6" xfId="17101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29" xr:uid="{00000000-0005-0000-0000-000012880000}"/>
    <cellStyle name="Style 74 3 2 2 3" xfId="17835" xr:uid="{00000000-0005-0000-0000-000013880000}"/>
    <cellStyle name="Style 74 3 2 3" xfId="7037" xr:uid="{00000000-0005-0000-0000-000014880000}"/>
    <cellStyle name="Style 74 3 2 3 2" xfId="18037" xr:uid="{00000000-0005-0000-0000-000015880000}"/>
    <cellStyle name="Style 74 3 2 4" xfId="18265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59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6" xr:uid="{00000000-0005-0000-0000-00001C880000}"/>
    <cellStyle name="Style 74 3 3 4" xfId="17614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6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5" xr:uid="{00000000-0005-0000-0000-000025880000}"/>
    <cellStyle name="Style 74 4 2 3" xfId="17405" xr:uid="{00000000-0005-0000-0000-000026880000}"/>
    <cellStyle name="Style 74 4 3" xfId="7046" xr:uid="{00000000-0005-0000-0000-000027880000}"/>
    <cellStyle name="Style 74 4 3 2" xfId="17484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2" xr:uid="{00000000-0005-0000-0000-00002E880000}"/>
    <cellStyle name="Style 74 8" xfId="17288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5" xr:uid="{00000000-0005-0000-0000-000035880000}"/>
    <cellStyle name="Style 75 2 2 2 3" xfId="17490" xr:uid="{00000000-0005-0000-0000-000036880000}"/>
    <cellStyle name="Style 75 2 2 3" xfId="7053" xr:uid="{00000000-0005-0000-0000-000037880000}"/>
    <cellStyle name="Style 75 2 2 3 2" xfId="18092" xr:uid="{00000000-0005-0000-0000-000038880000}"/>
    <cellStyle name="Style 75 2 2 4" xfId="17702" xr:uid="{00000000-0005-0000-0000-000039880000}"/>
    <cellStyle name="Style 75 2 3" xfId="7054" xr:uid="{00000000-0005-0000-0000-00003A880000}"/>
    <cellStyle name="Style 75 2 3 2" xfId="17411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8" xr:uid="{00000000-0005-0000-0000-00003E880000}"/>
    <cellStyle name="Style 75 2 5" xfId="7056" xr:uid="{00000000-0005-0000-0000-00003F880000}"/>
    <cellStyle name="Style 75 2 5 2" xfId="18066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0" xr:uid="{00000000-0005-0000-0000-000046880000}"/>
    <cellStyle name="Style 75 3 2 3" xfId="7060" xr:uid="{00000000-0005-0000-0000-000047880000}"/>
    <cellStyle name="Style 75 3 2 3 2" xfId="17105" xr:uid="{00000000-0005-0000-0000-000048880000}"/>
    <cellStyle name="Style 75 3 2 4" xfId="17857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5" xr:uid="{00000000-0005-0000-0000-00004C880000}"/>
    <cellStyle name="Style 75 3 3 2 3" xfId="17936" xr:uid="{00000000-0005-0000-0000-00004D880000}"/>
    <cellStyle name="Style 75 3 3 3" xfId="7063" xr:uid="{00000000-0005-0000-0000-00004E880000}"/>
    <cellStyle name="Style 75 3 3 3 2" xfId="17587" xr:uid="{00000000-0005-0000-0000-00004F880000}"/>
    <cellStyle name="Style 75 3 3 4" xfId="17248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8" xr:uid="{00000000-0005-0000-0000-000053880000}"/>
    <cellStyle name="Style 75 3 5" xfId="7066" xr:uid="{00000000-0005-0000-0000-000054880000}"/>
    <cellStyle name="Style 75 3 5 2" xfId="17144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5" xr:uid="{00000000-0005-0000-0000-000058880000}"/>
    <cellStyle name="Style 75 4 2 3" xfId="17605" xr:uid="{00000000-0005-0000-0000-000059880000}"/>
    <cellStyle name="Style 75 4 3" xfId="7069" xr:uid="{00000000-0005-0000-0000-00005A880000}"/>
    <cellStyle name="Style 75 4 3 2" xfId="17270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2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5" xr:uid="{00000000-0005-0000-0000-000061880000}"/>
    <cellStyle name="Style 75 8" xfId="18148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2" xr:uid="{00000000-0005-0000-0000-000066880000}"/>
    <cellStyle name="Style 80 11" xfId="7074" xr:uid="{00000000-0005-0000-0000-000067880000}"/>
    <cellStyle name="Style 80 11 2" xfId="17430" xr:uid="{00000000-0005-0000-0000-000068880000}"/>
    <cellStyle name="Style 80 12" xfId="7075" xr:uid="{00000000-0005-0000-0000-000069880000}"/>
    <cellStyle name="Style 80 12 2" xfId="17110" xr:uid="{00000000-0005-0000-0000-00006A880000}"/>
    <cellStyle name="Style 80 13" xfId="17517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6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4" xr:uid="{00000000-0005-0000-0000-000073880000}"/>
    <cellStyle name="Style 80 3 2 3" xfId="7081" xr:uid="{00000000-0005-0000-0000-000074880000}"/>
    <cellStyle name="Style 80 3 2 3 2" xfId="17874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5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1" xr:uid="{00000000-0005-0000-0000-00007D880000}"/>
    <cellStyle name="Style 80 3 3 3 3" xfId="7087" xr:uid="{00000000-0005-0000-0000-00007E880000}"/>
    <cellStyle name="Style 80 3 3 3 3 2" xfId="18202" xr:uid="{00000000-0005-0000-0000-00007F880000}"/>
    <cellStyle name="Style 80 3 3 3 4" xfId="17382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4" xr:uid="{00000000-0005-0000-0000-000083880000}"/>
    <cellStyle name="Style 80 3 3 4 3" xfId="17412" xr:uid="{00000000-0005-0000-0000-000084880000}"/>
    <cellStyle name="Style 80 3 3 5" xfId="7090" xr:uid="{00000000-0005-0000-0000-000085880000}"/>
    <cellStyle name="Style 80 3 3 5 2" xfId="17713" xr:uid="{00000000-0005-0000-0000-000086880000}"/>
    <cellStyle name="Style 80 3 3 6" xfId="17495" xr:uid="{00000000-0005-0000-0000-000087880000}"/>
    <cellStyle name="Style 80 3 4" xfId="7091" xr:uid="{00000000-0005-0000-0000-000088880000}"/>
    <cellStyle name="Style 80 3 4 2" xfId="18056" xr:uid="{00000000-0005-0000-0000-000089880000}"/>
    <cellStyle name="Style 80 3 4 3" xfId="17119" xr:uid="{00000000-0005-0000-0000-00008A880000}"/>
    <cellStyle name="Style 80 3 5" xfId="7092" xr:uid="{00000000-0005-0000-0000-00008B880000}"/>
    <cellStyle name="Style 80 3 5 2" xfId="17084" xr:uid="{00000000-0005-0000-0000-00008C880000}"/>
    <cellStyle name="Style 80 3 6" xfId="18244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4" xr:uid="{00000000-0005-0000-0000-000092880000}"/>
    <cellStyle name="Style 80 4 2 2 3" xfId="17370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6" xr:uid="{00000000-0005-0000-0000-000096880000}"/>
    <cellStyle name="Style 80 4 2 3 3" xfId="7099" xr:uid="{00000000-0005-0000-0000-000097880000}"/>
    <cellStyle name="Style 80 4 2 3 3 2" xfId="17728" xr:uid="{00000000-0005-0000-0000-000098880000}"/>
    <cellStyle name="Style 80 4 2 3 4" xfId="17603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6" xr:uid="{00000000-0005-0000-0000-00009C880000}"/>
    <cellStyle name="Style 80 4 2 4 3" xfId="17754" xr:uid="{00000000-0005-0000-0000-00009D880000}"/>
    <cellStyle name="Style 80 4 2 5" xfId="7102" xr:uid="{00000000-0005-0000-0000-00009E880000}"/>
    <cellStyle name="Style 80 4 2 5 2" xfId="18073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39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69" xr:uid="{00000000-0005-0000-0000-0000A7880000}"/>
    <cellStyle name="Style 80 4 5" xfId="7106" xr:uid="{00000000-0005-0000-0000-0000A8880000}"/>
    <cellStyle name="Style 80 4 5 2" xfId="17575" xr:uid="{00000000-0005-0000-0000-0000A9880000}"/>
    <cellStyle name="Style 80 4 6" xfId="17817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8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1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6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0" xr:uid="{00000000-0005-0000-0000-0000BE880000}"/>
    <cellStyle name="Style 80 5 3 3" xfId="17617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6" xr:uid="{00000000-0005-0000-0000-0000C3880000}"/>
    <cellStyle name="Style 80 5 6" xfId="17089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09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7" xr:uid="{00000000-0005-0000-0000-0000CC880000}"/>
    <cellStyle name="Style 80 6 3 3" xfId="7125" xr:uid="{00000000-0005-0000-0000-0000CD880000}"/>
    <cellStyle name="Style 80 6 3 3 2" xfId="17074" xr:uid="{00000000-0005-0000-0000-0000CE880000}"/>
    <cellStyle name="Style 80 6 3 4" xfId="17637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6" xr:uid="{00000000-0005-0000-0000-0000D3880000}"/>
    <cellStyle name="Style 80 6 5" xfId="7128" xr:uid="{00000000-0005-0000-0000-0000D4880000}"/>
    <cellStyle name="Style 80 6 5 2" xfId="17491" xr:uid="{00000000-0005-0000-0000-0000D5880000}"/>
    <cellStyle name="Style 80 6 6" xfId="17166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6" xr:uid="{00000000-0005-0000-0000-0000D9880000}"/>
    <cellStyle name="Style 80 7 3" xfId="7131" xr:uid="{00000000-0005-0000-0000-0000DA880000}"/>
    <cellStyle name="Style 80 7 3 2" xfId="17178" xr:uid="{00000000-0005-0000-0000-0000DB880000}"/>
    <cellStyle name="Style 80 7 4" xfId="17381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7" xr:uid="{00000000-0005-0000-0000-0000DF880000}"/>
    <cellStyle name="Style 80 8 4" xfId="18032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5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2" xr:uid="{00000000-0005-0000-0000-0000EA880000}"/>
    <cellStyle name="Style 81 13" xfId="17949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1" xr:uid="{00000000-0005-0000-0000-0000EE880000}"/>
    <cellStyle name="Style 81 2 3" xfId="17755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7" xr:uid="{00000000-0005-0000-0000-0000F9880000}"/>
    <cellStyle name="Style 81 3 3 2 3" xfId="18248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09" xr:uid="{00000000-0005-0000-0000-0000FD880000}"/>
    <cellStyle name="Style 81 3 3 3 3" xfId="7149" xr:uid="{00000000-0005-0000-0000-0000FE880000}"/>
    <cellStyle name="Style 81 3 3 3 3 2" xfId="18162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2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3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699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5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0" xr:uid="{00000000-0005-0000-0000-000018890000}"/>
    <cellStyle name="Style 81 4 2 3 4" xfId="18138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3" xr:uid="{00000000-0005-0000-0000-00001C890000}"/>
    <cellStyle name="Style 81 4 2 4 3" xfId="17585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0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1" xr:uid="{00000000-0005-0000-0000-000023890000}"/>
    <cellStyle name="Style 81 4 3 3" xfId="17646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7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1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5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49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4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8" xr:uid="{00000000-0005-0000-0000-000041890000}"/>
    <cellStyle name="Style 81 5 5" xfId="7181" xr:uid="{00000000-0005-0000-0000-000042890000}"/>
    <cellStyle name="Style 81 5 5 2" xfId="17403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7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6" xr:uid="{00000000-0005-0000-0000-000052890000}"/>
    <cellStyle name="Style 81 6 4 3" xfId="17356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79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3" xr:uid="{00000000-0005-0000-0000-000059890000}"/>
    <cellStyle name="Style 81 7 3" xfId="7193" xr:uid="{00000000-0005-0000-0000-00005A890000}"/>
    <cellStyle name="Style 81 7 3 2" xfId="17157" xr:uid="{00000000-0005-0000-0000-00005B890000}"/>
    <cellStyle name="Style 81 7 4" xfId="17429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0" xr:uid="{00000000-0005-0000-0000-00005F890000}"/>
    <cellStyle name="Style 81 8 4" xfId="17182" xr:uid="{00000000-0005-0000-0000-000060890000}"/>
    <cellStyle name="Style 81 9" xfId="7195" xr:uid="{00000000-0005-0000-0000-000061890000}"/>
    <cellStyle name="Style 81 9 2" xfId="18166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6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2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1" xr:uid="{00000000-0005-0000-0000-00006C890000}"/>
    <cellStyle name="Style 82 3 3 3" xfId="16525" xr:uid="{00000000-0005-0000-0000-00006D890000}"/>
    <cellStyle name="Style 82 3 3 4" xfId="18127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5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3" xr:uid="{00000000-0005-0000-0000-000075890000}"/>
    <cellStyle name="Style 82 4 3" xfId="17185" xr:uid="{00000000-0005-0000-0000-000076890000}"/>
    <cellStyle name="Style 82 4 4" xfId="17947" xr:uid="{00000000-0005-0000-0000-000077890000}"/>
    <cellStyle name="Style 82 5" xfId="7205" xr:uid="{00000000-0005-0000-0000-000078890000}"/>
    <cellStyle name="Style 82 5 2" xfId="17283" xr:uid="{00000000-0005-0000-0000-000079890000}"/>
    <cellStyle name="Style 82 5 3" xfId="17714" xr:uid="{00000000-0005-0000-0000-00007A890000}"/>
    <cellStyle name="Style 82 6" xfId="7206" xr:uid="{00000000-0005-0000-0000-00007B890000}"/>
    <cellStyle name="Style 82 6 2" xfId="17536" xr:uid="{00000000-0005-0000-0000-00007C890000}"/>
    <cellStyle name="Style 82 7" xfId="7207" xr:uid="{00000000-0005-0000-0000-00007D890000}"/>
    <cellStyle name="Style 82 7 2" xfId="17843" xr:uid="{00000000-0005-0000-0000-00007E890000}"/>
    <cellStyle name="Style 82 8" xfId="17752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4" xr:uid="{00000000-0005-0000-0000-000085890000}"/>
    <cellStyle name="Style 83 2 2 2 3" xfId="18175" xr:uid="{00000000-0005-0000-0000-000086890000}"/>
    <cellStyle name="Style 83 2 2 3" xfId="7212" xr:uid="{00000000-0005-0000-0000-000087890000}"/>
    <cellStyle name="Style 83 2 2 3 2" xfId="17143" xr:uid="{00000000-0005-0000-0000-000088890000}"/>
    <cellStyle name="Style 83 2 2 4" xfId="17885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4" xr:uid="{00000000-0005-0000-0000-00008C890000}"/>
    <cellStyle name="Style 83 2 4" xfId="7214" xr:uid="{00000000-0005-0000-0000-00008D890000}"/>
    <cellStyle name="Style 83 2 4 2" xfId="18234" xr:uid="{00000000-0005-0000-0000-00008E890000}"/>
    <cellStyle name="Style 83 2 5" xfId="7215" xr:uid="{00000000-0005-0000-0000-00008F890000}"/>
    <cellStyle name="Style 83 2 5 2" xfId="17828" xr:uid="{00000000-0005-0000-0000-000090890000}"/>
    <cellStyle name="Style 83 2 6" xfId="18187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0" xr:uid="{00000000-0005-0000-0000-000095890000}"/>
    <cellStyle name="Style 83 3 2 2 3" xfId="17148" xr:uid="{00000000-0005-0000-0000-000096890000}"/>
    <cellStyle name="Style 83 3 2 3" xfId="7219" xr:uid="{00000000-0005-0000-0000-000097890000}"/>
    <cellStyle name="Style 83 3 2 3 2" xfId="17547" xr:uid="{00000000-0005-0000-0000-000098890000}"/>
    <cellStyle name="Style 83 3 2 4" xfId="17362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5" xr:uid="{00000000-0005-0000-0000-00009C890000}"/>
    <cellStyle name="Style 83 3 3 2 3" xfId="18181" xr:uid="{00000000-0005-0000-0000-00009D890000}"/>
    <cellStyle name="Style 83 3 3 3" xfId="7222" xr:uid="{00000000-0005-0000-0000-00009E890000}"/>
    <cellStyle name="Style 83 3 3 3 2" xfId="17742" xr:uid="{00000000-0005-0000-0000-00009F890000}"/>
    <cellStyle name="Style 83 3 3 4" xfId="18045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0" xr:uid="{00000000-0005-0000-0000-0000A3890000}"/>
    <cellStyle name="Style 83 3 5" xfId="7225" xr:uid="{00000000-0005-0000-0000-0000A4890000}"/>
    <cellStyle name="Style 83 3 5 2" xfId="17512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3" xr:uid="{00000000-0005-0000-0000-0000A9890000}"/>
    <cellStyle name="Style 83 4 3" xfId="7228" xr:uid="{00000000-0005-0000-0000-0000AA890000}"/>
    <cellStyle name="Style 83 4 3 2" xfId="17104" xr:uid="{00000000-0005-0000-0000-0000AB890000}"/>
    <cellStyle name="Style 83 4 4" xfId="17516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8" xr:uid="{00000000-0005-0000-0000-0000B0890000}"/>
    <cellStyle name="Style 83 7" xfId="17205" xr:uid="{00000000-0005-0000-0000-0000B1890000}"/>
    <cellStyle name="Style 83 8" xfId="17285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1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39" xr:uid="{00000000-0005-0000-0000-0000BD890000}"/>
    <cellStyle name="Style 84 3 3 4" xfId="17468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5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1" xr:uid="{00000000-0005-0000-0000-0000C5890000}"/>
    <cellStyle name="Style 84 4 3" xfId="18301" xr:uid="{00000000-0005-0000-0000-0000C6890000}"/>
    <cellStyle name="Style 84 4 4" xfId="17177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09" xr:uid="{00000000-0005-0000-0000-0000CA890000}"/>
    <cellStyle name="Style 84 6" xfId="7241" xr:uid="{00000000-0005-0000-0000-0000CB890000}"/>
    <cellStyle name="Style 84 6 2" xfId="17615" xr:uid="{00000000-0005-0000-0000-0000CC890000}"/>
    <cellStyle name="Style 84 7" xfId="7242" xr:uid="{00000000-0005-0000-0000-0000CD890000}"/>
    <cellStyle name="Style 84 7 2" xfId="17928" xr:uid="{00000000-0005-0000-0000-0000CE890000}"/>
    <cellStyle name="Style 84 8" xfId="17256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3" xr:uid="{00000000-0005-0000-0000-0000D3890000}"/>
    <cellStyle name="Style 85 11" xfId="7245" xr:uid="{00000000-0005-0000-0000-0000D4890000}"/>
    <cellStyle name="Style 85 11 2" xfId="17155" xr:uid="{00000000-0005-0000-0000-0000D5890000}"/>
    <cellStyle name="Style 85 12" xfId="7246" xr:uid="{00000000-0005-0000-0000-0000D6890000}"/>
    <cellStyle name="Style 85 12 2" xfId="18280" xr:uid="{00000000-0005-0000-0000-0000D7890000}"/>
    <cellStyle name="Style 85 13" xfId="17534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8" xr:uid="{00000000-0005-0000-0000-0000DB890000}"/>
    <cellStyle name="Style 85 2 3" xfId="17168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2" xr:uid="{00000000-0005-0000-0000-0000E0890000}"/>
    <cellStyle name="Style 85 3 2 3" xfId="7252" xr:uid="{00000000-0005-0000-0000-0000E1890000}"/>
    <cellStyle name="Style 85 3 2 3 2" xfId="17981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8" xr:uid="{00000000-0005-0000-0000-0000E6890000}"/>
    <cellStyle name="Style 85 3 3 2 3" xfId="17375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3" xr:uid="{00000000-0005-0000-0000-0000EA890000}"/>
    <cellStyle name="Style 85 3 3 3 3" xfId="7258" xr:uid="{00000000-0005-0000-0000-0000EB890000}"/>
    <cellStyle name="Style 85 3 3 3 3 2" xfId="17477" xr:uid="{00000000-0005-0000-0000-0000EC890000}"/>
    <cellStyle name="Style 85 3 3 3 4" xfId="17733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6" xr:uid="{00000000-0005-0000-0000-0000F0890000}"/>
    <cellStyle name="Style 85 3 3 4 3" xfId="17844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0" xr:uid="{00000000-0005-0000-0000-0000F4890000}"/>
    <cellStyle name="Style 85 3 4" xfId="7262" xr:uid="{00000000-0005-0000-0000-0000F5890000}"/>
    <cellStyle name="Style 85 3 4 2" xfId="17645" xr:uid="{00000000-0005-0000-0000-0000F6890000}"/>
    <cellStyle name="Style 85 3 4 3" xfId="17269" xr:uid="{00000000-0005-0000-0000-0000F7890000}"/>
    <cellStyle name="Style 85 3 5" xfId="7263" xr:uid="{00000000-0005-0000-0000-0000F8890000}"/>
    <cellStyle name="Style 85 3 5 2" xfId="17390" xr:uid="{00000000-0005-0000-0000-0000F9890000}"/>
    <cellStyle name="Style 85 3 6" xfId="18171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0" xr:uid="{00000000-0005-0000-0000-0000FF890000}"/>
    <cellStyle name="Style 85 4 2 2 3" xfId="17750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8" xr:uid="{00000000-0005-0000-0000-0000038A0000}"/>
    <cellStyle name="Style 85 4 2 3 3" xfId="7270" xr:uid="{00000000-0005-0000-0000-0000048A0000}"/>
    <cellStyle name="Style 85 4 2 3 3 2" xfId="17363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8" xr:uid="{00000000-0005-0000-0000-0000098A0000}"/>
    <cellStyle name="Style 85 4 2 4 3" xfId="17240" xr:uid="{00000000-0005-0000-0000-00000A8A0000}"/>
    <cellStyle name="Style 85 4 2 5" xfId="7273" xr:uid="{00000000-0005-0000-0000-00000B8A0000}"/>
    <cellStyle name="Style 85 4 2 5 2" xfId="17583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0" xr:uid="{00000000-0005-0000-0000-0000118A0000}"/>
    <cellStyle name="Style 85 4 4" xfId="7276" xr:uid="{00000000-0005-0000-0000-0000128A0000}"/>
    <cellStyle name="Style 85 4 4 2" xfId="17286" xr:uid="{00000000-0005-0000-0000-0000138A0000}"/>
    <cellStyle name="Style 85 4 4 3" xfId="17933" xr:uid="{00000000-0005-0000-0000-0000148A0000}"/>
    <cellStyle name="Style 85 4 5" xfId="7277" xr:uid="{00000000-0005-0000-0000-0000158A0000}"/>
    <cellStyle name="Style 85 4 5 2" xfId="17402" xr:uid="{00000000-0005-0000-0000-0000168A0000}"/>
    <cellStyle name="Style 85 4 6" xfId="17418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79" xr:uid="{00000000-0005-0000-0000-00001C8A0000}"/>
    <cellStyle name="Style 85 5 2 2 3" xfId="18266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0" xr:uid="{00000000-0005-0000-0000-0000208A0000}"/>
    <cellStyle name="Style 85 5 2 3 3" xfId="7284" xr:uid="{00000000-0005-0000-0000-0000218A0000}"/>
    <cellStyle name="Style 85 5 2 3 3 2" xfId="17183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3" xr:uid="{00000000-0005-0000-0000-0000268A0000}"/>
    <cellStyle name="Style 85 5 2 5" xfId="7286" xr:uid="{00000000-0005-0000-0000-0000278A0000}"/>
    <cellStyle name="Style 85 5 2 5 2" xfId="17922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49" xr:uid="{00000000-0005-0000-0000-00002B8A0000}"/>
    <cellStyle name="Style 85 5 3 3" xfId="18017" xr:uid="{00000000-0005-0000-0000-00002C8A0000}"/>
    <cellStyle name="Style 85 5 4" xfId="7289" xr:uid="{00000000-0005-0000-0000-00002D8A0000}"/>
    <cellStyle name="Style 85 5 4 2" xfId="18157" xr:uid="{00000000-0005-0000-0000-00002E8A0000}"/>
    <cellStyle name="Style 85 5 5" xfId="7290" xr:uid="{00000000-0005-0000-0000-00002F8A0000}"/>
    <cellStyle name="Style 85 5 5 2" xfId="17146" xr:uid="{00000000-0005-0000-0000-0000308A0000}"/>
    <cellStyle name="Style 85 5 6" xfId="18052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49" xr:uid="{00000000-0005-0000-0000-0000358A0000}"/>
    <cellStyle name="Style 85 6 2 3" xfId="17708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7" xr:uid="{00000000-0005-0000-0000-0000398A0000}"/>
    <cellStyle name="Style 85 6 3 3" xfId="7296" xr:uid="{00000000-0005-0000-0000-00003A8A0000}"/>
    <cellStyle name="Style 85 6 3 3 2" xfId="17611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0" xr:uid="{00000000-0005-0000-0000-00003F8A0000}"/>
    <cellStyle name="Style 85 6 4 3" xfId="17525" xr:uid="{00000000-0005-0000-0000-0000408A0000}"/>
    <cellStyle name="Style 85 6 5" xfId="7299" xr:uid="{00000000-0005-0000-0000-0000418A0000}"/>
    <cellStyle name="Style 85 6 5 2" xfId="17419" xr:uid="{00000000-0005-0000-0000-0000428A0000}"/>
    <cellStyle name="Style 85 6 6" xfId="18279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1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4" xr:uid="{00000000-0005-0000-0000-0000498A0000}"/>
    <cellStyle name="Style 85 8" xfId="7303" xr:uid="{00000000-0005-0000-0000-00004A8A0000}"/>
    <cellStyle name="Style 85 8 2" xfId="17467" xr:uid="{00000000-0005-0000-0000-00004B8A0000}"/>
    <cellStyle name="Style 85 8 3" xfId="17930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7" xr:uid="{00000000-0005-0000-0000-0000558A0000}"/>
    <cellStyle name="Style 86 2 2 2 3" xfId="17763" xr:uid="{00000000-0005-0000-0000-0000568A0000}"/>
    <cellStyle name="Style 86 2 2 3" xfId="7309" xr:uid="{00000000-0005-0000-0000-0000578A0000}"/>
    <cellStyle name="Style 86 2 2 3 2" xfId="18174" xr:uid="{00000000-0005-0000-0000-0000588A0000}"/>
    <cellStyle name="Style 86 2 2 4" xfId="17846" xr:uid="{00000000-0005-0000-0000-0000598A0000}"/>
    <cellStyle name="Style 86 2 3" xfId="7310" xr:uid="{00000000-0005-0000-0000-00005A8A0000}"/>
    <cellStyle name="Style 86 2 3 2" xfId="18081" xr:uid="{00000000-0005-0000-0000-00005B8A0000}"/>
    <cellStyle name="Style 86 2 3 3" xfId="17078" xr:uid="{00000000-0005-0000-0000-00005C8A0000}"/>
    <cellStyle name="Style 86 2 4" xfId="7311" xr:uid="{00000000-0005-0000-0000-00005D8A0000}"/>
    <cellStyle name="Style 86 2 4 2" xfId="17586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69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4" xr:uid="{00000000-0005-0000-0000-0000658A0000}"/>
    <cellStyle name="Style 86 3 2 2 3" xfId="18132" xr:uid="{00000000-0005-0000-0000-0000668A0000}"/>
    <cellStyle name="Style 86 3 2 3" xfId="7316" xr:uid="{00000000-0005-0000-0000-0000678A0000}"/>
    <cellStyle name="Style 86 3 2 3 2" xfId="18031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4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1" xr:uid="{00000000-0005-0000-0000-00006F8A0000}"/>
    <cellStyle name="Style 86 3 3 4" xfId="17428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4" xr:uid="{00000000-0005-0000-0000-0000738A0000}"/>
    <cellStyle name="Style 86 3 5" xfId="7322" xr:uid="{00000000-0005-0000-0000-0000748A0000}"/>
    <cellStyle name="Style 86 3 5 2" xfId="18014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1" xr:uid="{00000000-0005-0000-0000-0000788A0000}"/>
    <cellStyle name="Style 86 4 2 3" xfId="17099" xr:uid="{00000000-0005-0000-0000-0000798A0000}"/>
    <cellStyle name="Style 86 4 3" xfId="7325" xr:uid="{00000000-0005-0000-0000-00007A8A0000}"/>
    <cellStyle name="Style 86 4 3 2" xfId="17415" xr:uid="{00000000-0005-0000-0000-00007B8A0000}"/>
    <cellStyle name="Style 86 4 4" xfId="18059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5" xr:uid="{00000000-0005-0000-0000-0000808A0000}"/>
    <cellStyle name="Style 86 7" xfId="17533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09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1" xr:uid="{00000000-0005-0000-0000-00008B8A0000}"/>
    <cellStyle name="Style 87 2 2 4" xfId="17357" xr:uid="{00000000-0005-0000-0000-00008C8A0000}"/>
    <cellStyle name="Style 87 2 3" xfId="7333" xr:uid="{00000000-0005-0000-0000-00008D8A0000}"/>
    <cellStyle name="Style 87 2 3 2" xfId="17376" xr:uid="{00000000-0005-0000-0000-00008E8A0000}"/>
    <cellStyle name="Style 87 2 3 3" xfId="18286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0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4" xr:uid="{00000000-0005-0000-0000-0000988A0000}"/>
    <cellStyle name="Style 87 3 2 2 3" xfId="17871" xr:uid="{00000000-0005-0000-0000-0000998A0000}"/>
    <cellStyle name="Style 87 3 2 3" xfId="7339" xr:uid="{00000000-0005-0000-0000-00009A8A0000}"/>
    <cellStyle name="Style 87 3 2 3 2" xfId="17860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6" xr:uid="{00000000-0005-0000-0000-00009F8A0000}"/>
    <cellStyle name="Style 87 3 3 2 3" xfId="18249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3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1" xr:uid="{00000000-0005-0000-0000-0000A68A0000}"/>
    <cellStyle name="Style 87 3 5" xfId="7345" xr:uid="{00000000-0005-0000-0000-0000A78A0000}"/>
    <cellStyle name="Style 87 3 5 2" xfId="17499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0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5" xr:uid="{00000000-0005-0000-0000-0000AE8A0000}"/>
    <cellStyle name="Style 87 4 4" xfId="17489" xr:uid="{00000000-0005-0000-0000-0000AF8A0000}"/>
    <cellStyle name="Style 87 5" xfId="7349" xr:uid="{00000000-0005-0000-0000-0000B08A0000}"/>
    <cellStyle name="Style 87 5 2" xfId="17510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3" xr:uid="{00000000-0005-0000-0000-0000B48A0000}"/>
    <cellStyle name="Style 87 8" xfId="17802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3" xr:uid="{00000000-0005-0000-0000-0000B98A0000}"/>
    <cellStyle name="Style 93 11" xfId="7353" xr:uid="{00000000-0005-0000-0000-0000BA8A0000}"/>
    <cellStyle name="Style 93 11 2" xfId="17406" xr:uid="{00000000-0005-0000-0000-0000BB8A0000}"/>
    <cellStyle name="Style 93 12" xfId="7354" xr:uid="{00000000-0005-0000-0000-0000BC8A0000}"/>
    <cellStyle name="Style 93 12 2" xfId="17932" xr:uid="{00000000-0005-0000-0000-0000BD8A0000}"/>
    <cellStyle name="Style 93 13" xfId="17867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0" xr:uid="{00000000-0005-0000-0000-0000C18A0000}"/>
    <cellStyle name="Style 93 2 3" xfId="17176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1" xr:uid="{00000000-0005-0000-0000-0000C68A0000}"/>
    <cellStyle name="Style 93 3 2 3" xfId="7360" xr:uid="{00000000-0005-0000-0000-0000C78A0000}"/>
    <cellStyle name="Style 93 3 2 3 2" xfId="17103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6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0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4" xr:uid="{00000000-0005-0000-0000-0000D68A0000}"/>
    <cellStyle name="Style 93 3 3 4 3" xfId="17129" xr:uid="{00000000-0005-0000-0000-0000D78A0000}"/>
    <cellStyle name="Style 93 3 3 5" xfId="7369" xr:uid="{00000000-0005-0000-0000-0000D88A0000}"/>
    <cellStyle name="Style 93 3 3 5 2" xfId="17400" xr:uid="{00000000-0005-0000-0000-0000D98A0000}"/>
    <cellStyle name="Style 93 3 3 6" xfId="17266" xr:uid="{00000000-0005-0000-0000-0000DA8A0000}"/>
    <cellStyle name="Style 93 3 4" xfId="7370" xr:uid="{00000000-0005-0000-0000-0000DB8A0000}"/>
    <cellStyle name="Style 93 3 4 2" xfId="18072" xr:uid="{00000000-0005-0000-0000-0000DC8A0000}"/>
    <cellStyle name="Style 93 3 4 3" xfId="18287" xr:uid="{00000000-0005-0000-0000-0000DD8A0000}"/>
    <cellStyle name="Style 93 3 5" xfId="7371" xr:uid="{00000000-0005-0000-0000-0000DE8A0000}"/>
    <cellStyle name="Style 93 3 5 2" xfId="18278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8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8" xr:uid="{00000000-0005-0000-0000-0000E98A0000}"/>
    <cellStyle name="Style 93 4 2 3 3" xfId="7378" xr:uid="{00000000-0005-0000-0000-0000EA8A0000}"/>
    <cellStyle name="Style 93 4 2 3 3 2" xfId="17191" xr:uid="{00000000-0005-0000-0000-0000EB8A0000}"/>
    <cellStyle name="Style 93 4 2 3 4" xfId="17284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0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69" xr:uid="{00000000-0005-0000-0000-0000F28A0000}"/>
    <cellStyle name="Style 93 4 2 6" xfId="17204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1" xr:uid="{00000000-0005-0000-0000-0000F68A0000}"/>
    <cellStyle name="Style 93 4 3 3" xfId="18268" xr:uid="{00000000-0005-0000-0000-0000F78A0000}"/>
    <cellStyle name="Style 93 4 4" xfId="7384" xr:uid="{00000000-0005-0000-0000-0000F88A0000}"/>
    <cellStyle name="Style 93 4 4 2" xfId="18300" xr:uid="{00000000-0005-0000-0000-0000F98A0000}"/>
    <cellStyle name="Style 93 4 4 3" xfId="17855" xr:uid="{00000000-0005-0000-0000-0000FA8A0000}"/>
    <cellStyle name="Style 93 4 5" xfId="7385" xr:uid="{00000000-0005-0000-0000-0000FB8A0000}"/>
    <cellStyle name="Style 93 4 5 2" xfId="17869" xr:uid="{00000000-0005-0000-0000-0000FC8A0000}"/>
    <cellStyle name="Style 93 4 6" xfId="18233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5" xr:uid="{00000000-0005-0000-0000-0000028B0000}"/>
    <cellStyle name="Style 93 5 2 2 3" xfId="17117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7" xr:uid="{00000000-0005-0000-0000-0000068B0000}"/>
    <cellStyle name="Style 93 5 2 3 3" xfId="7392" xr:uid="{00000000-0005-0000-0000-0000078B0000}"/>
    <cellStyle name="Style 93 5 2 3 3 2" xfId="18033" xr:uid="{00000000-0005-0000-0000-0000088B0000}"/>
    <cellStyle name="Style 93 5 2 3 4" xfId="17082" xr:uid="{00000000-0005-0000-0000-0000098B0000}"/>
    <cellStyle name="Style 93 5 2 4" xfId="7393" xr:uid="{00000000-0005-0000-0000-00000A8B0000}"/>
    <cellStyle name="Style 93 5 2 4 2" xfId="18027" xr:uid="{00000000-0005-0000-0000-00000B8B0000}"/>
    <cellStyle name="Style 93 5 2 4 3" xfId="17823" xr:uid="{00000000-0005-0000-0000-00000C8B0000}"/>
    <cellStyle name="Style 93 5 2 5" xfId="7394" xr:uid="{00000000-0005-0000-0000-00000D8B0000}"/>
    <cellStyle name="Style 93 5 2 5 2" xfId="18149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0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3" xr:uid="{00000000-0005-0000-0000-0000148B0000}"/>
    <cellStyle name="Style 93 5 5" xfId="7398" xr:uid="{00000000-0005-0000-0000-0000158B0000}"/>
    <cellStyle name="Style 93 5 5 2" xfId="18189" xr:uid="{00000000-0005-0000-0000-0000168B0000}"/>
    <cellStyle name="Style 93 5 6" xfId="18128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7" xr:uid="{00000000-0005-0000-0000-00001B8B0000}"/>
    <cellStyle name="Style 93 6 2 3" xfId="17413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7" xr:uid="{00000000-0005-0000-0000-00001F8B0000}"/>
    <cellStyle name="Style 93 6 3 3" xfId="7404" xr:uid="{00000000-0005-0000-0000-0000208B0000}"/>
    <cellStyle name="Style 93 6 3 3 2" xfId="17469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7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2" xr:uid="{00000000-0005-0000-0000-0000288B0000}"/>
    <cellStyle name="Style 93 6 6" xfId="18020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6" xr:uid="{00000000-0005-0000-0000-00002E8B0000}"/>
    <cellStyle name="Style 93 7 4" xfId="17644" xr:uid="{00000000-0005-0000-0000-00002F8B0000}"/>
    <cellStyle name="Style 93 8" xfId="7411" xr:uid="{00000000-0005-0000-0000-0000308B0000}"/>
    <cellStyle name="Style 93 8 2" xfId="18172" xr:uid="{00000000-0005-0000-0000-0000318B0000}"/>
    <cellStyle name="Style 93 8 3" xfId="17729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0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4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2" xr:uid="{00000000-0005-0000-0000-00003F8B0000}"/>
    <cellStyle name="Style 94 3 3 3" xfId="17309" xr:uid="{00000000-0005-0000-0000-0000408B0000}"/>
    <cellStyle name="Style 94 3 3 4" xfId="18285" xr:uid="{00000000-0005-0000-0000-0000418B0000}"/>
    <cellStyle name="Style 94 3 4" xfId="7419" xr:uid="{00000000-0005-0000-0000-0000428B0000}"/>
    <cellStyle name="Style 94 3 4 2" xfId="18256" xr:uid="{00000000-0005-0000-0000-0000438B0000}"/>
    <cellStyle name="Style 94 3 4 3" xfId="17685" xr:uid="{00000000-0005-0000-0000-0000448B0000}"/>
    <cellStyle name="Style 94 3 5" xfId="17192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2" xr:uid="{00000000-0005-0000-0000-0000488B0000}"/>
    <cellStyle name="Style 94 4 3" xfId="17961" xr:uid="{00000000-0005-0000-0000-0000498B0000}"/>
    <cellStyle name="Style 94 4 4" xfId="17840" xr:uid="{00000000-0005-0000-0000-00004A8B0000}"/>
    <cellStyle name="Style 94 5" xfId="7422" xr:uid="{00000000-0005-0000-0000-00004B8B0000}"/>
    <cellStyle name="Style 94 5 2" xfId="17725" xr:uid="{00000000-0005-0000-0000-00004C8B0000}"/>
    <cellStyle name="Style 94 5 3" xfId="17368" xr:uid="{00000000-0005-0000-0000-00004D8B0000}"/>
    <cellStyle name="Style 94 6" xfId="7423" xr:uid="{00000000-0005-0000-0000-00004E8B0000}"/>
    <cellStyle name="Style 94 6 2" xfId="17173" xr:uid="{00000000-0005-0000-0000-00004F8B0000}"/>
    <cellStyle name="Style 94 7" xfId="7424" xr:uid="{00000000-0005-0000-0000-0000508B0000}"/>
    <cellStyle name="Style 94 7 2" xfId="17734" xr:uid="{00000000-0005-0000-0000-0000518B0000}"/>
    <cellStyle name="Style 94 8" xfId="17948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3" xr:uid="{00000000-0005-0000-0000-0000588B0000}"/>
    <cellStyle name="Style 95 2 2 2 3" xfId="18190" xr:uid="{00000000-0005-0000-0000-0000598B0000}"/>
    <cellStyle name="Style 95 2 2 3" xfId="7429" xr:uid="{00000000-0005-0000-0000-00005A8B0000}"/>
    <cellStyle name="Style 95 2 2 3 2" xfId="18139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8" xr:uid="{00000000-0005-0000-0000-00005F8B0000}"/>
    <cellStyle name="Style 95 2 4" xfId="7431" xr:uid="{00000000-0005-0000-0000-0000608B0000}"/>
    <cellStyle name="Style 95 2 4 2" xfId="17127" xr:uid="{00000000-0005-0000-0000-0000618B0000}"/>
    <cellStyle name="Style 95 2 5" xfId="7432" xr:uid="{00000000-0005-0000-0000-0000628B0000}"/>
    <cellStyle name="Style 95 2 5 2" xfId="17591" xr:uid="{00000000-0005-0000-0000-0000638B0000}"/>
    <cellStyle name="Style 95 2 6" xfId="17181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3" xr:uid="{00000000-0005-0000-0000-0000688B0000}"/>
    <cellStyle name="Style 95 3 2 2 3" xfId="18145" xr:uid="{00000000-0005-0000-0000-0000698B0000}"/>
    <cellStyle name="Style 95 3 2 3" xfId="7436" xr:uid="{00000000-0005-0000-0000-00006A8B0000}"/>
    <cellStyle name="Style 95 3 2 3 2" xfId="18089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7" xr:uid="{00000000-0005-0000-0000-00006F8B0000}"/>
    <cellStyle name="Style 95 3 3 2 3" xfId="17859" xr:uid="{00000000-0005-0000-0000-0000708B0000}"/>
    <cellStyle name="Style 95 3 3 3" xfId="7439" xr:uid="{00000000-0005-0000-0000-0000718B0000}"/>
    <cellStyle name="Style 95 3 3 3 2" xfId="17756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5" xr:uid="{00000000-0005-0000-0000-0000768B0000}"/>
    <cellStyle name="Style 95 3 5" xfId="7442" xr:uid="{00000000-0005-0000-0000-0000778B0000}"/>
    <cellStyle name="Style 95 3 5 2" xfId="18038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7" xr:uid="{00000000-0005-0000-0000-00007B8B0000}"/>
    <cellStyle name="Style 95 4 2 3" xfId="17682" xr:uid="{00000000-0005-0000-0000-00007C8B0000}"/>
    <cellStyle name="Style 95 4 3" xfId="7445" xr:uid="{00000000-0005-0000-0000-00007D8B0000}"/>
    <cellStyle name="Style 95 4 3 2" xfId="17812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39" xr:uid="{00000000-0005-0000-0000-0000818B0000}"/>
    <cellStyle name="Style 95 6" xfId="7447" xr:uid="{00000000-0005-0000-0000-0000828B0000}"/>
    <cellStyle name="Style 95 6 2" xfId="17707" xr:uid="{00000000-0005-0000-0000-0000838B0000}"/>
    <cellStyle name="Style 95 7" xfId="17762" xr:uid="{00000000-0005-0000-0000-0000848B0000}"/>
    <cellStyle name="Style 95 8" xfId="17277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4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6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1" xr:uid="{00000000-0005-0000-0000-00008F8B0000}"/>
    <cellStyle name="Style 96 3 3 3" xfId="18186" xr:uid="{00000000-0005-0000-0000-0000908B0000}"/>
    <cellStyle name="Style 96 3 3 4" xfId="17098" xr:uid="{00000000-0005-0000-0000-0000918B0000}"/>
    <cellStyle name="Style 96 3 4" xfId="7454" xr:uid="{00000000-0005-0000-0000-0000928B0000}"/>
    <cellStyle name="Style 96 3 4 2" xfId="17741" xr:uid="{00000000-0005-0000-0000-0000938B0000}"/>
    <cellStyle name="Style 96 3 4 3" xfId="17962" xr:uid="{00000000-0005-0000-0000-0000948B0000}"/>
    <cellStyle name="Style 96 3 5" xfId="17966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6" xr:uid="{00000000-0005-0000-0000-0000988B0000}"/>
    <cellStyle name="Style 96 4 3" xfId="17427" xr:uid="{00000000-0005-0000-0000-0000998B0000}"/>
    <cellStyle name="Style 96 4 4" xfId="17190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3" xr:uid="{00000000-0005-0000-0000-00009D8B0000}"/>
    <cellStyle name="Style 96 6" xfId="7458" xr:uid="{00000000-0005-0000-0000-00009E8B0000}"/>
    <cellStyle name="Style 96 6 2" xfId="17276" xr:uid="{00000000-0005-0000-0000-00009F8B0000}"/>
    <cellStyle name="Style 96 7" xfId="7459" xr:uid="{00000000-0005-0000-0000-0000A08B0000}"/>
    <cellStyle name="Style 96 7 2" xfId="18259" xr:uid="{00000000-0005-0000-0000-0000A18B0000}"/>
    <cellStyle name="Style 96 8" xfId="17492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1" xr:uid="{00000000-0005-0000-0000-0000A68B0000}"/>
    <cellStyle name="Style 97 11" xfId="7462" xr:uid="{00000000-0005-0000-0000-0000A78B0000}"/>
    <cellStyle name="Style 97 11 2" xfId="18054" xr:uid="{00000000-0005-0000-0000-0000A88B0000}"/>
    <cellStyle name="Style 97 12" xfId="7463" xr:uid="{00000000-0005-0000-0000-0000A98B0000}"/>
    <cellStyle name="Style 97 12 2" xfId="17500" xr:uid="{00000000-0005-0000-0000-0000AA8B0000}"/>
    <cellStyle name="Style 97 13" xfId="17968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8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0" xr:uid="{00000000-0005-0000-0000-0000B38B0000}"/>
    <cellStyle name="Style 97 3 2 3" xfId="7469" xr:uid="{00000000-0005-0000-0000-0000B48B0000}"/>
    <cellStyle name="Style 97 3 2 3 2" xfId="18199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1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8" xr:uid="{00000000-0005-0000-0000-0000BD8B0000}"/>
    <cellStyle name="Style 97 3 3 3 3" xfId="7475" xr:uid="{00000000-0005-0000-0000-0000BE8B0000}"/>
    <cellStyle name="Style 97 3 3 3 3 2" xfId="17147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19" xr:uid="{00000000-0005-0000-0000-0000C38B0000}"/>
    <cellStyle name="Style 97 3 3 4 3" xfId="18141" xr:uid="{00000000-0005-0000-0000-0000C48B0000}"/>
    <cellStyle name="Style 97 3 3 5" xfId="7478" xr:uid="{00000000-0005-0000-0000-0000C58B0000}"/>
    <cellStyle name="Style 97 3 3 5 2" xfId="17937" xr:uid="{00000000-0005-0000-0000-0000C68B0000}"/>
    <cellStyle name="Style 97 3 3 6" xfId="17092" xr:uid="{00000000-0005-0000-0000-0000C78B0000}"/>
    <cellStyle name="Style 97 3 4" xfId="7479" xr:uid="{00000000-0005-0000-0000-0000C88B0000}"/>
    <cellStyle name="Style 97 3 4 2" xfId="17883" xr:uid="{00000000-0005-0000-0000-0000C98B0000}"/>
    <cellStyle name="Style 97 3 4 3" xfId="17171" xr:uid="{00000000-0005-0000-0000-0000CA8B0000}"/>
    <cellStyle name="Style 97 3 5" xfId="7480" xr:uid="{00000000-0005-0000-0000-0000CB8B0000}"/>
    <cellStyle name="Style 97 3 5 2" xfId="17384" xr:uid="{00000000-0005-0000-0000-0000CC8B0000}"/>
    <cellStyle name="Style 97 3 6" xfId="17532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5" xr:uid="{00000000-0005-0000-0000-0000D28B0000}"/>
    <cellStyle name="Style 97 4 2 2 3" xfId="18176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09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7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3" xr:uid="{00000000-0005-0000-0000-0000DC8B0000}"/>
    <cellStyle name="Style 97 4 2 4 3" xfId="17102" xr:uid="{00000000-0005-0000-0000-0000DD8B0000}"/>
    <cellStyle name="Style 97 4 2 5" xfId="7490" xr:uid="{00000000-0005-0000-0000-0000DE8B0000}"/>
    <cellStyle name="Style 97 4 2 5 2" xfId="18036" xr:uid="{00000000-0005-0000-0000-0000DF8B0000}"/>
    <cellStyle name="Style 97 4 2 6" xfId="17238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5" xr:uid="{00000000-0005-0000-0000-0000E48B0000}"/>
    <cellStyle name="Style 97 4 4" xfId="7493" xr:uid="{00000000-0005-0000-0000-0000E58B0000}"/>
    <cellStyle name="Style 97 4 4 2" xfId="18029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7" xr:uid="{00000000-0005-0000-0000-0000E98B0000}"/>
    <cellStyle name="Style 97 4 6" xfId="17528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1" xr:uid="{00000000-0005-0000-0000-0000EF8B0000}"/>
    <cellStyle name="Style 97 5 2 2 3" xfId="18231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0" xr:uid="{00000000-0005-0000-0000-0000F38B0000}"/>
    <cellStyle name="Style 97 5 2 3 3" xfId="7501" xr:uid="{00000000-0005-0000-0000-0000F48B0000}"/>
    <cellStyle name="Style 97 5 2 3 3 2" xfId="17748" xr:uid="{00000000-0005-0000-0000-0000F58B0000}"/>
    <cellStyle name="Style 97 5 2 3 4" xfId="18170" xr:uid="{00000000-0005-0000-0000-0000F68B0000}"/>
    <cellStyle name="Style 97 5 2 4" xfId="7502" xr:uid="{00000000-0005-0000-0000-0000F78B0000}"/>
    <cellStyle name="Style 97 5 2 4 2" xfId="17920" xr:uid="{00000000-0005-0000-0000-0000F88B0000}"/>
    <cellStyle name="Style 97 5 2 4 3" xfId="17960" xr:uid="{00000000-0005-0000-0000-0000F98B0000}"/>
    <cellStyle name="Style 97 5 2 5" xfId="7503" xr:uid="{00000000-0005-0000-0000-0000FA8B0000}"/>
    <cellStyle name="Style 97 5 2 5 2" xfId="18046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7" xr:uid="{00000000-0005-0000-0000-0000FE8B0000}"/>
    <cellStyle name="Style 97 5 3 3" xfId="17203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8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0" xr:uid="{00000000-0005-0000-0000-0000088C0000}"/>
    <cellStyle name="Style 97 6 2 3" xfId="18291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69" xr:uid="{00000000-0005-0000-0000-00000C8C0000}"/>
    <cellStyle name="Style 97 6 3 3" xfId="7513" xr:uid="{00000000-0005-0000-0000-00000D8C0000}"/>
    <cellStyle name="Style 97 6 3 3 2" xfId="17951" xr:uid="{00000000-0005-0000-0000-00000E8C0000}"/>
    <cellStyle name="Style 97 6 3 4" xfId="17942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4" xr:uid="{00000000-0005-0000-0000-0000128C0000}"/>
    <cellStyle name="Style 97 6 4 3" xfId="17497" xr:uid="{00000000-0005-0000-0000-0000138C0000}"/>
    <cellStyle name="Style 97 6 5" xfId="7516" xr:uid="{00000000-0005-0000-0000-0000148C0000}"/>
    <cellStyle name="Style 97 6 5 2" xfId="18299" xr:uid="{00000000-0005-0000-0000-0000158C0000}"/>
    <cellStyle name="Style 97 6 6" xfId="17257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4" xr:uid="{00000000-0005-0000-0000-0000198C0000}"/>
    <cellStyle name="Style 97 7 3" xfId="7519" xr:uid="{00000000-0005-0000-0000-00001A8C0000}"/>
    <cellStyle name="Style 97 7 3 2" xfId="17829" xr:uid="{00000000-0005-0000-0000-00001B8C0000}"/>
    <cellStyle name="Style 97 7 4" xfId="17530" xr:uid="{00000000-0005-0000-0000-00001C8C0000}"/>
    <cellStyle name="Style 97 8" xfId="7520" xr:uid="{00000000-0005-0000-0000-00001D8C0000}"/>
    <cellStyle name="Style 97 8 2" xfId="18167" xr:uid="{00000000-0005-0000-0000-00001E8C0000}"/>
    <cellStyle name="Style 97 8 3" xfId="17081" xr:uid="{00000000-0005-0000-0000-00001F8C0000}"/>
    <cellStyle name="Style 97 8 4" xfId="17116" xr:uid="{00000000-0005-0000-0000-0000208C0000}"/>
    <cellStyle name="Style 97 9" xfId="7521" xr:uid="{00000000-0005-0000-0000-0000218C0000}"/>
    <cellStyle name="Style 97 9 2" xfId="18241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79" xr:uid="{00000000-0005-0000-0000-0000288C0000}"/>
    <cellStyle name="Style 98 2 2 2 3" xfId="18043" xr:uid="{00000000-0005-0000-0000-0000298C0000}"/>
    <cellStyle name="Style 98 2 2 3" xfId="7526" xr:uid="{00000000-0005-0000-0000-00002A8C0000}"/>
    <cellStyle name="Style 98 2 2 3 2" xfId="17847" xr:uid="{00000000-0005-0000-0000-00002B8C0000}"/>
    <cellStyle name="Style 98 2 2 4" xfId="17701" xr:uid="{00000000-0005-0000-0000-00002C8C0000}"/>
    <cellStyle name="Style 98 2 3" xfId="7527" xr:uid="{00000000-0005-0000-0000-00002D8C0000}"/>
    <cellStyle name="Style 98 2 3 2" xfId="17691" xr:uid="{00000000-0005-0000-0000-00002E8C0000}"/>
    <cellStyle name="Style 98 2 3 3" xfId="17873" xr:uid="{00000000-0005-0000-0000-00002F8C0000}"/>
    <cellStyle name="Style 98 2 4" xfId="7528" xr:uid="{00000000-0005-0000-0000-0000308C0000}"/>
    <cellStyle name="Style 98 2 4 2" xfId="17115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5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6" xr:uid="{00000000-0005-0000-0000-0000388C0000}"/>
    <cellStyle name="Style 98 3 2 2 3" xfId="17130" xr:uid="{00000000-0005-0000-0000-0000398C0000}"/>
    <cellStyle name="Style 98 3 2 3" xfId="7533" xr:uid="{00000000-0005-0000-0000-00003A8C0000}"/>
    <cellStyle name="Style 98 3 2 3 2" xfId="17086" xr:uid="{00000000-0005-0000-0000-00003B8C0000}"/>
    <cellStyle name="Style 98 3 2 4" xfId="17066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2" xr:uid="{00000000-0005-0000-0000-00003F8C0000}"/>
    <cellStyle name="Style 98 3 3 2 3" xfId="17643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6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0" xr:uid="{00000000-0005-0000-0000-00004B8C0000}"/>
    <cellStyle name="Style 98 4 2 3" xfId="17249" xr:uid="{00000000-0005-0000-0000-00004C8C0000}"/>
    <cellStyle name="Style 98 4 3" xfId="7542" xr:uid="{00000000-0005-0000-0000-00004D8C0000}"/>
    <cellStyle name="Style 98 4 3 2" xfId="17524" xr:uid="{00000000-0005-0000-0000-00004E8C0000}"/>
    <cellStyle name="Style 98 4 4" xfId="17114" xr:uid="{00000000-0005-0000-0000-00004F8C0000}"/>
    <cellStyle name="Style 98 5" xfId="7543" xr:uid="{00000000-0005-0000-0000-0000508C0000}"/>
    <cellStyle name="Style 98 5 2" xfId="18293" xr:uid="{00000000-0005-0000-0000-0000518C0000}"/>
    <cellStyle name="Style 98 6" xfId="7544" xr:uid="{00000000-0005-0000-0000-0000528C0000}"/>
    <cellStyle name="Style 98 6 2" xfId="18080" xr:uid="{00000000-0005-0000-0000-0000538C0000}"/>
    <cellStyle name="Style 98 7" xfId="17967" xr:uid="{00000000-0005-0000-0000-0000548C0000}"/>
    <cellStyle name="Style 98 8" xfId="17711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1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6" xr:uid="{00000000-0005-0000-0000-0000618C0000}"/>
    <cellStyle name="Style 99 2 3 3" xfId="17938" xr:uid="{00000000-0005-0000-0000-0000628C0000}"/>
    <cellStyle name="Style 99 2 4" xfId="7551" xr:uid="{00000000-0005-0000-0000-0000638C0000}"/>
    <cellStyle name="Style 99 2 4 2" xfId="17113" xr:uid="{00000000-0005-0000-0000-0000648C0000}"/>
    <cellStyle name="Style 99 2 5" xfId="7552" xr:uid="{00000000-0005-0000-0000-0000658C0000}"/>
    <cellStyle name="Style 99 2 5 2" xfId="17623" xr:uid="{00000000-0005-0000-0000-0000668C0000}"/>
    <cellStyle name="Style 99 2 6" xfId="17308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2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89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8" xr:uid="{00000000-0005-0000-0000-0000758C0000}"/>
    <cellStyle name="Style 99 3 3 4" xfId="18283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1" xr:uid="{00000000-0005-0000-0000-0000798C0000}"/>
    <cellStyle name="Style 99 3 5" xfId="7562" xr:uid="{00000000-0005-0000-0000-00007A8C0000}"/>
    <cellStyle name="Style 99 3 5 2" xfId="18144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2" xr:uid="{00000000-0005-0000-0000-00007E8C0000}"/>
    <cellStyle name="Style 99 4 2 3" xfId="18198" xr:uid="{00000000-0005-0000-0000-00007F8C0000}"/>
    <cellStyle name="Style 99 4 3" xfId="7565" xr:uid="{00000000-0005-0000-0000-0000808C0000}"/>
    <cellStyle name="Style 99 4 3 2" xfId="17544" xr:uid="{00000000-0005-0000-0000-0000818C0000}"/>
    <cellStyle name="Style 99 4 4" xfId="17426" xr:uid="{00000000-0005-0000-0000-0000828C0000}"/>
    <cellStyle name="Style 99 5" xfId="7566" xr:uid="{00000000-0005-0000-0000-0000838C0000}"/>
    <cellStyle name="Style 99 5 2" xfId="17875" xr:uid="{00000000-0005-0000-0000-0000848C0000}"/>
    <cellStyle name="Style 99 6" xfId="7567" xr:uid="{00000000-0005-0000-0000-0000858C0000}"/>
    <cellStyle name="Style 99 6 2" xfId="18235" xr:uid="{00000000-0005-0000-0000-0000868C0000}"/>
    <cellStyle name="Style 99 7" xfId="17818" xr:uid="{00000000-0005-0000-0000-0000878C0000}"/>
    <cellStyle name="Style 99 8" xfId="17071" xr:uid="{00000000-0005-0000-0000-0000888C0000}"/>
    <cellStyle name="Style 99_ADDON" xfId="7568" xr:uid="{00000000-0005-0000-0000-0000898C0000}"/>
    <cellStyle name="Sub Total" xfId="36120" xr:uid="{00000000-0005-0000-0000-00008A8C0000}"/>
    <cellStyle name="Table Heading" xfId="36121" xr:uid="{00000000-0005-0000-0000-00008B8C0000}"/>
    <cellStyle name="Texte explicatif" xfId="7569" xr:uid="{00000000-0005-0000-0000-00008C8C0000}"/>
    <cellStyle name="Texte explicatif 2" xfId="18183" xr:uid="{00000000-0005-0000-0000-00008D8C0000}"/>
    <cellStyle name="Title" xfId="36130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29" xr:uid="{00000000-0005-0000-0000-0000C08C0000}"/>
    <cellStyle name="Titre 1" xfId="7571" xr:uid="{00000000-0005-0000-0000-0000C18C0000}"/>
    <cellStyle name="Titre 1 2" xfId="17260" xr:uid="{00000000-0005-0000-0000-0000C28C0000}"/>
    <cellStyle name="Titre 2" xfId="7572" xr:uid="{00000000-0005-0000-0000-0000C38C0000}"/>
    <cellStyle name="Titre 2 2" xfId="17715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2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5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2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77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8" xr:uid="{00000000-0005-0000-0000-0000058D0000}"/>
    <cellStyle name="Überschrift 3" xfId="4075" xr:uid="{00000000-0005-0000-0000-0000068D0000}"/>
    <cellStyle name="Überschrift 3 2" xfId="17978" xr:uid="{00000000-0005-0000-0000-0000078D0000}"/>
    <cellStyle name="Überschrift 4" xfId="4076" xr:uid="{00000000-0005-0000-0000-0000088D0000}"/>
    <cellStyle name="Überschrift 4 2" xfId="17642" xr:uid="{00000000-0005-0000-0000-0000098D0000}"/>
    <cellStyle name="Überschrift 5" xfId="17202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7" xr:uid="{00000000-0005-0000-0000-00000D8D0000}"/>
    <cellStyle name="Verknüpfte Zelle" xfId="4077" xr:uid="{00000000-0005-0000-0000-00000E8D0000}"/>
    <cellStyle name="Verknüpfte Zelle 2" xfId="18058" xr:uid="{00000000-0005-0000-0000-00000F8D0000}"/>
    <cellStyle name="Warnender Text" xfId="4078" xr:uid="{00000000-0005-0000-0000-0000108D0000}"/>
    <cellStyle name="Warnender Text 2" xfId="17518" xr:uid="{00000000-0005-0000-0000-0000118D0000}"/>
    <cellStyle name="Warning Text" xfId="36140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6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3" xr:uid="{00000000-0005-0000-0000-0000588D0000}"/>
    <cellStyle name="Zelle überprüfen" xfId="4079" xr:uid="{00000000-0005-0000-0000-0000598D0000}"/>
    <cellStyle name="Zelle überprüfen 2" xfId="17391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/>
  </sheetViews>
  <sheetFormatPr defaultRowHeight="12.75"/>
  <sheetData>
    <row r="1" spans="1:1">
      <c r="A1" t="s">
        <v>355</v>
      </c>
    </row>
    <row r="2" spans="1:1">
      <c r="A2" t="s">
        <v>351</v>
      </c>
    </row>
    <row r="3" spans="1:1">
      <c r="A3" t="s">
        <v>352</v>
      </c>
    </row>
    <row r="4" spans="1:1">
      <c r="A4" t="s">
        <v>353</v>
      </c>
    </row>
    <row r="5" spans="1:1">
      <c r="A5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272</v>
      </c>
      <c r="T4" s="63" t="s">
        <v>200</v>
      </c>
    </row>
    <row r="5" spans="1:20" ht="13.15" thickBot="1">
      <c r="B5" s="276" t="s">
        <v>201</v>
      </c>
      <c r="C5" s="273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71"/>
      <c r="C6" s="274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71"/>
      <c r="C7" s="274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71"/>
      <c r="C8" s="274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71"/>
      <c r="C9" s="274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71"/>
      <c r="C10" s="274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71"/>
      <c r="C11" s="274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71"/>
      <c r="C12" s="275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71"/>
      <c r="C13" s="273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71"/>
      <c r="C14" s="274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77"/>
      <c r="C15" s="278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77"/>
      <c r="C16" s="278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77"/>
      <c r="C17" s="275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70" t="s">
        <v>213</v>
      </c>
      <c r="C18" s="273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0">
        <v>8479.7919571639595</v>
      </c>
      <c r="P18" s="69">
        <v>3.8</v>
      </c>
      <c r="Q18" s="228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71"/>
      <c r="C19" s="274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0">
        <v>31659.486997344462</v>
      </c>
      <c r="P19" s="76">
        <v>3.8</v>
      </c>
      <c r="Q19" s="228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71"/>
      <c r="C20" s="275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0">
        <v>4687.3580769230766</v>
      </c>
      <c r="P20" s="86">
        <v>3.5</v>
      </c>
      <c r="Q20" s="228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72"/>
      <c r="C21" s="94" t="s">
        <v>317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28">
        <v>5.6500000000000002E-2</v>
      </c>
      <c r="K21" s="228">
        <v>21.981385162999999</v>
      </c>
      <c r="L21" s="229">
        <v>0.68453212409913244</v>
      </c>
      <c r="M21" s="228">
        <v>200</v>
      </c>
      <c r="N21" s="229">
        <v>59</v>
      </c>
      <c r="O21" s="230">
        <v>11602.23939151072</v>
      </c>
      <c r="P21" s="103">
        <v>16.440000000000001</v>
      </c>
      <c r="Q21" s="228">
        <v>12.115612815913849</v>
      </c>
      <c r="R21" s="231"/>
      <c r="S21" s="232">
        <v>0.29551795164883077</v>
      </c>
      <c r="T21" s="171">
        <v>0.70448204835116923</v>
      </c>
    </row>
    <row r="22" spans="2:20" ht="13.15" thickBot="1">
      <c r="B22" s="226"/>
      <c r="C22" s="97" t="s">
        <v>318</v>
      </c>
      <c r="D22" s="98" t="s">
        <v>319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27" t="s">
        <v>205</v>
      </c>
      <c r="J22" s="228">
        <v>4.7E-2</v>
      </c>
      <c r="K22" s="228">
        <v>21.981385162999999</v>
      </c>
      <c r="L22" s="229">
        <v>1.5379655004445401</v>
      </c>
      <c r="M22" s="233">
        <v>300</v>
      </c>
      <c r="N22" s="234">
        <v>13.2</v>
      </c>
      <c r="O22" s="230">
        <v>116512.53791246517</v>
      </c>
      <c r="P22" s="241">
        <v>20</v>
      </c>
      <c r="Q22" s="228">
        <v>32.722670222224259</v>
      </c>
      <c r="R22" s="235"/>
      <c r="S22" s="232">
        <v>0.29551795164883077</v>
      </c>
      <c r="T22" s="171">
        <v>0.70448204835116923</v>
      </c>
    </row>
    <row r="23" spans="2:20" ht="13.15" thickBot="1">
      <c r="B23" s="270" t="s">
        <v>218</v>
      </c>
      <c r="C23" s="273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71"/>
      <c r="C24" s="274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72"/>
      <c r="C25" s="275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79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80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79" t="s">
        <v>226</v>
      </c>
      <c r="C29" s="282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81"/>
      <c r="C30" s="283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81"/>
      <c r="C31" s="278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80"/>
      <c r="C32" s="284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79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80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/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273</v>
      </c>
      <c r="B1" s="236" t="s">
        <v>273</v>
      </c>
      <c r="C1" s="219" t="s">
        <v>274</v>
      </c>
      <c r="D1" s="219">
        <v>2015</v>
      </c>
      <c r="E1" s="219">
        <v>2016</v>
      </c>
      <c r="F1" s="219">
        <v>2018</v>
      </c>
      <c r="G1" s="219">
        <v>2021</v>
      </c>
      <c r="H1" s="219">
        <v>2025</v>
      </c>
      <c r="I1" s="219">
        <v>2030</v>
      </c>
      <c r="J1" s="219">
        <v>2035</v>
      </c>
      <c r="K1" s="219">
        <v>2040</v>
      </c>
      <c r="L1" s="219">
        <v>2045</v>
      </c>
      <c r="M1" s="219">
        <v>2050</v>
      </c>
      <c r="N1" s="219">
        <v>2055</v>
      </c>
      <c r="O1" s="219">
        <v>2060</v>
      </c>
      <c r="P1" s="237"/>
      <c r="Q1" s="237"/>
      <c r="R1" s="238" t="s">
        <v>275</v>
      </c>
      <c r="S1" s="220" t="s">
        <v>274</v>
      </c>
      <c r="T1" s="220">
        <v>2015</v>
      </c>
      <c r="U1" s="220">
        <v>2016</v>
      </c>
      <c r="V1" s="220">
        <v>2018</v>
      </c>
      <c r="W1" s="220">
        <v>2021</v>
      </c>
      <c r="X1" s="220">
        <v>2025</v>
      </c>
      <c r="Y1" s="220">
        <v>2030</v>
      </c>
      <c r="Z1" s="220">
        <v>2035</v>
      </c>
      <c r="AA1" s="220">
        <v>2040</v>
      </c>
      <c r="AB1" s="220">
        <v>2045</v>
      </c>
      <c r="AC1" s="220">
        <v>2050</v>
      </c>
      <c r="AD1" s="220">
        <v>2055</v>
      </c>
      <c r="AE1" s="220">
        <v>2060</v>
      </c>
    </row>
    <row r="2" spans="1:31">
      <c r="A2" s="176" t="s">
        <v>276</v>
      </c>
      <c r="B2" s="239" t="s">
        <v>276</v>
      </c>
      <c r="C2" s="239" t="s">
        <v>91</v>
      </c>
      <c r="D2" s="218">
        <v>24.17</v>
      </c>
      <c r="E2" s="218">
        <v>25.19</v>
      </c>
      <c r="F2" s="218">
        <v>26.5</v>
      </c>
      <c r="G2" s="218">
        <v>28.37</v>
      </c>
      <c r="H2" s="218">
        <v>30.96</v>
      </c>
      <c r="I2" s="218">
        <v>34.549999999999997</v>
      </c>
      <c r="J2" s="218">
        <v>37.83</v>
      </c>
      <c r="K2" s="218">
        <v>40.08</v>
      </c>
      <c r="L2" s="218">
        <v>42.65</v>
      </c>
      <c r="M2" s="218">
        <v>45.41</v>
      </c>
      <c r="N2" s="218">
        <v>47.82</v>
      </c>
      <c r="O2" s="218">
        <v>50.05</v>
      </c>
      <c r="P2" s="217"/>
      <c r="Q2" s="217"/>
      <c r="R2" s="218" t="s">
        <v>276</v>
      </c>
      <c r="S2" s="218" t="s">
        <v>91</v>
      </c>
      <c r="T2" s="218">
        <v>8.43</v>
      </c>
      <c r="U2" s="218">
        <v>8.7899999999999991</v>
      </c>
      <c r="V2" s="218">
        <v>9.24</v>
      </c>
      <c r="W2" s="218">
        <v>9.9</v>
      </c>
      <c r="X2" s="218">
        <v>10.8</v>
      </c>
      <c r="Y2" s="218">
        <v>12.05</v>
      </c>
      <c r="Z2" s="218">
        <v>13.2</v>
      </c>
      <c r="AA2" s="218">
        <v>13.98</v>
      </c>
      <c r="AB2" s="218">
        <v>14.88</v>
      </c>
      <c r="AC2" s="218">
        <v>15.84</v>
      </c>
      <c r="AD2" s="218">
        <v>16.68</v>
      </c>
      <c r="AE2" s="218">
        <v>17.46</v>
      </c>
    </row>
    <row r="3" spans="1:31">
      <c r="A3" s="175" t="s">
        <v>277</v>
      </c>
      <c r="B3" s="237" t="s">
        <v>277</v>
      </c>
      <c r="C3" s="237" t="s">
        <v>91</v>
      </c>
      <c r="D3" s="217">
        <v>5.12</v>
      </c>
      <c r="E3" s="217">
        <v>5.53</v>
      </c>
      <c r="F3" s="217">
        <v>6.45</v>
      </c>
      <c r="G3" s="217">
        <v>7.08</v>
      </c>
      <c r="H3" s="217">
        <v>7.94</v>
      </c>
      <c r="I3" s="217">
        <v>9.18</v>
      </c>
      <c r="J3" s="217">
        <v>10.45</v>
      </c>
      <c r="K3" s="217">
        <v>11.56</v>
      </c>
      <c r="L3" s="217">
        <v>12.85</v>
      </c>
      <c r="M3" s="217">
        <v>14.25</v>
      </c>
      <c r="N3" s="217">
        <v>15.58</v>
      </c>
      <c r="O3" s="217">
        <v>16.82</v>
      </c>
      <c r="P3" s="217"/>
      <c r="Q3" s="217"/>
      <c r="R3" s="217" t="s">
        <v>277</v>
      </c>
      <c r="S3" s="217" t="s">
        <v>91</v>
      </c>
      <c r="T3" s="217">
        <v>2.13</v>
      </c>
      <c r="U3" s="217">
        <v>2.2999999999999998</v>
      </c>
      <c r="V3" s="217">
        <v>2.69</v>
      </c>
      <c r="W3" s="217">
        <v>2.95</v>
      </c>
      <c r="X3" s="217">
        <v>3.31</v>
      </c>
      <c r="Y3" s="217">
        <v>3.83</v>
      </c>
      <c r="Z3" s="217">
        <v>4.3600000000000003</v>
      </c>
      <c r="AA3" s="217">
        <v>4.82</v>
      </c>
      <c r="AB3" s="217">
        <v>5.36</v>
      </c>
      <c r="AC3" s="217">
        <v>5.94</v>
      </c>
      <c r="AD3" s="217">
        <v>6.49</v>
      </c>
      <c r="AE3" s="217">
        <v>7.01</v>
      </c>
    </row>
    <row r="4" spans="1:31">
      <c r="A4" s="176" t="s">
        <v>278</v>
      </c>
      <c r="B4" s="239" t="s">
        <v>278</v>
      </c>
      <c r="C4" s="239" t="s">
        <v>91</v>
      </c>
      <c r="D4" s="218">
        <v>0.55000000000000004</v>
      </c>
      <c r="E4" s="218">
        <v>0.56999999999999995</v>
      </c>
      <c r="F4" s="218">
        <v>0.6</v>
      </c>
      <c r="G4" s="218">
        <v>0.64</v>
      </c>
      <c r="H4" s="218">
        <v>0.68</v>
      </c>
      <c r="I4" s="218">
        <v>0.73</v>
      </c>
      <c r="J4" s="218">
        <v>0.77</v>
      </c>
      <c r="K4" s="218">
        <v>0.78</v>
      </c>
      <c r="L4" s="218">
        <v>0.79</v>
      </c>
      <c r="M4" s="218">
        <v>0.81</v>
      </c>
      <c r="N4" s="218">
        <v>0.81</v>
      </c>
      <c r="O4" s="218">
        <v>0.81</v>
      </c>
      <c r="P4" s="217"/>
      <c r="Q4" s="217"/>
      <c r="R4" s="218" t="s">
        <v>278</v>
      </c>
      <c r="S4" s="218" t="s">
        <v>91</v>
      </c>
      <c r="T4" s="218">
        <v>0.23</v>
      </c>
      <c r="U4" s="218">
        <v>0.24</v>
      </c>
      <c r="V4" s="218">
        <v>0.25</v>
      </c>
      <c r="W4" s="218">
        <v>0.27</v>
      </c>
      <c r="X4" s="218">
        <v>0.28999999999999998</v>
      </c>
      <c r="Y4" s="218">
        <v>0.31</v>
      </c>
      <c r="Z4" s="218">
        <v>0.32</v>
      </c>
      <c r="AA4" s="218">
        <v>0.33</v>
      </c>
      <c r="AB4" s="218">
        <v>0.33</v>
      </c>
      <c r="AC4" s="218">
        <v>0.34</v>
      </c>
      <c r="AD4" s="218">
        <v>0.34</v>
      </c>
      <c r="AE4" s="218">
        <v>0.34</v>
      </c>
    </row>
    <row r="5" spans="1:31">
      <c r="A5" s="175" t="s">
        <v>279</v>
      </c>
      <c r="B5" s="237" t="s">
        <v>279</v>
      </c>
      <c r="C5" s="237" t="s">
        <v>91</v>
      </c>
      <c r="D5" s="217">
        <v>0.42523616734143049</v>
      </c>
      <c r="E5" s="217">
        <v>0.43756185335132702</v>
      </c>
      <c r="F5" s="217">
        <v>0.46221322537112014</v>
      </c>
      <c r="G5" s="217">
        <v>0.49302744039586149</v>
      </c>
      <c r="H5" s="217">
        <v>0.52384165542060279</v>
      </c>
      <c r="I5" s="217">
        <v>0.56390013495276659</v>
      </c>
      <c r="J5" s="217">
        <v>0.59163292847503379</v>
      </c>
      <c r="K5" s="217">
        <v>0.60087719298245612</v>
      </c>
      <c r="L5" s="217">
        <v>0.61320287899235271</v>
      </c>
      <c r="M5" s="217">
        <v>0.62244714349977515</v>
      </c>
      <c r="N5" s="217">
        <v>0.62552856500224918</v>
      </c>
      <c r="O5" s="217">
        <v>0.62552856500224918</v>
      </c>
      <c r="P5" s="217"/>
      <c r="Q5" s="217"/>
      <c r="R5" s="217" t="s">
        <v>279</v>
      </c>
      <c r="S5" s="217" t="s">
        <v>91</v>
      </c>
      <c r="T5" s="217">
        <v>0.17872244714349977</v>
      </c>
      <c r="U5" s="217">
        <v>0.18488529014844804</v>
      </c>
      <c r="V5" s="217">
        <v>0.19412955465587045</v>
      </c>
      <c r="W5" s="217">
        <v>0.20645524066576701</v>
      </c>
      <c r="X5" s="217">
        <v>0.22186234817813766</v>
      </c>
      <c r="Y5" s="217">
        <v>0.23726945569050834</v>
      </c>
      <c r="Z5" s="217">
        <v>0.24959514170040489</v>
      </c>
      <c r="AA5" s="217">
        <v>0.25267656320287901</v>
      </c>
      <c r="AB5" s="217">
        <v>0.25575798470535316</v>
      </c>
      <c r="AC5" s="217">
        <v>0.2619208277103014</v>
      </c>
      <c r="AD5" s="217">
        <v>0.2619208277103014</v>
      </c>
      <c r="AE5" s="217">
        <v>0.2619208277103014</v>
      </c>
    </row>
    <row r="6" spans="1:31">
      <c r="A6" s="176" t="s">
        <v>221</v>
      </c>
      <c r="B6" s="240" t="s">
        <v>319</v>
      </c>
      <c r="C6" s="237" t="s">
        <v>91</v>
      </c>
      <c r="D6" s="217">
        <v>0.95476383265856957</v>
      </c>
      <c r="E6" s="217">
        <v>0.98243814664867302</v>
      </c>
      <c r="F6" s="217">
        <v>1.03778677462888</v>
      </c>
      <c r="G6" s="217">
        <v>1.1069725596041387</v>
      </c>
      <c r="H6" s="217">
        <v>1.1761583445793973</v>
      </c>
      <c r="I6" s="217">
        <v>1.2660998650472337</v>
      </c>
      <c r="J6" s="217">
        <v>1.3283670715249665</v>
      </c>
      <c r="K6" s="217">
        <v>1.3491228070175441</v>
      </c>
      <c r="L6" s="217">
        <v>1.3767971210076475</v>
      </c>
      <c r="M6" s="217">
        <v>1.3975528565002251</v>
      </c>
      <c r="N6" s="217">
        <v>1.4044714349977507</v>
      </c>
      <c r="O6" s="217">
        <v>1.4044714349977507</v>
      </c>
      <c r="P6" s="217"/>
      <c r="Q6" s="217"/>
      <c r="R6" s="240" t="s">
        <v>319</v>
      </c>
      <c r="S6" s="217" t="s">
        <v>91</v>
      </c>
      <c r="T6" s="217">
        <v>0.40127755285650024</v>
      </c>
      <c r="U6" s="217">
        <v>0.41511470985155202</v>
      </c>
      <c r="V6" s="217">
        <v>0.43587044534412961</v>
      </c>
      <c r="W6" s="217">
        <v>0.46354475933423311</v>
      </c>
      <c r="X6" s="217">
        <v>0.49813765182186237</v>
      </c>
      <c r="Y6" s="217">
        <v>0.53273054430949174</v>
      </c>
      <c r="Z6" s="217">
        <v>0.5604048582995953</v>
      </c>
      <c r="AA6" s="217">
        <v>0.56732343679712105</v>
      </c>
      <c r="AB6" s="217">
        <v>0.57424201529464691</v>
      </c>
      <c r="AC6" s="217">
        <v>0.58807917228969864</v>
      </c>
      <c r="AD6" s="217">
        <v>0.58807917228969864</v>
      </c>
      <c r="AE6" s="217">
        <v>0.58807917228969864</v>
      </c>
    </row>
    <row r="7" spans="1:31">
      <c r="A7" s="175" t="s">
        <v>220</v>
      </c>
      <c r="B7" s="239" t="s">
        <v>221</v>
      </c>
      <c r="C7" s="239" t="s">
        <v>91</v>
      </c>
      <c r="D7" s="218">
        <v>0.28999999999999998</v>
      </c>
      <c r="E7" s="218">
        <v>0.3</v>
      </c>
      <c r="F7" s="218">
        <v>0.3</v>
      </c>
      <c r="G7" s="218">
        <v>0.32</v>
      </c>
      <c r="H7" s="218">
        <v>0.34</v>
      </c>
      <c r="I7" s="218">
        <v>0.36</v>
      </c>
      <c r="J7" s="218">
        <v>0.37</v>
      </c>
      <c r="K7" s="218">
        <v>0.36</v>
      </c>
      <c r="L7" s="218">
        <v>0.36</v>
      </c>
      <c r="M7" s="218">
        <v>0.38</v>
      </c>
      <c r="N7" s="218">
        <v>0.38</v>
      </c>
      <c r="O7" s="218">
        <v>0.39</v>
      </c>
      <c r="P7" s="217"/>
      <c r="Q7" s="217"/>
      <c r="R7" s="218" t="s">
        <v>221</v>
      </c>
      <c r="S7" s="218" t="s">
        <v>91</v>
      </c>
      <c r="T7" s="218">
        <v>0.11</v>
      </c>
      <c r="U7" s="218">
        <v>0.12</v>
      </c>
      <c r="V7" s="218">
        <v>0.11</v>
      </c>
      <c r="W7" s="218">
        <v>0.12</v>
      </c>
      <c r="X7" s="218">
        <v>0.13</v>
      </c>
      <c r="Y7" s="218">
        <v>0.14000000000000001</v>
      </c>
      <c r="Z7" s="218">
        <v>0.14000000000000001</v>
      </c>
      <c r="AA7" s="218">
        <v>0.14000000000000001</v>
      </c>
      <c r="AB7" s="218">
        <v>0.14000000000000001</v>
      </c>
      <c r="AC7" s="218">
        <v>0.14000000000000001</v>
      </c>
      <c r="AD7" s="218">
        <v>0.15</v>
      </c>
      <c r="AE7" s="218">
        <v>0.15</v>
      </c>
    </row>
    <row r="8" spans="1:31">
      <c r="A8" s="176" t="s">
        <v>280</v>
      </c>
      <c r="B8" s="237" t="s">
        <v>220</v>
      </c>
      <c r="C8" s="237" t="s">
        <v>91</v>
      </c>
      <c r="D8" s="217">
        <v>0.18</v>
      </c>
      <c r="E8" s="217">
        <v>0.19</v>
      </c>
      <c r="F8" s="217">
        <v>0.21</v>
      </c>
      <c r="G8" s="217">
        <v>0.24</v>
      </c>
      <c r="H8" s="217">
        <v>0.27</v>
      </c>
      <c r="I8" s="217">
        <v>0.32</v>
      </c>
      <c r="J8" s="217">
        <v>0.37</v>
      </c>
      <c r="K8" s="217">
        <v>0.42</v>
      </c>
      <c r="L8" s="217">
        <v>0.47</v>
      </c>
      <c r="M8" s="217">
        <v>0.52</v>
      </c>
      <c r="N8" s="217">
        <v>0.57999999999999996</v>
      </c>
      <c r="O8" s="217">
        <v>0.63</v>
      </c>
      <c r="P8" s="217"/>
      <c r="Q8" s="217"/>
      <c r="R8" s="217" t="s">
        <v>220</v>
      </c>
      <c r="S8" s="217" t="s">
        <v>91</v>
      </c>
      <c r="T8" s="217">
        <v>0.09</v>
      </c>
      <c r="U8" s="217">
        <v>0.09</v>
      </c>
      <c r="V8" s="217">
        <v>0.1</v>
      </c>
      <c r="W8" s="217">
        <v>0.11</v>
      </c>
      <c r="X8" s="217">
        <v>0.13</v>
      </c>
      <c r="Y8" s="217">
        <v>0.15</v>
      </c>
      <c r="Z8" s="217">
        <v>0.18</v>
      </c>
      <c r="AA8" s="217">
        <v>0.2</v>
      </c>
      <c r="AB8" s="217">
        <v>0.22</v>
      </c>
      <c r="AC8" s="217">
        <v>0.25</v>
      </c>
      <c r="AD8" s="217">
        <v>0.28000000000000003</v>
      </c>
      <c r="AE8" s="217">
        <v>0.3</v>
      </c>
    </row>
    <row r="9" spans="1:31">
      <c r="A9" s="175" t="s">
        <v>281</v>
      </c>
      <c r="B9" s="239" t="s">
        <v>280</v>
      </c>
      <c r="C9" s="239" t="s">
        <v>40</v>
      </c>
      <c r="D9" s="218">
        <v>2</v>
      </c>
      <c r="E9" s="218">
        <v>1.4</v>
      </c>
      <c r="F9" s="218">
        <v>1.22</v>
      </c>
      <c r="G9" s="218">
        <v>1.23</v>
      </c>
      <c r="H9" s="218">
        <v>1.29</v>
      </c>
      <c r="I9" s="218">
        <v>1.39</v>
      </c>
      <c r="J9" s="218">
        <v>1.49</v>
      </c>
      <c r="K9" s="218">
        <v>1.59</v>
      </c>
      <c r="L9" s="218">
        <v>1.68</v>
      </c>
      <c r="M9" s="218">
        <v>1.75</v>
      </c>
      <c r="N9" s="218">
        <v>1.82</v>
      </c>
      <c r="O9" s="218">
        <v>1.89</v>
      </c>
      <c r="P9" s="217"/>
      <c r="Q9" s="217"/>
      <c r="R9" s="218" t="s">
        <v>280</v>
      </c>
      <c r="S9" s="218" t="s">
        <v>40</v>
      </c>
      <c r="T9" s="218">
        <v>3.86</v>
      </c>
      <c r="U9" s="218">
        <v>2.71</v>
      </c>
      <c r="V9" s="218">
        <v>2.4</v>
      </c>
      <c r="W9" s="218">
        <v>2.4900000000000002</v>
      </c>
      <c r="X9" s="218">
        <v>2.59</v>
      </c>
      <c r="Y9" s="218">
        <v>2.68</v>
      </c>
      <c r="Z9" s="218">
        <v>2.78</v>
      </c>
      <c r="AA9" s="218">
        <v>2.89</v>
      </c>
      <c r="AB9" s="218">
        <v>3</v>
      </c>
      <c r="AC9" s="218">
        <v>3.11</v>
      </c>
      <c r="AD9" s="218">
        <v>3.22</v>
      </c>
      <c r="AE9" s="218">
        <v>3.34</v>
      </c>
    </row>
    <row r="10" spans="1:31">
      <c r="A10" s="176" t="s">
        <v>282</v>
      </c>
      <c r="B10" s="237" t="s">
        <v>281</v>
      </c>
      <c r="C10" s="237" t="s">
        <v>40</v>
      </c>
      <c r="D10" s="217">
        <v>9.6999999999999993</v>
      </c>
      <c r="E10" s="217">
        <v>8.8000000000000007</v>
      </c>
      <c r="F10" s="217">
        <v>9.18</v>
      </c>
      <c r="G10" s="217">
        <v>9.76</v>
      </c>
      <c r="H10" s="217">
        <v>10.68</v>
      </c>
      <c r="I10" s="217">
        <v>12.03</v>
      </c>
      <c r="J10" s="217">
        <v>13.76</v>
      </c>
      <c r="K10" s="217">
        <v>14.85</v>
      </c>
      <c r="L10" s="217">
        <v>15.95</v>
      </c>
      <c r="M10" s="217">
        <v>16.8</v>
      </c>
      <c r="N10" s="217">
        <v>17.690000000000001</v>
      </c>
      <c r="O10" s="217">
        <v>18.63</v>
      </c>
      <c r="P10" s="217"/>
      <c r="Q10" s="217"/>
      <c r="R10" s="217" t="s">
        <v>281</v>
      </c>
      <c r="S10" s="217" t="s">
        <v>40</v>
      </c>
      <c r="T10" s="217">
        <v>2.71</v>
      </c>
      <c r="U10" s="217">
        <v>2.46</v>
      </c>
      <c r="V10" s="217">
        <v>2.56</v>
      </c>
      <c r="W10" s="217">
        <v>2.73</v>
      </c>
      <c r="X10" s="217">
        <v>2.98</v>
      </c>
      <c r="Y10" s="217">
        <v>3.36</v>
      </c>
      <c r="Z10" s="217">
        <v>3.84</v>
      </c>
      <c r="AA10" s="217">
        <v>4.1500000000000004</v>
      </c>
      <c r="AB10" s="217">
        <v>4.45</v>
      </c>
      <c r="AC10" s="217">
        <v>4.6900000000000004</v>
      </c>
      <c r="AD10" s="217">
        <v>4.9400000000000004</v>
      </c>
      <c r="AE10" s="217">
        <v>5.2</v>
      </c>
    </row>
    <row r="11" spans="1:31">
      <c r="A11" s="175" t="s">
        <v>283</v>
      </c>
      <c r="B11" s="239" t="s">
        <v>282</v>
      </c>
      <c r="C11" s="239" t="s">
        <v>40</v>
      </c>
      <c r="D11" s="218">
        <v>8.19</v>
      </c>
      <c r="E11" s="218">
        <v>8.9600000000000009</v>
      </c>
      <c r="F11" s="218">
        <v>10.71</v>
      </c>
      <c r="G11" s="218">
        <v>11.6</v>
      </c>
      <c r="H11" s="218">
        <v>13.23</v>
      </c>
      <c r="I11" s="218">
        <v>15.55</v>
      </c>
      <c r="J11" s="218">
        <v>18.12</v>
      </c>
      <c r="K11" s="218">
        <v>19.97</v>
      </c>
      <c r="L11" s="218">
        <v>22.05</v>
      </c>
      <c r="M11" s="218">
        <v>24.35</v>
      </c>
      <c r="N11" s="218">
        <v>25.42</v>
      </c>
      <c r="O11" s="218">
        <v>26.53</v>
      </c>
      <c r="P11" s="217"/>
      <c r="Q11" s="217"/>
      <c r="R11" s="218" t="s">
        <v>282</v>
      </c>
      <c r="S11" s="218" t="s">
        <v>40</v>
      </c>
      <c r="T11" s="218">
        <v>4.22</v>
      </c>
      <c r="U11" s="218">
        <v>4.62</v>
      </c>
      <c r="V11" s="218">
        <v>5.52</v>
      </c>
      <c r="W11" s="218">
        <v>5.97</v>
      </c>
      <c r="X11" s="218">
        <v>6.82</v>
      </c>
      <c r="Y11" s="218">
        <v>8.01</v>
      </c>
      <c r="Z11" s="218">
        <v>9.33</v>
      </c>
      <c r="AA11" s="218">
        <v>10.29</v>
      </c>
      <c r="AB11" s="218">
        <v>11.36</v>
      </c>
      <c r="AC11" s="218">
        <v>12.54</v>
      </c>
      <c r="AD11" s="218">
        <v>13.09</v>
      </c>
      <c r="AE11" s="218">
        <v>13.67</v>
      </c>
    </row>
    <row r="12" spans="1:31">
      <c r="A12" s="176" t="s">
        <v>284</v>
      </c>
      <c r="B12" s="237" t="s">
        <v>283</v>
      </c>
      <c r="C12" s="237" t="s">
        <v>40</v>
      </c>
      <c r="D12" s="217">
        <v>32.29</v>
      </c>
      <c r="E12" s="217">
        <v>38.85</v>
      </c>
      <c r="F12" s="217">
        <v>45.72</v>
      </c>
      <c r="G12" s="217">
        <v>49.43</v>
      </c>
      <c r="H12" s="217">
        <v>56.09</v>
      </c>
      <c r="I12" s="217">
        <v>66.39</v>
      </c>
      <c r="J12" s="217">
        <v>78.2</v>
      </c>
      <c r="K12" s="217">
        <v>86.85</v>
      </c>
      <c r="L12" s="217">
        <v>96.66</v>
      </c>
      <c r="M12" s="217">
        <v>107.57</v>
      </c>
      <c r="N12" s="217">
        <v>112.82</v>
      </c>
      <c r="O12" s="217">
        <v>118.33</v>
      </c>
      <c r="P12" s="217"/>
      <c r="Q12" s="217"/>
      <c r="R12" s="217" t="s">
        <v>283</v>
      </c>
      <c r="S12" s="217" t="s">
        <v>40</v>
      </c>
      <c r="T12" s="217">
        <v>8.07</v>
      </c>
      <c r="U12" s="217">
        <v>9.7100000000000009</v>
      </c>
      <c r="V12" s="217">
        <v>11.43</v>
      </c>
      <c r="W12" s="217">
        <v>12.36</v>
      </c>
      <c r="X12" s="217">
        <v>14.02</v>
      </c>
      <c r="Y12" s="217">
        <v>16.600000000000001</v>
      </c>
      <c r="Z12" s="217">
        <v>19.55</v>
      </c>
      <c r="AA12" s="217">
        <v>21.71</v>
      </c>
      <c r="AB12" s="217">
        <v>24.16</v>
      </c>
      <c r="AC12" s="217">
        <v>26.89</v>
      </c>
      <c r="AD12" s="217">
        <v>28.21</v>
      </c>
      <c r="AE12" s="217">
        <v>29.58</v>
      </c>
    </row>
    <row r="13" spans="1:31">
      <c r="A13" s="175" t="s">
        <v>285</v>
      </c>
      <c r="B13" s="239" t="s">
        <v>284</v>
      </c>
      <c r="C13" s="239" t="s">
        <v>40</v>
      </c>
      <c r="D13" s="218">
        <v>1.37</v>
      </c>
      <c r="E13" s="218">
        <v>1.27</v>
      </c>
      <c r="F13" s="218">
        <v>1.17</v>
      </c>
      <c r="G13" s="218">
        <v>1.25</v>
      </c>
      <c r="H13" s="218">
        <v>1.32</v>
      </c>
      <c r="I13" s="218">
        <v>1.4</v>
      </c>
      <c r="J13" s="218">
        <v>1.46</v>
      </c>
      <c r="K13" s="218">
        <v>1.5</v>
      </c>
      <c r="L13" s="218">
        <v>1.54</v>
      </c>
      <c r="M13" s="218">
        <v>1.59</v>
      </c>
      <c r="N13" s="218">
        <v>1.63</v>
      </c>
      <c r="O13" s="218">
        <v>1.68</v>
      </c>
      <c r="P13" s="217"/>
      <c r="Q13" s="217"/>
      <c r="R13" s="218" t="s">
        <v>284</v>
      </c>
      <c r="S13" s="218" t="s">
        <v>40</v>
      </c>
      <c r="T13" s="218">
        <v>0.48</v>
      </c>
      <c r="U13" s="218">
        <v>0.45</v>
      </c>
      <c r="V13" s="218">
        <v>0.41</v>
      </c>
      <c r="W13" s="218">
        <v>0.4</v>
      </c>
      <c r="X13" s="218">
        <v>0.41</v>
      </c>
      <c r="Y13" s="218">
        <v>0.44</v>
      </c>
      <c r="Z13" s="218">
        <v>0.46</v>
      </c>
      <c r="AA13" s="218">
        <v>0.48</v>
      </c>
      <c r="AB13" s="218">
        <v>0.49</v>
      </c>
      <c r="AC13" s="218">
        <v>0.5</v>
      </c>
      <c r="AD13" s="218">
        <v>0.5</v>
      </c>
      <c r="AE13" s="218">
        <v>0.51</v>
      </c>
    </row>
    <row r="14" spans="1:31">
      <c r="A14" s="176"/>
      <c r="B14" s="237" t="s">
        <v>285</v>
      </c>
      <c r="C14" s="237" t="s">
        <v>40</v>
      </c>
      <c r="D14" s="217">
        <v>0.22600000000000001</v>
      </c>
      <c r="E14" s="217">
        <v>0.23599999999999999</v>
      </c>
      <c r="F14" s="217">
        <v>0.25600000000000001</v>
      </c>
      <c r="G14" s="217">
        <v>0.25600000000000001</v>
      </c>
      <c r="H14" s="217">
        <v>0.43</v>
      </c>
      <c r="I14" s="217">
        <v>0.63</v>
      </c>
      <c r="J14" s="217">
        <v>0.91</v>
      </c>
      <c r="K14" s="217">
        <v>1.1000000000000001</v>
      </c>
      <c r="L14" s="217">
        <v>1.21</v>
      </c>
      <c r="M14" s="217">
        <v>1.32</v>
      </c>
      <c r="N14" s="217">
        <v>1.45</v>
      </c>
      <c r="O14" s="217">
        <v>1.59</v>
      </c>
      <c r="P14" s="217"/>
      <c r="Q14" s="217"/>
      <c r="R14" s="217" t="s">
        <v>285</v>
      </c>
      <c r="S14" s="217" t="s">
        <v>40</v>
      </c>
      <c r="T14" s="217">
        <v>0.03</v>
      </c>
      <c r="U14" s="217">
        <v>0.02</v>
      </c>
      <c r="V14" s="217">
        <v>0.01</v>
      </c>
      <c r="W14" s="217">
        <v>0.01</v>
      </c>
      <c r="X14" s="217">
        <v>0</v>
      </c>
      <c r="Y14" s="217">
        <v>0</v>
      </c>
      <c r="Z14" s="217">
        <v>0</v>
      </c>
      <c r="AA14" s="217">
        <v>0</v>
      </c>
      <c r="AB14" s="217">
        <v>0</v>
      </c>
      <c r="AC14" s="217">
        <v>0</v>
      </c>
      <c r="AD14" s="217">
        <v>0</v>
      </c>
      <c r="AE14" s="217">
        <v>0</v>
      </c>
    </row>
    <row r="15" spans="1:31">
      <c r="A15" s="174" t="s">
        <v>273</v>
      </c>
      <c r="B15" s="239"/>
      <c r="C15" s="239"/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7"/>
      <c r="Q15" s="217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</row>
    <row r="16" spans="1:31">
      <c r="A16" s="176" t="s">
        <v>276</v>
      </c>
      <c r="B16" s="236" t="s">
        <v>273</v>
      </c>
      <c r="C16" s="219" t="s">
        <v>286</v>
      </c>
      <c r="D16" s="219">
        <v>2015</v>
      </c>
      <c r="E16" s="219">
        <v>2016</v>
      </c>
      <c r="F16" s="219">
        <v>2018</v>
      </c>
      <c r="G16" s="219">
        <v>2021</v>
      </c>
      <c r="H16" s="219">
        <v>2025</v>
      </c>
      <c r="I16" s="219">
        <v>2030</v>
      </c>
      <c r="J16" s="219">
        <v>2035</v>
      </c>
      <c r="K16" s="219">
        <v>2040</v>
      </c>
      <c r="L16" s="219">
        <v>2045</v>
      </c>
      <c r="M16" s="219">
        <v>2050</v>
      </c>
      <c r="N16" s="219">
        <v>2055</v>
      </c>
      <c r="O16" s="219">
        <v>2060</v>
      </c>
      <c r="P16" s="217"/>
      <c r="Q16" s="217"/>
      <c r="R16" s="221" t="s">
        <v>275</v>
      </c>
      <c r="S16" s="222" t="s">
        <v>286</v>
      </c>
      <c r="T16" s="220">
        <v>2015</v>
      </c>
      <c r="U16" s="220">
        <v>2016</v>
      </c>
      <c r="V16" s="220">
        <v>2018</v>
      </c>
      <c r="W16" s="220">
        <v>2021</v>
      </c>
      <c r="X16" s="220">
        <v>2025</v>
      </c>
      <c r="Y16" s="220">
        <v>2030</v>
      </c>
      <c r="Z16" s="220">
        <v>2035</v>
      </c>
      <c r="AA16" s="220">
        <v>2040</v>
      </c>
      <c r="AB16" s="220">
        <v>2045</v>
      </c>
      <c r="AC16" s="220">
        <v>2050</v>
      </c>
      <c r="AD16" s="220">
        <v>2055</v>
      </c>
      <c r="AE16" s="220">
        <v>2060</v>
      </c>
    </row>
    <row r="17" spans="1:31">
      <c r="A17" s="175" t="s">
        <v>277</v>
      </c>
      <c r="B17" s="239" t="s">
        <v>276</v>
      </c>
      <c r="C17" s="239" t="s">
        <v>91</v>
      </c>
      <c r="D17" s="218">
        <v>24.17</v>
      </c>
      <c r="E17" s="218">
        <v>25.19</v>
      </c>
      <c r="F17" s="218">
        <v>26.5</v>
      </c>
      <c r="G17" s="218">
        <v>26.42</v>
      </c>
      <c r="H17" s="218">
        <v>26.64</v>
      </c>
      <c r="I17" s="218">
        <v>27.36</v>
      </c>
      <c r="J17" s="218">
        <v>28.07</v>
      </c>
      <c r="K17" s="218">
        <v>29.04</v>
      </c>
      <c r="L17" s="218">
        <v>29.98</v>
      </c>
      <c r="M17" s="218">
        <v>31.13</v>
      </c>
      <c r="N17" s="218">
        <v>33.11</v>
      </c>
      <c r="O17" s="218">
        <v>35.08</v>
      </c>
      <c r="P17" s="217"/>
      <c r="Q17" s="217"/>
      <c r="R17" s="218" t="s">
        <v>276</v>
      </c>
      <c r="S17" s="218" t="s">
        <v>91</v>
      </c>
      <c r="T17" s="218">
        <v>8.43</v>
      </c>
      <c r="U17" s="218">
        <v>8.7899999999999991</v>
      </c>
      <c r="V17" s="218">
        <v>9.24</v>
      </c>
      <c r="W17" s="218">
        <v>9.2200000000000006</v>
      </c>
      <c r="X17" s="218">
        <v>9.2899999999999991</v>
      </c>
      <c r="Y17" s="218">
        <v>9.5500000000000007</v>
      </c>
      <c r="Z17" s="218">
        <v>9.7899999999999991</v>
      </c>
      <c r="AA17" s="218">
        <v>10.130000000000001</v>
      </c>
      <c r="AB17" s="218">
        <v>10.46</v>
      </c>
      <c r="AC17" s="218">
        <v>10.86</v>
      </c>
      <c r="AD17" s="218">
        <v>11.55</v>
      </c>
      <c r="AE17" s="218">
        <v>12.24</v>
      </c>
    </row>
    <row r="18" spans="1:31">
      <c r="A18" s="176" t="s">
        <v>278</v>
      </c>
      <c r="B18" s="237" t="s">
        <v>277</v>
      </c>
      <c r="C18" s="237" t="s">
        <v>91</v>
      </c>
      <c r="D18" s="217">
        <v>5.12</v>
      </c>
      <c r="E18" s="217">
        <v>5.53</v>
      </c>
      <c r="F18" s="217">
        <v>6.45</v>
      </c>
      <c r="G18" s="217">
        <v>6.74</v>
      </c>
      <c r="H18" s="217">
        <v>7.03</v>
      </c>
      <c r="I18" s="217">
        <v>7.45</v>
      </c>
      <c r="J18" s="217">
        <v>7.89</v>
      </c>
      <c r="K18" s="217">
        <v>8.43</v>
      </c>
      <c r="L18" s="217">
        <v>9.01</v>
      </c>
      <c r="M18" s="217">
        <v>9.66</v>
      </c>
      <c r="N18" s="217">
        <v>10.58</v>
      </c>
      <c r="O18" s="217">
        <v>11.51</v>
      </c>
      <c r="P18" s="217"/>
      <c r="Q18" s="217"/>
      <c r="R18" s="217" t="s">
        <v>277</v>
      </c>
      <c r="S18" s="217" t="s">
        <v>91</v>
      </c>
      <c r="T18" s="217">
        <v>2.13</v>
      </c>
      <c r="U18" s="217">
        <v>2.2999999999999998</v>
      </c>
      <c r="V18" s="217">
        <v>2.69</v>
      </c>
      <c r="W18" s="217">
        <v>2.81</v>
      </c>
      <c r="X18" s="217">
        <v>2.93</v>
      </c>
      <c r="Y18" s="217">
        <v>3.11</v>
      </c>
      <c r="Z18" s="217">
        <v>3.29</v>
      </c>
      <c r="AA18" s="217">
        <v>3.52</v>
      </c>
      <c r="AB18" s="217">
        <v>3.75</v>
      </c>
      <c r="AC18" s="217">
        <v>4.03</v>
      </c>
      <c r="AD18" s="217">
        <v>4.41</v>
      </c>
      <c r="AE18" s="217">
        <v>4.8</v>
      </c>
    </row>
    <row r="19" spans="1:31">
      <c r="A19" s="175" t="s">
        <v>279</v>
      </c>
      <c r="B19" s="239" t="s">
        <v>278</v>
      </c>
      <c r="C19" s="239" t="s">
        <v>91</v>
      </c>
      <c r="D19" s="218">
        <v>0.55000000000000004</v>
      </c>
      <c r="E19" s="218">
        <v>0.56999999999999995</v>
      </c>
      <c r="F19" s="218">
        <v>0.6</v>
      </c>
      <c r="G19" s="218">
        <v>0.63</v>
      </c>
      <c r="H19" s="218">
        <v>0.65</v>
      </c>
      <c r="I19" s="218">
        <v>0.66</v>
      </c>
      <c r="J19" s="218">
        <v>0.67</v>
      </c>
      <c r="K19" s="218">
        <v>0.67</v>
      </c>
      <c r="L19" s="218">
        <v>0.68</v>
      </c>
      <c r="M19" s="218">
        <v>0.69</v>
      </c>
      <c r="N19" s="218">
        <v>0.72</v>
      </c>
      <c r="O19" s="218">
        <v>0.75</v>
      </c>
      <c r="P19" s="217"/>
      <c r="Q19" s="217"/>
      <c r="R19" s="218" t="s">
        <v>278</v>
      </c>
      <c r="S19" s="218" t="s">
        <v>91</v>
      </c>
      <c r="T19" s="218">
        <v>0.23</v>
      </c>
      <c r="U19" s="218">
        <v>0.24</v>
      </c>
      <c r="V19" s="218">
        <v>0.25</v>
      </c>
      <c r="W19" s="218">
        <v>0.27</v>
      </c>
      <c r="X19" s="218">
        <v>0.27</v>
      </c>
      <c r="Y19" s="218">
        <v>0.28000000000000003</v>
      </c>
      <c r="Z19" s="218">
        <v>0.28000000000000003</v>
      </c>
      <c r="AA19" s="218">
        <v>0.28000000000000003</v>
      </c>
      <c r="AB19" s="218">
        <v>0.28000000000000003</v>
      </c>
      <c r="AC19" s="218">
        <v>0.28999999999999998</v>
      </c>
      <c r="AD19" s="218">
        <v>0.3</v>
      </c>
      <c r="AE19" s="218">
        <v>0.31</v>
      </c>
    </row>
    <row r="20" spans="1:31">
      <c r="A20" s="176" t="s">
        <v>221</v>
      </c>
      <c r="B20" s="237" t="s">
        <v>279</v>
      </c>
      <c r="C20" s="237" t="s">
        <v>91</v>
      </c>
      <c r="D20" s="217">
        <v>1.38</v>
      </c>
      <c r="E20" s="217">
        <v>1.42</v>
      </c>
      <c r="F20" s="217">
        <v>1.5</v>
      </c>
      <c r="G20" s="217">
        <v>1.58</v>
      </c>
      <c r="H20" s="217">
        <v>1.62</v>
      </c>
      <c r="I20" s="217">
        <v>1.66</v>
      </c>
      <c r="J20" s="217">
        <v>1.67</v>
      </c>
      <c r="K20" s="217">
        <v>1.69</v>
      </c>
      <c r="L20" s="217">
        <v>1.7</v>
      </c>
      <c r="M20" s="217">
        <v>1.73</v>
      </c>
      <c r="N20" s="217">
        <v>1.8</v>
      </c>
      <c r="O20" s="217">
        <v>1.87</v>
      </c>
      <c r="P20" s="217"/>
      <c r="Q20" s="217"/>
      <c r="R20" s="217" t="s">
        <v>279</v>
      </c>
      <c r="S20" s="217" t="s">
        <v>91</v>
      </c>
      <c r="T20" s="217">
        <v>0.17872244714349977</v>
      </c>
      <c r="U20" s="217">
        <v>0.18488529014844804</v>
      </c>
      <c r="V20" s="217">
        <v>0.19412955465587045</v>
      </c>
      <c r="W20" s="217">
        <v>0.20337381916329286</v>
      </c>
      <c r="X20" s="217">
        <v>0.20953666216824116</v>
      </c>
      <c r="Y20" s="217">
        <v>0.21261808367071525</v>
      </c>
      <c r="Z20" s="217">
        <v>0.21569950517318939</v>
      </c>
      <c r="AA20" s="217">
        <v>0.21878092667566351</v>
      </c>
      <c r="AB20" s="217">
        <v>0.21878092667566351</v>
      </c>
      <c r="AC20" s="217">
        <v>0.2249437696806118</v>
      </c>
      <c r="AD20" s="217">
        <v>0.23418803418803422</v>
      </c>
      <c r="AE20" s="217">
        <v>0.24035087719298248</v>
      </c>
    </row>
    <row r="21" spans="1:31">
      <c r="A21" s="175" t="s">
        <v>220</v>
      </c>
      <c r="B21" s="240" t="s">
        <v>319</v>
      </c>
      <c r="C21" s="217" t="s">
        <v>91</v>
      </c>
      <c r="D21" s="217">
        <v>0.42523616734143049</v>
      </c>
      <c r="E21" s="217">
        <v>0.43756185335132702</v>
      </c>
      <c r="F21" s="217">
        <v>0.46221322537112014</v>
      </c>
      <c r="G21" s="217">
        <v>0.48686459739091326</v>
      </c>
      <c r="H21" s="217">
        <v>0.49919028340080979</v>
      </c>
      <c r="I21" s="217">
        <v>0.51151596941070632</v>
      </c>
      <c r="J21" s="217">
        <v>0.51459739091318035</v>
      </c>
      <c r="K21" s="217">
        <v>0.52076023391812865</v>
      </c>
      <c r="L21" s="217">
        <v>0.52384165542060279</v>
      </c>
      <c r="M21" s="217">
        <v>0.53308591992802523</v>
      </c>
      <c r="N21" s="217">
        <v>0.55465587044534415</v>
      </c>
      <c r="O21" s="217">
        <v>0.57622582096266317</v>
      </c>
      <c r="P21" s="217"/>
      <c r="Q21" s="217"/>
      <c r="R21" s="240" t="s">
        <v>319</v>
      </c>
      <c r="S21" s="217" t="s">
        <v>91</v>
      </c>
      <c r="T21" s="217">
        <v>0.40127755285650024</v>
      </c>
      <c r="U21" s="217">
        <v>0.41511470985155202</v>
      </c>
      <c r="V21" s="217">
        <v>0.43587044534412961</v>
      </c>
      <c r="W21" s="217">
        <v>0.45662618083670725</v>
      </c>
      <c r="X21" s="217">
        <v>0.47046333783175898</v>
      </c>
      <c r="Y21" s="217">
        <v>0.47738191632928478</v>
      </c>
      <c r="Z21" s="217">
        <v>0.48430049482681065</v>
      </c>
      <c r="AA21" s="217">
        <v>0.49121907332433651</v>
      </c>
      <c r="AB21" s="217">
        <v>0.49121907332433651</v>
      </c>
      <c r="AC21" s="217">
        <v>0.50505623031938829</v>
      </c>
      <c r="AD21" s="217">
        <v>0.52581196581196588</v>
      </c>
      <c r="AE21" s="217">
        <v>0.5396491228070176</v>
      </c>
    </row>
    <row r="22" spans="1:31">
      <c r="A22" s="176" t="s">
        <v>280</v>
      </c>
      <c r="B22" s="239" t="s">
        <v>221</v>
      </c>
      <c r="C22" s="239" t="s">
        <v>91</v>
      </c>
      <c r="D22" s="218">
        <v>0.95476383265856957</v>
      </c>
      <c r="E22" s="218">
        <v>0.98243814664867302</v>
      </c>
      <c r="F22" s="218">
        <v>1.03778677462888</v>
      </c>
      <c r="G22" s="218">
        <v>1.0931354026090869</v>
      </c>
      <c r="H22" s="218">
        <v>1.1208097165991906</v>
      </c>
      <c r="I22" s="218">
        <v>1.1484840305892938</v>
      </c>
      <c r="J22" s="218">
        <v>1.1554026090868197</v>
      </c>
      <c r="K22" s="218">
        <v>1.1692397660818714</v>
      </c>
      <c r="L22" s="218">
        <v>1.1761583445793973</v>
      </c>
      <c r="M22" s="218">
        <v>1.1969140800719749</v>
      </c>
      <c r="N22" s="218">
        <v>1.2453441295546561</v>
      </c>
      <c r="O22" s="218">
        <v>1.2937741790373372</v>
      </c>
      <c r="P22" s="217"/>
      <c r="Q22" s="217"/>
      <c r="R22" s="218" t="s">
        <v>221</v>
      </c>
      <c r="S22" s="218" t="s">
        <v>91</v>
      </c>
      <c r="T22" s="218">
        <v>0.11</v>
      </c>
      <c r="U22" s="218">
        <v>0.12</v>
      </c>
      <c r="V22" s="218">
        <v>0.11</v>
      </c>
      <c r="W22" s="218">
        <v>0.12</v>
      </c>
      <c r="X22" s="218">
        <v>0.12</v>
      </c>
      <c r="Y22" s="218">
        <v>0.12</v>
      </c>
      <c r="Z22" s="218">
        <v>0.12</v>
      </c>
      <c r="AA22" s="218">
        <v>0.12</v>
      </c>
      <c r="AB22" s="218">
        <v>0.12</v>
      </c>
      <c r="AC22" s="218">
        <v>0.12</v>
      </c>
      <c r="AD22" s="218">
        <v>0.13</v>
      </c>
      <c r="AE22" s="218">
        <v>0.13</v>
      </c>
    </row>
    <row r="23" spans="1:31">
      <c r="A23" s="175" t="s">
        <v>281</v>
      </c>
      <c r="B23" s="237" t="s">
        <v>220</v>
      </c>
      <c r="C23" s="237" t="s">
        <v>91</v>
      </c>
      <c r="D23" s="217">
        <v>0.18</v>
      </c>
      <c r="E23" s="217">
        <v>0.19</v>
      </c>
      <c r="F23" s="217">
        <v>0.21</v>
      </c>
      <c r="G23" s="217">
        <v>0.32</v>
      </c>
      <c r="H23" s="217">
        <v>0.38</v>
      </c>
      <c r="I23" s="217">
        <v>0.42</v>
      </c>
      <c r="J23" s="217">
        <v>0.46</v>
      </c>
      <c r="K23" s="217">
        <v>0.5</v>
      </c>
      <c r="L23" s="217">
        <v>0.55000000000000004</v>
      </c>
      <c r="M23" s="217">
        <v>0.61</v>
      </c>
      <c r="N23" s="217">
        <v>0.69</v>
      </c>
      <c r="O23" s="217">
        <v>0.77</v>
      </c>
      <c r="P23" s="217"/>
      <c r="Q23" s="217"/>
      <c r="R23" s="217" t="s">
        <v>220</v>
      </c>
      <c r="S23" s="217" t="s">
        <v>91</v>
      </c>
      <c r="T23" s="217">
        <v>0.09</v>
      </c>
      <c r="U23" s="217">
        <v>0.09</v>
      </c>
      <c r="V23" s="217">
        <v>0.1</v>
      </c>
      <c r="W23" s="217">
        <v>0.15</v>
      </c>
      <c r="X23" s="217">
        <v>0.18</v>
      </c>
      <c r="Y23" s="217">
        <v>0.2</v>
      </c>
      <c r="Z23" s="217">
        <v>0.22</v>
      </c>
      <c r="AA23" s="217">
        <v>0.24</v>
      </c>
      <c r="AB23" s="217">
        <v>0.26</v>
      </c>
      <c r="AC23" s="217">
        <v>0.28999999999999998</v>
      </c>
      <c r="AD23" s="217">
        <v>0.33</v>
      </c>
      <c r="AE23" s="217">
        <v>0.37</v>
      </c>
    </row>
    <row r="24" spans="1:31">
      <c r="A24" s="176" t="s">
        <v>282</v>
      </c>
      <c r="B24" s="239" t="s">
        <v>280</v>
      </c>
      <c r="C24" s="239" t="s">
        <v>40</v>
      </c>
      <c r="D24" s="218">
        <v>2</v>
      </c>
      <c r="E24" s="218">
        <v>1.4</v>
      </c>
      <c r="F24" s="218">
        <v>1.22</v>
      </c>
      <c r="G24" s="218">
        <v>1.21</v>
      </c>
      <c r="H24" s="218">
        <v>1.24</v>
      </c>
      <c r="I24" s="218">
        <v>1.29</v>
      </c>
      <c r="J24" s="218">
        <v>1.36</v>
      </c>
      <c r="K24" s="218">
        <v>1.45</v>
      </c>
      <c r="L24" s="218">
        <v>1.54</v>
      </c>
      <c r="M24" s="218">
        <v>1.64</v>
      </c>
      <c r="N24" s="218">
        <v>1.73</v>
      </c>
      <c r="O24" s="218">
        <v>1.83</v>
      </c>
      <c r="P24" s="217"/>
      <c r="Q24" s="217"/>
      <c r="R24" s="218" t="s">
        <v>280</v>
      </c>
      <c r="S24" s="218" t="s">
        <v>40</v>
      </c>
      <c r="T24" s="218">
        <v>3.86</v>
      </c>
      <c r="U24" s="218">
        <v>2.71</v>
      </c>
      <c r="V24" s="218">
        <v>2.4</v>
      </c>
      <c r="W24" s="218">
        <v>2.5</v>
      </c>
      <c r="X24" s="218">
        <v>2.58</v>
      </c>
      <c r="Y24" s="218">
        <v>2.66</v>
      </c>
      <c r="Z24" s="218">
        <v>2.77</v>
      </c>
      <c r="AA24" s="218">
        <v>2.91</v>
      </c>
      <c r="AB24" s="218">
        <v>3.02</v>
      </c>
      <c r="AC24" s="218">
        <v>3.1</v>
      </c>
      <c r="AD24" s="218">
        <v>3.19</v>
      </c>
      <c r="AE24" s="218">
        <v>3.28</v>
      </c>
    </row>
    <row r="25" spans="1:31">
      <c r="A25" s="175" t="s">
        <v>283</v>
      </c>
      <c r="B25" s="237" t="s">
        <v>281</v>
      </c>
      <c r="C25" s="237" t="s">
        <v>40</v>
      </c>
      <c r="D25" s="217">
        <v>9.6999999999999993</v>
      </c>
      <c r="E25" s="217">
        <v>8.8000000000000007</v>
      </c>
      <c r="F25" s="217">
        <v>9.18</v>
      </c>
      <c r="G25" s="217">
        <v>8.8699999999999992</v>
      </c>
      <c r="H25" s="217">
        <v>8.43</v>
      </c>
      <c r="I25" s="217">
        <v>8.07</v>
      </c>
      <c r="J25" s="217">
        <v>8.32</v>
      </c>
      <c r="K25" s="217">
        <v>8.7100000000000009</v>
      </c>
      <c r="L25" s="217">
        <v>9.66</v>
      </c>
      <c r="M25" s="217">
        <v>10.72</v>
      </c>
      <c r="N25" s="217">
        <v>11.89</v>
      </c>
      <c r="O25" s="217">
        <v>13.18</v>
      </c>
      <c r="P25" s="217"/>
      <c r="Q25" s="217"/>
      <c r="R25" s="217" t="s">
        <v>281</v>
      </c>
      <c r="S25" s="217" t="s">
        <v>40</v>
      </c>
      <c r="T25" s="217">
        <v>2.71</v>
      </c>
      <c r="U25" s="217">
        <v>2.46</v>
      </c>
      <c r="V25" s="217">
        <v>2.56</v>
      </c>
      <c r="W25" s="217">
        <v>2.48</v>
      </c>
      <c r="X25" s="217">
        <v>2.35</v>
      </c>
      <c r="Y25" s="217">
        <v>2.25</v>
      </c>
      <c r="Z25" s="217">
        <v>2.3199999999999998</v>
      </c>
      <c r="AA25" s="217">
        <v>2.4300000000000002</v>
      </c>
      <c r="AB25" s="217">
        <v>2.7</v>
      </c>
      <c r="AC25" s="217">
        <v>2.99</v>
      </c>
      <c r="AD25" s="217">
        <v>3.32</v>
      </c>
      <c r="AE25" s="217">
        <v>3.68</v>
      </c>
    </row>
    <row r="26" spans="1:31">
      <c r="A26" s="176" t="s">
        <v>284</v>
      </c>
      <c r="B26" s="239" t="s">
        <v>282</v>
      </c>
      <c r="C26" s="239" t="s">
        <v>40</v>
      </c>
      <c r="D26" s="218">
        <v>8.19</v>
      </c>
      <c r="E26" s="218">
        <v>8.9600000000000009</v>
      </c>
      <c r="F26" s="218">
        <v>10.71</v>
      </c>
      <c r="G26" s="218">
        <v>11.2</v>
      </c>
      <c r="H26" s="218">
        <v>12.16</v>
      </c>
      <c r="I26" s="218">
        <v>13.49</v>
      </c>
      <c r="J26" s="218">
        <v>14.03</v>
      </c>
      <c r="K26" s="218">
        <v>14.48</v>
      </c>
      <c r="L26" s="218">
        <v>14.92</v>
      </c>
      <c r="M26" s="218">
        <v>15.07</v>
      </c>
      <c r="N26" s="218">
        <v>15.1</v>
      </c>
      <c r="O26" s="218">
        <v>15.12</v>
      </c>
      <c r="P26" s="217"/>
      <c r="Q26" s="217"/>
      <c r="R26" s="218" t="s">
        <v>282</v>
      </c>
      <c r="S26" s="218" t="s">
        <v>40</v>
      </c>
      <c r="T26" s="218">
        <v>4.22</v>
      </c>
      <c r="U26" s="218">
        <v>4.62</v>
      </c>
      <c r="V26" s="218">
        <v>5.52</v>
      </c>
      <c r="W26" s="218">
        <v>5.77</v>
      </c>
      <c r="X26" s="218">
        <v>6.27</v>
      </c>
      <c r="Y26" s="218">
        <v>6.95</v>
      </c>
      <c r="Z26" s="218">
        <v>7.23</v>
      </c>
      <c r="AA26" s="218">
        <v>7.46</v>
      </c>
      <c r="AB26" s="218">
        <v>7.69</v>
      </c>
      <c r="AC26" s="218">
        <v>7.76</v>
      </c>
      <c r="AD26" s="218">
        <v>7.78</v>
      </c>
      <c r="AE26" s="218">
        <v>7.79</v>
      </c>
    </row>
    <row r="27" spans="1:31">
      <c r="A27" s="175" t="s">
        <v>285</v>
      </c>
      <c r="B27" s="237" t="s">
        <v>283</v>
      </c>
      <c r="C27" s="237" t="s">
        <v>40</v>
      </c>
      <c r="D27" s="217">
        <v>32.29</v>
      </c>
      <c r="E27" s="217">
        <v>38.85</v>
      </c>
      <c r="F27" s="217">
        <v>45.72</v>
      </c>
      <c r="G27" s="217">
        <v>47.69</v>
      </c>
      <c r="H27" s="217">
        <v>51.59</v>
      </c>
      <c r="I27" s="217">
        <v>57.53</v>
      </c>
      <c r="J27" s="217">
        <v>60.13</v>
      </c>
      <c r="K27" s="217">
        <v>61.68</v>
      </c>
      <c r="L27" s="217">
        <v>63.98</v>
      </c>
      <c r="M27" s="217">
        <v>65.08</v>
      </c>
      <c r="N27" s="217">
        <v>65.650000000000006</v>
      </c>
      <c r="O27" s="217">
        <v>66.23</v>
      </c>
      <c r="P27" s="217"/>
      <c r="Q27" s="217"/>
      <c r="R27" s="217" t="s">
        <v>283</v>
      </c>
      <c r="S27" s="217" t="s">
        <v>40</v>
      </c>
      <c r="T27" s="217">
        <v>8.07</v>
      </c>
      <c r="U27" s="217">
        <v>9.7100000000000009</v>
      </c>
      <c r="V27" s="217">
        <v>11.43</v>
      </c>
      <c r="W27" s="217">
        <v>11.92</v>
      </c>
      <c r="X27" s="217">
        <v>12.9</v>
      </c>
      <c r="Y27" s="217">
        <v>14.38</v>
      </c>
      <c r="Z27" s="217">
        <v>15.03</v>
      </c>
      <c r="AA27" s="217">
        <v>15.42</v>
      </c>
      <c r="AB27" s="217">
        <v>15.99</v>
      </c>
      <c r="AC27" s="217">
        <v>16.27</v>
      </c>
      <c r="AD27" s="217">
        <v>16.41</v>
      </c>
      <c r="AE27" s="217">
        <v>16.559999999999999</v>
      </c>
    </row>
    <row r="28" spans="1:31">
      <c r="B28" s="239" t="s">
        <v>284</v>
      </c>
      <c r="C28" s="239" t="s">
        <v>40</v>
      </c>
      <c r="D28" s="218">
        <v>1.37</v>
      </c>
      <c r="E28" s="218">
        <v>1.27</v>
      </c>
      <c r="F28" s="218">
        <v>1.17</v>
      </c>
      <c r="G28" s="218">
        <v>1.24</v>
      </c>
      <c r="H28" s="218">
        <v>1.28</v>
      </c>
      <c r="I28" s="218">
        <v>1.32</v>
      </c>
      <c r="J28" s="218">
        <v>1.36</v>
      </c>
      <c r="K28" s="218">
        <v>1.4</v>
      </c>
      <c r="L28" s="218">
        <v>1.45</v>
      </c>
      <c r="M28" s="218">
        <v>1.52</v>
      </c>
      <c r="N28" s="218">
        <v>1.59</v>
      </c>
      <c r="O28" s="218">
        <v>1.66</v>
      </c>
      <c r="P28" s="217"/>
      <c r="Q28" s="217"/>
      <c r="R28" s="218" t="s">
        <v>284</v>
      </c>
      <c r="S28" s="218" t="s">
        <v>40</v>
      </c>
      <c r="T28" s="218">
        <v>0.48</v>
      </c>
      <c r="U28" s="218">
        <v>0.45</v>
      </c>
      <c r="V28" s="218">
        <v>0.41</v>
      </c>
      <c r="W28" s="218">
        <v>0.4</v>
      </c>
      <c r="X28" s="218">
        <v>0.41</v>
      </c>
      <c r="Y28" s="218">
        <v>0.42</v>
      </c>
      <c r="Z28" s="218">
        <v>0.44</v>
      </c>
      <c r="AA28" s="218">
        <v>0.46</v>
      </c>
      <c r="AB28" s="218">
        <v>0.48</v>
      </c>
      <c r="AC28" s="218">
        <v>0.49</v>
      </c>
      <c r="AD28" s="218">
        <v>0.51</v>
      </c>
      <c r="AE28" s="218">
        <v>0.52</v>
      </c>
    </row>
    <row r="29" spans="1:31">
      <c r="B29" s="237" t="s">
        <v>285</v>
      </c>
      <c r="C29" s="237" t="s">
        <v>40</v>
      </c>
      <c r="D29" s="217">
        <v>0.6</v>
      </c>
      <c r="E29" s="217">
        <v>0.33</v>
      </c>
      <c r="F29" s="217">
        <v>0.35</v>
      </c>
      <c r="G29" s="217">
        <v>0.43</v>
      </c>
      <c r="H29" s="217">
        <v>0.82</v>
      </c>
      <c r="I29" s="217">
        <v>1.21</v>
      </c>
      <c r="J29" s="217">
        <v>1.39</v>
      </c>
      <c r="K29" s="217">
        <v>1.51</v>
      </c>
      <c r="L29" s="217">
        <v>1.62</v>
      </c>
      <c r="M29" s="217">
        <v>1.74</v>
      </c>
      <c r="N29" s="217">
        <v>1.92</v>
      </c>
      <c r="O29" s="217">
        <v>2.11</v>
      </c>
      <c r="P29" s="217"/>
      <c r="Q29" s="217"/>
      <c r="R29" s="217" t="s">
        <v>285</v>
      </c>
      <c r="S29" s="217" t="s">
        <v>40</v>
      </c>
      <c r="T29" s="217">
        <v>0</v>
      </c>
      <c r="U29" s="217">
        <v>0</v>
      </c>
      <c r="V29" s="217">
        <v>0</v>
      </c>
      <c r="W29" s="217">
        <v>0</v>
      </c>
      <c r="X29" s="217">
        <v>0</v>
      </c>
      <c r="Y29" s="217">
        <v>0</v>
      </c>
      <c r="Z29" s="217">
        <v>0</v>
      </c>
      <c r="AA29" s="217">
        <v>0</v>
      </c>
      <c r="AB29" s="217">
        <v>0</v>
      </c>
      <c r="AC29" s="217">
        <v>0</v>
      </c>
      <c r="AD29" s="217">
        <v>0</v>
      </c>
      <c r="AE29" s="217">
        <v>0</v>
      </c>
    </row>
    <row r="36" spans="10:13">
      <c r="L36" s="175" t="s">
        <v>287</v>
      </c>
      <c r="M36" s="175" t="s">
        <v>288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289</v>
      </c>
      <c r="L43" s="175">
        <v>0.66</v>
      </c>
    </row>
    <row r="44" spans="10:13">
      <c r="J44" s="175" t="s">
        <v>225</v>
      </c>
      <c r="K44" s="175" t="s">
        <v>289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zoomScale="80" zoomScaleNormal="80" workbookViewId="0"/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333</v>
      </c>
      <c r="F6" s="14" t="s">
        <v>331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323</v>
      </c>
      <c r="U6" s="5" t="s">
        <v>324</v>
      </c>
      <c r="V6" s="5" t="s">
        <v>332</v>
      </c>
      <c r="W6" s="5" t="s">
        <v>333</v>
      </c>
      <c r="X6" s="5" t="s">
        <v>2</v>
      </c>
      <c r="Y6" s="245" t="s">
        <v>334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16"/>
      <c r="F7" s="16"/>
      <c r="G7" s="16"/>
      <c r="H7" s="16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7"/>
      <c r="U7" s="7"/>
      <c r="V7" s="7"/>
      <c r="W7" s="7"/>
      <c r="X7" s="7"/>
      <c r="Y7" s="246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271</v>
      </c>
      <c r="D8" s="32" t="s">
        <v>53</v>
      </c>
      <c r="E8" s="32" t="s">
        <v>326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271</v>
      </c>
      <c r="D9" s="32" t="s">
        <v>54</v>
      </c>
      <c r="E9" s="32" t="s">
        <v>327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357</v>
      </c>
      <c r="R9" s="18" t="s">
        <v>271</v>
      </c>
      <c r="S9" s="24" t="str">
        <f t="shared" ref="S9:S15" si="1">$A$19&amp;D8</f>
        <v>FTE_TRANGA</v>
      </c>
      <c r="T9" s="32" t="s">
        <v>325</v>
      </c>
      <c r="U9" s="32"/>
      <c r="V9" s="32"/>
      <c r="W9" s="32" t="s">
        <v>326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271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271</v>
      </c>
      <c r="S10" s="24" t="str">
        <f t="shared" si="1"/>
        <v>FTE_TRABIL</v>
      </c>
      <c r="T10" s="32" t="s">
        <v>325</v>
      </c>
      <c r="U10" s="32"/>
      <c r="V10" s="32"/>
      <c r="W10" s="32" t="s">
        <v>327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271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271</v>
      </c>
      <c r="S11" s="24" t="str">
        <f t="shared" si="1"/>
        <v>FTE_TRALPG</v>
      </c>
      <c r="T11" s="32" t="s">
        <v>325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271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271</v>
      </c>
      <c r="S12" s="24" t="str">
        <f t="shared" si="1"/>
        <v>FTE_TRAPET</v>
      </c>
      <c r="T12" s="32" t="s">
        <v>325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271</v>
      </c>
      <c r="D13" s="32" t="s">
        <v>71</v>
      </c>
      <c r="E13" s="32" t="s">
        <v>328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271</v>
      </c>
      <c r="S13" s="24" t="str">
        <f t="shared" si="1"/>
        <v>FTE_TRADSL</v>
      </c>
      <c r="T13" s="32" t="s">
        <v>325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271</v>
      </c>
      <c r="D14" s="32" t="s">
        <v>79</v>
      </c>
      <c r="E14" s="32" t="s">
        <v>329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271</v>
      </c>
      <c r="S14" s="24" t="str">
        <f t="shared" si="1"/>
        <v>FTE_TRAJET</v>
      </c>
      <c r="T14" s="32" t="s">
        <v>325</v>
      </c>
      <c r="U14" s="32"/>
      <c r="V14" s="32"/>
      <c r="W14" s="32" t="s">
        <v>328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271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313</v>
      </c>
      <c r="R15" s="18" t="s">
        <v>271</v>
      </c>
      <c r="S15" s="24" t="str">
        <f t="shared" si="1"/>
        <v>FTE_TRAH2R</v>
      </c>
      <c r="T15" s="32" t="s">
        <v>325</v>
      </c>
      <c r="U15" s="32"/>
      <c r="V15" s="32"/>
      <c r="W15" s="32" t="s">
        <v>329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271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271</v>
      </c>
      <c r="S16" s="24" t="s">
        <v>174</v>
      </c>
      <c r="T16" s="32" t="s">
        <v>325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271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271</v>
      </c>
      <c r="S17" s="24" t="str">
        <f>$A$19&amp;D16</f>
        <v>FTE_TRAFOL</v>
      </c>
      <c r="T17" s="32" t="s">
        <v>325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304</v>
      </c>
      <c r="I22" s="12" t="s">
        <v>43</v>
      </c>
      <c r="J22" s="12" t="s">
        <v>41</v>
      </c>
      <c r="K22" s="12" t="s">
        <v>81</v>
      </c>
      <c r="L22" s="12" t="s">
        <v>83</v>
      </c>
      <c r="M22" s="223" t="s">
        <v>315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4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309</v>
      </c>
      <c r="L24" s="34" t="s">
        <v>310</v>
      </c>
      <c r="M24" s="224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314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316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313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08" t="s">
        <v>305</v>
      </c>
    </row>
    <row r="40" spans="2:13" ht="15.75" customHeight="1">
      <c r="B40" s="209" t="s">
        <v>1</v>
      </c>
      <c r="C40" s="209" t="s">
        <v>5</v>
      </c>
      <c r="D40" s="209" t="s">
        <v>6</v>
      </c>
      <c r="E40" s="209" t="s">
        <v>170</v>
      </c>
      <c r="F40" s="209" t="s">
        <v>306</v>
      </c>
      <c r="G40" s="209" t="s">
        <v>171</v>
      </c>
      <c r="H40" s="209" t="s">
        <v>163</v>
      </c>
      <c r="I40" s="210" t="s">
        <v>43</v>
      </c>
      <c r="J40" s="210" t="s">
        <v>41</v>
      </c>
      <c r="K40" s="210" t="s">
        <v>88</v>
      </c>
      <c r="L40" s="210" t="s">
        <v>308</v>
      </c>
      <c r="M40" s="225"/>
    </row>
    <row r="41" spans="2:13" ht="15.75" customHeight="1">
      <c r="B41" s="211" t="s">
        <v>307</v>
      </c>
      <c r="C41" s="212" t="s">
        <v>86</v>
      </c>
      <c r="D41" s="212" t="s">
        <v>79</v>
      </c>
      <c r="E41" s="212"/>
      <c r="F41" s="212"/>
      <c r="G41" s="212"/>
      <c r="H41" s="212"/>
      <c r="I41" s="213">
        <v>0.37</v>
      </c>
      <c r="J41" s="214">
        <v>20</v>
      </c>
      <c r="K41" s="215">
        <v>0</v>
      </c>
      <c r="L41" s="216">
        <v>100.40972222222221</v>
      </c>
      <c r="M41" s="216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Z311"/>
  <sheetViews>
    <sheetView tabSelected="1" topLeftCell="H34" zoomScaleNormal="100" workbookViewId="0">
      <selection activeCell="W39" sqref="W39:W48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47" t="s">
        <v>333</v>
      </c>
      <c r="G6" s="247" t="s">
        <v>331</v>
      </c>
      <c r="H6" s="247" t="s">
        <v>3</v>
      </c>
      <c r="I6" s="24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1" t="s">
        <v>323</v>
      </c>
      <c r="W6" s="251" t="s">
        <v>324</v>
      </c>
      <c r="X6" s="251" t="s">
        <v>332</v>
      </c>
      <c r="Y6" s="251" t="s">
        <v>333</v>
      </c>
      <c r="Z6" s="251" t="s">
        <v>2</v>
      </c>
      <c r="AA6" s="5" t="s">
        <v>334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16"/>
      <c r="G7" s="16"/>
      <c r="H7" s="16"/>
      <c r="I7" s="16" t="s">
        <v>25</v>
      </c>
      <c r="J7" s="16" t="s">
        <v>4</v>
      </c>
      <c r="K7" s="16" t="s">
        <v>35</v>
      </c>
      <c r="L7" s="16" t="s">
        <v>36</v>
      </c>
      <c r="M7" s="16" t="s">
        <v>302</v>
      </c>
      <c r="N7" s="16" t="s">
        <v>27</v>
      </c>
      <c r="S7" s="7" t="s">
        <v>33</v>
      </c>
      <c r="T7" s="7" t="s">
        <v>29</v>
      </c>
      <c r="U7" s="7" t="s">
        <v>19</v>
      </c>
      <c r="V7" s="7"/>
      <c r="W7" s="7"/>
      <c r="X7" s="7"/>
      <c r="Y7" s="7"/>
      <c r="Z7" s="7"/>
      <c r="AA7" s="7" t="s">
        <v>20</v>
      </c>
      <c r="AB7" s="7" t="s">
        <v>303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66</v>
      </c>
      <c r="D8" s="18" t="s">
        <v>271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ht="15.75" customHeight="1">
      <c r="C9" s="18"/>
      <c r="D9" s="18" t="s">
        <v>271</v>
      </c>
      <c r="E9" s="32" t="s">
        <v>179</v>
      </c>
      <c r="F9" s="32"/>
      <c r="G9" s="32" t="s">
        <v>336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271</v>
      </c>
      <c r="U9" s="24" t="str">
        <f>+LEFT($E$8,5)&amp;LEFT(EECA_data_18!F5,4)&amp;LEFT(EECA_data_18!H5,3)&amp;"15"</f>
        <v>T_P_CICEPET15</v>
      </c>
      <c r="V9" s="24" t="s">
        <v>325</v>
      </c>
      <c r="W9" s="24" t="s">
        <v>335</v>
      </c>
      <c r="X9" s="24" t="s">
        <v>343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290</v>
      </c>
      <c r="AD9" s="18"/>
      <c r="AE9" s="18"/>
      <c r="AF9" s="18"/>
    </row>
    <row r="10" spans="2:32" ht="15.75" customHeight="1">
      <c r="C10" s="18"/>
      <c r="D10" s="18" t="s">
        <v>271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271</v>
      </c>
      <c r="U10" s="24" t="str">
        <f>+LEFT($E$8,5)&amp;LEFT(EECA_data_18!F6,4)&amp;LEFT(EECA_data_18!H6,3)&amp;"15"</f>
        <v>T_P_CICEDSL15</v>
      </c>
      <c r="V10" s="24" t="s">
        <v>325</v>
      </c>
      <c r="W10" s="24" t="s">
        <v>335</v>
      </c>
      <c r="X10" s="24" t="s">
        <v>343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290</v>
      </c>
      <c r="AD10" s="18"/>
      <c r="AE10" s="18"/>
      <c r="AF10" s="18"/>
    </row>
    <row r="11" spans="2:32" ht="15.75" customHeight="1">
      <c r="C11" s="18"/>
      <c r="D11" s="18" t="s">
        <v>271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271</v>
      </c>
      <c r="U11" s="24" t="str">
        <f>+LEFT($E$8,5)&amp;LEFT(EECA_data_18!F7,4)&amp;LEFT(EECA_data_18!H7,3)&amp;"15"</f>
        <v>T_P_CBEVNEW15</v>
      </c>
      <c r="V11" s="24" t="s">
        <v>325</v>
      </c>
      <c r="W11" s="24" t="s">
        <v>335</v>
      </c>
      <c r="X11" s="24" t="s">
        <v>344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290</v>
      </c>
      <c r="AD11" s="18"/>
      <c r="AE11" s="18"/>
      <c r="AF11" s="18"/>
    </row>
    <row r="12" spans="2:32" ht="15.75" customHeight="1">
      <c r="C12" s="18"/>
      <c r="D12" s="18" t="s">
        <v>271</v>
      </c>
      <c r="E12" s="18" t="s">
        <v>251</v>
      </c>
      <c r="F12" s="32"/>
      <c r="G12" s="32" t="s">
        <v>215</v>
      </c>
      <c r="H12" s="18" t="str">
        <f t="shared" si="0"/>
        <v xml:space="preserve"> -:- Medium Truck</v>
      </c>
      <c r="I12" s="18" t="s">
        <v>253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271</v>
      </c>
      <c r="U12" s="24" t="str">
        <f>+LEFT($E$8,5)&amp;LEFT(EECA_data_18!F8,4)&amp;LEFT(EECA_data_18!H8,3)&amp;"15"</f>
        <v>T_P_CBEVUSD15</v>
      </c>
      <c r="V12" s="24" t="s">
        <v>325</v>
      </c>
      <c r="W12" s="24" t="s">
        <v>335</v>
      </c>
      <c r="X12" s="24" t="s">
        <v>344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290</v>
      </c>
      <c r="AD12" s="18"/>
      <c r="AE12" s="18"/>
      <c r="AF12" s="18"/>
    </row>
    <row r="13" spans="2:32" ht="15.75" customHeight="1">
      <c r="C13" s="18"/>
      <c r="D13" s="18" t="s">
        <v>271</v>
      </c>
      <c r="E13" s="18" t="s">
        <v>252</v>
      </c>
      <c r="F13" s="32"/>
      <c r="G13" s="32" t="s">
        <v>279</v>
      </c>
      <c r="H13" s="18" t="str">
        <f t="shared" si="0"/>
        <v xml:space="preserve"> -:- Heavy Truck</v>
      </c>
      <c r="I13" s="18" t="s">
        <v>254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271</v>
      </c>
      <c r="U13" s="24" t="str">
        <f>+LEFT($E$8,5)&amp;LEFT(EECA_data_18!F9,4)&amp;LEFT(EECA_data_18!H9,3)&amp;"15"</f>
        <v>T_P_CICELPG15</v>
      </c>
      <c r="V13" s="24" t="s">
        <v>325</v>
      </c>
      <c r="W13" s="24" t="s">
        <v>335</v>
      </c>
      <c r="X13" s="24" t="s">
        <v>343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290</v>
      </c>
      <c r="AD13" s="18"/>
      <c r="AE13" s="18"/>
      <c r="AF13" s="18"/>
    </row>
    <row r="14" spans="2:32" ht="15.75" customHeight="1">
      <c r="C14" s="18"/>
      <c r="D14" s="18" t="s">
        <v>271</v>
      </c>
      <c r="E14" s="18" t="s">
        <v>320</v>
      </c>
      <c r="F14" s="32"/>
      <c r="G14" s="32" t="s">
        <v>319</v>
      </c>
      <c r="H14" s="18" t="str">
        <f t="shared" si="0"/>
        <v xml:space="preserve"> -:- Very Heavy Truck</v>
      </c>
      <c r="I14" s="18" t="s">
        <v>321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271</v>
      </c>
      <c r="U14" s="24" t="str">
        <f>+LEFT($E$8,5)&amp;LEFT(EECA_data_18!F10,4)&amp;LEFT(EECA_data_18!H10,3)&amp;"15"</f>
        <v>T_P_CHYBPET15</v>
      </c>
      <c r="V14" s="24" t="s">
        <v>325</v>
      </c>
      <c r="W14" s="24" t="s">
        <v>335</v>
      </c>
      <c r="X14" s="24" t="s">
        <v>345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290</v>
      </c>
      <c r="AD14" s="18"/>
      <c r="AE14" s="18"/>
      <c r="AF14" s="18"/>
    </row>
    <row r="15" spans="2:32" ht="15.75" customHeight="1" thickBot="1">
      <c r="C15" s="18"/>
      <c r="D15" s="18" t="s">
        <v>271</v>
      </c>
      <c r="E15" s="18" t="s">
        <v>185</v>
      </c>
      <c r="F15" s="32"/>
      <c r="G15" s="32" t="s">
        <v>337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271</v>
      </c>
      <c r="U15" s="137" t="str">
        <f>+LEFT($E$8,5)&amp;LEFT(EECA_data_18!F11,4)&amp;LEFT(EECA_data_18!H11,3)&amp;"15"</f>
        <v>T_P_CPHEVPET15</v>
      </c>
      <c r="V15" s="137" t="s">
        <v>325</v>
      </c>
      <c r="W15" s="137" t="s">
        <v>335</v>
      </c>
      <c r="X15" s="137" t="s">
        <v>346</v>
      </c>
      <c r="Y15" s="137" t="s">
        <v>154</v>
      </c>
      <c r="Z15" s="258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290</v>
      </c>
      <c r="AD15" s="136"/>
      <c r="AE15" s="136"/>
      <c r="AF15" s="136"/>
    </row>
    <row r="16" spans="2:32" ht="15.75" customHeight="1">
      <c r="C16" s="18"/>
      <c r="D16" s="18" t="s">
        <v>271</v>
      </c>
      <c r="E16" s="18" t="s">
        <v>175</v>
      </c>
      <c r="F16" s="32"/>
      <c r="G16" s="32" t="s">
        <v>285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271</v>
      </c>
      <c r="U16" s="140" t="str">
        <f>+LEFT($E$9,5)&amp;LEFT(EECA_data_18!F13,4)&amp;LEFT(EECA_data_18!H13,3)&amp;"15"</f>
        <v>T_C_CICEPET15</v>
      </c>
      <c r="V16" s="140" t="s">
        <v>325</v>
      </c>
      <c r="W16" s="140" t="s">
        <v>335</v>
      </c>
      <c r="X16" s="140" t="s">
        <v>343</v>
      </c>
      <c r="Y16" s="140" t="s">
        <v>155</v>
      </c>
      <c r="Z16" s="259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290</v>
      </c>
      <c r="AD16" s="139"/>
      <c r="AE16" s="139"/>
      <c r="AF16" s="139"/>
    </row>
    <row r="17" spans="3:32" ht="15.75" customHeight="1">
      <c r="C17" s="18"/>
      <c r="D17" s="18" t="s">
        <v>271</v>
      </c>
      <c r="E17" s="18" t="s">
        <v>266</v>
      </c>
      <c r="F17" s="32"/>
      <c r="G17" s="32" t="s">
        <v>339</v>
      </c>
      <c r="H17" s="18" t="str">
        <f t="shared" si="0"/>
        <v xml:space="preserve"> -:- Domestic Shipping</v>
      </c>
      <c r="I17" s="18" t="s">
        <v>264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271</v>
      </c>
      <c r="U17" s="143" t="str">
        <f>+LEFT($E$9,5)&amp;LEFT(EECA_data_18!F14,4)&amp;LEFT(EECA_data_18!H14,3)&amp;"15"</f>
        <v>T_C_CICEDSL15</v>
      </c>
      <c r="V17" s="143" t="s">
        <v>325</v>
      </c>
      <c r="W17" s="143" t="s">
        <v>335</v>
      </c>
      <c r="X17" s="143" t="s">
        <v>343</v>
      </c>
      <c r="Y17" s="143" t="s">
        <v>156</v>
      </c>
      <c r="Z17" s="260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290</v>
      </c>
      <c r="AD17" s="142"/>
      <c r="AE17" s="142"/>
      <c r="AF17" s="142"/>
    </row>
    <row r="18" spans="3:32" ht="15.75" customHeight="1">
      <c r="C18" s="18"/>
      <c r="D18" s="18" t="s">
        <v>271</v>
      </c>
      <c r="E18" s="18" t="s">
        <v>267</v>
      </c>
      <c r="F18" s="32"/>
      <c r="G18" s="32" t="s">
        <v>340</v>
      </c>
      <c r="H18" s="18" t="str">
        <f t="shared" si="0"/>
        <v xml:space="preserve"> -:- International Shipping</v>
      </c>
      <c r="I18" s="18" t="s">
        <v>265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271</v>
      </c>
      <c r="U18" s="143" t="str">
        <f>+LEFT($E$9,5)&amp;LEFT(EECA_data_18!F15,4)&amp;LEFT(EECA_data_18!H15,3)&amp;"15"</f>
        <v>T_C_CBEVNEW15</v>
      </c>
      <c r="V18" s="143" t="s">
        <v>325</v>
      </c>
      <c r="W18" s="143" t="s">
        <v>335</v>
      </c>
      <c r="X18" s="143" t="s">
        <v>344</v>
      </c>
      <c r="Y18" s="143" t="s">
        <v>154</v>
      </c>
      <c r="Z18" s="260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290</v>
      </c>
      <c r="AD18" s="142"/>
      <c r="AE18" s="142"/>
      <c r="AF18" s="142"/>
    </row>
    <row r="19" spans="3:32" ht="15.75" customHeight="1">
      <c r="C19" s="18"/>
      <c r="D19" s="18" t="s">
        <v>271</v>
      </c>
      <c r="E19" s="18" t="s">
        <v>101</v>
      </c>
      <c r="F19" s="32"/>
      <c r="G19" s="32" t="s">
        <v>341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271</v>
      </c>
      <c r="U19" s="143" t="str">
        <f>+LEFT($E$9,5)&amp;LEFT(EECA_data_18!F16,4)&amp;LEFT(EECA_data_18!H16,3)&amp;"15"</f>
        <v>T_C_CICELPG15</v>
      </c>
      <c r="V19" s="143" t="s">
        <v>325</v>
      </c>
      <c r="W19" s="143" t="s">
        <v>335</v>
      </c>
      <c r="X19" s="143" t="s">
        <v>343</v>
      </c>
      <c r="Y19" s="143" t="s">
        <v>132</v>
      </c>
      <c r="Z19" s="260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290</v>
      </c>
      <c r="AD19" s="142"/>
      <c r="AE19" s="142"/>
      <c r="AF19" s="142"/>
    </row>
    <row r="20" spans="3:32" ht="15.75" customHeight="1" thickBot="1">
      <c r="C20" s="18"/>
      <c r="D20" s="18" t="s">
        <v>271</v>
      </c>
      <c r="E20" s="18" t="s">
        <v>161</v>
      </c>
      <c r="F20" s="32"/>
      <c r="G20" s="32" t="s">
        <v>342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271</v>
      </c>
      <c r="U20" s="146" t="str">
        <f>+LEFT($E$9,5)&amp;LEFT(EECA_data_18!F17,4)&amp;LEFT(EECA_data_18!H17,3)&amp;"15"</f>
        <v>T_C_CHYBPET15</v>
      </c>
      <c r="V20" s="146" t="s">
        <v>325</v>
      </c>
      <c r="W20" s="146" t="s">
        <v>335</v>
      </c>
      <c r="X20" s="146" t="s">
        <v>345</v>
      </c>
      <c r="Y20" s="146" t="s">
        <v>155</v>
      </c>
      <c r="Z20" s="261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290</v>
      </c>
      <c r="AD20" s="145"/>
      <c r="AE20" s="145"/>
      <c r="AF20" s="145"/>
    </row>
    <row r="21" spans="3:32" ht="15.75" customHeight="1" thickBot="1">
      <c r="C21" s="249" t="s">
        <v>39</v>
      </c>
      <c r="D21" s="249" t="s">
        <v>271</v>
      </c>
      <c r="E21" s="249" t="s">
        <v>86</v>
      </c>
      <c r="F21" s="248" t="s">
        <v>329</v>
      </c>
      <c r="G21" s="267" t="s">
        <v>356</v>
      </c>
      <c r="H21" s="249" t="str">
        <f t="shared" si="0"/>
        <v>Green Hydrogen -:- Green Hydrogen Fuel</v>
      </c>
      <c r="I21" s="249" t="s">
        <v>87</v>
      </c>
      <c r="J21" s="249" t="s">
        <v>40</v>
      </c>
      <c r="K21" s="249" t="s">
        <v>164</v>
      </c>
      <c r="L21" s="249"/>
      <c r="M21" s="250"/>
      <c r="N21" s="250"/>
      <c r="S21" s="136" t="s">
        <v>67</v>
      </c>
      <c r="T21" s="136" t="s">
        <v>271</v>
      </c>
      <c r="U21" s="137" t="s">
        <v>93</v>
      </c>
      <c r="V21" s="158" t="s">
        <v>325</v>
      </c>
      <c r="W21" s="158" t="s">
        <v>335</v>
      </c>
      <c r="X21" s="158" t="s">
        <v>343</v>
      </c>
      <c r="Y21" s="158" t="s">
        <v>155</v>
      </c>
      <c r="Z21" s="262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291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271</v>
      </c>
      <c r="U22" s="143" t="s">
        <v>96</v>
      </c>
      <c r="V22" s="140" t="s">
        <v>325</v>
      </c>
      <c r="W22" s="140" t="s">
        <v>335</v>
      </c>
      <c r="X22" s="140" t="s">
        <v>343</v>
      </c>
      <c r="Y22" s="140" t="s">
        <v>155</v>
      </c>
      <c r="Z22" s="259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292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271</v>
      </c>
      <c r="U23" s="143" t="s">
        <v>97</v>
      </c>
      <c r="V23" s="143" t="s">
        <v>325</v>
      </c>
      <c r="W23" s="143" t="s">
        <v>335</v>
      </c>
      <c r="X23" s="143" t="s">
        <v>343</v>
      </c>
      <c r="Y23" s="143" t="s">
        <v>156</v>
      </c>
      <c r="Z23" s="260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292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271</v>
      </c>
      <c r="U24" s="146" t="s">
        <v>98</v>
      </c>
      <c r="V24" s="146" t="s">
        <v>325</v>
      </c>
      <c r="W24" s="146" t="s">
        <v>335</v>
      </c>
      <c r="X24" s="146" t="s">
        <v>344</v>
      </c>
      <c r="Y24" s="146" t="s">
        <v>154</v>
      </c>
      <c r="Z24" s="261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292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271</v>
      </c>
      <c r="U25" s="24" t="s">
        <v>255</v>
      </c>
      <c r="V25" s="135" t="s">
        <v>325</v>
      </c>
      <c r="W25" s="135" t="s">
        <v>335</v>
      </c>
      <c r="X25" s="135" t="s">
        <v>343</v>
      </c>
      <c r="Y25" s="135" t="s">
        <v>155</v>
      </c>
      <c r="Z25" s="263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293</v>
      </c>
      <c r="AD25" s="18"/>
      <c r="AE25" s="18"/>
      <c r="AF25" s="18"/>
    </row>
    <row r="26" spans="3:32" ht="15.75" customHeight="1">
      <c r="S26" s="18" t="s">
        <v>67</v>
      </c>
      <c r="T26" s="18" t="s">
        <v>271</v>
      </c>
      <c r="U26" s="24" t="s">
        <v>256</v>
      </c>
      <c r="V26" s="24" t="s">
        <v>325</v>
      </c>
      <c r="W26" s="24" t="s">
        <v>335</v>
      </c>
      <c r="X26" s="24" t="s">
        <v>343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293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271</v>
      </c>
      <c r="U27" s="138" t="s">
        <v>257</v>
      </c>
      <c r="V27" s="137" t="s">
        <v>325</v>
      </c>
      <c r="W27" s="137" t="s">
        <v>335</v>
      </c>
      <c r="X27" s="137" t="s">
        <v>344</v>
      </c>
      <c r="Y27" s="137" t="s">
        <v>154</v>
      </c>
      <c r="Z27" s="258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293</v>
      </c>
      <c r="AD27" s="136"/>
      <c r="AE27" s="136"/>
      <c r="AF27" s="136"/>
    </row>
    <row r="28" spans="3:32" ht="15.75" customHeight="1" thickBot="1">
      <c r="O28" s="2" t="s">
        <v>360</v>
      </c>
      <c r="P28" s="2">
        <f>1-0.704482048351169</f>
        <v>0.29551795164883099</v>
      </c>
      <c r="S28" s="145" t="s">
        <v>67</v>
      </c>
      <c r="T28" s="145" t="s">
        <v>271</v>
      </c>
      <c r="U28" s="147" t="s">
        <v>258</v>
      </c>
      <c r="V28" s="252" t="s">
        <v>325</v>
      </c>
      <c r="W28" s="252" t="s">
        <v>335</v>
      </c>
      <c r="X28" s="252" t="s">
        <v>343</v>
      </c>
      <c r="Y28" s="252" t="s">
        <v>156</v>
      </c>
      <c r="Z28" s="264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293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271</v>
      </c>
      <c r="U29" s="147" t="s">
        <v>322</v>
      </c>
      <c r="V29" s="252" t="s">
        <v>325</v>
      </c>
      <c r="W29" s="252" t="s">
        <v>335</v>
      </c>
      <c r="X29" s="252" t="s">
        <v>343</v>
      </c>
      <c r="Y29" s="252" t="s">
        <v>156</v>
      </c>
      <c r="Z29" s="264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293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271</v>
      </c>
      <c r="U30" s="158" t="s">
        <v>262</v>
      </c>
      <c r="V30" s="158" t="s">
        <v>325</v>
      </c>
      <c r="W30" s="253" t="s">
        <v>338</v>
      </c>
      <c r="X30" s="253" t="s">
        <v>347</v>
      </c>
      <c r="Y30" s="253" t="s">
        <v>157</v>
      </c>
      <c r="Z30" s="266" t="str">
        <f t="shared" si="1"/>
        <v>Transport -:- Shipping -:- Ship -:- Fuel Oil</v>
      </c>
      <c r="AA30" s="159" t="s">
        <v>264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271</v>
      </c>
      <c r="U31" s="154" t="s">
        <v>263</v>
      </c>
      <c r="V31" s="252" t="s">
        <v>325</v>
      </c>
      <c r="W31" s="252" t="s">
        <v>338</v>
      </c>
      <c r="X31" s="252" t="s">
        <v>347</v>
      </c>
      <c r="Y31" s="252" t="s">
        <v>157</v>
      </c>
      <c r="Z31" s="264" t="str">
        <f t="shared" si="1"/>
        <v>Transport -:- Shipping -:- Ship -:- Fuel Oil</v>
      </c>
      <c r="AA31" s="155" t="s">
        <v>265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271</v>
      </c>
      <c r="U32" s="135" t="s">
        <v>100</v>
      </c>
      <c r="V32" s="135" t="s">
        <v>325</v>
      </c>
      <c r="W32" s="135" t="s">
        <v>222</v>
      </c>
      <c r="X32" s="135" t="s">
        <v>348</v>
      </c>
      <c r="Y32" s="135" t="s">
        <v>328</v>
      </c>
      <c r="Z32" s="263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271</v>
      </c>
      <c r="U33" s="146" t="s">
        <v>158</v>
      </c>
      <c r="V33" s="146" t="s">
        <v>325</v>
      </c>
      <c r="W33" s="146" t="s">
        <v>222</v>
      </c>
      <c r="X33" s="146" t="s">
        <v>348</v>
      </c>
      <c r="Y33" s="146" t="s">
        <v>328</v>
      </c>
      <c r="Z33" s="261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55" t="s">
        <v>67</v>
      </c>
      <c r="T34" s="256" t="s">
        <v>271</v>
      </c>
      <c r="U34" s="254" t="s">
        <v>350</v>
      </c>
      <c r="V34" s="254" t="s">
        <v>325</v>
      </c>
      <c r="W34" s="254" t="s">
        <v>226</v>
      </c>
      <c r="X34" s="254" t="s">
        <v>349</v>
      </c>
      <c r="Y34" s="254" t="s">
        <v>156</v>
      </c>
      <c r="Z34" s="265" t="str">
        <f t="shared" si="1"/>
        <v>Transport -:- Rail -:- Train -:- Diesel</v>
      </c>
      <c r="AA34" s="257" t="s">
        <v>169</v>
      </c>
      <c r="AB34" s="256" t="s">
        <v>40</v>
      </c>
      <c r="AC34" s="256" t="s">
        <v>56</v>
      </c>
      <c r="AD34" s="256"/>
      <c r="AE34" s="255"/>
      <c r="AF34" s="255"/>
    </row>
    <row r="35" spans="2:32" ht="15.75" customHeight="1" thickBot="1">
      <c r="S35" s="150" t="s">
        <v>67</v>
      </c>
      <c r="T35" s="145" t="s">
        <v>271</v>
      </c>
      <c r="U35" s="146" t="s">
        <v>176</v>
      </c>
      <c r="V35" s="146" t="s">
        <v>325</v>
      </c>
      <c r="W35" s="146" t="s">
        <v>226</v>
      </c>
      <c r="X35" s="146" t="s">
        <v>349</v>
      </c>
      <c r="Y35" s="146" t="s">
        <v>154</v>
      </c>
      <c r="Z35" s="261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261</v>
      </c>
      <c r="G39" s="131" t="s">
        <v>41</v>
      </c>
      <c r="H39" s="131" t="s">
        <v>294</v>
      </c>
      <c r="I39" s="131" t="s">
        <v>295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362</v>
      </c>
      <c r="O39" s="132" t="s">
        <v>296</v>
      </c>
      <c r="P39" s="131" t="s">
        <v>359</v>
      </c>
      <c r="Q39" s="131" t="s">
        <v>297</v>
      </c>
      <c r="R39" s="131" t="s">
        <v>361</v>
      </c>
      <c r="S39" s="131" t="s">
        <v>298</v>
      </c>
      <c r="T39" s="131" t="s">
        <v>259</v>
      </c>
      <c r="U39" s="131" t="s">
        <v>260</v>
      </c>
      <c r="V39" s="131" t="s">
        <v>311</v>
      </c>
      <c r="W39" s="131" t="s">
        <v>363</v>
      </c>
    </row>
    <row r="40" spans="2:32" ht="34.9">
      <c r="C40" s="178" t="s">
        <v>34</v>
      </c>
      <c r="D40" s="178" t="s">
        <v>30</v>
      </c>
      <c r="E40" s="178" t="s">
        <v>31</v>
      </c>
      <c r="F40" s="178" t="s">
        <v>80</v>
      </c>
      <c r="G40" s="178" t="s">
        <v>49</v>
      </c>
      <c r="H40" s="180" t="s">
        <v>268</v>
      </c>
      <c r="I40" s="180" t="s">
        <v>241</v>
      </c>
      <c r="J40" s="180" t="s">
        <v>242</v>
      </c>
      <c r="K40" s="180" t="s">
        <v>248</v>
      </c>
      <c r="L40" s="180" t="s">
        <v>245</v>
      </c>
      <c r="M40" s="180" t="s">
        <v>246</v>
      </c>
      <c r="O40" s="179" t="s">
        <v>247</v>
      </c>
      <c r="P40" s="180" t="s">
        <v>269</v>
      </c>
      <c r="Q40" s="180" t="s">
        <v>270</v>
      </c>
      <c r="R40" s="180"/>
      <c r="S40" s="180" t="s">
        <v>269</v>
      </c>
      <c r="T40" s="180" t="s">
        <v>249</v>
      </c>
      <c r="U40" s="180" t="s">
        <v>250</v>
      </c>
      <c r="V40" s="180" t="s">
        <v>312</v>
      </c>
      <c r="W40" s="180"/>
    </row>
    <row r="41" spans="2:32" ht="23.25">
      <c r="C41" s="178" t="s">
        <v>45</v>
      </c>
      <c r="D41" s="178"/>
      <c r="E41" s="178"/>
      <c r="F41" s="178" t="s">
        <v>102</v>
      </c>
      <c r="G41" s="178" t="s">
        <v>46</v>
      </c>
      <c r="H41" s="180">
        <v>2018</v>
      </c>
      <c r="I41" s="180"/>
      <c r="J41" s="180" t="s">
        <v>243</v>
      </c>
      <c r="K41" s="180" t="s">
        <v>244</v>
      </c>
      <c r="L41" s="180" t="s">
        <v>299</v>
      </c>
      <c r="M41" s="180" t="s">
        <v>299</v>
      </c>
      <c r="O41" s="179" t="s">
        <v>300</v>
      </c>
      <c r="P41" s="179" t="s">
        <v>300</v>
      </c>
      <c r="Q41" s="179" t="s">
        <v>300</v>
      </c>
      <c r="R41" s="179"/>
      <c r="S41" s="179" t="s">
        <v>300</v>
      </c>
      <c r="T41" s="180" t="s">
        <v>244</v>
      </c>
      <c r="U41" s="180"/>
      <c r="V41" s="180" t="s">
        <v>244</v>
      </c>
      <c r="W41" s="180"/>
    </row>
    <row r="42" spans="2:32" ht="15.75" customHeight="1">
      <c r="B42" s="285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1">
        <f>+H42/J42/O42</f>
        <v>0.1330791275965717</v>
      </c>
      <c r="L42" s="125">
        <f>+EECA_data_18!M5</f>
        <v>33.857253063779488</v>
      </c>
      <c r="M42" s="182">
        <f>+EECA_data_18!P5</f>
        <v>1.3836761070950265</v>
      </c>
      <c r="N42" s="269">
        <f>K42</f>
        <v>0.1330791275965717</v>
      </c>
      <c r="O42" s="183">
        <f>+EECA_data_18!N5*EECA_data_18!S5</f>
        <v>769.69169711313111</v>
      </c>
      <c r="P42" s="124">
        <f>3020*$P$28</f>
        <v>892.4642139794696</v>
      </c>
      <c r="Q42" s="124">
        <v>0</v>
      </c>
      <c r="R42" s="124"/>
      <c r="S42" s="125"/>
      <c r="T42" s="125"/>
      <c r="U42" s="125"/>
      <c r="V42" s="125"/>
      <c r="W42" s="268">
        <f>K42*40/45</f>
        <v>0.11829255786361929</v>
      </c>
      <c r="X42" s="48"/>
      <c r="Y42" s="48"/>
      <c r="Z42" s="185"/>
      <c r="AD42" s="186"/>
      <c r="AE42" s="186"/>
    </row>
    <row r="43" spans="2:32" ht="15.75" customHeight="1">
      <c r="B43" s="285"/>
      <c r="C43" s="122" t="str">
        <f t="shared" si="2"/>
        <v>T_P_CICEDSL15</v>
      </c>
      <c r="D43" s="123" t="str">
        <f t="shared" ref="D43:D63" si="3">"TRA"&amp;LEFT(RIGHT(C43,5),3)</f>
        <v>TRADSL</v>
      </c>
      <c r="E43" s="122" t="str">
        <f t="shared" ref="E43:E48" si="4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1">
        <f>+H43/J43/O43</f>
        <v>0.16652648589847888</v>
      </c>
      <c r="L43" s="125">
        <f>+EECA_data_18!M6</f>
        <v>40.982161028207202</v>
      </c>
      <c r="M43" s="182">
        <f>+EECA_data_18!P6</f>
        <v>1.3430866666666668</v>
      </c>
      <c r="N43" s="269">
        <f t="shared" ref="N43:N48" si="5">K43</f>
        <v>0.16652648589847888</v>
      </c>
      <c r="O43" s="183">
        <f>+EECA_data_18!N6*EECA_data_18!S6</f>
        <v>73.21979319148852</v>
      </c>
      <c r="P43" s="124">
        <f>1020*$P$28*0.2</f>
        <v>60.285662136361523</v>
      </c>
      <c r="Q43" s="124">
        <v>0</v>
      </c>
      <c r="R43" s="124"/>
      <c r="S43" s="125"/>
      <c r="T43" s="125"/>
      <c r="U43" s="125"/>
      <c r="V43" s="125"/>
      <c r="W43" s="268">
        <f>K43*40/45</f>
        <v>0.14802354302087012</v>
      </c>
      <c r="X43" s="48"/>
      <c r="Y43" s="48"/>
      <c r="Z43" s="185"/>
      <c r="AD43" s="186"/>
      <c r="AE43" s="186"/>
    </row>
    <row r="44" spans="2:32" ht="15.75" customHeight="1">
      <c r="B44" s="285"/>
      <c r="C44" s="122" t="str">
        <f t="shared" si="2"/>
        <v>T_P_CBEVNEW15</v>
      </c>
      <c r="D44" s="123" t="s">
        <v>358</v>
      </c>
      <c r="E44" s="122" t="str">
        <f t="shared" si="4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6">J43</f>
        <v>0.08</v>
      </c>
      <c r="K44" s="181">
        <f>+H44/J44/O44</f>
        <v>9.6019078547742456E-2</v>
      </c>
      <c r="L44" s="125">
        <f>+EECA_data_18!M7</f>
        <v>56.434273897483351</v>
      </c>
      <c r="M44" s="182">
        <f>+EECA_data_18!P7</f>
        <v>1.3469862952194624</v>
      </c>
      <c r="N44" s="269">
        <f t="shared" si="5"/>
        <v>9.6019078547742456E-2</v>
      </c>
      <c r="O44" s="183">
        <f>+EECA_data_18!N7*EECA_data_18!S7</f>
        <v>2.1888253290232305</v>
      </c>
      <c r="P44" s="124">
        <f>84*$P$28</f>
        <v>24.823507938501802</v>
      </c>
      <c r="Q44" s="124">
        <v>0</v>
      </c>
      <c r="R44" s="124"/>
      <c r="S44" s="125"/>
      <c r="T44" s="125"/>
      <c r="U44" s="125"/>
      <c r="V44" s="125"/>
      <c r="W44" s="268">
        <f>K44*40/45</f>
        <v>8.5350292042437742E-2</v>
      </c>
      <c r="X44" s="48"/>
      <c r="Y44" s="48"/>
      <c r="Z44" s="185"/>
      <c r="AD44" s="186"/>
      <c r="AE44" s="186"/>
    </row>
    <row r="45" spans="2:32" ht="15.75" customHeight="1">
      <c r="B45" s="285"/>
      <c r="C45" s="122" t="str">
        <f t="shared" si="2"/>
        <v>T_P_CBEVUSD15</v>
      </c>
      <c r="D45" s="123" t="s">
        <v>358</v>
      </c>
      <c r="E45" s="122" t="str">
        <f t="shared" si="4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6"/>
        <v>0.08</v>
      </c>
      <c r="K45" s="187">
        <f>+K44*0.85</f>
        <v>8.161621676558109E-2</v>
      </c>
      <c r="L45" s="125">
        <f>+EECA_data_18!M8</f>
        <v>25.285083214393978</v>
      </c>
      <c r="M45" s="182">
        <f>+EECA_data_18!P8</f>
        <v>1.6192717698146617</v>
      </c>
      <c r="N45" s="269">
        <f t="shared" si="5"/>
        <v>8.161621676558109E-2</v>
      </c>
      <c r="O45" s="183">
        <f>+EECA_data_18!N8*EECA_data_18!S8</f>
        <v>0</v>
      </c>
      <c r="P45" s="124">
        <v>0</v>
      </c>
      <c r="Q45" s="124">
        <v>0</v>
      </c>
      <c r="R45" s="124"/>
      <c r="S45" s="125"/>
      <c r="T45" s="125"/>
      <c r="U45" s="125"/>
      <c r="V45" s="125"/>
      <c r="W45" s="268">
        <f>K45*40/45</f>
        <v>7.2547748236072074E-2</v>
      </c>
      <c r="X45" s="48"/>
      <c r="Y45" s="48"/>
      <c r="Z45" s="185"/>
      <c r="AD45" s="186"/>
      <c r="AE45" s="186"/>
    </row>
    <row r="46" spans="2:32" ht="15.75" customHeight="1">
      <c r="B46" s="285"/>
      <c r="C46" s="122" t="str">
        <f t="shared" si="2"/>
        <v>T_P_CICELPG15</v>
      </c>
      <c r="D46" s="123" t="str">
        <f t="shared" si="3"/>
        <v>TRALPG</v>
      </c>
      <c r="E46" s="122" t="str">
        <f t="shared" si="4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6"/>
        <v>0.08</v>
      </c>
      <c r="K46" s="181">
        <f>+H46/J46/O46</f>
        <v>0.23845860358641741</v>
      </c>
      <c r="L46" s="125">
        <f>+EECA_data_18!M9</f>
        <v>36.679454380806774</v>
      </c>
      <c r="M46" s="182">
        <f>+EECA_data_18!P9</f>
        <v>1.3836761070950265</v>
      </c>
      <c r="N46" s="269">
        <f t="shared" si="5"/>
        <v>0.23845860358641741</v>
      </c>
      <c r="O46" s="183">
        <f>+EECA_data_18!N9*EECA_data_18!S9</f>
        <v>0.24407021948521473</v>
      </c>
      <c r="P46" s="124">
        <v>0</v>
      </c>
      <c r="Q46" s="124">
        <v>0</v>
      </c>
      <c r="R46" s="124"/>
      <c r="S46" s="125"/>
      <c r="T46" s="125"/>
      <c r="U46" s="125"/>
      <c r="V46" s="125"/>
      <c r="W46" s="268">
        <f>K46*40/45</f>
        <v>0.21196320318792658</v>
      </c>
      <c r="X46" s="48"/>
      <c r="Y46" s="48"/>
      <c r="Z46" s="185"/>
      <c r="AD46" s="186"/>
      <c r="AE46" s="188"/>
    </row>
    <row r="47" spans="2:32" ht="15.75" customHeight="1">
      <c r="B47" s="285"/>
      <c r="C47" s="122" t="str">
        <f t="shared" si="2"/>
        <v>T_P_CHYBPET15</v>
      </c>
      <c r="D47" s="123" t="str">
        <f t="shared" si="3"/>
        <v>TRAPET</v>
      </c>
      <c r="E47" s="122" t="str">
        <f t="shared" si="4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6"/>
        <v>0.08</v>
      </c>
      <c r="K47" s="181">
        <f>+H47/J47/O47</f>
        <v>0.18972353970195158</v>
      </c>
      <c r="L47" s="125">
        <f>+EECA_data_18!M10</f>
        <v>38.4943273070229</v>
      </c>
      <c r="M47" s="182">
        <f>+EECA_data_18!P10</f>
        <v>1.1330287043611558</v>
      </c>
      <c r="N47" s="269">
        <f t="shared" si="5"/>
        <v>0.18972353970195158</v>
      </c>
      <c r="O47" s="183">
        <f>+EECA_data_18!N10*EECA_data_18!S10</f>
        <v>8.0099890460631045</v>
      </c>
      <c r="P47" s="124">
        <f>290*$P$28</f>
        <v>85.70020597816098</v>
      </c>
      <c r="Q47" s="124">
        <f>P47</f>
        <v>85.70020597816098</v>
      </c>
      <c r="R47" s="124"/>
      <c r="S47" s="125"/>
      <c r="T47" s="125"/>
      <c r="U47" s="125"/>
      <c r="V47" s="125"/>
      <c r="W47" s="268">
        <f>K47*40/45</f>
        <v>0.16864314640173472</v>
      </c>
      <c r="X47" s="48"/>
      <c r="Y47" s="48"/>
      <c r="Z47" s="185"/>
      <c r="AD47" s="186"/>
      <c r="AE47" s="186"/>
    </row>
    <row r="48" spans="2:32" ht="15.75" customHeight="1">
      <c r="B48" s="285"/>
      <c r="C48" s="122" t="str">
        <f t="shared" si="2"/>
        <v>T_P_CPHEVPET15</v>
      </c>
      <c r="D48" s="123"/>
      <c r="E48" s="122" t="str">
        <f t="shared" si="4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6"/>
        <v>0.08</v>
      </c>
      <c r="K48" s="181">
        <f>+H48/J48/O48</f>
        <v>0.14002830438792699</v>
      </c>
      <c r="L48" s="125">
        <f>+EECA_data_18!M11</f>
        <v>51.909674036494785</v>
      </c>
      <c r="M48" s="182">
        <f>+EECA_data_18!P11</f>
        <v>1.2151329648648723</v>
      </c>
      <c r="N48" s="269">
        <f t="shared" si="5"/>
        <v>0.14002830438792699</v>
      </c>
      <c r="O48" s="183">
        <f>+EECA_data_18!N11*EECA_data_18!S11</f>
        <v>0.69272475506378983</v>
      </c>
      <c r="P48" s="124">
        <f>35*$P$28</f>
        <v>10.343128307709085</v>
      </c>
      <c r="Q48" s="124">
        <f>P48</f>
        <v>10.343128307709085</v>
      </c>
      <c r="R48" s="124"/>
      <c r="S48" s="125"/>
      <c r="T48" s="125"/>
      <c r="U48" s="125"/>
      <c r="V48" s="125"/>
      <c r="W48" s="268">
        <f>K48*40/45</f>
        <v>0.12446960390037955</v>
      </c>
      <c r="X48" s="48"/>
      <c r="Y48" s="48"/>
      <c r="Z48" s="185"/>
    </row>
    <row r="49" spans="2:37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1"/>
      <c r="L49" s="125"/>
      <c r="M49" s="182"/>
      <c r="N49" s="125"/>
      <c r="O49" s="183"/>
      <c r="P49" s="124"/>
      <c r="Q49" s="124"/>
      <c r="R49" s="124"/>
      <c r="S49" s="125"/>
      <c r="T49" s="189">
        <f>1-EECA_data_18!R11</f>
        <v>0.4</v>
      </c>
      <c r="U49" s="125"/>
      <c r="V49" s="124">
        <f>+F42</f>
        <v>0.30845918332748123</v>
      </c>
      <c r="W49" s="184"/>
      <c r="X49" s="48"/>
      <c r="Y49" s="48"/>
      <c r="Z49" s="185"/>
    </row>
    <row r="50" spans="2:37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1"/>
      <c r="L50" s="125"/>
      <c r="M50" s="182"/>
      <c r="N50" s="125"/>
      <c r="O50" s="183"/>
      <c r="P50" s="124"/>
      <c r="Q50" s="124"/>
      <c r="R50" s="124"/>
      <c r="S50" s="125"/>
      <c r="T50" s="189">
        <f>+EECA_data_18!R11</f>
        <v>0.6</v>
      </c>
      <c r="U50" s="125"/>
      <c r="V50" s="124">
        <f>+F44</f>
        <v>1.4079922210878586</v>
      </c>
      <c r="W50" s="184"/>
      <c r="Z50" s="185"/>
      <c r="AD50" s="190"/>
      <c r="AE50" s="190"/>
      <c r="AF50" s="190"/>
      <c r="AG50" s="190"/>
      <c r="AH50" s="190"/>
    </row>
    <row r="51" spans="2:37" ht="15.75" customHeight="1">
      <c r="B51" s="285"/>
      <c r="C51" s="126" t="str">
        <f t="shared" ref="C51:C70" si="7">+U16</f>
        <v>T_C_CICEPET15</v>
      </c>
      <c r="D51" s="127" t="str">
        <f t="shared" si="3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1">
        <f>+H51/J51/O51</f>
        <v>0.12412458902591952</v>
      </c>
      <c r="L51" s="129">
        <f>+EECA_data_18!M13</f>
        <v>33.896666666666661</v>
      </c>
      <c r="M51" s="192">
        <f>+EECA_data_18!P13</f>
        <v>1.3430866666666668</v>
      </c>
      <c r="N51" s="129"/>
      <c r="O51" s="193">
        <f>+EECA_data_18!N13*EECA_data_18!S13</f>
        <v>45.330110376387807</v>
      </c>
      <c r="Q51" s="128"/>
      <c r="R51" s="128">
        <v>0</v>
      </c>
      <c r="S51" s="129"/>
      <c r="T51" s="129"/>
      <c r="U51" s="129"/>
      <c r="V51" s="129"/>
      <c r="W51" s="184"/>
      <c r="X51" s="48"/>
      <c r="Y51" s="48"/>
      <c r="Z51" s="185"/>
      <c r="AD51" s="190"/>
      <c r="AE51" s="190"/>
      <c r="AF51" s="190"/>
      <c r="AG51" s="190"/>
      <c r="AH51" s="190"/>
    </row>
    <row r="52" spans="2:37" ht="15.75" customHeight="1">
      <c r="B52" s="285"/>
      <c r="C52" s="126" t="str">
        <f t="shared" si="7"/>
        <v>T_C_CICEDSL15</v>
      </c>
      <c r="D52" s="127" t="str">
        <f t="shared" si="3"/>
        <v>TRADSL</v>
      </c>
      <c r="E52" s="126" t="str">
        <f t="shared" ref="E52:E55" si="8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1">
        <f>+H52/J52/O52</f>
        <v>0.20286569808977026</v>
      </c>
      <c r="L52" s="129">
        <f>+EECA_data_18!M14</f>
        <v>50.400339083480681</v>
      </c>
      <c r="M52" s="192">
        <f>+EECA_data_18!P14</f>
        <v>1.5396112737265695</v>
      </c>
      <c r="N52" s="129"/>
      <c r="O52" s="193">
        <f>+EECA_data_18!N14*EECA_data_18!S14</f>
        <v>135.25134402897649</v>
      </c>
      <c r="Q52" s="128">
        <v>0</v>
      </c>
      <c r="R52" s="128"/>
      <c r="S52" s="129"/>
      <c r="T52" s="129"/>
      <c r="U52" s="129"/>
      <c r="V52" s="129"/>
      <c r="W52" s="184"/>
      <c r="X52" s="48"/>
      <c r="Y52" s="48"/>
      <c r="Z52" s="185"/>
      <c r="AD52" s="190"/>
      <c r="AE52" s="190"/>
      <c r="AF52" s="190"/>
      <c r="AG52" s="190"/>
      <c r="AH52" s="190"/>
    </row>
    <row r="53" spans="2:37" ht="15.75" customHeight="1">
      <c r="B53" s="285"/>
      <c r="C53" s="126" t="str">
        <f t="shared" si="7"/>
        <v>T_C_CBEVNEW15</v>
      </c>
      <c r="D53" s="123" t="s">
        <v>358</v>
      </c>
      <c r="E53" s="126" t="str">
        <f t="shared" si="8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9">J52</f>
        <v>0.08</v>
      </c>
      <c r="K53" s="191">
        <f>+H53/J53/O53</f>
        <v>0.14398709875595148</v>
      </c>
      <c r="L53" s="129">
        <f>+EECA_data_18!M15</f>
        <v>70.708695652173915</v>
      </c>
      <c r="M53" s="192">
        <f>+EECA_data_18!P15</f>
        <v>1.709806221731488</v>
      </c>
      <c r="N53" s="129"/>
      <c r="O53" s="193">
        <f>+EECA_data_18!N15*EECA_data_18!S15</f>
        <v>0.22986460223264163</v>
      </c>
      <c r="Q53" s="128"/>
      <c r="R53" s="128">
        <v>0</v>
      </c>
      <c r="S53" s="129"/>
      <c r="T53" s="129"/>
      <c r="U53" s="129"/>
      <c r="V53" s="129"/>
      <c r="W53" s="184"/>
      <c r="X53" s="48"/>
      <c r="Y53" s="48"/>
      <c r="Z53" s="185"/>
      <c r="AD53" s="190"/>
      <c r="AE53" s="190"/>
      <c r="AF53" s="190"/>
      <c r="AG53" s="190"/>
      <c r="AH53" s="190"/>
    </row>
    <row r="54" spans="2:37" ht="15.75" customHeight="1">
      <c r="B54" s="285"/>
      <c r="C54" s="126" t="str">
        <f t="shared" si="7"/>
        <v>T_C_CICELPG15</v>
      </c>
      <c r="D54" s="127" t="str">
        <f t="shared" si="3"/>
        <v>TRALPG</v>
      </c>
      <c r="E54" s="126" t="str">
        <f t="shared" si="8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9"/>
        <v>0.08</v>
      </c>
      <c r="K54" s="191">
        <f>+H54/J54/O54</f>
        <v>0.1588007368354189</v>
      </c>
      <c r="L54" s="129">
        <f>+EECA_data_18!M16</f>
        <v>36.718867983693947</v>
      </c>
      <c r="M54" s="192">
        <f>+EECA_data_18!P16</f>
        <v>1.3430866666666668</v>
      </c>
      <c r="N54" s="129"/>
      <c r="O54" s="193">
        <f>+EECA_data_18!N16*EECA_data_18!S16</f>
        <v>9.2631916063801709E-2</v>
      </c>
      <c r="Q54" s="128"/>
      <c r="R54" s="128">
        <v>0</v>
      </c>
      <c r="S54" s="129"/>
      <c r="T54" s="129"/>
      <c r="U54" s="129"/>
      <c r="V54" s="129"/>
      <c r="W54" s="184"/>
      <c r="X54" s="48"/>
      <c r="Y54" s="48"/>
      <c r="Z54" s="185"/>
      <c r="AD54" s="190"/>
      <c r="AE54" s="190"/>
      <c r="AF54" s="190"/>
      <c r="AG54" s="190"/>
      <c r="AH54" s="190"/>
    </row>
    <row r="55" spans="2:37" ht="15.75" customHeight="1">
      <c r="B55" s="285"/>
      <c r="C55" s="126" t="str">
        <f t="shared" si="7"/>
        <v>T_C_CHYBPET15</v>
      </c>
      <c r="D55" s="127" t="str">
        <f t="shared" si="3"/>
        <v>TRAPET</v>
      </c>
      <c r="E55" s="126" t="str">
        <f t="shared" si="8"/>
        <v>T_C_Car</v>
      </c>
      <c r="F55" s="128">
        <f>EECA_data_18!J17</f>
        <v>0.32080057540766083</v>
      </c>
      <c r="G55" s="129">
        <f>EECA_data_18!K17</f>
        <v>22.051404092999999</v>
      </c>
      <c r="H55" s="194">
        <f>+K55*J55*O55</f>
        <v>3.8459269528413211E-5</v>
      </c>
      <c r="I55" s="129">
        <v>-1</v>
      </c>
      <c r="J55" s="128">
        <f t="shared" si="9"/>
        <v>0.08</v>
      </c>
      <c r="K55" s="187">
        <f>+K54</f>
        <v>0.1588007368354189</v>
      </c>
      <c r="L55" s="129">
        <f>+EECA_data_18!M17</f>
        <v>38.539138979341075</v>
      </c>
      <c r="M55" s="192">
        <f>+EECA_data_18!P17</f>
        <v>1.0997918790206931</v>
      </c>
      <c r="N55" s="129"/>
      <c r="O55" s="193">
        <f>+EECA_data_18!N17*EECA_data_18!S17</f>
        <v>3.0273214009290464E-3</v>
      </c>
      <c r="Q55" s="128"/>
      <c r="R55" s="128">
        <v>0</v>
      </c>
      <c r="S55" s="129"/>
      <c r="T55" s="129"/>
      <c r="U55" s="129"/>
      <c r="V55" s="129"/>
      <c r="W55" s="184"/>
      <c r="X55" s="48"/>
      <c r="Y55" s="48"/>
      <c r="Z55" s="185"/>
      <c r="AD55" s="190"/>
      <c r="AE55" s="190"/>
      <c r="AF55" s="190"/>
      <c r="AG55" s="190"/>
      <c r="AH55" s="190"/>
    </row>
    <row r="56" spans="2:37" ht="15.75" customHeight="1">
      <c r="C56" s="24" t="str">
        <f t="shared" si="7"/>
        <v>T_P_MICEPET15</v>
      </c>
      <c r="D56" s="23" t="str">
        <f t="shared" si="3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9"/>
        <v>0.08</v>
      </c>
      <c r="K56" s="195">
        <f t="shared" ref="K56:K62" si="10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Q56" s="22">
        <v>0</v>
      </c>
      <c r="R56" s="22"/>
      <c r="S56" s="47"/>
      <c r="T56" s="47"/>
      <c r="U56" s="47"/>
      <c r="V56" s="47"/>
      <c r="W56" s="184"/>
      <c r="X56" s="48"/>
      <c r="Y56" s="48"/>
      <c r="Z56" s="185"/>
      <c r="AD56" s="190"/>
      <c r="AE56" s="190"/>
      <c r="AF56" s="190"/>
      <c r="AG56" s="190"/>
      <c r="AH56" s="190"/>
    </row>
    <row r="57" spans="2:37" ht="15.75" customHeight="1">
      <c r="C57" s="118" t="str">
        <f t="shared" si="7"/>
        <v>T_P_BICEPET15</v>
      </c>
      <c r="D57" s="119" t="str">
        <f t="shared" si="3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9"/>
        <v>0.08</v>
      </c>
      <c r="K57" s="196">
        <f t="shared" si="10"/>
        <v>0.15835814277570151</v>
      </c>
      <c r="L57" s="121">
        <f>+EECA_data_18!M23</f>
        <v>0</v>
      </c>
      <c r="M57" s="197">
        <f>+EECA_data_18!P23</f>
        <v>18.74419950494234</v>
      </c>
      <c r="N57" s="121"/>
      <c r="O57" s="198">
        <f>+EECA_data_18!N23*EECA_data_18!S23</f>
        <v>5.1205874448997303E-2</v>
      </c>
      <c r="Q57" s="130"/>
      <c r="R57" s="130"/>
      <c r="S57" s="121">
        <v>0</v>
      </c>
      <c r="T57" s="121"/>
      <c r="U57" s="121"/>
      <c r="V57" s="121"/>
      <c r="W57" s="184"/>
      <c r="X57" s="48"/>
      <c r="Y57" s="48"/>
      <c r="Z57" s="185"/>
      <c r="AD57" s="190"/>
      <c r="AE57" s="190"/>
      <c r="AF57" s="199"/>
      <c r="AG57" s="199"/>
      <c r="AH57" s="199"/>
      <c r="AI57" s="200"/>
      <c r="AJ57" s="200"/>
      <c r="AK57" s="200"/>
    </row>
    <row r="58" spans="2:37" ht="15.75" customHeight="1">
      <c r="C58" s="118" t="str">
        <f t="shared" si="7"/>
        <v>T_P_BICEDSL15</v>
      </c>
      <c r="D58" s="119" t="str">
        <f t="shared" si="3"/>
        <v>TRADSL</v>
      </c>
      <c r="E58" s="118" t="str">
        <f t="shared" ref="E58:E59" si="11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9"/>
        <v>0.08</v>
      </c>
      <c r="K58" s="196">
        <f t="shared" si="10"/>
        <v>0.34779177229231606</v>
      </c>
      <c r="L58" s="121">
        <f>+EECA_data_18!M24</f>
        <v>440</v>
      </c>
      <c r="M58" s="197">
        <f>+EECA_data_18!P24</f>
        <v>18.74419950494234</v>
      </c>
      <c r="N58" s="121"/>
      <c r="O58" s="198">
        <f>+EECA_data_18!N24*EECA_data_18!S24</f>
        <v>3.5672398742959035</v>
      </c>
      <c r="Q58" s="130"/>
      <c r="R58" s="130"/>
      <c r="S58" s="121">
        <v>0</v>
      </c>
      <c r="T58" s="121"/>
      <c r="U58" s="121"/>
      <c r="V58" s="121"/>
      <c r="W58" s="184"/>
      <c r="X58" s="48"/>
      <c r="Y58" s="48"/>
      <c r="Z58" s="185"/>
      <c r="AD58" s="190"/>
      <c r="AE58" s="190"/>
      <c r="AF58" s="190"/>
      <c r="AG58" s="190"/>
      <c r="AH58" s="190"/>
    </row>
    <row r="59" spans="2:37" ht="15.75" customHeight="1">
      <c r="C59" s="118" t="str">
        <f t="shared" si="7"/>
        <v>T_P_BBEVELC15</v>
      </c>
      <c r="D59" s="123" t="s">
        <v>358</v>
      </c>
      <c r="E59" s="118" t="str">
        <f t="shared" si="11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9"/>
        <v>0.08</v>
      </c>
      <c r="K59" s="196">
        <f t="shared" si="10"/>
        <v>0.43322550831792977</v>
      </c>
      <c r="L59" s="121">
        <f>+EECA_data_18!M25</f>
        <v>927.40800000000002</v>
      </c>
      <c r="M59" s="197">
        <f>+EECA_data_18!P25</f>
        <v>17.224399545082154</v>
      </c>
      <c r="N59" s="201"/>
      <c r="O59" s="198">
        <f>+EECA_data_18!N25*EECA_data_18!S25</f>
        <v>2.8076141713468082E-2</v>
      </c>
      <c r="Q59" s="130"/>
      <c r="R59" s="130"/>
      <c r="S59" s="121">
        <v>0</v>
      </c>
      <c r="T59" s="121"/>
      <c r="U59" s="121"/>
      <c r="V59" s="121"/>
      <c r="W59" s="184"/>
      <c r="X59" s="48"/>
      <c r="Y59" s="48"/>
      <c r="Z59" s="185"/>
    </row>
    <row r="60" spans="2:37" ht="15.75" customHeight="1">
      <c r="C60" s="161" t="str">
        <f t="shared" si="7"/>
        <v>T_F_MTICEPET15</v>
      </c>
      <c r="D60" s="162" t="str">
        <f t="shared" si="3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4">
        <f>ROUNDUP(EECA_data_18!L18*EECA_data_18!S18,3)</f>
        <v>3.0000000000000001E-3</v>
      </c>
      <c r="I60" s="164">
        <v>-1</v>
      </c>
      <c r="J60" s="163">
        <f t="shared" si="9"/>
        <v>0.08</v>
      </c>
      <c r="K60" s="202">
        <f t="shared" si="10"/>
        <v>4.6859617565256098E-2</v>
      </c>
      <c r="L60" s="164">
        <f>+EECA_data_18!M23</f>
        <v>0</v>
      </c>
      <c r="M60" s="203">
        <f>+EECA_data_18!P18</f>
        <v>3.8</v>
      </c>
      <c r="N60" s="164"/>
      <c r="O60" s="242">
        <f>+EECA_data_18!N18*EECA_data_18!S18</f>
        <v>0.80026261306503377</v>
      </c>
      <c r="Q60" s="165"/>
      <c r="R60" s="165"/>
      <c r="S60" s="164">
        <v>0</v>
      </c>
      <c r="T60" s="164"/>
      <c r="U60" s="164"/>
      <c r="V60" s="164"/>
      <c r="W60" s="184"/>
      <c r="X60" s="48"/>
      <c r="Y60" s="48"/>
      <c r="Z60" s="185"/>
      <c r="AG60" s="200"/>
      <c r="AH60" s="200"/>
      <c r="AI60" s="200"/>
      <c r="AJ60" s="200"/>
      <c r="AK60" s="200"/>
    </row>
    <row r="61" spans="2:37" ht="15.75" customHeight="1">
      <c r="C61" s="161" t="str">
        <f t="shared" si="7"/>
        <v>T_F_MTICEDSL15</v>
      </c>
      <c r="D61" s="162" t="str">
        <f t="shared" si="3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4">
        <f>ROUNDUP(EECA_data_18!L19*EECA_data_18!S19,3)</f>
        <v>0.247</v>
      </c>
      <c r="I61" s="164">
        <v>-1</v>
      </c>
      <c r="J61" s="163">
        <f t="shared" si="9"/>
        <v>0.08</v>
      </c>
      <c r="K61" s="202">
        <f t="shared" si="10"/>
        <v>0.13211631073418578</v>
      </c>
      <c r="L61" s="164">
        <f>+EECA_data_18!M24</f>
        <v>440</v>
      </c>
      <c r="M61" s="203">
        <f>+EECA_data_18!P19</f>
        <v>3.8</v>
      </c>
      <c r="N61" s="164"/>
      <c r="O61" s="242">
        <f>+EECA_data_18!N19*EECA_data_18!S19</f>
        <v>23.369559616389537</v>
      </c>
      <c r="Q61" s="165"/>
      <c r="R61" s="165">
        <v>0</v>
      </c>
      <c r="S61" s="164"/>
      <c r="T61" s="164"/>
      <c r="U61" s="164"/>
      <c r="V61" s="164"/>
      <c r="W61" s="184"/>
      <c r="X61" s="48"/>
      <c r="Y61" s="48"/>
      <c r="Z61" s="185"/>
    </row>
    <row r="62" spans="2:37" ht="15.75" customHeight="1">
      <c r="C62" s="161" t="str">
        <f t="shared" si="7"/>
        <v>T_F_MBEVELC15</v>
      </c>
      <c r="D62" s="123" t="s">
        <v>358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4">
        <f>EECA_data_18!L20*EECA_data_18!S20</f>
        <v>1.2005053298653222E-5</v>
      </c>
      <c r="I62" s="164">
        <v>-1</v>
      </c>
      <c r="J62" s="163">
        <f t="shared" si="9"/>
        <v>0.08</v>
      </c>
      <c r="K62" s="202">
        <f t="shared" si="10"/>
        <v>1.9530658653846154E-2</v>
      </c>
      <c r="L62" s="164">
        <f>+EECA_data_18!M25</f>
        <v>927.40800000000002</v>
      </c>
      <c r="M62" s="203">
        <f>+EECA_data_18!P20</f>
        <v>3.5</v>
      </c>
      <c r="N62" s="164"/>
      <c r="O62" s="242">
        <f>+EECA_data_18!N20*EECA_data_18!S20</f>
        <v>7.6834667428695999E-3</v>
      </c>
      <c r="Q62" s="165"/>
      <c r="R62" s="165">
        <v>0</v>
      </c>
      <c r="S62" s="164"/>
      <c r="T62" s="164"/>
      <c r="U62" s="164"/>
      <c r="V62" s="164"/>
      <c r="W62" s="184"/>
      <c r="X62" s="48"/>
      <c r="Y62" s="48"/>
      <c r="Z62" s="185"/>
    </row>
    <row r="63" spans="2:37" ht="15.75" customHeight="1">
      <c r="C63" s="166" t="str">
        <f t="shared" si="7"/>
        <v>T_F_HTICEDSL15</v>
      </c>
      <c r="D63" s="167" t="str">
        <f t="shared" si="3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9"/>
        <v>0.08</v>
      </c>
      <c r="K63" s="204">
        <f>+ROUNDUP(H63/J63/O63,3)</f>
        <v>0.14599999999999999</v>
      </c>
      <c r="L63" s="169">
        <f>+EECA_data_18!M21</f>
        <v>200</v>
      </c>
      <c r="M63" s="205">
        <f>+EECA_data_18!P21</f>
        <v>16.440000000000001</v>
      </c>
      <c r="N63" s="169"/>
      <c r="O63" s="206">
        <f>+EECA_data_18!N21*EECA_data_18!S21</f>
        <v>17.435559147281015</v>
      </c>
      <c r="Q63" s="170"/>
      <c r="R63" s="170">
        <v>0</v>
      </c>
      <c r="S63" s="169"/>
      <c r="T63" s="169"/>
      <c r="U63" s="169"/>
      <c r="V63" s="169"/>
      <c r="W63" s="184"/>
      <c r="X63" s="48"/>
      <c r="Y63" s="48"/>
      <c r="Z63" s="185"/>
      <c r="AF63" s="200"/>
      <c r="AG63" s="200"/>
      <c r="AH63" s="200"/>
      <c r="AI63" s="200"/>
      <c r="AJ63" s="200"/>
      <c r="AK63" s="200"/>
    </row>
    <row r="64" spans="2:37" ht="15.75" customHeight="1">
      <c r="C64" s="166" t="str">
        <f t="shared" si="7"/>
        <v>T_F_VHTICEDSL15</v>
      </c>
      <c r="D64" s="167" t="str">
        <f t="shared" ref="D64" si="12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9"/>
        <v>0.08</v>
      </c>
      <c r="K64" s="204">
        <f>+ROUNDUP(H64/J64/O64,3)</f>
        <v>1.4589999999999999</v>
      </c>
      <c r="L64" s="169">
        <f>+EECA_data_18!M22</f>
        <v>300</v>
      </c>
      <c r="M64" s="205">
        <f>+EECA_data_18!P22</f>
        <v>20</v>
      </c>
      <c r="N64" s="169"/>
      <c r="O64" s="206">
        <f>+EECA_data_18!N22*EECA_data_18!S22</f>
        <v>3.9008369617645657</v>
      </c>
      <c r="Q64" s="170"/>
      <c r="R64" s="170"/>
      <c r="S64" s="169"/>
      <c r="T64" s="169"/>
      <c r="U64" s="169"/>
      <c r="V64" s="169"/>
      <c r="W64" s="184"/>
      <c r="X64" s="48"/>
      <c r="Y64" s="48"/>
      <c r="Z64" s="185"/>
      <c r="AF64" s="200"/>
      <c r="AG64" s="200"/>
      <c r="AH64" s="200"/>
      <c r="AI64" s="200"/>
      <c r="AJ64" s="200"/>
      <c r="AK64" s="200"/>
    </row>
    <row r="65" spans="2:52" ht="15.75" customHeight="1">
      <c r="C65" s="24" t="str">
        <f t="shared" si="7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07"/>
      <c r="L65" s="22"/>
      <c r="M65" s="22"/>
      <c r="N65" s="22"/>
      <c r="O65" s="133"/>
      <c r="P65" s="47"/>
      <c r="Q65" s="47"/>
      <c r="R65" s="47"/>
      <c r="S65" s="47"/>
      <c r="T65" s="207"/>
      <c r="U65" s="47"/>
      <c r="V65" s="47"/>
      <c r="X65" s="48"/>
      <c r="Y65" s="48"/>
      <c r="Z65" s="185"/>
    </row>
    <row r="66" spans="2:52" ht="15.75" customHeight="1">
      <c r="C66" s="24" t="str">
        <f t="shared" si="7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07"/>
      <c r="L66" s="22"/>
      <c r="M66" s="22"/>
      <c r="N66" s="22"/>
      <c r="O66" s="133"/>
      <c r="P66" s="47"/>
      <c r="Q66" s="47"/>
      <c r="R66" s="47"/>
      <c r="S66" s="47"/>
      <c r="T66" s="47"/>
      <c r="U66" s="47"/>
      <c r="V66" s="47"/>
      <c r="X66" s="48"/>
      <c r="Y66" s="48"/>
      <c r="Z66" s="185"/>
      <c r="AR66" s="200"/>
      <c r="AS66" s="200"/>
      <c r="AT66" s="200"/>
      <c r="AU66" s="48"/>
      <c r="AV66" s="48"/>
      <c r="AW66" s="48"/>
      <c r="AX66" s="48"/>
      <c r="AZ66" s="48"/>
    </row>
    <row r="67" spans="2:52" ht="15.75" customHeight="1">
      <c r="C67" s="24" t="str">
        <f t="shared" si="7"/>
        <v>T_O_FuelJet</v>
      </c>
      <c r="D67" s="23" t="str">
        <f t="shared" ref="D67" si="13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07"/>
      <c r="L67" s="22"/>
      <c r="M67" s="22"/>
      <c r="N67" s="22"/>
      <c r="O67" s="133"/>
      <c r="P67" s="47"/>
      <c r="Q67" s="47"/>
      <c r="R67" s="47"/>
      <c r="S67" s="47"/>
      <c r="T67" s="47"/>
      <c r="U67" s="47"/>
      <c r="V67" s="47"/>
      <c r="X67" s="48"/>
      <c r="Y67" s="48"/>
      <c r="Z67" s="185"/>
      <c r="AU67" s="48"/>
      <c r="AV67" s="48"/>
      <c r="AW67" s="48"/>
      <c r="AX67" s="48"/>
      <c r="AZ67" s="48"/>
    </row>
    <row r="68" spans="2:52" ht="15.75" customHeight="1">
      <c r="C68" s="24" t="str">
        <f t="shared" si="7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07"/>
      <c r="L68" s="22"/>
      <c r="M68" s="22"/>
      <c r="N68" s="22"/>
      <c r="O68" s="133"/>
      <c r="P68" s="47"/>
      <c r="Q68" s="47"/>
      <c r="R68" s="47"/>
      <c r="S68" s="47"/>
      <c r="T68" s="47"/>
      <c r="U68" s="47"/>
      <c r="V68" s="47"/>
      <c r="X68" s="48"/>
      <c r="Y68" s="48"/>
      <c r="Z68" s="185"/>
      <c r="AR68" s="200"/>
      <c r="AS68" s="200"/>
      <c r="AT68" s="200"/>
      <c r="AZ68" s="48"/>
    </row>
    <row r="69" spans="2:52" ht="15.75" customHeight="1">
      <c r="C69" s="24" t="str">
        <f t="shared" si="7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07"/>
      <c r="L69" s="22"/>
      <c r="M69" s="22"/>
      <c r="N69" s="22"/>
      <c r="O69" s="133"/>
      <c r="P69" s="47"/>
      <c r="Q69" s="47"/>
      <c r="R69" s="47"/>
      <c r="S69" s="47"/>
      <c r="T69" s="47"/>
      <c r="U69" s="47"/>
      <c r="V69" s="47"/>
      <c r="X69" s="48"/>
      <c r="Y69" s="48"/>
      <c r="Z69" s="185"/>
    </row>
    <row r="70" spans="2:52" ht="15.75" customHeight="1">
      <c r="C70" s="24" t="str">
        <f t="shared" si="7"/>
        <v>T_P_Rail15</v>
      </c>
      <c r="D70" s="24" t="str">
        <f>+D59</f>
        <v>elc_roadtransport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V70" s="47"/>
      <c r="X70" s="48"/>
      <c r="Y70" s="48"/>
      <c r="Z70" s="185"/>
      <c r="AG70" s="200"/>
      <c r="AH70" s="200"/>
      <c r="AI70" s="200"/>
      <c r="AJ70" s="200"/>
      <c r="AK70" s="200"/>
    </row>
    <row r="71" spans="2:52" ht="15.75" customHeight="1"/>
    <row r="72" spans="2:52" ht="15.75" customHeight="1"/>
    <row r="73" spans="2:52" ht="15.75" customHeight="1">
      <c r="AM73" s="200"/>
      <c r="AN73" s="200"/>
      <c r="AP73" s="200"/>
      <c r="AQ73" s="200"/>
    </row>
    <row r="74" spans="2:52" ht="15.75" customHeight="1">
      <c r="C74" s="37" t="s">
        <v>153</v>
      </c>
      <c r="D74" s="38"/>
      <c r="T74" s="48"/>
    </row>
    <row r="75" spans="2:52" ht="15.75" customHeight="1">
      <c r="C75" s="39" t="s">
        <v>0</v>
      </c>
      <c r="D75" s="40">
        <v>2018</v>
      </c>
    </row>
    <row r="76" spans="2:52" ht="15.75" customHeight="1">
      <c r="B76" s="2" t="s">
        <v>85</v>
      </c>
      <c r="C76" s="38" t="str">
        <f t="shared" ref="C76:C81" si="14">+E8</f>
        <v>T_P_Car</v>
      </c>
      <c r="D76" s="46">
        <f t="shared" ref="D76:D88" si="15">+SUMIF($E$42:$E$70,C76,$H$42:$H$70)</f>
        <v>9.3206390888875568</v>
      </c>
      <c r="AA76" s="200"/>
      <c r="AB76" s="200"/>
      <c r="AD76" s="200"/>
      <c r="AE76" s="200"/>
    </row>
    <row r="77" spans="2:52" ht="15.75" customHeight="1">
      <c r="B77" s="2" t="s">
        <v>179</v>
      </c>
      <c r="C77" s="38" t="str">
        <f t="shared" si="14"/>
        <v>T_C_Car</v>
      </c>
      <c r="D77" s="46">
        <f t="shared" si="15"/>
        <v>2.6490182351650708</v>
      </c>
    </row>
    <row r="78" spans="2:52" ht="15.75" customHeight="1">
      <c r="B78" s="2" t="s">
        <v>90</v>
      </c>
      <c r="C78" s="38" t="str">
        <f t="shared" si="14"/>
        <v>T_P_Mcy</v>
      </c>
      <c r="D78" s="46">
        <f t="shared" si="15"/>
        <v>0.11566618930402839</v>
      </c>
    </row>
    <row r="79" spans="2:52" ht="15.75" customHeight="1">
      <c r="B79" s="2" t="s">
        <v>89</v>
      </c>
      <c r="C79" s="38" t="str">
        <f t="shared" si="14"/>
        <v>T_P_Bus</v>
      </c>
      <c r="D79" s="46">
        <f t="shared" si="15"/>
        <v>0.10087430768124507</v>
      </c>
      <c r="H79" s="243"/>
    </row>
    <row r="80" spans="2:52" ht="15.75" customHeight="1">
      <c r="B80" s="2" t="s">
        <v>251</v>
      </c>
      <c r="C80" s="38" t="str">
        <f t="shared" si="14"/>
        <v>T_F_MTrk</v>
      </c>
      <c r="D80" s="46">
        <f t="shared" si="15"/>
        <v>0.25001200505329868</v>
      </c>
      <c r="H80" s="243"/>
    </row>
    <row r="81" spans="2:31" ht="15.75" customHeight="1">
      <c r="B81" s="2" t="s">
        <v>252</v>
      </c>
      <c r="C81" s="38" t="str">
        <f t="shared" si="14"/>
        <v>T_F_HTrk</v>
      </c>
      <c r="D81" s="46">
        <f t="shared" si="15"/>
        <v>0.20300000000000001</v>
      </c>
      <c r="H81" s="243"/>
    </row>
    <row r="82" spans="2:31" ht="15.75" customHeight="1">
      <c r="B82" s="2" t="s">
        <v>320</v>
      </c>
      <c r="C82" s="38" t="s">
        <v>320</v>
      </c>
      <c r="D82" s="46">
        <f t="shared" si="15"/>
        <v>0.45500000000000002</v>
      </c>
    </row>
    <row r="83" spans="2:31" ht="15.75" customHeight="1">
      <c r="B83" s="2" t="s">
        <v>266</v>
      </c>
      <c r="C83" s="38" t="str">
        <f>+E17</f>
        <v>T_F_DSHIP</v>
      </c>
      <c r="D83" s="46">
        <f t="shared" si="15"/>
        <v>2.4027775754842988</v>
      </c>
    </row>
    <row r="84" spans="2:31" ht="15.75" customHeight="1">
      <c r="B84" s="2" t="s">
        <v>267</v>
      </c>
      <c r="C84" s="38" t="str">
        <f>+E18</f>
        <v>T_F_ISHIP</v>
      </c>
      <c r="D84" s="46">
        <f t="shared" si="15"/>
        <v>2.8963923568300607</v>
      </c>
      <c r="S84" s="200"/>
    </row>
    <row r="85" spans="2:31" ht="15.75" customHeight="1">
      <c r="B85" s="2" t="s">
        <v>101</v>
      </c>
      <c r="C85" s="38" t="str">
        <f>+E19</f>
        <v>T_O_JET</v>
      </c>
      <c r="D85" s="46">
        <f t="shared" si="15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5"/>
        <v>11.429025798843908</v>
      </c>
      <c r="S86" s="200"/>
    </row>
    <row r="87" spans="2:31" ht="15.75" customHeight="1">
      <c r="B87" s="2" t="s">
        <v>185</v>
      </c>
      <c r="C87" s="38" t="str">
        <f>+E69</f>
        <v>T_F_Rail</v>
      </c>
      <c r="D87" s="46">
        <f t="shared" si="15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5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0"/>
    </row>
    <row r="90" spans="2:31" ht="15.75" customHeight="1">
      <c r="C90" s="38"/>
      <c r="D90" s="46"/>
    </row>
    <row r="91" spans="2:31" ht="15.75" customHeight="1">
      <c r="AE91" s="200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301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2025-12-02T20:27:05Z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