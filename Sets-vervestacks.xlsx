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D317B803-F8B8-4CD7-BB8E-98CBBF2C7720}" xr6:coauthVersionLast="47" xr6:coauthVersionMax="47" xr10:uidLastSave="{00000000-0000-0000-0000-000000000000}"/>
  <bookViews>
    <workbookView xWindow="28702" yWindow="-98" windowWidth="28995" windowHeight="15675" activeTab="3" xr2:uid="{00000000-000D-0000-FFFF-FFFF00000000}"/>
  </bookViews>
  <sheets>
    <sheet name="VEDA_Sets-Comm" sheetId="2" r:id="rId1"/>
    <sheet name="geo_sets" sheetId="3" r:id="rId2"/>
    <sheet name="VEDA_Sets-Proc" sheetId="1" r:id="rId3"/>
    <sheet name="SetsEditor- Proc" sheetId="4" r:id="rId4"/>
    <sheet name="SetsEditor- Comm" sheetId="5" r:id="rId5"/>
  </sheets>
  <definedNames>
    <definedName name="_xlnm._FilterDatabase" localSheetId="3" hidden="1">'SetsEditor- Proc'!$D$2:$F$75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5" l="1"/>
  <c r="B44" i="5"/>
  <c r="A44" i="5"/>
  <c r="D43" i="5"/>
  <c r="B43" i="5"/>
  <c r="A43" i="5"/>
  <c r="D42" i="5"/>
  <c r="B42" i="5"/>
  <c r="A42" i="5"/>
  <c r="D41" i="5"/>
  <c r="B41" i="5"/>
  <c r="A41" i="5"/>
  <c r="D40" i="5"/>
  <c r="B40" i="5"/>
  <c r="A40" i="5"/>
  <c r="D39" i="5"/>
  <c r="B39" i="5"/>
  <c r="A39" i="5"/>
  <c r="D38" i="5"/>
  <c r="B38" i="5"/>
  <c r="A38" i="5"/>
  <c r="D37" i="5"/>
  <c r="B37" i="5"/>
  <c r="A37" i="5"/>
  <c r="D36" i="5"/>
  <c r="B36" i="5"/>
  <c r="A36" i="5"/>
  <c r="D35" i="5"/>
  <c r="B35" i="5"/>
  <c r="A35" i="5"/>
  <c r="D34" i="5"/>
  <c r="B34" i="5"/>
  <c r="A34" i="5"/>
  <c r="D33" i="5"/>
  <c r="B33" i="5"/>
  <c r="A33" i="5"/>
  <c r="D32" i="5"/>
  <c r="B32" i="5"/>
  <c r="A32" i="5"/>
  <c r="D31" i="5"/>
  <c r="B31" i="5"/>
  <c r="A31" i="5"/>
  <c r="D30" i="5"/>
  <c r="B30" i="5"/>
  <c r="A30" i="5"/>
  <c r="D29" i="5"/>
  <c r="B29" i="5"/>
  <c r="A29" i="5"/>
  <c r="D28" i="5"/>
  <c r="B28" i="5"/>
  <c r="A28" i="5"/>
  <c r="D27" i="5"/>
  <c r="B27" i="5"/>
  <c r="A27" i="5"/>
  <c r="D26" i="5"/>
  <c r="B26" i="5"/>
  <c r="A26" i="5"/>
  <c r="D25" i="5"/>
  <c r="B25" i="5"/>
  <c r="A25" i="5"/>
  <c r="D24" i="5"/>
  <c r="B24" i="5"/>
  <c r="A24" i="5"/>
  <c r="D23" i="5"/>
  <c r="B23" i="5"/>
  <c r="A23" i="5"/>
  <c r="D22" i="5"/>
  <c r="B22" i="5"/>
  <c r="A22" i="5"/>
  <c r="D21" i="5"/>
  <c r="B21" i="5"/>
  <c r="A21" i="5"/>
  <c r="D20" i="5"/>
  <c r="B20" i="5"/>
  <c r="A20" i="5"/>
  <c r="D19" i="5"/>
  <c r="B19" i="5"/>
  <c r="A19" i="5"/>
  <c r="D18" i="5"/>
  <c r="B18" i="5"/>
  <c r="A18" i="5"/>
  <c r="D17" i="5"/>
  <c r="B17" i="5"/>
  <c r="A17" i="5"/>
  <c r="D16" i="5"/>
  <c r="B16" i="5"/>
  <c r="A16" i="5"/>
  <c r="D15" i="5"/>
  <c r="B15" i="5"/>
  <c r="A15" i="5"/>
  <c r="D14" i="5"/>
  <c r="B14" i="5"/>
  <c r="A14" i="5"/>
  <c r="D13" i="5"/>
  <c r="B13" i="5"/>
  <c r="A13" i="5"/>
  <c r="D12" i="5"/>
  <c r="B12" i="5"/>
  <c r="A12" i="5"/>
  <c r="D11" i="5"/>
  <c r="B11" i="5"/>
  <c r="A11" i="5"/>
  <c r="D10" i="5"/>
  <c r="B10" i="5"/>
  <c r="A10" i="5"/>
  <c r="D9" i="5"/>
  <c r="B9" i="5"/>
  <c r="A9" i="5"/>
  <c r="D8" i="5"/>
  <c r="B8" i="5"/>
  <c r="A8" i="5"/>
  <c r="D7" i="5"/>
  <c r="B7" i="5"/>
  <c r="A7" i="5"/>
  <c r="D6" i="5"/>
  <c r="B6" i="5"/>
  <c r="A6" i="5"/>
  <c r="D5" i="5"/>
  <c r="B5" i="5"/>
  <c r="A5" i="5"/>
  <c r="D4" i="5"/>
  <c r="B4" i="5"/>
  <c r="A4" i="5"/>
  <c r="D3" i="5"/>
  <c r="B3" i="5"/>
  <c r="A3" i="5"/>
  <c r="E75" i="4"/>
  <c r="E74" i="4"/>
  <c r="E73" i="4"/>
  <c r="E71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4" i="4"/>
  <c r="E53" i="4"/>
  <c r="E52" i="4"/>
  <c r="E51" i="4"/>
  <c r="E47" i="4"/>
  <c r="E32" i="4"/>
  <c r="E29" i="4"/>
  <c r="E27" i="4"/>
  <c r="E24" i="4"/>
  <c r="E16" i="4"/>
  <c r="E15" i="4"/>
  <c r="E14" i="4"/>
  <c r="E13" i="4"/>
  <c r="E12" i="4"/>
  <c r="E9" i="4"/>
  <c r="E8" i="4"/>
  <c r="E7" i="4"/>
  <c r="E6" i="4"/>
  <c r="E5" i="4"/>
  <c r="E4" i="4"/>
  <c r="E3" i="4"/>
  <c r="F46" i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<sst xmlns="http://schemas.openxmlformats.org/spreadsheetml/2006/main" count="1280" uniqueCount="748">
  <si>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</si>
  <si>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</si>
  <si>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</si>
  <si>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</si>
  <si>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</si>
  <si>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</si>
  <si>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</si>
  <si>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</si>
  <si>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</si>
  <si>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</si>
  <si>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</si>
  <si>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</si>
  <si>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</si>
  <si>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</si>
  <si>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</si>
  <si>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</si>
  <si>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</si>
  <si>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</si>
  <si>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</si>
  <si>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</si>
  <si>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</si>
  <si>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</si>
  <si>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</si>
  <si>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</si>
  <si>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</si>
  <si>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</si>
  <si>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</si>
  <si>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</si>
  <si>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</si>
  <si>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</si>
  <si>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</si>
  <si>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</si>
  <si>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</si>
  <si>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</si>
  <si>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</si>
  <si>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</si>
  <si>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</si>
  <si>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</si>
  <si>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</si>
  <si>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</si>
  <si>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</si>
  <si>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</si>
  <si>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</si>
  <si>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</si>
  <si>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</si>
  <si>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</si>
  <si>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</si>
  <si>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</si>
  <si>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</si>
  <si>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</si>
  <si>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</si>
  <si>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</si>
  <si>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</si>
  <si>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</si>
  <si>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</si>
  <si>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</si>
  <si>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</si>
  <si>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</si>
  <si>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</si>
  <si>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</si>
  <si>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</si>
  <si>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</si>
  <si>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</si>
  <si>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</si>
  <si>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</si>
  <si>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</si>
  <si>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</si>
  <si>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</si>
  <si>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</si>
  <si>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</si>
  <si>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</si>
  <si>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</si>
  <si>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</si>
  <si>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</si>
  <si>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</si>
  <si>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</si>
  <si>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</si>
  <si>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</si>
  <si>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</si>
  <si>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</si>
  <si>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</si>
  <si>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</si>
  <si>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</si>
  <si>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</si>
  <si>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</si>
  <si>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</si>
  <si>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</si>
  <si>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</si>
  <si>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</si>
  <si>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</si>
  <si>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</si>
  <si>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</si>
  <si>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</si>
  <si>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</si>
  <si>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</si>
  <si>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</si>
  <si>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</si>
  <si>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</si>
  <si>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</si>
  <si>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</si>
  <si>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</si>
  <si>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</si>
  <si>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</si>
  <si>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p_w26671244</t>
  </si>
  <si>
    <t>e_w26671244*</t>
  </si>
  <si>
    <t>OR</t>
  </si>
  <si>
    <t>p_w33795353</t>
  </si>
  <si>
    <t>e_w33795353*</t>
  </si>
  <si>
    <t>p_w61455399</t>
  </si>
  <si>
    <t>e_w61455399*</t>
  </si>
  <si>
    <t>p_w61853727</t>
  </si>
  <si>
    <t>e_w61853727*</t>
  </si>
  <si>
    <t>p_w75609279</t>
  </si>
  <si>
    <t>e_w75609279*</t>
  </si>
  <si>
    <t>p_w82881422</t>
  </si>
  <si>
    <t>e_w82881422*</t>
  </si>
  <si>
    <t>p_w87837416</t>
  </si>
  <si>
    <t>e_w87837416*</t>
  </si>
  <si>
    <t>p_w87897292</t>
  </si>
  <si>
    <t>e_w87897292*</t>
  </si>
  <si>
    <t>p_w87928925</t>
  </si>
  <si>
    <t>e_w87928925*</t>
  </si>
  <si>
    <t>p_w89411122</t>
  </si>
  <si>
    <t>e_w89411122*</t>
  </si>
  <si>
    <t>p_w89635947</t>
  </si>
  <si>
    <t>e_w89635947*</t>
  </si>
  <si>
    <t>p_w89636266</t>
  </si>
  <si>
    <t>e_w89636266*</t>
  </si>
  <si>
    <t>p_w89636510</t>
  </si>
  <si>
    <t>e_w89636510*</t>
  </si>
  <si>
    <t>p_w89637173</t>
  </si>
  <si>
    <t>e_w89637173*</t>
  </si>
  <si>
    <t>p_w89637174</t>
  </si>
  <si>
    <t>e_w89637174*</t>
  </si>
  <si>
    <t>p_w89637277</t>
  </si>
  <si>
    <t>e_w89637277*</t>
  </si>
  <si>
    <t>p_w270521928</t>
  </si>
  <si>
    <t>e_w270521928*</t>
  </si>
  <si>
    <t>p_w89664063</t>
  </si>
  <si>
    <t>e_w89664063*</t>
  </si>
  <si>
    <t>p_w89943957</t>
  </si>
  <si>
    <t>e_w89943957*</t>
  </si>
  <si>
    <t>p_w90092620</t>
  </si>
  <si>
    <t>e_w90092620*</t>
  </si>
  <si>
    <t>p_w90098853</t>
  </si>
  <si>
    <t>e_w90098853*</t>
  </si>
  <si>
    <t>p_w93419960</t>
  </si>
  <si>
    <t>e_w93419960*</t>
  </si>
  <si>
    <t>p_w93556808</t>
  </si>
  <si>
    <t>e_w93556808*</t>
  </si>
  <si>
    <t>p_w93713118</t>
  </si>
  <si>
    <t>e_w93713118*</t>
  </si>
  <si>
    <t>p_w93827784</t>
  </si>
  <si>
    <t>e_w93827784*</t>
  </si>
  <si>
    <t>p_w94053861</t>
  </si>
  <si>
    <t>e_w94053861*</t>
  </si>
  <si>
    <t>p_w94840399</t>
  </si>
  <si>
    <t>e_w94840399*</t>
  </si>
  <si>
    <t>p_w95046918</t>
  </si>
  <si>
    <t>e_w95046918*</t>
  </si>
  <si>
    <t>p_w95048289</t>
  </si>
  <si>
    <t>e_w95048289*</t>
  </si>
  <si>
    <t>p_w95343089</t>
  </si>
  <si>
    <t>e_w95343089*</t>
  </si>
  <si>
    <t>p_w95344674</t>
  </si>
  <si>
    <t>e_w95344674*</t>
  </si>
  <si>
    <t>p_w95512216</t>
  </si>
  <si>
    <t>e_w95512216*</t>
  </si>
  <si>
    <t>p_w100957314</t>
  </si>
  <si>
    <t>e_w100957314*</t>
  </si>
  <si>
    <t>p_w119877500</t>
  </si>
  <si>
    <t>e_w119877500*</t>
  </si>
  <si>
    <t>p_w148300699</t>
  </si>
  <si>
    <t>e_w148300699*</t>
  </si>
  <si>
    <t>p_w156094589</t>
  </si>
  <si>
    <t>e_w156094589*</t>
  </si>
  <si>
    <t>p_w161270797</t>
  </si>
  <si>
    <t>e_w161270797*</t>
  </si>
  <si>
    <t>p_w167177413</t>
  </si>
  <si>
    <t>e_w167177413*</t>
  </si>
  <si>
    <t>p_w167283894</t>
  </si>
  <si>
    <t>e_w167283894*</t>
  </si>
  <si>
    <t>p_w167285260</t>
  </si>
  <si>
    <t>e_w167285260*</t>
  </si>
  <si>
    <t>p_w167285336</t>
  </si>
  <si>
    <t>e_w167285336*</t>
  </si>
  <si>
    <t>p_w167286837</t>
  </si>
  <si>
    <t>e_w167286837*</t>
  </si>
  <si>
    <t>p_w167293888</t>
  </si>
  <si>
    <t>e_w167293888*</t>
  </si>
  <si>
    <t>p_w167300914</t>
  </si>
  <si>
    <t>e_w167300914*</t>
  </si>
  <si>
    <t>p_w167427251</t>
  </si>
  <si>
    <t>e_w167427251*</t>
  </si>
  <si>
    <t>p_w167572576</t>
  </si>
  <si>
    <t>e_w167572576*</t>
  </si>
  <si>
    <t>p_w167705537</t>
  </si>
  <si>
    <t>e_w167705537*</t>
  </si>
  <si>
    <t>p_w169512273</t>
  </si>
  <si>
    <t>e_w169512273*</t>
  </si>
  <si>
    <t>p_w170300247</t>
  </si>
  <si>
    <t>e_w170300247*</t>
  </si>
  <si>
    <t>p_w180514007</t>
  </si>
  <si>
    <t>e_w180514007*</t>
  </si>
  <si>
    <t>p_w180519027</t>
  </si>
  <si>
    <t>e_w180519027*</t>
  </si>
  <si>
    <t>p_w187858674</t>
  </si>
  <si>
    <t>e_w187858674*</t>
  </si>
  <si>
    <t>p_w188180344</t>
  </si>
  <si>
    <t>e_w188180344*</t>
  </si>
  <si>
    <t>p_w191346761</t>
  </si>
  <si>
    <t>e_w191346761*</t>
  </si>
  <si>
    <t>p_w232382576</t>
  </si>
  <si>
    <t>e_w232382576*</t>
  </si>
  <si>
    <t>p_w235066414</t>
  </si>
  <si>
    <t>e_w235066414*</t>
  </si>
  <si>
    <t>p_w255873374</t>
  </si>
  <si>
    <t>e_w255873374*</t>
  </si>
  <si>
    <t>p_w268826084</t>
  </si>
  <si>
    <t>e_w268826084*</t>
  </si>
  <si>
    <t>p_w268841395</t>
  </si>
  <si>
    <t>e_w268841395*</t>
  </si>
  <si>
    <t>p_w270012796</t>
  </si>
  <si>
    <t>e_w270012796*</t>
  </si>
  <si>
    <t>p_w270018358</t>
  </si>
  <si>
    <t>e_w270018358*</t>
  </si>
  <si>
    <t>p_w270022030</t>
  </si>
  <si>
    <t>e_w270022030*</t>
  </si>
  <si>
    <t>p_w270554679</t>
  </si>
  <si>
    <t>e_w270554679*</t>
  </si>
  <si>
    <t>p_w270556206</t>
  </si>
  <si>
    <t>e_w270556206*</t>
  </si>
  <si>
    <t>p_w272195826</t>
  </si>
  <si>
    <t>e_w272195826*</t>
  </si>
  <si>
    <t>p_w272522517</t>
  </si>
  <si>
    <t>e_w272522517*</t>
  </si>
  <si>
    <t>p_w275188676</t>
  </si>
  <si>
    <t>e_w275188676*</t>
  </si>
  <si>
    <t>p_w341099346</t>
  </si>
  <si>
    <t>e_w341099346*</t>
  </si>
  <si>
    <t>p_w359449581</t>
  </si>
  <si>
    <t>e_w359449581*</t>
  </si>
  <si>
    <t>p_w409049317</t>
  </si>
  <si>
    <t>e_w409049317*</t>
  </si>
  <si>
    <t>p_w412588974</t>
  </si>
  <si>
    <t>e_w412588974*</t>
  </si>
  <si>
    <t>p_w412589726</t>
  </si>
  <si>
    <t>e_w412589726*</t>
  </si>
  <si>
    <t>p_w414953388</t>
  </si>
  <si>
    <t>e_w414953388*</t>
  </si>
  <si>
    <t>p_w627162826</t>
  </si>
  <si>
    <t>e_w627162826*</t>
  </si>
  <si>
    <t>p_w849110529</t>
  </si>
  <si>
    <t>e_w849110529*</t>
  </si>
  <si>
    <t>p_w907631032</t>
  </si>
  <si>
    <t>e_w907631032*</t>
  </si>
  <si>
    <t>p_w1018655038</t>
  </si>
  <si>
    <t>e_w1018655038*</t>
  </si>
  <si>
    <t>p_w1026587442</t>
  </si>
  <si>
    <t>e_w1026587442*</t>
  </si>
  <si>
    <t>p_w1034927052</t>
  </si>
  <si>
    <t>e_w1034927052*</t>
  </si>
  <si>
    <t>p_w1099619174</t>
  </si>
  <si>
    <t>e_w1099619174*</t>
  </si>
  <si>
    <t>p_w1167708390</t>
  </si>
  <si>
    <t>e_w1167708390*</t>
  </si>
  <si>
    <t>p_w1363994055</t>
  </si>
  <si>
    <t>e_w1363994055*</t>
  </si>
  <si>
    <t>p_r17609399</t>
  </si>
  <si>
    <t>e_r17609399*</t>
  </si>
  <si>
    <t>p_NZ26</t>
  </si>
  <si>
    <t>e_NZ26*</t>
  </si>
  <si>
    <t>p_NZ28</t>
  </si>
  <si>
    <t>e_NZ28*</t>
  </si>
  <si>
    <t>p_NZ4</t>
  </si>
  <si>
    <t>e_NZ4*</t>
  </si>
  <si>
    <t>p_NZ20</t>
  </si>
  <si>
    <t>e_NZ20*</t>
  </si>
  <si>
    <t>p_NZ19</t>
  </si>
  <si>
    <t>e_NZ19*</t>
  </si>
  <si>
    <t>p_NZ37</t>
  </si>
  <si>
    <t>e_NZ37*</t>
  </si>
  <si>
    <t>p_NZ36</t>
  </si>
  <si>
    <t>e_NZ36*</t>
  </si>
  <si>
    <t>p_NZ34</t>
  </si>
  <si>
    <t>e_NZ34*</t>
  </si>
  <si>
    <t>p_NZ39</t>
  </si>
  <si>
    <t>e_NZ39*</t>
  </si>
  <si>
    <t>p_NZ29</t>
  </si>
  <si>
    <t>e_NZ29*</t>
  </si>
  <si>
    <t>p_NZ42</t>
  </si>
  <si>
    <t>e_NZ42*</t>
  </si>
  <si>
    <t>p_NZ41</t>
  </si>
  <si>
    <t>e_NZ41*</t>
  </si>
  <si>
    <t>p_NZ43</t>
  </si>
  <si>
    <t>e_NZ43*</t>
  </si>
  <si>
    <t>p_NZ10</t>
  </si>
  <si>
    <t>e_NZ10*</t>
  </si>
  <si>
    <t>p_NZ21</t>
  </si>
  <si>
    <t>e_NZ21*</t>
  </si>
  <si>
    <t>p_NZ16</t>
  </si>
  <si>
    <t>e_NZ16*</t>
  </si>
  <si>
    <t>p_NZ32</t>
  </si>
  <si>
    <t>e_NZ32*</t>
  </si>
  <si>
    <t>p_NZ7</t>
  </si>
  <si>
    <t>e_NZ7*</t>
  </si>
  <si>
    <t>p_NZ25</t>
  </si>
  <si>
    <t>e_NZ25*</t>
  </si>
  <si>
    <t>p_NZ24</t>
  </si>
  <si>
    <t>e_NZ24*</t>
  </si>
  <si>
    <t>p_NZ40</t>
  </si>
  <si>
    <t>e_NZ40*</t>
  </si>
  <si>
    <t>p_NZ9</t>
  </si>
  <si>
    <t>e_NZ9*</t>
  </si>
  <si>
    <t>p_NZ11</t>
  </si>
  <si>
    <t>e_NZ11*</t>
  </si>
  <si>
    <t>p_NZ12</t>
  </si>
  <si>
    <t>e_NZ12*</t>
  </si>
  <si>
    <t>p_NZ27</t>
  </si>
  <si>
    <t>e_NZ27*</t>
  </si>
  <si>
    <t>p_NZ5</t>
  </si>
  <si>
    <t>e_NZ5*</t>
  </si>
  <si>
    <t>p_NZ2</t>
  </si>
  <si>
    <t>e_NZ2*</t>
  </si>
  <si>
    <t>p_NZ3</t>
  </si>
  <si>
    <t>e_NZ3*</t>
  </si>
  <si>
    <t>p_NZ18</t>
  </si>
  <si>
    <t>e_NZ18*</t>
  </si>
  <si>
    <t>p_NZ6</t>
  </si>
  <si>
    <t>e_NZ6*</t>
  </si>
  <si>
    <t>p_NZ30</t>
  </si>
  <si>
    <t>e_NZ30*</t>
  </si>
  <si>
    <t>p_NZ1</t>
  </si>
  <si>
    <t>e_NZ1*</t>
  </si>
  <si>
    <t>p_NZ17</t>
  </si>
  <si>
    <t>e_NZ17*</t>
  </si>
  <si>
    <t>p_NZ22</t>
  </si>
  <si>
    <t>e_NZ22*</t>
  </si>
  <si>
    <t>p_NZ31</t>
  </si>
  <si>
    <t>e_NZ31*</t>
  </si>
  <si>
    <t>p_NZ13</t>
  </si>
  <si>
    <t>e_NZ13*</t>
  </si>
  <si>
    <t>p_NZ14</t>
  </si>
  <si>
    <t>e_NZ14*</t>
  </si>
  <si>
    <t>p_NZ23</t>
  </si>
  <si>
    <t>e_NZ23*</t>
  </si>
  <si>
    <t>p_NZ38</t>
  </si>
  <si>
    <t>e_NZ38*</t>
  </si>
  <si>
    <t>p_NZ8</t>
  </si>
  <si>
    <t>e_NZ8*</t>
  </si>
  <si>
    <t>p_NZ35</t>
  </si>
  <si>
    <t>e_NZ35*</t>
  </si>
  <si>
    <t>p_NZ33</t>
  </si>
  <si>
    <t>e_NZ33*</t>
  </si>
  <si>
    <t>p_NZ15</t>
  </si>
  <si>
    <t>e_NZ15*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</si>
  <si>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</si>
  <si>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</si>
  <si>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</si>
  <si>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</si>
  <si>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</si>
  <si>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</si>
  <si>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</si>
  <si>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</si>
  <si>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</si>
  <si>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</si>
  <si>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</si>
  <si>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</si>
  <si>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</si>
  <si>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</si>
  <si>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</si>
  <si>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</si>
  <si>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</si>
  <si>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</si>
  <si>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</si>
  <si>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</si>
  <si>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</si>
  <si>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</si>
  <si>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</si>
  <si>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</si>
  <si>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</si>
  <si>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</si>
  <si>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</si>
  <si>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</si>
  <si>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</si>
  <si>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</si>
  <si>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</si>
  <si>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</si>
  <si>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</si>
  <si>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</si>
  <si>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</si>
  <si>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</si>
  <si>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</si>
  <si>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</si>
  <si>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</si>
  <si>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</si>
  <si>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</si>
  <si>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</si>
  <si>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</si>
  <si>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</si>
  <si>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</si>
  <si>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</si>
  <si>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</si>
  <si>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</si>
  <si>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</si>
  <si>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</si>
  <si>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</si>
  <si>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</si>
  <si>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</si>
  <si>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</si>
  <si>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</si>
  <si>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</si>
  <si>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</si>
  <si>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</si>
  <si>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</si>
  <si>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</si>
  <si>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</si>
  <si>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</si>
  <si>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</si>
  <si>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</si>
  <si>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</si>
  <si>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</si>
  <si>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</si>
  <si>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</si>
  <si>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</si>
  <si>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</si>
  <si>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</si>
  <si>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</si>
  <si>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</si>
  <si>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</si>
  <si>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</si>
  <si>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</si>
  <si>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</si>
  <si>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</si>
  <si>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</si>
  <si>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</si>
  <si>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</si>
  <si>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</si>
  <si>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</si>
  <si>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</si>
  <si>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</si>
  <si>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</si>
  <si>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</si>
  <si>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</si>
  <si>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</si>
  <si>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</si>
  <si>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</si>
  <si>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</si>
  <si>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</si>
  <si>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</si>
  <si>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</si>
  <si>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</si>
  <si>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</si>
  <si>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</si>
  <si>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</si>
  <si>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</si>
  <si>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</si>
  <si>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</si>
  <si>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</si>
  <si>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</si>
  <si>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</si>
  <si>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</si>
  <si>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</si>
  <si>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</si>
  <si>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</si>
  <si>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</si>
  <si>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</si>
  <si>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</si>
  <si>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</si>
  <si>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</si>
  <si>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</si>
  <si>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</si>
  <si>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</si>
  <si>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</si>
  <si>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</si>
  <si>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</si>
  <si>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</si>
  <si>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</si>
  <si>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</si>
  <si>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</si>
  <si>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</si>
  <si>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</si>
  <si>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</si>
  <si>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</si>
  <si>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~TFM_PSets</t>
  </si>
  <si>
    <t>t_pos_andor_forsets</t>
  </si>
  <si>
    <t>t_neg_andor_forsets</t>
  </si>
  <si>
    <t>t_neg_andor</t>
  </si>
  <si>
    <t>setdesc</t>
  </si>
  <si>
    <t>pset_set</t>
  </si>
  <si>
    <t>pset_pn</t>
  </si>
  <si>
    <t>pset_pd</t>
  </si>
  <si>
    <t>Bio</t>
  </si>
  <si>
    <t>ELCWOD</t>
  </si>
  <si>
    <t>Biogas</t>
  </si>
  <si>
    <t>ELCBIG</t>
  </si>
  <si>
    <t>Coal</t>
  </si>
  <si>
    <t>ELCCOA</t>
  </si>
  <si>
    <t>Geothermal</t>
  </si>
  <si>
    <t>ELCGEO</t>
  </si>
  <si>
    <t>Hydro</t>
  </si>
  <si>
    <t>ELCHYD</t>
  </si>
  <si>
    <t>Natural Gas</t>
  </si>
  <si>
    <t>ELCNGA</t>
  </si>
  <si>
    <t>Solar</t>
  </si>
  <si>
    <t>ELCSOL</t>
  </si>
  <si>
    <t>E_StgBatt</t>
  </si>
  <si>
    <t>Batt Stg</t>
  </si>
  <si>
    <t>EBAT*</t>
  </si>
  <si>
    <t>E_StgPump</t>
  </si>
  <si>
    <t>Phydro Stg</t>
  </si>
  <si>
    <t>EHYD*</t>
  </si>
  <si>
    <t>Waste</t>
  </si>
  <si>
    <t>MNCWST</t>
  </si>
  <si>
    <t>Wind</t>
  </si>
  <si>
    <t>ELCWIN</t>
  </si>
  <si>
    <t>Aviation</t>
  </si>
  <si>
    <t>T*Jet*</t>
  </si>
  <si>
    <t>Bus</t>
  </si>
  <si>
    <t>T*Bus</t>
  </si>
  <si>
    <t>Cars</t>
  </si>
  <si>
    <t>T*car</t>
  </si>
  <si>
    <t>eu_ClothesDry</t>
  </si>
  <si>
    <t>Clothes dry</t>
  </si>
  <si>
    <t>*-CD*</t>
  </si>
  <si>
    <t>eu_ClothesWash</t>
  </si>
  <si>
    <t>Clothes wash</t>
  </si>
  <si>
    <t>*-CW*</t>
  </si>
  <si>
    <t>eu_Cooking</t>
  </si>
  <si>
    <t>Cooking</t>
  </si>
  <si>
    <t>*-CK*</t>
  </si>
  <si>
    <t>eu_DishWash</t>
  </si>
  <si>
    <t>Dish Wash</t>
  </si>
  <si>
    <t>*-DW*</t>
  </si>
  <si>
    <t>eu_Irrigation</t>
  </si>
  <si>
    <t>Irrigation</t>
  </si>
  <si>
    <t>*-IRG*</t>
  </si>
  <si>
    <t>eu_Lighting</t>
  </si>
  <si>
    <t>Lighting</t>
  </si>
  <si>
    <t>*-LIG*,*-LT*</t>
  </si>
  <si>
    <t>eu_MotivePower</t>
  </si>
  <si>
    <t>Motive Power</t>
  </si>
  <si>
    <t>*-MotP*,*-MP?*</t>
  </si>
  <si>
    <t>Motorcycle</t>
  </si>
  <si>
    <t>T*Mcy</t>
  </si>
  <si>
    <t>eu_ProcessHeat</t>
  </si>
  <si>
    <t>Process Heat</t>
  </si>
  <si>
    <t>*-PH*</t>
  </si>
  <si>
    <t>eu_Pumping</t>
  </si>
  <si>
    <t>Pumping</t>
  </si>
  <si>
    <t>*-pump*,-*-motp*</t>
  </si>
  <si>
    <t>Rail</t>
  </si>
  <si>
    <t>T*Rail</t>
  </si>
  <si>
    <t>eu_Refrigeration</t>
  </si>
  <si>
    <t>Refrigeration</t>
  </si>
  <si>
    <t>*-RF*</t>
  </si>
  <si>
    <t>Ships</t>
  </si>
  <si>
    <t>T*Ship</t>
  </si>
  <si>
    <t>eu_SpaceCool</t>
  </si>
  <si>
    <t>Space Cool</t>
  </si>
  <si>
    <t>*-SC*</t>
  </si>
  <si>
    <t>eu_SpaceHeat</t>
  </si>
  <si>
    <t>Space Heat</t>
  </si>
  <si>
    <t>*-SH*</t>
  </si>
  <si>
    <t>Trucks</t>
  </si>
  <si>
    <t>T*Trk</t>
  </si>
  <si>
    <t>eu_WaterHeat</t>
  </si>
  <si>
    <t>Water Heat</t>
  </si>
  <si>
    <t>*-WH*</t>
  </si>
  <si>
    <t>s_Agriculture</t>
  </si>
  <si>
    <t>Agriculture</t>
  </si>
  <si>
    <t>A*</t>
  </si>
  <si>
    <t>s_BioProc</t>
  </si>
  <si>
    <t>Bio Processing</t>
  </si>
  <si>
    <t>-FTE*</t>
  </si>
  <si>
    <t>*wood*,*waste*</t>
  </si>
  <si>
    <t>s_Commercial</t>
  </si>
  <si>
    <t>Commercial</t>
  </si>
  <si>
    <t>C[_]*</t>
  </si>
  <si>
    <t>s_Hydrogen</t>
  </si>
  <si>
    <t>Hydrogen Prod</t>
  </si>
  <si>
    <t>-FTE*,*H2*</t>
  </si>
  <si>
    <t>s_Industry</t>
  </si>
  <si>
    <t>Industry</t>
  </si>
  <si>
    <t>IND*</t>
  </si>
  <si>
    <t>s_Power</t>
  </si>
  <si>
    <t>Power</t>
  </si>
  <si>
    <t>ELE,-STG</t>
  </si>
  <si>
    <t>s_PriExp</t>
  </si>
  <si>
    <t>Primary Exports</t>
  </si>
  <si>
    <t>EXP*</t>
  </si>
  <si>
    <t>s_PriImp</t>
  </si>
  <si>
    <t>Primary Imports</t>
  </si>
  <si>
    <t>IMP*</t>
  </si>
  <si>
    <t>s_PriProd</t>
  </si>
  <si>
    <t>Primary Production</t>
  </si>
  <si>
    <t>MIN*</t>
  </si>
  <si>
    <t>s_Refinery</t>
  </si>
  <si>
    <t>Refinery</t>
  </si>
  <si>
    <t>-FTE*,Ref*</t>
  </si>
  <si>
    <t>s_Residential</t>
  </si>
  <si>
    <t>Residential</t>
  </si>
  <si>
    <t>R[_]*</t>
  </si>
  <si>
    <t>s_Storage</t>
  </si>
  <si>
    <t>Storage</t>
  </si>
  <si>
    <t>s_Transport</t>
  </si>
  <si>
    <t>Transport</t>
  </si>
  <si>
    <t>T[_]*</t>
  </si>
  <si>
    <t>Attached</t>
  </si>
  <si>
    <t>R_JDW*</t>
  </si>
  <si>
    <t>ss_Chemicals</t>
  </si>
  <si>
    <t>Chemicals</t>
  </si>
  <si>
    <t>CHM*</t>
  </si>
  <si>
    <t>ss_Construction</t>
  </si>
  <si>
    <t>Construction</t>
  </si>
  <si>
    <t>CNST*</t>
  </si>
  <si>
    <t>ss_Dairy</t>
  </si>
  <si>
    <t>Dairy</t>
  </si>
  <si>
    <t>DARY*</t>
  </si>
  <si>
    <t>Dairy Cattle Farming</t>
  </si>
  <si>
    <t>ADCF*</t>
  </si>
  <si>
    <t>Detached</t>
  </si>
  <si>
    <t>R_DDW*</t>
  </si>
  <si>
    <t>Education</t>
  </si>
  <si>
    <t>C_EDU-*</t>
  </si>
  <si>
    <t>Fishing</t>
  </si>
  <si>
    <t>AFIS*</t>
  </si>
  <si>
    <t>ss_Food</t>
  </si>
  <si>
    <t>Food</t>
  </si>
  <si>
    <t>FOOD*</t>
  </si>
  <si>
    <t>Forestry</t>
  </si>
  <si>
    <t>AFOR*</t>
  </si>
  <si>
    <t>Healthcare</t>
  </si>
  <si>
    <t>C_HLTH*</t>
  </si>
  <si>
    <t>Horticulture</t>
  </si>
  <si>
    <t>AHOR*</t>
  </si>
  <si>
    <t>Indoor cropping</t>
  </si>
  <si>
    <t>AIND*</t>
  </si>
  <si>
    <t>Livestock</t>
  </si>
  <si>
    <t>ALIV*</t>
  </si>
  <si>
    <t>Meat</t>
  </si>
  <si>
    <t>MEAT*</t>
  </si>
  <si>
    <t>Metals</t>
  </si>
  <si>
    <t>METAL*</t>
  </si>
  <si>
    <t>Methanol</t>
  </si>
  <si>
    <t>MTHOL*</t>
  </si>
  <si>
    <t>Minerals</t>
  </si>
  <si>
    <t>MNRL*</t>
  </si>
  <si>
    <t>Mining</t>
  </si>
  <si>
    <t>MNNG*</t>
  </si>
  <si>
    <t>Office</t>
  </si>
  <si>
    <t>C_OFFC*</t>
  </si>
  <si>
    <t>Other Ind</t>
  </si>
  <si>
    <t>OTH-T</t>
  </si>
  <si>
    <t>Other Agri</t>
  </si>
  <si>
    <t>AOTH*</t>
  </si>
  <si>
    <t>Other Com</t>
  </si>
  <si>
    <t>C_OTH-*</t>
  </si>
  <si>
    <t>ss_Paper</t>
  </si>
  <si>
    <t>Paper</t>
  </si>
  <si>
    <t>PLP*</t>
  </si>
  <si>
    <t>Refining</t>
  </si>
  <si>
    <t>REFI*</t>
  </si>
  <si>
    <t>ss_Steel</t>
  </si>
  <si>
    <t>Steel</t>
  </si>
  <si>
    <t>IIS*</t>
  </si>
  <si>
    <t>Urea</t>
  </si>
  <si>
    <t>UREA*</t>
  </si>
  <si>
    <t>Wood Prod Mfg</t>
  </si>
  <si>
    <t>WOOD*</t>
  </si>
  <si>
    <t>WSR</t>
  </si>
  <si>
    <t>C_WSR-*</t>
  </si>
  <si>
    <t>~TFM_CSets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</si>
  <si>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</si>
  <si>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</si>
  <si>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</si>
  <si>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</si>
  <si>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</si>
  <si>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</si>
  <si>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</si>
  <si>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NRG</t>
  </si>
  <si>
    <t>COA</t>
  </si>
  <si>
    <t>DSL</t>
  </si>
  <si>
    <t>Diesel</t>
  </si>
  <si>
    <t xml:space="preserve">Electricity </t>
  </si>
  <si>
    <t>FOL</t>
  </si>
  <si>
    <t>Fuel Oil</t>
  </si>
  <si>
    <t>GEO</t>
  </si>
  <si>
    <t>H2R</t>
  </si>
  <si>
    <t>Hydrogen</t>
  </si>
  <si>
    <t>LPG</t>
  </si>
  <si>
    <t>NGA</t>
  </si>
  <si>
    <t>PET</t>
  </si>
  <si>
    <t>Petrol</t>
  </si>
  <si>
    <t>PLT</t>
  </si>
  <si>
    <t>Pellet</t>
  </si>
  <si>
    <t>WOD</t>
  </si>
  <si>
    <t>Wood</t>
  </si>
  <si>
    <t>WST</t>
  </si>
  <si>
    <t>MNR</t>
  </si>
  <si>
    <t>Manure</t>
  </si>
  <si>
    <t>BIG</t>
  </si>
  <si>
    <t>BIL</t>
  </si>
  <si>
    <t>Bioliquid</t>
  </si>
  <si>
    <t>COL</t>
  </si>
  <si>
    <t>Lignite</t>
  </si>
  <si>
    <t>seq</t>
  </si>
  <si>
    <t>CO2 to CCS</t>
  </si>
  <si>
    <t>CO2</t>
  </si>
  <si>
    <t>DID</t>
  </si>
  <si>
    <t>Drop-In Diesel</t>
  </si>
  <si>
    <t>DIJ</t>
  </si>
  <si>
    <t>Drop-In Jet</t>
  </si>
  <si>
    <t>LCD</t>
  </si>
  <si>
    <t>Electricity Production</t>
  </si>
  <si>
    <t>CDD</t>
  </si>
  <si>
    <t>-HV</t>
  </si>
  <si>
    <t>HYD</t>
  </si>
  <si>
    <t>-MV</t>
  </si>
  <si>
    <t>OIL</t>
  </si>
  <si>
    <t>Oil</t>
  </si>
  <si>
    <t>SOL</t>
  </si>
  <si>
    <t>TID</t>
  </si>
  <si>
    <t>Tidal</t>
  </si>
  <si>
    <t>URN</t>
  </si>
  <si>
    <t>Uranium</t>
  </si>
  <si>
    <t>WIN</t>
  </si>
  <si>
    <t>H2C</t>
  </si>
  <si>
    <t>Green Hydrogen Green Hydrogen Fuel</t>
  </si>
  <si>
    <t>H2D</t>
  </si>
  <si>
    <t>JET</t>
  </si>
  <si>
    <t>Jet Fuel</t>
  </si>
  <si>
    <t>LNG</t>
  </si>
  <si>
    <t>ILD</t>
  </si>
  <si>
    <t>Crude Oil (domestic)</t>
  </si>
  <si>
    <t>ILI</t>
  </si>
  <si>
    <t>Crude Oil (imported)</t>
  </si>
  <si>
    <t>OTH</t>
  </si>
  <si>
    <t>Other Oil</t>
  </si>
  <si>
    <t>DEM</t>
  </si>
  <si>
    <t>agriculture</t>
  </si>
  <si>
    <t>A*,meat*,D*</t>
  </si>
  <si>
    <t>commercial</t>
  </si>
  <si>
    <t>C*</t>
  </si>
  <si>
    <t>F*,I*,ref*,M*,-meat*,O*,P*,U*,W*</t>
  </si>
  <si>
    <t>residential</t>
  </si>
  <si>
    <t>R*,-ref*</t>
  </si>
  <si>
    <t>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</si>
</sst>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</cellStyleXfs>
  <cellXfs count="6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49" fontId="0" fillId="0" borderId="0" xfId="0" applyNumberFormat="1"/>
    <xf numFmtId="0" fontId="3" fillId="2" borderId="0" xfId="3"/>
  </cellXfs>
  <cellStyles count="4">
    <cellStyle name="Heading 2" xfId="1" builtinId="17"/>
    <cellStyle name="Heading 3" xfId="2" builtinId="18"/>
    <cellStyle name="Neutral 2" xfId="3" xr:uid="{599912E3-8559-451E-9420-BD3F24E264C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8C7C-36FF-4DE0-9337-A7E9284495EF}">
  <dimension ref="B9:E200"/>
  <sheetViews>
    <sheetView workbookViewId="0"/>
  </sheetViews>
  <sheetFormatPr defaultRowHeight="14.25" x14ac:dyDescent="0.45"/>
  <cols>
    <col min="2" max="2" width="14.1328125" bestFit="1" customWidth="1"/>
    <col min="3" max="4" width="15" bestFit="1" customWidth="1"/>
    <col min="5" max="5" width="10.59765625" bestFit="1" customWidth="1"/>
  </cols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EA34-5180-48E7-B945-13E283806401}">
  <dimension ref="A1:K75"/>
  <sheetViews>
    <sheetView tabSelected="1" topLeftCell="A52" workbookViewId="0">
      <selection activeCell="A27" sqref="A27"/>
    </sheetView>
  </sheetViews>
  <sheetFormatPr defaultRowHeight="14.25" x14ac:dyDescent="0.45"/>
  <cols>
    <col min="1" max="1" width="19.3984375" bestFit="1" customWidth="1"/>
    <col min="2" max="2" width="12" bestFit="1" customWidth="1"/>
    <col min="3" max="3" width="19.59765625" bestFit="1" customWidth="1"/>
    <col min="4" max="4" width="12.1328125" bestFit="1" customWidth="1"/>
    <col min="5" max="5" width="16.3984375" bestFit="1" customWidth="1"/>
    <col min="6" max="6" width="18.265625" bestFit="1" customWidth="1"/>
    <col min="7" max="7" width="8.59765625" bestFit="1" customWidth="1"/>
    <col min="8" max="8" width="10.59765625" bestFit="1" customWidth="1"/>
    <col min="9" max="9" width="16" bestFit="1" customWidth="1"/>
    <col min="10" max="10" width="17.86328125" bestFit="1" customWidth="1"/>
    <col min="11" max="11" width="9.1328125" bestFit="1" customWidth="1"/>
  </cols>
  <sheetData>
    <row r="1" spans="1:11" x14ac:dyDescent="0.45">
      <c r="A1" t="s">
        <v>484</v>
      </c>
    </row>
    <row r="2" spans="1:11" x14ac:dyDescent="0.45">
      <c r="A2" t="s">
        <v>485</v>
      </c>
      <c r="B2" t="s">
        <v>102</v>
      </c>
      <c r="C2" t="s">
        <v>486</v>
      </c>
      <c r="D2" t="s">
        <v>487</v>
      </c>
      <c r="E2" t="s">
        <v>99</v>
      </c>
      <c r="F2" t="s">
        <v>488</v>
      </c>
      <c r="G2" t="s">
        <v>489</v>
      </c>
      <c r="H2" t="s">
        <v>490</v>
      </c>
      <c r="I2" t="s">
        <v>491</v>
      </c>
      <c r="J2" t="s">
        <v>100</v>
      </c>
      <c r="K2" t="s">
        <v>101</v>
      </c>
    </row>
    <row r="3" spans="1:11" x14ac:dyDescent="0.45">
      <c r="E3" t="str">
        <f t="shared" ref="E3:E9" si="0">"E_"&amp;SUBSTITUTE(F3," ","")</f>
        <v>E_Bio</v>
      </c>
      <c r="F3" t="s">
        <v>492</v>
      </c>
      <c r="G3" t="s">
        <v>11</v>
      </c>
      <c r="K3" t="s">
        <v>493</v>
      </c>
    </row>
    <row r="4" spans="1:11" x14ac:dyDescent="0.45">
      <c r="E4" t="str">
        <f t="shared" si="0"/>
        <v>E_Biogas</v>
      </c>
      <c r="F4" t="s">
        <v>494</v>
      </c>
      <c r="G4" t="s">
        <v>11</v>
      </c>
      <c r="K4" t="s">
        <v>495</v>
      </c>
    </row>
    <row r="5" spans="1:11" x14ac:dyDescent="0.45">
      <c r="E5" t="str">
        <f t="shared" si="0"/>
        <v>E_Coal</v>
      </c>
      <c r="F5" t="s">
        <v>496</v>
      </c>
      <c r="G5" t="s">
        <v>11</v>
      </c>
      <c r="K5" t="s">
        <v>497</v>
      </c>
    </row>
    <row r="6" spans="1:11" x14ac:dyDescent="0.45">
      <c r="E6" t="str">
        <f t="shared" si="0"/>
        <v>E_Geothermal</v>
      </c>
      <c r="F6" t="s">
        <v>498</v>
      </c>
      <c r="G6" t="s">
        <v>11</v>
      </c>
      <c r="K6" t="s">
        <v>499</v>
      </c>
    </row>
    <row r="7" spans="1:11" x14ac:dyDescent="0.45">
      <c r="E7" t="str">
        <f t="shared" si="0"/>
        <v>E_Hydro</v>
      </c>
      <c r="F7" t="s">
        <v>500</v>
      </c>
      <c r="G7" t="s">
        <v>11</v>
      </c>
      <c r="K7" t="s">
        <v>501</v>
      </c>
    </row>
    <row r="8" spans="1:11" x14ac:dyDescent="0.45">
      <c r="E8" t="str">
        <f t="shared" si="0"/>
        <v>E_NaturalGas</v>
      </c>
      <c r="F8" t="s">
        <v>502</v>
      </c>
      <c r="G8" t="s">
        <v>11</v>
      </c>
      <c r="K8" t="s">
        <v>503</v>
      </c>
    </row>
    <row r="9" spans="1:11" x14ac:dyDescent="0.45">
      <c r="E9" t="str">
        <f t="shared" si="0"/>
        <v>E_Solar</v>
      </c>
      <c r="F9" t="s">
        <v>504</v>
      </c>
      <c r="G9" t="s">
        <v>11</v>
      </c>
      <c r="K9" t="s">
        <v>505</v>
      </c>
    </row>
    <row r="10" spans="1:11" x14ac:dyDescent="0.45">
      <c r="E10" t="s">
        <v>506</v>
      </c>
      <c r="F10" t="s">
        <v>507</v>
      </c>
      <c r="G10" t="s">
        <v>24</v>
      </c>
      <c r="H10" t="s">
        <v>508</v>
      </c>
    </row>
    <row r="11" spans="1:11" x14ac:dyDescent="0.45">
      <c r="E11" t="s">
        <v>509</v>
      </c>
      <c r="F11" t="s">
        <v>510</v>
      </c>
      <c r="G11" t="s">
        <v>24</v>
      </c>
      <c r="H11" t="s">
        <v>511</v>
      </c>
    </row>
    <row r="12" spans="1:11" x14ac:dyDescent="0.45">
      <c r="E12" t="str">
        <f>"E_"&amp;SUBSTITUTE(F12," ","")</f>
        <v>E_Waste</v>
      </c>
      <c r="F12" t="s">
        <v>512</v>
      </c>
      <c r="G12" t="s">
        <v>11</v>
      </c>
      <c r="K12" t="s">
        <v>513</v>
      </c>
    </row>
    <row r="13" spans="1:11" x14ac:dyDescent="0.45">
      <c r="E13" t="str">
        <f>"E_"&amp;SUBSTITUTE(F13," ","")</f>
        <v>E_Wind</v>
      </c>
      <c r="F13" t="s">
        <v>514</v>
      </c>
      <c r="G13" t="s">
        <v>11</v>
      </c>
      <c r="K13" t="s">
        <v>515</v>
      </c>
    </row>
    <row r="14" spans="1:11" x14ac:dyDescent="0.45">
      <c r="E14" t="str">
        <f>"eu_"&amp;F14</f>
        <v>eu_Aviation</v>
      </c>
      <c r="F14" t="s">
        <v>516</v>
      </c>
      <c r="G14" t="s">
        <v>49</v>
      </c>
      <c r="J14" s="4" t="s">
        <v>517</v>
      </c>
    </row>
    <row r="15" spans="1:11" x14ac:dyDescent="0.45">
      <c r="E15" t="str">
        <f>"eu_"&amp;F15</f>
        <v>eu_Bus</v>
      </c>
      <c r="F15" t="s">
        <v>518</v>
      </c>
      <c r="G15" t="s">
        <v>49</v>
      </c>
      <c r="J15" s="4" t="s">
        <v>519</v>
      </c>
    </row>
    <row r="16" spans="1:11" x14ac:dyDescent="0.45">
      <c r="E16" t="str">
        <f>"eu_"&amp;F16</f>
        <v>eu_Cars</v>
      </c>
      <c r="F16" t="s">
        <v>520</v>
      </c>
      <c r="G16" t="s">
        <v>49</v>
      </c>
      <c r="J16" s="4" t="s">
        <v>521</v>
      </c>
    </row>
    <row r="17" spans="5:10" x14ac:dyDescent="0.45">
      <c r="E17" t="s">
        <v>522</v>
      </c>
      <c r="F17" t="s">
        <v>523</v>
      </c>
      <c r="G17" t="s">
        <v>49</v>
      </c>
      <c r="J17" t="s">
        <v>524</v>
      </c>
    </row>
    <row r="18" spans="5:10" x14ac:dyDescent="0.45">
      <c r="E18" t="s">
        <v>525</v>
      </c>
      <c r="F18" t="s">
        <v>526</v>
      </c>
      <c r="G18" t="s">
        <v>49</v>
      </c>
      <c r="J18" t="s">
        <v>527</v>
      </c>
    </row>
    <row r="19" spans="5:10" x14ac:dyDescent="0.45">
      <c r="E19" t="s">
        <v>528</v>
      </c>
      <c r="F19" t="s">
        <v>529</v>
      </c>
      <c r="G19" t="s">
        <v>49</v>
      </c>
      <c r="J19" t="s">
        <v>530</v>
      </c>
    </row>
    <row r="20" spans="5:10" x14ac:dyDescent="0.45">
      <c r="E20" t="s">
        <v>531</v>
      </c>
      <c r="F20" t="s">
        <v>532</v>
      </c>
      <c r="G20" t="s">
        <v>49</v>
      </c>
      <c r="J20" t="s">
        <v>533</v>
      </c>
    </row>
    <row r="21" spans="5:10" x14ac:dyDescent="0.45">
      <c r="E21" t="s">
        <v>534</v>
      </c>
      <c r="F21" t="s">
        <v>535</v>
      </c>
      <c r="G21" t="s">
        <v>49</v>
      </c>
      <c r="J21" t="s">
        <v>536</v>
      </c>
    </row>
    <row r="22" spans="5:10" x14ac:dyDescent="0.45">
      <c r="E22" t="s">
        <v>537</v>
      </c>
      <c r="F22" t="s">
        <v>538</v>
      </c>
      <c r="G22" t="s">
        <v>49</v>
      </c>
      <c r="J22" t="s">
        <v>539</v>
      </c>
    </row>
    <row r="23" spans="5:10" x14ac:dyDescent="0.45">
      <c r="E23" t="s">
        <v>540</v>
      </c>
      <c r="F23" t="s">
        <v>541</v>
      </c>
      <c r="G23" t="s">
        <v>49</v>
      </c>
      <c r="J23" t="s">
        <v>542</v>
      </c>
    </row>
    <row r="24" spans="5:10" x14ac:dyDescent="0.45">
      <c r="E24" t="str">
        <f>"eu_"&amp;F24</f>
        <v>eu_Motorcycle</v>
      </c>
      <c r="F24" t="s">
        <v>543</v>
      </c>
      <c r="G24" t="s">
        <v>49</v>
      </c>
      <c r="J24" s="4" t="s">
        <v>544</v>
      </c>
    </row>
    <row r="25" spans="5:10" x14ac:dyDescent="0.45">
      <c r="E25" t="s">
        <v>545</v>
      </c>
      <c r="F25" t="s">
        <v>546</v>
      </c>
      <c r="G25" t="s">
        <v>49</v>
      </c>
      <c r="J25" t="s">
        <v>547</v>
      </c>
    </row>
    <row r="26" spans="5:10" x14ac:dyDescent="0.45">
      <c r="E26" t="s">
        <v>548</v>
      </c>
      <c r="F26" t="s">
        <v>549</v>
      </c>
      <c r="G26" t="s">
        <v>49</v>
      </c>
      <c r="J26" t="s">
        <v>550</v>
      </c>
    </row>
    <row r="27" spans="5:10" x14ac:dyDescent="0.45">
      <c r="E27" t="str">
        <f>"eu_"&amp;F27</f>
        <v>eu_Rail</v>
      </c>
      <c r="F27" t="s">
        <v>551</v>
      </c>
      <c r="G27" t="s">
        <v>49</v>
      </c>
      <c r="J27" s="4" t="s">
        <v>552</v>
      </c>
    </row>
    <row r="28" spans="5:10" x14ac:dyDescent="0.45">
      <c r="E28" t="s">
        <v>553</v>
      </c>
      <c r="F28" t="s">
        <v>554</v>
      </c>
      <c r="G28" t="s">
        <v>49</v>
      </c>
      <c r="J28" t="s">
        <v>555</v>
      </c>
    </row>
    <row r="29" spans="5:10" x14ac:dyDescent="0.45">
      <c r="E29" t="str">
        <f>"eu_"&amp;F29</f>
        <v>eu_Ships</v>
      </c>
      <c r="F29" t="s">
        <v>556</v>
      </c>
      <c r="G29" t="s">
        <v>49</v>
      </c>
      <c r="J29" s="4" t="s">
        <v>557</v>
      </c>
    </row>
    <row r="30" spans="5:10" x14ac:dyDescent="0.45">
      <c r="E30" t="s">
        <v>558</v>
      </c>
      <c r="F30" t="s">
        <v>559</v>
      </c>
      <c r="G30" t="s">
        <v>49</v>
      </c>
      <c r="J30" t="s">
        <v>560</v>
      </c>
    </row>
    <row r="31" spans="5:10" x14ac:dyDescent="0.45">
      <c r="E31" t="s">
        <v>561</v>
      </c>
      <c r="F31" t="s">
        <v>562</v>
      </c>
      <c r="G31" t="s">
        <v>49</v>
      </c>
      <c r="J31" t="s">
        <v>563</v>
      </c>
    </row>
    <row r="32" spans="5:10" x14ac:dyDescent="0.45">
      <c r="E32" t="str">
        <f>"eu_"&amp;F32</f>
        <v>eu_Trucks</v>
      </c>
      <c r="F32" t="s">
        <v>564</v>
      </c>
      <c r="G32" t="s">
        <v>49</v>
      </c>
      <c r="J32" s="4" t="s">
        <v>565</v>
      </c>
    </row>
    <row r="33" spans="5:11" x14ac:dyDescent="0.45">
      <c r="E33" t="s">
        <v>566</v>
      </c>
      <c r="F33" t="s">
        <v>567</v>
      </c>
      <c r="G33" t="s">
        <v>49</v>
      </c>
      <c r="J33" t="s">
        <v>568</v>
      </c>
    </row>
    <row r="34" spans="5:11" x14ac:dyDescent="0.45">
      <c r="E34" t="s">
        <v>569</v>
      </c>
      <c r="F34" t="s">
        <v>570</v>
      </c>
      <c r="G34" t="s">
        <v>49</v>
      </c>
      <c r="J34" t="s">
        <v>571</v>
      </c>
    </row>
    <row r="35" spans="5:11" x14ac:dyDescent="0.45">
      <c r="E35" t="s">
        <v>572</v>
      </c>
      <c r="F35" t="s">
        <v>573</v>
      </c>
      <c r="G35" t="s">
        <v>69</v>
      </c>
      <c r="H35" t="s">
        <v>574</v>
      </c>
      <c r="I35" t="s">
        <v>575</v>
      </c>
    </row>
    <row r="36" spans="5:11" x14ac:dyDescent="0.45">
      <c r="E36" t="s">
        <v>576</v>
      </c>
      <c r="F36" t="s">
        <v>577</v>
      </c>
      <c r="G36" t="s">
        <v>49</v>
      </c>
      <c r="J36" t="s">
        <v>578</v>
      </c>
    </row>
    <row r="37" spans="5:11" x14ac:dyDescent="0.45">
      <c r="E37" t="s">
        <v>579</v>
      </c>
      <c r="F37" t="s">
        <v>580</v>
      </c>
      <c r="G37" t="s">
        <v>69</v>
      </c>
      <c r="H37" t="s">
        <v>581</v>
      </c>
    </row>
    <row r="38" spans="5:11" x14ac:dyDescent="0.45">
      <c r="E38" t="s">
        <v>582</v>
      </c>
      <c r="F38" t="s">
        <v>583</v>
      </c>
      <c r="G38" t="s">
        <v>49</v>
      </c>
      <c r="K38" t="s">
        <v>584</v>
      </c>
    </row>
    <row r="39" spans="5:11" x14ac:dyDescent="0.45">
      <c r="E39" t="s">
        <v>585</v>
      </c>
      <c r="F39" t="s">
        <v>586</v>
      </c>
      <c r="G39" t="s">
        <v>587</v>
      </c>
    </row>
    <row r="40" spans="5:11" x14ac:dyDescent="0.45">
      <c r="E40" t="s">
        <v>588</v>
      </c>
      <c r="F40" t="s">
        <v>589</v>
      </c>
      <c r="G40" t="s">
        <v>47</v>
      </c>
      <c r="H40" t="s">
        <v>590</v>
      </c>
    </row>
    <row r="41" spans="5:11" x14ac:dyDescent="0.45">
      <c r="E41" t="s">
        <v>591</v>
      </c>
      <c r="F41" t="s">
        <v>592</v>
      </c>
      <c r="G41" t="s">
        <v>47</v>
      </c>
      <c r="H41" t="s">
        <v>593</v>
      </c>
    </row>
    <row r="42" spans="5:11" x14ac:dyDescent="0.45">
      <c r="E42" t="s">
        <v>594</v>
      </c>
      <c r="F42" t="s">
        <v>595</v>
      </c>
      <c r="G42" t="s">
        <v>47</v>
      </c>
      <c r="H42" t="s">
        <v>596</v>
      </c>
    </row>
    <row r="43" spans="5:11" x14ac:dyDescent="0.45">
      <c r="E43" t="s">
        <v>597</v>
      </c>
      <c r="F43" t="s">
        <v>598</v>
      </c>
      <c r="G43" t="s">
        <v>69</v>
      </c>
      <c r="H43" t="s">
        <v>599</v>
      </c>
    </row>
    <row r="44" spans="5:11" x14ac:dyDescent="0.45">
      <c r="E44" t="s">
        <v>600</v>
      </c>
      <c r="F44" t="s">
        <v>601</v>
      </c>
      <c r="G44" t="s">
        <v>49</v>
      </c>
      <c r="J44" t="s">
        <v>602</v>
      </c>
    </row>
    <row r="45" spans="5:11" x14ac:dyDescent="0.45">
      <c r="E45" t="s">
        <v>603</v>
      </c>
      <c r="F45" t="s">
        <v>604</v>
      </c>
      <c r="G45" t="s">
        <v>24</v>
      </c>
    </row>
    <row r="46" spans="5:11" x14ac:dyDescent="0.45">
      <c r="E46" t="s">
        <v>605</v>
      </c>
      <c r="F46" t="s">
        <v>606</v>
      </c>
      <c r="G46" t="s">
        <v>49</v>
      </c>
      <c r="J46" t="s">
        <v>607</v>
      </c>
    </row>
    <row r="47" spans="5:11" x14ac:dyDescent="0.45">
      <c r="E47" t="str">
        <f>"ss_"&amp;SUBSTITUTE(F47," ","")</f>
        <v>ss_Attached</v>
      </c>
      <c r="F47" t="s">
        <v>608</v>
      </c>
      <c r="G47" t="s">
        <v>49</v>
      </c>
      <c r="J47" t="s">
        <v>609</v>
      </c>
    </row>
    <row r="48" spans="5:11" x14ac:dyDescent="0.45">
      <c r="E48" t="s">
        <v>610</v>
      </c>
      <c r="F48" t="s">
        <v>611</v>
      </c>
      <c r="G48" t="s">
        <v>49</v>
      </c>
      <c r="H48" t="s">
        <v>612</v>
      </c>
    </row>
    <row r="49" spans="5:10" x14ac:dyDescent="0.45">
      <c r="E49" t="s">
        <v>613</v>
      </c>
      <c r="F49" t="s">
        <v>614</v>
      </c>
      <c r="G49" t="s">
        <v>49</v>
      </c>
      <c r="H49" t="s">
        <v>615</v>
      </c>
    </row>
    <row r="50" spans="5:10" x14ac:dyDescent="0.45">
      <c r="E50" t="s">
        <v>616</v>
      </c>
      <c r="F50" t="s">
        <v>617</v>
      </c>
      <c r="G50" t="s">
        <v>49</v>
      </c>
      <c r="H50" t="s">
        <v>618</v>
      </c>
    </row>
    <row r="51" spans="5:10" x14ac:dyDescent="0.45">
      <c r="E51" t="str">
        <f>"ss_"&amp;SUBSTITUTE(F51," ","")</f>
        <v>ss_DairyCattleFarming</v>
      </c>
      <c r="F51" t="s">
        <v>619</v>
      </c>
      <c r="G51" t="s">
        <v>49</v>
      </c>
      <c r="J51" t="s">
        <v>620</v>
      </c>
    </row>
    <row r="52" spans="5:10" x14ac:dyDescent="0.45">
      <c r="E52" t="str">
        <f>"ss_"&amp;SUBSTITUTE(F52," ","")</f>
        <v>ss_Detached</v>
      </c>
      <c r="F52" t="s">
        <v>621</v>
      </c>
      <c r="G52" t="s">
        <v>49</v>
      </c>
      <c r="J52" t="s">
        <v>622</v>
      </c>
    </row>
    <row r="53" spans="5:10" x14ac:dyDescent="0.45">
      <c r="E53" t="str">
        <f>"ss_"&amp;SUBSTITUTE(F53," ","")</f>
        <v>ss_Education</v>
      </c>
      <c r="F53" t="s">
        <v>623</v>
      </c>
      <c r="G53" t="s">
        <v>49</v>
      </c>
      <c r="J53" t="s">
        <v>624</v>
      </c>
    </row>
    <row r="54" spans="5:10" x14ac:dyDescent="0.45">
      <c r="E54" t="str">
        <f>"ss_"&amp;SUBSTITUTE(F54," ","")</f>
        <v>ss_Fishing</v>
      </c>
      <c r="F54" t="s">
        <v>625</v>
      </c>
      <c r="G54" t="s">
        <v>49</v>
      </c>
      <c r="J54" t="s">
        <v>626</v>
      </c>
    </row>
    <row r="55" spans="5:10" x14ac:dyDescent="0.45">
      <c r="E55" t="s">
        <v>627</v>
      </c>
      <c r="F55" t="s">
        <v>628</v>
      </c>
      <c r="G55" t="s">
        <v>49</v>
      </c>
      <c r="H55" t="s">
        <v>629</v>
      </c>
    </row>
    <row r="56" spans="5:10" x14ac:dyDescent="0.45">
      <c r="E56" t="str">
        <f t="shared" ref="E56:E69" si="1">"ss_"&amp;SUBSTITUTE(F56," ","")</f>
        <v>ss_Forestry</v>
      </c>
      <c r="F56" t="s">
        <v>630</v>
      </c>
      <c r="G56" t="s">
        <v>49</v>
      </c>
      <c r="J56" t="s">
        <v>631</v>
      </c>
    </row>
    <row r="57" spans="5:10" x14ac:dyDescent="0.45">
      <c r="E57" t="str">
        <f t="shared" si="1"/>
        <v>ss_Healthcare</v>
      </c>
      <c r="F57" t="s">
        <v>632</v>
      </c>
      <c r="G57" t="s">
        <v>49</v>
      </c>
      <c r="J57" t="s">
        <v>633</v>
      </c>
    </row>
    <row r="58" spans="5:10" x14ac:dyDescent="0.45">
      <c r="E58" t="str">
        <f t="shared" si="1"/>
        <v>ss_Horticulture</v>
      </c>
      <c r="F58" t="s">
        <v>634</v>
      </c>
      <c r="G58" t="s">
        <v>49</v>
      </c>
      <c r="J58" t="s">
        <v>635</v>
      </c>
    </row>
    <row r="59" spans="5:10" x14ac:dyDescent="0.45">
      <c r="E59" t="str">
        <f t="shared" si="1"/>
        <v>ss_Indoorcropping</v>
      </c>
      <c r="F59" t="s">
        <v>636</v>
      </c>
      <c r="G59" t="s">
        <v>49</v>
      </c>
      <c r="J59" t="s">
        <v>637</v>
      </c>
    </row>
    <row r="60" spans="5:10" x14ac:dyDescent="0.45">
      <c r="E60" t="str">
        <f t="shared" si="1"/>
        <v>ss_Livestock</v>
      </c>
      <c r="F60" t="s">
        <v>638</v>
      </c>
      <c r="G60" t="s">
        <v>49</v>
      </c>
      <c r="J60" t="s">
        <v>639</v>
      </c>
    </row>
    <row r="61" spans="5:10" x14ac:dyDescent="0.45">
      <c r="E61" t="str">
        <f t="shared" si="1"/>
        <v>ss_Meat</v>
      </c>
      <c r="F61" t="s">
        <v>640</v>
      </c>
      <c r="G61" t="s">
        <v>49</v>
      </c>
      <c r="H61" t="s">
        <v>641</v>
      </c>
    </row>
    <row r="62" spans="5:10" x14ac:dyDescent="0.45">
      <c r="E62" t="str">
        <f t="shared" si="1"/>
        <v>ss_Metals</v>
      </c>
      <c r="F62" t="s">
        <v>642</v>
      </c>
      <c r="G62" t="s">
        <v>49</v>
      </c>
      <c r="H62" t="s">
        <v>643</v>
      </c>
    </row>
    <row r="63" spans="5:10" x14ac:dyDescent="0.45">
      <c r="E63" t="str">
        <f t="shared" si="1"/>
        <v>ss_Methanol</v>
      </c>
      <c r="F63" t="s">
        <v>644</v>
      </c>
      <c r="G63" t="s">
        <v>49</v>
      </c>
      <c r="H63" t="s">
        <v>645</v>
      </c>
    </row>
    <row r="64" spans="5:10" x14ac:dyDescent="0.45">
      <c r="E64" t="str">
        <f t="shared" si="1"/>
        <v>ss_Minerals</v>
      </c>
      <c r="F64" t="s">
        <v>646</v>
      </c>
      <c r="G64" t="s">
        <v>49</v>
      </c>
      <c r="H64" t="s">
        <v>647</v>
      </c>
    </row>
    <row r="65" spans="5:10" x14ac:dyDescent="0.45">
      <c r="E65" t="str">
        <f t="shared" si="1"/>
        <v>ss_Mining</v>
      </c>
      <c r="F65" t="s">
        <v>648</v>
      </c>
      <c r="G65" t="s">
        <v>49</v>
      </c>
      <c r="H65" t="s">
        <v>649</v>
      </c>
    </row>
    <row r="66" spans="5:10" x14ac:dyDescent="0.45">
      <c r="E66" t="str">
        <f t="shared" si="1"/>
        <v>ss_Office</v>
      </c>
      <c r="F66" t="s">
        <v>650</v>
      </c>
      <c r="G66" t="s">
        <v>49</v>
      </c>
      <c r="J66" t="s">
        <v>651</v>
      </c>
    </row>
    <row r="67" spans="5:10" x14ac:dyDescent="0.45">
      <c r="E67" t="str">
        <f t="shared" si="1"/>
        <v>ss_OtherInd</v>
      </c>
      <c r="F67" t="s">
        <v>652</v>
      </c>
      <c r="G67" t="s">
        <v>49</v>
      </c>
      <c r="H67" t="s">
        <v>653</v>
      </c>
    </row>
    <row r="68" spans="5:10" x14ac:dyDescent="0.45">
      <c r="E68" t="str">
        <f t="shared" si="1"/>
        <v>ss_OtherAgri</v>
      </c>
      <c r="F68" t="s">
        <v>654</v>
      </c>
      <c r="G68" t="s">
        <v>49</v>
      </c>
      <c r="J68" t="s">
        <v>655</v>
      </c>
    </row>
    <row r="69" spans="5:10" x14ac:dyDescent="0.45">
      <c r="E69" t="str">
        <f t="shared" si="1"/>
        <v>ss_OtherCom</v>
      </c>
      <c r="F69" t="s">
        <v>656</v>
      </c>
      <c r="G69" t="s">
        <v>49</v>
      </c>
      <c r="J69" t="s">
        <v>657</v>
      </c>
    </row>
    <row r="70" spans="5:10" x14ac:dyDescent="0.45">
      <c r="E70" t="s">
        <v>658</v>
      </c>
      <c r="F70" t="s">
        <v>659</v>
      </c>
      <c r="G70" t="s">
        <v>49</v>
      </c>
      <c r="H70" t="s">
        <v>660</v>
      </c>
    </row>
    <row r="71" spans="5:10" x14ac:dyDescent="0.45">
      <c r="E71" t="str">
        <f>"ss_"&amp;SUBSTITUTE(F71," ","")</f>
        <v>ss_Refining</v>
      </c>
      <c r="F71" t="s">
        <v>661</v>
      </c>
      <c r="G71" t="s">
        <v>49</v>
      </c>
      <c r="H71" t="s">
        <v>662</v>
      </c>
    </row>
    <row r="72" spans="5:10" x14ac:dyDescent="0.45">
      <c r="E72" t="s">
        <v>663</v>
      </c>
      <c r="F72" t="s">
        <v>664</v>
      </c>
      <c r="G72" t="s">
        <v>49</v>
      </c>
      <c r="H72" t="s">
        <v>665</v>
      </c>
    </row>
    <row r="73" spans="5:10" x14ac:dyDescent="0.45">
      <c r="E73" t="str">
        <f>"ss_"&amp;SUBSTITUTE(F73," ","")</f>
        <v>ss_Urea</v>
      </c>
      <c r="F73" t="s">
        <v>666</v>
      </c>
      <c r="G73" t="s">
        <v>49</v>
      </c>
      <c r="H73" t="s">
        <v>667</v>
      </c>
    </row>
    <row r="74" spans="5:10" x14ac:dyDescent="0.45">
      <c r="E74" t="str">
        <f>"ss_"&amp;SUBSTITUTE(F74," ","")</f>
        <v>ss_WoodProdMfg</v>
      </c>
      <c r="F74" t="s">
        <v>668</v>
      </c>
      <c r="G74" t="s">
        <v>49</v>
      </c>
      <c r="H74" t="s">
        <v>669</v>
      </c>
    </row>
    <row r="75" spans="5:10" x14ac:dyDescent="0.45">
      <c r="E75" t="str">
        <f>"ss_"&amp;SUBSTITUTE(F75," ","")</f>
        <v>ss_WSR</v>
      </c>
      <c r="F75" t="s">
        <v>670</v>
      </c>
      <c r="G75" t="s">
        <v>49</v>
      </c>
      <c r="J75" t="s">
        <v>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D05A-3957-4820-93DE-DB11637970DC}">
  <dimension ref="A1:O44"/>
  <sheetViews>
    <sheetView topLeftCell="A6" workbookViewId="0">
      <selection activeCell="A27" sqref="A27"/>
    </sheetView>
  </sheetViews>
  <sheetFormatPr defaultRowHeight="14.25" x14ac:dyDescent="0.45"/>
  <cols>
    <col min="2" max="2" width="35.3984375" bestFit="1" customWidth="1"/>
  </cols>
  <sheetData>
    <row r="1" spans="1:15" x14ac:dyDescent="0.45">
      <c r="A1" t="s">
        <v>672</v>
      </c>
    </row>
    <row r="2" spans="1:15" x14ac:dyDescent="0.45">
      <c r="A2" t="s">
        <v>99</v>
      </c>
      <c r="B2" t="s">
        <v>488</v>
      </c>
      <c r="C2" t="s">
        <v>673</v>
      </c>
      <c r="D2" t="s">
        <v>674</v>
      </c>
      <c r="E2" t="s">
        <v>675</v>
      </c>
      <c r="F2" t="s">
        <v>676</v>
      </c>
      <c r="G2" t="s">
        <v>677</v>
      </c>
      <c r="H2" t="s">
        <v>678</v>
      </c>
      <c r="I2" t="s">
        <v>679</v>
      </c>
    </row>
    <row r="3" spans="1:15" x14ac:dyDescent="0.45">
      <c r="A3" t="str">
        <f>"nrg_"&amp;N3</f>
        <v>nrg_COA</v>
      </c>
      <c r="B3" t="str">
        <f>O3</f>
        <v>Coal</v>
      </c>
      <c r="C3" t="s">
        <v>680</v>
      </c>
      <c r="D3" t="str">
        <f>"*"&amp;N3</f>
        <v>*COA</v>
      </c>
      <c r="N3" s="5" t="s">
        <v>681</v>
      </c>
      <c r="O3" s="5" t="s">
        <v>496</v>
      </c>
    </row>
    <row r="4" spans="1:15" x14ac:dyDescent="0.45">
      <c r="A4" t="str">
        <f t="shared" ref="A4:A39" si="0">"nrg_"&amp;N4</f>
        <v>nrg_DSL</v>
      </c>
      <c r="B4" t="str">
        <f t="shared" ref="B4:B39" si="1">O4</f>
        <v>Diesel</v>
      </c>
      <c r="C4" t="s">
        <v>680</v>
      </c>
      <c r="D4" t="str">
        <f t="shared" ref="D4:D39" si="2">"*"&amp;N4</f>
        <v>*DSL</v>
      </c>
      <c r="N4" s="5" t="s">
        <v>682</v>
      </c>
      <c r="O4" s="5" t="s">
        <v>683</v>
      </c>
    </row>
    <row r="5" spans="1:15" x14ac:dyDescent="0.45">
      <c r="A5" t="str">
        <f t="shared" si="0"/>
        <v>nrg_ELC</v>
      </c>
      <c r="B5" t="str">
        <f t="shared" si="1"/>
        <v xml:space="preserve">Electricity </v>
      </c>
      <c r="C5" t="s">
        <v>680</v>
      </c>
      <c r="D5" t="str">
        <f t="shared" si="2"/>
        <v>*ELC</v>
      </c>
      <c r="N5" s="5" t="s">
        <v>55</v>
      </c>
      <c r="O5" s="5" t="s">
        <v>684</v>
      </c>
    </row>
    <row r="6" spans="1:15" x14ac:dyDescent="0.45">
      <c r="A6" t="str">
        <f t="shared" si="0"/>
        <v>nrg_FOL</v>
      </c>
      <c r="B6" t="str">
        <f t="shared" si="1"/>
        <v>Fuel Oil</v>
      </c>
      <c r="C6" t="s">
        <v>680</v>
      </c>
      <c r="D6" t="str">
        <f t="shared" si="2"/>
        <v>*FOL</v>
      </c>
      <c r="N6" s="5" t="s">
        <v>685</v>
      </c>
      <c r="O6" s="5" t="s">
        <v>686</v>
      </c>
    </row>
    <row r="7" spans="1:15" x14ac:dyDescent="0.45">
      <c r="A7" t="str">
        <f t="shared" si="0"/>
        <v>nrg_GEO</v>
      </c>
      <c r="B7" t="str">
        <f t="shared" si="1"/>
        <v>Geothermal</v>
      </c>
      <c r="C7" t="s">
        <v>680</v>
      </c>
      <c r="D7" t="str">
        <f t="shared" si="2"/>
        <v>*GEO</v>
      </c>
      <c r="N7" s="5" t="s">
        <v>687</v>
      </c>
      <c r="O7" s="5" t="s">
        <v>498</v>
      </c>
    </row>
    <row r="8" spans="1:15" x14ac:dyDescent="0.45">
      <c r="A8" t="str">
        <f t="shared" si="0"/>
        <v>nrg_H2R</v>
      </c>
      <c r="B8" t="str">
        <f t="shared" si="1"/>
        <v>Hydrogen</v>
      </c>
      <c r="C8" t="s">
        <v>680</v>
      </c>
      <c r="D8" t="str">
        <f t="shared" si="2"/>
        <v>*H2R</v>
      </c>
      <c r="N8" s="5" t="s">
        <v>688</v>
      </c>
      <c r="O8" s="5" t="s">
        <v>689</v>
      </c>
    </row>
    <row r="9" spans="1:15" x14ac:dyDescent="0.45">
      <c r="A9" t="str">
        <f t="shared" si="0"/>
        <v>nrg_LPG</v>
      </c>
      <c r="B9" t="str">
        <f t="shared" si="1"/>
        <v>LPG</v>
      </c>
      <c r="C9" t="s">
        <v>680</v>
      </c>
      <c r="D9" t="str">
        <f t="shared" si="2"/>
        <v>*LPG</v>
      </c>
      <c r="N9" s="5" t="s">
        <v>690</v>
      </c>
      <c r="O9" s="5" t="s">
        <v>690</v>
      </c>
    </row>
    <row r="10" spans="1:15" x14ac:dyDescent="0.45">
      <c r="A10" t="str">
        <f t="shared" si="0"/>
        <v>nrg_NGA</v>
      </c>
      <c r="B10" t="str">
        <f t="shared" si="1"/>
        <v>Natural Gas</v>
      </c>
      <c r="C10" t="s">
        <v>680</v>
      </c>
      <c r="D10" t="str">
        <f t="shared" si="2"/>
        <v>*NGA</v>
      </c>
      <c r="N10" s="5" t="s">
        <v>691</v>
      </c>
      <c r="O10" s="5" t="s">
        <v>502</v>
      </c>
    </row>
    <row r="11" spans="1:15" x14ac:dyDescent="0.45">
      <c r="A11" t="str">
        <f t="shared" si="0"/>
        <v>nrg_PET</v>
      </c>
      <c r="B11" t="str">
        <f t="shared" si="1"/>
        <v>Petrol</v>
      </c>
      <c r="C11" t="s">
        <v>680</v>
      </c>
      <c r="D11" t="str">
        <f t="shared" si="2"/>
        <v>*PET</v>
      </c>
      <c r="N11" s="5" t="s">
        <v>692</v>
      </c>
      <c r="O11" s="5" t="s">
        <v>693</v>
      </c>
    </row>
    <row r="12" spans="1:15" x14ac:dyDescent="0.45">
      <c r="A12" t="str">
        <f t="shared" si="0"/>
        <v>nrg_PLT</v>
      </c>
      <c r="B12" t="str">
        <f t="shared" si="1"/>
        <v>Pellet</v>
      </c>
      <c r="C12" t="s">
        <v>680</v>
      </c>
      <c r="D12" t="str">
        <f t="shared" si="2"/>
        <v>*PLT</v>
      </c>
      <c r="N12" s="5" t="s">
        <v>694</v>
      </c>
      <c r="O12" s="5" t="s">
        <v>695</v>
      </c>
    </row>
    <row r="13" spans="1:15" x14ac:dyDescent="0.45">
      <c r="A13" t="str">
        <f t="shared" si="0"/>
        <v>nrg_WOD</v>
      </c>
      <c r="B13" t="str">
        <f t="shared" si="1"/>
        <v>Wood</v>
      </c>
      <c r="C13" t="s">
        <v>680</v>
      </c>
      <c r="D13" t="str">
        <f t="shared" si="2"/>
        <v>*WOD</v>
      </c>
      <c r="N13" s="5" t="s">
        <v>696</v>
      </c>
      <c r="O13" s="5" t="s">
        <v>697</v>
      </c>
    </row>
    <row r="14" spans="1:15" x14ac:dyDescent="0.45">
      <c r="A14" t="str">
        <f t="shared" si="0"/>
        <v>nrg_WST</v>
      </c>
      <c r="B14" t="str">
        <f t="shared" si="1"/>
        <v>Waste</v>
      </c>
      <c r="C14" t="s">
        <v>680</v>
      </c>
      <c r="D14" t="str">
        <f t="shared" si="2"/>
        <v>*WST</v>
      </c>
      <c r="N14" s="5" t="s">
        <v>698</v>
      </c>
      <c r="O14" s="5" t="s">
        <v>512</v>
      </c>
    </row>
    <row r="15" spans="1:15" x14ac:dyDescent="0.45">
      <c r="A15" t="str">
        <f t="shared" si="0"/>
        <v>nrg_MNR</v>
      </c>
      <c r="B15" t="str">
        <f t="shared" si="1"/>
        <v>Manure</v>
      </c>
      <c r="C15" t="s">
        <v>680</v>
      </c>
      <c r="D15" t="str">
        <f t="shared" si="2"/>
        <v>*MNR</v>
      </c>
      <c r="N15" s="5" t="s">
        <v>699</v>
      </c>
      <c r="O15" s="5" t="s">
        <v>700</v>
      </c>
    </row>
    <row r="16" spans="1:15" x14ac:dyDescent="0.45">
      <c r="A16" t="str">
        <f t="shared" si="0"/>
        <v>nrg_BIG</v>
      </c>
      <c r="B16" t="str">
        <f t="shared" si="1"/>
        <v>Biogas</v>
      </c>
      <c r="C16" t="s">
        <v>680</v>
      </c>
      <c r="D16" t="str">
        <f t="shared" si="2"/>
        <v>*BIG</v>
      </c>
      <c r="N16" s="5" t="s">
        <v>701</v>
      </c>
      <c r="O16" s="5" t="s">
        <v>494</v>
      </c>
    </row>
    <row r="17" spans="1:15" x14ac:dyDescent="0.45">
      <c r="A17" t="str">
        <f t="shared" si="0"/>
        <v>nrg_BIL</v>
      </c>
      <c r="B17" t="str">
        <f t="shared" si="1"/>
        <v>Bioliquid</v>
      </c>
      <c r="C17" t="s">
        <v>680</v>
      </c>
      <c r="D17" t="str">
        <f t="shared" si="2"/>
        <v>*BIL</v>
      </c>
      <c r="N17" s="5" t="s">
        <v>702</v>
      </c>
      <c r="O17" s="5" t="s">
        <v>703</v>
      </c>
    </row>
    <row r="18" spans="1:15" x14ac:dyDescent="0.45">
      <c r="A18" t="str">
        <f t="shared" si="0"/>
        <v>nrg_COL</v>
      </c>
      <c r="B18" t="str">
        <f t="shared" si="1"/>
        <v>Lignite</v>
      </c>
      <c r="C18" t="s">
        <v>680</v>
      </c>
      <c r="D18" t="str">
        <f t="shared" si="2"/>
        <v>*COL</v>
      </c>
      <c r="N18" s="5" t="s">
        <v>704</v>
      </c>
      <c r="O18" s="5" t="s">
        <v>705</v>
      </c>
    </row>
    <row r="19" spans="1:15" x14ac:dyDescent="0.45">
      <c r="A19" t="str">
        <f t="shared" si="0"/>
        <v>nrg_seq</v>
      </c>
      <c r="B19" t="str">
        <f t="shared" si="1"/>
        <v>CO2 to CCS</v>
      </c>
      <c r="C19" t="s">
        <v>680</v>
      </c>
      <c r="D19" t="str">
        <f t="shared" si="2"/>
        <v>*seq</v>
      </c>
      <c r="N19" s="5" t="s">
        <v>706</v>
      </c>
      <c r="O19" s="5" t="s">
        <v>707</v>
      </c>
    </row>
    <row r="20" spans="1:15" x14ac:dyDescent="0.45">
      <c r="A20" t="str">
        <f t="shared" si="0"/>
        <v>nrg_CO2</v>
      </c>
      <c r="B20" t="str">
        <f t="shared" si="1"/>
        <v>CO2</v>
      </c>
      <c r="C20" t="s">
        <v>680</v>
      </c>
      <c r="D20" t="str">
        <f t="shared" si="2"/>
        <v>*CO2</v>
      </c>
      <c r="N20" s="5" t="s">
        <v>708</v>
      </c>
      <c r="O20" s="5" t="s">
        <v>708</v>
      </c>
    </row>
    <row r="21" spans="1:15" x14ac:dyDescent="0.45">
      <c r="A21" t="str">
        <f t="shared" si="0"/>
        <v>nrg_DID</v>
      </c>
      <c r="B21" t="str">
        <f t="shared" si="1"/>
        <v>Drop-In Diesel</v>
      </c>
      <c r="C21" t="s">
        <v>680</v>
      </c>
      <c r="D21" t="str">
        <f t="shared" si="2"/>
        <v>*DID</v>
      </c>
      <c r="N21" s="5" t="s">
        <v>709</v>
      </c>
      <c r="O21" s="5" t="s">
        <v>710</v>
      </c>
    </row>
    <row r="22" spans="1:15" x14ac:dyDescent="0.45">
      <c r="A22" t="str">
        <f t="shared" si="0"/>
        <v>nrg_DIJ</v>
      </c>
      <c r="B22" t="str">
        <f t="shared" si="1"/>
        <v>Drop-In Jet</v>
      </c>
      <c r="C22" t="s">
        <v>680</v>
      </c>
      <c r="D22" t="str">
        <f t="shared" si="2"/>
        <v>*DIJ</v>
      </c>
      <c r="N22" s="5" t="s">
        <v>711</v>
      </c>
      <c r="O22" s="5" t="s">
        <v>712</v>
      </c>
    </row>
    <row r="23" spans="1:15" x14ac:dyDescent="0.45">
      <c r="A23" t="str">
        <f t="shared" si="0"/>
        <v>nrg_LCD</v>
      </c>
      <c r="B23" t="str">
        <f t="shared" si="1"/>
        <v>Electricity Production</v>
      </c>
      <c r="C23" t="s">
        <v>680</v>
      </c>
      <c r="D23" t="str">
        <f t="shared" si="2"/>
        <v>*LCD</v>
      </c>
      <c r="N23" s="5" t="s">
        <v>713</v>
      </c>
      <c r="O23" s="5" t="s">
        <v>714</v>
      </c>
    </row>
    <row r="24" spans="1:15" x14ac:dyDescent="0.45">
      <c r="A24" t="str">
        <f t="shared" si="0"/>
        <v>nrg_CDD</v>
      </c>
      <c r="B24" t="str">
        <f t="shared" si="1"/>
        <v>Electricity Production</v>
      </c>
      <c r="C24" t="s">
        <v>680</v>
      </c>
      <c r="D24" t="str">
        <f t="shared" si="2"/>
        <v>*CDD</v>
      </c>
      <c r="N24" s="5" t="s">
        <v>715</v>
      </c>
      <c r="O24" s="5" t="s">
        <v>714</v>
      </c>
    </row>
    <row r="25" spans="1:15" x14ac:dyDescent="0.45">
      <c r="A25" t="str">
        <f t="shared" si="0"/>
        <v>nrg_-HV</v>
      </c>
      <c r="B25" t="str">
        <f t="shared" si="1"/>
        <v>Electricity Production</v>
      </c>
      <c r="C25" t="s">
        <v>680</v>
      </c>
      <c r="D25" t="str">
        <f t="shared" si="2"/>
        <v>*-HV</v>
      </c>
      <c r="N25" s="5" t="s">
        <v>716</v>
      </c>
      <c r="O25" s="5" t="s">
        <v>714</v>
      </c>
    </row>
    <row r="26" spans="1:15" x14ac:dyDescent="0.45">
      <c r="A26" t="str">
        <f t="shared" si="0"/>
        <v>nrg_HYD</v>
      </c>
      <c r="B26" t="str">
        <f t="shared" si="1"/>
        <v>Hydro</v>
      </c>
      <c r="C26" t="s">
        <v>680</v>
      </c>
      <c r="D26" t="str">
        <f t="shared" si="2"/>
        <v>*HYD</v>
      </c>
      <c r="N26" s="5" t="s">
        <v>717</v>
      </c>
      <c r="O26" s="5" t="s">
        <v>500</v>
      </c>
    </row>
    <row r="27" spans="1:15" x14ac:dyDescent="0.45">
      <c r="A27" t="str">
        <f t="shared" si="0"/>
        <v>nrg_-MV</v>
      </c>
      <c r="B27" t="str">
        <f t="shared" si="1"/>
        <v>Electricity Production</v>
      </c>
      <c r="C27" t="s">
        <v>680</v>
      </c>
      <c r="D27" t="str">
        <f t="shared" si="2"/>
        <v>*-MV</v>
      </c>
      <c r="N27" s="5" t="s">
        <v>718</v>
      </c>
      <c r="O27" s="5" t="s">
        <v>714</v>
      </c>
    </row>
    <row r="28" spans="1:15" x14ac:dyDescent="0.45">
      <c r="A28" t="str">
        <f t="shared" si="0"/>
        <v>nrg_OIL</v>
      </c>
      <c r="B28" t="str">
        <f t="shared" si="1"/>
        <v>Oil</v>
      </c>
      <c r="C28" t="s">
        <v>680</v>
      </c>
      <c r="D28" t="str">
        <f t="shared" si="2"/>
        <v>*OIL</v>
      </c>
      <c r="N28" s="5" t="s">
        <v>719</v>
      </c>
      <c r="O28" s="5" t="s">
        <v>720</v>
      </c>
    </row>
    <row r="29" spans="1:15" x14ac:dyDescent="0.45">
      <c r="A29" t="str">
        <f t="shared" si="0"/>
        <v>nrg_SOL</v>
      </c>
      <c r="B29" t="str">
        <f t="shared" si="1"/>
        <v>Solar</v>
      </c>
      <c r="C29" t="s">
        <v>680</v>
      </c>
      <c r="D29" t="str">
        <f t="shared" si="2"/>
        <v>*SOL</v>
      </c>
      <c r="N29" s="5" t="s">
        <v>721</v>
      </c>
      <c r="O29" s="5" t="s">
        <v>504</v>
      </c>
    </row>
    <row r="30" spans="1:15" x14ac:dyDescent="0.45">
      <c r="A30" t="str">
        <f t="shared" si="0"/>
        <v>nrg_TID</v>
      </c>
      <c r="B30" t="str">
        <f t="shared" si="1"/>
        <v>Tidal</v>
      </c>
      <c r="C30" t="s">
        <v>680</v>
      </c>
      <c r="D30" t="str">
        <f t="shared" si="2"/>
        <v>*TID</v>
      </c>
      <c r="N30" s="5" t="s">
        <v>722</v>
      </c>
      <c r="O30" s="5" t="s">
        <v>723</v>
      </c>
    </row>
    <row r="31" spans="1:15" x14ac:dyDescent="0.45">
      <c r="A31" t="str">
        <f t="shared" si="0"/>
        <v>nrg_URN</v>
      </c>
      <c r="B31" t="str">
        <f t="shared" si="1"/>
        <v>Uranium</v>
      </c>
      <c r="C31" t="s">
        <v>680</v>
      </c>
      <c r="D31" t="str">
        <f t="shared" si="2"/>
        <v>*URN</v>
      </c>
      <c r="N31" s="5" t="s">
        <v>724</v>
      </c>
      <c r="O31" s="5" t="s">
        <v>725</v>
      </c>
    </row>
    <row r="32" spans="1:15" x14ac:dyDescent="0.45">
      <c r="A32" t="str">
        <f t="shared" si="0"/>
        <v>nrg_WIN</v>
      </c>
      <c r="B32" t="str">
        <f t="shared" si="1"/>
        <v>Wind</v>
      </c>
      <c r="C32" t="s">
        <v>680</v>
      </c>
      <c r="D32" t="str">
        <f t="shared" si="2"/>
        <v>*WIN</v>
      </c>
      <c r="N32" s="5" t="s">
        <v>726</v>
      </c>
      <c r="O32" s="5" t="s">
        <v>514</v>
      </c>
    </row>
    <row r="33" spans="1:15" x14ac:dyDescent="0.45">
      <c r="A33" t="str">
        <f t="shared" si="0"/>
        <v>nrg_H2C</v>
      </c>
      <c r="B33" t="str">
        <f t="shared" si="1"/>
        <v>Green Hydrogen Green Hydrogen Fuel</v>
      </c>
      <c r="C33" t="s">
        <v>680</v>
      </c>
      <c r="D33" t="str">
        <f t="shared" si="2"/>
        <v>*H2C</v>
      </c>
      <c r="N33" s="5" t="s">
        <v>727</v>
      </c>
      <c r="O33" s="5" t="s">
        <v>728</v>
      </c>
    </row>
    <row r="34" spans="1:15" x14ac:dyDescent="0.45">
      <c r="A34" t="str">
        <f t="shared" si="0"/>
        <v>nrg_H2D</v>
      </c>
      <c r="B34" t="str">
        <f t="shared" si="1"/>
        <v>Green Hydrogen Green Hydrogen Fuel</v>
      </c>
      <c r="C34" t="s">
        <v>680</v>
      </c>
      <c r="D34" t="str">
        <f t="shared" si="2"/>
        <v>*H2D</v>
      </c>
      <c r="N34" s="5" t="s">
        <v>729</v>
      </c>
      <c r="O34" s="5" t="s">
        <v>728</v>
      </c>
    </row>
    <row r="35" spans="1:15" x14ac:dyDescent="0.45">
      <c r="A35" t="str">
        <f t="shared" si="0"/>
        <v>nrg_JET</v>
      </c>
      <c r="B35" t="str">
        <f t="shared" si="1"/>
        <v>Jet Fuel</v>
      </c>
      <c r="C35" t="s">
        <v>680</v>
      </c>
      <c r="D35" t="str">
        <f t="shared" si="2"/>
        <v>*JET</v>
      </c>
      <c r="N35" s="5" t="s">
        <v>730</v>
      </c>
      <c r="O35" s="5" t="s">
        <v>731</v>
      </c>
    </row>
    <row r="36" spans="1:15" x14ac:dyDescent="0.45">
      <c r="A36" t="str">
        <f t="shared" si="0"/>
        <v>nrg_LNG</v>
      </c>
      <c r="B36" t="str">
        <f t="shared" si="1"/>
        <v>LNG</v>
      </c>
      <c r="C36" t="s">
        <v>680</v>
      </c>
      <c r="D36" t="str">
        <f t="shared" si="2"/>
        <v>*LNG</v>
      </c>
      <c r="N36" s="5" t="s">
        <v>732</v>
      </c>
      <c r="O36" s="5" t="s">
        <v>732</v>
      </c>
    </row>
    <row r="37" spans="1:15" x14ac:dyDescent="0.45">
      <c r="A37" t="str">
        <f t="shared" si="0"/>
        <v>nrg_ILD</v>
      </c>
      <c r="B37" t="str">
        <f t="shared" si="1"/>
        <v>Crude Oil (domestic)</v>
      </c>
      <c r="C37" t="s">
        <v>680</v>
      </c>
      <c r="D37" t="str">
        <f t="shared" si="2"/>
        <v>*ILD</v>
      </c>
      <c r="N37" s="5" t="s">
        <v>733</v>
      </c>
      <c r="O37" s="5" t="s">
        <v>734</v>
      </c>
    </row>
    <row r="38" spans="1:15" x14ac:dyDescent="0.45">
      <c r="A38" t="str">
        <f t="shared" si="0"/>
        <v>nrg_ILI</v>
      </c>
      <c r="B38" t="str">
        <f t="shared" si="1"/>
        <v>Crude Oil (imported)</v>
      </c>
      <c r="C38" t="s">
        <v>680</v>
      </c>
      <c r="D38" t="str">
        <f t="shared" si="2"/>
        <v>*ILI</v>
      </c>
      <c r="N38" s="5" t="s">
        <v>735</v>
      </c>
      <c r="O38" s="5" t="s">
        <v>736</v>
      </c>
    </row>
    <row r="39" spans="1:15" x14ac:dyDescent="0.45">
      <c r="A39" t="str">
        <f t="shared" si="0"/>
        <v>nrg_OTH</v>
      </c>
      <c r="B39" t="str">
        <f t="shared" si="1"/>
        <v>Other Oil</v>
      </c>
      <c r="C39" t="s">
        <v>680</v>
      </c>
      <c r="D39" t="str">
        <f t="shared" si="2"/>
        <v>*OTH</v>
      </c>
      <c r="N39" s="5" t="s">
        <v>737</v>
      </c>
      <c r="O39" s="5" t="s">
        <v>738</v>
      </c>
    </row>
    <row r="40" spans="1:15" x14ac:dyDescent="0.45">
      <c r="A40" t="str">
        <f>"dem_"&amp;N40</f>
        <v>dem_agriculture</v>
      </c>
      <c r="B40" t="str">
        <f>N40</f>
        <v>agriculture</v>
      </c>
      <c r="C40" t="s">
        <v>739</v>
      </c>
      <c r="D40" t="str">
        <f>O40</f>
        <v>A*,meat*,D*</v>
      </c>
      <c r="N40" t="s">
        <v>740</v>
      </c>
      <c r="O40" t="s">
        <v>741</v>
      </c>
    </row>
    <row r="41" spans="1:15" x14ac:dyDescent="0.45">
      <c r="A41" t="str">
        <f>"dem_"&amp;N41</f>
        <v>dem_commercial</v>
      </c>
      <c r="B41" t="str">
        <f>N41</f>
        <v>commercial</v>
      </c>
      <c r="C41" t="s">
        <v>739</v>
      </c>
      <c r="D41" t="str">
        <f>O41</f>
        <v>C*</v>
      </c>
      <c r="N41" t="s">
        <v>742</v>
      </c>
      <c r="O41" t="s">
        <v>743</v>
      </c>
    </row>
    <row r="42" spans="1:15" x14ac:dyDescent="0.45">
      <c r="A42" t="str">
        <f>"dem_"&amp;N42</f>
        <v>dem_industry</v>
      </c>
      <c r="B42" t="str">
        <f>N42</f>
        <v>industry</v>
      </c>
      <c r="C42" t="s">
        <v>739</v>
      </c>
      <c r="D42" t="str">
        <f>O42</f>
        <v>F*,I*,ref*,M*,-meat*,O*,P*,U*,W*</v>
      </c>
      <c r="N42" t="s">
        <v>63</v>
      </c>
      <c r="O42" t="s">
        <v>744</v>
      </c>
    </row>
    <row r="43" spans="1:15" x14ac:dyDescent="0.45">
      <c r="A43" t="str">
        <f>"dem_"&amp;N43</f>
        <v>dem_residential</v>
      </c>
      <c r="B43" t="str">
        <f>N43</f>
        <v>residential</v>
      </c>
      <c r="C43" t="s">
        <v>739</v>
      </c>
      <c r="D43" t="str">
        <f>O43</f>
        <v>R*,-ref*</v>
      </c>
      <c r="N43" t="s">
        <v>745</v>
      </c>
      <c r="O43" t="s">
        <v>746</v>
      </c>
    </row>
    <row r="44" spans="1:15" x14ac:dyDescent="0.45">
      <c r="A44" t="str">
        <f>"dem_"&amp;N44</f>
        <v>dem_transport</v>
      </c>
      <c r="B44" t="str">
        <f>N44</f>
        <v>transport</v>
      </c>
      <c r="C44" t="s">
        <v>739</v>
      </c>
      <c r="D44" t="str">
        <f>O44</f>
        <v>T*</v>
      </c>
      <c r="N44" t="s">
        <v>64</v>
      </c>
      <c r="O44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VEDA_Sets-Comm</vt:lpstr>
      <vt:lpstr>geo_sets</vt:lpstr>
      <vt:lpstr>VEDA_Sets-Proc</vt:lpstr>
      <vt:lpstr>SetsEditor- Proc</vt:lpstr>
      <vt:lpstr>SetsEditor- Comm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2025-10-01T11:09:26Z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