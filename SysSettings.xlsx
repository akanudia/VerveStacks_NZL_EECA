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9895AAF1-C351-4372-B3DF-B8E504A57E11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3" l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16" i="3"/>
  <c r="H17" i="3" s="1"/>
  <c r="H14" i="3"/>
  <c r="I103" i="5"/>
  <c r="H104" i="5"/>
  <c r="I104" i="5"/>
  <c r="I102" i="5"/>
  <c r="I101" i="5"/>
  <c r="H95" i="5"/>
  <c r="I51" i="5"/>
  <c r="G51" i="5"/>
  <c r="F51" i="5"/>
  <c r="G14" i="3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H18" i="3" l="1"/>
  <c r="H19" i="3" s="1"/>
  <c r="H20" i="3" s="1"/>
  <c r="H21" i="3" s="1"/>
  <c r="H22" i="3" s="1"/>
  <c r="H23" i="3" s="1"/>
  <c r="H24" i="3" s="1"/>
  <c r="H25" i="3" s="1"/>
  <c r="H26" i="3" s="1"/>
  <c r="H12" i="3"/>
  <c r="F12" i="3"/>
  <c r="E12" i="3" l="1"/>
  <c r="G12" i="3"/>
</calcChain>
</file>

<file path=xl/sharedStrings.xml><?xml version="1.0" encoding="utf-8"?>
<sst xmlns="http://schemas.openxmlformats.org/spreadsheetml/2006/main" count="1905" uniqueCount="619">
  <si>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</si>
  <si>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</si>
  <si>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</si>
  <si>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</si>
  <si>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</si>
  <si>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</si>
  <si>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</si>
  <si>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</si>
  <si>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</si>
  <si>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</si>
  <si>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</si>
  <si>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</si>
  <si>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</si>
  <si>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</si>
  <si>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</si>
  <si>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</si>
  <si>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</si>
  <si>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</si>
  <si>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</si>
  <si>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</si>
  <si>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</si>
  <si>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</si>
  <si>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</si>
  <si>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</si>
  <si>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</si>
  <si>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</si>
  <si>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</si>
  <si>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</si>
  <si>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</si>
  <si>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</si>
  <si>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</si>
  <si>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</si>
  <si>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</si>
  <si>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</si>
  <si>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</si>
  <si>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</si>
  <si>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</si>
  <si>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</si>
  <si>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</si>
  <si>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</si>
  <si>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</si>
  <si>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</si>
  <si>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</si>
  <si>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</si>
  <si>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</si>
  <si>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</si>
  <si>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</si>
  <si>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</si>
  <si>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</si>
  <si>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</si>
  <si>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</si>
  <si>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</si>
  <si>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</si>
  <si>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</si>
  <si>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</si>
  <si>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</si>
  <si>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</si>
  <si>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</si>
  <si>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</si>
  <si>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</si>
  <si>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</si>
  <si>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</si>
  <si>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</si>
  <si>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</si>
  <si>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</si>
  <si>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</si>
  <si>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</si>
  <si>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</si>
  <si>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</si>
  <si>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</si>
  <si>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</si>
  <si>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</si>
  <si>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</si>
  <si>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</si>
  <si>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</si>
  <si>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</si>
  <si>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</si>
  <si>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</si>
  <si>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</si>
  <si>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</si>
  <si>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</si>
  <si>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</si>
  <si>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</si>
  <si>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</si>
  <si>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</si>
  <si>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</si>
  <si>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</si>
  <si>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</si>
  <si>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</si>
  <si>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</si>
  <si>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</si>
  <si>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</si>
  <si>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</si>
  <si>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</si>
  <si>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</si>
  <si>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</si>
  <si>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</si>
  <si>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</si>
  <si>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</si>
  <si>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</si>
  <si>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</si>
  <si>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</si>
  <si>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</si>
  <si>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</si>
  <si>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</si>
  <si>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</si>
  <si>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</si>
  <si>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</si>
  <si>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</si>
  <si>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</si>
  <si>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</si>
  <si>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</si>
  <si>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</si>
  <si>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</si>
  <si>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</si>
  <si>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</si>
  <si>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</si>
  <si>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</si>
  <si>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</si>
  <si>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</si>
  <si>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</si>
  <si>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</si>
  <si>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</si>
  <si>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</si>
  <si>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</si>
  <si>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</si>
  <si>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</si>
  <si>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</si>
  <si>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</si>
  <si>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</si>
  <si>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</si>
  <si>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</si>
  <si>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</si>
  <si>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</si>
  <si>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</si>
  <si>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</si>
  <si>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</si>
  <si>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</si>
  <si>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</si>
  <si>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</si>
  <si>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</si>
  <si>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</si>
  <si>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</si>
  <si>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</si>
  <si>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</si>
  <si>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</si>
  <si>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</si>
  <si>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</si>
  <si>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</si>
  <si>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</si>
  <si>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</si>
  <si>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</si>
  <si>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</si>
  <si>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</si>
  <si>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</si>
  <si>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</si>
  <si>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</si>
  <si>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</si>
  <si>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</si>
  <si>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</si>
  <si>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</si>
  <si>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</si>
  <si>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</si>
  <si>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</si>
  <si>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</si>
  <si>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</si>
  <si>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</si>
  <si>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</si>
  <si>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</si>
  <si>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</si>
  <si>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</si>
  <si>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</si>
  <si>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</si>
  <si>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</si>
  <si>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</si>
  <si>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</si>
  <si>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</si>
  <si>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</si>
  <si>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</si>
  <si>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</si>
  <si>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</si>
  <si>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</si>
  <si>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</si>
  <si>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</si>
  <si>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</si>
  <si>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</si>
  <si>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</si>
  <si>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</si>
  <si>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</si>
  <si>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</si>
  <si>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</si>
  <si>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</si>
  <si>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</si>
  <si>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</si>
  <si>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</si>
  <si>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</si>
  <si>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</si>
  <si>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</si>
  <si>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</si>
  <si>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</si>
  <si>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</si>
  <si>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</si>
  <si>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</si>
  <si>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</si>
  <si>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</si>
  <si>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</si>
  <si>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</si>
  <si>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</si>
  <si>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</si>
  <si>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</si>
  <si>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</si>
  <si>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</si>
  <si>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</si>
  <si>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</si>
  <si>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</si>
  <si>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</si>
  <si>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</si>
  <si>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</si>
  <si>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</si>
  <si>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</si>
  <si>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</si>
  <si>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</si>
  <si>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</si>
  <si>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</si>
  <si>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</si>
  <si>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</si>
  <si>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</si>
  <si>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</si>
  <si>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</si>
  <si>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</si>
  <si>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</si>
  <si>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</si>
  <si>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</si>
  <si>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</si>
  <si>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</si>
  <si>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</si>
  <si>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</si>
  <si>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</si>
  <si>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</si>
  <si>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</si>
  <si>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</si>
  <si>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</si>
  <si>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</si>
  <si>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</si>
  <si>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</si>
  <si>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</si>
  <si>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</si>
  <si>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</si>
  <si>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</si>
  <si>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</si>
  <si>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</si>
  <si>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</si>
  <si>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</si>
  <si>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</si>
  <si>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</si>
  <si>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</si>
  <si>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</si>
  <si>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</si>
  <si>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</si>
  <si>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</si>
  <si>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</si>
  <si>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</si>
  <si>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</si>
  <si>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</si>
  <si>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</si>
  <si>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</si>
  <si>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</si>
  <si>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</si>
  <si>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</si>
  <si>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</si>
  <si>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</si>
  <si>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</si>
  <si>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</si>
  <si>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</si>
  <si>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</si>
  <si>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</si>
  <si>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</si>
  <si>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</si>
  <si>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</si>
  <si>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</si>
  <si>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</si>
  <si>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</si>
  <si>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</si>
  <si>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</si>
  <si>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</si>
  <si>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</si>
  <si>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</si>
  <si>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</si>
  <si>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</si>
  <si>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</si>
  <si>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</si>
  <si>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</si>
  <si>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</si>
  <si>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</si>
  <si>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</si>
  <si>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</si>
  <si>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</si>
  <si>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</si>
  <si>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</si>
  <si>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</si>
  <si>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</si>
  <si>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</si>
  <si>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</si>
  <si>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</si>
  <si>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</si>
  <si>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</si>
  <si>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</si>
  <si>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</si>
  <si>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</si>
  <si>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</si>
  <si>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</si>
  <si>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</si>
  <si>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</si>
  <si>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</si>
  <si>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</si>
  <si>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</si>
  <si>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</si>
  <si>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</si>
  <si>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</si>
  <si>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</si>
  <si>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</si>
  <si>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</si>
  <si>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</si>
  <si>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</si>
  <si>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</si>
  <si>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</si>
  <si>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</si>
  <si>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</si>
  <si>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</si>
  <si>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</si>
  <si>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</si>
  <si>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</si>
  <si>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</si>
  <si>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</si>
  <si>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</si>
  <si>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</si>
  <si>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</si>
  <si>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</si>
  <si>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</si>
  <si>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</si>
  <si>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</si>
  <si>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</si>
  <si>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</si>
  <si>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</si>
  <si>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</si>
  <si>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</si>
  <si>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</si>
  <si>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</si>
  <si>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</si>
  <si>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</si>
  <si>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</si>
  <si>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</si>
  <si>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</si>
  <si>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</si>
  <si>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</si>
  <si>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</si>
  <si>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</si>
  <si>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</si>
  <si>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</si>
  <si>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</si>
  <si>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</si>
  <si>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</si>
  <si>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</si>
  <si>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</si>
  <si>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</si>
  <si>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</si>
  <si>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</si>
  <si>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</si>
  <si>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</si>
  <si>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</si>
  <si>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</si>
  <si>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</si>
  <si>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</si>
  <si>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</si>
  <si>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</si>
  <si>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</si>
  <si>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</si>
  <si>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</si>
  <si>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</si>
  <si>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</si>
  <si>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</si>
  <si>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</si>
  <si>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</si>
  <si>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</si>
  <si>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</si>
  <si>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</si>
  <si>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</si>
  <si>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</si>
  <si>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</si>
  <si>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</si>
  <si>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</si>
  <si>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</si>
  <si>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</si>
  <si>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</si>
  <si>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</si>
  <si>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</si>
  <si>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</si>
  <si>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</si>
  <si>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</si>
  <si>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</si>
  <si>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</si>
  <si>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</si>
  <si>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</si>
  <si>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</si>
  <si>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</si>
  <si>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</si>
  <si>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</si>
  <si>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</si>
  <si>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</si>
  <si>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</si>
  <si>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</si>
  <si>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</si>
  <si>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</si>
  <si>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</si>
  <si>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</si>
  <si>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</si>
  <si>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</si>
  <si>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</si>
  <si>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</si>
  <si>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</si>
  <si>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</si>
  <si>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</si>
  <si>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</si>
  <si>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</si>
  <si>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</si>
  <si>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</si>
  <si>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</si>
  <si>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</si>
  <si>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</si>
  <si>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</si>
  <si>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</si>
  <si>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</si>
  <si>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</si>
  <si>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</si>
  <si>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</si>
  <si>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</si>
  <si>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</si>
  <si>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</si>
  <si>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</si>
  <si>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</si>
  <si>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</si>
  <si>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</si>
  <si>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</si>
  <si>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</si>
  <si>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</si>
  <si>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</si>
  <si>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</si>
  <si>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</si>
  <si>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</si>
  <si>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</si>
  <si>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</si>
  <si>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</si>
  <si>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</si>
  <si>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</si>
  <si>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</si>
  <si>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</si>
  <si>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</si>
  <si>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</si>
  <si>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</si>
  <si>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</si>
  <si>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</si>
  <si>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</si>
  <si>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</si>
  <si>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</si>
  <si>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</si>
  <si>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</si>
  <si>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</si>
  <si>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</si>
  <si>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</si>
  <si>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</si>
  <si>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</si>
  <si>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</si>
  <si>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</si>
  <si>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</si>
  <si>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</si>
  <si>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</si>
  <si>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</si>
  <si>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</si>
  <si>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</si>
  <si>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</si>
  <si>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</si>
  <si>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</si>
  <si>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</si>
  <si>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</si>
  <si>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</si>
  <si>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</si>
  <si>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</si>
  <si>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</si>
  <si>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</si>
  <si>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</si>
  <si>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</si>
  <si>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</si>
  <si>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</si>
  <si>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</si>
  <si>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</si>
  <si>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</si>
  <si>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</si>
  <si>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</si>
  <si>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</si>
  <si>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</si>
  <si>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</si>
  <si>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</si>
  <si>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</si>
  <si>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</si>
  <si>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</si>
  <si>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</si>
  <si>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</si>
  <si>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</si>
  <si>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</si>
  <si>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</si>
  <si>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</si>
  <si>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</si>
  <si>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</si>
  <si>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</si>
  <si>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</si>
  <si>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</si>
  <si>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</si>
  <si>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</si>
  <si>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</si>
  <si>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</si>
  <si>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</si>
  <si>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</si>
  <si>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</si>
  <si>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</si>
  <si>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</si>
  <si>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</si>
  <si>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</si>
  <si>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</si>
  <si>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</si>
  <si>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</si>
  <si>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</si>
  <si>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</si>
  <si>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</si>
  <si>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</si>
  <si>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</si>
  <si>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</si>
  <si>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</si>
  <si>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</si>
  <si>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</si>
  <si>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</si>
  <si>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</si>
  <si>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</si>
  <si>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</si>
  <si>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</si>
  <si>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</si>
  <si>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</si>
  <si>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</si>
  <si>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</si>
  <si>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</si>
  <si>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</si>
  <si>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</si>
  <si>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</si>
  <si>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</si>
  <si>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</si>
  <si>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</si>
  <si>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</si>
  <si>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</si>
  <si>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</si>
  <si>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</si>
  <si>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</si>
  <si>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</si>
  <si>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</si>
  <si>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</si>
  <si>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</si>
  <si>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</si>
  <si>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</si>
  <si>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</si>
  <si>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</si>
  <si>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</si>
  <si>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</si>
  <si>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</si>
  <si>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</si>
  <si>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</si>
  <si>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</si>
  <si>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</si>
  <si>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</si>
  <si>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</si>
  <si>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</si>
  <si>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</si>
  <si>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</si>
  <si>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</si>
  <si>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</si>
  <si>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</si>
  <si>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</si>
  <si>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</si>
  <si>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</si>
  <si>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</si>
  <si>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</si>
  <si>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</si>
  <si>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</si>
  <si>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</si>
  <si>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</si>
  <si>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</si>
  <si>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</si>
  <si>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</si>
  <si>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</si>
  <si>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</si>
  <si>
    <t>NI</t>
  </si>
  <si>
    <t>SI</t>
  </si>
  <si>
    <t>Unit</t>
  </si>
  <si>
    <t>AGRELC</t>
  </si>
  <si>
    <t>DAYNITE</t>
  </si>
  <si>
    <t>BATNRG</t>
  </si>
  <si>
    <t>COMELC</t>
  </si>
  <si>
    <t>INDELC</t>
  </si>
  <si>
    <t>RESELC</t>
  </si>
  <si>
    <t>*</t>
  </si>
  <si>
    <t>PhaseII</t>
  </si>
  <si>
    <t>Phase1</t>
  </si>
  <si>
    <t>year2</t>
  </si>
  <si>
    <t>Pset_Set</t>
  </si>
  <si>
    <t>UP,LO</t>
  </si>
  <si>
    <t>ACT_BND</t>
  </si>
  <si>
    <t>MIN,PRE,IMP,EXP,-ELE,-DMD</t>
  </si>
  <si>
    <t>Share-O</t>
  </si>
  <si>
    <t>Share-I</t>
  </si>
  <si>
    <t>DMD</t>
  </si>
  <si>
    <t>R*,C*</t>
  </si>
  <si>
    <t>MioNZDollar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</si>
</sst>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"/>
  <sheetViews>
    <sheetView workbookViewId="0">
      <selection activeCell="C6" sqref="C6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35</v>
      </c>
      <c r="H4" t="s">
        <v>38</v>
      </c>
    </row>
    <row r="5" spans="2:8">
      <c r="B5" t="s">
        <v>597</v>
      </c>
      <c r="C5" t="s">
        <v>597</v>
      </c>
      <c r="F5" t="s">
        <v>36</v>
      </c>
      <c r="H5" t="s">
        <v>37</v>
      </c>
    </row>
    <row r="6" spans="2:8">
      <c r="B6" t="s">
        <v>598</v>
      </c>
      <c r="C6" t="s">
        <v>598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F21" sqref="F21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  <col min="14" max="14" width="10.9296875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34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34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34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34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34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34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34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34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34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34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34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34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34</v>
      </c>
      <c r="R16" t="s">
        <v>216</v>
      </c>
    </row>
    <row r="17" spans="2:18">
      <c r="B17" t="s">
        <v>606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34</v>
      </c>
      <c r="R17" t="s">
        <v>216</v>
      </c>
    </row>
    <row r="18" spans="2:18">
      <c r="B18" t="s">
        <v>606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34</v>
      </c>
      <c r="R18" t="s">
        <v>216</v>
      </c>
    </row>
    <row r="19" spans="2:18">
      <c r="B19" t="s">
        <v>606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34</v>
      </c>
      <c r="R19" t="s">
        <v>216</v>
      </c>
    </row>
    <row r="20" spans="2:18">
      <c r="B20" t="s">
        <v>606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34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34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34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34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34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34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34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34</v>
      </c>
      <c r="R26" t="s">
        <v>216</v>
      </c>
    </row>
    <row r="27" spans="2:18" ht="17.649999999999999" thickBot="1">
      <c r="B27" s="3" t="s">
        <v>8</v>
      </c>
      <c r="C27" s="2"/>
      <c r="D27" s="2"/>
      <c r="M27" t="s">
        <v>17</v>
      </c>
      <c r="N27" t="s">
        <v>259</v>
      </c>
      <c r="O27" t="s">
        <v>260</v>
      </c>
      <c r="P27" t="s">
        <v>25</v>
      </c>
      <c r="Q27" t="s">
        <v>34</v>
      </c>
      <c r="R27" t="s">
        <v>216</v>
      </c>
    </row>
    <row r="28" spans="2:18" ht="15" thickTop="1" thickBot="1">
      <c r="B28" s="5" t="s">
        <v>9</v>
      </c>
      <c r="C28" s="5" t="s">
        <v>10</v>
      </c>
      <c r="D28" s="5" t="s">
        <v>11</v>
      </c>
      <c r="E28" s="5" t="s">
        <v>599</v>
      </c>
      <c r="F28" s="5" t="s">
        <v>44</v>
      </c>
      <c r="G28" s="5" t="s">
        <v>15</v>
      </c>
      <c r="H28" s="5" t="s">
        <v>13</v>
      </c>
      <c r="M28" t="s">
        <v>17</v>
      </c>
      <c r="N28" t="s">
        <v>261</v>
      </c>
      <c r="O28" t="s">
        <v>262</v>
      </c>
      <c r="P28" t="s">
        <v>25</v>
      </c>
      <c r="Q28" t="s">
        <v>34</v>
      </c>
      <c r="R28" t="s">
        <v>216</v>
      </c>
    </row>
    <row r="29" spans="2:18">
      <c r="B29" t="s">
        <v>17</v>
      </c>
      <c r="C29" t="s">
        <v>600</v>
      </c>
      <c r="E29" t="s">
        <v>84</v>
      </c>
      <c r="F29" t="s">
        <v>25</v>
      </c>
      <c r="H29" t="s">
        <v>601</v>
      </c>
      <c r="M29" t="s">
        <v>17</v>
      </c>
      <c r="N29" t="s">
        <v>263</v>
      </c>
      <c r="O29" t="s">
        <v>264</v>
      </c>
      <c r="P29" t="s">
        <v>25</v>
      </c>
      <c r="Q29" t="s">
        <v>34</v>
      </c>
      <c r="R29" t="s">
        <v>216</v>
      </c>
    </row>
    <row r="30" spans="2:18">
      <c r="B30" t="s">
        <v>192</v>
      </c>
      <c r="C30" t="s">
        <v>602</v>
      </c>
      <c r="E30" t="s">
        <v>84</v>
      </c>
      <c r="G30" t="s">
        <v>37</v>
      </c>
      <c r="H30" t="s">
        <v>601</v>
      </c>
      <c r="M30" t="s">
        <v>17</v>
      </c>
      <c r="N30" t="s">
        <v>265</v>
      </c>
      <c r="O30" t="s">
        <v>266</v>
      </c>
      <c r="P30" t="s">
        <v>25</v>
      </c>
      <c r="Q30" t="s">
        <v>34</v>
      </c>
      <c r="R30" t="s">
        <v>216</v>
      </c>
    </row>
    <row r="31" spans="2:18">
      <c r="B31" t="s">
        <v>17</v>
      </c>
      <c r="C31" t="s">
        <v>603</v>
      </c>
      <c r="E31" t="s">
        <v>84</v>
      </c>
      <c r="F31" t="s">
        <v>25</v>
      </c>
      <c r="H31" t="s">
        <v>601</v>
      </c>
      <c r="M31" t="s">
        <v>17</v>
      </c>
      <c r="N31" t="s">
        <v>267</v>
      </c>
      <c r="O31" t="s">
        <v>268</v>
      </c>
      <c r="P31" t="s">
        <v>25</v>
      </c>
      <c r="Q31" t="s">
        <v>34</v>
      </c>
      <c r="R31" t="s">
        <v>216</v>
      </c>
    </row>
    <row r="32" spans="2:18">
      <c r="B32" t="s">
        <v>17</v>
      </c>
      <c r="C32" t="s">
        <v>604</v>
      </c>
      <c r="E32" t="s">
        <v>84</v>
      </c>
      <c r="F32" t="s">
        <v>25</v>
      </c>
      <c r="H32" t="s">
        <v>601</v>
      </c>
      <c r="M32" t="s">
        <v>17</v>
      </c>
      <c r="N32" t="s">
        <v>269</v>
      </c>
      <c r="O32" t="s">
        <v>270</v>
      </c>
      <c r="P32" t="s">
        <v>25</v>
      </c>
      <c r="Q32" t="s">
        <v>34</v>
      </c>
      <c r="R32" t="s">
        <v>216</v>
      </c>
    </row>
    <row r="33" spans="2:18">
      <c r="B33" t="s">
        <v>17</v>
      </c>
      <c r="C33" t="s">
        <v>605</v>
      </c>
      <c r="E33" t="s">
        <v>84</v>
      </c>
      <c r="F33" t="s">
        <v>25</v>
      </c>
      <c r="H33" t="s">
        <v>601</v>
      </c>
      <c r="M33" t="s">
        <v>17</v>
      </c>
      <c r="N33" t="s">
        <v>271</v>
      </c>
      <c r="O33" t="s">
        <v>272</v>
      </c>
      <c r="P33" t="s">
        <v>25</v>
      </c>
      <c r="Q33" t="s">
        <v>34</v>
      </c>
      <c r="R33" t="s">
        <v>216</v>
      </c>
    </row>
    <row r="34" spans="2:18">
      <c r="M34" t="s">
        <v>17</v>
      </c>
      <c r="N34" t="s">
        <v>273</v>
      </c>
      <c r="O34" t="s">
        <v>274</v>
      </c>
      <c r="P34" t="s">
        <v>25</v>
      </c>
      <c r="Q34" t="s">
        <v>34</v>
      </c>
      <c r="R34" t="s">
        <v>216</v>
      </c>
    </row>
    <row r="35" spans="2:18">
      <c r="M35" t="s">
        <v>17</v>
      </c>
      <c r="N35" t="s">
        <v>275</v>
      </c>
      <c r="O35" t="s">
        <v>276</v>
      </c>
      <c r="P35" t="s">
        <v>25</v>
      </c>
      <c r="Q35" t="s">
        <v>34</v>
      </c>
      <c r="R35" t="s">
        <v>216</v>
      </c>
    </row>
    <row r="36" spans="2:18">
      <c r="M36" t="s">
        <v>17</v>
      </c>
      <c r="N36" t="s">
        <v>277</v>
      </c>
      <c r="O36" t="s">
        <v>278</v>
      </c>
      <c r="P36" t="s">
        <v>25</v>
      </c>
      <c r="Q36" t="s">
        <v>34</v>
      </c>
      <c r="R36" t="s">
        <v>216</v>
      </c>
    </row>
    <row r="37" spans="2:18">
      <c r="M37" t="s">
        <v>17</v>
      </c>
      <c r="N37" t="s">
        <v>279</v>
      </c>
      <c r="O37" t="s">
        <v>280</v>
      </c>
      <c r="P37" t="s">
        <v>25</v>
      </c>
      <c r="Q37" t="s">
        <v>34</v>
      </c>
      <c r="R37" t="s">
        <v>216</v>
      </c>
    </row>
    <row r="38" spans="2:18">
      <c r="M38" t="s">
        <v>17</v>
      </c>
      <c r="N38" t="s">
        <v>281</v>
      </c>
      <c r="O38" t="s">
        <v>282</v>
      </c>
      <c r="P38" t="s">
        <v>25</v>
      </c>
      <c r="Q38" t="s">
        <v>34</v>
      </c>
      <c r="R38" t="s">
        <v>216</v>
      </c>
    </row>
    <row r="39" spans="2:18">
      <c r="M39" t="s">
        <v>17</v>
      </c>
      <c r="N39" t="s">
        <v>283</v>
      </c>
      <c r="O39" t="s">
        <v>284</v>
      </c>
      <c r="P39" t="s">
        <v>25</v>
      </c>
      <c r="Q39" t="s">
        <v>34</v>
      </c>
      <c r="R39" t="s">
        <v>216</v>
      </c>
    </row>
    <row r="40" spans="2:18">
      <c r="M40" t="s">
        <v>17</v>
      </c>
      <c r="N40" t="s">
        <v>285</v>
      </c>
      <c r="O40" t="s">
        <v>286</v>
      </c>
      <c r="P40" t="s">
        <v>25</v>
      </c>
      <c r="Q40" t="s">
        <v>34</v>
      </c>
      <c r="R40" t="s">
        <v>216</v>
      </c>
    </row>
    <row r="41" spans="2:18">
      <c r="M41" t="s">
        <v>17</v>
      </c>
      <c r="N41" t="s">
        <v>287</v>
      </c>
      <c r="O41" t="s">
        <v>288</v>
      </c>
      <c r="P41" t="s">
        <v>25</v>
      </c>
      <c r="Q41" t="s">
        <v>34</v>
      </c>
      <c r="R41" t="s">
        <v>216</v>
      </c>
    </row>
    <row r="42" spans="2:18">
      <c r="M42" t="s">
        <v>17</v>
      </c>
      <c r="N42" t="s">
        <v>289</v>
      </c>
      <c r="O42" t="s">
        <v>290</v>
      </c>
      <c r="P42" t="s">
        <v>25</v>
      </c>
      <c r="Q42" t="s">
        <v>34</v>
      </c>
      <c r="R42" t="s">
        <v>216</v>
      </c>
    </row>
    <row r="43" spans="2:18">
      <c r="M43" t="s">
        <v>17</v>
      </c>
      <c r="N43" t="s">
        <v>291</v>
      </c>
      <c r="O43" t="s">
        <v>292</v>
      </c>
      <c r="P43" t="s">
        <v>25</v>
      </c>
      <c r="Q43" t="s">
        <v>34</v>
      </c>
      <c r="R43" t="s">
        <v>216</v>
      </c>
    </row>
    <row r="44" spans="2:18">
      <c r="M44" t="s">
        <v>17</v>
      </c>
      <c r="N44" t="s">
        <v>293</v>
      </c>
      <c r="O44" t="s">
        <v>294</v>
      </c>
      <c r="P44" t="s">
        <v>25</v>
      </c>
      <c r="Q44" t="s">
        <v>34</v>
      </c>
      <c r="R44" t="s">
        <v>216</v>
      </c>
    </row>
    <row r="45" spans="2:18">
      <c r="M45" t="s">
        <v>17</v>
      </c>
      <c r="N45" t="s">
        <v>295</v>
      </c>
      <c r="O45" t="s">
        <v>296</v>
      </c>
      <c r="P45" t="s">
        <v>25</v>
      </c>
      <c r="Q45" t="s">
        <v>34</v>
      </c>
      <c r="R45" t="s">
        <v>216</v>
      </c>
    </row>
    <row r="46" spans="2:18">
      <c r="M46" t="s">
        <v>17</v>
      </c>
      <c r="N46" t="s">
        <v>297</v>
      </c>
      <c r="O46" t="s">
        <v>298</v>
      </c>
      <c r="P46" t="s">
        <v>25</v>
      </c>
      <c r="Q46" t="s">
        <v>34</v>
      </c>
      <c r="R46" t="s">
        <v>216</v>
      </c>
    </row>
    <row r="47" spans="2:18">
      <c r="M47" t="s">
        <v>17</v>
      </c>
      <c r="N47" t="s">
        <v>299</v>
      </c>
      <c r="O47" t="s">
        <v>300</v>
      </c>
      <c r="P47" t="s">
        <v>25</v>
      </c>
      <c r="Q47" t="s">
        <v>34</v>
      </c>
      <c r="R47" t="s">
        <v>216</v>
      </c>
    </row>
    <row r="48" spans="2:18">
      <c r="M48" t="s">
        <v>17</v>
      </c>
      <c r="N48" t="s">
        <v>301</v>
      </c>
      <c r="O48" t="s">
        <v>302</v>
      </c>
      <c r="P48" t="s">
        <v>25</v>
      </c>
      <c r="Q48" t="s">
        <v>34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34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34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34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34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34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34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34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34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34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34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34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34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34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34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34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34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34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34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34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34</v>
      </c>
      <c r="R68" t="s">
        <v>216</v>
      </c>
    </row>
  </sheetData>
  <sortState xmlns:xlrd2="http://schemas.microsoft.com/office/spreadsheetml/2017/richdata2" ref="C8:C315">
    <sortCondition ref="C19:C3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K41"/>
  <sheetViews>
    <sheetView tabSelected="1" workbookViewId="0">
      <selection activeCell="H1" sqref="H1"/>
    </sheetView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11">
      <c r="B3" s="6" t="s">
        <v>39</v>
      </c>
    </row>
    <row r="4" spans="2:11">
      <c r="B4" s="6">
        <v>2018</v>
      </c>
    </row>
    <row r="7" spans="2:11">
      <c r="B7" s="6" t="s">
        <v>40</v>
      </c>
    </row>
    <row r="8" spans="2:11">
      <c r="B8" s="6" t="s">
        <v>41</v>
      </c>
    </row>
    <row r="11" spans="2:11">
      <c r="B11" s="6" t="s">
        <v>42</v>
      </c>
      <c r="D11" s="6" t="s">
        <v>43</v>
      </c>
      <c r="J11" s="6" t="s">
        <v>42</v>
      </c>
    </row>
    <row r="12" spans="2:11" ht="14.25">
      <c r="B12" s="7" t="s">
        <v>41</v>
      </c>
      <c r="D12" s="8" t="s">
        <v>44</v>
      </c>
      <c r="E12" s="8" t="str">
        <f>"msy"&amp;COUNT(E14:E46)&amp;"_"&amp;MAX(E14:E46)</f>
        <v>msy7_2046</v>
      </c>
      <c r="F12" s="8" t="str">
        <f t="shared" ref="F12:G12" si="0">"msy"&amp;COUNT(F14:F45)&amp;"_"&amp;MAX(F14:F45)</f>
        <v>msy6_2046</v>
      </c>
      <c r="G12" s="8" t="str">
        <f t="shared" si="0"/>
        <v>msy20_2050</v>
      </c>
      <c r="H12" s="8" t="str">
        <f t="shared" ref="H12" si="1">"msy"&amp;COUNT(H14:H45)&amp;"_"&amp;MAX(H14:H45)</f>
        <v>msy28_2050</v>
      </c>
      <c r="J12" s="6" t="s">
        <v>608</v>
      </c>
      <c r="K12" s="6" t="s">
        <v>607</v>
      </c>
    </row>
    <row r="13" spans="2:11" ht="14.25">
      <c r="B13" s="9">
        <v>1</v>
      </c>
      <c r="D13" s="6" t="s">
        <v>45</v>
      </c>
      <c r="J13" s="6">
        <v>1</v>
      </c>
      <c r="K13" s="6">
        <v>1</v>
      </c>
    </row>
    <row r="14" spans="2:11" ht="14.25">
      <c r="B14" s="9">
        <v>5</v>
      </c>
      <c r="D14" s="6" t="s">
        <v>46</v>
      </c>
      <c r="E14" s="6">
        <f t="shared" ref="E14:H14" si="2">$B$4</f>
        <v>2018</v>
      </c>
      <c r="F14" s="6">
        <f t="shared" si="2"/>
        <v>2018</v>
      </c>
      <c r="G14" s="6">
        <f t="shared" si="2"/>
        <v>2018</v>
      </c>
      <c r="H14" s="6">
        <f t="shared" si="2"/>
        <v>2018</v>
      </c>
      <c r="J14" s="6">
        <v>2</v>
      </c>
      <c r="K14" s="6">
        <v>4</v>
      </c>
    </row>
    <row r="15" spans="2:11" ht="14.25">
      <c r="B15" s="9">
        <v>5</v>
      </c>
      <c r="D15" s="6" t="s">
        <v>46</v>
      </c>
      <c r="E15" s="6">
        <f>E14+3</f>
        <v>2021</v>
      </c>
      <c r="F15" s="6">
        <f>F14+3</f>
        <v>2021</v>
      </c>
      <c r="G15" s="6">
        <v>2020</v>
      </c>
      <c r="H15" s="6">
        <v>2020</v>
      </c>
      <c r="J15" s="6">
        <v>5</v>
      </c>
      <c r="K15" s="6">
        <v>5</v>
      </c>
    </row>
    <row r="16" spans="2:11" ht="14.25">
      <c r="B16" s="9">
        <v>10</v>
      </c>
      <c r="D16" s="6" t="s">
        <v>46</v>
      </c>
      <c r="E16" s="6">
        <f>E15+5</f>
        <v>2026</v>
      </c>
      <c r="F16" s="6">
        <f>F15+5</f>
        <v>2026</v>
      </c>
      <c r="G16" s="6">
        <f>G15+5</f>
        <v>2025</v>
      </c>
      <c r="H16" s="6">
        <f>H15+5</f>
        <v>2025</v>
      </c>
      <c r="J16" s="6">
        <v>5</v>
      </c>
      <c r="K16" s="6">
        <v>5</v>
      </c>
    </row>
    <row r="17" spans="2:11" ht="14.25">
      <c r="B17" s="9">
        <v>10</v>
      </c>
      <c r="D17" s="6" t="s">
        <v>46</v>
      </c>
      <c r="E17" s="6">
        <f t="shared" ref="E17:E20" si="3">E16+5</f>
        <v>2031</v>
      </c>
      <c r="F17" s="6">
        <f>F16+5</f>
        <v>2031</v>
      </c>
      <c r="G17" s="6">
        <f>G16+1</f>
        <v>2026</v>
      </c>
      <c r="H17" s="6">
        <f>H16+1</f>
        <v>2026</v>
      </c>
      <c r="J17" s="6">
        <v>5</v>
      </c>
      <c r="K17" s="6">
        <v>5</v>
      </c>
    </row>
    <row r="18" spans="2:11" ht="14.25">
      <c r="B18" s="9">
        <v>10</v>
      </c>
      <c r="D18" s="6" t="s">
        <v>46</v>
      </c>
      <c r="E18" s="6">
        <f t="shared" si="3"/>
        <v>2036</v>
      </c>
      <c r="F18" s="6">
        <f>F17+5</f>
        <v>2036</v>
      </c>
      <c r="G18" s="6">
        <f t="shared" ref="G18:H26" si="4">G17+1</f>
        <v>2027</v>
      </c>
      <c r="H18" s="6">
        <f t="shared" si="4"/>
        <v>2027</v>
      </c>
      <c r="J18" s="6">
        <v>5</v>
      </c>
      <c r="K18" s="6">
        <v>5</v>
      </c>
    </row>
    <row r="19" spans="2:11" ht="14.25">
      <c r="B19" s="9">
        <v>10</v>
      </c>
      <c r="D19" s="6" t="s">
        <v>46</v>
      </c>
      <c r="E19" s="6">
        <f t="shared" si="3"/>
        <v>2041</v>
      </c>
      <c r="F19" s="6">
        <f>F18+10</f>
        <v>2046</v>
      </c>
      <c r="G19" s="6">
        <f t="shared" si="4"/>
        <v>2028</v>
      </c>
      <c r="H19" s="6">
        <f t="shared" si="4"/>
        <v>2028</v>
      </c>
      <c r="J19" s="6">
        <v>5</v>
      </c>
      <c r="K19" s="6">
        <v>5</v>
      </c>
    </row>
    <row r="20" spans="2:11" ht="14.25">
      <c r="B20" s="9">
        <v>10</v>
      </c>
      <c r="D20" s="6" t="s">
        <v>46</v>
      </c>
      <c r="E20" s="6">
        <f t="shared" si="3"/>
        <v>2046</v>
      </c>
      <c r="G20" s="6">
        <f t="shared" si="4"/>
        <v>2029</v>
      </c>
      <c r="H20" s="6">
        <f t="shared" si="4"/>
        <v>2029</v>
      </c>
      <c r="J20" s="6">
        <v>5</v>
      </c>
      <c r="K20" s="6">
        <v>5</v>
      </c>
    </row>
    <row r="21" spans="2:11" ht="14.25">
      <c r="B21" s="9">
        <v>10</v>
      </c>
      <c r="D21" s="6" t="s">
        <v>46</v>
      </c>
      <c r="G21" s="6">
        <f t="shared" si="4"/>
        <v>2030</v>
      </c>
      <c r="H21" s="6">
        <f t="shared" si="4"/>
        <v>2030</v>
      </c>
      <c r="J21" s="6">
        <v>5</v>
      </c>
      <c r="K21" s="6">
        <v>5</v>
      </c>
    </row>
    <row r="22" spans="2:11" ht="14.25">
      <c r="B22" s="9">
        <v>10</v>
      </c>
      <c r="D22" s="6" t="s">
        <v>46</v>
      </c>
      <c r="G22" s="6">
        <f t="shared" si="4"/>
        <v>2031</v>
      </c>
      <c r="H22" s="6">
        <f t="shared" si="4"/>
        <v>2031</v>
      </c>
      <c r="J22" s="6">
        <v>5</v>
      </c>
      <c r="K22" s="6">
        <v>5</v>
      </c>
    </row>
    <row r="23" spans="2:11" ht="14.25">
      <c r="B23" s="9">
        <v>10</v>
      </c>
      <c r="D23" s="6" t="s">
        <v>46</v>
      </c>
      <c r="G23" s="6">
        <f t="shared" si="4"/>
        <v>2032</v>
      </c>
      <c r="H23" s="6">
        <f t="shared" si="4"/>
        <v>2032</v>
      </c>
      <c r="J23" s="6">
        <v>5</v>
      </c>
    </row>
    <row r="24" spans="2:11" ht="14.25">
      <c r="B24" s="9">
        <v>10</v>
      </c>
      <c r="D24" s="6" t="s">
        <v>46</v>
      </c>
      <c r="G24" s="6">
        <f t="shared" si="4"/>
        <v>2033</v>
      </c>
      <c r="H24" s="6">
        <f t="shared" si="4"/>
        <v>2033</v>
      </c>
    </row>
    <row r="25" spans="2:11" ht="14.25">
      <c r="B25" s="9"/>
      <c r="D25" s="6" t="s">
        <v>46</v>
      </c>
      <c r="G25" s="6">
        <f t="shared" si="4"/>
        <v>2034</v>
      </c>
      <c r="H25" s="6">
        <f t="shared" si="4"/>
        <v>2034</v>
      </c>
    </row>
    <row r="26" spans="2:11" ht="14.25">
      <c r="B26" s="9"/>
      <c r="D26" s="6" t="s">
        <v>46</v>
      </c>
      <c r="G26" s="6">
        <f t="shared" si="4"/>
        <v>2035</v>
      </c>
      <c r="H26" s="6">
        <f t="shared" si="4"/>
        <v>2035</v>
      </c>
    </row>
    <row r="27" spans="2:11" ht="14.25">
      <c r="B27" s="9"/>
      <c r="D27" s="6" t="s">
        <v>46</v>
      </c>
      <c r="G27" s="6">
        <f t="shared" ref="G27:H32" si="5">G26+2</f>
        <v>2037</v>
      </c>
      <c r="H27" s="6">
        <f t="shared" ref="H27" si="6">H26+1</f>
        <v>2036</v>
      </c>
    </row>
    <row r="28" spans="2:11" ht="14.25">
      <c r="B28" s="9"/>
      <c r="D28" s="6" t="s">
        <v>46</v>
      </c>
      <c r="G28" s="6">
        <f t="shared" si="5"/>
        <v>2039</v>
      </c>
      <c r="H28" s="6">
        <f t="shared" ref="H28" si="7">H27+1</f>
        <v>2037</v>
      </c>
    </row>
    <row r="29" spans="2:11" ht="14.25">
      <c r="B29" s="9"/>
      <c r="D29" s="6" t="s">
        <v>46</v>
      </c>
      <c r="G29" s="6">
        <f t="shared" si="5"/>
        <v>2041</v>
      </c>
      <c r="H29" s="6">
        <f t="shared" ref="H29" si="8">H28+1</f>
        <v>2038</v>
      </c>
    </row>
    <row r="30" spans="2:11" ht="14.25">
      <c r="B30" s="9"/>
      <c r="D30" s="6" t="s">
        <v>46</v>
      </c>
      <c r="G30" s="6">
        <f t="shared" si="5"/>
        <v>2043</v>
      </c>
      <c r="H30" s="6">
        <f t="shared" ref="H30" si="9">H29+1</f>
        <v>2039</v>
      </c>
    </row>
    <row r="31" spans="2:11" ht="14.25">
      <c r="B31" s="9"/>
      <c r="D31" s="6" t="s">
        <v>46</v>
      </c>
      <c r="G31" s="6">
        <f t="shared" si="5"/>
        <v>2045</v>
      </c>
      <c r="H31" s="6">
        <f t="shared" ref="H31" si="10">H30+1</f>
        <v>2040</v>
      </c>
    </row>
    <row r="32" spans="2:11" ht="14.25">
      <c r="B32" s="9"/>
      <c r="D32" s="6" t="s">
        <v>46</v>
      </c>
      <c r="G32" s="6">
        <f t="shared" si="5"/>
        <v>2047</v>
      </c>
      <c r="H32" s="6">
        <f t="shared" ref="H32" si="11">H31+1</f>
        <v>2041</v>
      </c>
    </row>
    <row r="33" spans="2:8" ht="14.25">
      <c r="B33" s="9"/>
      <c r="D33" s="6" t="s">
        <v>46</v>
      </c>
      <c r="G33" s="6">
        <f>G32+3</f>
        <v>2050</v>
      </c>
      <c r="H33" s="6">
        <f t="shared" ref="H33" si="12">H32+1</f>
        <v>2042</v>
      </c>
    </row>
    <row r="34" spans="2:8">
      <c r="D34" s="6" t="s">
        <v>46</v>
      </c>
      <c r="H34" s="6">
        <f t="shared" ref="H34" si="13">H33+1</f>
        <v>2043</v>
      </c>
    </row>
    <row r="35" spans="2:8">
      <c r="D35" s="6" t="s">
        <v>46</v>
      </c>
      <c r="H35" s="6">
        <f t="shared" ref="H35" si="14">H34+1</f>
        <v>2044</v>
      </c>
    </row>
    <row r="36" spans="2:8">
      <c r="D36" s="6" t="s">
        <v>46</v>
      </c>
      <c r="H36" s="6">
        <f t="shared" ref="H36" si="15">H35+1</f>
        <v>2045</v>
      </c>
    </row>
    <row r="37" spans="2:8">
      <c r="D37" s="6" t="s">
        <v>46</v>
      </c>
      <c r="H37" s="6">
        <f t="shared" ref="H37" si="16">H36+1</f>
        <v>2046</v>
      </c>
    </row>
    <row r="38" spans="2:8">
      <c r="D38" s="6" t="s">
        <v>46</v>
      </c>
      <c r="H38" s="6">
        <f t="shared" ref="H38" si="17">H37+1</f>
        <v>2047</v>
      </c>
    </row>
    <row r="39" spans="2:8">
      <c r="D39" s="6" t="s">
        <v>46</v>
      </c>
      <c r="H39" s="6">
        <f t="shared" ref="H39" si="18">H38+1</f>
        <v>2048</v>
      </c>
    </row>
    <row r="40" spans="2:8">
      <c r="D40" s="6" t="s">
        <v>46</v>
      </c>
      <c r="H40" s="6">
        <f t="shared" ref="H40" si="19">H39+1</f>
        <v>2049</v>
      </c>
    </row>
    <row r="41" spans="2:8">
      <c r="D41" s="6" t="s">
        <v>46</v>
      </c>
      <c r="H41" s="6">
        <f t="shared" ref="H41" si="20">H40+1</f>
        <v>2050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FF0B-AA8E-42A9-91AC-027707DD955B}">
  <dimension ref="B3:H130"/>
  <sheetViews>
    <sheetView workbookViewId="0">
      <selection activeCell="B3" sqref="B3"/>
    </sheetView>
  </sheetViews>
  <sheetFormatPr defaultRowHeight="14.25"/>
  <cols>
    <col min="2" max="2" width="8.53125" bestFit="1" customWidth="1"/>
    <col min="3" max="3" width="17.46484375" bestFit="1" customWidth="1"/>
    <col min="4" max="4" width="28.265625" bestFit="1" customWidth="1"/>
    <col min="5" max="5" width="13" bestFit="1" customWidth="1"/>
    <col min="6" max="6" width="11.53125" bestFit="1" customWidth="1"/>
    <col min="7" max="7" width="6.53125" bestFit="1" customWidth="1"/>
    <col min="8" max="8" width="4.19921875" bestFit="1" customWidth="1"/>
  </cols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34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34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34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34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34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34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34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34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34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34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34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34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34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34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34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34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34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34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34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34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34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34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34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34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34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34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34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34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34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34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34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34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34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34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34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34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34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34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34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34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34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34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34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34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34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34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34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34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34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34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34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34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34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34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34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34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34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34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34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34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34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34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34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34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34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34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34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34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34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34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34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34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34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34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34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34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34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34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34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34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34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34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34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34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34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34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34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34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34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34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34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34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34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34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34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34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34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34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34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34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34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34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34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34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34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34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34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34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34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34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34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34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34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34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34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34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34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34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34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34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34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34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34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34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34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34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AA42"/>
  <sheetViews>
    <sheetView zoomScaleNormal="100" workbookViewId="0">
      <selection activeCell="A5" sqref="A5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27" ht="12.75">
      <c r="B1" s="6"/>
      <c r="C1" s="10"/>
    </row>
    <row r="2" spans="2:27" ht="12.75">
      <c r="B2" s="12"/>
      <c r="C2" s="13"/>
      <c r="D2" s="13"/>
      <c r="E2" s="13"/>
      <c r="F2" s="13"/>
      <c r="G2" s="13"/>
      <c r="H2" s="13"/>
      <c r="I2" s="13"/>
      <c r="J2" s="13"/>
    </row>
    <row r="3" spans="2:27" ht="12.75">
      <c r="B3" s="13"/>
      <c r="C3" s="13"/>
      <c r="D3" s="13"/>
      <c r="E3" s="6"/>
      <c r="F3" s="6"/>
      <c r="G3" s="6"/>
      <c r="H3" s="13"/>
      <c r="I3" s="13"/>
      <c r="J3" s="13"/>
    </row>
    <row r="4" spans="2:27">
      <c r="B4" s="14" t="s">
        <v>47</v>
      </c>
      <c r="G4" s="14"/>
      <c r="H4" s="14"/>
      <c r="I4" s="14"/>
      <c r="N4" s="11" t="s">
        <v>47</v>
      </c>
    </row>
    <row r="5" spans="2:27" ht="14.25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  <c r="N5" s="11" t="s">
        <v>48</v>
      </c>
      <c r="O5" s="11" t="s">
        <v>49</v>
      </c>
      <c r="P5" s="11" t="s">
        <v>50</v>
      </c>
      <c r="Q5" s="11" t="s">
        <v>609</v>
      </c>
      <c r="R5" s="11" t="s">
        <v>52</v>
      </c>
      <c r="S5" s="11" t="s">
        <v>610</v>
      </c>
      <c r="T5" s="11" t="s">
        <v>64</v>
      </c>
      <c r="U5"/>
      <c r="V5"/>
      <c r="W5"/>
      <c r="X5"/>
      <c r="Y5"/>
      <c r="Z5"/>
      <c r="AA5"/>
    </row>
    <row r="6" spans="2:27" ht="14.25">
      <c r="D6" s="11" t="s">
        <v>59</v>
      </c>
      <c r="E6" s="11">
        <v>0</v>
      </c>
      <c r="F6" s="11">
        <v>3</v>
      </c>
      <c r="O6" s="11" t="s">
        <v>611</v>
      </c>
      <c r="P6" s="11" t="s">
        <v>612</v>
      </c>
      <c r="Q6" s="11">
        <v>0</v>
      </c>
      <c r="R6" s="11">
        <v>5</v>
      </c>
      <c r="S6" s="11" t="s">
        <v>613</v>
      </c>
      <c r="U6"/>
      <c r="V6"/>
      <c r="W6"/>
      <c r="X6"/>
      <c r="Y6"/>
      <c r="Z6"/>
      <c r="AA6"/>
    </row>
    <row r="7" spans="2:27" ht="14.25">
      <c r="D7" s="11" t="s">
        <v>60</v>
      </c>
      <c r="E7" s="11">
        <v>0</v>
      </c>
      <c r="F7" s="11">
        <v>3</v>
      </c>
      <c r="O7" s="11" t="s">
        <v>611</v>
      </c>
      <c r="P7" s="11" t="s">
        <v>614</v>
      </c>
      <c r="Q7" s="11">
        <v>0</v>
      </c>
      <c r="R7" s="11">
        <v>3</v>
      </c>
      <c r="S7" s="11" t="s">
        <v>606</v>
      </c>
      <c r="U7"/>
      <c r="V7"/>
      <c r="W7"/>
      <c r="X7"/>
      <c r="Y7"/>
      <c r="Z7"/>
      <c r="AA7"/>
    </row>
    <row r="8" spans="2:27" ht="14.25">
      <c r="D8" s="11" t="s">
        <v>61</v>
      </c>
      <c r="E8" s="11">
        <v>0</v>
      </c>
      <c r="F8" s="11">
        <v>3</v>
      </c>
      <c r="O8" s="11" t="s">
        <v>611</v>
      </c>
      <c r="P8" s="11" t="s">
        <v>615</v>
      </c>
      <c r="Q8" s="11">
        <v>0</v>
      </c>
      <c r="R8" s="11">
        <v>3</v>
      </c>
      <c r="S8" s="11" t="s">
        <v>606</v>
      </c>
      <c r="U8"/>
      <c r="V8"/>
      <c r="W8"/>
      <c r="X8"/>
      <c r="Y8"/>
      <c r="Z8"/>
      <c r="AA8"/>
    </row>
    <row r="9" spans="2:27">
      <c r="D9" s="11" t="s">
        <v>198</v>
      </c>
      <c r="E9" s="11">
        <v>0</v>
      </c>
      <c r="F9" s="11">
        <v>3</v>
      </c>
      <c r="O9" s="11" t="s">
        <v>611</v>
      </c>
      <c r="P9" s="11" t="s">
        <v>612</v>
      </c>
      <c r="Q9" s="11">
        <v>0</v>
      </c>
      <c r="R9" s="11">
        <v>0</v>
      </c>
      <c r="S9" s="11" t="s">
        <v>616</v>
      </c>
      <c r="T9" s="11" t="s">
        <v>617</v>
      </c>
    </row>
    <row r="10" spans="2:27">
      <c r="D10" s="11" t="s">
        <v>201</v>
      </c>
      <c r="E10" s="11">
        <v>0</v>
      </c>
      <c r="F10" s="11">
        <v>5</v>
      </c>
    </row>
    <row r="11" spans="2:27">
      <c r="D11" s="11" t="s">
        <v>211</v>
      </c>
      <c r="E11" s="11">
        <v>0</v>
      </c>
      <c r="F11" s="11">
        <v>3</v>
      </c>
    </row>
    <row r="14" spans="2:27">
      <c r="B14" s="14" t="s">
        <v>62</v>
      </c>
      <c r="G14" s="14"/>
      <c r="H14" s="14"/>
      <c r="I14" s="14"/>
    </row>
    <row r="15" spans="2:27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27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4.25">
      <c r="B19" s="13"/>
      <c r="C19" s="13"/>
      <c r="D19" s="13"/>
      <c r="E19" s="13"/>
      <c r="F19" s="13"/>
      <c r="G19" s="13"/>
      <c r="H19" s="13"/>
      <c r="I19" s="13"/>
      <c r="J19" s="13"/>
      <c r="N19"/>
    </row>
    <row r="20" spans="2:14" ht="14.25">
      <c r="B20" s="13"/>
      <c r="C20" s="13"/>
      <c r="D20" s="13"/>
      <c r="E20" s="13"/>
      <c r="F20" s="13"/>
      <c r="G20" s="13"/>
      <c r="H20" s="13"/>
      <c r="I20" s="13"/>
      <c r="J20" s="13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opLeftCell="A47" workbookViewId="0">
      <selection activeCell="I103" sqref="I10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9.5312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2.75">
      <c r="A4" s="13"/>
      <c r="B4" s="11" t="s">
        <v>618</v>
      </c>
      <c r="C4" s="6"/>
      <c r="F4" s="11" t="s">
        <v>184</v>
      </c>
      <c r="I4" s="11">
        <v>0.1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134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72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73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74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75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76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78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71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82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85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87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90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93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95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97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99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101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103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106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109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112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114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116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118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121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123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124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126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128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130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132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133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134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135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136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137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138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139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140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141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142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143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144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145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146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147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148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149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150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151</v>
      </c>
      <c r="F54" s="11" t="s">
        <v>191</v>
      </c>
      <c r="H54" s="11" t="s">
        <v>137</v>
      </c>
      <c r="I54" s="11">
        <v>7.0000000000000007E-2</v>
      </c>
    </row>
    <row r="55" spans="2:9" ht="13.15">
      <c r="B55" s="19" t="s">
        <v>152</v>
      </c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  <row r="103" spans="5:10" ht="12.75">
      <c r="F103" s="21" t="s">
        <v>189</v>
      </c>
      <c r="G103" s="21" t="s">
        <v>126</v>
      </c>
      <c r="H103" s="11" t="s">
        <v>618</v>
      </c>
      <c r="I103" s="11">
        <f>I48*0.65</f>
        <v>0.62724999999999997</v>
      </c>
    </row>
    <row r="104" spans="5:10" ht="14.25">
      <c r="F104" s="21" t="s">
        <v>191</v>
      </c>
      <c r="G104"/>
      <c r="H104" s="21" t="str">
        <f>H103</f>
        <v>MioNZDollar</v>
      </c>
      <c r="I104" s="22">
        <f>I86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62</v>
      </c>
    </row>
    <row r="4" spans="2:4" ht="1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2025-10-17T03:32:41Z</dcterms:modified>
</cp:coreProperties>
</file>